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830s\OneDrive\文件\github\FIH-tool整合\FIH-tool\QUL\LSC\"/>
    </mc:Choice>
  </mc:AlternateContent>
  <xr:revisionPtr revIDLastSave="0" documentId="13_ncr:1_{67CBFF7E-126B-49B1-AB50-56C5440C2339}" xr6:coauthVersionLast="47" xr6:coauthVersionMax="47" xr10:uidLastSave="{00000000-0000-0000-0000-000000000000}"/>
  <bookViews>
    <workbookView xWindow="768" yWindow="768" windowWidth="17280" windowHeight="8880" tabRatio="500" xr2:uid="{00000000-000D-0000-FFFF-FFFF00000000}"/>
  </bookViews>
  <sheets>
    <sheet name="goldenOTP_check" sheetId="1" r:id="rId1"/>
    <sheet name="(default)" sheetId="8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L110" i="8" l="1"/>
  <c r="U19" i="1"/>
  <c r="L104" i="8"/>
  <c r="I108" i="8"/>
  <c r="W53" i="1"/>
  <c r="L90" i="8"/>
  <c r="I92" i="8"/>
  <c r="N109" i="8"/>
  <c r="J103" i="8"/>
  <c r="X111" i="8"/>
  <c r="Y65" i="8"/>
  <c r="T11" i="1"/>
  <c r="L54" i="1"/>
  <c r="Y16" i="1"/>
  <c r="T20" i="1"/>
  <c r="S98" i="8"/>
  <c r="I60" i="8"/>
  <c r="X53" i="1"/>
  <c r="R60" i="8"/>
  <c r="T92" i="8"/>
  <c r="W26" i="1"/>
  <c r="S3" i="1"/>
  <c r="L95" i="8"/>
  <c r="P24" i="1"/>
  <c r="M87" i="8"/>
  <c r="O104" i="8"/>
  <c r="T68" i="8"/>
  <c r="N70" i="8"/>
  <c r="W111" i="8"/>
  <c r="Y12" i="1"/>
  <c r="X37" i="1"/>
  <c r="J66" i="8"/>
  <c r="P107" i="8"/>
  <c r="J13" i="1"/>
  <c r="J16" i="1"/>
  <c r="L53" i="1"/>
  <c r="K18" i="1"/>
  <c r="T10" i="1"/>
  <c r="V87" i="8"/>
  <c r="W68" i="8"/>
  <c r="L7" i="1"/>
  <c r="J68" i="8"/>
  <c r="L5" i="1"/>
  <c r="J9" i="1"/>
  <c r="U60" i="8"/>
  <c r="Y17" i="1"/>
  <c r="K14" i="1"/>
  <c r="M69" i="8"/>
  <c r="K86" i="8"/>
  <c r="M2" i="1"/>
  <c r="X34" i="1"/>
  <c r="W14" i="1"/>
  <c r="I9" i="1"/>
  <c r="L51" i="1"/>
  <c r="V70" i="8"/>
  <c r="X11" i="1"/>
  <c r="V82" i="8"/>
  <c r="P55" i="1"/>
  <c r="T16" i="1"/>
  <c r="O75" i="8"/>
  <c r="U107" i="8"/>
  <c r="Q67" i="8"/>
  <c r="Q97" i="8"/>
  <c r="T61" i="8"/>
  <c r="K4" i="1"/>
  <c r="R80" i="8"/>
  <c r="Y70" i="8"/>
  <c r="J64" i="8"/>
  <c r="U24" i="1"/>
  <c r="L25" i="1"/>
  <c r="U21" i="1"/>
  <c r="Y7" i="1"/>
  <c r="X107" i="8"/>
  <c r="S64" i="8"/>
  <c r="X60" i="8"/>
  <c r="P38" i="1"/>
  <c r="V28" i="1"/>
  <c r="K59" i="8"/>
  <c r="V67" i="8"/>
  <c r="M68" i="8"/>
  <c r="R109" i="8"/>
  <c r="V91" i="8"/>
  <c r="Y55" i="1"/>
  <c r="J31" i="1"/>
  <c r="L23" i="1"/>
  <c r="I79" i="8"/>
  <c r="Y21" i="1"/>
  <c r="O20" i="1"/>
  <c r="N82" i="8"/>
  <c r="O10" i="1"/>
  <c r="U50" i="1"/>
  <c r="Q55" i="1"/>
  <c r="K88" i="8"/>
  <c r="W104" i="8"/>
  <c r="W61" i="8"/>
  <c r="O110" i="8"/>
  <c r="X55" i="1"/>
  <c r="L72" i="8"/>
  <c r="Y34" i="1"/>
  <c r="L3" i="1"/>
  <c r="V58" i="8"/>
  <c r="K10" i="1"/>
  <c r="U81" i="8"/>
  <c r="P103" i="8"/>
  <c r="U48" i="1"/>
  <c r="T56" i="1"/>
  <c r="M63" i="8"/>
  <c r="T109" i="8"/>
  <c r="I74" i="8"/>
  <c r="J86" i="8"/>
  <c r="Q21" i="1"/>
  <c r="Q28" i="1"/>
  <c r="U2" i="1"/>
  <c r="Y30" i="1"/>
  <c r="Q74" i="8"/>
  <c r="J58" i="8"/>
  <c r="N11" i="1"/>
  <c r="Q49" i="1"/>
  <c r="U67" i="8"/>
  <c r="V79" i="8"/>
  <c r="S53" i="1"/>
  <c r="J39" i="1"/>
  <c r="U52" i="1"/>
  <c r="R95" i="8"/>
  <c r="L83" i="8"/>
  <c r="L40" i="1"/>
  <c r="I51" i="1"/>
  <c r="U25" i="1"/>
  <c r="O96" i="8"/>
  <c r="O93" i="8"/>
  <c r="W60" i="8"/>
  <c r="S86" i="8"/>
  <c r="S8" i="1"/>
  <c r="Y60" i="8"/>
  <c r="P40" i="1"/>
  <c r="I110" i="8"/>
  <c r="R81" i="8"/>
  <c r="Q27" i="1"/>
  <c r="V72" i="8"/>
  <c r="L80" i="8"/>
  <c r="S19" i="1"/>
  <c r="L30" i="1"/>
  <c r="V66" i="8"/>
  <c r="M104" i="8"/>
  <c r="K64" i="8"/>
  <c r="U101" i="8"/>
  <c r="J74" i="8"/>
  <c r="R21" i="1"/>
  <c r="J88" i="8"/>
  <c r="M39" i="1"/>
  <c r="U77" i="8"/>
  <c r="W36" i="1"/>
  <c r="Q20" i="1"/>
  <c r="P96" i="8"/>
  <c r="P5" i="1"/>
  <c r="X78" i="8"/>
  <c r="R44" i="1"/>
  <c r="M86" i="8"/>
  <c r="Q87" i="8"/>
  <c r="K67" i="8"/>
  <c r="J69" i="8"/>
  <c r="W76" i="8"/>
  <c r="S25" i="1"/>
  <c r="T106" i="8"/>
  <c r="V111" i="8"/>
  <c r="X87" i="8"/>
  <c r="T6" i="1"/>
  <c r="R86" i="8"/>
  <c r="W7" i="1"/>
  <c r="T47" i="1"/>
  <c r="K54" i="1"/>
  <c r="S61" i="8"/>
  <c r="X30" i="1"/>
  <c r="T30" i="1"/>
  <c r="Y46" i="1"/>
  <c r="M94" i="8"/>
  <c r="S67" i="8"/>
  <c r="I32" i="1"/>
  <c r="T9" i="1"/>
  <c r="Y50" i="1"/>
  <c r="O49" i="1"/>
  <c r="V95" i="8"/>
  <c r="M46" i="1"/>
  <c r="T72" i="8"/>
  <c r="I16" i="1"/>
  <c r="P34" i="1"/>
  <c r="O79" i="8"/>
  <c r="K6" i="1"/>
  <c r="N25" i="1"/>
  <c r="I18" i="1"/>
  <c r="J109" i="8"/>
  <c r="M107" i="8"/>
  <c r="T19" i="1"/>
  <c r="I58" i="8"/>
  <c r="I17" i="1"/>
  <c r="X106" i="8"/>
  <c r="L16" i="1"/>
  <c r="K89" i="8"/>
  <c r="L27" i="1"/>
  <c r="Q35" i="1"/>
  <c r="U59" i="8"/>
  <c r="S105" i="8"/>
  <c r="T63" i="8"/>
  <c r="L59" i="8"/>
  <c r="V101" i="8"/>
  <c r="P10" i="1"/>
  <c r="K103" i="8"/>
  <c r="V56" i="1"/>
  <c r="N13" i="1"/>
  <c r="J7" i="1"/>
  <c r="R40" i="1"/>
  <c r="S42" i="1"/>
  <c r="R45" i="1"/>
  <c r="N47" i="1"/>
  <c r="L50" i="1"/>
  <c r="L19" i="1"/>
  <c r="Q83" i="8"/>
  <c r="X56" i="1"/>
  <c r="N65" i="8"/>
  <c r="P47" i="1"/>
  <c r="I90" i="8"/>
  <c r="P36" i="1"/>
  <c r="J48" i="1"/>
  <c r="T67" i="8"/>
  <c r="M80" i="8"/>
  <c r="I7" i="1"/>
  <c r="M44" i="1"/>
  <c r="X24" i="1"/>
  <c r="O84" i="8"/>
  <c r="W77" i="8"/>
  <c r="V84" i="8"/>
  <c r="J27" i="1"/>
  <c r="P33" i="1"/>
  <c r="O25" i="1"/>
  <c r="N77" i="8"/>
  <c r="O18" i="1"/>
  <c r="T82" i="8"/>
  <c r="I50" i="1"/>
  <c r="R38" i="1"/>
  <c r="P90" i="8"/>
  <c r="R2" i="1"/>
  <c r="I23" i="1"/>
  <c r="N94" i="8"/>
  <c r="T26" i="1"/>
  <c r="U73" i="8"/>
  <c r="Y6" i="1"/>
  <c r="L66" i="8"/>
  <c r="Y8" i="1"/>
  <c r="T69" i="8"/>
  <c r="P12" i="1"/>
  <c r="U38" i="1"/>
  <c r="L47" i="1"/>
  <c r="X94" i="8"/>
  <c r="N52" i="1"/>
  <c r="K12" i="1"/>
  <c r="W45" i="1"/>
  <c r="W41" i="1"/>
  <c r="V27" i="1"/>
  <c r="M60" i="8"/>
  <c r="M58" i="8"/>
  <c r="V32" i="1"/>
  <c r="O106" i="8"/>
  <c r="R100" i="8"/>
  <c r="K97" i="8"/>
  <c r="T39" i="1"/>
  <c r="N46" i="1"/>
  <c r="I83" i="8"/>
  <c r="X54" i="1"/>
  <c r="R33" i="1"/>
  <c r="K45" i="1"/>
  <c r="M101" i="8"/>
  <c r="T28" i="1"/>
  <c r="N5" i="1"/>
  <c r="K94" i="8"/>
  <c r="O80" i="8"/>
  <c r="V34" i="1"/>
  <c r="X95" i="8"/>
  <c r="T13" i="1"/>
  <c r="J70" i="8"/>
  <c r="Y72" i="8"/>
  <c r="I76" i="8"/>
  <c r="Y73" i="8"/>
  <c r="K65" i="8"/>
  <c r="V55" i="1"/>
  <c r="M23" i="1"/>
  <c r="I80" i="8"/>
  <c r="R8" i="1"/>
  <c r="T64" i="8"/>
  <c r="Q48" i="1"/>
  <c r="O8" i="1"/>
  <c r="Q110" i="8"/>
  <c r="W18" i="1"/>
  <c r="P89" i="8"/>
  <c r="R73" i="8"/>
  <c r="Q38" i="1"/>
  <c r="S110" i="8"/>
  <c r="R56" i="1"/>
  <c r="O34" i="1"/>
  <c r="L79" i="8"/>
  <c r="X74" i="8"/>
  <c r="J50" i="1"/>
  <c r="Q19" i="1"/>
  <c r="I2" i="1"/>
  <c r="Y52" i="1"/>
  <c r="Y2" i="1"/>
  <c r="S7" i="1"/>
  <c r="S96" i="8"/>
  <c r="N92" i="8"/>
  <c r="Q44" i="1"/>
  <c r="T53" i="1"/>
  <c r="I88" i="8"/>
  <c r="X62" i="8"/>
  <c r="N61" i="8"/>
  <c r="P106" i="8"/>
  <c r="T110" i="8"/>
  <c r="M26" i="1"/>
  <c r="Q41" i="1"/>
  <c r="P95" i="8"/>
  <c r="S87" i="8"/>
  <c r="R36" i="1"/>
  <c r="J77" i="8"/>
  <c r="P98" i="8"/>
  <c r="O59" i="8"/>
  <c r="K61" i="8"/>
  <c r="X28" i="1"/>
  <c r="U12" i="1"/>
  <c r="P58" i="8"/>
  <c r="N24" i="1"/>
  <c r="N20" i="1"/>
  <c r="S33" i="1"/>
  <c r="Q47" i="1"/>
  <c r="L26" i="1"/>
  <c r="U31" i="1"/>
  <c r="V86" i="8"/>
  <c r="M56" i="1"/>
  <c r="V106" i="8"/>
  <c r="W34" i="1"/>
  <c r="N102" i="8"/>
  <c r="Q14" i="1"/>
  <c r="S109" i="8"/>
  <c r="T5" i="1"/>
  <c r="S31" i="1"/>
  <c r="K16" i="1"/>
  <c r="M31" i="1"/>
  <c r="Y62" i="8"/>
  <c r="O39" i="1"/>
  <c r="O107" i="8"/>
  <c r="I5" i="1"/>
  <c r="N19" i="1"/>
  <c r="P19" i="1"/>
  <c r="U46" i="1"/>
  <c r="S28" i="1"/>
  <c r="N30" i="1"/>
  <c r="O47" i="1"/>
  <c r="S24" i="1"/>
  <c r="U111" i="8"/>
  <c r="O30" i="1"/>
  <c r="O62" i="8"/>
  <c r="X92" i="8"/>
  <c r="O37" i="1"/>
  <c r="X64" i="8"/>
  <c r="J89" i="8"/>
  <c r="V6" i="1"/>
  <c r="Y100" i="8"/>
  <c r="Q31" i="1"/>
  <c r="R17" i="1"/>
  <c r="L76" i="8"/>
  <c r="U39" i="1"/>
  <c r="V26" i="1"/>
  <c r="P73" i="8"/>
  <c r="X46" i="1"/>
  <c r="N56" i="1"/>
  <c r="I67" i="8"/>
  <c r="V11" i="1"/>
  <c r="P82" i="8"/>
  <c r="S68" i="8"/>
  <c r="L8" i="1"/>
  <c r="K90" i="8"/>
  <c r="S73" i="8"/>
  <c r="O50" i="1"/>
  <c r="J67" i="8"/>
  <c r="Q22" i="1"/>
  <c r="K17" i="1"/>
  <c r="M74" i="8"/>
  <c r="S13" i="1"/>
  <c r="O42" i="1"/>
  <c r="Q90" i="8"/>
  <c r="I104" i="8"/>
  <c r="J6" i="1"/>
  <c r="R11" i="1"/>
  <c r="L68" i="8"/>
  <c r="U27" i="1"/>
  <c r="N40" i="1"/>
  <c r="K69" i="8"/>
  <c r="P30" i="1"/>
  <c r="T101" i="8"/>
  <c r="M40" i="1"/>
  <c r="T27" i="1"/>
  <c r="U112" i="8"/>
  <c r="X9" i="1"/>
  <c r="K24" i="1"/>
  <c r="U8" i="1"/>
  <c r="J4" i="1"/>
  <c r="S107" i="8"/>
  <c r="Y9" i="1"/>
  <c r="J8" i="1"/>
  <c r="Q105" i="8"/>
  <c r="M100" i="8"/>
  <c r="W105" i="8"/>
  <c r="S70" i="8"/>
  <c r="M10" i="1"/>
  <c r="P9" i="1"/>
  <c r="U88" i="8"/>
  <c r="L75" i="8"/>
  <c r="T102" i="8"/>
  <c r="R62" i="8"/>
  <c r="K20" i="1"/>
  <c r="W86" i="8"/>
  <c r="N4" i="1"/>
  <c r="S21" i="1"/>
  <c r="P11" i="1"/>
  <c r="N83" i="8"/>
  <c r="J18" i="1"/>
  <c r="V38" i="1"/>
  <c r="N84" i="8"/>
  <c r="S104" i="8"/>
  <c r="V23" i="1"/>
  <c r="P67" i="8"/>
  <c r="U80" i="8"/>
  <c r="W95" i="8"/>
  <c r="J49" i="1"/>
  <c r="J51" i="1"/>
  <c r="R22" i="1"/>
  <c r="W35" i="1"/>
  <c r="J100" i="8"/>
  <c r="T65" i="8"/>
  <c r="X105" i="8"/>
  <c r="M51" i="1"/>
  <c r="S51" i="1"/>
  <c r="Q13" i="1"/>
  <c r="Q64" i="8"/>
  <c r="W3" i="1"/>
  <c r="L32" i="1"/>
  <c r="Y42" i="1"/>
  <c r="I75" i="8"/>
  <c r="K70" i="8"/>
  <c r="V51" i="1"/>
  <c r="S46" i="1"/>
  <c r="R101" i="8"/>
  <c r="O87" i="8"/>
  <c r="X17" i="1"/>
  <c r="R26" i="1"/>
  <c r="S9" i="1"/>
  <c r="K66" i="8"/>
  <c r="S44" i="1"/>
  <c r="M73" i="8"/>
  <c r="X32" i="1"/>
  <c r="T25" i="1"/>
  <c r="K109" i="8"/>
  <c r="K72" i="8"/>
  <c r="I12" i="1"/>
  <c r="V22" i="1"/>
  <c r="K32" i="1"/>
  <c r="Y78" i="8"/>
  <c r="W94" i="8"/>
  <c r="W30" i="1"/>
  <c r="U74" i="8"/>
  <c r="U95" i="8"/>
  <c r="U66" i="8"/>
  <c r="T48" i="1"/>
  <c r="S62" i="8"/>
  <c r="W65" i="8"/>
  <c r="Q101" i="8"/>
  <c r="S36" i="1"/>
  <c r="W101" i="8"/>
  <c r="U36" i="1"/>
  <c r="Q62" i="8"/>
  <c r="X36" i="1"/>
  <c r="T46" i="1"/>
  <c r="S6" i="1"/>
  <c r="J111" i="8"/>
  <c r="K5" i="1"/>
  <c r="Q40" i="1"/>
  <c r="T12" i="1"/>
  <c r="T52" i="1"/>
  <c r="R23" i="1"/>
  <c r="X65" i="8"/>
  <c r="V68" i="8"/>
  <c r="I27" i="1"/>
  <c r="O78" i="8"/>
  <c r="X47" i="1"/>
  <c r="X69" i="8"/>
  <c r="S106" i="8"/>
  <c r="R30" i="1"/>
  <c r="U106" i="8"/>
  <c r="J45" i="1"/>
  <c r="O24" i="1"/>
  <c r="N50" i="1"/>
  <c r="I28" i="1"/>
  <c r="S63" i="8"/>
  <c r="U78" i="8"/>
  <c r="W98" i="8"/>
  <c r="M88" i="8"/>
  <c r="P61" i="8"/>
  <c r="W37" i="1"/>
  <c r="R94" i="8"/>
  <c r="Q100" i="8"/>
  <c r="J34" i="1"/>
  <c r="V25" i="1"/>
  <c r="V112" i="8"/>
  <c r="U18" i="1"/>
  <c r="S14" i="1"/>
  <c r="K3" i="1"/>
  <c r="V35" i="1"/>
  <c r="T7" i="1"/>
  <c r="J21" i="1"/>
  <c r="J97" i="8"/>
  <c r="W42" i="1"/>
  <c r="S112" i="8"/>
  <c r="N34" i="1"/>
  <c r="Q12" i="1"/>
  <c r="L91" i="8"/>
  <c r="S91" i="8"/>
  <c r="N31" i="1"/>
  <c r="R47" i="1"/>
  <c r="Q80" i="8"/>
  <c r="K107" i="8"/>
  <c r="I96" i="8"/>
  <c r="U103" i="8"/>
  <c r="X73" i="8"/>
  <c r="M45" i="1"/>
  <c r="O36" i="1"/>
  <c r="N101" i="8"/>
  <c r="J101" i="8"/>
  <c r="N87" i="8"/>
  <c r="R46" i="1"/>
  <c r="U62" i="8"/>
  <c r="S103" i="8"/>
  <c r="X76" i="8"/>
  <c r="X20" i="1"/>
  <c r="V20" i="1"/>
  <c r="I84" i="8"/>
  <c r="X5" i="1"/>
  <c r="P92" i="8"/>
  <c r="X12" i="1"/>
  <c r="W66" i="8"/>
  <c r="O105" i="8"/>
  <c r="R64" i="8"/>
  <c r="W67" i="8"/>
  <c r="K76" i="8"/>
  <c r="V42" i="1"/>
  <c r="O90" i="8"/>
  <c r="N39" i="1"/>
  <c r="Q24" i="1"/>
  <c r="N86" i="8"/>
  <c r="M6" i="1"/>
  <c r="Q58" i="8"/>
  <c r="O4" i="1"/>
  <c r="N78" i="8"/>
  <c r="M59" i="8"/>
  <c r="Y27" i="1"/>
  <c r="I34" i="1"/>
  <c r="Q8" i="1"/>
  <c r="I8" i="1"/>
  <c r="M95" i="8"/>
  <c r="V92" i="8"/>
  <c r="R18" i="1"/>
  <c r="R24" i="1"/>
  <c r="S56" i="1"/>
  <c r="I66" i="8"/>
  <c r="W11" i="1"/>
  <c r="V3" i="1"/>
  <c r="U75" i="8"/>
  <c r="X26" i="1"/>
  <c r="M93" i="8"/>
  <c r="U20" i="1"/>
  <c r="I59" i="8"/>
  <c r="Y39" i="1"/>
  <c r="X7" i="1"/>
  <c r="N37" i="1"/>
  <c r="L44" i="1"/>
  <c r="O41" i="1"/>
  <c r="K62" i="8"/>
  <c r="L39" i="1"/>
  <c r="N59" i="8"/>
  <c r="M106" i="8"/>
  <c r="Y96" i="8"/>
  <c r="N32" i="1"/>
  <c r="K13" i="1"/>
  <c r="N9" i="1"/>
  <c r="Q88" i="8"/>
  <c r="O44" i="1"/>
  <c r="N42" i="1"/>
  <c r="O66" i="8"/>
  <c r="R49" i="1"/>
  <c r="L36" i="1"/>
  <c r="L105" i="8"/>
  <c r="R31" i="1"/>
  <c r="I37" i="1"/>
  <c r="T58" i="8"/>
  <c r="Q107" i="8"/>
  <c r="Q75" i="8"/>
  <c r="Q51" i="1"/>
  <c r="U17" i="1"/>
  <c r="M48" i="1"/>
  <c r="K73" i="8"/>
  <c r="P110" i="8"/>
  <c r="N76" i="8"/>
  <c r="U98" i="8"/>
  <c r="L56" i="1"/>
  <c r="T75" i="8"/>
  <c r="T22" i="1"/>
  <c r="L102" i="8"/>
  <c r="L70" i="8"/>
  <c r="N107" i="8"/>
  <c r="N27" i="1"/>
  <c r="X84" i="8"/>
  <c r="Q26" i="1"/>
  <c r="I98" i="8"/>
  <c r="X63" i="8"/>
  <c r="P8" i="1"/>
  <c r="V81" i="8"/>
  <c r="Q17" i="1"/>
  <c r="N8" i="1"/>
  <c r="P49" i="1"/>
  <c r="S100" i="8"/>
  <c r="K47" i="1"/>
  <c r="X41" i="1"/>
  <c r="V107" i="8"/>
  <c r="J73" i="8"/>
  <c r="V7" i="1"/>
  <c r="S16" i="1"/>
  <c r="T66" i="8"/>
  <c r="K80" i="8"/>
  <c r="N10" i="1"/>
  <c r="P45" i="1"/>
  <c r="W56" i="1"/>
  <c r="K9" i="1"/>
  <c r="M102" i="8"/>
  <c r="Q16" i="1"/>
  <c r="M8" i="1"/>
  <c r="L103" i="8"/>
  <c r="X38" i="1"/>
  <c r="R67" i="8"/>
  <c r="P42" i="1"/>
  <c r="X40" i="1"/>
  <c r="N69" i="8"/>
  <c r="I3" i="1"/>
  <c r="X72" i="8"/>
  <c r="P76" i="8"/>
  <c r="V24" i="1"/>
  <c r="I78" i="8"/>
  <c r="Q65" i="8"/>
  <c r="V80" i="8"/>
  <c r="O53" i="1"/>
  <c r="X35" i="1"/>
  <c r="L58" i="8"/>
  <c r="M9" i="1"/>
  <c r="T23" i="1"/>
  <c r="I38" i="1"/>
  <c r="J108" i="8"/>
  <c r="M81" i="8"/>
  <c r="R87" i="8"/>
  <c r="J80" i="8"/>
  <c r="U79" i="8"/>
  <c r="P51" i="1"/>
  <c r="T77" i="8"/>
  <c r="U83" i="8"/>
  <c r="I106" i="8"/>
  <c r="X70" i="8"/>
  <c r="Q95" i="8"/>
  <c r="S18" i="1"/>
  <c r="K58" i="8"/>
  <c r="P44" i="1"/>
  <c r="J20" i="1"/>
  <c r="T8" i="1"/>
  <c r="N80" i="8"/>
  <c r="W54" i="1"/>
  <c r="J55" i="1"/>
  <c r="R97" i="8"/>
  <c r="Q63" i="8"/>
  <c r="O13" i="1"/>
  <c r="R72" i="8"/>
  <c r="U102" i="8"/>
  <c r="S10" i="1"/>
  <c r="W17" i="1"/>
  <c r="X67" i="8"/>
  <c r="T84" i="8"/>
  <c r="K36" i="1"/>
  <c r="R65" i="8"/>
  <c r="K44" i="1"/>
  <c r="S20" i="1"/>
  <c r="Y32" i="1"/>
  <c r="W55" i="1"/>
  <c r="M22" i="1"/>
  <c r="W103" i="8"/>
  <c r="S35" i="1"/>
  <c r="P62" i="8"/>
  <c r="T59" i="8"/>
  <c r="T18" i="1"/>
  <c r="Q61" i="8"/>
  <c r="L42" i="1"/>
  <c r="T93" i="8"/>
  <c r="N12" i="1"/>
  <c r="O17" i="1"/>
  <c r="K35" i="1"/>
  <c r="J52" i="1"/>
  <c r="W16" i="1"/>
  <c r="R88" i="8"/>
  <c r="M97" i="8"/>
  <c r="T74" i="8"/>
  <c r="J104" i="8"/>
  <c r="N2" i="1"/>
  <c r="V30" i="1"/>
  <c r="P21" i="1"/>
  <c r="K30" i="1"/>
  <c r="O91" i="8"/>
  <c r="P105" i="8"/>
  <c r="P100" i="8"/>
  <c r="V10" i="1"/>
  <c r="X27" i="1"/>
  <c r="P13" i="1"/>
  <c r="S26" i="1"/>
  <c r="I53" i="1"/>
  <c r="Y74" i="8"/>
  <c r="W62" i="8"/>
  <c r="X18" i="1"/>
  <c r="K106" i="8"/>
  <c r="N51" i="1"/>
  <c r="J107" i="8"/>
  <c r="X23" i="1"/>
  <c r="P25" i="1"/>
  <c r="O55" i="1"/>
  <c r="Q79" i="8"/>
  <c r="Q68" i="8"/>
  <c r="T81" i="8"/>
  <c r="W88" i="8"/>
  <c r="U3" i="1"/>
  <c r="K37" i="1"/>
  <c r="V96" i="8"/>
  <c r="T89" i="8"/>
  <c r="O14" i="1"/>
  <c r="L96" i="8"/>
  <c r="L88" i="8"/>
  <c r="W31" i="1"/>
  <c r="P70" i="8"/>
  <c r="J110" i="8"/>
  <c r="W23" i="1"/>
  <c r="N96" i="8"/>
  <c r="M55" i="1"/>
  <c r="J91" i="8"/>
  <c r="S111" i="8"/>
  <c r="R37" i="1"/>
  <c r="Y37" i="1"/>
  <c r="S75" i="8"/>
  <c r="R14" i="1"/>
  <c r="O77" i="8"/>
  <c r="X101" i="8"/>
  <c r="W28" i="1"/>
  <c r="Q77" i="8"/>
  <c r="Y98" i="8"/>
  <c r="X6" i="1"/>
  <c r="R63" i="8"/>
  <c r="I91" i="8"/>
  <c r="U55" i="1"/>
  <c r="I100" i="8"/>
  <c r="V33" i="1"/>
  <c r="J79" i="8"/>
  <c r="O19" i="1"/>
  <c r="Y81" i="8"/>
  <c r="O58" i="8"/>
  <c r="P87" i="8"/>
  <c r="O112" i="8"/>
  <c r="I20" i="1"/>
  <c r="V19" i="1"/>
  <c r="P4" i="1"/>
  <c r="P20" i="1"/>
  <c r="T14" i="1"/>
  <c r="M64" i="8"/>
  <c r="Y90" i="8"/>
  <c r="L14" i="1"/>
  <c r="Q72" i="8"/>
  <c r="U87" i="8"/>
  <c r="L112" i="8"/>
  <c r="O97" i="8"/>
  <c r="W5" i="1"/>
  <c r="M82" i="8"/>
  <c r="U32" i="1"/>
  <c r="L20" i="1"/>
  <c r="S101" i="8"/>
  <c r="L67" i="8"/>
  <c r="V16" i="1"/>
  <c r="K33" i="1"/>
  <c r="O51" i="1"/>
  <c r="M110" i="8"/>
  <c r="L84" i="8"/>
  <c r="K48" i="1"/>
  <c r="T111" i="8"/>
  <c r="P94" i="8"/>
  <c r="Y101" i="8"/>
  <c r="I103" i="8"/>
  <c r="U30" i="1"/>
  <c r="M54" i="1"/>
  <c r="V105" i="8"/>
  <c r="P112" i="8"/>
  <c r="W63" i="8"/>
  <c r="R54" i="1"/>
  <c r="I19" i="1"/>
  <c r="X52" i="1"/>
  <c r="R55" i="1"/>
  <c r="I56" i="1"/>
  <c r="N23" i="1"/>
  <c r="P88" i="8"/>
  <c r="L61" i="8"/>
  <c r="U84" i="8"/>
  <c r="S38" i="1"/>
  <c r="L86" i="8"/>
  <c r="P54" i="1"/>
  <c r="M16" i="1"/>
  <c r="U56" i="1"/>
  <c r="N88" i="8"/>
  <c r="N45" i="1"/>
  <c r="W92" i="8"/>
  <c r="X110" i="8"/>
  <c r="M103" i="8"/>
  <c r="J36" i="1"/>
  <c r="L6" i="1"/>
  <c r="N53" i="1"/>
  <c r="Q32" i="1"/>
  <c r="W73" i="8"/>
  <c r="L46" i="1"/>
  <c r="Q36" i="1"/>
  <c r="W107" i="8"/>
  <c r="T21" i="1"/>
  <c r="U63" i="8"/>
  <c r="O46" i="1"/>
  <c r="N95" i="8"/>
  <c r="R25" i="1"/>
  <c r="I63" i="8"/>
  <c r="I39" i="1"/>
  <c r="P74" i="8"/>
  <c r="M4" i="1"/>
  <c r="U42" i="1"/>
  <c r="Q5" i="1"/>
  <c r="M7" i="1"/>
  <c r="Y69" i="8"/>
  <c r="O100" i="8"/>
  <c r="S47" i="1"/>
  <c r="J81" i="8"/>
  <c r="M112" i="8"/>
  <c r="J106" i="8"/>
  <c r="R53" i="1"/>
  <c r="L24" i="1"/>
  <c r="S58" i="8"/>
  <c r="K77" i="8"/>
  <c r="O92" i="8"/>
  <c r="N28" i="1"/>
  <c r="T98" i="8"/>
  <c r="M38" i="1"/>
  <c r="S50" i="1"/>
  <c r="U16" i="1"/>
  <c r="J42" i="1"/>
  <c r="W112" i="8"/>
  <c r="X66" i="8"/>
  <c r="Q46" i="1"/>
  <c r="T35" i="1"/>
  <c r="Y18" i="1"/>
  <c r="T87" i="8"/>
  <c r="X108" i="8"/>
  <c r="O23" i="1"/>
  <c r="V2" i="1"/>
  <c r="N79" i="8"/>
  <c r="M35" i="1"/>
  <c r="Y49" i="1"/>
  <c r="Y77" i="8"/>
  <c r="S49" i="1"/>
  <c r="W91" i="8"/>
  <c r="J62" i="8"/>
  <c r="W25" i="1"/>
  <c r="P56" i="1"/>
  <c r="S34" i="1"/>
  <c r="L9" i="1"/>
  <c r="N108" i="8"/>
  <c r="Q73" i="8"/>
  <c r="V61" i="8"/>
  <c r="T17" i="1"/>
  <c r="N91" i="8"/>
  <c r="V39" i="1"/>
  <c r="M84" i="8"/>
  <c r="S93" i="8"/>
  <c r="V17" i="1"/>
  <c r="Y45" i="1"/>
  <c r="R106" i="8"/>
  <c r="N74" i="8"/>
  <c r="I52" i="1"/>
  <c r="T80" i="8"/>
  <c r="L89" i="8"/>
  <c r="S80" i="8"/>
  <c r="L45" i="1"/>
  <c r="P108" i="8"/>
  <c r="R107" i="8"/>
  <c r="W84" i="8"/>
  <c r="Y97" i="8"/>
  <c r="W93" i="8"/>
  <c r="N18" i="1"/>
  <c r="V104" i="8"/>
  <c r="V110" i="8"/>
  <c r="M5" i="1"/>
  <c r="U40" i="1"/>
  <c r="Y109" i="8"/>
  <c r="S72" i="8"/>
  <c r="S95" i="8"/>
  <c r="V62" i="8"/>
  <c r="V36" i="1"/>
  <c r="V90" i="8"/>
  <c r="L49" i="1"/>
  <c r="L94" i="8"/>
  <c r="O48" i="1"/>
  <c r="T40" i="1"/>
  <c r="W40" i="1"/>
  <c r="T4" i="1"/>
  <c r="X104" i="8"/>
  <c r="K49" i="1"/>
  <c r="P16" i="1"/>
  <c r="X59" i="8"/>
  <c r="M34" i="1"/>
  <c r="Q33" i="1"/>
  <c r="X39" i="1"/>
  <c r="Q111" i="8"/>
  <c r="W75" i="8"/>
  <c r="I107" i="8"/>
  <c r="K101" i="8"/>
  <c r="I35" i="1"/>
  <c r="I109" i="8"/>
  <c r="X19" i="1"/>
  <c r="Y84" i="8"/>
  <c r="Y103" i="8"/>
  <c r="N104" i="8"/>
  <c r="P86" i="8"/>
  <c r="Q6" i="1"/>
  <c r="X58" i="8"/>
  <c r="I65" i="8"/>
  <c r="U26" i="1"/>
  <c r="M53" i="1"/>
  <c r="S32" i="1"/>
  <c r="Q108" i="8"/>
  <c r="Y92" i="8"/>
  <c r="K63" i="8"/>
  <c r="Y91" i="8"/>
  <c r="N17" i="1"/>
  <c r="R61" i="8"/>
  <c r="Q34" i="1"/>
  <c r="R41" i="1"/>
  <c r="L62" i="8"/>
  <c r="W74" i="8"/>
  <c r="M30" i="1"/>
  <c r="V94" i="8"/>
  <c r="J83" i="8"/>
  <c r="Y38" i="1"/>
  <c r="Y10" i="1"/>
  <c r="V48" i="1"/>
  <c r="R82" i="8"/>
  <c r="V18" i="1"/>
  <c r="W80" i="8"/>
  <c r="Y53" i="1"/>
  <c r="Q109" i="8"/>
  <c r="T2" i="1"/>
  <c r="U72" i="8"/>
  <c r="Y28" i="1"/>
  <c r="O76" i="8"/>
  <c r="T60" i="8"/>
  <c r="V46" i="1"/>
  <c r="W51" i="1"/>
  <c r="X2" i="1"/>
  <c r="X31" i="1"/>
  <c r="O60" i="8"/>
  <c r="R10" i="1"/>
  <c r="T38" i="1"/>
  <c r="P79" i="8"/>
  <c r="Q60" i="8"/>
  <c r="L2" i="1"/>
  <c r="T79" i="8"/>
  <c r="X93" i="8"/>
  <c r="R7" i="1"/>
  <c r="U53" i="1"/>
  <c r="O103" i="8"/>
  <c r="U76" i="8"/>
  <c r="V93" i="8"/>
  <c r="M92" i="8"/>
  <c r="O108" i="8"/>
  <c r="S81" i="8"/>
  <c r="N64" i="8"/>
  <c r="W52" i="1"/>
  <c r="O26" i="1"/>
  <c r="K53" i="1"/>
  <c r="T70" i="8"/>
  <c r="W97" i="8"/>
  <c r="X96" i="8"/>
  <c r="V54" i="1"/>
  <c r="O27" i="1"/>
  <c r="Q70" i="8"/>
  <c r="X8" i="1"/>
  <c r="O52" i="1"/>
  <c r="L73" i="8"/>
  <c r="S59" i="8"/>
  <c r="P52" i="1"/>
  <c r="V49" i="1"/>
  <c r="N49" i="1"/>
  <c r="J33" i="1"/>
  <c r="X86" i="8"/>
  <c r="Y67" i="8"/>
  <c r="M91" i="8"/>
  <c r="J98" i="8"/>
  <c r="S89" i="8"/>
  <c r="S78" i="8"/>
  <c r="T33" i="1"/>
  <c r="Y48" i="1"/>
  <c r="Q76" i="8"/>
  <c r="L37" i="1"/>
  <c r="U69" i="8"/>
  <c r="K100" i="8"/>
  <c r="U6" i="1"/>
  <c r="M70" i="8"/>
  <c r="W24" i="1"/>
  <c r="N48" i="1"/>
  <c r="Q86" i="8"/>
  <c r="K7" i="1"/>
  <c r="T94" i="8"/>
  <c r="I73" i="8"/>
  <c r="Q89" i="8"/>
  <c r="K105" i="8"/>
  <c r="Q54" i="1"/>
  <c r="I10" i="1"/>
  <c r="Y66" i="8"/>
  <c r="K52" i="1"/>
  <c r="W108" i="8"/>
  <c r="Y19" i="1"/>
  <c r="O64" i="8"/>
  <c r="O88" i="8"/>
  <c r="J5" i="1"/>
  <c r="S54" i="1"/>
  <c r="I72" i="8"/>
  <c r="I42" i="1"/>
  <c r="I97" i="8"/>
  <c r="O98" i="8"/>
  <c r="V13" i="1"/>
  <c r="K39" i="1"/>
  <c r="X4" i="1"/>
  <c r="J105" i="8"/>
  <c r="S2" i="1"/>
  <c r="O16" i="1"/>
  <c r="O32" i="1"/>
  <c r="Y11" i="1"/>
  <c r="Y4" i="1"/>
  <c r="X68" i="8"/>
  <c r="N41" i="1"/>
  <c r="S90" i="8"/>
  <c r="W70" i="8"/>
  <c r="L65" i="8"/>
  <c r="W59" i="8"/>
  <c r="R9" i="1"/>
  <c r="I13" i="1"/>
  <c r="R110" i="8"/>
  <c r="U47" i="1"/>
  <c r="N72" i="8"/>
  <c r="S48" i="1"/>
  <c r="X83" i="8"/>
  <c r="T105" i="8"/>
  <c r="R93" i="8"/>
  <c r="U110" i="8"/>
  <c r="M17" i="1"/>
  <c r="W87" i="8"/>
  <c r="M27" i="1"/>
  <c r="Y40" i="1"/>
  <c r="P111" i="8"/>
  <c r="I82" i="8"/>
  <c r="K104" i="8"/>
  <c r="W58" i="8"/>
  <c r="W8" i="1"/>
  <c r="K91" i="8"/>
  <c r="L93" i="8"/>
  <c r="U35" i="1"/>
  <c r="V8" i="1"/>
  <c r="X49" i="1"/>
  <c r="O68" i="8"/>
  <c r="N58" i="8"/>
  <c r="S84" i="8"/>
  <c r="U10" i="1"/>
  <c r="P31" i="1"/>
  <c r="T54" i="1"/>
  <c r="K110" i="8"/>
  <c r="P3" i="1"/>
  <c r="I45" i="1"/>
  <c r="Y87" i="8"/>
  <c r="P48" i="1"/>
  <c r="J95" i="8"/>
  <c r="X79" i="8"/>
  <c r="P77" i="8"/>
  <c r="X14" i="1"/>
  <c r="K68" i="8"/>
  <c r="I48" i="1"/>
  <c r="U45" i="1"/>
  <c r="N103" i="8"/>
  <c r="Q39" i="1"/>
  <c r="J47" i="1"/>
  <c r="S69" i="8"/>
  <c r="O56" i="1"/>
  <c r="Y68" i="8"/>
  <c r="M28" i="1"/>
  <c r="K28" i="1"/>
  <c r="U51" i="1"/>
  <c r="T34" i="1"/>
  <c r="Q84" i="8"/>
  <c r="I11" i="1"/>
  <c r="P78" i="8"/>
  <c r="J76" i="8"/>
  <c r="R12" i="1"/>
  <c r="U37" i="1"/>
  <c r="S39" i="1"/>
  <c r="Q93" i="8"/>
  <c r="W9" i="1"/>
  <c r="K19" i="1"/>
  <c r="P32" i="1"/>
  <c r="Y110" i="8"/>
  <c r="J44" i="1"/>
  <c r="V53" i="1"/>
  <c r="J56" i="1"/>
  <c r="R83" i="8"/>
  <c r="N97" i="8"/>
  <c r="O82" i="8"/>
  <c r="O7" i="1"/>
  <c r="P83" i="8"/>
  <c r="O35" i="1"/>
  <c r="U49" i="1"/>
  <c r="O63" i="8"/>
  <c r="T112" i="8"/>
  <c r="Y58" i="8"/>
  <c r="U44" i="1"/>
  <c r="W19" i="1"/>
  <c r="R76" i="8"/>
  <c r="S37" i="1"/>
  <c r="T55" i="1"/>
  <c r="Y79" i="8"/>
  <c r="J37" i="1"/>
  <c r="X112" i="8"/>
  <c r="I14" i="1"/>
  <c r="O61" i="8"/>
  <c r="I93" i="8"/>
  <c r="T32" i="1"/>
  <c r="O6" i="1"/>
  <c r="Y61" i="8"/>
  <c r="Y111" i="8"/>
  <c r="S76" i="8"/>
  <c r="R16" i="1"/>
  <c r="V40" i="1"/>
  <c r="J65" i="8"/>
  <c r="W106" i="8"/>
  <c r="M108" i="8"/>
  <c r="M13" i="1"/>
  <c r="O38" i="1"/>
  <c r="W38" i="1"/>
  <c r="M42" i="1"/>
  <c r="Q2" i="1"/>
  <c r="Q4" i="1"/>
  <c r="P22" i="1"/>
  <c r="O22" i="1"/>
  <c r="P6" i="1"/>
  <c r="Q91" i="8"/>
  <c r="V103" i="8"/>
  <c r="W109" i="8"/>
  <c r="N38" i="1"/>
  <c r="O45" i="1"/>
  <c r="Q10" i="1"/>
  <c r="J25" i="1"/>
  <c r="S97" i="8"/>
  <c r="K42" i="1"/>
  <c r="L63" i="8"/>
  <c r="Q81" i="8"/>
  <c r="V73" i="8"/>
  <c r="N106" i="8"/>
  <c r="U7" i="1"/>
  <c r="W10" i="1"/>
  <c r="Q9" i="1"/>
  <c r="X109" i="8"/>
  <c r="N54" i="1"/>
  <c r="J30" i="1"/>
  <c r="J22" i="1"/>
  <c r="R39" i="1"/>
  <c r="K2" i="1"/>
  <c r="T90" i="8"/>
  <c r="J12" i="1"/>
  <c r="R50" i="1"/>
  <c r="Y59" i="8"/>
  <c r="Y51" i="1"/>
  <c r="N73" i="8"/>
  <c r="N66" i="8"/>
  <c r="O69" i="8"/>
  <c r="M14" i="1"/>
  <c r="P53" i="1"/>
  <c r="U4" i="1"/>
  <c r="J75" i="8"/>
  <c r="Q30" i="1"/>
  <c r="R75" i="8"/>
  <c r="I44" i="1"/>
  <c r="K26" i="1"/>
  <c r="R98" i="8"/>
  <c r="V9" i="1"/>
  <c r="V41" i="1"/>
  <c r="O28" i="1"/>
  <c r="U9" i="1"/>
  <c r="Q92" i="8"/>
  <c r="U109" i="8"/>
  <c r="K83" i="8"/>
  <c r="R79" i="8"/>
  <c r="X91" i="8"/>
  <c r="Y75" i="8"/>
  <c r="Y13" i="1"/>
  <c r="Y20" i="1"/>
  <c r="L35" i="1"/>
  <c r="N7" i="1"/>
  <c r="N14" i="1"/>
  <c r="M96" i="8"/>
  <c r="P64" i="8"/>
  <c r="M76" i="8"/>
  <c r="U89" i="8"/>
  <c r="J3" i="1"/>
  <c r="O83" i="8"/>
  <c r="L77" i="8"/>
  <c r="W48" i="1"/>
  <c r="S22" i="1"/>
  <c r="P104" i="8"/>
  <c r="P101" i="8"/>
  <c r="W47" i="1"/>
  <c r="N111" i="8"/>
  <c r="S108" i="8"/>
  <c r="L92" i="8"/>
  <c r="I36" i="1"/>
  <c r="S17" i="1"/>
  <c r="P2" i="1"/>
  <c r="U97" i="8"/>
  <c r="Q37" i="1"/>
  <c r="X22" i="1"/>
  <c r="L82" i="8"/>
  <c r="L33" i="1"/>
  <c r="I111" i="8"/>
  <c r="W89" i="8"/>
  <c r="W27" i="1"/>
  <c r="R69" i="8"/>
  <c r="R48" i="1"/>
  <c r="O12" i="1"/>
  <c r="V98" i="8"/>
  <c r="O65" i="8"/>
  <c r="N75" i="8"/>
  <c r="U93" i="8"/>
  <c r="Y105" i="8"/>
  <c r="V31" i="1"/>
  <c r="O70" i="8"/>
  <c r="I95" i="8"/>
  <c r="K112" i="8"/>
  <c r="V47" i="1"/>
  <c r="M78" i="8"/>
  <c r="P26" i="1"/>
  <c r="J46" i="1"/>
  <c r="L111" i="8"/>
  <c r="R108" i="8"/>
  <c r="L48" i="1"/>
  <c r="Y23" i="1"/>
  <c r="T96" i="8"/>
  <c r="W49" i="1"/>
  <c r="T103" i="8"/>
  <c r="V63" i="8"/>
  <c r="P81" i="8"/>
  <c r="X10" i="1"/>
  <c r="T95" i="8"/>
  <c r="P68" i="8"/>
  <c r="N68" i="8"/>
  <c r="T107" i="8"/>
  <c r="P14" i="1"/>
  <c r="J87" i="8"/>
  <c r="P72" i="8"/>
  <c r="R52" i="1"/>
  <c r="S74" i="8"/>
  <c r="Y33" i="1"/>
  <c r="R6" i="1"/>
  <c r="N22" i="1"/>
  <c r="O86" i="8"/>
  <c r="M67" i="8"/>
  <c r="V52" i="1"/>
  <c r="R89" i="8"/>
  <c r="T88" i="8"/>
  <c r="I112" i="8"/>
  <c r="Q11" i="1"/>
  <c r="R5" i="1"/>
  <c r="N89" i="8"/>
  <c r="I89" i="8"/>
  <c r="K8" i="1"/>
  <c r="X88" i="8"/>
  <c r="J17" i="1"/>
  <c r="U64" i="8"/>
  <c r="K55" i="1"/>
  <c r="X21" i="1"/>
  <c r="M33" i="1"/>
  <c r="R84" i="8"/>
  <c r="L12" i="1"/>
  <c r="L109" i="8"/>
  <c r="V109" i="8"/>
  <c r="N67" i="8"/>
  <c r="K75" i="8"/>
  <c r="O111" i="8"/>
  <c r="Y104" i="8"/>
  <c r="S27" i="1"/>
  <c r="U11" i="1"/>
  <c r="I86" i="8"/>
  <c r="P7" i="1"/>
  <c r="P37" i="1"/>
  <c r="T50" i="1"/>
  <c r="J78" i="8"/>
  <c r="K84" i="8"/>
  <c r="T83" i="8"/>
  <c r="R105" i="8"/>
  <c r="J40" i="1"/>
  <c r="K102" i="8"/>
  <c r="R20" i="1"/>
  <c r="M3" i="1"/>
  <c r="X51" i="1"/>
  <c r="Q42" i="1"/>
  <c r="K40" i="1"/>
  <c r="L28" i="1"/>
  <c r="P75" i="8"/>
  <c r="S94" i="8"/>
  <c r="R66" i="8"/>
  <c r="Q3" i="1"/>
  <c r="J102" i="8"/>
  <c r="L78" i="8"/>
  <c r="J94" i="8"/>
  <c r="Y25" i="1"/>
  <c r="Y95" i="8"/>
  <c r="I26" i="1"/>
  <c r="T100" i="8"/>
  <c r="M25" i="1"/>
  <c r="L34" i="1"/>
  <c r="P23" i="1"/>
  <c r="U104" i="8"/>
  <c r="P102" i="8"/>
  <c r="V60" i="8"/>
  <c r="M52" i="1"/>
  <c r="M12" i="1"/>
  <c r="M77" i="8"/>
  <c r="T108" i="8"/>
  <c r="L60" i="8"/>
  <c r="V75" i="8"/>
  <c r="W100" i="8"/>
  <c r="K51" i="1"/>
  <c r="X80" i="8"/>
  <c r="X75" i="8"/>
  <c r="Y47" i="1"/>
  <c r="Y22" i="1"/>
  <c r="P46" i="1"/>
  <c r="J28" i="1"/>
  <c r="S55" i="1"/>
  <c r="V76" i="8"/>
  <c r="S79" i="8"/>
  <c r="V50" i="1"/>
  <c r="S30" i="1"/>
  <c r="M36" i="1"/>
  <c r="S92" i="8"/>
  <c r="J72" i="8"/>
  <c r="Q66" i="8"/>
  <c r="X50" i="1"/>
  <c r="P109" i="8"/>
  <c r="J90" i="8"/>
  <c r="W72" i="8"/>
  <c r="W64" i="8"/>
  <c r="V100" i="8"/>
  <c r="I64" i="8"/>
  <c r="Q50" i="1"/>
  <c r="T91" i="8"/>
  <c r="N55" i="1"/>
  <c r="N3" i="1"/>
  <c r="O21" i="1"/>
  <c r="M19" i="1"/>
  <c r="L98" i="8"/>
  <c r="I68" i="8"/>
  <c r="Y56" i="1"/>
  <c r="I25" i="1"/>
  <c r="M37" i="1"/>
  <c r="N90" i="8"/>
  <c r="P17" i="1"/>
  <c r="N21" i="1"/>
  <c r="Y26" i="1"/>
  <c r="L10" i="1"/>
  <c r="W78" i="8"/>
  <c r="Q18" i="1"/>
  <c r="V77" i="8"/>
  <c r="T86" i="8"/>
  <c r="Y76" i="8"/>
  <c r="Y94" i="8"/>
  <c r="Q7" i="1"/>
  <c r="M62" i="8"/>
  <c r="J93" i="8"/>
  <c r="N81" i="8"/>
  <c r="N60" i="8"/>
  <c r="R78" i="8"/>
  <c r="R19" i="1"/>
  <c r="Y35" i="1"/>
  <c r="Q59" i="8"/>
  <c r="R90" i="8"/>
  <c r="L108" i="8"/>
  <c r="S77" i="8"/>
  <c r="W2" i="1"/>
  <c r="U92" i="8"/>
  <c r="P27" i="1"/>
  <c r="M24" i="1"/>
  <c r="Q56" i="1"/>
  <c r="V88" i="8"/>
  <c r="M109" i="8"/>
  <c r="R13" i="1"/>
  <c r="O74" i="8"/>
  <c r="O95" i="8"/>
  <c r="L101" i="8"/>
  <c r="Y14" i="1"/>
  <c r="K111" i="8"/>
  <c r="X100" i="8"/>
  <c r="Y88" i="8"/>
  <c r="S4" i="1"/>
  <c r="L18" i="1"/>
  <c r="X45" i="1"/>
  <c r="I6" i="1"/>
  <c r="U96" i="8"/>
  <c r="K92" i="8"/>
  <c r="V78" i="8"/>
  <c r="T104" i="8"/>
  <c r="W33" i="1"/>
  <c r="U94" i="8"/>
  <c r="U70" i="8"/>
  <c r="V108" i="8"/>
  <c r="N44" i="1"/>
  <c r="Y86" i="8"/>
  <c r="P69" i="8"/>
  <c r="Q53" i="1"/>
  <c r="V65" i="8"/>
  <c r="O9" i="1"/>
  <c r="O54" i="1"/>
  <c r="M18" i="1"/>
  <c r="R102" i="8"/>
  <c r="J19" i="1"/>
  <c r="K25" i="1"/>
  <c r="J92" i="8"/>
  <c r="I24" i="1"/>
  <c r="X13" i="1"/>
  <c r="M75" i="8"/>
  <c r="R34" i="1"/>
  <c r="M72" i="8"/>
  <c r="M105" i="8"/>
  <c r="J10" i="1"/>
  <c r="Q69" i="8"/>
  <c r="R91" i="8"/>
  <c r="P39" i="1"/>
  <c r="R77" i="8"/>
  <c r="K23" i="1"/>
  <c r="R92" i="8"/>
  <c r="Y3" i="1"/>
  <c r="S52" i="1"/>
  <c r="V4" i="1"/>
  <c r="M111" i="8"/>
  <c r="Y44" i="1"/>
  <c r="S102" i="8"/>
  <c r="Q104" i="8"/>
  <c r="N16" i="1"/>
  <c r="W20" i="1"/>
  <c r="J112" i="8"/>
  <c r="X48" i="1"/>
  <c r="Q102" i="8"/>
  <c r="T24" i="1"/>
  <c r="K79" i="8"/>
  <c r="O33" i="1"/>
  <c r="P91" i="8"/>
  <c r="X102" i="8"/>
  <c r="V14" i="1"/>
  <c r="K38" i="1"/>
  <c r="T51" i="1"/>
  <c r="X103" i="8"/>
  <c r="Y107" i="8"/>
  <c r="U105" i="8"/>
  <c r="S41" i="1"/>
  <c r="K50" i="1"/>
  <c r="V59" i="8"/>
  <c r="W21" i="1"/>
  <c r="I94" i="8"/>
  <c r="U68" i="8"/>
  <c r="I21" i="1"/>
  <c r="M98" i="8"/>
  <c r="K95" i="8"/>
  <c r="L17" i="1"/>
  <c r="W82" i="8"/>
  <c r="S83" i="8"/>
  <c r="Q98" i="8"/>
  <c r="K78" i="8"/>
  <c r="U28" i="1"/>
  <c r="I40" i="1"/>
  <c r="Y82" i="8"/>
  <c r="I70" i="8"/>
  <c r="P59" i="8"/>
  <c r="K41" i="1"/>
  <c r="T45" i="1"/>
  <c r="R4" i="1"/>
  <c r="Y93" i="8"/>
  <c r="I41" i="1"/>
  <c r="K27" i="1"/>
  <c r="O11" i="1"/>
  <c r="V37" i="1"/>
  <c r="X77" i="8"/>
  <c r="W12" i="1"/>
  <c r="I101" i="8"/>
  <c r="O101" i="8"/>
  <c r="Y24" i="1"/>
  <c r="L38" i="1"/>
  <c r="S66" i="8"/>
  <c r="L64" i="8"/>
  <c r="X90" i="8"/>
  <c r="J14" i="1"/>
  <c r="S40" i="1"/>
  <c r="J2" i="1"/>
  <c r="Q23" i="1"/>
  <c r="N36" i="1"/>
  <c r="J26" i="1"/>
  <c r="J63" i="8"/>
  <c r="K87" i="8"/>
  <c r="P66" i="8"/>
  <c r="J59" i="8"/>
  <c r="R70" i="8"/>
  <c r="R35" i="1"/>
  <c r="P65" i="8"/>
  <c r="K98" i="8"/>
  <c r="X97" i="8"/>
  <c r="I77" i="8"/>
  <c r="V83" i="8"/>
  <c r="T3" i="1"/>
  <c r="J38" i="1"/>
  <c r="Y89" i="8"/>
  <c r="U65" i="8"/>
  <c r="U41" i="1"/>
  <c r="Q96" i="8"/>
  <c r="O3" i="1"/>
  <c r="Y31" i="1"/>
  <c r="R96" i="8"/>
  <c r="J32" i="1"/>
  <c r="N35" i="1"/>
  <c r="Y83" i="8"/>
  <c r="X33" i="1"/>
  <c r="T97" i="8"/>
  <c r="Y54" i="1"/>
  <c r="O94" i="8"/>
  <c r="J41" i="1"/>
  <c r="R58" i="8"/>
  <c r="U82" i="8"/>
  <c r="X44" i="1"/>
  <c r="U13" i="1"/>
  <c r="K82" i="8"/>
  <c r="K31" i="1"/>
  <c r="L107" i="8"/>
  <c r="X89" i="8"/>
  <c r="T78" i="8"/>
  <c r="M50" i="1"/>
  <c r="X98" i="8"/>
  <c r="W83" i="8"/>
  <c r="O40" i="1"/>
  <c r="W4" i="1"/>
  <c r="X3" i="1"/>
  <c r="W13" i="1"/>
  <c r="J11" i="1"/>
  <c r="N105" i="8"/>
  <c r="I55" i="1"/>
  <c r="T41" i="1"/>
  <c r="U33" i="1"/>
  <c r="M41" i="1"/>
  <c r="V97" i="8"/>
  <c r="V5" i="1"/>
  <c r="L41" i="1"/>
  <c r="M11" i="1"/>
  <c r="T73" i="8"/>
  <c r="P63" i="8"/>
  <c r="W90" i="8"/>
  <c r="V64" i="8"/>
  <c r="U108" i="8"/>
  <c r="U100" i="8"/>
  <c r="T62" i="8"/>
  <c r="O81" i="8"/>
  <c r="V74" i="8"/>
  <c r="N110" i="8"/>
  <c r="O109" i="8"/>
  <c r="R103" i="8"/>
  <c r="X61" i="8"/>
  <c r="V102" i="8"/>
  <c r="S82" i="8"/>
  <c r="K96" i="8"/>
  <c r="J82" i="8"/>
  <c r="K22" i="1"/>
  <c r="I102" i="8"/>
  <c r="K46" i="1"/>
  <c r="X82" i="8"/>
  <c r="R104" i="8"/>
  <c r="U22" i="1"/>
  <c r="O31" i="1"/>
  <c r="W50" i="1"/>
  <c r="J54" i="1"/>
  <c r="U61" i="8"/>
  <c r="N100" i="8"/>
  <c r="Q112" i="8"/>
  <c r="Y108" i="8"/>
  <c r="V21" i="1"/>
  <c r="X16" i="1"/>
  <c r="U58" i="8"/>
  <c r="K81" i="8"/>
  <c r="W32" i="1"/>
  <c r="U23" i="1"/>
  <c r="N98" i="8"/>
  <c r="Q106" i="8"/>
  <c r="J35" i="1"/>
  <c r="R112" i="8"/>
  <c r="Y102" i="8"/>
  <c r="K93" i="8"/>
  <c r="K11" i="1"/>
  <c r="I22" i="1"/>
  <c r="S45" i="1"/>
  <c r="W39" i="1"/>
  <c r="K108" i="8"/>
  <c r="O73" i="8"/>
  <c r="T31" i="1"/>
  <c r="I69" i="8"/>
  <c r="L4" i="1"/>
  <c r="Y80" i="8"/>
  <c r="K34" i="1"/>
  <c r="T36" i="1"/>
  <c r="V44" i="1"/>
  <c r="M65" i="8"/>
  <c r="W69" i="8"/>
  <c r="I49" i="1"/>
  <c r="Q103" i="8"/>
  <c r="W110" i="8"/>
  <c r="S88" i="8"/>
  <c r="S65" i="8"/>
  <c r="R42" i="1"/>
  <c r="P50" i="1"/>
  <c r="W6" i="1"/>
  <c r="X81" i="8"/>
  <c r="R59" i="8"/>
  <c r="Q52" i="1"/>
  <c r="O67" i="8"/>
  <c r="V69" i="8"/>
  <c r="P41" i="1"/>
  <c r="K21" i="1"/>
  <c r="M32" i="1"/>
  <c r="R27" i="1"/>
  <c r="U90" i="8"/>
  <c r="I47" i="1"/>
  <c r="Y64" i="8"/>
  <c r="L87" i="8"/>
  <c r="I31" i="1"/>
  <c r="L106" i="8"/>
  <c r="T42" i="1"/>
  <c r="L81" i="8"/>
  <c r="Q82" i="8"/>
  <c r="P80" i="8"/>
  <c r="N6" i="1"/>
  <c r="S60" i="8"/>
  <c r="Y5" i="1"/>
  <c r="U14" i="1"/>
  <c r="M61" i="8"/>
  <c r="R32" i="1"/>
  <c r="V89" i="8"/>
  <c r="I87" i="8"/>
  <c r="S11" i="1"/>
  <c r="N63" i="8"/>
  <c r="Y112" i="8"/>
  <c r="M47" i="1"/>
  <c r="W102" i="8"/>
  <c r="R51" i="1"/>
  <c r="Y63" i="8"/>
  <c r="I62" i="8"/>
  <c r="Q94" i="8"/>
  <c r="R3" i="1"/>
  <c r="I46" i="1"/>
  <c r="U54" i="1"/>
  <c r="P18" i="1"/>
  <c r="I30" i="1"/>
  <c r="I54" i="1"/>
  <c r="K56" i="1"/>
  <c r="W22" i="1"/>
  <c r="U5" i="1"/>
  <c r="W46" i="1"/>
  <c r="L11" i="1"/>
  <c r="S23" i="1"/>
  <c r="Y106" i="8"/>
  <c r="W79" i="8"/>
  <c r="O72" i="8"/>
  <c r="U91" i="8"/>
  <c r="L69" i="8"/>
  <c r="L52" i="1"/>
  <c r="O89" i="8"/>
  <c r="P93" i="8"/>
  <c r="Q25" i="1"/>
  <c r="J53" i="1"/>
  <c r="N33" i="1"/>
  <c r="L31" i="1"/>
  <c r="X42" i="1"/>
  <c r="R111" i="8"/>
  <c r="P28" i="1"/>
  <c r="R68" i="8"/>
  <c r="Q45" i="1"/>
  <c r="I33" i="1"/>
  <c r="T44" i="1"/>
  <c r="P84" i="8"/>
  <c r="W44" i="1"/>
  <c r="O5" i="1"/>
  <c r="X25" i="1"/>
  <c r="J61" i="8"/>
  <c r="J60" i="8"/>
  <c r="L100" i="8"/>
  <c r="M79" i="8"/>
  <c r="Y41" i="1"/>
  <c r="I61" i="8"/>
  <c r="L55" i="1"/>
  <c r="M66" i="8"/>
  <c r="R74" i="8"/>
  <c r="L21" i="1"/>
  <c r="N93" i="8"/>
  <c r="Y36" i="1"/>
  <c r="S12" i="1"/>
  <c r="R28" i="1"/>
  <c r="P97" i="8"/>
  <c r="T49" i="1"/>
  <c r="P60" i="8"/>
  <c r="I81" i="8"/>
  <c r="M90" i="8"/>
  <c r="L22" i="1"/>
  <c r="U34" i="1"/>
  <c r="L74" i="8"/>
  <c r="O2" i="1"/>
  <c r="M20" i="1"/>
  <c r="N112" i="8"/>
  <c r="V12" i="1"/>
  <c r="V45" i="1"/>
  <c r="K74" i="8"/>
  <c r="N62" i="8"/>
  <c r="I4" i="1"/>
  <c r="S5" i="1"/>
  <c r="M83" i="8"/>
  <c r="M21" i="1"/>
  <c r="J84" i="8"/>
  <c r="T37" i="1"/>
  <c r="J96" i="8"/>
  <c r="W96" i="8"/>
  <c r="N26" i="1"/>
  <c r="M49" i="1"/>
  <c r="U86" i="8"/>
  <c r="J24" i="1"/>
  <c r="Q78" i="8"/>
  <c r="T76" i="8"/>
  <c r="P35" i="1"/>
  <c r="L13" i="1"/>
  <c r="K60" i="8"/>
  <c r="O102" i="8"/>
  <c r="I105" i="8"/>
  <c r="L97" i="8"/>
  <c r="M89" i="8"/>
  <c r="W81" i="8"/>
  <c r="J23" i="1"/>
  <c r="J23" i="8" l="1"/>
  <c r="L13" i="8"/>
  <c r="P35" i="8"/>
  <c r="J24" i="8"/>
  <c r="M49" i="8"/>
  <c r="N26" i="8"/>
  <c r="T37" i="8"/>
  <c r="M21" i="8"/>
  <c r="S5" i="8"/>
  <c r="I4" i="8"/>
  <c r="V45" i="8"/>
  <c r="V12" i="8"/>
  <c r="M20" i="8"/>
  <c r="O2" i="8"/>
  <c r="U34" i="8"/>
  <c r="L22" i="8"/>
  <c r="T49" i="8"/>
  <c r="R28" i="8"/>
  <c r="S12" i="8"/>
  <c r="Y36" i="8"/>
  <c r="L21" i="8"/>
  <c r="L55" i="8"/>
  <c r="Y41" i="8"/>
  <c r="X25" i="8"/>
  <c r="O5" i="8"/>
  <c r="W44" i="8"/>
  <c r="T44" i="8"/>
  <c r="I33" i="8"/>
  <c r="Q45" i="8"/>
  <c r="P28" i="8"/>
  <c r="X42" i="8"/>
  <c r="L31" i="8"/>
  <c r="N33" i="8"/>
  <c r="J53" i="8"/>
  <c r="Q25" i="8"/>
  <c r="L52" i="8"/>
  <c r="S23" i="8"/>
  <c r="L11" i="8"/>
  <c r="W46" i="8"/>
  <c r="U5" i="8"/>
  <c r="W22" i="8"/>
  <c r="K56" i="8"/>
  <c r="I54" i="8"/>
  <c r="I30" i="8"/>
  <c r="P18" i="8"/>
  <c r="U54" i="8"/>
  <c r="I46" i="8"/>
  <c r="R3" i="8"/>
  <c r="R51" i="8"/>
  <c r="M47" i="8"/>
  <c r="S11" i="8"/>
  <c r="R32" i="8"/>
  <c r="U14" i="8"/>
  <c r="Y5" i="8"/>
  <c r="N6" i="8"/>
  <c r="T42" i="8"/>
  <c r="I31" i="8"/>
  <c r="I47" i="8"/>
  <c r="R27" i="8"/>
  <c r="M32" i="8"/>
  <c r="K21" i="8"/>
  <c r="P41" i="8"/>
  <c r="Q52" i="8"/>
  <c r="W6" i="8"/>
  <c r="P50" i="8"/>
  <c r="R42" i="8"/>
  <c r="I49" i="8"/>
  <c r="V44" i="8"/>
  <c r="T36" i="8"/>
  <c r="K34" i="8"/>
  <c r="L4" i="8"/>
  <c r="T31" i="8"/>
  <c r="W39" i="8"/>
  <c r="S45" i="8"/>
  <c r="I22" i="8"/>
  <c r="K11" i="8"/>
  <c r="J35" i="8"/>
  <c r="U23" i="8"/>
  <c r="W32" i="8"/>
  <c r="X16" i="8"/>
  <c r="V21" i="8"/>
  <c r="J54" i="8"/>
  <c r="W50" i="8"/>
  <c r="O31" i="8"/>
  <c r="U22" i="8"/>
  <c r="K46" i="8"/>
  <c r="K22" i="8"/>
  <c r="M11" i="8"/>
  <c r="L41" i="8"/>
  <c r="V5" i="8"/>
  <c r="M41" i="8"/>
  <c r="U33" i="8"/>
  <c r="T41" i="8"/>
  <c r="I55" i="8"/>
  <c r="J11" i="8"/>
  <c r="W13" i="8"/>
  <c r="X3" i="8"/>
  <c r="W4" i="8"/>
  <c r="O40" i="8"/>
  <c r="M50" i="8"/>
  <c r="K31" i="8"/>
  <c r="U13" i="8"/>
  <c r="X44" i="8"/>
  <c r="J41" i="8"/>
  <c r="Y54" i="8"/>
  <c r="X33" i="8"/>
  <c r="N35" i="8"/>
  <c r="J32" i="8"/>
  <c r="Y31" i="8"/>
  <c r="O3" i="8"/>
  <c r="U41" i="8"/>
  <c r="J38" i="8"/>
  <c r="T3" i="8"/>
  <c r="R35" i="8"/>
  <c r="J26" i="8"/>
  <c r="N36" i="8"/>
  <c r="Q23" i="8"/>
  <c r="J2" i="8"/>
  <c r="S40" i="8"/>
  <c r="J14" i="8"/>
  <c r="L38" i="8"/>
  <c r="Y24" i="8"/>
  <c r="W12" i="8"/>
  <c r="V37" i="8"/>
  <c r="O11" i="8"/>
  <c r="K27" i="8"/>
  <c r="I41" i="8"/>
  <c r="R4" i="8"/>
  <c r="T45" i="8"/>
  <c r="K41" i="8"/>
  <c r="I40" i="8"/>
  <c r="U28" i="8"/>
  <c r="L17" i="8"/>
  <c r="I21" i="8"/>
  <c r="W21" i="8"/>
  <c r="K50" i="8"/>
  <c r="S41" i="8"/>
  <c r="T51" i="8"/>
  <c r="K38" i="8"/>
  <c r="V14" i="8"/>
  <c r="O33" i="8"/>
  <c r="T24" i="8"/>
  <c r="X48" i="8"/>
  <c r="W20" i="8"/>
  <c r="N16" i="8"/>
  <c r="Y44" i="8"/>
  <c r="V4" i="8"/>
  <c r="S52" i="8"/>
  <c r="Y3" i="8"/>
  <c r="K23" i="8"/>
  <c r="P39" i="8"/>
  <c r="J10" i="8"/>
  <c r="R34" i="8"/>
  <c r="X13" i="8"/>
  <c r="I24" i="8"/>
  <c r="K25" i="8"/>
  <c r="J19" i="8"/>
  <c r="M18" i="8"/>
  <c r="O54" i="8"/>
  <c r="O9" i="8"/>
  <c r="Q53" i="8"/>
  <c r="N44" i="8"/>
  <c r="W33" i="8"/>
  <c r="I6" i="8"/>
  <c r="X45" i="8"/>
  <c r="L18" i="8"/>
  <c r="S4" i="8"/>
  <c r="Y14" i="8"/>
  <c r="R13" i="8"/>
  <c r="Q56" i="8"/>
  <c r="M24" i="8"/>
  <c r="P27" i="8"/>
  <c r="W2" i="8"/>
  <c r="Y35" i="8"/>
  <c r="R19" i="8"/>
  <c r="Q7" i="8"/>
  <c r="Q18" i="8"/>
  <c r="L10" i="8"/>
  <c r="Y26" i="8"/>
  <c r="N21" i="8"/>
  <c r="P17" i="8"/>
  <c r="M37" i="8"/>
  <c r="I25" i="8"/>
  <c r="Y56" i="8"/>
  <c r="M19" i="8"/>
  <c r="O21" i="8"/>
  <c r="N3" i="8"/>
  <c r="N55" i="8"/>
  <c r="Q50" i="8"/>
  <c r="X50" i="8"/>
  <c r="M36" i="8"/>
  <c r="S30" i="8"/>
  <c r="V50" i="8"/>
  <c r="S55" i="8"/>
  <c r="J28" i="8"/>
  <c r="P46" i="8"/>
  <c r="Y22" i="8"/>
  <c r="Y47" i="8"/>
  <c r="K51" i="8"/>
  <c r="M12" i="8"/>
  <c r="M52" i="8"/>
  <c r="P23" i="8"/>
  <c r="L34" i="8"/>
  <c r="M25" i="8"/>
  <c r="I26" i="8"/>
  <c r="Y25" i="8"/>
  <c r="Q3" i="8"/>
  <c r="L28" i="8"/>
  <c r="K40" i="8"/>
  <c r="Q42" i="8"/>
  <c r="X51" i="8"/>
  <c r="M3" i="8"/>
  <c r="R20" i="8"/>
  <c r="J40" i="8"/>
  <c r="T50" i="8"/>
  <c r="P37" i="8"/>
  <c r="P7" i="8"/>
  <c r="U11" i="8"/>
  <c r="S27" i="8"/>
  <c r="L12" i="8"/>
  <c r="M33" i="8"/>
  <c r="X21" i="8"/>
  <c r="K55" i="8"/>
  <c r="J17" i="8"/>
  <c r="K8" i="8"/>
  <c r="R5" i="8"/>
  <c r="Q11" i="8"/>
  <c r="V52" i="8"/>
  <c r="N22" i="8"/>
  <c r="R6" i="8"/>
  <c r="Y33" i="8"/>
  <c r="R52" i="8"/>
  <c r="P14" i="8"/>
  <c r="X10" i="8"/>
  <c r="W49" i="8"/>
  <c r="Y23" i="8"/>
  <c r="L48" i="8"/>
  <c r="J46" i="8"/>
  <c r="P26" i="8"/>
  <c r="V47" i="8"/>
  <c r="V31" i="8"/>
  <c r="O12" i="8"/>
  <c r="R48" i="8"/>
  <c r="W27" i="8"/>
  <c r="L33" i="8"/>
  <c r="X22" i="8"/>
  <c r="Q37" i="8"/>
  <c r="P2" i="8"/>
  <c r="S17" i="8"/>
  <c r="I36" i="8"/>
  <c r="W47" i="8"/>
  <c r="S22" i="8"/>
  <c r="W48" i="8"/>
  <c r="J3" i="8"/>
  <c r="N14" i="8"/>
  <c r="N7" i="8"/>
  <c r="L35" i="8"/>
  <c r="Y20" i="8"/>
  <c r="Y13" i="8"/>
  <c r="U9" i="8"/>
  <c r="O28" i="8"/>
  <c r="V41" i="8"/>
  <c r="V9" i="8"/>
  <c r="K26" i="8"/>
  <c r="I44" i="8"/>
  <c r="Q30" i="8"/>
  <c r="U4" i="8"/>
  <c r="P53" i="8"/>
  <c r="M14" i="8"/>
  <c r="Y51" i="8"/>
  <c r="R50" i="8"/>
  <c r="J12" i="8"/>
  <c r="K2" i="8"/>
  <c r="R39" i="8"/>
  <c r="J22" i="8"/>
  <c r="J30" i="8"/>
  <c r="N54" i="8"/>
  <c r="Q9" i="8"/>
  <c r="W10" i="8"/>
  <c r="U7" i="8"/>
  <c r="K42" i="8"/>
  <c r="J25" i="8"/>
  <c r="Q10" i="8"/>
  <c r="O45" i="8"/>
  <c r="N38" i="8"/>
  <c r="P6" i="8"/>
  <c r="O22" i="8"/>
  <c r="P22" i="8"/>
  <c r="Q4" i="8"/>
  <c r="Q2" i="8"/>
  <c r="M42" i="8"/>
  <c r="W38" i="8"/>
  <c r="O38" i="8"/>
  <c r="M13" i="8"/>
  <c r="V40" i="8"/>
  <c r="R16" i="8"/>
  <c r="O6" i="8"/>
  <c r="T32" i="8"/>
  <c r="I14" i="8"/>
  <c r="J37" i="8"/>
  <c r="T55" i="8"/>
  <c r="S37" i="8"/>
  <c r="W19" i="8"/>
  <c r="U44" i="8"/>
  <c r="U49" i="8"/>
  <c r="O35" i="8"/>
  <c r="O7" i="8"/>
  <c r="J56" i="8"/>
  <c r="V53" i="8"/>
  <c r="J44" i="8"/>
  <c r="P32" i="8"/>
  <c r="K19" i="8"/>
  <c r="W9" i="8"/>
  <c r="S39" i="8"/>
  <c r="U37" i="8"/>
  <c r="R12" i="8"/>
  <c r="I11" i="8"/>
  <c r="T34" i="8"/>
  <c r="U51" i="8"/>
  <c r="K28" i="8"/>
  <c r="M28" i="8"/>
  <c r="O56" i="8"/>
  <c r="J47" i="8"/>
  <c r="Q39" i="8"/>
  <c r="U45" i="8"/>
  <c r="I48" i="8"/>
  <c r="X14" i="8"/>
  <c r="P48" i="8"/>
  <c r="I45" i="8"/>
  <c r="P3" i="8"/>
  <c r="T54" i="8"/>
  <c r="P31" i="8"/>
  <c r="U10" i="8"/>
  <c r="X49" i="8"/>
  <c r="V8" i="8"/>
  <c r="U35" i="8"/>
  <c r="W8" i="8"/>
  <c r="Y40" i="8"/>
  <c r="M27" i="8"/>
  <c r="M17" i="8"/>
  <c r="S48" i="8"/>
  <c r="U47" i="8"/>
  <c r="I13" i="8"/>
  <c r="R9" i="8"/>
  <c r="N41" i="8"/>
  <c r="Y4" i="8"/>
  <c r="Y11" i="8"/>
  <c r="O32" i="8"/>
  <c r="O16" i="8"/>
  <c r="S2" i="8"/>
  <c r="X4" i="8"/>
  <c r="K39" i="8"/>
  <c r="V13" i="8"/>
  <c r="I42" i="8"/>
  <c r="S54" i="8"/>
  <c r="J5" i="8"/>
  <c r="Y19" i="8"/>
  <c r="K52" i="8"/>
  <c r="I10" i="8"/>
  <c r="Q54" i="8"/>
  <c r="K7" i="8"/>
  <c r="N48" i="8"/>
  <c r="W24" i="8"/>
  <c r="U6" i="8"/>
  <c r="L37" i="8"/>
  <c r="Y48" i="8"/>
  <c r="T33" i="8"/>
  <c r="J33" i="8"/>
  <c r="N49" i="8"/>
  <c r="V49" i="8"/>
  <c r="P52" i="8"/>
  <c r="O52" i="8"/>
  <c r="X8" i="8"/>
  <c r="O27" i="8"/>
  <c r="V54" i="8"/>
  <c r="K53" i="8"/>
  <c r="O26" i="8"/>
  <c r="W52" i="8"/>
  <c r="U53" i="8"/>
  <c r="R7" i="8"/>
  <c r="L2" i="8"/>
  <c r="T38" i="8"/>
  <c r="R10" i="8"/>
  <c r="X31" i="8"/>
  <c r="X2" i="8"/>
  <c r="W51" i="8"/>
  <c r="V46" i="8"/>
  <c r="Y28" i="8"/>
  <c r="T2" i="8"/>
  <c r="Y53" i="8"/>
  <c r="V18" i="8"/>
  <c r="V48" i="8"/>
  <c r="Y10" i="8"/>
  <c r="Y38" i="8"/>
  <c r="M30" i="8"/>
  <c r="R41" i="8"/>
  <c r="Q34" i="8"/>
  <c r="N17" i="8"/>
  <c r="S32" i="8"/>
  <c r="M53" i="8"/>
  <c r="U26" i="8"/>
  <c r="Q6" i="8"/>
  <c r="X19" i="8"/>
  <c r="I35" i="8"/>
  <c r="X39" i="8"/>
  <c r="Q33" i="8"/>
  <c r="M34" i="8"/>
  <c r="P16" i="8"/>
  <c r="K49" i="8"/>
  <c r="T4" i="8"/>
  <c r="W40" i="8"/>
  <c r="T40" i="8"/>
  <c r="O48" i="8"/>
  <c r="L49" i="8"/>
  <c r="V36" i="8"/>
  <c r="U40" i="8"/>
  <c r="M5" i="8"/>
  <c r="N18" i="8"/>
  <c r="L45" i="8"/>
  <c r="I52" i="8"/>
  <c r="Y45" i="8"/>
  <c r="V17" i="8"/>
  <c r="V39" i="8"/>
  <c r="T17" i="8"/>
  <c r="L9" i="8"/>
  <c r="S34" i="8"/>
  <c r="P56" i="8"/>
  <c r="W25" i="8"/>
  <c r="S49" i="8"/>
  <c r="Y49" i="8"/>
  <c r="M35" i="8"/>
  <c r="V2" i="8"/>
  <c r="O23" i="8"/>
  <c r="Y18" i="8"/>
  <c r="T35" i="8"/>
  <c r="Q46" i="8"/>
  <c r="J42" i="8"/>
  <c r="U16" i="8"/>
  <c r="S50" i="8"/>
  <c r="M38" i="8"/>
  <c r="N28" i="8"/>
  <c r="L24" i="8"/>
  <c r="R53" i="8"/>
  <c r="S47" i="8"/>
  <c r="M7" i="8"/>
  <c r="Q5" i="8"/>
  <c r="U42" i="8"/>
  <c r="M4" i="8"/>
  <c r="I39" i="8"/>
  <c r="R25" i="8"/>
  <c r="O46" i="8"/>
  <c r="T21" i="8"/>
  <c r="Q36" i="8"/>
  <c r="L46" i="8"/>
  <c r="Q32" i="8"/>
  <c r="N53" i="8"/>
  <c r="L6" i="8"/>
  <c r="J36" i="8"/>
  <c r="N45" i="8"/>
  <c r="U56" i="8"/>
  <c r="M16" i="8"/>
  <c r="P54" i="8"/>
  <c r="S38" i="8"/>
  <c r="N23" i="8"/>
  <c r="I56" i="8"/>
  <c r="R55" i="8"/>
  <c r="X52" i="8"/>
  <c r="I19" i="8"/>
  <c r="R54" i="8"/>
  <c r="M54" i="8"/>
  <c r="U30" i="8"/>
  <c r="K48" i="8"/>
  <c r="O51" i="8"/>
  <c r="K33" i="8"/>
  <c r="V16" i="8"/>
  <c r="L20" i="8"/>
  <c r="U32" i="8"/>
  <c r="W5" i="8"/>
  <c r="L14" i="8"/>
  <c r="T14" i="8"/>
  <c r="P20" i="8"/>
  <c r="P4" i="8"/>
  <c r="V19" i="8"/>
  <c r="I20" i="8"/>
  <c r="O19" i="8"/>
  <c r="V33" i="8"/>
  <c r="U55" i="8"/>
  <c r="X6" i="8"/>
  <c r="W28" i="8"/>
  <c r="R14" i="8"/>
  <c r="Y37" i="8"/>
  <c r="R37" i="8"/>
  <c r="M55" i="8"/>
  <c r="W23" i="8"/>
  <c r="W31" i="8"/>
  <c r="O14" i="8"/>
  <c r="K37" i="8"/>
  <c r="U3" i="8"/>
  <c r="O55" i="8"/>
  <c r="P25" i="8"/>
  <c r="X23" i="8"/>
  <c r="N51" i="8"/>
  <c r="X18" i="8"/>
  <c r="I53" i="8"/>
  <c r="S26" i="8"/>
  <c r="P13" i="8"/>
  <c r="X27" i="8"/>
  <c r="V10" i="8"/>
  <c r="K30" i="8"/>
  <c r="P21" i="8"/>
  <c r="V30" i="8"/>
  <c r="N2" i="8"/>
  <c r="W16" i="8"/>
  <c r="J52" i="8"/>
  <c r="K35" i="8"/>
  <c r="O17" i="8"/>
  <c r="N12" i="8"/>
  <c r="L42" i="8"/>
  <c r="T18" i="8"/>
  <c r="S35" i="8"/>
  <c r="M22" i="8"/>
  <c r="W55" i="8"/>
  <c r="Y32" i="8"/>
  <c r="S20" i="8"/>
  <c r="K44" i="8"/>
  <c r="K36" i="8"/>
  <c r="W17" i="8"/>
  <c r="S10" i="8"/>
  <c r="O13" i="8"/>
  <c r="J55" i="8"/>
  <c r="W54" i="8"/>
  <c r="T8" i="8"/>
  <c r="J20" i="8"/>
  <c r="P44" i="8"/>
  <c r="S18" i="8"/>
  <c r="P51" i="8"/>
  <c r="I38" i="8"/>
  <c r="T23" i="8"/>
  <c r="M9" i="8"/>
  <c r="X35" i="8"/>
  <c r="O53" i="8"/>
  <c r="V24" i="8"/>
  <c r="I3" i="8"/>
  <c r="X40" i="8"/>
  <c r="P42" i="8"/>
  <c r="X38" i="8"/>
  <c r="M8" i="8"/>
  <c r="Q16" i="8"/>
  <c r="K9" i="8"/>
  <c r="W56" i="8"/>
  <c r="P45" i="8"/>
  <c r="N10" i="8"/>
  <c r="S16" i="8"/>
  <c r="V7" i="8"/>
  <c r="X41" i="8"/>
  <c r="K47" i="8"/>
  <c r="P49" i="8"/>
  <c r="N8" i="8"/>
  <c r="Q17" i="8"/>
  <c r="P8" i="8"/>
  <c r="Q26" i="8"/>
  <c r="N27" i="8"/>
  <c r="T22" i="8"/>
  <c r="L56" i="8"/>
  <c r="M48" i="8"/>
  <c r="U17" i="8"/>
  <c r="Q51" i="8"/>
  <c r="I37" i="8"/>
  <c r="R31" i="8"/>
  <c r="L36" i="8"/>
  <c r="R49" i="8"/>
  <c r="N42" i="8"/>
  <c r="O44" i="8"/>
  <c r="N9" i="8"/>
  <c r="K13" i="8"/>
  <c r="N32" i="8"/>
  <c r="L39" i="8"/>
  <c r="O41" i="8"/>
  <c r="L44" i="8"/>
  <c r="N37" i="8"/>
  <c r="X7" i="8"/>
  <c r="Y39" i="8"/>
  <c r="U20" i="8"/>
  <c r="X26" i="8"/>
  <c r="V3" i="8"/>
  <c r="W11" i="8"/>
  <c r="S56" i="8"/>
  <c r="R24" i="8"/>
  <c r="R18" i="8"/>
  <c r="I8" i="8"/>
  <c r="Q8" i="8"/>
  <c r="I34" i="8"/>
  <c r="Y27" i="8"/>
  <c r="O4" i="8"/>
  <c r="M6" i="8"/>
  <c r="Q24" i="8"/>
  <c r="N39" i="8"/>
  <c r="V42" i="8"/>
  <c r="X12" i="8"/>
  <c r="X5" i="8"/>
  <c r="V20" i="8"/>
  <c r="X20" i="8"/>
  <c r="R46" i="8"/>
  <c r="O36" i="8"/>
  <c r="M45" i="8"/>
  <c r="R47" i="8"/>
  <c r="N31" i="8"/>
  <c r="Q12" i="8"/>
  <c r="N34" i="8"/>
  <c r="W42" i="8"/>
  <c r="J21" i="8"/>
  <c r="T7" i="8"/>
  <c r="V35" i="8"/>
  <c r="K3" i="8"/>
  <c r="S14" i="8"/>
  <c r="U18" i="8"/>
  <c r="V25" i="8"/>
  <c r="J34" i="8"/>
  <c r="W37" i="8"/>
  <c r="I28" i="8"/>
  <c r="N50" i="8"/>
  <c r="O24" i="8"/>
  <c r="J45" i="8"/>
  <c r="R30" i="8"/>
  <c r="X47" i="8"/>
  <c r="I27" i="8"/>
  <c r="R23" i="8"/>
  <c r="T52" i="8"/>
  <c r="T12" i="8"/>
  <c r="Q40" i="8"/>
  <c r="K5" i="8"/>
  <c r="S6" i="8"/>
  <c r="T46" i="8"/>
  <c r="X36" i="8"/>
  <c r="U36" i="8"/>
  <c r="S36" i="8"/>
  <c r="T48" i="8"/>
  <c r="W30" i="8"/>
  <c r="K32" i="8"/>
  <c r="V22" i="8"/>
  <c r="I12" i="8"/>
  <c r="T25" i="8"/>
  <c r="X32" i="8"/>
  <c r="S44" i="8"/>
  <c r="S9" i="8"/>
  <c r="R26" i="8"/>
  <c r="X17" i="8"/>
  <c r="S46" i="8"/>
  <c r="V51" i="8"/>
  <c r="Y42" i="8"/>
  <c r="L32" i="8"/>
  <c r="W3" i="8"/>
  <c r="Q13" i="8"/>
  <c r="S51" i="8"/>
  <c r="M51" i="8"/>
  <c r="W35" i="8"/>
  <c r="R22" i="8"/>
  <c r="J51" i="8"/>
  <c r="J49" i="8"/>
  <c r="V23" i="8"/>
  <c r="V38" i="8"/>
  <c r="J18" i="8"/>
  <c r="P11" i="8"/>
  <c r="S21" i="8"/>
  <c r="N4" i="8"/>
  <c r="K20" i="8"/>
  <c r="P9" i="8"/>
  <c r="M10" i="8"/>
  <c r="J8" i="8"/>
  <c r="Y9" i="8"/>
  <c r="J4" i="8"/>
  <c r="U8" i="8"/>
  <c r="K24" i="8"/>
  <c r="X9" i="8"/>
  <c r="T27" i="8"/>
  <c r="M40" i="8"/>
  <c r="P30" i="8"/>
  <c r="N40" i="8"/>
  <c r="U27" i="8"/>
  <c r="R11" i="8"/>
  <c r="J6" i="8"/>
  <c r="O42" i="8"/>
  <c r="S13" i="8"/>
  <c r="K17" i="8"/>
  <c r="Q22" i="8"/>
  <c r="O50" i="8"/>
  <c r="L8" i="8"/>
  <c r="V11" i="8"/>
  <c r="N56" i="8"/>
  <c r="X46" i="8"/>
  <c r="V26" i="8"/>
  <c r="U39" i="8"/>
  <c r="R17" i="8"/>
  <c r="Q31" i="8"/>
  <c r="V6" i="8"/>
  <c r="O37" i="8"/>
  <c r="O30" i="8"/>
  <c r="S24" i="8"/>
  <c r="O47" i="8"/>
  <c r="N30" i="8"/>
  <c r="S28" i="8"/>
  <c r="U46" i="8"/>
  <c r="P19" i="8"/>
  <c r="N19" i="8"/>
  <c r="I5" i="8"/>
  <c r="O39" i="8"/>
  <c r="M31" i="8"/>
  <c r="K16" i="8"/>
  <c r="S31" i="8"/>
  <c r="T5" i="8"/>
  <c r="Q14" i="8"/>
  <c r="W34" i="8"/>
  <c r="M56" i="8"/>
  <c r="U31" i="8"/>
  <c r="L26" i="8"/>
  <c r="Q47" i="8"/>
  <c r="S33" i="8"/>
  <c r="N20" i="8"/>
  <c r="N24" i="8"/>
  <c r="U12" i="8"/>
  <c r="X28" i="8"/>
  <c r="R36" i="8"/>
  <c r="Q41" i="8"/>
  <c r="M26" i="8"/>
  <c r="T53" i="8"/>
  <c r="Q44" i="8"/>
  <c r="S7" i="8"/>
  <c r="Y2" i="8"/>
  <c r="Y52" i="8"/>
  <c r="I2" i="8"/>
  <c r="Q19" i="8"/>
  <c r="J50" i="8"/>
  <c r="O34" i="8"/>
  <c r="R56" i="8"/>
  <c r="Q38" i="8"/>
  <c r="W18" i="8"/>
  <c r="O8" i="8"/>
  <c r="Q48" i="8"/>
  <c r="R8" i="8"/>
  <c r="M23" i="8"/>
  <c r="V55" i="8"/>
  <c r="T13" i="8"/>
  <c r="V34" i="8"/>
  <c r="N5" i="8"/>
  <c r="T28" i="8"/>
  <c r="K45" i="8"/>
  <c r="R33" i="8"/>
  <c r="X54" i="8"/>
  <c r="N46" i="8"/>
  <c r="T39" i="8"/>
  <c r="V32" i="8"/>
  <c r="V27" i="8"/>
  <c r="W41" i="8"/>
  <c r="W45" i="8"/>
  <c r="K12" i="8"/>
  <c r="N52" i="8"/>
  <c r="L47" i="8"/>
  <c r="U38" i="8"/>
  <c r="P12" i="8"/>
  <c r="Y8" i="8"/>
  <c r="Y6" i="8"/>
  <c r="T26" i="8"/>
  <c r="I23" i="8"/>
  <c r="R2" i="8"/>
  <c r="R38" i="8"/>
  <c r="I50" i="8"/>
  <c r="O18" i="8"/>
  <c r="O25" i="8"/>
  <c r="P33" i="8"/>
  <c r="J27" i="8"/>
  <c r="X24" i="8"/>
  <c r="M44" i="8"/>
  <c r="I7" i="8"/>
  <c r="J48" i="8"/>
  <c r="P36" i="8"/>
  <c r="P47" i="8"/>
  <c r="X56" i="8"/>
  <c r="L19" i="8"/>
  <c r="L50" i="8"/>
  <c r="N47" i="8"/>
  <c r="R45" i="8"/>
  <c r="S42" i="8"/>
  <c r="R40" i="8"/>
  <c r="J7" i="8"/>
  <c r="N13" i="8"/>
  <c r="V56" i="8"/>
  <c r="P10" i="8"/>
  <c r="Q35" i="8"/>
  <c r="L27" i="8"/>
  <c r="L16" i="8"/>
  <c r="I17" i="8"/>
  <c r="T19" i="8"/>
  <c r="I18" i="8"/>
  <c r="N25" i="8"/>
  <c r="K6" i="8"/>
  <c r="P34" i="8"/>
  <c r="I16" i="8"/>
  <c r="M46" i="8"/>
  <c r="O49" i="8"/>
  <c r="Y50" i="8"/>
  <c r="T9" i="8"/>
  <c r="I32" i="8"/>
  <c r="Y46" i="8"/>
  <c r="T30" i="8"/>
  <c r="X30" i="8"/>
  <c r="K54" i="8"/>
  <c r="T47" i="8"/>
  <c r="W7" i="8"/>
  <c r="T6" i="8"/>
  <c r="S25" i="8"/>
  <c r="R44" i="8"/>
  <c r="P5" i="8"/>
  <c r="Q20" i="8"/>
  <c r="W36" i="8"/>
  <c r="M39" i="8"/>
  <c r="R21" i="8"/>
  <c r="L30" i="8"/>
  <c r="S19" i="8"/>
  <c r="Q27" i="8"/>
  <c r="P40" i="8"/>
  <c r="S8" i="8"/>
  <c r="U25" i="8"/>
  <c r="I51" i="8"/>
  <c r="L40" i="8"/>
  <c r="U52" i="8"/>
  <c r="J39" i="8"/>
  <c r="S53" i="8"/>
  <c r="Q49" i="8"/>
  <c r="N11" i="8"/>
  <c r="Y30" i="8"/>
  <c r="U2" i="8"/>
  <c r="Q28" i="8"/>
  <c r="Q21" i="8"/>
  <c r="T56" i="8"/>
  <c r="U48" i="8"/>
  <c r="K10" i="8"/>
  <c r="L3" i="8"/>
  <c r="Y34" i="8"/>
  <c r="X55" i="8"/>
  <c r="Q55" i="8"/>
  <c r="U50" i="8"/>
  <c r="O10" i="8"/>
  <c r="O20" i="8"/>
  <c r="Y21" i="8"/>
  <c r="L23" i="8"/>
  <c r="J31" i="8"/>
  <c r="Y55" i="8"/>
  <c r="V28" i="8"/>
  <c r="P38" i="8"/>
  <c r="Y7" i="8"/>
  <c r="U21" i="8"/>
  <c r="L25" i="8"/>
  <c r="U24" i="8"/>
  <c r="K4" i="8"/>
  <c r="T16" i="8"/>
  <c r="P55" i="8"/>
  <c r="X11" i="8"/>
  <c r="L51" i="8"/>
  <c r="I9" i="8"/>
  <c r="W14" i="8"/>
  <c r="X34" i="8"/>
  <c r="M2" i="8"/>
  <c r="K14" i="8"/>
  <c r="Y17" i="8"/>
  <c r="J9" i="8"/>
  <c r="L5" i="8"/>
  <c r="L7" i="8"/>
  <c r="T10" i="8"/>
  <c r="K18" i="8"/>
  <c r="L53" i="8"/>
  <c r="J16" i="8"/>
  <c r="J13" i="8"/>
  <c r="X37" i="8"/>
  <c r="Y12" i="8"/>
  <c r="P24" i="8"/>
  <c r="S3" i="8"/>
  <c r="W26" i="8"/>
  <c r="X53" i="8"/>
  <c r="T20" i="8"/>
  <c r="Y16" i="8"/>
  <c r="L54" i="8"/>
  <c r="T11" i="8"/>
  <c r="W53" i="8"/>
  <c r="U19" i="8"/>
</calcChain>
</file>

<file path=xl/sharedStrings.xml><?xml version="1.0" encoding="utf-8"?>
<sst xmlns="http://schemas.openxmlformats.org/spreadsheetml/2006/main" count="26" uniqueCount="7">
  <si>
    <t>r_gain</t>
  </si>
  <si>
    <t>gr_gain</t>
  </si>
  <si>
    <t>gb_gain</t>
  </si>
  <si>
    <t>b_gain</t>
  </si>
  <si>
    <t>index</t>
    <phoneticPr fontId="1" type="noConversion"/>
  </si>
  <si>
    <t>r_gain</t>
    <phoneticPr fontId="1" type="noConversion"/>
  </si>
  <si>
    <t>*gloden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</si>
</sst>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_ "/>
  </numFmts>
  <fonts count="2" x14ac:knownFonts="1">
    <font>
      <sz val="12"/>
      <color rgb="FF000000"/>
      <name val="新細明體"/>
      <family val="2"/>
      <charset val="136"/>
    </font>
    <font>
      <sz val="9"/>
      <name val="新細明體"/>
      <family val="2"/>
      <charset val="136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4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176" fontId="0" fillId="4" borderId="3" xfId="0" applyNumberForma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8FAADC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D966"/>
      <rgbColor rgb="FF3366FF"/>
      <rgbColor rgb="FF33CCCC"/>
      <rgbColor rgb="FF92D050"/>
      <rgbColor rgb="FFFFCC00"/>
      <rgbColor rgb="FFFF9900"/>
      <rgbColor rgb="FFC55A11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r_gain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goldenOTP_check!$I$2:$Y$2</c:f>
              <c:numCache>
                <c:formatCode>General</c:formatCode>
                <c:ptCount val="17"/>
                <c:pt idx="0">
                  <c:v>281</c:v>
                </c:pt>
                <c:pt idx="1">
                  <c:v>323</c:v>
                </c:pt>
                <c:pt idx="2">
                  <c:v>373</c:v>
                </c:pt>
                <c:pt idx="3">
                  <c:v>412</c:v>
                </c:pt>
                <c:pt idx="4">
                  <c:v>455</c:v>
                </c:pt>
                <c:pt idx="5">
                  <c:v>497</c:v>
                </c:pt>
                <c:pt idx="6">
                  <c:v>526</c:v>
                </c:pt>
                <c:pt idx="7">
                  <c:v>543</c:v>
                </c:pt>
                <c:pt idx="8">
                  <c:v>554</c:v>
                </c:pt>
                <c:pt idx="9">
                  <c:v>543</c:v>
                </c:pt>
                <c:pt idx="10">
                  <c:v>522</c:v>
                </c:pt>
                <c:pt idx="11">
                  <c:v>494</c:v>
                </c:pt>
                <c:pt idx="12">
                  <c:v>469</c:v>
                </c:pt>
                <c:pt idx="13">
                  <c:v>426</c:v>
                </c:pt>
                <c:pt idx="14">
                  <c:v>373</c:v>
                </c:pt>
                <c:pt idx="15">
                  <c:v>320</c:v>
                </c:pt>
                <c:pt idx="16">
                  <c:v>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74-4AAB-AEBA-E85EB871527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goldenOTP_check!$I$3:$Y$3</c:f>
              <c:numCache>
                <c:formatCode>General</c:formatCode>
                <c:ptCount val="17"/>
                <c:pt idx="0">
                  <c:v>309</c:v>
                </c:pt>
                <c:pt idx="1">
                  <c:v>352</c:v>
                </c:pt>
                <c:pt idx="2">
                  <c:v>416</c:v>
                </c:pt>
                <c:pt idx="3">
                  <c:v>469</c:v>
                </c:pt>
                <c:pt idx="4">
                  <c:v>512</c:v>
                </c:pt>
                <c:pt idx="5">
                  <c:v>554</c:v>
                </c:pt>
                <c:pt idx="6">
                  <c:v>597</c:v>
                </c:pt>
                <c:pt idx="7">
                  <c:v>629</c:v>
                </c:pt>
                <c:pt idx="8">
                  <c:v>639</c:v>
                </c:pt>
                <c:pt idx="9">
                  <c:v>629</c:v>
                </c:pt>
                <c:pt idx="10">
                  <c:v>607</c:v>
                </c:pt>
                <c:pt idx="11">
                  <c:v>565</c:v>
                </c:pt>
                <c:pt idx="12">
                  <c:v>512</c:v>
                </c:pt>
                <c:pt idx="13">
                  <c:v>469</c:v>
                </c:pt>
                <c:pt idx="14">
                  <c:v>416</c:v>
                </c:pt>
                <c:pt idx="15">
                  <c:v>362</c:v>
                </c:pt>
                <c:pt idx="16">
                  <c:v>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74-4AAB-AEBA-E85EB871527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goldenOTP_check!$I$4:$Y$4</c:f>
              <c:numCache>
                <c:formatCode>General</c:formatCode>
                <c:ptCount val="17"/>
                <c:pt idx="0">
                  <c:v>337</c:v>
                </c:pt>
                <c:pt idx="1">
                  <c:v>394</c:v>
                </c:pt>
                <c:pt idx="2">
                  <c:v>448</c:v>
                </c:pt>
                <c:pt idx="3">
                  <c:v>512</c:v>
                </c:pt>
                <c:pt idx="4">
                  <c:v>575</c:v>
                </c:pt>
                <c:pt idx="5">
                  <c:v>639</c:v>
                </c:pt>
                <c:pt idx="6">
                  <c:v>693</c:v>
                </c:pt>
                <c:pt idx="7">
                  <c:v>735</c:v>
                </c:pt>
                <c:pt idx="8">
                  <c:v>746</c:v>
                </c:pt>
                <c:pt idx="9">
                  <c:v>735</c:v>
                </c:pt>
                <c:pt idx="10">
                  <c:v>693</c:v>
                </c:pt>
                <c:pt idx="11">
                  <c:v>639</c:v>
                </c:pt>
                <c:pt idx="12">
                  <c:v>575</c:v>
                </c:pt>
                <c:pt idx="13">
                  <c:v>512</c:v>
                </c:pt>
                <c:pt idx="14">
                  <c:v>458</c:v>
                </c:pt>
                <c:pt idx="15">
                  <c:v>394</c:v>
                </c:pt>
                <c:pt idx="16">
                  <c:v>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74-4AAB-AEBA-E85EB871527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goldenOTP_check!$I$5:$Y$5</c:f>
              <c:numCache>
                <c:formatCode>General</c:formatCode>
                <c:ptCount val="17"/>
                <c:pt idx="0">
                  <c:v>359</c:v>
                </c:pt>
                <c:pt idx="1">
                  <c:v>416</c:v>
                </c:pt>
                <c:pt idx="2">
                  <c:v>480</c:v>
                </c:pt>
                <c:pt idx="3">
                  <c:v>554</c:v>
                </c:pt>
                <c:pt idx="4">
                  <c:v>629</c:v>
                </c:pt>
                <c:pt idx="5">
                  <c:v>714</c:v>
                </c:pt>
                <c:pt idx="6">
                  <c:v>789</c:v>
                </c:pt>
                <c:pt idx="7">
                  <c:v>842</c:v>
                </c:pt>
                <c:pt idx="8">
                  <c:v>863</c:v>
                </c:pt>
                <c:pt idx="9">
                  <c:v>842</c:v>
                </c:pt>
                <c:pt idx="10">
                  <c:v>789</c:v>
                </c:pt>
                <c:pt idx="11">
                  <c:v>725</c:v>
                </c:pt>
                <c:pt idx="12">
                  <c:v>639</c:v>
                </c:pt>
                <c:pt idx="13">
                  <c:v>554</c:v>
                </c:pt>
                <c:pt idx="14">
                  <c:v>490</c:v>
                </c:pt>
                <c:pt idx="15">
                  <c:v>426</c:v>
                </c:pt>
                <c:pt idx="16">
                  <c:v>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74-4AAB-AEBA-E85EB871527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goldenOTP_check!$I$6:$Y$6</c:f>
              <c:numCache>
                <c:formatCode>General</c:formatCode>
                <c:ptCount val="17"/>
                <c:pt idx="0">
                  <c:v>380</c:v>
                </c:pt>
                <c:pt idx="1">
                  <c:v>437</c:v>
                </c:pt>
                <c:pt idx="2">
                  <c:v>512</c:v>
                </c:pt>
                <c:pt idx="3">
                  <c:v>597</c:v>
                </c:pt>
                <c:pt idx="4">
                  <c:v>682</c:v>
                </c:pt>
                <c:pt idx="5">
                  <c:v>778</c:v>
                </c:pt>
                <c:pt idx="6">
                  <c:v>863</c:v>
                </c:pt>
                <c:pt idx="7">
                  <c:v>938</c:v>
                </c:pt>
                <c:pt idx="8">
                  <c:v>948</c:v>
                </c:pt>
                <c:pt idx="9">
                  <c:v>938</c:v>
                </c:pt>
                <c:pt idx="10">
                  <c:v>884</c:v>
                </c:pt>
                <c:pt idx="11">
                  <c:v>789</c:v>
                </c:pt>
                <c:pt idx="12">
                  <c:v>693</c:v>
                </c:pt>
                <c:pt idx="13">
                  <c:v>597</c:v>
                </c:pt>
                <c:pt idx="14">
                  <c:v>512</c:v>
                </c:pt>
                <c:pt idx="15">
                  <c:v>448</c:v>
                </c:pt>
                <c:pt idx="16">
                  <c:v>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74-4AAB-AEBA-E85EB871527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goldenOTP_check!$I$7:$Y$7</c:f>
              <c:numCache>
                <c:formatCode>General</c:formatCode>
                <c:ptCount val="17"/>
                <c:pt idx="0">
                  <c:v>387</c:v>
                </c:pt>
                <c:pt idx="1">
                  <c:v>458</c:v>
                </c:pt>
                <c:pt idx="2">
                  <c:v>522</c:v>
                </c:pt>
                <c:pt idx="3">
                  <c:v>618</c:v>
                </c:pt>
                <c:pt idx="4">
                  <c:v>725</c:v>
                </c:pt>
                <c:pt idx="5">
                  <c:v>831</c:v>
                </c:pt>
                <c:pt idx="6">
                  <c:v>927</c:v>
                </c:pt>
                <c:pt idx="7">
                  <c:v>980</c:v>
                </c:pt>
                <c:pt idx="8">
                  <c:v>1002</c:v>
                </c:pt>
                <c:pt idx="9">
                  <c:v>980</c:v>
                </c:pt>
                <c:pt idx="10">
                  <c:v>927</c:v>
                </c:pt>
                <c:pt idx="11">
                  <c:v>842</c:v>
                </c:pt>
                <c:pt idx="12">
                  <c:v>725</c:v>
                </c:pt>
                <c:pt idx="13">
                  <c:v>618</c:v>
                </c:pt>
                <c:pt idx="14">
                  <c:v>533</c:v>
                </c:pt>
                <c:pt idx="15">
                  <c:v>458</c:v>
                </c:pt>
                <c:pt idx="16">
                  <c:v>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74-4AAB-AEBA-E85EB871527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goldenOTP_check!$I$8:$Y$8</c:f>
              <c:numCache>
                <c:formatCode>General</c:formatCode>
                <c:ptCount val="17"/>
                <c:pt idx="0">
                  <c:v>387</c:v>
                </c:pt>
                <c:pt idx="1">
                  <c:v>458</c:v>
                </c:pt>
                <c:pt idx="2">
                  <c:v>533</c:v>
                </c:pt>
                <c:pt idx="3">
                  <c:v>629</c:v>
                </c:pt>
                <c:pt idx="4">
                  <c:v>735</c:v>
                </c:pt>
                <c:pt idx="5">
                  <c:v>842</c:v>
                </c:pt>
                <c:pt idx="6">
                  <c:v>948</c:v>
                </c:pt>
                <c:pt idx="7">
                  <c:v>1002</c:v>
                </c:pt>
                <c:pt idx="8">
                  <c:v>1023</c:v>
                </c:pt>
                <c:pt idx="9">
                  <c:v>1002</c:v>
                </c:pt>
                <c:pt idx="10">
                  <c:v>948</c:v>
                </c:pt>
                <c:pt idx="11">
                  <c:v>853</c:v>
                </c:pt>
                <c:pt idx="12">
                  <c:v>746</c:v>
                </c:pt>
                <c:pt idx="13">
                  <c:v>629</c:v>
                </c:pt>
                <c:pt idx="14">
                  <c:v>543</c:v>
                </c:pt>
                <c:pt idx="15">
                  <c:v>469</c:v>
                </c:pt>
                <c:pt idx="16">
                  <c:v>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74-4AAB-AEBA-E85EB871527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goldenOTP_check!$I$9:$Y$9</c:f>
              <c:numCache>
                <c:formatCode>General</c:formatCode>
                <c:ptCount val="17"/>
                <c:pt idx="0">
                  <c:v>391</c:v>
                </c:pt>
                <c:pt idx="1">
                  <c:v>448</c:v>
                </c:pt>
                <c:pt idx="2">
                  <c:v>522</c:v>
                </c:pt>
                <c:pt idx="3">
                  <c:v>618</c:v>
                </c:pt>
                <c:pt idx="4">
                  <c:v>725</c:v>
                </c:pt>
                <c:pt idx="5">
                  <c:v>831</c:v>
                </c:pt>
                <c:pt idx="6">
                  <c:v>927</c:v>
                </c:pt>
                <c:pt idx="7">
                  <c:v>980</c:v>
                </c:pt>
                <c:pt idx="8">
                  <c:v>1002</c:v>
                </c:pt>
                <c:pt idx="9">
                  <c:v>980</c:v>
                </c:pt>
                <c:pt idx="10">
                  <c:v>927</c:v>
                </c:pt>
                <c:pt idx="11">
                  <c:v>842</c:v>
                </c:pt>
                <c:pt idx="12">
                  <c:v>725</c:v>
                </c:pt>
                <c:pt idx="13">
                  <c:v>618</c:v>
                </c:pt>
                <c:pt idx="14">
                  <c:v>533</c:v>
                </c:pt>
                <c:pt idx="15">
                  <c:v>458</c:v>
                </c:pt>
                <c:pt idx="16">
                  <c:v>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574-4AAB-AEBA-E85EB871527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goldenOTP_check!$I$10:$Y$10</c:f>
              <c:numCache>
                <c:formatCode>General</c:formatCode>
                <c:ptCount val="17"/>
                <c:pt idx="0">
                  <c:v>366</c:v>
                </c:pt>
                <c:pt idx="1">
                  <c:v>437</c:v>
                </c:pt>
                <c:pt idx="2">
                  <c:v>501</c:v>
                </c:pt>
                <c:pt idx="3">
                  <c:v>586</c:v>
                </c:pt>
                <c:pt idx="4">
                  <c:v>682</c:v>
                </c:pt>
                <c:pt idx="5">
                  <c:v>778</c:v>
                </c:pt>
                <c:pt idx="6">
                  <c:v>874</c:v>
                </c:pt>
                <c:pt idx="7">
                  <c:v>938</c:v>
                </c:pt>
                <c:pt idx="8">
                  <c:v>959</c:v>
                </c:pt>
                <c:pt idx="9">
                  <c:v>938</c:v>
                </c:pt>
                <c:pt idx="10">
                  <c:v>884</c:v>
                </c:pt>
                <c:pt idx="11">
                  <c:v>789</c:v>
                </c:pt>
                <c:pt idx="12">
                  <c:v>693</c:v>
                </c:pt>
                <c:pt idx="13">
                  <c:v>597</c:v>
                </c:pt>
                <c:pt idx="14">
                  <c:v>512</c:v>
                </c:pt>
                <c:pt idx="15">
                  <c:v>448</c:v>
                </c:pt>
                <c:pt idx="16">
                  <c:v>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574-4AAB-AEBA-E85EB871527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goldenOTP_check!$I$11:$Y$11</c:f>
              <c:numCache>
                <c:formatCode>General</c:formatCode>
                <c:ptCount val="17"/>
                <c:pt idx="0">
                  <c:v>345</c:v>
                </c:pt>
                <c:pt idx="1">
                  <c:v>416</c:v>
                </c:pt>
                <c:pt idx="2">
                  <c:v>480</c:v>
                </c:pt>
                <c:pt idx="3">
                  <c:v>554</c:v>
                </c:pt>
                <c:pt idx="4">
                  <c:v>629</c:v>
                </c:pt>
                <c:pt idx="5">
                  <c:v>714</c:v>
                </c:pt>
                <c:pt idx="6">
                  <c:v>789</c:v>
                </c:pt>
                <c:pt idx="7">
                  <c:v>842</c:v>
                </c:pt>
                <c:pt idx="8">
                  <c:v>863</c:v>
                </c:pt>
                <c:pt idx="9">
                  <c:v>853</c:v>
                </c:pt>
                <c:pt idx="10">
                  <c:v>799</c:v>
                </c:pt>
                <c:pt idx="11">
                  <c:v>725</c:v>
                </c:pt>
                <c:pt idx="12">
                  <c:v>639</c:v>
                </c:pt>
                <c:pt idx="13">
                  <c:v>554</c:v>
                </c:pt>
                <c:pt idx="14">
                  <c:v>490</c:v>
                </c:pt>
                <c:pt idx="15">
                  <c:v>426</c:v>
                </c:pt>
                <c:pt idx="16">
                  <c:v>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574-4AAB-AEBA-E85EB871527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goldenOTP_check!$I$12:$Y$12</c:f>
              <c:numCache>
                <c:formatCode>General</c:formatCode>
                <c:ptCount val="17"/>
                <c:pt idx="0">
                  <c:v>327</c:v>
                </c:pt>
                <c:pt idx="1">
                  <c:v>384</c:v>
                </c:pt>
                <c:pt idx="2">
                  <c:v>448</c:v>
                </c:pt>
                <c:pt idx="3">
                  <c:v>512</c:v>
                </c:pt>
                <c:pt idx="4">
                  <c:v>575</c:v>
                </c:pt>
                <c:pt idx="5">
                  <c:v>639</c:v>
                </c:pt>
                <c:pt idx="6">
                  <c:v>693</c:v>
                </c:pt>
                <c:pt idx="7">
                  <c:v>735</c:v>
                </c:pt>
                <c:pt idx="8">
                  <c:v>757</c:v>
                </c:pt>
                <c:pt idx="9">
                  <c:v>746</c:v>
                </c:pt>
                <c:pt idx="10">
                  <c:v>703</c:v>
                </c:pt>
                <c:pt idx="11">
                  <c:v>639</c:v>
                </c:pt>
                <c:pt idx="12">
                  <c:v>575</c:v>
                </c:pt>
                <c:pt idx="13">
                  <c:v>512</c:v>
                </c:pt>
                <c:pt idx="14">
                  <c:v>448</c:v>
                </c:pt>
                <c:pt idx="15">
                  <c:v>394</c:v>
                </c:pt>
                <c:pt idx="16">
                  <c:v>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574-4AAB-AEBA-E85EB871527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goldenOTP_check!$I$13:$Y$13</c:f>
              <c:numCache>
                <c:formatCode>General</c:formatCode>
                <c:ptCount val="17"/>
                <c:pt idx="0">
                  <c:v>295</c:v>
                </c:pt>
                <c:pt idx="1">
                  <c:v>352</c:v>
                </c:pt>
                <c:pt idx="2">
                  <c:v>405</c:v>
                </c:pt>
                <c:pt idx="3">
                  <c:v>458</c:v>
                </c:pt>
                <c:pt idx="4">
                  <c:v>512</c:v>
                </c:pt>
                <c:pt idx="5">
                  <c:v>565</c:v>
                </c:pt>
                <c:pt idx="6">
                  <c:v>607</c:v>
                </c:pt>
                <c:pt idx="7">
                  <c:v>639</c:v>
                </c:pt>
                <c:pt idx="8">
                  <c:v>650</c:v>
                </c:pt>
                <c:pt idx="9">
                  <c:v>639</c:v>
                </c:pt>
                <c:pt idx="10">
                  <c:v>607</c:v>
                </c:pt>
                <c:pt idx="11">
                  <c:v>565</c:v>
                </c:pt>
                <c:pt idx="12">
                  <c:v>522</c:v>
                </c:pt>
                <c:pt idx="13">
                  <c:v>469</c:v>
                </c:pt>
                <c:pt idx="14">
                  <c:v>416</c:v>
                </c:pt>
                <c:pt idx="15">
                  <c:v>352</c:v>
                </c:pt>
                <c:pt idx="16">
                  <c:v>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574-4AAB-AEBA-E85EB871527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goldenOTP_check!$I$14:$Y$14</c:f>
              <c:numCache>
                <c:formatCode>General</c:formatCode>
                <c:ptCount val="17"/>
                <c:pt idx="0">
                  <c:v>281</c:v>
                </c:pt>
                <c:pt idx="1">
                  <c:v>309</c:v>
                </c:pt>
                <c:pt idx="2">
                  <c:v>362</c:v>
                </c:pt>
                <c:pt idx="3">
                  <c:v>416</c:v>
                </c:pt>
                <c:pt idx="4">
                  <c:v>455</c:v>
                </c:pt>
                <c:pt idx="5">
                  <c:v>480</c:v>
                </c:pt>
                <c:pt idx="6">
                  <c:v>522</c:v>
                </c:pt>
                <c:pt idx="7">
                  <c:v>540</c:v>
                </c:pt>
                <c:pt idx="8">
                  <c:v>551</c:v>
                </c:pt>
                <c:pt idx="9">
                  <c:v>540</c:v>
                </c:pt>
                <c:pt idx="10">
                  <c:v>522</c:v>
                </c:pt>
                <c:pt idx="11">
                  <c:v>494</c:v>
                </c:pt>
                <c:pt idx="12">
                  <c:v>451</c:v>
                </c:pt>
                <c:pt idx="13">
                  <c:v>412</c:v>
                </c:pt>
                <c:pt idx="14">
                  <c:v>359</c:v>
                </c:pt>
                <c:pt idx="15">
                  <c:v>323</c:v>
                </c:pt>
                <c:pt idx="16">
                  <c:v>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574-4AAB-AEBA-E85EB871527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28865487"/>
        <c:axId val="2041023471"/>
        <c:axId val="1994664143"/>
      </c:surface3DChart>
      <c:catAx>
        <c:axId val="192886548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1023471"/>
        <c:crosses val="autoZero"/>
        <c:auto val="1"/>
        <c:lblAlgn val="ctr"/>
        <c:lblOffset val="100"/>
        <c:noMultiLvlLbl val="0"/>
      </c:catAx>
      <c:valAx>
        <c:axId val="2041023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8865487"/>
        <c:crosses val="autoZero"/>
        <c:crossBetween val="midCat"/>
      </c:valAx>
      <c:serAx>
        <c:axId val="19946641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1023471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goldenOTP_check!$I$16:$Y$16</c:f>
              <c:numCache>
                <c:formatCode>General</c:formatCode>
                <c:ptCount val="17"/>
                <c:pt idx="0">
                  <c:v>314</c:v>
                </c:pt>
                <c:pt idx="1">
                  <c:v>353</c:v>
                </c:pt>
                <c:pt idx="2">
                  <c:v>401</c:v>
                </c:pt>
                <c:pt idx="3">
                  <c:v>462</c:v>
                </c:pt>
                <c:pt idx="4">
                  <c:v>507</c:v>
                </c:pt>
                <c:pt idx="5">
                  <c:v>540</c:v>
                </c:pt>
                <c:pt idx="6">
                  <c:v>567</c:v>
                </c:pt>
                <c:pt idx="7">
                  <c:v>588</c:v>
                </c:pt>
                <c:pt idx="8">
                  <c:v>592</c:v>
                </c:pt>
                <c:pt idx="9">
                  <c:v>588</c:v>
                </c:pt>
                <c:pt idx="10">
                  <c:v>565</c:v>
                </c:pt>
                <c:pt idx="11">
                  <c:v>538</c:v>
                </c:pt>
                <c:pt idx="12">
                  <c:v>507</c:v>
                </c:pt>
                <c:pt idx="13">
                  <c:v>468</c:v>
                </c:pt>
                <c:pt idx="14">
                  <c:v>415</c:v>
                </c:pt>
                <c:pt idx="15">
                  <c:v>357</c:v>
                </c:pt>
                <c:pt idx="16">
                  <c:v>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1A-4BE3-9B93-99F49A24E79C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goldenOTP_check!$I$17:$Y$17</c:f>
              <c:numCache>
                <c:formatCode>General</c:formatCode>
                <c:ptCount val="17"/>
                <c:pt idx="0">
                  <c:v>345</c:v>
                </c:pt>
                <c:pt idx="1">
                  <c:v>392</c:v>
                </c:pt>
                <c:pt idx="2">
                  <c:v>456</c:v>
                </c:pt>
                <c:pt idx="3">
                  <c:v>509</c:v>
                </c:pt>
                <c:pt idx="4">
                  <c:v>561</c:v>
                </c:pt>
                <c:pt idx="5">
                  <c:v>602</c:v>
                </c:pt>
                <c:pt idx="6">
                  <c:v>637</c:v>
                </c:pt>
                <c:pt idx="7">
                  <c:v>666</c:v>
                </c:pt>
                <c:pt idx="8">
                  <c:v>678</c:v>
                </c:pt>
                <c:pt idx="9">
                  <c:v>666</c:v>
                </c:pt>
                <c:pt idx="10">
                  <c:v>643</c:v>
                </c:pt>
                <c:pt idx="11">
                  <c:v>608</c:v>
                </c:pt>
                <c:pt idx="12">
                  <c:v>561</c:v>
                </c:pt>
                <c:pt idx="13">
                  <c:v>514</c:v>
                </c:pt>
                <c:pt idx="14">
                  <c:v>462</c:v>
                </c:pt>
                <c:pt idx="15">
                  <c:v>403</c:v>
                </c:pt>
                <c:pt idx="16">
                  <c:v>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1A-4BE3-9B93-99F49A24E79C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goldenOTP_check!$I$18:$Y$18</c:f>
              <c:numCache>
                <c:formatCode>General</c:formatCode>
                <c:ptCount val="17"/>
                <c:pt idx="0">
                  <c:v>370</c:v>
                </c:pt>
                <c:pt idx="1">
                  <c:v>433</c:v>
                </c:pt>
                <c:pt idx="2">
                  <c:v>497</c:v>
                </c:pt>
                <c:pt idx="3">
                  <c:v>555</c:v>
                </c:pt>
                <c:pt idx="4">
                  <c:v>614</c:v>
                </c:pt>
                <c:pt idx="5">
                  <c:v>672</c:v>
                </c:pt>
                <c:pt idx="6">
                  <c:v>725</c:v>
                </c:pt>
                <c:pt idx="7">
                  <c:v>766</c:v>
                </c:pt>
                <c:pt idx="8">
                  <c:v>777</c:v>
                </c:pt>
                <c:pt idx="9">
                  <c:v>766</c:v>
                </c:pt>
                <c:pt idx="10">
                  <c:v>731</c:v>
                </c:pt>
                <c:pt idx="11">
                  <c:v>678</c:v>
                </c:pt>
                <c:pt idx="12">
                  <c:v>620</c:v>
                </c:pt>
                <c:pt idx="13">
                  <c:v>561</c:v>
                </c:pt>
                <c:pt idx="14">
                  <c:v>503</c:v>
                </c:pt>
                <c:pt idx="15">
                  <c:v>438</c:v>
                </c:pt>
                <c:pt idx="16">
                  <c:v>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1A-4BE3-9B93-99F49A24E79C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goldenOTP_check!$I$19:$Y$19</c:f>
              <c:numCache>
                <c:formatCode>General</c:formatCode>
                <c:ptCount val="17"/>
                <c:pt idx="0">
                  <c:v>398</c:v>
                </c:pt>
                <c:pt idx="1">
                  <c:v>468</c:v>
                </c:pt>
                <c:pt idx="2">
                  <c:v>532</c:v>
                </c:pt>
                <c:pt idx="3">
                  <c:v>596</c:v>
                </c:pt>
                <c:pt idx="4">
                  <c:v>672</c:v>
                </c:pt>
                <c:pt idx="5">
                  <c:v>748</c:v>
                </c:pt>
                <c:pt idx="6">
                  <c:v>813</c:v>
                </c:pt>
                <c:pt idx="7">
                  <c:v>859</c:v>
                </c:pt>
                <c:pt idx="8">
                  <c:v>877</c:v>
                </c:pt>
                <c:pt idx="9">
                  <c:v>859</c:v>
                </c:pt>
                <c:pt idx="10">
                  <c:v>818</c:v>
                </c:pt>
                <c:pt idx="11">
                  <c:v>754</c:v>
                </c:pt>
                <c:pt idx="12">
                  <c:v>678</c:v>
                </c:pt>
                <c:pt idx="13">
                  <c:v>602</c:v>
                </c:pt>
                <c:pt idx="14">
                  <c:v>538</c:v>
                </c:pt>
                <c:pt idx="15">
                  <c:v>474</c:v>
                </c:pt>
                <c:pt idx="16">
                  <c:v>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1A-4BE3-9B93-99F49A24E79C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goldenOTP_check!$I$20:$Y$20</c:f>
              <c:numCache>
                <c:formatCode>General</c:formatCode>
                <c:ptCount val="17"/>
                <c:pt idx="0">
                  <c:v>413</c:v>
                </c:pt>
                <c:pt idx="1">
                  <c:v>491</c:v>
                </c:pt>
                <c:pt idx="2">
                  <c:v>555</c:v>
                </c:pt>
                <c:pt idx="3">
                  <c:v>631</c:v>
                </c:pt>
                <c:pt idx="4">
                  <c:v>719</c:v>
                </c:pt>
                <c:pt idx="5">
                  <c:v>807</c:v>
                </c:pt>
                <c:pt idx="6">
                  <c:v>883</c:v>
                </c:pt>
                <c:pt idx="7">
                  <c:v>941</c:v>
                </c:pt>
                <c:pt idx="8">
                  <c:v>965</c:v>
                </c:pt>
                <c:pt idx="9">
                  <c:v>947</c:v>
                </c:pt>
                <c:pt idx="10">
                  <c:v>900</c:v>
                </c:pt>
                <c:pt idx="11">
                  <c:v>818</c:v>
                </c:pt>
                <c:pt idx="12">
                  <c:v>731</c:v>
                </c:pt>
                <c:pt idx="13">
                  <c:v>643</c:v>
                </c:pt>
                <c:pt idx="14">
                  <c:v>567</c:v>
                </c:pt>
                <c:pt idx="15">
                  <c:v>497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1A-4BE3-9B93-99F49A24E79C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goldenOTP_check!$I$21:$Y$21</c:f>
              <c:numCache>
                <c:formatCode>General</c:formatCode>
                <c:ptCount val="17"/>
                <c:pt idx="0">
                  <c:v>433</c:v>
                </c:pt>
                <c:pt idx="1">
                  <c:v>503</c:v>
                </c:pt>
                <c:pt idx="2">
                  <c:v>573</c:v>
                </c:pt>
                <c:pt idx="3">
                  <c:v>655</c:v>
                </c:pt>
                <c:pt idx="4">
                  <c:v>754</c:v>
                </c:pt>
                <c:pt idx="5">
                  <c:v>848</c:v>
                </c:pt>
                <c:pt idx="6">
                  <c:v>941</c:v>
                </c:pt>
                <c:pt idx="7">
                  <c:v>988</c:v>
                </c:pt>
                <c:pt idx="8">
                  <c:v>1011</c:v>
                </c:pt>
                <c:pt idx="9">
                  <c:v>994</c:v>
                </c:pt>
                <c:pt idx="10">
                  <c:v>947</c:v>
                </c:pt>
                <c:pt idx="11">
                  <c:v>865</c:v>
                </c:pt>
                <c:pt idx="12">
                  <c:v>766</c:v>
                </c:pt>
                <c:pt idx="13">
                  <c:v>666</c:v>
                </c:pt>
                <c:pt idx="14">
                  <c:v>585</c:v>
                </c:pt>
                <c:pt idx="15">
                  <c:v>509</c:v>
                </c:pt>
                <c:pt idx="16">
                  <c:v>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B1A-4BE3-9B93-99F49A24E7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goldenOTP_check!$I$22:$Y$22</c:f>
              <c:numCache>
                <c:formatCode>General</c:formatCode>
                <c:ptCount val="17"/>
                <c:pt idx="0">
                  <c:v>433</c:v>
                </c:pt>
                <c:pt idx="1">
                  <c:v>503</c:v>
                </c:pt>
                <c:pt idx="2">
                  <c:v>579</c:v>
                </c:pt>
                <c:pt idx="3">
                  <c:v>666</c:v>
                </c:pt>
                <c:pt idx="4">
                  <c:v>766</c:v>
                </c:pt>
                <c:pt idx="5">
                  <c:v>865</c:v>
                </c:pt>
                <c:pt idx="6">
                  <c:v>959</c:v>
                </c:pt>
                <c:pt idx="7">
                  <c:v>1005</c:v>
                </c:pt>
                <c:pt idx="8">
                  <c:v>1023</c:v>
                </c:pt>
                <c:pt idx="9">
                  <c:v>1011</c:v>
                </c:pt>
                <c:pt idx="10">
                  <c:v>959</c:v>
                </c:pt>
                <c:pt idx="11">
                  <c:v>883</c:v>
                </c:pt>
                <c:pt idx="12">
                  <c:v>777</c:v>
                </c:pt>
                <c:pt idx="13">
                  <c:v>672</c:v>
                </c:pt>
                <c:pt idx="14">
                  <c:v>590</c:v>
                </c:pt>
                <c:pt idx="15">
                  <c:v>514</c:v>
                </c:pt>
                <c:pt idx="16">
                  <c:v>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B1A-4BE3-9B93-99F49A24E7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goldenOTP_check!$I$23:$Y$23</c:f>
              <c:numCache>
                <c:formatCode>General</c:formatCode>
                <c:ptCount val="17"/>
                <c:pt idx="0">
                  <c:v>427</c:v>
                </c:pt>
                <c:pt idx="1">
                  <c:v>497</c:v>
                </c:pt>
                <c:pt idx="2">
                  <c:v>573</c:v>
                </c:pt>
                <c:pt idx="3">
                  <c:v>655</c:v>
                </c:pt>
                <c:pt idx="4">
                  <c:v>754</c:v>
                </c:pt>
                <c:pt idx="5">
                  <c:v>848</c:v>
                </c:pt>
                <c:pt idx="6">
                  <c:v>941</c:v>
                </c:pt>
                <c:pt idx="7">
                  <c:v>988</c:v>
                </c:pt>
                <c:pt idx="8">
                  <c:v>1005</c:v>
                </c:pt>
                <c:pt idx="9">
                  <c:v>994</c:v>
                </c:pt>
                <c:pt idx="10">
                  <c:v>947</c:v>
                </c:pt>
                <c:pt idx="11">
                  <c:v>865</c:v>
                </c:pt>
                <c:pt idx="12">
                  <c:v>760</c:v>
                </c:pt>
                <c:pt idx="13">
                  <c:v>666</c:v>
                </c:pt>
                <c:pt idx="14">
                  <c:v>579</c:v>
                </c:pt>
                <c:pt idx="15">
                  <c:v>509</c:v>
                </c:pt>
                <c:pt idx="16">
                  <c:v>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B1A-4BE3-9B93-99F49A24E79C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goldenOTP_check!$I$24:$Y$24</c:f>
              <c:numCache>
                <c:formatCode>General</c:formatCode>
                <c:ptCount val="17"/>
                <c:pt idx="0">
                  <c:v>415</c:v>
                </c:pt>
                <c:pt idx="1">
                  <c:v>485</c:v>
                </c:pt>
                <c:pt idx="2">
                  <c:v>555</c:v>
                </c:pt>
                <c:pt idx="3">
                  <c:v>631</c:v>
                </c:pt>
                <c:pt idx="4">
                  <c:v>719</c:v>
                </c:pt>
                <c:pt idx="5">
                  <c:v>807</c:v>
                </c:pt>
                <c:pt idx="6">
                  <c:v>889</c:v>
                </c:pt>
                <c:pt idx="7">
                  <c:v>947</c:v>
                </c:pt>
                <c:pt idx="8">
                  <c:v>965</c:v>
                </c:pt>
                <c:pt idx="9">
                  <c:v>953</c:v>
                </c:pt>
                <c:pt idx="10">
                  <c:v>900</c:v>
                </c:pt>
                <c:pt idx="11">
                  <c:v>818</c:v>
                </c:pt>
                <c:pt idx="12">
                  <c:v>725</c:v>
                </c:pt>
                <c:pt idx="13">
                  <c:v>637</c:v>
                </c:pt>
                <c:pt idx="14">
                  <c:v>561</c:v>
                </c:pt>
                <c:pt idx="15">
                  <c:v>491</c:v>
                </c:pt>
                <c:pt idx="16">
                  <c:v>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B1A-4BE3-9B93-99F49A24E79C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goldenOTP_check!$I$25:$Y$25</c:f>
              <c:numCache>
                <c:formatCode>General</c:formatCode>
                <c:ptCount val="17"/>
                <c:pt idx="0">
                  <c:v>392</c:v>
                </c:pt>
                <c:pt idx="1">
                  <c:v>462</c:v>
                </c:pt>
                <c:pt idx="2">
                  <c:v>526</c:v>
                </c:pt>
                <c:pt idx="3">
                  <c:v>596</c:v>
                </c:pt>
                <c:pt idx="4">
                  <c:v>672</c:v>
                </c:pt>
                <c:pt idx="5">
                  <c:v>748</c:v>
                </c:pt>
                <c:pt idx="6">
                  <c:v>813</c:v>
                </c:pt>
                <c:pt idx="7">
                  <c:v>859</c:v>
                </c:pt>
                <c:pt idx="8">
                  <c:v>883</c:v>
                </c:pt>
                <c:pt idx="9">
                  <c:v>865</c:v>
                </c:pt>
                <c:pt idx="10">
                  <c:v>818</c:v>
                </c:pt>
                <c:pt idx="11">
                  <c:v>754</c:v>
                </c:pt>
                <c:pt idx="12">
                  <c:v>678</c:v>
                </c:pt>
                <c:pt idx="13">
                  <c:v>602</c:v>
                </c:pt>
                <c:pt idx="14">
                  <c:v>532</c:v>
                </c:pt>
                <c:pt idx="15">
                  <c:v>468</c:v>
                </c:pt>
                <c:pt idx="16">
                  <c:v>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B1A-4BE3-9B93-99F49A24E79C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goldenOTP_check!$I$26:$Y$26</c:f>
              <c:numCache>
                <c:formatCode>General</c:formatCode>
                <c:ptCount val="17"/>
                <c:pt idx="0">
                  <c:v>364</c:v>
                </c:pt>
                <c:pt idx="1">
                  <c:v>427</c:v>
                </c:pt>
                <c:pt idx="2">
                  <c:v>497</c:v>
                </c:pt>
                <c:pt idx="3">
                  <c:v>555</c:v>
                </c:pt>
                <c:pt idx="4">
                  <c:v>614</c:v>
                </c:pt>
                <c:pt idx="5">
                  <c:v>672</c:v>
                </c:pt>
                <c:pt idx="6">
                  <c:v>725</c:v>
                </c:pt>
                <c:pt idx="7">
                  <c:v>766</c:v>
                </c:pt>
                <c:pt idx="8">
                  <c:v>777</c:v>
                </c:pt>
                <c:pt idx="9">
                  <c:v>766</c:v>
                </c:pt>
                <c:pt idx="10">
                  <c:v>731</c:v>
                </c:pt>
                <c:pt idx="11">
                  <c:v>678</c:v>
                </c:pt>
                <c:pt idx="12">
                  <c:v>614</c:v>
                </c:pt>
                <c:pt idx="13">
                  <c:v>555</c:v>
                </c:pt>
                <c:pt idx="14">
                  <c:v>497</c:v>
                </c:pt>
                <c:pt idx="15">
                  <c:v>433</c:v>
                </c:pt>
                <c:pt idx="16">
                  <c:v>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B1A-4BE3-9B93-99F49A24E79C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goldenOTP_check!$I$27:$Y$27</c:f>
              <c:numCache>
                <c:formatCode>General</c:formatCode>
                <c:ptCount val="17"/>
                <c:pt idx="0">
                  <c:v>339</c:v>
                </c:pt>
                <c:pt idx="1">
                  <c:v>386</c:v>
                </c:pt>
                <c:pt idx="2">
                  <c:v>450</c:v>
                </c:pt>
                <c:pt idx="3">
                  <c:v>509</c:v>
                </c:pt>
                <c:pt idx="4">
                  <c:v>555</c:v>
                </c:pt>
                <c:pt idx="5">
                  <c:v>602</c:v>
                </c:pt>
                <c:pt idx="6">
                  <c:v>643</c:v>
                </c:pt>
                <c:pt idx="7">
                  <c:v>666</c:v>
                </c:pt>
                <c:pt idx="8">
                  <c:v>678</c:v>
                </c:pt>
                <c:pt idx="9">
                  <c:v>666</c:v>
                </c:pt>
                <c:pt idx="10">
                  <c:v>643</c:v>
                </c:pt>
                <c:pt idx="11">
                  <c:v>602</c:v>
                </c:pt>
                <c:pt idx="12">
                  <c:v>561</c:v>
                </c:pt>
                <c:pt idx="13">
                  <c:v>509</c:v>
                </c:pt>
                <c:pt idx="14">
                  <c:v>450</c:v>
                </c:pt>
                <c:pt idx="15">
                  <c:v>392</c:v>
                </c:pt>
                <c:pt idx="16">
                  <c:v>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B1A-4BE3-9B93-99F49A24E79C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goldenOTP_check!$I$28:$Y$28</c:f>
              <c:numCache>
                <c:formatCode>General</c:formatCode>
                <c:ptCount val="17"/>
                <c:pt idx="0">
                  <c:v>308</c:v>
                </c:pt>
                <c:pt idx="1">
                  <c:v>347</c:v>
                </c:pt>
                <c:pt idx="2">
                  <c:v>396</c:v>
                </c:pt>
                <c:pt idx="3">
                  <c:v>446</c:v>
                </c:pt>
                <c:pt idx="4">
                  <c:v>493</c:v>
                </c:pt>
                <c:pt idx="5">
                  <c:v>532</c:v>
                </c:pt>
                <c:pt idx="6">
                  <c:v>557</c:v>
                </c:pt>
                <c:pt idx="7">
                  <c:v>581</c:v>
                </c:pt>
                <c:pt idx="8">
                  <c:v>585</c:v>
                </c:pt>
                <c:pt idx="9">
                  <c:v>581</c:v>
                </c:pt>
                <c:pt idx="10">
                  <c:v>557</c:v>
                </c:pt>
                <c:pt idx="11">
                  <c:v>532</c:v>
                </c:pt>
                <c:pt idx="12">
                  <c:v>499</c:v>
                </c:pt>
                <c:pt idx="13">
                  <c:v>454</c:v>
                </c:pt>
                <c:pt idx="14">
                  <c:v>396</c:v>
                </c:pt>
                <c:pt idx="15">
                  <c:v>345</c:v>
                </c:pt>
                <c:pt idx="16">
                  <c:v>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B1A-4BE3-9B93-99F49A24E79C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500995631"/>
        <c:axId val="1929076815"/>
        <c:axId val="1922799119"/>
      </c:surface3DChart>
      <c:catAx>
        <c:axId val="15009956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9076815"/>
        <c:crosses val="autoZero"/>
        <c:auto val="1"/>
        <c:lblAlgn val="ctr"/>
        <c:lblOffset val="100"/>
        <c:noMultiLvlLbl val="0"/>
      </c:catAx>
      <c:valAx>
        <c:axId val="1929076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00995631"/>
        <c:crosses val="autoZero"/>
        <c:crossBetween val="midCat"/>
      </c:valAx>
      <c:serAx>
        <c:axId val="19227991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90768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goldenOTP_check!$I$30:$Y$30</c:f>
              <c:numCache>
                <c:formatCode>General</c:formatCode>
                <c:ptCount val="17"/>
                <c:pt idx="0">
                  <c:v>312</c:v>
                </c:pt>
                <c:pt idx="1">
                  <c:v>351</c:v>
                </c:pt>
                <c:pt idx="2">
                  <c:v>399</c:v>
                </c:pt>
                <c:pt idx="3">
                  <c:v>459</c:v>
                </c:pt>
                <c:pt idx="4">
                  <c:v>504</c:v>
                </c:pt>
                <c:pt idx="5">
                  <c:v>537</c:v>
                </c:pt>
                <c:pt idx="6">
                  <c:v>562</c:v>
                </c:pt>
                <c:pt idx="7">
                  <c:v>585</c:v>
                </c:pt>
                <c:pt idx="8">
                  <c:v>589</c:v>
                </c:pt>
                <c:pt idx="9">
                  <c:v>585</c:v>
                </c:pt>
                <c:pt idx="10">
                  <c:v>562</c:v>
                </c:pt>
                <c:pt idx="11">
                  <c:v>537</c:v>
                </c:pt>
                <c:pt idx="12">
                  <c:v>504</c:v>
                </c:pt>
                <c:pt idx="13">
                  <c:v>457</c:v>
                </c:pt>
                <c:pt idx="14">
                  <c:v>407</c:v>
                </c:pt>
                <c:pt idx="15">
                  <c:v>357</c:v>
                </c:pt>
                <c:pt idx="16">
                  <c:v>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89-4323-AF61-4291B74D5CE7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goldenOTP_check!$I$31:$Y$31</c:f>
              <c:numCache>
                <c:formatCode>General</c:formatCode>
                <c:ptCount val="17"/>
                <c:pt idx="0">
                  <c:v>343</c:v>
                </c:pt>
                <c:pt idx="1">
                  <c:v>389</c:v>
                </c:pt>
                <c:pt idx="2">
                  <c:v>453</c:v>
                </c:pt>
                <c:pt idx="3">
                  <c:v>506</c:v>
                </c:pt>
                <c:pt idx="4">
                  <c:v>558</c:v>
                </c:pt>
                <c:pt idx="5">
                  <c:v>599</c:v>
                </c:pt>
                <c:pt idx="6">
                  <c:v>639</c:v>
                </c:pt>
                <c:pt idx="7">
                  <c:v>663</c:v>
                </c:pt>
                <c:pt idx="8">
                  <c:v>674</c:v>
                </c:pt>
                <c:pt idx="9">
                  <c:v>663</c:v>
                </c:pt>
                <c:pt idx="10">
                  <c:v>639</c:v>
                </c:pt>
                <c:pt idx="11">
                  <c:v>599</c:v>
                </c:pt>
                <c:pt idx="12">
                  <c:v>558</c:v>
                </c:pt>
                <c:pt idx="13">
                  <c:v>512</c:v>
                </c:pt>
                <c:pt idx="14">
                  <c:v>453</c:v>
                </c:pt>
                <c:pt idx="15">
                  <c:v>395</c:v>
                </c:pt>
                <c:pt idx="16">
                  <c:v>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89-4323-AF61-4291B74D5CE7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goldenOTP_check!$I$32:$Y$32</c:f>
              <c:numCache>
                <c:formatCode>General</c:formatCode>
                <c:ptCount val="17"/>
                <c:pt idx="0">
                  <c:v>368</c:v>
                </c:pt>
                <c:pt idx="1">
                  <c:v>430</c:v>
                </c:pt>
                <c:pt idx="2">
                  <c:v>494</c:v>
                </c:pt>
                <c:pt idx="3">
                  <c:v>552</c:v>
                </c:pt>
                <c:pt idx="4">
                  <c:v>610</c:v>
                </c:pt>
                <c:pt idx="5">
                  <c:v>668</c:v>
                </c:pt>
                <c:pt idx="6">
                  <c:v>721</c:v>
                </c:pt>
                <c:pt idx="7">
                  <c:v>761</c:v>
                </c:pt>
                <c:pt idx="8">
                  <c:v>773</c:v>
                </c:pt>
                <c:pt idx="9">
                  <c:v>761</c:v>
                </c:pt>
                <c:pt idx="10">
                  <c:v>727</c:v>
                </c:pt>
                <c:pt idx="11">
                  <c:v>668</c:v>
                </c:pt>
                <c:pt idx="12">
                  <c:v>610</c:v>
                </c:pt>
                <c:pt idx="13">
                  <c:v>552</c:v>
                </c:pt>
                <c:pt idx="14">
                  <c:v>500</c:v>
                </c:pt>
                <c:pt idx="15">
                  <c:v>436</c:v>
                </c:pt>
                <c:pt idx="16">
                  <c:v>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89-4323-AF61-4291B74D5CE7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goldenOTP_check!$I$33:$Y$33</c:f>
              <c:numCache>
                <c:formatCode>General</c:formatCode>
                <c:ptCount val="17"/>
                <c:pt idx="0">
                  <c:v>395</c:v>
                </c:pt>
                <c:pt idx="1">
                  <c:v>465</c:v>
                </c:pt>
                <c:pt idx="2">
                  <c:v>529</c:v>
                </c:pt>
                <c:pt idx="3">
                  <c:v>593</c:v>
                </c:pt>
                <c:pt idx="4">
                  <c:v>668</c:v>
                </c:pt>
                <c:pt idx="5">
                  <c:v>744</c:v>
                </c:pt>
                <c:pt idx="6">
                  <c:v>808</c:v>
                </c:pt>
                <c:pt idx="7">
                  <c:v>854</c:v>
                </c:pt>
                <c:pt idx="8">
                  <c:v>872</c:v>
                </c:pt>
                <c:pt idx="9">
                  <c:v>854</c:v>
                </c:pt>
                <c:pt idx="10">
                  <c:v>814</c:v>
                </c:pt>
                <c:pt idx="11">
                  <c:v>744</c:v>
                </c:pt>
                <c:pt idx="12">
                  <c:v>668</c:v>
                </c:pt>
                <c:pt idx="13">
                  <c:v>593</c:v>
                </c:pt>
                <c:pt idx="14">
                  <c:v>529</c:v>
                </c:pt>
                <c:pt idx="15">
                  <c:v>465</c:v>
                </c:pt>
                <c:pt idx="16">
                  <c:v>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89-4323-AF61-4291B74D5CE7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goldenOTP_check!$I$34:$Y$34</c:f>
              <c:numCache>
                <c:formatCode>General</c:formatCode>
                <c:ptCount val="17"/>
                <c:pt idx="0">
                  <c:v>419</c:v>
                </c:pt>
                <c:pt idx="1">
                  <c:v>488</c:v>
                </c:pt>
                <c:pt idx="2">
                  <c:v>558</c:v>
                </c:pt>
                <c:pt idx="3">
                  <c:v>634</c:v>
                </c:pt>
                <c:pt idx="4">
                  <c:v>715</c:v>
                </c:pt>
                <c:pt idx="5">
                  <c:v>808</c:v>
                </c:pt>
                <c:pt idx="6">
                  <c:v>884</c:v>
                </c:pt>
                <c:pt idx="7">
                  <c:v>942</c:v>
                </c:pt>
                <c:pt idx="8">
                  <c:v>959</c:v>
                </c:pt>
                <c:pt idx="9">
                  <c:v>942</c:v>
                </c:pt>
                <c:pt idx="10">
                  <c:v>895</c:v>
                </c:pt>
                <c:pt idx="11">
                  <c:v>808</c:v>
                </c:pt>
                <c:pt idx="12">
                  <c:v>721</c:v>
                </c:pt>
                <c:pt idx="13">
                  <c:v>634</c:v>
                </c:pt>
                <c:pt idx="14">
                  <c:v>558</c:v>
                </c:pt>
                <c:pt idx="15">
                  <c:v>488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89-4323-AF61-4291B74D5CE7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goldenOTP_check!$I$35:$Y$35</c:f>
              <c:numCache>
                <c:formatCode>General</c:formatCode>
                <c:ptCount val="17"/>
                <c:pt idx="0">
                  <c:v>430</c:v>
                </c:pt>
                <c:pt idx="1">
                  <c:v>500</c:v>
                </c:pt>
                <c:pt idx="2">
                  <c:v>575</c:v>
                </c:pt>
                <c:pt idx="3">
                  <c:v>657</c:v>
                </c:pt>
                <c:pt idx="4">
                  <c:v>750</c:v>
                </c:pt>
                <c:pt idx="5">
                  <c:v>849</c:v>
                </c:pt>
                <c:pt idx="6">
                  <c:v>936</c:v>
                </c:pt>
                <c:pt idx="7">
                  <c:v>988</c:v>
                </c:pt>
                <c:pt idx="8">
                  <c:v>1006</c:v>
                </c:pt>
                <c:pt idx="9">
                  <c:v>988</c:v>
                </c:pt>
                <c:pt idx="10">
                  <c:v>936</c:v>
                </c:pt>
                <c:pt idx="11">
                  <c:v>860</c:v>
                </c:pt>
                <c:pt idx="12">
                  <c:v>756</c:v>
                </c:pt>
                <c:pt idx="13">
                  <c:v>657</c:v>
                </c:pt>
                <c:pt idx="14">
                  <c:v>575</c:v>
                </c:pt>
                <c:pt idx="15">
                  <c:v>506</c:v>
                </c:pt>
                <c:pt idx="16">
                  <c:v>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89-4323-AF61-4291B74D5CE7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goldenOTP_check!$I$36:$Y$36</c:f>
              <c:numCache>
                <c:formatCode>General</c:formatCode>
                <c:ptCount val="17"/>
                <c:pt idx="0">
                  <c:v>436</c:v>
                </c:pt>
                <c:pt idx="1">
                  <c:v>506</c:v>
                </c:pt>
                <c:pt idx="2">
                  <c:v>575</c:v>
                </c:pt>
                <c:pt idx="3">
                  <c:v>663</c:v>
                </c:pt>
                <c:pt idx="4">
                  <c:v>767</c:v>
                </c:pt>
                <c:pt idx="5">
                  <c:v>866</c:v>
                </c:pt>
                <c:pt idx="6">
                  <c:v>959</c:v>
                </c:pt>
                <c:pt idx="7">
                  <c:v>1000</c:v>
                </c:pt>
                <c:pt idx="8">
                  <c:v>1023</c:v>
                </c:pt>
                <c:pt idx="9">
                  <c:v>1006</c:v>
                </c:pt>
                <c:pt idx="10">
                  <c:v>953</c:v>
                </c:pt>
                <c:pt idx="11">
                  <c:v>878</c:v>
                </c:pt>
                <c:pt idx="12">
                  <c:v>767</c:v>
                </c:pt>
                <c:pt idx="13">
                  <c:v>668</c:v>
                </c:pt>
                <c:pt idx="14">
                  <c:v>581</c:v>
                </c:pt>
                <c:pt idx="15">
                  <c:v>506</c:v>
                </c:pt>
                <c:pt idx="16">
                  <c:v>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89-4323-AF61-4291B74D5CE7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goldenOTP_check!$I$37:$Y$37</c:f>
              <c:numCache>
                <c:formatCode>General</c:formatCode>
                <c:ptCount val="17"/>
                <c:pt idx="0">
                  <c:v>430</c:v>
                </c:pt>
                <c:pt idx="1">
                  <c:v>500</c:v>
                </c:pt>
                <c:pt idx="2">
                  <c:v>570</c:v>
                </c:pt>
                <c:pt idx="3">
                  <c:v>657</c:v>
                </c:pt>
                <c:pt idx="4">
                  <c:v>756</c:v>
                </c:pt>
                <c:pt idx="5">
                  <c:v>849</c:v>
                </c:pt>
                <c:pt idx="6">
                  <c:v>942</c:v>
                </c:pt>
                <c:pt idx="7">
                  <c:v>988</c:v>
                </c:pt>
                <c:pt idx="8">
                  <c:v>1006</c:v>
                </c:pt>
                <c:pt idx="9">
                  <c:v>988</c:v>
                </c:pt>
                <c:pt idx="10">
                  <c:v>942</c:v>
                </c:pt>
                <c:pt idx="11">
                  <c:v>860</c:v>
                </c:pt>
                <c:pt idx="12">
                  <c:v>756</c:v>
                </c:pt>
                <c:pt idx="13">
                  <c:v>657</c:v>
                </c:pt>
                <c:pt idx="14">
                  <c:v>575</c:v>
                </c:pt>
                <c:pt idx="15">
                  <c:v>506</c:v>
                </c:pt>
                <c:pt idx="16">
                  <c:v>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89-4323-AF61-4291B74D5CE7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goldenOTP_check!$I$38:$Y$38</c:f>
              <c:numCache>
                <c:formatCode>General</c:formatCode>
                <c:ptCount val="17"/>
                <c:pt idx="0">
                  <c:v>419</c:v>
                </c:pt>
                <c:pt idx="1">
                  <c:v>488</c:v>
                </c:pt>
                <c:pt idx="2">
                  <c:v>558</c:v>
                </c:pt>
                <c:pt idx="3">
                  <c:v>634</c:v>
                </c:pt>
                <c:pt idx="4">
                  <c:v>721</c:v>
                </c:pt>
                <c:pt idx="5">
                  <c:v>808</c:v>
                </c:pt>
                <c:pt idx="6">
                  <c:v>889</c:v>
                </c:pt>
                <c:pt idx="7">
                  <c:v>947</c:v>
                </c:pt>
                <c:pt idx="8">
                  <c:v>965</c:v>
                </c:pt>
                <c:pt idx="9">
                  <c:v>947</c:v>
                </c:pt>
                <c:pt idx="10">
                  <c:v>901</c:v>
                </c:pt>
                <c:pt idx="11">
                  <c:v>814</c:v>
                </c:pt>
                <c:pt idx="12">
                  <c:v>721</c:v>
                </c:pt>
                <c:pt idx="13">
                  <c:v>634</c:v>
                </c:pt>
                <c:pt idx="14">
                  <c:v>558</c:v>
                </c:pt>
                <c:pt idx="15">
                  <c:v>488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89-4323-AF61-4291B74D5CE7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goldenOTP_check!$I$39:$Y$39</c:f>
              <c:numCache>
                <c:formatCode>General</c:formatCode>
                <c:ptCount val="17"/>
                <c:pt idx="0">
                  <c:v>395</c:v>
                </c:pt>
                <c:pt idx="1">
                  <c:v>465</c:v>
                </c:pt>
                <c:pt idx="2">
                  <c:v>529</c:v>
                </c:pt>
                <c:pt idx="3">
                  <c:v>599</c:v>
                </c:pt>
                <c:pt idx="4">
                  <c:v>674</c:v>
                </c:pt>
                <c:pt idx="5">
                  <c:v>750</c:v>
                </c:pt>
                <c:pt idx="6">
                  <c:v>814</c:v>
                </c:pt>
                <c:pt idx="7">
                  <c:v>860</c:v>
                </c:pt>
                <c:pt idx="8">
                  <c:v>878</c:v>
                </c:pt>
                <c:pt idx="9">
                  <c:v>866</c:v>
                </c:pt>
                <c:pt idx="10">
                  <c:v>820</c:v>
                </c:pt>
                <c:pt idx="11">
                  <c:v>750</c:v>
                </c:pt>
                <c:pt idx="12">
                  <c:v>674</c:v>
                </c:pt>
                <c:pt idx="13">
                  <c:v>599</c:v>
                </c:pt>
                <c:pt idx="14">
                  <c:v>529</c:v>
                </c:pt>
                <c:pt idx="15">
                  <c:v>465</c:v>
                </c:pt>
                <c:pt idx="16">
                  <c:v>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89-4323-AF61-4291B74D5CE7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goldenOTP_check!$I$40:$Y$40</c:f>
              <c:numCache>
                <c:formatCode>General</c:formatCode>
                <c:ptCount val="17"/>
                <c:pt idx="0">
                  <c:v>368</c:v>
                </c:pt>
                <c:pt idx="1">
                  <c:v>430</c:v>
                </c:pt>
                <c:pt idx="2">
                  <c:v>494</c:v>
                </c:pt>
                <c:pt idx="3">
                  <c:v>558</c:v>
                </c:pt>
                <c:pt idx="4">
                  <c:v>616</c:v>
                </c:pt>
                <c:pt idx="5">
                  <c:v>674</c:v>
                </c:pt>
                <c:pt idx="6">
                  <c:v>732</c:v>
                </c:pt>
                <c:pt idx="7">
                  <c:v>767</c:v>
                </c:pt>
                <c:pt idx="8">
                  <c:v>779</c:v>
                </c:pt>
                <c:pt idx="9">
                  <c:v>767</c:v>
                </c:pt>
                <c:pt idx="10">
                  <c:v>732</c:v>
                </c:pt>
                <c:pt idx="11">
                  <c:v>680</c:v>
                </c:pt>
                <c:pt idx="12">
                  <c:v>616</c:v>
                </c:pt>
                <c:pt idx="13">
                  <c:v>558</c:v>
                </c:pt>
                <c:pt idx="14">
                  <c:v>494</c:v>
                </c:pt>
                <c:pt idx="15">
                  <c:v>430</c:v>
                </c:pt>
                <c:pt idx="16">
                  <c:v>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89-4323-AF61-4291B74D5CE7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goldenOTP_check!$I$41:$Y$41</c:f>
              <c:numCache>
                <c:formatCode>General</c:formatCode>
                <c:ptCount val="17"/>
                <c:pt idx="0">
                  <c:v>335</c:v>
                </c:pt>
                <c:pt idx="1">
                  <c:v>389</c:v>
                </c:pt>
                <c:pt idx="2">
                  <c:v>453</c:v>
                </c:pt>
                <c:pt idx="3">
                  <c:v>506</c:v>
                </c:pt>
                <c:pt idx="4">
                  <c:v>558</c:v>
                </c:pt>
                <c:pt idx="5">
                  <c:v>605</c:v>
                </c:pt>
                <c:pt idx="6">
                  <c:v>645</c:v>
                </c:pt>
                <c:pt idx="7">
                  <c:v>668</c:v>
                </c:pt>
                <c:pt idx="8">
                  <c:v>680</c:v>
                </c:pt>
                <c:pt idx="9">
                  <c:v>668</c:v>
                </c:pt>
                <c:pt idx="10">
                  <c:v>645</c:v>
                </c:pt>
                <c:pt idx="11">
                  <c:v>605</c:v>
                </c:pt>
                <c:pt idx="12">
                  <c:v>558</c:v>
                </c:pt>
                <c:pt idx="13">
                  <c:v>512</c:v>
                </c:pt>
                <c:pt idx="14">
                  <c:v>453</c:v>
                </c:pt>
                <c:pt idx="15">
                  <c:v>389</c:v>
                </c:pt>
                <c:pt idx="16">
                  <c:v>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89-4323-AF61-4291B74D5CE7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goldenOTP_check!$I$42:$Y$42</c:f>
              <c:numCache>
                <c:formatCode>General</c:formatCode>
                <c:ptCount val="17"/>
                <c:pt idx="0">
                  <c:v>304</c:v>
                </c:pt>
                <c:pt idx="1">
                  <c:v>343</c:v>
                </c:pt>
                <c:pt idx="2">
                  <c:v>399</c:v>
                </c:pt>
                <c:pt idx="3">
                  <c:v>451</c:v>
                </c:pt>
                <c:pt idx="4">
                  <c:v>496</c:v>
                </c:pt>
                <c:pt idx="5">
                  <c:v>535</c:v>
                </c:pt>
                <c:pt idx="6">
                  <c:v>560</c:v>
                </c:pt>
                <c:pt idx="7">
                  <c:v>583</c:v>
                </c:pt>
                <c:pt idx="8">
                  <c:v>587</c:v>
                </c:pt>
                <c:pt idx="9">
                  <c:v>583</c:v>
                </c:pt>
                <c:pt idx="10">
                  <c:v>560</c:v>
                </c:pt>
                <c:pt idx="11">
                  <c:v>535</c:v>
                </c:pt>
                <c:pt idx="12">
                  <c:v>496</c:v>
                </c:pt>
                <c:pt idx="13">
                  <c:v>450</c:v>
                </c:pt>
                <c:pt idx="14">
                  <c:v>399</c:v>
                </c:pt>
                <c:pt idx="15">
                  <c:v>343</c:v>
                </c:pt>
                <c:pt idx="16">
                  <c:v>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89-4323-AF61-4291B74D5CE7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21656607"/>
        <c:axId val="2040730575"/>
        <c:axId val="1499086543"/>
      </c:surface3DChart>
      <c:catAx>
        <c:axId val="192165660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0575"/>
        <c:crosses val="autoZero"/>
        <c:auto val="1"/>
        <c:lblAlgn val="ctr"/>
        <c:lblOffset val="100"/>
        <c:noMultiLvlLbl val="0"/>
      </c:catAx>
      <c:valAx>
        <c:axId val="2040730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1656607"/>
        <c:crosses val="autoZero"/>
        <c:crossBetween val="midCat"/>
      </c:valAx>
      <c:serAx>
        <c:axId val="14990865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057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goldenOTP_check!$I$44:$Y$44</c:f>
              <c:numCache>
                <c:formatCode>General</c:formatCode>
                <c:ptCount val="17"/>
                <c:pt idx="0">
                  <c:v>317</c:v>
                </c:pt>
                <c:pt idx="1">
                  <c:v>358</c:v>
                </c:pt>
                <c:pt idx="2">
                  <c:v>406</c:v>
                </c:pt>
                <c:pt idx="3">
                  <c:v>471</c:v>
                </c:pt>
                <c:pt idx="4">
                  <c:v>508</c:v>
                </c:pt>
                <c:pt idx="5">
                  <c:v>546</c:v>
                </c:pt>
                <c:pt idx="6">
                  <c:v>576</c:v>
                </c:pt>
                <c:pt idx="7">
                  <c:v>593</c:v>
                </c:pt>
                <c:pt idx="8">
                  <c:v>590</c:v>
                </c:pt>
                <c:pt idx="9">
                  <c:v>593</c:v>
                </c:pt>
                <c:pt idx="10">
                  <c:v>573</c:v>
                </c:pt>
                <c:pt idx="11">
                  <c:v>546</c:v>
                </c:pt>
                <c:pt idx="12">
                  <c:v>508</c:v>
                </c:pt>
                <c:pt idx="13">
                  <c:v>467</c:v>
                </c:pt>
                <c:pt idx="14">
                  <c:v>419</c:v>
                </c:pt>
                <c:pt idx="15">
                  <c:v>358</c:v>
                </c:pt>
                <c:pt idx="16">
                  <c:v>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64-4587-B896-5A6A4C0B4A70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goldenOTP_check!$I$45:$Y$45</c:f>
              <c:numCache>
                <c:formatCode>General</c:formatCode>
                <c:ptCount val="17"/>
                <c:pt idx="0">
                  <c:v>344</c:v>
                </c:pt>
                <c:pt idx="1">
                  <c:v>399</c:v>
                </c:pt>
                <c:pt idx="2">
                  <c:v>460</c:v>
                </c:pt>
                <c:pt idx="3">
                  <c:v>512</c:v>
                </c:pt>
                <c:pt idx="4">
                  <c:v>563</c:v>
                </c:pt>
                <c:pt idx="5">
                  <c:v>614</c:v>
                </c:pt>
                <c:pt idx="6">
                  <c:v>644</c:v>
                </c:pt>
                <c:pt idx="7">
                  <c:v>675</c:v>
                </c:pt>
                <c:pt idx="8">
                  <c:v>685</c:v>
                </c:pt>
                <c:pt idx="9">
                  <c:v>675</c:v>
                </c:pt>
                <c:pt idx="10">
                  <c:v>655</c:v>
                </c:pt>
                <c:pt idx="11">
                  <c:v>614</c:v>
                </c:pt>
                <c:pt idx="12">
                  <c:v>563</c:v>
                </c:pt>
                <c:pt idx="13">
                  <c:v>522</c:v>
                </c:pt>
                <c:pt idx="14">
                  <c:v>460</c:v>
                </c:pt>
                <c:pt idx="15">
                  <c:v>399</c:v>
                </c:pt>
                <c:pt idx="16">
                  <c:v>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64-4587-B896-5A6A4C0B4A70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goldenOTP_check!$I$46:$Y$46</c:f>
              <c:numCache>
                <c:formatCode>General</c:formatCode>
                <c:ptCount val="17"/>
                <c:pt idx="0">
                  <c:v>372</c:v>
                </c:pt>
                <c:pt idx="1">
                  <c:v>440</c:v>
                </c:pt>
                <c:pt idx="2">
                  <c:v>501</c:v>
                </c:pt>
                <c:pt idx="3">
                  <c:v>563</c:v>
                </c:pt>
                <c:pt idx="4">
                  <c:v>624</c:v>
                </c:pt>
                <c:pt idx="5">
                  <c:v>685</c:v>
                </c:pt>
                <c:pt idx="6">
                  <c:v>737</c:v>
                </c:pt>
                <c:pt idx="7">
                  <c:v>777</c:v>
                </c:pt>
                <c:pt idx="8">
                  <c:v>788</c:v>
                </c:pt>
                <c:pt idx="9">
                  <c:v>777</c:v>
                </c:pt>
                <c:pt idx="10">
                  <c:v>737</c:v>
                </c:pt>
                <c:pt idx="11">
                  <c:v>685</c:v>
                </c:pt>
                <c:pt idx="12">
                  <c:v>624</c:v>
                </c:pt>
                <c:pt idx="13">
                  <c:v>563</c:v>
                </c:pt>
                <c:pt idx="14">
                  <c:v>501</c:v>
                </c:pt>
                <c:pt idx="15">
                  <c:v>440</c:v>
                </c:pt>
                <c:pt idx="16">
                  <c:v>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64-4587-B896-5A6A4C0B4A70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goldenOTP_check!$I$47:$Y$47</c:f>
              <c:numCache>
                <c:formatCode>General</c:formatCode>
                <c:ptCount val="17"/>
                <c:pt idx="0">
                  <c:v>402</c:v>
                </c:pt>
                <c:pt idx="1">
                  <c:v>471</c:v>
                </c:pt>
                <c:pt idx="2">
                  <c:v>532</c:v>
                </c:pt>
                <c:pt idx="3">
                  <c:v>604</c:v>
                </c:pt>
                <c:pt idx="4">
                  <c:v>675</c:v>
                </c:pt>
                <c:pt idx="5">
                  <c:v>757</c:v>
                </c:pt>
                <c:pt idx="6">
                  <c:v>818</c:v>
                </c:pt>
                <c:pt idx="7">
                  <c:v>870</c:v>
                </c:pt>
                <c:pt idx="8">
                  <c:v>880</c:v>
                </c:pt>
                <c:pt idx="9">
                  <c:v>870</c:v>
                </c:pt>
                <c:pt idx="10">
                  <c:v>829</c:v>
                </c:pt>
                <c:pt idx="11">
                  <c:v>757</c:v>
                </c:pt>
                <c:pt idx="12">
                  <c:v>685</c:v>
                </c:pt>
                <c:pt idx="13">
                  <c:v>604</c:v>
                </c:pt>
                <c:pt idx="14">
                  <c:v>542</c:v>
                </c:pt>
                <c:pt idx="15">
                  <c:v>471</c:v>
                </c:pt>
                <c:pt idx="16">
                  <c:v>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64-4587-B896-5A6A4C0B4A70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goldenOTP_check!$I$48:$Y$48</c:f>
              <c:numCache>
                <c:formatCode>General</c:formatCode>
                <c:ptCount val="17"/>
                <c:pt idx="0">
                  <c:v>423</c:v>
                </c:pt>
                <c:pt idx="1">
                  <c:v>491</c:v>
                </c:pt>
                <c:pt idx="2">
                  <c:v>563</c:v>
                </c:pt>
                <c:pt idx="3">
                  <c:v>644</c:v>
                </c:pt>
                <c:pt idx="4">
                  <c:v>726</c:v>
                </c:pt>
                <c:pt idx="5">
                  <c:v>818</c:v>
                </c:pt>
                <c:pt idx="6">
                  <c:v>890</c:v>
                </c:pt>
                <c:pt idx="7">
                  <c:v>951</c:v>
                </c:pt>
                <c:pt idx="8">
                  <c:v>962</c:v>
                </c:pt>
                <c:pt idx="9">
                  <c:v>951</c:v>
                </c:pt>
                <c:pt idx="10">
                  <c:v>910</c:v>
                </c:pt>
                <c:pt idx="11">
                  <c:v>829</c:v>
                </c:pt>
                <c:pt idx="12">
                  <c:v>737</c:v>
                </c:pt>
                <c:pt idx="13">
                  <c:v>644</c:v>
                </c:pt>
                <c:pt idx="14">
                  <c:v>563</c:v>
                </c:pt>
                <c:pt idx="15">
                  <c:v>491</c:v>
                </c:pt>
                <c:pt idx="16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64-4587-B896-5A6A4C0B4A70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goldenOTP_check!$I$49:$Y$49</c:f>
              <c:numCache>
                <c:formatCode>General</c:formatCode>
                <c:ptCount val="17"/>
                <c:pt idx="0">
                  <c:v>433</c:v>
                </c:pt>
                <c:pt idx="1">
                  <c:v>501</c:v>
                </c:pt>
                <c:pt idx="2">
                  <c:v>583</c:v>
                </c:pt>
                <c:pt idx="3">
                  <c:v>665</c:v>
                </c:pt>
                <c:pt idx="4">
                  <c:v>757</c:v>
                </c:pt>
                <c:pt idx="5">
                  <c:v>859</c:v>
                </c:pt>
                <c:pt idx="6">
                  <c:v>941</c:v>
                </c:pt>
                <c:pt idx="7">
                  <c:v>992</c:v>
                </c:pt>
                <c:pt idx="8">
                  <c:v>1003</c:v>
                </c:pt>
                <c:pt idx="9">
                  <c:v>992</c:v>
                </c:pt>
                <c:pt idx="10">
                  <c:v>951</c:v>
                </c:pt>
                <c:pt idx="11">
                  <c:v>870</c:v>
                </c:pt>
                <c:pt idx="12">
                  <c:v>767</c:v>
                </c:pt>
                <c:pt idx="13">
                  <c:v>665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64-4587-B896-5A6A4C0B4A70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goldenOTP_check!$I$50:$Y$50</c:f>
              <c:numCache>
                <c:formatCode>General</c:formatCode>
                <c:ptCount val="17"/>
                <c:pt idx="0">
                  <c:v>430</c:v>
                </c:pt>
                <c:pt idx="1">
                  <c:v>512</c:v>
                </c:pt>
                <c:pt idx="2">
                  <c:v>583</c:v>
                </c:pt>
                <c:pt idx="3">
                  <c:v>675</c:v>
                </c:pt>
                <c:pt idx="4">
                  <c:v>777</c:v>
                </c:pt>
                <c:pt idx="5">
                  <c:v>870</c:v>
                </c:pt>
                <c:pt idx="6">
                  <c:v>962</c:v>
                </c:pt>
                <c:pt idx="7">
                  <c:v>1003</c:v>
                </c:pt>
                <c:pt idx="8">
                  <c:v>1023</c:v>
                </c:pt>
                <c:pt idx="9">
                  <c:v>1003</c:v>
                </c:pt>
                <c:pt idx="10">
                  <c:v>962</c:v>
                </c:pt>
                <c:pt idx="11">
                  <c:v>890</c:v>
                </c:pt>
                <c:pt idx="12">
                  <c:v>777</c:v>
                </c:pt>
                <c:pt idx="13">
                  <c:v>675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64-4587-B896-5A6A4C0B4A70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goldenOTP_check!$I$51:$Y$51</c:f>
              <c:numCache>
                <c:formatCode>General</c:formatCode>
                <c:ptCount val="17"/>
                <c:pt idx="0">
                  <c:v>433</c:v>
                </c:pt>
                <c:pt idx="1">
                  <c:v>501</c:v>
                </c:pt>
                <c:pt idx="2">
                  <c:v>573</c:v>
                </c:pt>
                <c:pt idx="3">
                  <c:v>665</c:v>
                </c:pt>
                <c:pt idx="4">
                  <c:v>757</c:v>
                </c:pt>
                <c:pt idx="5">
                  <c:v>859</c:v>
                </c:pt>
                <c:pt idx="6">
                  <c:v>951</c:v>
                </c:pt>
                <c:pt idx="7">
                  <c:v>992</c:v>
                </c:pt>
                <c:pt idx="8">
                  <c:v>1003</c:v>
                </c:pt>
                <c:pt idx="9">
                  <c:v>992</c:v>
                </c:pt>
                <c:pt idx="10">
                  <c:v>951</c:v>
                </c:pt>
                <c:pt idx="11">
                  <c:v>870</c:v>
                </c:pt>
                <c:pt idx="12">
                  <c:v>767</c:v>
                </c:pt>
                <c:pt idx="13">
                  <c:v>665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64-4587-B896-5A6A4C0B4A70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goldenOTP_check!$I$52:$Y$52</c:f>
              <c:numCache>
                <c:formatCode>General</c:formatCode>
                <c:ptCount val="17"/>
                <c:pt idx="0">
                  <c:v>409</c:v>
                </c:pt>
                <c:pt idx="1">
                  <c:v>491</c:v>
                </c:pt>
                <c:pt idx="2">
                  <c:v>563</c:v>
                </c:pt>
                <c:pt idx="3">
                  <c:v>634</c:v>
                </c:pt>
                <c:pt idx="4">
                  <c:v>726</c:v>
                </c:pt>
                <c:pt idx="5">
                  <c:v>818</c:v>
                </c:pt>
                <c:pt idx="6">
                  <c:v>900</c:v>
                </c:pt>
                <c:pt idx="7">
                  <c:v>951</c:v>
                </c:pt>
                <c:pt idx="8">
                  <c:v>962</c:v>
                </c:pt>
                <c:pt idx="9">
                  <c:v>951</c:v>
                </c:pt>
                <c:pt idx="10">
                  <c:v>910</c:v>
                </c:pt>
                <c:pt idx="11">
                  <c:v>829</c:v>
                </c:pt>
                <c:pt idx="12">
                  <c:v>737</c:v>
                </c:pt>
                <c:pt idx="13">
                  <c:v>644</c:v>
                </c:pt>
                <c:pt idx="14">
                  <c:v>563</c:v>
                </c:pt>
                <c:pt idx="15">
                  <c:v>491</c:v>
                </c:pt>
                <c:pt idx="16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64-4587-B896-5A6A4C0B4A70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goldenOTP_check!$I$53:$Y$53</c:f>
              <c:numCache>
                <c:formatCode>General</c:formatCode>
                <c:ptCount val="17"/>
                <c:pt idx="0">
                  <c:v>392</c:v>
                </c:pt>
                <c:pt idx="1">
                  <c:v>460</c:v>
                </c:pt>
                <c:pt idx="2">
                  <c:v>532</c:v>
                </c:pt>
                <c:pt idx="3">
                  <c:v>604</c:v>
                </c:pt>
                <c:pt idx="4">
                  <c:v>675</c:v>
                </c:pt>
                <c:pt idx="5">
                  <c:v>757</c:v>
                </c:pt>
                <c:pt idx="6">
                  <c:v>818</c:v>
                </c:pt>
                <c:pt idx="7">
                  <c:v>870</c:v>
                </c:pt>
                <c:pt idx="8">
                  <c:v>880</c:v>
                </c:pt>
                <c:pt idx="9">
                  <c:v>870</c:v>
                </c:pt>
                <c:pt idx="10">
                  <c:v>829</c:v>
                </c:pt>
                <c:pt idx="11">
                  <c:v>757</c:v>
                </c:pt>
                <c:pt idx="12">
                  <c:v>685</c:v>
                </c:pt>
                <c:pt idx="13">
                  <c:v>604</c:v>
                </c:pt>
                <c:pt idx="14">
                  <c:v>532</c:v>
                </c:pt>
                <c:pt idx="15">
                  <c:v>471</c:v>
                </c:pt>
                <c:pt idx="16">
                  <c:v>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64-4587-B896-5A6A4C0B4A70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goldenOTP_check!$I$54:$Y$54</c:f>
              <c:numCache>
                <c:formatCode>General</c:formatCode>
                <c:ptCount val="17"/>
                <c:pt idx="0">
                  <c:v>361</c:v>
                </c:pt>
                <c:pt idx="1">
                  <c:v>430</c:v>
                </c:pt>
                <c:pt idx="2">
                  <c:v>501</c:v>
                </c:pt>
                <c:pt idx="3">
                  <c:v>563</c:v>
                </c:pt>
                <c:pt idx="4">
                  <c:v>624</c:v>
                </c:pt>
                <c:pt idx="5">
                  <c:v>685</c:v>
                </c:pt>
                <c:pt idx="6">
                  <c:v>737</c:v>
                </c:pt>
                <c:pt idx="7">
                  <c:v>767</c:v>
                </c:pt>
                <c:pt idx="8">
                  <c:v>788</c:v>
                </c:pt>
                <c:pt idx="9">
                  <c:v>767</c:v>
                </c:pt>
                <c:pt idx="10">
                  <c:v>737</c:v>
                </c:pt>
                <c:pt idx="11">
                  <c:v>685</c:v>
                </c:pt>
                <c:pt idx="12">
                  <c:v>624</c:v>
                </c:pt>
                <c:pt idx="13">
                  <c:v>563</c:v>
                </c:pt>
                <c:pt idx="14">
                  <c:v>501</c:v>
                </c:pt>
                <c:pt idx="15">
                  <c:v>430</c:v>
                </c:pt>
                <c:pt idx="16">
                  <c:v>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64-4587-B896-5A6A4C0B4A70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goldenOTP_check!$I$55:$Y$55</c:f>
              <c:numCache>
                <c:formatCode>General</c:formatCode>
                <c:ptCount val="17"/>
                <c:pt idx="0">
                  <c:v>334</c:v>
                </c:pt>
                <c:pt idx="1">
                  <c:v>389</c:v>
                </c:pt>
                <c:pt idx="2">
                  <c:v>450</c:v>
                </c:pt>
                <c:pt idx="3">
                  <c:v>512</c:v>
                </c:pt>
                <c:pt idx="4">
                  <c:v>563</c:v>
                </c:pt>
                <c:pt idx="5">
                  <c:v>604</c:v>
                </c:pt>
                <c:pt idx="6">
                  <c:v>644</c:v>
                </c:pt>
                <c:pt idx="7">
                  <c:v>675</c:v>
                </c:pt>
                <c:pt idx="8">
                  <c:v>685</c:v>
                </c:pt>
                <c:pt idx="9">
                  <c:v>675</c:v>
                </c:pt>
                <c:pt idx="10">
                  <c:v>644</c:v>
                </c:pt>
                <c:pt idx="11">
                  <c:v>604</c:v>
                </c:pt>
                <c:pt idx="12">
                  <c:v>563</c:v>
                </c:pt>
                <c:pt idx="13">
                  <c:v>512</c:v>
                </c:pt>
                <c:pt idx="14">
                  <c:v>450</c:v>
                </c:pt>
                <c:pt idx="15">
                  <c:v>389</c:v>
                </c:pt>
                <c:pt idx="16">
                  <c:v>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64-4587-B896-5A6A4C0B4A70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goldenOTP_check!$I$56:$Y$56</c:f>
              <c:numCache>
                <c:formatCode>General</c:formatCode>
                <c:ptCount val="17"/>
                <c:pt idx="0">
                  <c:v>307</c:v>
                </c:pt>
                <c:pt idx="1">
                  <c:v>348</c:v>
                </c:pt>
                <c:pt idx="2">
                  <c:v>396</c:v>
                </c:pt>
                <c:pt idx="3">
                  <c:v>457</c:v>
                </c:pt>
                <c:pt idx="4">
                  <c:v>494</c:v>
                </c:pt>
                <c:pt idx="5">
                  <c:v>535</c:v>
                </c:pt>
                <c:pt idx="6">
                  <c:v>563</c:v>
                </c:pt>
                <c:pt idx="7">
                  <c:v>580</c:v>
                </c:pt>
                <c:pt idx="8">
                  <c:v>590</c:v>
                </c:pt>
                <c:pt idx="9">
                  <c:v>580</c:v>
                </c:pt>
                <c:pt idx="10">
                  <c:v>563</c:v>
                </c:pt>
                <c:pt idx="11">
                  <c:v>535</c:v>
                </c:pt>
                <c:pt idx="12">
                  <c:v>494</c:v>
                </c:pt>
                <c:pt idx="13">
                  <c:v>457</c:v>
                </c:pt>
                <c:pt idx="14">
                  <c:v>396</c:v>
                </c:pt>
                <c:pt idx="15">
                  <c:v>348</c:v>
                </c:pt>
                <c:pt idx="16">
                  <c:v>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64-4587-B896-5A6A4C0B4A70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07498655"/>
        <c:axId val="2040731407"/>
        <c:axId val="1502001471"/>
      </c:surface3DChart>
      <c:catAx>
        <c:axId val="10749865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1407"/>
        <c:crosses val="autoZero"/>
        <c:auto val="1"/>
        <c:lblAlgn val="ctr"/>
        <c:lblOffset val="100"/>
        <c:noMultiLvlLbl val="0"/>
      </c:catAx>
      <c:valAx>
        <c:axId val="2040731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498655"/>
        <c:crosses val="autoZero"/>
        <c:crossBetween val="midCat"/>
      </c:valAx>
      <c:serAx>
        <c:axId val="15020014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140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400" b="0"/>
              <a:t>r_gain x r_otp</a:t>
            </a:r>
            <a:endParaRPr lang="zh-TW" sz="1400" b="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'(default)'!$I$2:$Y$2</c:f>
              <c:numCache>
                <c:formatCode>General</c:formatCode>
                <c:ptCount val="17"/>
                <c:pt idx="0">
                  <c:v>1302.6626100000001</c:v>
                </c:pt>
                <c:pt idx="1">
                  <c:v>1291.8685390000001</c:v>
                </c:pt>
                <c:pt idx="2">
                  <c:v>1312.6075149999999</c:v>
                </c:pt>
                <c:pt idx="3">
                  <c:v>1277.3524399999999</c:v>
                </c:pt>
                <c:pt idx="4">
                  <c:v>1256.24863</c:v>
                </c:pt>
                <c:pt idx="5">
                  <c:v>1246.999838</c:v>
                </c:pt>
                <c:pt idx="6">
                  <c:v>1234.2611039999999</c:v>
                </c:pt>
                <c:pt idx="7">
                  <c:v>1219.352112</c:v>
                </c:pt>
                <c:pt idx="8">
                  <c:v>1222.09907</c:v>
                </c:pt>
                <c:pt idx="9">
                  <c:v>1215.1786139999999</c:v>
                </c:pt>
                <c:pt idx="10">
                  <c:v>1215.094374</c:v>
                </c:pt>
                <c:pt idx="11">
                  <c:v>1227.7322720000002</c:v>
                </c:pt>
                <c:pt idx="12">
                  <c:v>1272.1352979999999</c:v>
                </c:pt>
                <c:pt idx="13">
                  <c:v>1292.228826</c:v>
                </c:pt>
                <c:pt idx="14">
                  <c:v>1282.296789</c:v>
                </c:pt>
                <c:pt idx="15">
                  <c:v>1243.3363199999999</c:v>
                </c:pt>
                <c:pt idx="16">
                  <c:v>1279.4606520000002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7-4303-A57C-BB760FB341C9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'(default)'!$I$3:$Y$3</c:f>
              <c:numCache>
                <c:formatCode>General</c:formatCode>
                <c:ptCount val="17"/>
                <c:pt idx="0">
                  <c:v>1289.993424</c:v>
                </c:pt>
                <c:pt idx="1">
                  <c:v>1272.649664</c:v>
                </c:pt>
                <c:pt idx="2">
                  <c:v>1301.4942719999999</c:v>
                </c:pt>
                <c:pt idx="3">
                  <c:v>1274.98588</c:v>
                </c:pt>
                <c:pt idx="4">
                  <c:v>1232.19712</c:v>
                </c:pt>
                <c:pt idx="5">
                  <c:v>1202.776658</c:v>
                </c:pt>
                <c:pt idx="6">
                  <c:v>1194.3784979999998</c:v>
                </c:pt>
                <c:pt idx="7">
                  <c:v>1189.370439</c:v>
                </c:pt>
                <c:pt idx="8">
                  <c:v>1181.69631</c:v>
                </c:pt>
                <c:pt idx="9">
                  <c:v>1182.687314</c:v>
                </c:pt>
                <c:pt idx="10">
                  <c:v>1201.929198</c:v>
                </c:pt>
                <c:pt idx="11">
                  <c:v>1209.6593499999999</c:v>
                </c:pt>
                <c:pt idx="12">
                  <c:v>1208.800256</c:v>
                </c:pt>
                <c:pt idx="13">
                  <c:v>1245.1846819999998</c:v>
                </c:pt>
                <c:pt idx="14">
                  <c:v>1267.3693760000001</c:v>
                </c:pt>
                <c:pt idx="15">
                  <c:v>1271.1199220000001</c:v>
                </c:pt>
                <c:pt idx="16">
                  <c:v>1228.34907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B7-4303-A57C-BB760FB341C9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'(default)'!$I$4:$Y$4</c:f>
              <c:numCache>
                <c:formatCode>General</c:formatCode>
                <c:ptCount val="17"/>
                <c:pt idx="0">
                  <c:v>1300.076241</c:v>
                </c:pt>
                <c:pt idx="1">
                  <c:v>1297.574384</c:v>
                </c:pt>
                <c:pt idx="2">
                  <c:v>1254.762432</c:v>
                </c:pt>
                <c:pt idx="3">
                  <c:v>1234.963968</c:v>
                </c:pt>
                <c:pt idx="4">
                  <c:v>1214.8628749999998</c:v>
                </c:pt>
                <c:pt idx="5">
                  <c:v>1193.19831</c:v>
                </c:pt>
                <c:pt idx="6">
                  <c:v>1164.723714</c:v>
                </c:pt>
                <c:pt idx="7">
                  <c:v>1148.2860900000001</c:v>
                </c:pt>
                <c:pt idx="8">
                  <c:v>1133.552222</c:v>
                </c:pt>
                <c:pt idx="9">
                  <c:v>1139.584425</c:v>
                </c:pt>
                <c:pt idx="10">
                  <c:v>1146.594141</c:v>
                </c:pt>
                <c:pt idx="11">
                  <c:v>1170.773244</c:v>
                </c:pt>
                <c:pt idx="12">
                  <c:v>1187.8056749999998</c:v>
                </c:pt>
                <c:pt idx="13">
                  <c:v>1205.3544959999999</c:v>
                </c:pt>
                <c:pt idx="14">
                  <c:v>1244.6397319999999</c:v>
                </c:pt>
                <c:pt idx="15">
                  <c:v>1254.7142759999999</c:v>
                </c:pt>
                <c:pt idx="16">
                  <c:v>1251.5152149999999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B7-4303-A57C-BB760FB341C9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'(default)'!$I$5:$Y$5</c:f>
              <c:numCache>
                <c:formatCode>General</c:formatCode>
                <c:ptCount val="17"/>
                <c:pt idx="0">
                  <c:v>1293.6310110000002</c:v>
                </c:pt>
                <c:pt idx="1">
                  <c:v>1260.269088</c:v>
                </c:pt>
                <c:pt idx="2">
                  <c:v>1226.36448</c:v>
                </c:pt>
                <c:pt idx="3">
                  <c:v>1209.1742499999998</c:v>
                </c:pt>
                <c:pt idx="4">
                  <c:v>1178.8089</c:v>
                </c:pt>
                <c:pt idx="5">
                  <c:v>1149.470742</c:v>
                </c:pt>
                <c:pt idx="6">
                  <c:v>1123.1367660000001</c:v>
                </c:pt>
                <c:pt idx="7">
                  <c:v>1107.3596680000001</c:v>
                </c:pt>
                <c:pt idx="8">
                  <c:v>1100.3974920000001</c:v>
                </c:pt>
                <c:pt idx="9">
                  <c:v>1096.947496</c:v>
                </c:pt>
                <c:pt idx="10">
                  <c:v>1104.3412080000001</c:v>
                </c:pt>
                <c:pt idx="11">
                  <c:v>1138.13255</c:v>
                </c:pt>
                <c:pt idx="12">
                  <c:v>1164.1704569999999</c:v>
                </c:pt>
                <c:pt idx="13">
                  <c:v>1176.4810480000001</c:v>
                </c:pt>
                <c:pt idx="14">
                  <c:v>1212.4937299999999</c:v>
                </c:pt>
                <c:pt idx="15">
                  <c:v>1243.4888880000001</c:v>
                </c:pt>
                <c:pt idx="16">
                  <c:v>1225.45858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B7-4303-A57C-BB760FB341C9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'(default)'!$I$6:$Y$6</c:f>
              <c:numCache>
                <c:formatCode>General</c:formatCode>
                <c:ptCount val="17"/>
                <c:pt idx="0">
                  <c:v>1296.09716</c:v>
                </c:pt>
                <c:pt idx="1">
                  <c:v>1242.8262520000001</c:v>
                </c:pt>
                <c:pt idx="2">
                  <c:v>1222.8884479999999</c:v>
                </c:pt>
                <c:pt idx="3">
                  <c:v>1206.195516</c:v>
                </c:pt>
                <c:pt idx="4">
                  <c:v>1155.3584680000001</c:v>
                </c:pt>
                <c:pt idx="5">
                  <c:v>1114.0104200000001</c:v>
                </c:pt>
                <c:pt idx="6">
                  <c:v>1085.3683469999999</c:v>
                </c:pt>
                <c:pt idx="7">
                  <c:v>1086.4244299999998</c:v>
                </c:pt>
                <c:pt idx="8">
                  <c:v>1062.348708</c:v>
                </c:pt>
                <c:pt idx="9">
                  <c:v>1074.11787</c:v>
                </c:pt>
                <c:pt idx="10">
                  <c:v>1089.7067999999999</c:v>
                </c:pt>
                <c:pt idx="11">
                  <c:v>1097.2323180000001</c:v>
                </c:pt>
                <c:pt idx="12">
                  <c:v>1134.2760660000001</c:v>
                </c:pt>
                <c:pt idx="13">
                  <c:v>1168.142736</c:v>
                </c:pt>
                <c:pt idx="14">
                  <c:v>1180.6771200000001</c:v>
                </c:pt>
                <c:pt idx="15">
                  <c:v>1223.2752</c:v>
                </c:pt>
                <c:pt idx="16">
                  <c:v>1228.4307489999999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B7-4303-A57C-BB760FB341C9}"/>
            </c:ext>
          </c:extLst>
        </c:ser>
        <c:ser>
          <c:idx val="5"/>
          <c:order val="5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'(default)'!$I$7:$Y$7</c:f>
              <c:numCache>
                <c:formatCode>General</c:formatCode>
                <c:ptCount val="17"/>
                <c:pt idx="0">
                  <c:v>1273.300821</c:v>
                </c:pt>
                <c:pt idx="1">
                  <c:v>1251.321494</c:v>
                </c:pt>
                <c:pt idx="2">
                  <c:v>1194.9754500000001</c:v>
                </c:pt>
                <c:pt idx="3">
                  <c:v>1185.5755260000001</c:v>
                </c:pt>
                <c:pt idx="4">
                  <c:v>1148.5326749999999</c:v>
                </c:pt>
                <c:pt idx="5">
                  <c:v>1105.9363500000002</c:v>
                </c:pt>
                <c:pt idx="6">
                  <c:v>1081.4382000000001</c:v>
                </c:pt>
                <c:pt idx="7">
                  <c:v>1048.6558600000001</c:v>
                </c:pt>
                <c:pt idx="8">
                  <c:v>1036.1972580000001</c:v>
                </c:pt>
                <c:pt idx="9">
                  <c:v>1036.2225999999998</c:v>
                </c:pt>
                <c:pt idx="10">
                  <c:v>1056.26088</c:v>
                </c:pt>
                <c:pt idx="11">
                  <c:v>1085.4525120000001</c:v>
                </c:pt>
                <c:pt idx="12">
                  <c:v>1106.1680249999999</c:v>
                </c:pt>
                <c:pt idx="13">
                  <c:v>1141.4459999999999</c:v>
                </c:pt>
                <c:pt idx="14">
                  <c:v>1175.349747</c:v>
                </c:pt>
                <c:pt idx="15">
                  <c:v>1200.330064</c:v>
                </c:pt>
                <c:pt idx="16">
                  <c:v>1210.8591450000001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B7-4303-A57C-BB760FB341C9}"/>
            </c:ext>
          </c:extLst>
        </c:ser>
        <c:ser>
          <c:idx val="6"/>
          <c:order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'(default)'!$I$8:$Y$8</c:f>
              <c:numCache>
                <c:formatCode>General</c:formatCode>
                <c:ptCount val="17"/>
                <c:pt idx="0">
                  <c:v>1255.1284619999999</c:v>
                </c:pt>
                <c:pt idx="1">
                  <c:v>1232.7752419999999</c:v>
                </c:pt>
                <c:pt idx="2">
                  <c:v>1201.0845860000002</c:v>
                </c:pt>
                <c:pt idx="3">
                  <c:v>1182.3753300000001</c:v>
                </c:pt>
                <c:pt idx="4">
                  <c:v>1136.1982800000001</c:v>
                </c:pt>
                <c:pt idx="5">
                  <c:v>1090.7966859999999</c:v>
                </c:pt>
                <c:pt idx="6">
                  <c:v>1074.6035039999999</c:v>
                </c:pt>
                <c:pt idx="7">
                  <c:v>1040.6701860000001</c:v>
                </c:pt>
                <c:pt idx="8">
                  <c:v>1027.410153</c:v>
                </c:pt>
                <c:pt idx="9">
                  <c:v>1031.049984</c:v>
                </c:pt>
                <c:pt idx="10">
                  <c:v>1050.828612</c:v>
                </c:pt>
                <c:pt idx="11">
                  <c:v>1069.4658100000001</c:v>
                </c:pt>
                <c:pt idx="12">
                  <c:v>1106.890928</c:v>
                </c:pt>
                <c:pt idx="13">
                  <c:v>1135.306002</c:v>
                </c:pt>
                <c:pt idx="14">
                  <c:v>1176.786885</c:v>
                </c:pt>
                <c:pt idx="15">
                  <c:v>1208.890179</c:v>
                </c:pt>
                <c:pt idx="16">
                  <c:v>1227.053502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B7-4303-A57C-BB760FB341C9}"/>
            </c:ext>
          </c:extLst>
        </c:ser>
        <c:ser>
          <c:idx val="7"/>
          <c:order val="7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'(default)'!$I$9:$Y$9</c:f>
              <c:numCache>
                <c:formatCode>General</c:formatCode>
                <c:ptCount val="17"/>
                <c:pt idx="0">
                  <c:v>1281.2018209999999</c:v>
                </c:pt>
                <c:pt idx="1">
                  <c:v>1219.4698879999999</c:v>
                </c:pt>
                <c:pt idx="2">
                  <c:v>1191.1627620000002</c:v>
                </c:pt>
                <c:pt idx="3">
                  <c:v>1183.550958</c:v>
                </c:pt>
                <c:pt idx="4">
                  <c:v>1145.9727</c:v>
                </c:pt>
                <c:pt idx="5">
                  <c:v>1103.3810249999999</c:v>
                </c:pt>
                <c:pt idx="6">
                  <c:v>1078.942716</c:v>
                </c:pt>
                <c:pt idx="7">
                  <c:v>1048.4059599999998</c:v>
                </c:pt>
                <c:pt idx="8">
                  <c:v>1037.9277120000002</c:v>
                </c:pt>
                <c:pt idx="9">
                  <c:v>1039.48208</c:v>
                </c:pt>
                <c:pt idx="10">
                  <c:v>1056.0550860000001</c:v>
                </c:pt>
                <c:pt idx="11">
                  <c:v>1082.5956060000001</c:v>
                </c:pt>
                <c:pt idx="12">
                  <c:v>1102.3277</c:v>
                </c:pt>
                <c:pt idx="13">
                  <c:v>1137.570522</c:v>
                </c:pt>
                <c:pt idx="14">
                  <c:v>1171.0969399999999</c:v>
                </c:pt>
                <c:pt idx="15">
                  <c:v>1194.110424</c:v>
                </c:pt>
                <c:pt idx="16">
                  <c:v>1205.078139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B7-4303-A57C-BB760FB341C9}"/>
            </c:ext>
          </c:extLst>
        </c:ser>
        <c:ser>
          <c:idx val="8"/>
          <c:order val="8"/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'(default)'!$I$10:$Y$10</c:f>
              <c:numCache>
                <c:formatCode>General</c:formatCode>
                <c:ptCount val="17"/>
                <c:pt idx="0">
                  <c:v>1236.6411660000001</c:v>
                </c:pt>
                <c:pt idx="1">
                  <c:v>1234.509268</c:v>
                </c:pt>
                <c:pt idx="2">
                  <c:v>1190.605959</c:v>
                </c:pt>
                <c:pt idx="3">
                  <c:v>1180.10438</c:v>
                </c:pt>
                <c:pt idx="4">
                  <c:v>1151.7943359999999</c:v>
                </c:pt>
                <c:pt idx="5">
                  <c:v>1110.310252</c:v>
                </c:pt>
                <c:pt idx="6">
                  <c:v>1097.404888</c:v>
                </c:pt>
                <c:pt idx="7">
                  <c:v>1084.13571</c:v>
                </c:pt>
                <c:pt idx="8">
                  <c:v>1075.458083</c:v>
                </c:pt>
                <c:pt idx="9">
                  <c:v>1074.7331980000001</c:v>
                </c:pt>
                <c:pt idx="10">
                  <c:v>1086.083284</c:v>
                </c:pt>
                <c:pt idx="11">
                  <c:v>1092.8912399999999</c:v>
                </c:pt>
                <c:pt idx="12">
                  <c:v>1128.655143</c:v>
                </c:pt>
                <c:pt idx="13">
                  <c:v>1161.053958</c:v>
                </c:pt>
                <c:pt idx="14">
                  <c:v>1172.7815680000001</c:v>
                </c:pt>
                <c:pt idx="15">
                  <c:v>1212.865472</c:v>
                </c:pt>
                <c:pt idx="16">
                  <c:v>1215.642155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B7-4303-A57C-BB760FB341C9}"/>
            </c:ext>
          </c:extLst>
        </c:ser>
        <c:ser>
          <c:idx val="9"/>
          <c:order val="9"/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'(default)'!$I$11:$Y$11</c:f>
              <c:numCache>
                <c:formatCode>General</c:formatCode>
                <c:ptCount val="17"/>
                <c:pt idx="0">
                  <c:v>1224.983565</c:v>
                </c:pt>
                <c:pt idx="1">
                  <c:v>1247.432992</c:v>
                </c:pt>
                <c:pt idx="2">
                  <c:v>1216.66992</c:v>
                </c:pt>
                <c:pt idx="3">
                  <c:v>1202.8287340000002</c:v>
                </c:pt>
                <c:pt idx="4">
                  <c:v>1172.5446890000001</c:v>
                </c:pt>
                <c:pt idx="5">
                  <c:v>1144.136448</c:v>
                </c:pt>
                <c:pt idx="6">
                  <c:v>1119.6580649999999</c:v>
                </c:pt>
                <c:pt idx="7">
                  <c:v>1104.0834460000001</c:v>
                </c:pt>
                <c:pt idx="8">
                  <c:v>1097.637618</c:v>
                </c:pt>
                <c:pt idx="9">
                  <c:v>1107.5821149999999</c:v>
                </c:pt>
                <c:pt idx="10">
                  <c:v>1110.7474279999999</c:v>
                </c:pt>
                <c:pt idx="11">
                  <c:v>1128.3189500000001</c:v>
                </c:pt>
                <c:pt idx="12">
                  <c:v>1154.252538</c:v>
                </c:pt>
                <c:pt idx="13">
                  <c:v>1166.3744260000001</c:v>
                </c:pt>
                <c:pt idx="14">
                  <c:v>1198.01668</c:v>
                </c:pt>
                <c:pt idx="15">
                  <c:v>1226.719824</c:v>
                </c:pt>
                <c:pt idx="16">
                  <c:v>1208.91274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B7-4303-A57C-BB760FB341C9}"/>
            </c:ext>
          </c:extLst>
        </c:ser>
        <c:ser>
          <c:idx val="10"/>
          <c:order val="10"/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'(default)'!$I$12:$Y$12</c:f>
              <c:numCache>
                <c:formatCode>General</c:formatCode>
                <c:ptCount val="17"/>
                <c:pt idx="0">
                  <c:v>1233.2200049999999</c:v>
                </c:pt>
                <c:pt idx="1">
                  <c:v>1246.10304</c:v>
                </c:pt>
                <c:pt idx="2">
                  <c:v>1240.093568</c:v>
                </c:pt>
                <c:pt idx="3">
                  <c:v>1224.99584</c:v>
                </c:pt>
                <c:pt idx="4">
                  <c:v>1205.7209500000001</c:v>
                </c:pt>
                <c:pt idx="5">
                  <c:v>1187.7073829999999</c:v>
                </c:pt>
                <c:pt idx="6">
                  <c:v>1157.9537970000001</c:v>
                </c:pt>
                <c:pt idx="7">
                  <c:v>1142.42814</c:v>
                </c:pt>
                <c:pt idx="8">
                  <c:v>1144.4409270000001</c:v>
                </c:pt>
                <c:pt idx="9">
                  <c:v>1148.594566</c:v>
                </c:pt>
                <c:pt idx="10">
                  <c:v>1151.9140069999999</c:v>
                </c:pt>
                <c:pt idx="11">
                  <c:v>1159.0182</c:v>
                </c:pt>
                <c:pt idx="12">
                  <c:v>1174.221875</c:v>
                </c:pt>
                <c:pt idx="13">
                  <c:v>1188.7037439999999</c:v>
                </c:pt>
                <c:pt idx="14">
                  <c:v>1198.3677439999999</c:v>
                </c:pt>
                <c:pt idx="15">
                  <c:v>1232.6888880000001</c:v>
                </c:pt>
                <c:pt idx="16">
                  <c:v>1177.485195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4B7-4303-A57C-BB760FB341C9}"/>
            </c:ext>
          </c:extLst>
        </c:ser>
        <c:ser>
          <c:idx val="11"/>
          <c:order val="11"/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'(default)'!$I$13:$Y$13</c:f>
              <c:numCache>
                <c:formatCode>General</c:formatCode>
                <c:ptCount val="17"/>
                <c:pt idx="0">
                  <c:v>1194.7529500000001</c:v>
                </c:pt>
                <c:pt idx="1">
                  <c:v>1249.575008</c:v>
                </c:pt>
                <c:pt idx="2">
                  <c:v>1248.6992399999999</c:v>
                </c:pt>
                <c:pt idx="3">
                  <c:v>1229.655804</c:v>
                </c:pt>
                <c:pt idx="4">
                  <c:v>1219.464704</c:v>
                </c:pt>
                <c:pt idx="5">
                  <c:v>1216.92299</c:v>
                </c:pt>
                <c:pt idx="6">
                  <c:v>1207.5961499999999</c:v>
                </c:pt>
                <c:pt idx="7">
                  <c:v>1200.256065</c:v>
                </c:pt>
                <c:pt idx="8">
                  <c:v>1194.3346999999999</c:v>
                </c:pt>
                <c:pt idx="9">
                  <c:v>1192.160574</c:v>
                </c:pt>
                <c:pt idx="10">
                  <c:v>1190.212884</c:v>
                </c:pt>
                <c:pt idx="11">
                  <c:v>1195.7885999999999</c:v>
                </c:pt>
                <c:pt idx="12">
                  <c:v>1214.8834859999999</c:v>
                </c:pt>
                <c:pt idx="13">
                  <c:v>1225.6353549999999</c:v>
                </c:pt>
                <c:pt idx="14">
                  <c:v>1244.6353920000001</c:v>
                </c:pt>
                <c:pt idx="15">
                  <c:v>1211.3031040000001</c:v>
                </c:pt>
                <c:pt idx="16">
                  <c:v>1211.491665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4B7-4303-A57C-BB760FB341C9}"/>
            </c:ext>
          </c:extLst>
        </c:ser>
        <c:ser>
          <c:idx val="12"/>
          <c:order val="12"/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'(default)'!$I$14:$Y$14</c:f>
              <c:numCache>
                <c:formatCode>General</c:formatCode>
                <c:ptCount val="17"/>
                <c:pt idx="0">
                  <c:v>1247.9951840000001</c:v>
                </c:pt>
                <c:pt idx="1">
                  <c:v>1208.9393250000001</c:v>
                </c:pt>
                <c:pt idx="2">
                  <c:v>1255.042054</c:v>
                </c:pt>
                <c:pt idx="3">
                  <c:v>1277.087968</c:v>
                </c:pt>
                <c:pt idx="4">
                  <c:v>1244.28395</c:v>
                </c:pt>
                <c:pt idx="5">
                  <c:v>1199.1595199999999</c:v>
                </c:pt>
                <c:pt idx="6">
                  <c:v>1217.8703700000001</c:v>
                </c:pt>
                <c:pt idx="7">
                  <c:v>1207.0544399999999</c:v>
                </c:pt>
                <c:pt idx="8">
                  <c:v>1212.8358539999999</c:v>
                </c:pt>
                <c:pt idx="9">
                  <c:v>1202.6561400000001</c:v>
                </c:pt>
                <c:pt idx="10">
                  <c:v>1206.2198519999999</c:v>
                </c:pt>
                <c:pt idx="11">
                  <c:v>1212.7428299999999</c:v>
                </c:pt>
                <c:pt idx="12">
                  <c:v>1208.834693</c:v>
                </c:pt>
                <c:pt idx="13">
                  <c:v>1232.8955800000001</c:v>
                </c:pt>
                <c:pt idx="14">
                  <c:v>1214.6362919999999</c:v>
                </c:pt>
                <c:pt idx="15">
                  <c:v>1227.8586599999999</c:v>
                </c:pt>
                <c:pt idx="16">
                  <c:v>1195.6176270000001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4B7-4303-A57C-BB760FB341C9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</c:bandFmts>
        <c:axId val="1922714719"/>
        <c:axId val="1486604127"/>
        <c:axId val="84183327"/>
      </c:surface3DChart>
      <c:catAx>
        <c:axId val="19227147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  <c:auto val="1"/>
        <c:lblAlgn val="ctr"/>
        <c:lblOffset val="100"/>
        <c:noMultiLvlLbl val="0"/>
      </c:catAx>
      <c:valAx>
        <c:axId val="1486604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714719"/>
        <c:crosses val="autoZero"/>
        <c:crossBetween val="midCat"/>
      </c:valAx>
      <c:serAx>
        <c:axId val="8418332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 x gr_otp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'(default)'!$I$16:$Y$16</c:f>
              <c:numCache>
                <c:formatCode>General</c:formatCode>
                <c:ptCount val="17"/>
                <c:pt idx="0">
                  <c:v>1305.0712920000001</c:v>
                </c:pt>
                <c:pt idx="1">
                  <c:v>1250.663468</c:v>
                </c:pt>
                <c:pt idx="2">
                  <c:v>1249.5929919999999</c:v>
                </c:pt>
                <c:pt idx="3">
                  <c:v>1271.4688140000001</c:v>
                </c:pt>
                <c:pt idx="4">
                  <c:v>1245.371985</c:v>
                </c:pt>
                <c:pt idx="5">
                  <c:v>1206.9496799999999</c:v>
                </c:pt>
                <c:pt idx="6">
                  <c:v>1191.446739</c:v>
                </c:pt>
                <c:pt idx="7">
                  <c:v>1189.463436</c:v>
                </c:pt>
                <c:pt idx="8">
                  <c:v>1181.04592</c:v>
                </c:pt>
                <c:pt idx="9">
                  <c:v>1187.5118640000001</c:v>
                </c:pt>
                <c:pt idx="10">
                  <c:v>1181.11781</c:v>
                </c:pt>
                <c:pt idx="11">
                  <c:v>1190.9684480000001</c:v>
                </c:pt>
                <c:pt idx="12">
                  <c:v>1224.8045159999999</c:v>
                </c:pt>
                <c:pt idx="13">
                  <c:v>1265.933916</c:v>
                </c:pt>
                <c:pt idx="14">
                  <c:v>1269.0828650000001</c:v>
                </c:pt>
                <c:pt idx="15">
                  <c:v>1234.726983</c:v>
                </c:pt>
                <c:pt idx="16">
                  <c:v>1211.8321600000002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FA-44F9-A110-4E637EC39ED6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'(default)'!$I$17:$Y$17</c:f>
              <c:numCache>
                <c:formatCode>General</c:formatCode>
                <c:ptCount val="17"/>
                <c:pt idx="0">
                  <c:v>1286.4915450000001</c:v>
                </c:pt>
                <c:pt idx="1">
                  <c:v>1257.8570480000001</c:v>
                </c:pt>
                <c:pt idx="2">
                  <c:v>1268.680464</c:v>
                </c:pt>
                <c:pt idx="3">
                  <c:v>1235.6366929999999</c:v>
                </c:pt>
                <c:pt idx="4">
                  <c:v>1214.8763549999999</c:v>
                </c:pt>
                <c:pt idx="5">
                  <c:v>1188.7007719999999</c:v>
                </c:pt>
                <c:pt idx="6">
                  <c:v>1172.2965799999999</c:v>
                </c:pt>
                <c:pt idx="7">
                  <c:v>1167.3175140000001</c:v>
                </c:pt>
                <c:pt idx="8">
                  <c:v>1166.0420280000001</c:v>
                </c:pt>
                <c:pt idx="9">
                  <c:v>1162.482354</c:v>
                </c:pt>
                <c:pt idx="10">
                  <c:v>1172.509857</c:v>
                </c:pt>
                <c:pt idx="11">
                  <c:v>1188.3664000000001</c:v>
                </c:pt>
                <c:pt idx="12">
                  <c:v>1197.010188</c:v>
                </c:pt>
                <c:pt idx="13">
                  <c:v>1225.140588</c:v>
                </c:pt>
                <c:pt idx="14">
                  <c:v>1257.9904260000001</c:v>
                </c:pt>
                <c:pt idx="15">
                  <c:v>1261.738595</c:v>
                </c:pt>
                <c:pt idx="16">
                  <c:v>1218.1423649999999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FA-44F9-A110-4E637EC39ED6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'(default)'!$I$18:$Y$18</c:f>
              <c:numCache>
                <c:formatCode>General</c:formatCode>
                <c:ptCount val="17"/>
                <c:pt idx="0">
                  <c:v>1267.6647700000001</c:v>
                </c:pt>
                <c:pt idx="1">
                  <c:v>1262.5340389999999</c:v>
                </c:pt>
                <c:pt idx="2">
                  <c:v>1236.9753479999999</c:v>
                </c:pt>
                <c:pt idx="3">
                  <c:v>1200.2574299999999</c:v>
                </c:pt>
                <c:pt idx="4">
                  <c:v>1183.4272839999999</c:v>
                </c:pt>
                <c:pt idx="5">
                  <c:v>1165.6955520000001</c:v>
                </c:pt>
                <c:pt idx="6">
                  <c:v>1150.2081500000002</c:v>
                </c:pt>
                <c:pt idx="7">
                  <c:v>1140.3824999999999</c:v>
                </c:pt>
                <c:pt idx="8">
                  <c:v>1130.3205479999999</c:v>
                </c:pt>
                <c:pt idx="9">
                  <c:v>1134.05151</c:v>
                </c:pt>
                <c:pt idx="10">
                  <c:v>1144.6655900000001</c:v>
                </c:pt>
                <c:pt idx="11">
                  <c:v>1159.5711960000001</c:v>
                </c:pt>
                <c:pt idx="12">
                  <c:v>1174.8008</c:v>
                </c:pt>
                <c:pt idx="13">
                  <c:v>1190.875092</c:v>
                </c:pt>
                <c:pt idx="14">
                  <c:v>1221.6562199999998</c:v>
                </c:pt>
                <c:pt idx="15">
                  <c:v>1241.1303780000001</c:v>
                </c:pt>
                <c:pt idx="16">
                  <c:v>1235.5141919999999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FA-44F9-A110-4E637EC39ED6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'(default)'!$I$19:$Y$19</c:f>
              <c:numCache>
                <c:formatCode>General</c:formatCode>
                <c:ptCount val="17"/>
                <c:pt idx="0">
                  <c:v>1271.7771599999999</c:v>
                </c:pt>
                <c:pt idx="1">
                  <c:v>1254.24</c:v>
                </c:pt>
                <c:pt idx="2">
                  <c:v>1209.5344519999999</c:v>
                </c:pt>
                <c:pt idx="3">
                  <c:v>1176.02124</c:v>
                </c:pt>
                <c:pt idx="4">
                  <c:v>1164.8374080000001</c:v>
                </c:pt>
                <c:pt idx="5">
                  <c:v>1141.97534</c:v>
                </c:pt>
                <c:pt idx="6">
                  <c:v>1117.7693100000001</c:v>
                </c:pt>
                <c:pt idx="7">
                  <c:v>1101.2946939999999</c:v>
                </c:pt>
                <c:pt idx="8">
                  <c:v>1096.4166299999999</c:v>
                </c:pt>
                <c:pt idx="9">
                  <c:v>1093.2785060000001</c:v>
                </c:pt>
                <c:pt idx="10">
                  <c:v>1108.86853</c:v>
                </c:pt>
                <c:pt idx="11">
                  <c:v>1129.2318700000001</c:v>
                </c:pt>
                <c:pt idx="12">
                  <c:v>1152.07455</c:v>
                </c:pt>
                <c:pt idx="13">
                  <c:v>1165.6694560000001</c:v>
                </c:pt>
                <c:pt idx="14">
                  <c:v>1194.270154</c:v>
                </c:pt>
                <c:pt idx="15">
                  <c:v>1232.256852</c:v>
                </c:pt>
                <c:pt idx="16">
                  <c:v>1231.3233789999999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FA-44F9-A110-4E637EC39ED6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'(default)'!$I$20:$Y$20</c:f>
              <c:numCache>
                <c:formatCode>General</c:formatCode>
                <c:ptCount val="17"/>
                <c:pt idx="0">
                  <c:v>1247.06176</c:v>
                </c:pt>
                <c:pt idx="1">
                  <c:v>1234.5581249999998</c:v>
                </c:pt>
                <c:pt idx="2">
                  <c:v>1182.4269449999999</c:v>
                </c:pt>
                <c:pt idx="3">
                  <c:v>1160.5730599999999</c:v>
                </c:pt>
                <c:pt idx="4">
                  <c:v>1140.297331</c:v>
                </c:pt>
                <c:pt idx="5">
                  <c:v>1111.7651640000001</c:v>
                </c:pt>
                <c:pt idx="6">
                  <c:v>1089.538998</c:v>
                </c:pt>
                <c:pt idx="7">
                  <c:v>1078.386</c:v>
                </c:pt>
                <c:pt idx="8">
                  <c:v>1075.1258</c:v>
                </c:pt>
                <c:pt idx="9">
                  <c:v>1075.828933</c:v>
                </c:pt>
                <c:pt idx="10">
                  <c:v>1091.6343000000002</c:v>
                </c:pt>
                <c:pt idx="11">
                  <c:v>1101.3462019999999</c:v>
                </c:pt>
                <c:pt idx="12">
                  <c:v>1129.963718</c:v>
                </c:pt>
                <c:pt idx="13">
                  <c:v>1157.0502079999999</c:v>
                </c:pt>
                <c:pt idx="14">
                  <c:v>1178.6229000000001</c:v>
                </c:pt>
                <c:pt idx="15">
                  <c:v>1210.2779989999999</c:v>
                </c:pt>
                <c:pt idx="16">
                  <c:v>1207.4901220000002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FA-44F9-A110-4E637EC39ED6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'(default)'!$I$21:$Y$21</c:f>
              <c:numCache>
                <c:formatCode>General</c:formatCode>
                <c:ptCount val="17"/>
                <c:pt idx="0">
                  <c:v>1257.5255279999999</c:v>
                </c:pt>
                <c:pt idx="1">
                  <c:v>1215.002033</c:v>
                </c:pt>
                <c:pt idx="2">
                  <c:v>1173.60141</c:v>
                </c:pt>
                <c:pt idx="3">
                  <c:v>1149.3782799999999</c:v>
                </c:pt>
                <c:pt idx="4">
                  <c:v>1125.819266</c:v>
                </c:pt>
                <c:pt idx="5">
                  <c:v>1094.012432</c:v>
                </c:pt>
                <c:pt idx="6">
                  <c:v>1084.0291769999999</c:v>
                </c:pt>
                <c:pt idx="7">
                  <c:v>1051.6518999999998</c:v>
                </c:pt>
                <c:pt idx="8">
                  <c:v>1044.3963630000001</c:v>
                </c:pt>
                <c:pt idx="9">
                  <c:v>1048.869794</c:v>
                </c:pt>
                <c:pt idx="10">
                  <c:v>1069.288004</c:v>
                </c:pt>
                <c:pt idx="11">
                  <c:v>1088.4736150000001</c:v>
                </c:pt>
                <c:pt idx="12">
                  <c:v>1113.7839160000001</c:v>
                </c:pt>
                <c:pt idx="13">
                  <c:v>1139.5899360000001</c:v>
                </c:pt>
                <c:pt idx="14">
                  <c:v>1167.0135749999999</c:v>
                </c:pt>
                <c:pt idx="15">
                  <c:v>1191.0767969999999</c:v>
                </c:pt>
                <c:pt idx="16">
                  <c:v>1212.3086640000001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FA-44F9-A110-4E637EC39ED6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'(default)'!$I$22:$Y$22</c:f>
              <c:numCache>
                <c:formatCode>General</c:formatCode>
                <c:ptCount val="17"/>
                <c:pt idx="0">
                  <c:v>1240.617311</c:v>
                </c:pt>
                <c:pt idx="1">
                  <c:v>1197.955866</c:v>
                </c:pt>
                <c:pt idx="2">
                  <c:v>1168.6287030000001</c:v>
                </c:pt>
                <c:pt idx="3">
                  <c:v>1147.9335840000001</c:v>
                </c:pt>
                <c:pt idx="4">
                  <c:v>1119.3580979999999</c:v>
                </c:pt>
                <c:pt idx="5">
                  <c:v>1088.39663</c:v>
                </c:pt>
                <c:pt idx="6">
                  <c:v>1075.3142329999998</c:v>
                </c:pt>
                <c:pt idx="7">
                  <c:v>1040.175</c:v>
                </c:pt>
                <c:pt idx="8">
                  <c:v>1029.1165169999999</c:v>
                </c:pt>
                <c:pt idx="9">
                  <c:v>1038.5861459999999</c:v>
                </c:pt>
                <c:pt idx="10">
                  <c:v>1055.2682560000001</c:v>
                </c:pt>
                <c:pt idx="11">
                  <c:v>1083.079853</c:v>
                </c:pt>
                <c:pt idx="12">
                  <c:v>1100.6904300000001</c:v>
                </c:pt>
                <c:pt idx="13">
                  <c:v>1125.589248</c:v>
                </c:pt>
                <c:pt idx="14">
                  <c:v>1157.46495</c:v>
                </c:pt>
                <c:pt idx="15">
                  <c:v>1182.625078</c:v>
                </c:pt>
                <c:pt idx="16">
                  <c:v>1189.3918679999999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FA-44F9-A110-4E637EC39ED6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'(default)'!$I$23:$Y$23</c:f>
              <c:numCache>
                <c:formatCode>General</c:formatCode>
                <c:ptCount val="17"/>
                <c:pt idx="0">
                  <c:v>1233.9612529999999</c:v>
                </c:pt>
                <c:pt idx="1">
                  <c:v>1197.3008320000001</c:v>
                </c:pt>
                <c:pt idx="2">
                  <c:v>1170.356511</c:v>
                </c:pt>
                <c:pt idx="3">
                  <c:v>1147.5567249999999</c:v>
                </c:pt>
                <c:pt idx="4">
                  <c:v>1123.255666</c:v>
                </c:pt>
                <c:pt idx="5">
                  <c:v>1090.603472</c:v>
                </c:pt>
                <c:pt idx="6">
                  <c:v>1080.4966629999999</c:v>
                </c:pt>
                <c:pt idx="7">
                  <c:v>1049.9347559999999</c:v>
                </c:pt>
                <c:pt idx="8">
                  <c:v>1037.6323500000001</c:v>
                </c:pt>
                <c:pt idx="9">
                  <c:v>1048.6123480000001</c:v>
                </c:pt>
                <c:pt idx="10">
                  <c:v>1067.2282789999999</c:v>
                </c:pt>
                <c:pt idx="11">
                  <c:v>1083.60799</c:v>
                </c:pt>
                <c:pt idx="12">
                  <c:v>1098.09816</c:v>
                </c:pt>
                <c:pt idx="13">
                  <c:v>1133.260272</c:v>
                </c:pt>
                <c:pt idx="14">
                  <c:v>1148.7759510000001</c:v>
                </c:pt>
                <c:pt idx="15">
                  <c:v>1182.9806429999999</c:v>
                </c:pt>
                <c:pt idx="16">
                  <c:v>1187.0408049999999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FA-44F9-A110-4E637EC39ED6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'(default)'!$I$24:$Y$24</c:f>
              <c:numCache>
                <c:formatCode>General</c:formatCode>
                <c:ptCount val="17"/>
                <c:pt idx="0">
                  <c:v>1237.1137549999999</c:v>
                </c:pt>
                <c:pt idx="1">
                  <c:v>1211.704115</c:v>
                </c:pt>
                <c:pt idx="2">
                  <c:v>1175.4872250000001</c:v>
                </c:pt>
                <c:pt idx="3">
                  <c:v>1154.63535</c:v>
                </c:pt>
                <c:pt idx="4">
                  <c:v>1135.5821289999999</c:v>
                </c:pt>
                <c:pt idx="5">
                  <c:v>1105.7021729999999</c:v>
                </c:pt>
                <c:pt idx="6">
                  <c:v>1091.591543</c:v>
                </c:pt>
                <c:pt idx="7">
                  <c:v>1079.4209040000001</c:v>
                </c:pt>
                <c:pt idx="8">
                  <c:v>1070.583545</c:v>
                </c:pt>
                <c:pt idx="9">
                  <c:v>1078.3881160000001</c:v>
                </c:pt>
                <c:pt idx="10">
                  <c:v>1084.2822000000001</c:v>
                </c:pt>
                <c:pt idx="11">
                  <c:v>1093.5702940000001</c:v>
                </c:pt>
                <c:pt idx="12">
                  <c:v>1111.889725</c:v>
                </c:pt>
                <c:pt idx="13">
                  <c:v>1135.2467489999999</c:v>
                </c:pt>
                <c:pt idx="14">
                  <c:v>1153.7621370000002</c:v>
                </c:pt>
                <c:pt idx="15">
                  <c:v>1182.7448589999999</c:v>
                </c:pt>
                <c:pt idx="16">
                  <c:v>1199.0189459999999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FA-44F9-A110-4E637EC39ED6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'(default)'!$I$25:$Y$25</c:f>
              <c:numCache>
                <c:formatCode>General</c:formatCode>
                <c:ptCount val="17"/>
                <c:pt idx="0">
                  <c:v>1227.767912</c:v>
                </c:pt>
                <c:pt idx="1">
                  <c:v>1226.5896719999998</c:v>
                </c:pt>
                <c:pt idx="2">
                  <c:v>1184.038098</c:v>
                </c:pt>
                <c:pt idx="3">
                  <c:v>1167.4972479999999</c:v>
                </c:pt>
                <c:pt idx="4">
                  <c:v>1156.85808</c:v>
                </c:pt>
                <c:pt idx="5">
                  <c:v>1133.91938</c:v>
                </c:pt>
                <c:pt idx="6">
                  <c:v>1109.3767109999999</c:v>
                </c:pt>
                <c:pt idx="7">
                  <c:v>1092.3095539999999</c:v>
                </c:pt>
                <c:pt idx="8">
                  <c:v>1094.402562</c:v>
                </c:pt>
                <c:pt idx="9">
                  <c:v>1090.58854</c:v>
                </c:pt>
                <c:pt idx="10">
                  <c:v>1096.707324</c:v>
                </c:pt>
                <c:pt idx="11">
                  <c:v>1116.1281039999999</c:v>
                </c:pt>
                <c:pt idx="12">
                  <c:v>1138.879314</c:v>
                </c:pt>
                <c:pt idx="13">
                  <c:v>1149.5220099999999</c:v>
                </c:pt>
                <c:pt idx="14">
                  <c:v>1161.6235959999999</c:v>
                </c:pt>
                <c:pt idx="15">
                  <c:v>1196.164008</c:v>
                </c:pt>
                <c:pt idx="16">
                  <c:v>1195.728912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FA-44F9-A110-4E637EC39ED6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'(default)'!$I$26:$Y$26</c:f>
              <c:numCache>
                <c:formatCode>General</c:formatCode>
                <c:ptCount val="17"/>
                <c:pt idx="0">
                  <c:v>1217.3656040000001</c:v>
                </c:pt>
                <c:pt idx="1">
                  <c:v>1228.836826</c:v>
                </c:pt>
                <c:pt idx="2">
                  <c:v>1220.450595</c:v>
                </c:pt>
                <c:pt idx="3">
                  <c:v>1187.6195249999998</c:v>
                </c:pt>
                <c:pt idx="4">
                  <c:v>1171.938116</c:v>
                </c:pt>
                <c:pt idx="5">
                  <c:v>1156.4757120000002</c:v>
                </c:pt>
                <c:pt idx="6">
                  <c:v>1137.222675</c:v>
                </c:pt>
                <c:pt idx="7">
                  <c:v>1127.627068</c:v>
                </c:pt>
                <c:pt idx="8">
                  <c:v>1116.5163660000001</c:v>
                </c:pt>
                <c:pt idx="9">
                  <c:v>1117.636896</c:v>
                </c:pt>
                <c:pt idx="10">
                  <c:v>1127.6537579999999</c:v>
                </c:pt>
                <c:pt idx="11">
                  <c:v>1142.366268</c:v>
                </c:pt>
                <c:pt idx="12">
                  <c:v>1146.941562</c:v>
                </c:pt>
                <c:pt idx="13">
                  <c:v>1156.9818600000001</c:v>
                </c:pt>
                <c:pt idx="14">
                  <c:v>1184.2963300000001</c:v>
                </c:pt>
                <c:pt idx="15">
                  <c:v>1202.746265</c:v>
                </c:pt>
                <c:pt idx="16">
                  <c:v>1165.241076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FA-44F9-A110-4E637EC39ED6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'(default)'!$I$27:$Y$27</c:f>
              <c:numCache>
                <c:formatCode>General</c:formatCode>
                <c:ptCount val="17"/>
                <c:pt idx="0">
                  <c:v>1222.418406</c:v>
                </c:pt>
                <c:pt idx="1">
                  <c:v>1219.56314</c:v>
                </c:pt>
                <c:pt idx="2">
                  <c:v>1232.84295</c:v>
                </c:pt>
                <c:pt idx="3">
                  <c:v>1218.707353</c:v>
                </c:pt>
                <c:pt idx="4">
                  <c:v>1186.85751</c:v>
                </c:pt>
                <c:pt idx="5">
                  <c:v>1175.953422</c:v>
                </c:pt>
                <c:pt idx="6">
                  <c:v>1170.6702339999999</c:v>
                </c:pt>
                <c:pt idx="7">
                  <c:v>1153.361484</c:v>
                </c:pt>
                <c:pt idx="8">
                  <c:v>1152.3450720000001</c:v>
                </c:pt>
                <c:pt idx="9">
                  <c:v>1145.2542659999999</c:v>
                </c:pt>
                <c:pt idx="10">
                  <c:v>1156.458648</c:v>
                </c:pt>
                <c:pt idx="11">
                  <c:v>1159.043242</c:v>
                </c:pt>
                <c:pt idx="12">
                  <c:v>1175.4346889999999</c:v>
                </c:pt>
                <c:pt idx="13">
                  <c:v>1188.9863340000002</c:v>
                </c:pt>
                <c:pt idx="14">
                  <c:v>1199.4529500000001</c:v>
                </c:pt>
                <c:pt idx="15">
                  <c:v>1199.8806399999999</c:v>
                </c:pt>
                <c:pt idx="16">
                  <c:v>1172.595544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FA-44F9-A110-4E637EC39ED6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'(default)'!$I$28:$Y$28</c:f>
              <c:numCache>
                <c:formatCode>General</c:formatCode>
                <c:ptCount val="17"/>
                <c:pt idx="0">
                  <c:v>1230.421192</c:v>
                </c:pt>
                <c:pt idx="1">
                  <c:v>1216.9522490000002</c:v>
                </c:pt>
                <c:pt idx="2">
                  <c:v>1227.9619439999999</c:v>
                </c:pt>
                <c:pt idx="3">
                  <c:v>1222.8686680000001</c:v>
                </c:pt>
                <c:pt idx="4">
                  <c:v>1206.8462519999998</c:v>
                </c:pt>
                <c:pt idx="5">
                  <c:v>1189.915888</c:v>
                </c:pt>
                <c:pt idx="6">
                  <c:v>1170.3216120000002</c:v>
                </c:pt>
                <c:pt idx="7">
                  <c:v>1174.2991890000001</c:v>
                </c:pt>
                <c:pt idx="8">
                  <c:v>1166.4121950000001</c:v>
                </c:pt>
                <c:pt idx="9">
                  <c:v>1167.8460219999999</c:v>
                </c:pt>
                <c:pt idx="10">
                  <c:v>1158.9922320000001</c:v>
                </c:pt>
                <c:pt idx="11">
                  <c:v>1170.9851999999998</c:v>
                </c:pt>
                <c:pt idx="12">
                  <c:v>1196.1593869999999</c:v>
                </c:pt>
                <c:pt idx="13">
                  <c:v>1215.772956</c:v>
                </c:pt>
                <c:pt idx="14">
                  <c:v>1197.0794879999999</c:v>
                </c:pt>
                <c:pt idx="15">
                  <c:v>1174.0284449999999</c:v>
                </c:pt>
                <c:pt idx="16">
                  <c:v>1135.246198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9FA-44F9-A110-4E637EC39ED6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498628031"/>
        <c:axId val="1922915279"/>
        <c:axId val="2036355871"/>
      </c:surface3DChart>
      <c:catAx>
        <c:axId val="1498628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  <c:auto val="1"/>
        <c:lblAlgn val="ctr"/>
        <c:lblOffset val="100"/>
        <c:noMultiLvlLbl val="0"/>
      </c:catAx>
      <c:valAx>
        <c:axId val="1922915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98628031"/>
        <c:crosses val="autoZero"/>
        <c:crossBetween val="midCat"/>
      </c:valAx>
      <c:serAx>
        <c:axId val="20363558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 x gb_otp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'(default)'!$I$30:$Y$30</c:f>
              <c:numCache>
                <c:formatCode>General</c:formatCode>
                <c:ptCount val="17"/>
                <c:pt idx="0">
                  <c:v>1302.4321440000001</c:v>
                </c:pt>
                <c:pt idx="1">
                  <c:v>1251.8085060000001</c:v>
                </c:pt>
                <c:pt idx="2">
                  <c:v>1247.890056</c:v>
                </c:pt>
                <c:pt idx="3">
                  <c:v>1265.608962</c:v>
                </c:pt>
                <c:pt idx="4">
                  <c:v>1236.9288959999999</c:v>
                </c:pt>
                <c:pt idx="5">
                  <c:v>1200.5757329999999</c:v>
                </c:pt>
                <c:pt idx="6">
                  <c:v>1181.19193</c:v>
                </c:pt>
                <c:pt idx="7">
                  <c:v>1184.5407600000001</c:v>
                </c:pt>
                <c:pt idx="8">
                  <c:v>1175.5792099999999</c:v>
                </c:pt>
                <c:pt idx="9">
                  <c:v>1184.8297500000001</c:v>
                </c:pt>
                <c:pt idx="10">
                  <c:v>1177.1511499999999</c:v>
                </c:pt>
                <c:pt idx="11">
                  <c:v>1191.938625</c:v>
                </c:pt>
                <c:pt idx="12">
                  <c:v>1223.1334079999999</c:v>
                </c:pt>
                <c:pt idx="13">
                  <c:v>1240.125254</c:v>
                </c:pt>
                <c:pt idx="14">
                  <c:v>1252.2571929999999</c:v>
                </c:pt>
                <c:pt idx="15">
                  <c:v>1242.851232</c:v>
                </c:pt>
                <c:pt idx="16">
                  <c:v>1222.9450399999998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83-4FE7-B96C-F57452127E04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'(default)'!$I$31:$Y$31</c:f>
              <c:numCache>
                <c:formatCode>General</c:formatCode>
                <c:ptCount val="17"/>
                <c:pt idx="0">
                  <c:v>1288.392378</c:v>
                </c:pt>
                <c:pt idx="1">
                  <c:v>1256.6345470000001</c:v>
                </c:pt>
                <c:pt idx="2">
                  <c:v>1267.09536</c:v>
                </c:pt>
                <c:pt idx="3">
                  <c:v>1233.5986520000001</c:v>
                </c:pt>
                <c:pt idx="4">
                  <c:v>1209.7981259999999</c:v>
                </c:pt>
                <c:pt idx="5">
                  <c:v>1183.434716</c:v>
                </c:pt>
                <c:pt idx="6">
                  <c:v>1175.873742</c:v>
                </c:pt>
                <c:pt idx="7">
                  <c:v>1162.0858470000001</c:v>
                </c:pt>
                <c:pt idx="8">
                  <c:v>1158.994224</c:v>
                </c:pt>
                <c:pt idx="9">
                  <c:v>1158.837147</c:v>
                </c:pt>
                <c:pt idx="10">
                  <c:v>1167.7955039999999</c:v>
                </c:pt>
                <c:pt idx="11">
                  <c:v>1172.618573</c:v>
                </c:pt>
                <c:pt idx="12">
                  <c:v>1194.0234659999999</c:v>
                </c:pt>
                <c:pt idx="13">
                  <c:v>1225.696768</c:v>
                </c:pt>
                <c:pt idx="14">
                  <c:v>1241.205504</c:v>
                </c:pt>
                <c:pt idx="15">
                  <c:v>1245.1118899999999</c:v>
                </c:pt>
                <c:pt idx="16">
                  <c:v>1228.0368210000001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83-4FE7-B96C-F57452127E04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'(default)'!$I$32:$Y$32</c:f>
              <c:numCache>
                <c:formatCode>General</c:formatCode>
                <c:ptCount val="17"/>
                <c:pt idx="0">
                  <c:v>1270.813664</c:v>
                </c:pt>
                <c:pt idx="1">
                  <c:v>1263.2282</c:v>
                </c:pt>
                <c:pt idx="2">
                  <c:v>1237.65031</c:v>
                </c:pt>
                <c:pt idx="3">
                  <c:v>1200.6563039999999</c:v>
                </c:pt>
                <c:pt idx="4">
                  <c:v>1179.83394</c:v>
                </c:pt>
                <c:pt idx="5">
                  <c:v>1160.913192</c:v>
                </c:pt>
                <c:pt idx="6">
                  <c:v>1144.563707</c:v>
                </c:pt>
                <c:pt idx="7">
                  <c:v>1133.9394649999999</c:v>
                </c:pt>
                <c:pt idx="8">
                  <c:v>1125.926291</c:v>
                </c:pt>
                <c:pt idx="9">
                  <c:v>1128.8864249999999</c:v>
                </c:pt>
                <c:pt idx="10">
                  <c:v>1141.3034870000001</c:v>
                </c:pt>
                <c:pt idx="11">
                  <c:v>1145.7916760000001</c:v>
                </c:pt>
                <c:pt idx="12">
                  <c:v>1161.61385</c:v>
                </c:pt>
                <c:pt idx="13">
                  <c:v>1179.056544</c:v>
                </c:pt>
                <c:pt idx="14">
                  <c:v>1223.0325</c:v>
                </c:pt>
                <c:pt idx="15">
                  <c:v>1243.392212</c:v>
                </c:pt>
                <c:pt idx="16">
                  <c:v>1210.422024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83-4FE7-B96C-F57452127E04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'(default)'!$I$33:$Y$33</c:f>
              <c:numCache>
                <c:formatCode>General</c:formatCode>
                <c:ptCount val="17"/>
                <c:pt idx="0">
                  <c:v>1270.96938</c:v>
                </c:pt>
                <c:pt idx="1">
                  <c:v>1253.889705</c:v>
                </c:pt>
                <c:pt idx="2">
                  <c:v>1210.3366590000001</c:v>
                </c:pt>
                <c:pt idx="3">
                  <c:v>1177.371257</c:v>
                </c:pt>
                <c:pt idx="4">
                  <c:v>1164.569156</c:v>
                </c:pt>
                <c:pt idx="5">
                  <c:v>1140.2015759999999</c:v>
                </c:pt>
                <c:pt idx="6">
                  <c:v>1113.7067999999999</c:v>
                </c:pt>
                <c:pt idx="7">
                  <c:v>1098.5719360000001</c:v>
                </c:pt>
                <c:pt idx="8">
                  <c:v>1093.93272</c:v>
                </c:pt>
                <c:pt idx="9">
                  <c:v>1091.921838</c:v>
                </c:pt>
                <c:pt idx="10">
                  <c:v>1107.5495639999999</c:v>
                </c:pt>
                <c:pt idx="11">
                  <c:v>1119.472992</c:v>
                </c:pt>
                <c:pt idx="12">
                  <c:v>1141.571252</c:v>
                </c:pt>
                <c:pt idx="13">
                  <c:v>1154.954078</c:v>
                </c:pt>
                <c:pt idx="14">
                  <c:v>1179.9112240000002</c:v>
                </c:pt>
                <c:pt idx="15">
                  <c:v>1213.8931950000001</c:v>
                </c:pt>
                <c:pt idx="16">
                  <c:v>1211.5124000000001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83-4FE7-B96C-F57452127E04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'(default)'!$I$34:$Y$34</c:f>
              <c:numCache>
                <c:formatCode>General</c:formatCode>
                <c:ptCount val="17"/>
                <c:pt idx="0">
                  <c:v>1270.942644</c:v>
                </c:pt>
                <c:pt idx="1">
                  <c:v>1231.8442480000001</c:v>
                </c:pt>
                <c:pt idx="2">
                  <c:v>1194.289632</c:v>
                </c:pt>
                <c:pt idx="3">
                  <c:v>1171.8672140000001</c:v>
                </c:pt>
                <c:pt idx="4">
                  <c:v>1139.443305</c:v>
                </c:pt>
                <c:pt idx="5">
                  <c:v>1116.342496</c:v>
                </c:pt>
                <c:pt idx="6">
                  <c:v>1093.6352959999999</c:v>
                </c:pt>
                <c:pt idx="7">
                  <c:v>1083.736146</c:v>
                </c:pt>
                <c:pt idx="8">
                  <c:v>1073.484461</c:v>
                </c:pt>
                <c:pt idx="9">
                  <c:v>1075.49082</c:v>
                </c:pt>
                <c:pt idx="10">
                  <c:v>1089.591795</c:v>
                </c:pt>
                <c:pt idx="11">
                  <c:v>1091.1886480000001</c:v>
                </c:pt>
                <c:pt idx="12">
                  <c:v>1119.7930309999999</c:v>
                </c:pt>
                <c:pt idx="13">
                  <c:v>1145.77748</c:v>
                </c:pt>
                <c:pt idx="14">
                  <c:v>1163.1738780000001</c:v>
                </c:pt>
                <c:pt idx="15">
                  <c:v>1191.21288</c:v>
                </c:pt>
                <c:pt idx="16">
                  <c:v>1208.8506150000001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83-4FE7-B96C-F57452127E04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'(default)'!$I$35:$Y$35</c:f>
              <c:numCache>
                <c:formatCode>General</c:formatCode>
                <c:ptCount val="17"/>
                <c:pt idx="0">
                  <c:v>1254.1792800000001</c:v>
                </c:pt>
                <c:pt idx="1">
                  <c:v>1211.4645</c:v>
                </c:pt>
                <c:pt idx="2">
                  <c:v>1180.9436250000001</c:v>
                </c:pt>
                <c:pt idx="3">
                  <c:v>1156.5722880000001</c:v>
                </c:pt>
                <c:pt idx="4">
                  <c:v>1123.66275</c:v>
                </c:pt>
                <c:pt idx="5">
                  <c:v>1096.5123659999999</c:v>
                </c:pt>
                <c:pt idx="6">
                  <c:v>1078.9197120000001</c:v>
                </c:pt>
                <c:pt idx="7">
                  <c:v>1052.69424</c:v>
                </c:pt>
                <c:pt idx="8">
                  <c:v>1041.6154180000001</c:v>
                </c:pt>
                <c:pt idx="9">
                  <c:v>1044.5857239999998</c:v>
                </c:pt>
                <c:pt idx="10">
                  <c:v>1057.6004399999999</c:v>
                </c:pt>
                <c:pt idx="11">
                  <c:v>1083.05132</c:v>
                </c:pt>
                <c:pt idx="12">
                  <c:v>1101.4912440000001</c:v>
                </c:pt>
                <c:pt idx="13">
                  <c:v>1126.576953</c:v>
                </c:pt>
                <c:pt idx="14">
                  <c:v>1148.1260750000001</c:v>
                </c:pt>
                <c:pt idx="15">
                  <c:v>1184.7428339999999</c:v>
                </c:pt>
                <c:pt idx="16">
                  <c:v>1186.018816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83-4FE7-B96C-F57452127E04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'(default)'!$I$36:$Y$36</c:f>
              <c:numCache>
                <c:formatCode>General</c:formatCode>
                <c:ptCount val="17"/>
                <c:pt idx="0">
                  <c:v>1249.4046519999999</c:v>
                </c:pt>
                <c:pt idx="1">
                  <c:v>1206.6202500000002</c:v>
                </c:pt>
                <c:pt idx="2">
                  <c:v>1162.5148749999998</c:v>
                </c:pt>
                <c:pt idx="3">
                  <c:v>1145.5088579999999</c:v>
                </c:pt>
                <c:pt idx="4">
                  <c:v>1121.962231</c:v>
                </c:pt>
                <c:pt idx="5">
                  <c:v>1089.690398</c:v>
                </c:pt>
                <c:pt idx="6">
                  <c:v>1072.9924939999999</c:v>
                </c:pt>
                <c:pt idx="7">
                  <c:v>1034.048</c:v>
                </c:pt>
                <c:pt idx="8">
                  <c:v>1028.725731</c:v>
                </c:pt>
                <c:pt idx="9">
                  <c:v>1033.7505100000001</c:v>
                </c:pt>
                <c:pt idx="10">
                  <c:v>1047.4308640000002</c:v>
                </c:pt>
                <c:pt idx="11">
                  <c:v>1076.5500420000001</c:v>
                </c:pt>
                <c:pt idx="12">
                  <c:v>1087.8222940000001</c:v>
                </c:pt>
                <c:pt idx="13">
                  <c:v>1120.2667280000001</c:v>
                </c:pt>
                <c:pt idx="14">
                  <c:v>1140.401325</c:v>
                </c:pt>
                <c:pt idx="15">
                  <c:v>1164.36672</c:v>
                </c:pt>
                <c:pt idx="16">
                  <c:v>1188.6014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83-4FE7-B96C-F57452127E04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'(default)'!$I$37:$Y$37</c:f>
              <c:numCache>
                <c:formatCode>General</c:formatCode>
                <c:ptCount val="17"/>
                <c:pt idx="0">
                  <c:v>1243.8610000000001</c:v>
                </c:pt>
                <c:pt idx="1">
                  <c:v>1204.5065</c:v>
                </c:pt>
                <c:pt idx="2">
                  <c:v>1163.82429</c:v>
                </c:pt>
                <c:pt idx="3">
                  <c:v>1150.2355230000001</c:v>
                </c:pt>
                <c:pt idx="4">
                  <c:v>1125.9780840000001</c:v>
                </c:pt>
                <c:pt idx="5">
                  <c:v>1089.0589950000001</c:v>
                </c:pt>
                <c:pt idx="6">
                  <c:v>1077.03099</c:v>
                </c:pt>
                <c:pt idx="7">
                  <c:v>1047.0221320000001</c:v>
                </c:pt>
                <c:pt idx="8">
                  <c:v>1036.004956</c:v>
                </c:pt>
                <c:pt idx="9">
                  <c:v>1039.7415599999999</c:v>
                </c:pt>
                <c:pt idx="10">
                  <c:v>1058.4255479999999</c:v>
                </c:pt>
                <c:pt idx="11">
                  <c:v>1074.52872</c:v>
                </c:pt>
                <c:pt idx="12">
                  <c:v>1091.3411880000001</c:v>
                </c:pt>
                <c:pt idx="13">
                  <c:v>1117.145718</c:v>
                </c:pt>
                <c:pt idx="14">
                  <c:v>1138.8823749999999</c:v>
                </c:pt>
                <c:pt idx="15">
                  <c:v>1174.7518640000001</c:v>
                </c:pt>
                <c:pt idx="16">
                  <c:v>1175.685612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83-4FE7-B96C-F57452127E04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'(default)'!$I$38:$Y$38</c:f>
              <c:numCache>
                <c:formatCode>General</c:formatCode>
                <c:ptCount val="17"/>
                <c:pt idx="0">
                  <c:v>1247.2800380000001</c:v>
                </c:pt>
                <c:pt idx="1">
                  <c:v>1216.4395519999998</c:v>
                </c:pt>
                <c:pt idx="2">
                  <c:v>1178.7063659999999</c:v>
                </c:pt>
                <c:pt idx="3">
                  <c:v>1157.00245</c:v>
                </c:pt>
                <c:pt idx="4">
                  <c:v>1134.5028729999999</c:v>
                </c:pt>
                <c:pt idx="5">
                  <c:v>1100.3901519999999</c:v>
                </c:pt>
                <c:pt idx="6">
                  <c:v>1084.3026320000001</c:v>
                </c:pt>
                <c:pt idx="7">
                  <c:v>1072.1574139999998</c:v>
                </c:pt>
                <c:pt idx="8">
                  <c:v>1064.780035</c:v>
                </c:pt>
                <c:pt idx="9">
                  <c:v>1065.0227159999999</c:v>
                </c:pt>
                <c:pt idx="10">
                  <c:v>1078.683507</c:v>
                </c:pt>
                <c:pt idx="11">
                  <c:v>1081.70018</c:v>
                </c:pt>
                <c:pt idx="12">
                  <c:v>1101.682953</c:v>
                </c:pt>
                <c:pt idx="13">
                  <c:v>1126.2731040000001</c:v>
                </c:pt>
                <c:pt idx="14">
                  <c:v>1143.8620559999999</c:v>
                </c:pt>
                <c:pt idx="15">
                  <c:v>1171.575272</c:v>
                </c:pt>
                <c:pt idx="16">
                  <c:v>1190.597299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83-4FE7-B96C-F57452127E04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'(default)'!$I$39:$Y$39</c:f>
              <c:numCache>
                <c:formatCode>General</c:formatCode>
                <c:ptCount val="17"/>
                <c:pt idx="0">
                  <c:v>1231.8280400000001</c:v>
                </c:pt>
                <c:pt idx="1">
                  <c:v>1229.38374</c:v>
                </c:pt>
                <c:pt idx="2">
                  <c:v>1184.1516879999999</c:v>
                </c:pt>
                <c:pt idx="3">
                  <c:v>1165.4617209999999</c:v>
                </c:pt>
                <c:pt idx="4">
                  <c:v>1151.0551780000001</c:v>
                </c:pt>
                <c:pt idx="5">
                  <c:v>1124.20875</c:v>
                </c:pt>
                <c:pt idx="6">
                  <c:v>1097.433986</c:v>
                </c:pt>
                <c:pt idx="7">
                  <c:v>1081.1318000000001</c:v>
                </c:pt>
                <c:pt idx="8">
                  <c:v>1075.7378920000001</c:v>
                </c:pt>
                <c:pt idx="9">
                  <c:v>1079.4612059999999</c:v>
                </c:pt>
                <c:pt idx="10">
                  <c:v>1086.57626</c:v>
                </c:pt>
                <c:pt idx="11">
                  <c:v>1098.9449999999999</c:v>
                </c:pt>
                <c:pt idx="12">
                  <c:v>1122.633272</c:v>
                </c:pt>
                <c:pt idx="13">
                  <c:v>1137.220069</c:v>
                </c:pt>
                <c:pt idx="14">
                  <c:v>1149.4984850000001</c:v>
                </c:pt>
                <c:pt idx="15">
                  <c:v>1183.9746299999999</c:v>
                </c:pt>
                <c:pt idx="16">
                  <c:v>1182.8689750000001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83-4FE7-B96C-F57452127E04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'(default)'!$I$40:$Y$40</c:f>
              <c:numCache>
                <c:formatCode>General</c:formatCode>
                <c:ptCount val="17"/>
                <c:pt idx="0">
                  <c:v>1223.585648</c:v>
                </c:pt>
                <c:pt idx="1">
                  <c:v>1229.2921699999999</c:v>
                </c:pt>
                <c:pt idx="2">
                  <c:v>1204.63876</c:v>
                </c:pt>
                <c:pt idx="3">
                  <c:v>1181.890314</c:v>
                </c:pt>
                <c:pt idx="4">
                  <c:v>1160.5643279999999</c:v>
                </c:pt>
                <c:pt idx="5">
                  <c:v>1141.6474860000001</c:v>
                </c:pt>
                <c:pt idx="6">
                  <c:v>1128.851604</c:v>
                </c:pt>
                <c:pt idx="7">
                  <c:v>1111.1413950000001</c:v>
                </c:pt>
                <c:pt idx="8">
                  <c:v>1100.873452</c:v>
                </c:pt>
                <c:pt idx="9">
                  <c:v>1100.5729020000001</c:v>
                </c:pt>
                <c:pt idx="10">
                  <c:v>1111.1950320000001</c:v>
                </c:pt>
                <c:pt idx="11">
                  <c:v>1128.56744</c:v>
                </c:pt>
                <c:pt idx="12">
                  <c:v>1135.4247519999999</c:v>
                </c:pt>
                <c:pt idx="13">
                  <c:v>1151.9870940000001</c:v>
                </c:pt>
                <c:pt idx="14">
                  <c:v>1167.71226</c:v>
                </c:pt>
                <c:pt idx="15">
                  <c:v>1187.09455</c:v>
                </c:pt>
                <c:pt idx="16">
                  <c:v>1152.6768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83-4FE7-B96C-F57452127E04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'(default)'!$I$41:$Y$41</c:f>
              <c:numCache>
                <c:formatCode>General</c:formatCode>
                <c:ptCount val="17"/>
                <c:pt idx="0">
                  <c:v>1200.8976150000001</c:v>
                </c:pt>
                <c:pt idx="1">
                  <c:v>1218.0192950000001</c:v>
                </c:pt>
                <c:pt idx="2">
                  <c:v>1226.893875</c:v>
                </c:pt>
                <c:pt idx="3">
                  <c:v>1194.4312160000002</c:v>
                </c:pt>
                <c:pt idx="4">
                  <c:v>1172.9790540000001</c:v>
                </c:pt>
                <c:pt idx="5">
                  <c:v>1159.892085</c:v>
                </c:pt>
                <c:pt idx="6">
                  <c:v>1151.8242299999999</c:v>
                </c:pt>
                <c:pt idx="7">
                  <c:v>1135.034204</c:v>
                </c:pt>
                <c:pt idx="8">
                  <c:v>1133.4192399999999</c:v>
                </c:pt>
                <c:pt idx="9">
                  <c:v>1127.05962</c:v>
                </c:pt>
                <c:pt idx="10">
                  <c:v>1138.29342</c:v>
                </c:pt>
                <c:pt idx="11">
                  <c:v>1143.4046250000001</c:v>
                </c:pt>
                <c:pt idx="12">
                  <c:v>1149.3471959999999</c:v>
                </c:pt>
                <c:pt idx="13">
                  <c:v>1179.70688</c:v>
                </c:pt>
                <c:pt idx="14">
                  <c:v>1193.7714210000001</c:v>
                </c:pt>
                <c:pt idx="15">
                  <c:v>1180.752706</c:v>
                </c:pt>
                <c:pt idx="16">
                  <c:v>1158.6822550000002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83-4FE7-B96C-F57452127E04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'(default)'!$I$42:$Y$42</c:f>
              <c:numCache>
                <c:formatCode>General</c:formatCode>
                <c:ptCount val="17"/>
                <c:pt idx="0">
                  <c:v>1206.9730239999999</c:v>
                </c:pt>
                <c:pt idx="1">
                  <c:v>1189.7308289999999</c:v>
                </c:pt>
                <c:pt idx="2">
                  <c:v>1219.165248</c:v>
                </c:pt>
                <c:pt idx="3">
                  <c:v>1215.3584080000001</c:v>
                </c:pt>
                <c:pt idx="4">
                  <c:v>1190.6455199999998</c:v>
                </c:pt>
                <c:pt idx="5">
                  <c:v>1172.7628</c:v>
                </c:pt>
                <c:pt idx="6">
                  <c:v>1153.68344</c:v>
                </c:pt>
                <c:pt idx="7">
                  <c:v>1156.010878</c:v>
                </c:pt>
                <c:pt idx="8">
                  <c:v>1145.014527</c:v>
                </c:pt>
                <c:pt idx="9">
                  <c:v>1149.7418789999999</c:v>
                </c:pt>
                <c:pt idx="10">
                  <c:v>1141.1764000000001</c:v>
                </c:pt>
                <c:pt idx="11">
                  <c:v>1152.8998549999999</c:v>
                </c:pt>
                <c:pt idx="12">
                  <c:v>1166.743776</c:v>
                </c:pt>
                <c:pt idx="13">
                  <c:v>1184.36085</c:v>
                </c:pt>
                <c:pt idx="14">
                  <c:v>1189.616505</c:v>
                </c:pt>
                <c:pt idx="15">
                  <c:v>1155.346108</c:v>
                </c:pt>
                <c:pt idx="16">
                  <c:v>1150.923632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83-4FE7-B96C-F57452127E04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6173647"/>
        <c:axId val="1411580015"/>
        <c:axId val="1493477919"/>
      </c:surface3DChart>
      <c:catAx>
        <c:axId val="6617364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  <c:auto val="1"/>
        <c:lblAlgn val="ctr"/>
        <c:lblOffset val="100"/>
        <c:noMultiLvlLbl val="0"/>
      </c:catAx>
      <c:valAx>
        <c:axId val="1411580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6173647"/>
        <c:crosses val="autoZero"/>
        <c:crossBetween val="midCat"/>
      </c:valAx>
      <c:serAx>
        <c:axId val="14934779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r>
              <a:rPr lang="en-US" altLang="zh-TW" baseline="0"/>
              <a:t> x 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'(default)'!$I$44:$Y$44</c:f>
              <c:numCache>
                <c:formatCode>General</c:formatCode>
                <c:ptCount val="17"/>
                <c:pt idx="0">
                  <c:v>1389.5213159999998</c:v>
                </c:pt>
                <c:pt idx="1">
                  <c:v>1325.2207720000001</c:v>
                </c:pt>
                <c:pt idx="2">
                  <c:v>1312.7494379999998</c:v>
                </c:pt>
                <c:pt idx="3">
                  <c:v>1348.344417</c:v>
                </c:pt>
                <c:pt idx="4">
                  <c:v>1299.6829480000001</c:v>
                </c:pt>
                <c:pt idx="5">
                  <c:v>1270.92966</c:v>
                </c:pt>
                <c:pt idx="6">
                  <c:v>1258.360128</c:v>
                </c:pt>
                <c:pt idx="7">
                  <c:v>1247.0724769999999</c:v>
                </c:pt>
                <c:pt idx="8">
                  <c:v>1221.47523</c:v>
                </c:pt>
                <c:pt idx="9">
                  <c:v>1243.25415</c:v>
                </c:pt>
                <c:pt idx="10">
                  <c:v>1243.7881799999998</c:v>
                </c:pt>
                <c:pt idx="11">
                  <c:v>1255.78089</c:v>
                </c:pt>
                <c:pt idx="12">
                  <c:v>1274.287012</c:v>
                </c:pt>
                <c:pt idx="13">
                  <c:v>1308.6442120000002</c:v>
                </c:pt>
                <c:pt idx="14">
                  <c:v>1325.778012</c:v>
                </c:pt>
                <c:pt idx="15">
                  <c:v>1279.246412</c:v>
                </c:pt>
                <c:pt idx="16">
                  <c:v>1263.3844799999999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06-48E6-A5B5-68D35324122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'(default)'!$I$45:$Y$45</c:f>
              <c:numCache>
                <c:formatCode>General</c:formatCode>
                <c:ptCount val="17"/>
                <c:pt idx="0">
                  <c:v>1361.9276480000001</c:v>
                </c:pt>
                <c:pt idx="1">
                  <c:v>1343.8826729999998</c:v>
                </c:pt>
                <c:pt idx="2">
                  <c:v>1337.54522</c:v>
                </c:pt>
                <c:pt idx="3">
                  <c:v>1296.585728</c:v>
                </c:pt>
                <c:pt idx="4">
                  <c:v>1268.0218170000001</c:v>
                </c:pt>
                <c:pt idx="5">
                  <c:v>1261.814208</c:v>
                </c:pt>
                <c:pt idx="6">
                  <c:v>1232.2901360000001</c:v>
                </c:pt>
                <c:pt idx="7">
                  <c:v>1228.9563000000001</c:v>
                </c:pt>
                <c:pt idx="8">
                  <c:v>1224.1189749999999</c:v>
                </c:pt>
                <c:pt idx="9">
                  <c:v>1223.4989250000001</c:v>
                </c:pt>
                <c:pt idx="10">
                  <c:v>1241.1732550000002</c:v>
                </c:pt>
                <c:pt idx="11">
                  <c:v>1246.3561439999999</c:v>
                </c:pt>
                <c:pt idx="12">
                  <c:v>1246.3570139999999</c:v>
                </c:pt>
                <c:pt idx="13">
                  <c:v>1292.757012</c:v>
                </c:pt>
                <c:pt idx="14">
                  <c:v>1304.20534</c:v>
                </c:pt>
                <c:pt idx="15">
                  <c:v>1298.679564</c:v>
                </c:pt>
                <c:pt idx="16">
                  <c:v>1262.0823359999999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06-48E6-A5B5-68D35324122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'(default)'!$I$46:$Y$46</c:f>
              <c:numCache>
                <c:formatCode>General</c:formatCode>
                <c:ptCount val="17"/>
                <c:pt idx="0">
                  <c:v>1353.9684</c:v>
                </c:pt>
                <c:pt idx="1">
                  <c:v>1348.9528800000001</c:v>
                </c:pt>
                <c:pt idx="2">
                  <c:v>1309.2472680000001</c:v>
                </c:pt>
                <c:pt idx="3">
                  <c:v>1270.6397669999999</c:v>
                </c:pt>
                <c:pt idx="4">
                  <c:v>1250.106</c:v>
                </c:pt>
                <c:pt idx="5">
                  <c:v>1235.0474649999999</c:v>
                </c:pt>
                <c:pt idx="6">
                  <c:v>1212.4504919999999</c:v>
                </c:pt>
                <c:pt idx="7">
                  <c:v>1197.684894</c:v>
                </c:pt>
                <c:pt idx="8">
                  <c:v>1185.05744</c:v>
                </c:pt>
                <c:pt idx="9">
                  <c:v>1189.799898</c:v>
                </c:pt>
                <c:pt idx="10">
                  <c:v>1194.172155</c:v>
                </c:pt>
                <c:pt idx="11">
                  <c:v>1213.205555</c:v>
                </c:pt>
                <c:pt idx="12">
                  <c:v>1226.077008</c:v>
                </c:pt>
                <c:pt idx="13">
                  <c:v>1241.940842</c:v>
                </c:pt>
                <c:pt idx="14">
                  <c:v>1270.8105479999999</c:v>
                </c:pt>
                <c:pt idx="15">
                  <c:v>1300.65716</c:v>
                </c:pt>
                <c:pt idx="16">
                  <c:v>1259.9197319999998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06-48E6-A5B5-68D35324122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'(default)'!$I$47:$Y$47</c:f>
              <c:numCache>
                <c:formatCode>General</c:formatCode>
                <c:ptCount val="17"/>
                <c:pt idx="0">
                  <c:v>1362.6754800000001</c:v>
                </c:pt>
                <c:pt idx="1">
                  <c:v>1328.2331880000002</c:v>
                </c:pt>
                <c:pt idx="2">
                  <c:v>1269.820692</c:v>
                </c:pt>
                <c:pt idx="3">
                  <c:v>1246.9151160000001</c:v>
                </c:pt>
                <c:pt idx="4">
                  <c:v>1220.042925</c:v>
                </c:pt>
                <c:pt idx="5">
                  <c:v>1202.9494570000002</c:v>
                </c:pt>
                <c:pt idx="6">
                  <c:v>1169.276194</c:v>
                </c:pt>
                <c:pt idx="7">
                  <c:v>1158.8965499999999</c:v>
                </c:pt>
                <c:pt idx="8">
                  <c:v>1142.2408800000001</c:v>
                </c:pt>
                <c:pt idx="9">
                  <c:v>1148.748</c:v>
                </c:pt>
                <c:pt idx="10">
                  <c:v>1164.062733</c:v>
                </c:pt>
                <c:pt idx="11">
                  <c:v>1174.0169169999999</c:v>
                </c:pt>
                <c:pt idx="12">
                  <c:v>1208.49755</c:v>
                </c:pt>
                <c:pt idx="13">
                  <c:v>1217.1427480000002</c:v>
                </c:pt>
                <c:pt idx="14">
                  <c:v>1256.084458</c:v>
                </c:pt>
                <c:pt idx="15">
                  <c:v>1278.20451</c:v>
                </c:pt>
                <c:pt idx="16">
                  <c:v>1265.2298759999999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06-48E6-A5B5-68D35324122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'(default)'!$I$48:$Y$48</c:f>
              <c:numCache>
                <c:formatCode>General</c:formatCode>
                <c:ptCount val="17"/>
                <c:pt idx="0">
                  <c:v>1353.5289359999999</c:v>
                </c:pt>
                <c:pt idx="1">
                  <c:v>1299.023479</c:v>
                </c:pt>
                <c:pt idx="2">
                  <c:v>1259.1010819999999</c:v>
                </c:pt>
                <c:pt idx="3">
                  <c:v>1240.0239320000001</c:v>
                </c:pt>
                <c:pt idx="4">
                  <c:v>1200.70236</c:v>
                </c:pt>
                <c:pt idx="5">
                  <c:v>1174.35761</c:v>
                </c:pt>
                <c:pt idx="6">
                  <c:v>1145.92128</c:v>
                </c:pt>
                <c:pt idx="7">
                  <c:v>1135.776447</c:v>
                </c:pt>
                <c:pt idx="8">
                  <c:v>1117.677574</c:v>
                </c:pt>
                <c:pt idx="9">
                  <c:v>1122.678324</c:v>
                </c:pt>
                <c:pt idx="10">
                  <c:v>1142.8953900000001</c:v>
                </c:pt>
                <c:pt idx="11">
                  <c:v>1155.6981230000001</c:v>
                </c:pt>
                <c:pt idx="12">
                  <c:v>1179.7041079999999</c:v>
                </c:pt>
                <c:pt idx="13">
                  <c:v>1205.89644</c:v>
                </c:pt>
                <c:pt idx="14">
                  <c:v>1220.5096839999999</c:v>
                </c:pt>
                <c:pt idx="15">
                  <c:v>1246.9053019999999</c:v>
                </c:pt>
                <c:pt idx="16">
                  <c:v>1257.4982069999999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06-48E6-A5B5-68D35324122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'(default)'!$I$49:$Y$49</c:f>
              <c:numCache>
                <c:formatCode>General</c:formatCode>
                <c:ptCount val="17"/>
                <c:pt idx="0">
                  <c:v>1335.2005319999998</c:v>
                </c:pt>
                <c:pt idx="1">
                  <c:v>1273.730877</c:v>
                </c:pt>
                <c:pt idx="2">
                  <c:v>1253.4540810000001</c:v>
                </c:pt>
                <c:pt idx="3">
                  <c:v>1221.60367</c:v>
                </c:pt>
                <c:pt idx="4">
                  <c:v>1178.627804</c:v>
                </c:pt>
                <c:pt idx="5">
                  <c:v>1156.562754</c:v>
                </c:pt>
                <c:pt idx="6">
                  <c:v>1132.7183989999999</c:v>
                </c:pt>
                <c:pt idx="7">
                  <c:v>1105.6345920000001</c:v>
                </c:pt>
                <c:pt idx="8">
                  <c:v>1086.6060680000001</c:v>
                </c:pt>
                <c:pt idx="9">
                  <c:v>1093.0917440000001</c:v>
                </c:pt>
                <c:pt idx="10">
                  <c:v>1112.9961929999999</c:v>
                </c:pt>
                <c:pt idx="11">
                  <c:v>1132.5947100000001</c:v>
                </c:pt>
                <c:pt idx="12">
                  <c:v>1153.756682</c:v>
                </c:pt>
                <c:pt idx="13">
                  <c:v>1183.003745</c:v>
                </c:pt>
                <c:pt idx="14">
                  <c:v>1213.647424</c:v>
                </c:pt>
                <c:pt idx="15">
                  <c:v>1250.4995839999999</c:v>
                </c:pt>
                <c:pt idx="16">
                  <c:v>1230.86726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06-48E6-A5B5-68D35324122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'(default)'!$I$50:$Y$50</c:f>
              <c:numCache>
                <c:formatCode>General</c:formatCode>
                <c:ptCount val="17"/>
                <c:pt idx="0">
                  <c:v>1308.9754699999999</c:v>
                </c:pt>
                <c:pt idx="1">
                  <c:v>1284.4738560000001</c:v>
                </c:pt>
                <c:pt idx="2">
                  <c:v>1237.524189</c:v>
                </c:pt>
                <c:pt idx="3">
                  <c:v>1220.8556249999999</c:v>
                </c:pt>
                <c:pt idx="4">
                  <c:v>1183.8807119999999</c:v>
                </c:pt>
                <c:pt idx="5">
                  <c:v>1143.9395099999999</c:v>
                </c:pt>
                <c:pt idx="6">
                  <c:v>1127.5967559999999</c:v>
                </c:pt>
                <c:pt idx="7">
                  <c:v>1089.9229889999999</c:v>
                </c:pt>
                <c:pt idx="8">
                  <c:v>1082.5846350000002</c:v>
                </c:pt>
                <c:pt idx="9">
                  <c:v>1080.7716170000001</c:v>
                </c:pt>
                <c:pt idx="10">
                  <c:v>1100.5991880000001</c:v>
                </c:pt>
                <c:pt idx="11">
                  <c:v>1132.8721</c:v>
                </c:pt>
                <c:pt idx="12">
                  <c:v>1142.9312580000001</c:v>
                </c:pt>
                <c:pt idx="13">
                  <c:v>1179.434925</c:v>
                </c:pt>
                <c:pt idx="14">
                  <c:v>1197.1835040000001</c:v>
                </c:pt>
                <c:pt idx="15">
                  <c:v>1233.1212800000001</c:v>
                </c:pt>
                <c:pt idx="16">
                  <c:v>1215.1081899999999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06-48E6-A5B5-68D35324122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'(default)'!$I$51:$Y$51</c:f>
              <c:numCache>
                <c:formatCode>General</c:formatCode>
                <c:ptCount val="17"/>
                <c:pt idx="0">
                  <c:v>1326.0672630000001</c:v>
                </c:pt>
                <c:pt idx="1">
                  <c:v>1268.935806</c:v>
                </c:pt>
                <c:pt idx="2">
                  <c:v>1228.608264</c:v>
                </c:pt>
                <c:pt idx="3">
                  <c:v>1219.7416699999999</c:v>
                </c:pt>
                <c:pt idx="4">
                  <c:v>1175.039624</c:v>
                </c:pt>
                <c:pt idx="5">
                  <c:v>1151.4422550000002</c:v>
                </c:pt>
                <c:pt idx="6">
                  <c:v>1137.374127</c:v>
                </c:pt>
                <c:pt idx="7">
                  <c:v>1101.5217600000001</c:v>
                </c:pt>
                <c:pt idx="8">
                  <c:v>1086.9831959999999</c:v>
                </c:pt>
                <c:pt idx="9">
                  <c:v>1094.0490240000001</c:v>
                </c:pt>
                <c:pt idx="10">
                  <c:v>1113.848289</c:v>
                </c:pt>
                <c:pt idx="11">
                  <c:v>1131.0095699999999</c:v>
                </c:pt>
                <c:pt idx="12">
                  <c:v>1150.53835</c:v>
                </c:pt>
                <c:pt idx="13">
                  <c:v>1179.480575</c:v>
                </c:pt>
                <c:pt idx="14">
                  <c:v>1209.645712</c:v>
                </c:pt>
                <c:pt idx="15">
                  <c:v>1245.2193279999999</c:v>
                </c:pt>
                <c:pt idx="16">
                  <c:v>1229.1081300000001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06-48E6-A5B5-68D35324122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'(default)'!$I$52:$Y$52</c:f>
              <c:numCache>
                <c:formatCode>General</c:formatCode>
                <c:ptCount val="17"/>
                <c:pt idx="0">
                  <c:v>1287.215025</c:v>
                </c:pt>
                <c:pt idx="1">
                  <c:v>1287.3131289999999</c:v>
                </c:pt>
                <c:pt idx="2">
                  <c:v>1249.8904020000002</c:v>
                </c:pt>
                <c:pt idx="3">
                  <c:v>1211.563856</c:v>
                </c:pt>
                <c:pt idx="4">
                  <c:v>1192.0186739999999</c:v>
                </c:pt>
                <c:pt idx="5">
                  <c:v>1163.751422</c:v>
                </c:pt>
                <c:pt idx="6">
                  <c:v>1145.4470999999999</c:v>
                </c:pt>
                <c:pt idx="7">
                  <c:v>1124.1133829999999</c:v>
                </c:pt>
                <c:pt idx="8">
                  <c:v>1111.9200040000001</c:v>
                </c:pt>
                <c:pt idx="9">
                  <c:v>1117.580013</c:v>
                </c:pt>
                <c:pt idx="10">
                  <c:v>1136.7319599999998</c:v>
                </c:pt>
                <c:pt idx="11">
                  <c:v>1149.59917</c:v>
                </c:pt>
                <c:pt idx="12">
                  <c:v>1174.617334</c:v>
                </c:pt>
                <c:pt idx="13">
                  <c:v>1197.9906960000001</c:v>
                </c:pt>
                <c:pt idx="14">
                  <c:v>1211.743211</c:v>
                </c:pt>
                <c:pt idx="15">
                  <c:v>1238.6805610000001</c:v>
                </c:pt>
                <c:pt idx="16">
                  <c:v>1245.751074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06-48E6-A5B5-68D35324122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'(default)'!$I$53:$Y$53</c:f>
              <c:numCache>
                <c:formatCode>General</c:formatCode>
                <c:ptCount val="17"/>
                <c:pt idx="0">
                  <c:v>1294.4510319999999</c:v>
                </c:pt>
                <c:pt idx="1">
                  <c:v>1280.8101999999999</c:v>
                </c:pt>
                <c:pt idx="2">
                  <c:v>1253.74046</c:v>
                </c:pt>
                <c:pt idx="3">
                  <c:v>1232.4879719999999</c:v>
                </c:pt>
                <c:pt idx="4">
                  <c:v>1204.446375</c:v>
                </c:pt>
                <c:pt idx="5">
                  <c:v>1184.739065</c:v>
                </c:pt>
                <c:pt idx="6">
                  <c:v>1147.8560459999999</c:v>
                </c:pt>
                <c:pt idx="7">
                  <c:v>1139.0762099999999</c:v>
                </c:pt>
                <c:pt idx="8">
                  <c:v>1126.4466400000001</c:v>
                </c:pt>
                <c:pt idx="9">
                  <c:v>1132.3006500000001</c:v>
                </c:pt>
                <c:pt idx="10">
                  <c:v>1147.0616010000001</c:v>
                </c:pt>
                <c:pt idx="11">
                  <c:v>1159.2069690000001</c:v>
                </c:pt>
                <c:pt idx="12">
                  <c:v>1193.6405849999999</c:v>
                </c:pt>
                <c:pt idx="13">
                  <c:v>1202.3193799999999</c:v>
                </c:pt>
                <c:pt idx="14">
                  <c:v>1215.675328</c:v>
                </c:pt>
                <c:pt idx="15">
                  <c:v>1261.0911960000001</c:v>
                </c:pt>
                <c:pt idx="16">
                  <c:v>1209.5951110000001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06-48E6-A5B5-68D35324122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'(default)'!$I$54:$Y$54</c:f>
              <c:numCache>
                <c:formatCode>General</c:formatCode>
                <c:ptCount val="17"/>
                <c:pt idx="0">
                  <c:v>1273.118845</c:v>
                </c:pt>
                <c:pt idx="1">
                  <c:v>1294.4332999999999</c:v>
                </c:pt>
                <c:pt idx="2">
                  <c:v>1286.8736100000001</c:v>
                </c:pt>
                <c:pt idx="3">
                  <c:v>1249.199038</c:v>
                </c:pt>
                <c:pt idx="4">
                  <c:v>1228.9767360000001</c:v>
                </c:pt>
                <c:pt idx="5">
                  <c:v>1211.8732299999999</c:v>
                </c:pt>
                <c:pt idx="6">
                  <c:v>1182.0919879999999</c:v>
                </c:pt>
                <c:pt idx="7">
                  <c:v>1155.9993899999999</c:v>
                </c:pt>
                <c:pt idx="8">
                  <c:v>1161.9209719999999</c:v>
                </c:pt>
                <c:pt idx="9">
                  <c:v>1148.393051</c:v>
                </c:pt>
                <c:pt idx="10">
                  <c:v>1169.3087229999999</c:v>
                </c:pt>
                <c:pt idx="11">
                  <c:v>1193.270685</c:v>
                </c:pt>
                <c:pt idx="12">
                  <c:v>1207.122384</c:v>
                </c:pt>
                <c:pt idx="13">
                  <c:v>1220.5395230000001</c:v>
                </c:pt>
                <c:pt idx="14">
                  <c:v>1247.966952</c:v>
                </c:pt>
                <c:pt idx="15">
                  <c:v>1249.23901</c:v>
                </c:pt>
                <c:pt idx="16">
                  <c:v>1203.7487239999998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06-48E6-A5B5-68D35324122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'(default)'!$I$55:$Y$55</c:f>
              <c:numCache>
                <c:formatCode>General</c:formatCode>
                <c:ptCount val="17"/>
                <c:pt idx="0">
                  <c:v>1270.5777499999999</c:v>
                </c:pt>
                <c:pt idx="1">
                  <c:v>1282.656313</c:v>
                </c:pt>
                <c:pt idx="2">
                  <c:v>1284.7725</c:v>
                </c:pt>
                <c:pt idx="3">
                  <c:v>1268.6940159999999</c:v>
                </c:pt>
                <c:pt idx="4">
                  <c:v>1240.9319459999999</c:v>
                </c:pt>
                <c:pt idx="5">
                  <c:v>1214.473068</c:v>
                </c:pt>
                <c:pt idx="6">
                  <c:v>1201.988648</c:v>
                </c:pt>
                <c:pt idx="7">
                  <c:v>1199.383875</c:v>
                </c:pt>
                <c:pt idx="8">
                  <c:v>1196.614855</c:v>
                </c:pt>
                <c:pt idx="9">
                  <c:v>1194.318675</c:v>
                </c:pt>
                <c:pt idx="10">
                  <c:v>1193.717112</c:v>
                </c:pt>
                <c:pt idx="11">
                  <c:v>1202.789896</c:v>
                </c:pt>
                <c:pt idx="12">
                  <c:v>1221.8304820000001</c:v>
                </c:pt>
                <c:pt idx="13">
                  <c:v>1242.6649600000001</c:v>
                </c:pt>
                <c:pt idx="14">
                  <c:v>1250.7484499999998</c:v>
                </c:pt>
                <c:pt idx="15">
                  <c:v>1244.3020799999999</c:v>
                </c:pt>
                <c:pt idx="16">
                  <c:v>1209.921012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06-48E6-A5B5-68D35324122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'(default)'!$I$56:$Y$56</c:f>
              <c:numCache>
                <c:formatCode>General</c:formatCode>
                <c:ptCount val="17"/>
                <c:pt idx="0">
                  <c:v>1298.321727</c:v>
                </c:pt>
                <c:pt idx="1">
                  <c:v>1283.3022000000001</c:v>
                </c:pt>
                <c:pt idx="2">
                  <c:v>1287.5690520000001</c:v>
                </c:pt>
                <c:pt idx="3">
                  <c:v>1308.1099450000002</c:v>
                </c:pt>
                <c:pt idx="4">
                  <c:v>1259.952434</c:v>
                </c:pt>
                <c:pt idx="5">
                  <c:v>1245.8544999999999</c:v>
                </c:pt>
                <c:pt idx="6">
                  <c:v>1228.6692430000001</c:v>
                </c:pt>
                <c:pt idx="7">
                  <c:v>1218.39904</c:v>
                </c:pt>
                <c:pt idx="8">
                  <c:v>1225.9533300000001</c:v>
                </c:pt>
                <c:pt idx="9">
                  <c:v>1214.6209200000001</c:v>
                </c:pt>
                <c:pt idx="10">
                  <c:v>1221.0011829999999</c:v>
                </c:pt>
                <c:pt idx="11">
                  <c:v>1232.7919400000001</c:v>
                </c:pt>
                <c:pt idx="12">
                  <c:v>1240.505136</c:v>
                </c:pt>
                <c:pt idx="13">
                  <c:v>1283.2390909999999</c:v>
                </c:pt>
                <c:pt idx="14">
                  <c:v>1257.0647759999999</c:v>
                </c:pt>
                <c:pt idx="15">
                  <c:v>1246.15842</c:v>
                </c:pt>
                <c:pt idx="16">
                  <c:v>1228.7266689999999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06-48E6-A5B5-68D35324122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7913343"/>
        <c:axId val="77616831"/>
        <c:axId val="56673423"/>
      </c:surface3DChart>
      <c:catAx>
        <c:axId val="679133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  <c:auto val="1"/>
        <c:lblAlgn val="ctr"/>
        <c:lblOffset val="100"/>
        <c:noMultiLvlLbl val="0"/>
      </c:catAx>
      <c:valAx>
        <c:axId val="7761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7913343"/>
        <c:crosses val="autoZero"/>
        <c:crossBetween val="midCat"/>
      </c:valAx>
      <c:serAx>
        <c:axId val="5667342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0</xdr:row>
      <xdr:rowOff>205739</xdr:rowOff>
    </xdr:from>
    <xdr:to>
      <xdr:col>34</xdr:col>
      <xdr:colOff>447040</xdr:colOff>
      <xdr:row>16</xdr:row>
      <xdr:rowOff>88899</xdr:rowOff>
    </xdr:to>
    <xdr:graphicFrame macro="">
      <xdr:nvGraphicFramePr>
        <xdr:cNvPr id="14" name="圖表 13">
          <a:extLst>
            <a:ext uri="{FF2B5EF4-FFF2-40B4-BE49-F238E27FC236}">
              <a16:creationId xmlns:a16="http://schemas.microsoft.com/office/drawing/2014/main" id="{CF61E6AC-850D-4703-B7BC-F61D4EAAB6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15</xdr:row>
      <xdr:rowOff>0</xdr:rowOff>
    </xdr:from>
    <xdr:to>
      <xdr:col>34</xdr:col>
      <xdr:colOff>447040</xdr:colOff>
      <xdr:row>30</xdr:row>
      <xdr:rowOff>88900</xdr:rowOff>
    </xdr:to>
    <xdr:graphicFrame macro="">
      <xdr:nvGraphicFramePr>
        <xdr:cNvPr id="15" name="圖表 14">
          <a:extLst>
            <a:ext uri="{FF2B5EF4-FFF2-40B4-BE49-F238E27FC236}">
              <a16:creationId xmlns:a16="http://schemas.microsoft.com/office/drawing/2014/main" id="{A2DDDC22-8EBE-4135-90AB-6AB5B9B872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251458</xdr:colOff>
      <xdr:row>29</xdr:row>
      <xdr:rowOff>0</xdr:rowOff>
    </xdr:from>
    <xdr:to>
      <xdr:col>34</xdr:col>
      <xdr:colOff>447038</xdr:colOff>
      <xdr:row>44</xdr:row>
      <xdr:rowOff>88900</xdr:rowOff>
    </xdr:to>
    <xdr:graphicFrame macro="">
      <xdr:nvGraphicFramePr>
        <xdr:cNvPr id="16" name="圖表 15">
          <a:extLst>
            <a:ext uri="{FF2B5EF4-FFF2-40B4-BE49-F238E27FC236}">
              <a16:creationId xmlns:a16="http://schemas.microsoft.com/office/drawing/2014/main" id="{0C21FEF5-93CB-4C3E-BE14-D3A7845500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2240</xdr:colOff>
      <xdr:row>43</xdr:row>
      <xdr:rowOff>0</xdr:rowOff>
    </xdr:from>
    <xdr:to>
      <xdr:col>34</xdr:col>
      <xdr:colOff>449280</xdr:colOff>
      <xdr:row>58</xdr:row>
      <xdr:rowOff>88900</xdr:rowOff>
    </xdr:to>
    <xdr:graphicFrame macro="">
      <xdr:nvGraphicFramePr>
        <xdr:cNvPr id="17" name="圖表 16">
          <a:extLst>
            <a:ext uri="{FF2B5EF4-FFF2-40B4-BE49-F238E27FC236}">
              <a16:creationId xmlns:a16="http://schemas.microsoft.com/office/drawing/2014/main" id="{6D3CC849-33A7-4F0A-A8FD-29D14E3971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1683</xdr:colOff>
      <xdr:row>1</xdr:row>
      <xdr:rowOff>0</xdr:rowOff>
    </xdr:from>
    <xdr:to>
      <xdr:col>33</xdr:col>
      <xdr:colOff>483535</xdr:colOff>
      <xdr:row>13</xdr:row>
      <xdr:rowOff>212911</xdr:rowOff>
    </xdr:to>
    <xdr:graphicFrame macro="">
      <xdr:nvGraphicFramePr>
        <xdr:cNvPr id="10" name="圖表 9">
          <a:extLst>
            <a:ext uri="{FF2B5EF4-FFF2-40B4-BE49-F238E27FC236}">
              <a16:creationId xmlns:a16="http://schemas.microsoft.com/office/drawing/2014/main" id="{6A3561CC-B6DD-4C91-B9AC-A3331B6FB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1682</xdr:colOff>
      <xdr:row>15</xdr:row>
      <xdr:rowOff>0</xdr:rowOff>
    </xdr:from>
    <xdr:to>
      <xdr:col>33</xdr:col>
      <xdr:colOff>494741</xdr:colOff>
      <xdr:row>28</xdr:row>
      <xdr:rowOff>1065</xdr:rowOff>
    </xdr:to>
    <xdr:graphicFrame macro="">
      <xdr:nvGraphicFramePr>
        <xdr:cNvPr id="11" name="圖表 10">
          <a:extLst>
            <a:ext uri="{FF2B5EF4-FFF2-40B4-BE49-F238E27FC236}">
              <a16:creationId xmlns:a16="http://schemas.microsoft.com/office/drawing/2014/main" id="{D0CA1E0F-8E00-440A-A082-943AEAFF64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1682</xdr:colOff>
      <xdr:row>29</xdr:row>
      <xdr:rowOff>0</xdr:rowOff>
    </xdr:from>
    <xdr:to>
      <xdr:col>33</xdr:col>
      <xdr:colOff>492799</xdr:colOff>
      <xdr:row>41</xdr:row>
      <xdr:rowOff>212911</xdr:rowOff>
    </xdr:to>
    <xdr:graphicFrame macro="">
      <xdr:nvGraphicFramePr>
        <xdr:cNvPr id="12" name="圖表 11">
          <a:extLst>
            <a:ext uri="{FF2B5EF4-FFF2-40B4-BE49-F238E27FC236}">
              <a16:creationId xmlns:a16="http://schemas.microsoft.com/office/drawing/2014/main" id="{061B1A1A-4C31-425B-A53B-880E670CD4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42</xdr:row>
      <xdr:rowOff>212909</xdr:rowOff>
    </xdr:from>
    <xdr:to>
      <xdr:col>33</xdr:col>
      <xdr:colOff>504352</xdr:colOff>
      <xdr:row>55</xdr:row>
      <xdr:rowOff>212909</xdr:rowOff>
    </xdr:to>
    <xdr:graphicFrame macro="">
      <xdr:nvGraphicFramePr>
        <xdr:cNvPr id="13" name="圖表 12">
          <a:extLst>
            <a:ext uri="{FF2B5EF4-FFF2-40B4-BE49-F238E27FC236}">
              <a16:creationId xmlns:a16="http://schemas.microsoft.com/office/drawing/2014/main" id="{BD28925F-23C1-4C27-9978-D780D35396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B2:AG223"/>
  <sheetViews>
    <sheetView tabSelected="1" zoomScale="85" zoomScaleNormal="85" workbookViewId="0"/>
  </sheetViews>
  <sheetFormatPr defaultColWidth="8.44140625" defaultRowHeight="16.2" x14ac:dyDescent="0.3"/>
  <cols>
    <col min="1" max="1" width="3.6640625" customWidth="1"/>
    <col min="2" max="6" width="7.6640625" style="2" customWidth="1"/>
    <col min="7" max="7" width="3.6640625" customWidth="1"/>
    <col min="9" max="9" width="8.44140625" style="2"/>
    <col min="10" max="11" width="8.44140625" style="2" customWidth="1"/>
    <col min="12" max="25" width="8.44140625" style="2"/>
    <col min="26" max="26" width="3.6640625" customWidth="1"/>
    <col min="33" max="33" width="8.44140625" customWidth="1"/>
  </cols>
  <sheetData>
    <row r="2" spans="2:33" x14ac:dyDescent="0.3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0</v>
      </c>
      <c r="I2" s="3">
        <f ca="1">INDIRECT("C"&amp;(17*ROW(1:1)+ROW('(default)'!$C$3)-19+IF(COLUMN(C:C)&gt;19,50000,COLUMN(C:C)-1)))</f>
        <v>281</v>
      </c>
      <c r="J2" s="2">
        <f ca="1">INDIRECT("C"&amp;(17*ROW(1:1)+ROW('(default)'!$C$3)-19+IF(COLUMN(D:D)&gt;19,50000,COLUMN(D:D)-1)))</f>
        <v>323</v>
      </c>
      <c r="K2" s="2">
        <f ca="1">INDIRECT("C"&amp;(17*ROW(1:1)+ROW('(default)'!$C$3)-19+IF(COLUMN(E:E)&gt;19,50000,COLUMN(E:E)-1)))</f>
        <v>373</v>
      </c>
      <c r="L2" s="2">
        <f ca="1">INDIRECT("C"&amp;(17*ROW(1:1)+ROW('(default)'!$C$3)-19+IF(COLUMN(F:F)&gt;19,50000,COLUMN(F:F)-1)))</f>
        <v>412</v>
      </c>
      <c r="M2" s="2">
        <f ca="1">INDIRECT("C"&amp;(17*ROW(1:1)+ROW('(default)'!$C$3)-19+IF(COLUMN(G:G)&gt;19,50000,COLUMN(G:G)-1)))</f>
        <v>455</v>
      </c>
      <c r="N2" s="2">
        <f ca="1">INDIRECT("C"&amp;(17*ROW(1:1)+ROW('(default)'!$C$3)-19+IF(COLUMN(H:H)&gt;19,50000,COLUMN(H:H)-1)))</f>
        <v>497</v>
      </c>
      <c r="O2" s="2">
        <f ca="1">INDIRECT("C"&amp;(17*ROW(1:1)+ROW('(default)'!$C$3)-19+IF(COLUMN(I:I)&gt;19,50000,COLUMN(I:I)-1)))</f>
        <v>526</v>
      </c>
      <c r="P2" s="2">
        <f ca="1">INDIRECT("C"&amp;(17*ROW(1:1)+ROW('(default)'!$C$3)-19+IF(COLUMN(J:J)&gt;19,50000,COLUMN(J:J)-1)))</f>
        <v>543</v>
      </c>
      <c r="Q2" s="2">
        <f ca="1">INDIRECT("C"&amp;(17*ROW(1:1)+ROW('(default)'!$C$3)-19+IF(COLUMN(K:K)&gt;19,50000,COLUMN(K:K)-1)))</f>
        <v>554</v>
      </c>
      <c r="R2" s="2">
        <f ca="1">INDIRECT("C"&amp;(17*ROW(1:1)+ROW('(default)'!$C$3)-19+IF(COLUMN(L:L)&gt;19,50000,COLUMN(L:L)-1)))</f>
        <v>543</v>
      </c>
      <c r="S2" s="2">
        <f ca="1">INDIRECT("C"&amp;(17*ROW(1:1)+ROW('(default)'!$C$3)-19+IF(COLUMN(M:M)&gt;19,50000,COLUMN(M:M)-1)))</f>
        <v>522</v>
      </c>
      <c r="T2" s="2">
        <f ca="1">INDIRECT("C"&amp;(17*ROW(1:1)+ROW('(default)'!$C$3)-19+IF(COLUMN(N:N)&gt;19,50000,COLUMN(N:N)-1)))</f>
        <v>494</v>
      </c>
      <c r="U2" s="2">
        <f ca="1">INDIRECT("C"&amp;(17*ROW(1:1)+ROW('(default)'!$C$3)-19+IF(COLUMN(O:O)&gt;19,50000,COLUMN(O:O)-1)))</f>
        <v>469</v>
      </c>
      <c r="V2" s="2">
        <f ca="1">INDIRECT("C"&amp;(17*ROW(1:1)+ROW('(default)'!$C$3)-19+IF(COLUMN(P:P)&gt;19,50000,COLUMN(P:P)-1)))</f>
        <v>426</v>
      </c>
      <c r="W2" s="2">
        <f ca="1">INDIRECT("C"&amp;(17*ROW(1:1)+ROW('(default)'!$C$3)-19+IF(COLUMN(Q:Q)&gt;19,50000,COLUMN(Q:Q)-1)))</f>
        <v>373</v>
      </c>
      <c r="X2" s="2">
        <f ca="1">INDIRECT("C"&amp;(17*ROW(1:1)+ROW('(default)'!$C$3)-19+IF(COLUMN(R:R)&gt;19,50000,COLUMN(R:R)-1)))</f>
        <v>320</v>
      </c>
      <c r="Y2" s="3">
        <f ca="1">INDIRECT("C"&amp;(17*ROW(1:1)+ROW('(default)'!$C$3)-19+IF(COLUMN(S:S)&gt;19,50000,COLUMN(S:S)-1)))</f>
        <v>291</v>
      </c>
      <c r="AG2" s="1"/>
    </row>
    <row r="3" spans="2:33" x14ac:dyDescent="0.3">
      <c r="B3" s="5">
        <v>0</v>
      </c>
      <c r="C3" s="8">
        <v>281</v>
      </c>
      <c r="D3" s="8">
        <v>314</v>
      </c>
      <c r="E3" s="8">
        <v>312</v>
      </c>
      <c r="F3" s="8">
        <v>317</v>
      </c>
      <c r="I3" s="2">
        <f ca="1">INDIRECT("C"&amp;(17*ROW(2:2)+ROW('(default)'!$C$3)-19+IF(COLUMN(C:C)&gt;19,50000,COLUMN(C:C)-1)))</f>
        <v>309</v>
      </c>
      <c r="J3" s="2">
        <f ca="1">INDIRECT("C"&amp;(17*ROW(2:2)+ROW('(default)'!$C$3)-19+IF(COLUMN(D:D)&gt;19,50000,COLUMN(D:D)-1)))</f>
        <v>352</v>
      </c>
      <c r="K3" s="2">
        <f ca="1">INDIRECT("C"&amp;(17*ROW(2:2)+ROW('(default)'!$C$3)-19+IF(COLUMN(E:E)&gt;19,50000,COLUMN(E:E)-1)))</f>
        <v>416</v>
      </c>
      <c r="L3" s="2">
        <f ca="1">INDIRECT("C"&amp;(17*ROW(2:2)+ROW('(default)'!$C$3)-19+IF(COLUMN(F:F)&gt;19,50000,COLUMN(F:F)-1)))</f>
        <v>469</v>
      </c>
      <c r="M3" s="2">
        <f ca="1">INDIRECT("C"&amp;(17*ROW(2:2)+ROW('(default)'!$C$3)-19+IF(COLUMN(G:G)&gt;19,50000,COLUMN(G:G)-1)))</f>
        <v>512</v>
      </c>
      <c r="N3" s="2">
        <f ca="1">INDIRECT("C"&amp;(17*ROW(2:2)+ROW('(default)'!$C$3)-19+IF(COLUMN(H:H)&gt;19,50000,COLUMN(H:H)-1)))</f>
        <v>554</v>
      </c>
      <c r="O3" s="2">
        <f ca="1">INDIRECT("C"&amp;(17*ROW(2:2)+ROW('(default)'!$C$3)-19+IF(COLUMN(I:I)&gt;19,50000,COLUMN(I:I)-1)))</f>
        <v>597</v>
      </c>
      <c r="P3" s="2">
        <f ca="1">INDIRECT("C"&amp;(17*ROW(2:2)+ROW('(default)'!$C$3)-19+IF(COLUMN(J:J)&gt;19,50000,COLUMN(J:J)-1)))</f>
        <v>629</v>
      </c>
      <c r="Q3" s="2">
        <f ca="1">INDIRECT("C"&amp;(17*ROW(2:2)+ROW('(default)'!$C$3)-19+IF(COLUMN(K:K)&gt;19,50000,COLUMN(K:K)-1)))</f>
        <v>639</v>
      </c>
      <c r="R3" s="2">
        <f ca="1">INDIRECT("C"&amp;(17*ROW(2:2)+ROW('(default)'!$C$3)-19+IF(COLUMN(L:L)&gt;19,50000,COLUMN(L:L)-1)))</f>
        <v>629</v>
      </c>
      <c r="S3" s="2">
        <f ca="1">INDIRECT("C"&amp;(17*ROW(2:2)+ROW('(default)'!$C$3)-19+IF(COLUMN(M:M)&gt;19,50000,COLUMN(M:M)-1)))</f>
        <v>607</v>
      </c>
      <c r="T3" s="2">
        <f ca="1">INDIRECT("C"&amp;(17*ROW(2:2)+ROW('(default)'!$C$3)-19+IF(COLUMN(N:N)&gt;19,50000,COLUMN(N:N)-1)))</f>
        <v>565</v>
      </c>
      <c r="U3" s="2">
        <f ca="1">INDIRECT("C"&amp;(17*ROW(2:2)+ROW('(default)'!$C$3)-19+IF(COLUMN(O:O)&gt;19,50000,COLUMN(O:O)-1)))</f>
        <v>512</v>
      </c>
      <c r="V3" s="2">
        <f ca="1">INDIRECT("C"&amp;(17*ROW(2:2)+ROW('(default)'!$C$3)-19+IF(COLUMN(P:P)&gt;19,50000,COLUMN(P:P)-1)))</f>
        <v>469</v>
      </c>
      <c r="W3" s="2">
        <f ca="1">INDIRECT("C"&amp;(17*ROW(2:2)+ROW('(default)'!$C$3)-19+IF(COLUMN(Q:Q)&gt;19,50000,COLUMN(Q:Q)-1)))</f>
        <v>416</v>
      </c>
      <c r="X3" s="2">
        <f ca="1">INDIRECT("C"&amp;(17*ROW(2:2)+ROW('(default)'!$C$3)-19+IF(COLUMN(R:R)&gt;19,50000,COLUMN(R:R)-1)))</f>
        <v>362</v>
      </c>
      <c r="Y3" s="2">
        <f ca="1">INDIRECT("C"&amp;(17*ROW(2:2)+ROW('(default)'!$C$3)-19+IF(COLUMN(S:S)&gt;19,50000,COLUMN(S:S)-1)))</f>
        <v>305</v>
      </c>
      <c r="AG3" s="1"/>
    </row>
    <row r="4" spans="2:33" x14ac:dyDescent="0.3">
      <c r="B4" s="5">
        <v>1</v>
      </c>
      <c r="C4" s="6">
        <v>323</v>
      </c>
      <c r="D4" s="6">
        <v>353</v>
      </c>
      <c r="E4" s="6">
        <v>351</v>
      </c>
      <c r="F4" s="6">
        <v>358</v>
      </c>
      <c r="I4" s="2">
        <f ca="1">INDIRECT("C"&amp;(17*ROW(3:3)+ROW('(default)'!$C$3)-19+IF(COLUMN(C:C)&gt;19,50000,COLUMN(C:C)-1)))</f>
        <v>337</v>
      </c>
      <c r="J4" s="2">
        <f ca="1">INDIRECT("C"&amp;(17*ROW(3:3)+ROW('(default)'!$C$3)-19+IF(COLUMN(D:D)&gt;19,50000,COLUMN(D:D)-1)))</f>
        <v>394</v>
      </c>
      <c r="K4" s="2">
        <f ca="1">INDIRECT("C"&amp;(17*ROW(3:3)+ROW('(default)'!$C$3)-19+IF(COLUMN(E:E)&gt;19,50000,COLUMN(E:E)-1)))</f>
        <v>448</v>
      </c>
      <c r="L4" s="2">
        <f ca="1">INDIRECT("C"&amp;(17*ROW(3:3)+ROW('(default)'!$C$3)-19+IF(COLUMN(F:F)&gt;19,50000,COLUMN(F:F)-1)))</f>
        <v>512</v>
      </c>
      <c r="M4" s="2">
        <f ca="1">INDIRECT("C"&amp;(17*ROW(3:3)+ROW('(default)'!$C$3)-19+IF(COLUMN(G:G)&gt;19,50000,COLUMN(G:G)-1)))</f>
        <v>575</v>
      </c>
      <c r="N4" s="2">
        <f ca="1">INDIRECT("C"&amp;(17*ROW(3:3)+ROW('(default)'!$C$3)-19+IF(COLUMN(H:H)&gt;19,50000,COLUMN(H:H)-1)))</f>
        <v>639</v>
      </c>
      <c r="O4" s="2">
        <f ca="1">INDIRECT("C"&amp;(17*ROW(3:3)+ROW('(default)'!$C$3)-19+IF(COLUMN(I:I)&gt;19,50000,COLUMN(I:I)-1)))</f>
        <v>693</v>
      </c>
      <c r="P4" s="2">
        <f ca="1">INDIRECT("C"&amp;(17*ROW(3:3)+ROW('(default)'!$C$3)-19+IF(COLUMN(J:J)&gt;19,50000,COLUMN(J:J)-1)))</f>
        <v>735</v>
      </c>
      <c r="Q4" s="2">
        <f ca="1">INDIRECT("C"&amp;(17*ROW(3:3)+ROW('(default)'!$C$3)-19+IF(COLUMN(K:K)&gt;19,50000,COLUMN(K:K)-1)))</f>
        <v>746</v>
      </c>
      <c r="R4" s="2">
        <f ca="1">INDIRECT("C"&amp;(17*ROW(3:3)+ROW('(default)'!$C$3)-19+IF(COLUMN(L:L)&gt;19,50000,COLUMN(L:L)-1)))</f>
        <v>735</v>
      </c>
      <c r="S4" s="2">
        <f ca="1">INDIRECT("C"&amp;(17*ROW(3:3)+ROW('(default)'!$C$3)-19+IF(COLUMN(M:M)&gt;19,50000,COLUMN(M:M)-1)))</f>
        <v>693</v>
      </c>
      <c r="T4" s="2">
        <f ca="1">INDIRECT("C"&amp;(17*ROW(3:3)+ROW('(default)'!$C$3)-19+IF(COLUMN(N:N)&gt;19,50000,COLUMN(N:N)-1)))</f>
        <v>639</v>
      </c>
      <c r="U4" s="2">
        <f ca="1">INDIRECT("C"&amp;(17*ROW(3:3)+ROW('(default)'!$C$3)-19+IF(COLUMN(O:O)&gt;19,50000,COLUMN(O:O)-1)))</f>
        <v>575</v>
      </c>
      <c r="V4" s="2">
        <f ca="1">INDIRECT("C"&amp;(17*ROW(3:3)+ROW('(default)'!$C$3)-19+IF(COLUMN(P:P)&gt;19,50000,COLUMN(P:P)-1)))</f>
        <v>512</v>
      </c>
      <c r="W4" s="2">
        <f ca="1">INDIRECT("C"&amp;(17*ROW(3:3)+ROW('(default)'!$C$3)-19+IF(COLUMN(Q:Q)&gt;19,50000,COLUMN(Q:Q)-1)))</f>
        <v>458</v>
      </c>
      <c r="X4" s="2">
        <f ca="1">INDIRECT("C"&amp;(17*ROW(3:3)+ROW('(default)'!$C$3)-19+IF(COLUMN(R:R)&gt;19,50000,COLUMN(R:R)-1)))</f>
        <v>394</v>
      </c>
      <c r="Y4" s="2">
        <f ca="1">INDIRECT("C"&amp;(17*ROW(3:3)+ROW('(default)'!$C$3)-19+IF(COLUMN(S:S)&gt;19,50000,COLUMN(S:S)-1)))</f>
        <v>337</v>
      </c>
      <c r="AG4" s="1"/>
    </row>
    <row r="5" spans="2:33" x14ac:dyDescent="0.3">
      <c r="B5" s="5">
        <v>2</v>
      </c>
      <c r="C5" s="6">
        <v>373</v>
      </c>
      <c r="D5" s="6">
        <v>401</v>
      </c>
      <c r="E5" s="6">
        <v>399</v>
      </c>
      <c r="F5" s="6">
        <v>406</v>
      </c>
      <c r="I5" s="2">
        <f ca="1">INDIRECT("C"&amp;(17*ROW(4:4)+ROW('(default)'!$C$3)-19+IF(COLUMN(C:C)&gt;19,50000,COLUMN(C:C)-1)))</f>
        <v>359</v>
      </c>
      <c r="J5" s="2">
        <f ca="1">INDIRECT("C"&amp;(17*ROW(4:4)+ROW('(default)'!$C$3)-19+IF(COLUMN(D:D)&gt;19,50000,COLUMN(D:D)-1)))</f>
        <v>416</v>
      </c>
      <c r="K5" s="2">
        <f ca="1">INDIRECT("C"&amp;(17*ROW(4:4)+ROW('(default)'!$C$3)-19+IF(COLUMN(E:E)&gt;19,50000,COLUMN(E:E)-1)))</f>
        <v>480</v>
      </c>
      <c r="L5" s="2">
        <f ca="1">INDIRECT("C"&amp;(17*ROW(4:4)+ROW('(default)'!$C$3)-19+IF(COLUMN(F:F)&gt;19,50000,COLUMN(F:F)-1)))</f>
        <v>554</v>
      </c>
      <c r="M5" s="2">
        <f ca="1">INDIRECT("C"&amp;(17*ROW(4:4)+ROW('(default)'!$C$3)-19+IF(COLUMN(G:G)&gt;19,50000,COLUMN(G:G)-1)))</f>
        <v>629</v>
      </c>
      <c r="N5" s="2">
        <f ca="1">INDIRECT("C"&amp;(17*ROW(4:4)+ROW('(default)'!$C$3)-19+IF(COLUMN(H:H)&gt;19,50000,COLUMN(H:H)-1)))</f>
        <v>714</v>
      </c>
      <c r="O5" s="2">
        <f ca="1">INDIRECT("C"&amp;(17*ROW(4:4)+ROW('(default)'!$C$3)-19+IF(COLUMN(I:I)&gt;19,50000,COLUMN(I:I)-1)))</f>
        <v>789</v>
      </c>
      <c r="P5" s="2">
        <f ca="1">INDIRECT("C"&amp;(17*ROW(4:4)+ROW('(default)'!$C$3)-19+IF(COLUMN(J:J)&gt;19,50000,COLUMN(J:J)-1)))</f>
        <v>842</v>
      </c>
      <c r="Q5" s="2">
        <f ca="1">INDIRECT("C"&amp;(17*ROW(4:4)+ROW('(default)'!$C$3)-19+IF(COLUMN(K:K)&gt;19,50000,COLUMN(K:K)-1)))</f>
        <v>863</v>
      </c>
      <c r="R5" s="2">
        <f ca="1">INDIRECT("C"&amp;(17*ROW(4:4)+ROW('(default)'!$C$3)-19+IF(COLUMN(L:L)&gt;19,50000,COLUMN(L:L)-1)))</f>
        <v>842</v>
      </c>
      <c r="S5" s="2">
        <f ca="1">INDIRECT("C"&amp;(17*ROW(4:4)+ROW('(default)'!$C$3)-19+IF(COLUMN(M:M)&gt;19,50000,COLUMN(M:M)-1)))</f>
        <v>789</v>
      </c>
      <c r="T5" s="2">
        <f ca="1">INDIRECT("C"&amp;(17*ROW(4:4)+ROW('(default)'!$C$3)-19+IF(COLUMN(N:N)&gt;19,50000,COLUMN(N:N)-1)))</f>
        <v>725</v>
      </c>
      <c r="U5" s="2">
        <f ca="1">INDIRECT("C"&amp;(17*ROW(4:4)+ROW('(default)'!$C$3)-19+IF(COLUMN(O:O)&gt;19,50000,COLUMN(O:O)-1)))</f>
        <v>639</v>
      </c>
      <c r="V5" s="2">
        <f ca="1">INDIRECT("C"&amp;(17*ROW(4:4)+ROW('(default)'!$C$3)-19+IF(COLUMN(P:P)&gt;19,50000,COLUMN(P:P)-1)))</f>
        <v>554</v>
      </c>
      <c r="W5" s="2">
        <f ca="1">INDIRECT("C"&amp;(17*ROW(4:4)+ROW('(default)'!$C$3)-19+IF(COLUMN(Q:Q)&gt;19,50000,COLUMN(Q:Q)-1)))</f>
        <v>490</v>
      </c>
      <c r="X5" s="2">
        <f ca="1">INDIRECT("C"&amp;(17*ROW(4:4)+ROW('(default)'!$C$3)-19+IF(COLUMN(R:R)&gt;19,50000,COLUMN(R:R)-1)))</f>
        <v>426</v>
      </c>
      <c r="Y5" s="2">
        <f ca="1">INDIRECT("C"&amp;(17*ROW(4:4)+ROW('(default)'!$C$3)-19+IF(COLUMN(S:S)&gt;19,50000,COLUMN(S:S)-1)))</f>
        <v>355</v>
      </c>
      <c r="AG5" s="1"/>
    </row>
    <row r="6" spans="2:33" x14ac:dyDescent="0.3">
      <c r="B6" s="5">
        <v>3</v>
      </c>
      <c r="C6" s="6">
        <v>412</v>
      </c>
      <c r="D6" s="6">
        <v>462</v>
      </c>
      <c r="E6" s="6">
        <v>459</v>
      </c>
      <c r="F6" s="6">
        <v>471</v>
      </c>
      <c r="I6" s="2">
        <f ca="1">INDIRECT("C"&amp;(17*ROW(5:5)+ROW('(default)'!$C$3)-19+IF(COLUMN(C:C)&gt;19,50000,COLUMN(C:C)-1)))</f>
        <v>380</v>
      </c>
      <c r="J6" s="2">
        <f ca="1">INDIRECT("C"&amp;(17*ROW(5:5)+ROW('(default)'!$C$3)-19+IF(COLUMN(D:D)&gt;19,50000,COLUMN(D:D)-1)))</f>
        <v>437</v>
      </c>
      <c r="K6" s="2">
        <f ca="1">INDIRECT("C"&amp;(17*ROW(5:5)+ROW('(default)'!$C$3)-19+IF(COLUMN(E:E)&gt;19,50000,COLUMN(E:E)-1)))</f>
        <v>512</v>
      </c>
      <c r="L6" s="2">
        <f ca="1">INDIRECT("C"&amp;(17*ROW(5:5)+ROW('(default)'!$C$3)-19+IF(COLUMN(F:F)&gt;19,50000,COLUMN(F:F)-1)))</f>
        <v>597</v>
      </c>
      <c r="M6" s="2">
        <f ca="1">INDIRECT("C"&amp;(17*ROW(5:5)+ROW('(default)'!$C$3)-19+IF(COLUMN(G:G)&gt;19,50000,COLUMN(G:G)-1)))</f>
        <v>682</v>
      </c>
      <c r="N6" s="2">
        <f ca="1">INDIRECT("C"&amp;(17*ROW(5:5)+ROW('(default)'!$C$3)-19+IF(COLUMN(H:H)&gt;19,50000,COLUMN(H:H)-1)))</f>
        <v>778</v>
      </c>
      <c r="O6" s="2">
        <f ca="1">INDIRECT("C"&amp;(17*ROW(5:5)+ROW('(default)'!$C$3)-19+IF(COLUMN(I:I)&gt;19,50000,COLUMN(I:I)-1)))</f>
        <v>863</v>
      </c>
      <c r="P6" s="2">
        <f ca="1">INDIRECT("C"&amp;(17*ROW(5:5)+ROW('(default)'!$C$3)-19+IF(COLUMN(J:J)&gt;19,50000,COLUMN(J:J)-1)))</f>
        <v>938</v>
      </c>
      <c r="Q6" s="2">
        <f ca="1">INDIRECT("C"&amp;(17*ROW(5:5)+ROW('(default)'!$C$3)-19+IF(COLUMN(K:K)&gt;19,50000,COLUMN(K:K)-1)))</f>
        <v>948</v>
      </c>
      <c r="R6" s="2">
        <f ca="1">INDIRECT("C"&amp;(17*ROW(5:5)+ROW('(default)'!$C$3)-19+IF(COLUMN(L:L)&gt;19,50000,COLUMN(L:L)-1)))</f>
        <v>938</v>
      </c>
      <c r="S6" s="2">
        <f ca="1">INDIRECT("C"&amp;(17*ROW(5:5)+ROW('(default)'!$C$3)-19+IF(COLUMN(M:M)&gt;19,50000,COLUMN(M:M)-1)))</f>
        <v>884</v>
      </c>
      <c r="T6" s="2">
        <f ca="1">INDIRECT("C"&amp;(17*ROW(5:5)+ROW('(default)'!$C$3)-19+IF(COLUMN(N:N)&gt;19,50000,COLUMN(N:N)-1)))</f>
        <v>789</v>
      </c>
      <c r="U6" s="2">
        <f ca="1">INDIRECT("C"&amp;(17*ROW(5:5)+ROW('(default)'!$C$3)-19+IF(COLUMN(O:O)&gt;19,50000,COLUMN(O:O)-1)))</f>
        <v>693</v>
      </c>
      <c r="V6" s="2">
        <f ca="1">INDIRECT("C"&amp;(17*ROW(5:5)+ROW('(default)'!$C$3)-19+IF(COLUMN(P:P)&gt;19,50000,COLUMN(P:P)-1)))</f>
        <v>597</v>
      </c>
      <c r="W6" s="2">
        <f ca="1">INDIRECT("C"&amp;(17*ROW(5:5)+ROW('(default)'!$C$3)-19+IF(COLUMN(Q:Q)&gt;19,50000,COLUMN(Q:Q)-1)))</f>
        <v>512</v>
      </c>
      <c r="X6" s="2">
        <f ca="1">INDIRECT("C"&amp;(17*ROW(5:5)+ROW('(default)'!$C$3)-19+IF(COLUMN(R:R)&gt;19,50000,COLUMN(R:R)-1)))</f>
        <v>448</v>
      </c>
      <c r="Y6" s="2">
        <f ca="1">INDIRECT("C"&amp;(17*ROW(5:5)+ROW('(default)'!$C$3)-19+IF(COLUMN(S:S)&gt;19,50000,COLUMN(S:S)-1)))</f>
        <v>377</v>
      </c>
      <c r="AG6" s="1"/>
    </row>
    <row r="7" spans="2:33" x14ac:dyDescent="0.3">
      <c r="B7" s="5">
        <v>4</v>
      </c>
      <c r="C7" s="6">
        <v>455</v>
      </c>
      <c r="D7" s="6">
        <v>507</v>
      </c>
      <c r="E7" s="6">
        <v>504</v>
      </c>
      <c r="F7" s="6">
        <v>508</v>
      </c>
      <c r="I7" s="2">
        <f ca="1">INDIRECT("C"&amp;(17*ROW(6:6)+ROW('(default)'!$C$3)-19+IF(COLUMN(C:C)&gt;19,50000,COLUMN(C:C)-1)))</f>
        <v>387</v>
      </c>
      <c r="J7" s="2">
        <f ca="1">INDIRECT("C"&amp;(17*ROW(6:6)+ROW('(default)'!$C$3)-19+IF(COLUMN(D:D)&gt;19,50000,COLUMN(D:D)-1)))</f>
        <v>458</v>
      </c>
      <c r="K7" s="2">
        <f ca="1">INDIRECT("C"&amp;(17*ROW(6:6)+ROW('(default)'!$C$3)-19+IF(COLUMN(E:E)&gt;19,50000,COLUMN(E:E)-1)))</f>
        <v>522</v>
      </c>
      <c r="L7" s="2">
        <f ca="1">INDIRECT("C"&amp;(17*ROW(6:6)+ROW('(default)'!$C$3)-19+IF(COLUMN(F:F)&gt;19,50000,COLUMN(F:F)-1)))</f>
        <v>618</v>
      </c>
      <c r="M7" s="2">
        <f ca="1">INDIRECT("C"&amp;(17*ROW(6:6)+ROW('(default)'!$C$3)-19+IF(COLUMN(G:G)&gt;19,50000,COLUMN(G:G)-1)))</f>
        <v>725</v>
      </c>
      <c r="N7" s="2">
        <f ca="1">INDIRECT("C"&amp;(17*ROW(6:6)+ROW('(default)'!$C$3)-19+IF(COLUMN(H:H)&gt;19,50000,COLUMN(H:H)-1)))</f>
        <v>831</v>
      </c>
      <c r="O7" s="2">
        <f ca="1">INDIRECT("C"&amp;(17*ROW(6:6)+ROW('(default)'!$C$3)-19+IF(COLUMN(I:I)&gt;19,50000,COLUMN(I:I)-1)))</f>
        <v>927</v>
      </c>
      <c r="P7" s="2">
        <f ca="1">INDIRECT("C"&amp;(17*ROW(6:6)+ROW('(default)'!$C$3)-19+IF(COLUMN(J:J)&gt;19,50000,COLUMN(J:J)-1)))</f>
        <v>980</v>
      </c>
      <c r="Q7" s="2">
        <f ca="1">INDIRECT("C"&amp;(17*ROW(6:6)+ROW('(default)'!$C$3)-19+IF(COLUMN(K:K)&gt;19,50000,COLUMN(K:K)-1)))</f>
        <v>1002</v>
      </c>
      <c r="R7" s="2">
        <f ca="1">INDIRECT("C"&amp;(17*ROW(6:6)+ROW('(default)'!$C$3)-19+IF(COLUMN(L:L)&gt;19,50000,COLUMN(L:L)-1)))</f>
        <v>980</v>
      </c>
      <c r="S7" s="2">
        <f ca="1">INDIRECT("C"&amp;(17*ROW(6:6)+ROW('(default)'!$C$3)-19+IF(COLUMN(M:M)&gt;19,50000,COLUMN(M:M)-1)))</f>
        <v>927</v>
      </c>
      <c r="T7" s="2">
        <f ca="1">INDIRECT("C"&amp;(17*ROW(6:6)+ROW('(default)'!$C$3)-19+IF(COLUMN(N:N)&gt;19,50000,COLUMN(N:N)-1)))</f>
        <v>842</v>
      </c>
      <c r="U7" s="2">
        <f ca="1">INDIRECT("C"&amp;(17*ROW(6:6)+ROW('(default)'!$C$3)-19+IF(COLUMN(O:O)&gt;19,50000,COLUMN(O:O)-1)))</f>
        <v>725</v>
      </c>
      <c r="V7" s="2">
        <f ca="1">INDIRECT("C"&amp;(17*ROW(6:6)+ROW('(default)'!$C$3)-19+IF(COLUMN(P:P)&gt;19,50000,COLUMN(P:P)-1)))</f>
        <v>618</v>
      </c>
      <c r="W7" s="2">
        <f ca="1">INDIRECT("C"&amp;(17*ROW(6:6)+ROW('(default)'!$C$3)-19+IF(COLUMN(Q:Q)&gt;19,50000,COLUMN(Q:Q)-1)))</f>
        <v>533</v>
      </c>
      <c r="X7" s="2">
        <f ca="1">INDIRECT("C"&amp;(17*ROW(6:6)+ROW('(default)'!$C$3)-19+IF(COLUMN(R:R)&gt;19,50000,COLUMN(R:R)-1)))</f>
        <v>458</v>
      </c>
      <c r="Y7" s="2">
        <f ca="1">INDIRECT("C"&amp;(17*ROW(6:6)+ROW('(default)'!$C$3)-19+IF(COLUMN(S:S)&gt;19,50000,COLUMN(S:S)-1)))</f>
        <v>387</v>
      </c>
      <c r="AG7" s="1"/>
    </row>
    <row r="8" spans="2:33" x14ac:dyDescent="0.3">
      <c r="B8" s="5">
        <v>5</v>
      </c>
      <c r="C8" s="6">
        <v>497</v>
      </c>
      <c r="D8" s="6">
        <v>540</v>
      </c>
      <c r="E8" s="6">
        <v>537</v>
      </c>
      <c r="F8" s="6">
        <v>546</v>
      </c>
      <c r="I8" s="2">
        <f ca="1">INDIRECT("C"&amp;(17*ROW(7:7)+ROW('(default)'!$C$3)-19+IF(COLUMN(C:C)&gt;19,50000,COLUMN(C:C)-1)))</f>
        <v>387</v>
      </c>
      <c r="J8" s="2">
        <f ca="1">INDIRECT("C"&amp;(17*ROW(7:7)+ROW('(default)'!$C$3)-19+IF(COLUMN(D:D)&gt;19,50000,COLUMN(D:D)-1)))</f>
        <v>458</v>
      </c>
      <c r="K8" s="2">
        <f ca="1">INDIRECT("C"&amp;(17*ROW(7:7)+ROW('(default)'!$C$3)-19+IF(COLUMN(E:E)&gt;19,50000,COLUMN(E:E)-1)))</f>
        <v>533</v>
      </c>
      <c r="L8" s="2">
        <f ca="1">INDIRECT("C"&amp;(17*ROW(7:7)+ROW('(default)'!$C$3)-19+IF(COLUMN(F:F)&gt;19,50000,COLUMN(F:F)-1)))</f>
        <v>629</v>
      </c>
      <c r="M8" s="2">
        <f ca="1">INDIRECT("C"&amp;(17*ROW(7:7)+ROW('(default)'!$C$3)-19+IF(COLUMN(G:G)&gt;19,50000,COLUMN(G:G)-1)))</f>
        <v>735</v>
      </c>
      <c r="N8" s="2">
        <f ca="1">INDIRECT("C"&amp;(17*ROW(7:7)+ROW('(default)'!$C$3)-19+IF(COLUMN(H:H)&gt;19,50000,COLUMN(H:H)-1)))</f>
        <v>842</v>
      </c>
      <c r="O8" s="2">
        <f ca="1">INDIRECT("C"&amp;(17*ROW(7:7)+ROW('(default)'!$C$3)-19+IF(COLUMN(I:I)&gt;19,50000,COLUMN(I:I)-1)))</f>
        <v>948</v>
      </c>
      <c r="P8" s="2">
        <f ca="1">INDIRECT("C"&amp;(17*ROW(7:7)+ROW('(default)'!$C$3)-19+IF(COLUMN(J:J)&gt;19,50000,COLUMN(J:J)-1)))</f>
        <v>1002</v>
      </c>
      <c r="Q8" s="2">
        <f ca="1">INDIRECT("C"&amp;(17*ROW(7:7)+ROW('(default)'!$C$3)-19+IF(COLUMN(K:K)&gt;19,50000,COLUMN(K:K)-1)))</f>
        <v>1023</v>
      </c>
      <c r="R8" s="2">
        <f ca="1">INDIRECT("C"&amp;(17*ROW(7:7)+ROW('(default)'!$C$3)-19+IF(COLUMN(L:L)&gt;19,50000,COLUMN(L:L)-1)))</f>
        <v>1002</v>
      </c>
      <c r="S8" s="2">
        <f ca="1">INDIRECT("C"&amp;(17*ROW(7:7)+ROW('(default)'!$C$3)-19+IF(COLUMN(M:M)&gt;19,50000,COLUMN(M:M)-1)))</f>
        <v>948</v>
      </c>
      <c r="T8" s="2">
        <f ca="1">INDIRECT("C"&amp;(17*ROW(7:7)+ROW('(default)'!$C$3)-19+IF(COLUMN(N:N)&gt;19,50000,COLUMN(N:N)-1)))</f>
        <v>853</v>
      </c>
      <c r="U8" s="2">
        <f ca="1">INDIRECT("C"&amp;(17*ROW(7:7)+ROW('(default)'!$C$3)-19+IF(COLUMN(O:O)&gt;19,50000,COLUMN(O:O)-1)))</f>
        <v>746</v>
      </c>
      <c r="V8" s="2">
        <f ca="1">INDIRECT("C"&amp;(17*ROW(7:7)+ROW('(default)'!$C$3)-19+IF(COLUMN(P:P)&gt;19,50000,COLUMN(P:P)-1)))</f>
        <v>629</v>
      </c>
      <c r="W8" s="2">
        <f ca="1">INDIRECT("C"&amp;(17*ROW(7:7)+ROW('(default)'!$C$3)-19+IF(COLUMN(Q:Q)&gt;19,50000,COLUMN(Q:Q)-1)))</f>
        <v>543</v>
      </c>
      <c r="X8" s="2">
        <f ca="1">INDIRECT("C"&amp;(17*ROW(7:7)+ROW('(default)'!$C$3)-19+IF(COLUMN(R:R)&gt;19,50000,COLUMN(R:R)-1)))</f>
        <v>469</v>
      </c>
      <c r="Y8" s="2">
        <f ca="1">INDIRECT("C"&amp;(17*ROW(7:7)+ROW('(default)'!$C$3)-19+IF(COLUMN(S:S)&gt;19,50000,COLUMN(S:S)-1)))</f>
        <v>398</v>
      </c>
      <c r="AG8" s="1"/>
    </row>
    <row r="9" spans="2:33" x14ac:dyDescent="0.3">
      <c r="B9" s="5">
        <v>6</v>
      </c>
      <c r="C9" s="6">
        <v>526</v>
      </c>
      <c r="D9" s="6">
        <v>567</v>
      </c>
      <c r="E9" s="6">
        <v>562</v>
      </c>
      <c r="F9" s="6">
        <v>576</v>
      </c>
      <c r="I9" s="2">
        <f ca="1">INDIRECT("C"&amp;(17*ROW(8:8)+ROW('(default)'!$C$3)-19+IF(COLUMN(C:C)&gt;19,50000,COLUMN(C:C)-1)))</f>
        <v>391</v>
      </c>
      <c r="J9" s="2">
        <f ca="1">INDIRECT("C"&amp;(17*ROW(8:8)+ROW('(default)'!$C$3)-19+IF(COLUMN(D:D)&gt;19,50000,COLUMN(D:D)-1)))</f>
        <v>448</v>
      </c>
      <c r="K9" s="2">
        <f ca="1">INDIRECT("C"&amp;(17*ROW(8:8)+ROW('(default)'!$C$3)-19+IF(COLUMN(E:E)&gt;19,50000,COLUMN(E:E)-1)))</f>
        <v>522</v>
      </c>
      <c r="L9" s="2">
        <f ca="1">INDIRECT("C"&amp;(17*ROW(8:8)+ROW('(default)'!$C$3)-19+IF(COLUMN(F:F)&gt;19,50000,COLUMN(F:F)-1)))</f>
        <v>618</v>
      </c>
      <c r="M9" s="2">
        <f ca="1">INDIRECT("C"&amp;(17*ROW(8:8)+ROW('(default)'!$C$3)-19+IF(COLUMN(G:G)&gt;19,50000,COLUMN(G:G)-1)))</f>
        <v>725</v>
      </c>
      <c r="N9" s="2">
        <f ca="1">INDIRECT("C"&amp;(17*ROW(8:8)+ROW('(default)'!$C$3)-19+IF(COLUMN(H:H)&gt;19,50000,COLUMN(H:H)-1)))</f>
        <v>831</v>
      </c>
      <c r="O9" s="2">
        <f ca="1">INDIRECT("C"&amp;(17*ROW(8:8)+ROW('(default)'!$C$3)-19+IF(COLUMN(I:I)&gt;19,50000,COLUMN(I:I)-1)))</f>
        <v>927</v>
      </c>
      <c r="P9" s="2">
        <f ca="1">INDIRECT("C"&amp;(17*ROW(8:8)+ROW('(default)'!$C$3)-19+IF(COLUMN(J:J)&gt;19,50000,COLUMN(J:J)-1)))</f>
        <v>980</v>
      </c>
      <c r="Q9" s="2">
        <f ca="1">INDIRECT("C"&amp;(17*ROW(8:8)+ROW('(default)'!$C$3)-19+IF(COLUMN(K:K)&gt;19,50000,COLUMN(K:K)-1)))</f>
        <v>1002</v>
      </c>
      <c r="R9" s="2">
        <f ca="1">INDIRECT("C"&amp;(17*ROW(8:8)+ROW('(default)'!$C$3)-19+IF(COLUMN(L:L)&gt;19,50000,COLUMN(L:L)-1)))</f>
        <v>980</v>
      </c>
      <c r="S9" s="2">
        <f ca="1">INDIRECT("C"&amp;(17*ROW(8:8)+ROW('(default)'!$C$3)-19+IF(COLUMN(M:M)&gt;19,50000,COLUMN(M:M)-1)))</f>
        <v>927</v>
      </c>
      <c r="T9" s="2">
        <f ca="1">INDIRECT("C"&amp;(17*ROW(8:8)+ROW('(default)'!$C$3)-19+IF(COLUMN(N:N)&gt;19,50000,COLUMN(N:N)-1)))</f>
        <v>842</v>
      </c>
      <c r="U9" s="2">
        <f ca="1">INDIRECT("C"&amp;(17*ROW(8:8)+ROW('(default)'!$C$3)-19+IF(COLUMN(O:O)&gt;19,50000,COLUMN(O:O)-1)))</f>
        <v>725</v>
      </c>
      <c r="V9" s="2">
        <f ca="1">INDIRECT("C"&amp;(17*ROW(8:8)+ROW('(default)'!$C$3)-19+IF(COLUMN(P:P)&gt;19,50000,COLUMN(P:P)-1)))</f>
        <v>618</v>
      </c>
      <c r="W9" s="2">
        <f ca="1">INDIRECT("C"&amp;(17*ROW(8:8)+ROW('(default)'!$C$3)-19+IF(COLUMN(Q:Q)&gt;19,50000,COLUMN(Q:Q)-1)))</f>
        <v>533</v>
      </c>
      <c r="X9" s="2">
        <f ca="1">INDIRECT("C"&amp;(17*ROW(8:8)+ROW('(default)'!$C$3)-19+IF(COLUMN(R:R)&gt;19,50000,COLUMN(R:R)-1)))</f>
        <v>458</v>
      </c>
      <c r="Y9" s="2">
        <f ca="1">INDIRECT("C"&amp;(17*ROW(8:8)+ROW('(default)'!$C$3)-19+IF(COLUMN(S:S)&gt;19,50000,COLUMN(S:S)-1)))</f>
        <v>387</v>
      </c>
      <c r="AG9" s="1"/>
    </row>
    <row r="10" spans="2:33" x14ac:dyDescent="0.3">
      <c r="B10" s="5">
        <v>7</v>
      </c>
      <c r="C10" s="6">
        <v>543</v>
      </c>
      <c r="D10" s="6">
        <v>588</v>
      </c>
      <c r="E10" s="6">
        <v>585</v>
      </c>
      <c r="F10" s="6">
        <v>593</v>
      </c>
      <c r="I10" s="2">
        <f ca="1">INDIRECT("C"&amp;(17*ROW(9:9)+ROW('(default)'!$C$3)-19+IF(COLUMN(C:C)&gt;19,50000,COLUMN(C:C)-1)))</f>
        <v>366</v>
      </c>
      <c r="J10" s="2">
        <f ca="1">INDIRECT("C"&amp;(17*ROW(9:9)+ROW('(default)'!$C$3)-19+IF(COLUMN(D:D)&gt;19,50000,COLUMN(D:D)-1)))</f>
        <v>437</v>
      </c>
      <c r="K10" s="2">
        <f ca="1">INDIRECT("C"&amp;(17*ROW(9:9)+ROW('(default)'!$C$3)-19+IF(COLUMN(E:E)&gt;19,50000,COLUMN(E:E)-1)))</f>
        <v>501</v>
      </c>
      <c r="L10" s="2">
        <f ca="1">INDIRECT("C"&amp;(17*ROW(9:9)+ROW('(default)'!$C$3)-19+IF(COLUMN(F:F)&gt;19,50000,COLUMN(F:F)-1)))</f>
        <v>586</v>
      </c>
      <c r="M10" s="2">
        <f ca="1">INDIRECT("C"&amp;(17*ROW(9:9)+ROW('(default)'!$C$3)-19+IF(COLUMN(G:G)&gt;19,50000,COLUMN(G:G)-1)))</f>
        <v>682</v>
      </c>
      <c r="N10" s="2">
        <f ca="1">INDIRECT("C"&amp;(17*ROW(9:9)+ROW('(default)'!$C$3)-19+IF(COLUMN(H:H)&gt;19,50000,COLUMN(H:H)-1)))</f>
        <v>778</v>
      </c>
      <c r="O10" s="2">
        <f ca="1">INDIRECT("C"&amp;(17*ROW(9:9)+ROW('(default)'!$C$3)-19+IF(COLUMN(I:I)&gt;19,50000,COLUMN(I:I)-1)))</f>
        <v>874</v>
      </c>
      <c r="P10" s="2">
        <f ca="1">INDIRECT("C"&amp;(17*ROW(9:9)+ROW('(default)'!$C$3)-19+IF(COLUMN(J:J)&gt;19,50000,COLUMN(J:J)-1)))</f>
        <v>938</v>
      </c>
      <c r="Q10" s="2">
        <f ca="1">INDIRECT("C"&amp;(17*ROW(9:9)+ROW('(default)'!$C$3)-19+IF(COLUMN(K:K)&gt;19,50000,COLUMN(K:K)-1)))</f>
        <v>959</v>
      </c>
      <c r="R10" s="2">
        <f ca="1">INDIRECT("C"&amp;(17*ROW(9:9)+ROW('(default)'!$C$3)-19+IF(COLUMN(L:L)&gt;19,50000,COLUMN(L:L)-1)))</f>
        <v>938</v>
      </c>
      <c r="S10" s="2">
        <f ca="1">INDIRECT("C"&amp;(17*ROW(9:9)+ROW('(default)'!$C$3)-19+IF(COLUMN(M:M)&gt;19,50000,COLUMN(M:M)-1)))</f>
        <v>884</v>
      </c>
      <c r="T10" s="2">
        <f ca="1">INDIRECT("C"&amp;(17*ROW(9:9)+ROW('(default)'!$C$3)-19+IF(COLUMN(N:N)&gt;19,50000,COLUMN(N:N)-1)))</f>
        <v>789</v>
      </c>
      <c r="U10" s="2">
        <f ca="1">INDIRECT("C"&amp;(17*ROW(9:9)+ROW('(default)'!$C$3)-19+IF(COLUMN(O:O)&gt;19,50000,COLUMN(O:O)-1)))</f>
        <v>693</v>
      </c>
      <c r="V10" s="2">
        <f ca="1">INDIRECT("C"&amp;(17*ROW(9:9)+ROW('(default)'!$C$3)-19+IF(COLUMN(P:P)&gt;19,50000,COLUMN(P:P)-1)))</f>
        <v>597</v>
      </c>
      <c r="W10" s="2">
        <f ca="1">INDIRECT("C"&amp;(17*ROW(9:9)+ROW('(default)'!$C$3)-19+IF(COLUMN(Q:Q)&gt;19,50000,COLUMN(Q:Q)-1)))</f>
        <v>512</v>
      </c>
      <c r="X10" s="2">
        <f ca="1">INDIRECT("C"&amp;(17*ROW(9:9)+ROW('(default)'!$C$3)-19+IF(COLUMN(R:R)&gt;19,50000,COLUMN(R:R)-1)))</f>
        <v>448</v>
      </c>
      <c r="Y10" s="2">
        <f ca="1">INDIRECT("C"&amp;(17*ROW(9:9)+ROW('(default)'!$C$3)-19+IF(COLUMN(S:S)&gt;19,50000,COLUMN(S:S)-1)))</f>
        <v>377</v>
      </c>
      <c r="AG10" s="1"/>
    </row>
    <row r="11" spans="2:33" x14ac:dyDescent="0.3">
      <c r="B11" s="5">
        <v>8</v>
      </c>
      <c r="C11" s="6">
        <v>554</v>
      </c>
      <c r="D11" s="6">
        <v>592</v>
      </c>
      <c r="E11" s="6">
        <v>589</v>
      </c>
      <c r="F11" s="6">
        <v>590</v>
      </c>
      <c r="I11" s="2">
        <f ca="1">INDIRECT("C"&amp;(17*ROW(10:10)+ROW('(default)'!$C$3)-19+IF(COLUMN(C:C)&gt;19,50000,COLUMN(C:C)-1)))</f>
        <v>345</v>
      </c>
      <c r="J11" s="2">
        <f ca="1">INDIRECT("C"&amp;(17*ROW(10:10)+ROW('(default)'!$C$3)-19+IF(COLUMN(D:D)&gt;19,50000,COLUMN(D:D)-1)))</f>
        <v>416</v>
      </c>
      <c r="K11" s="2">
        <f ca="1">INDIRECT("C"&amp;(17*ROW(10:10)+ROW('(default)'!$C$3)-19+IF(COLUMN(E:E)&gt;19,50000,COLUMN(E:E)-1)))</f>
        <v>480</v>
      </c>
      <c r="L11" s="2">
        <f ca="1">INDIRECT("C"&amp;(17*ROW(10:10)+ROW('(default)'!$C$3)-19+IF(COLUMN(F:F)&gt;19,50000,COLUMN(F:F)-1)))</f>
        <v>554</v>
      </c>
      <c r="M11" s="2">
        <f ca="1">INDIRECT("C"&amp;(17*ROW(10:10)+ROW('(default)'!$C$3)-19+IF(COLUMN(G:G)&gt;19,50000,COLUMN(G:G)-1)))</f>
        <v>629</v>
      </c>
      <c r="N11" s="2">
        <f ca="1">INDIRECT("C"&amp;(17*ROW(10:10)+ROW('(default)'!$C$3)-19+IF(COLUMN(H:H)&gt;19,50000,COLUMN(H:H)-1)))</f>
        <v>714</v>
      </c>
      <c r="O11" s="2">
        <f ca="1">INDIRECT("C"&amp;(17*ROW(10:10)+ROW('(default)'!$C$3)-19+IF(COLUMN(I:I)&gt;19,50000,COLUMN(I:I)-1)))</f>
        <v>789</v>
      </c>
      <c r="P11" s="2">
        <f ca="1">INDIRECT("C"&amp;(17*ROW(10:10)+ROW('(default)'!$C$3)-19+IF(COLUMN(J:J)&gt;19,50000,COLUMN(J:J)-1)))</f>
        <v>842</v>
      </c>
      <c r="Q11" s="2">
        <f ca="1">INDIRECT("C"&amp;(17*ROW(10:10)+ROW('(default)'!$C$3)-19+IF(COLUMN(K:K)&gt;19,50000,COLUMN(K:K)-1)))</f>
        <v>863</v>
      </c>
      <c r="R11" s="2">
        <f ca="1">INDIRECT("C"&amp;(17*ROW(10:10)+ROW('(default)'!$C$3)-19+IF(COLUMN(L:L)&gt;19,50000,COLUMN(L:L)-1)))</f>
        <v>853</v>
      </c>
      <c r="S11" s="2">
        <f ca="1">INDIRECT("C"&amp;(17*ROW(10:10)+ROW('(default)'!$C$3)-19+IF(COLUMN(M:M)&gt;19,50000,COLUMN(M:M)-1)))</f>
        <v>799</v>
      </c>
      <c r="T11" s="2">
        <f ca="1">INDIRECT("C"&amp;(17*ROW(10:10)+ROW('(default)'!$C$3)-19+IF(COLUMN(N:N)&gt;19,50000,COLUMN(N:N)-1)))</f>
        <v>725</v>
      </c>
      <c r="U11" s="2">
        <f ca="1">INDIRECT("C"&amp;(17*ROW(10:10)+ROW('(default)'!$C$3)-19+IF(COLUMN(O:O)&gt;19,50000,COLUMN(O:O)-1)))</f>
        <v>639</v>
      </c>
      <c r="V11" s="2">
        <f ca="1">INDIRECT("C"&amp;(17*ROW(10:10)+ROW('(default)'!$C$3)-19+IF(COLUMN(P:P)&gt;19,50000,COLUMN(P:P)-1)))</f>
        <v>554</v>
      </c>
      <c r="W11" s="2">
        <f ca="1">INDIRECT("C"&amp;(17*ROW(10:10)+ROW('(default)'!$C$3)-19+IF(COLUMN(Q:Q)&gt;19,50000,COLUMN(Q:Q)-1)))</f>
        <v>490</v>
      </c>
      <c r="X11" s="2">
        <f ca="1">INDIRECT("C"&amp;(17*ROW(10:10)+ROW('(default)'!$C$3)-19+IF(COLUMN(R:R)&gt;19,50000,COLUMN(R:R)-1)))</f>
        <v>426</v>
      </c>
      <c r="Y11" s="2">
        <f ca="1">INDIRECT("C"&amp;(17*ROW(10:10)+ROW('(default)'!$C$3)-19+IF(COLUMN(S:S)&gt;19,50000,COLUMN(S:S)-1)))</f>
        <v>355</v>
      </c>
      <c r="AG11" s="1"/>
    </row>
    <row r="12" spans="2:33" x14ac:dyDescent="0.3">
      <c r="B12" s="5">
        <v>9</v>
      </c>
      <c r="C12" s="6">
        <v>543</v>
      </c>
      <c r="D12" s="6">
        <v>588</v>
      </c>
      <c r="E12" s="6">
        <v>585</v>
      </c>
      <c r="F12" s="6">
        <v>593</v>
      </c>
      <c r="I12" s="2">
        <f ca="1">INDIRECT("C"&amp;(17*ROW(11:11)+ROW('(default)'!$C$3)-19+IF(COLUMN(C:C)&gt;19,50000,COLUMN(C:C)-1)))</f>
        <v>327</v>
      </c>
      <c r="J12" s="2">
        <f ca="1">INDIRECT("C"&amp;(17*ROW(11:11)+ROW('(default)'!$C$3)-19+IF(COLUMN(D:D)&gt;19,50000,COLUMN(D:D)-1)))</f>
        <v>384</v>
      </c>
      <c r="K12" s="2">
        <f ca="1">INDIRECT("C"&amp;(17*ROW(11:11)+ROW('(default)'!$C$3)-19+IF(COLUMN(E:E)&gt;19,50000,COLUMN(E:E)-1)))</f>
        <v>448</v>
      </c>
      <c r="L12" s="2">
        <f ca="1">INDIRECT("C"&amp;(17*ROW(11:11)+ROW('(default)'!$C$3)-19+IF(COLUMN(F:F)&gt;19,50000,COLUMN(F:F)-1)))</f>
        <v>512</v>
      </c>
      <c r="M12" s="2">
        <f ca="1">INDIRECT("C"&amp;(17*ROW(11:11)+ROW('(default)'!$C$3)-19+IF(COLUMN(G:G)&gt;19,50000,COLUMN(G:G)-1)))</f>
        <v>575</v>
      </c>
      <c r="N12" s="2">
        <f ca="1">INDIRECT("C"&amp;(17*ROW(11:11)+ROW('(default)'!$C$3)-19+IF(COLUMN(H:H)&gt;19,50000,COLUMN(H:H)-1)))</f>
        <v>639</v>
      </c>
      <c r="O12" s="2">
        <f ca="1">INDIRECT("C"&amp;(17*ROW(11:11)+ROW('(default)'!$C$3)-19+IF(COLUMN(I:I)&gt;19,50000,COLUMN(I:I)-1)))</f>
        <v>693</v>
      </c>
      <c r="P12" s="2">
        <f ca="1">INDIRECT("C"&amp;(17*ROW(11:11)+ROW('(default)'!$C$3)-19+IF(COLUMN(J:J)&gt;19,50000,COLUMN(J:J)-1)))</f>
        <v>735</v>
      </c>
      <c r="Q12" s="2">
        <f ca="1">INDIRECT("C"&amp;(17*ROW(11:11)+ROW('(default)'!$C$3)-19+IF(COLUMN(K:K)&gt;19,50000,COLUMN(K:K)-1)))</f>
        <v>757</v>
      </c>
      <c r="R12" s="2">
        <f ca="1">INDIRECT("C"&amp;(17*ROW(11:11)+ROW('(default)'!$C$3)-19+IF(COLUMN(L:L)&gt;19,50000,COLUMN(L:L)-1)))</f>
        <v>746</v>
      </c>
      <c r="S12" s="2">
        <f ca="1">INDIRECT("C"&amp;(17*ROW(11:11)+ROW('(default)'!$C$3)-19+IF(COLUMN(M:M)&gt;19,50000,COLUMN(M:M)-1)))</f>
        <v>703</v>
      </c>
      <c r="T12" s="2">
        <f ca="1">INDIRECT("C"&amp;(17*ROW(11:11)+ROW('(default)'!$C$3)-19+IF(COLUMN(N:N)&gt;19,50000,COLUMN(N:N)-1)))</f>
        <v>639</v>
      </c>
      <c r="U12" s="2">
        <f ca="1">INDIRECT("C"&amp;(17*ROW(11:11)+ROW('(default)'!$C$3)-19+IF(COLUMN(O:O)&gt;19,50000,COLUMN(O:O)-1)))</f>
        <v>575</v>
      </c>
      <c r="V12" s="2">
        <f ca="1">INDIRECT("C"&amp;(17*ROW(11:11)+ROW('(default)'!$C$3)-19+IF(COLUMN(P:P)&gt;19,50000,COLUMN(P:P)-1)))</f>
        <v>512</v>
      </c>
      <c r="W12" s="2">
        <f ca="1">INDIRECT("C"&amp;(17*ROW(11:11)+ROW('(default)'!$C$3)-19+IF(COLUMN(Q:Q)&gt;19,50000,COLUMN(Q:Q)-1)))</f>
        <v>448</v>
      </c>
      <c r="X12" s="2">
        <f ca="1">INDIRECT("C"&amp;(17*ROW(11:11)+ROW('(default)'!$C$3)-19+IF(COLUMN(R:R)&gt;19,50000,COLUMN(R:R)-1)))</f>
        <v>394</v>
      </c>
      <c r="Y12" s="2">
        <f ca="1">INDIRECT("C"&amp;(17*ROW(11:11)+ROW('(default)'!$C$3)-19+IF(COLUMN(S:S)&gt;19,50000,COLUMN(S:S)-1)))</f>
        <v>323</v>
      </c>
      <c r="AG12" s="1"/>
    </row>
    <row r="13" spans="2:33" x14ac:dyDescent="0.3">
      <c r="B13" s="5">
        <v>10</v>
      </c>
      <c r="C13" s="6">
        <v>522</v>
      </c>
      <c r="D13" s="6">
        <v>565</v>
      </c>
      <c r="E13" s="6">
        <v>562</v>
      </c>
      <c r="F13" s="6">
        <v>573</v>
      </c>
      <c r="I13" s="2">
        <f ca="1">INDIRECT("C"&amp;(17*ROW(12:12)+ROW('(default)'!$C$3)-19+IF(COLUMN(C:C)&gt;19,50000,COLUMN(C:C)-1)))</f>
        <v>295</v>
      </c>
      <c r="J13" s="2">
        <f ca="1">INDIRECT("C"&amp;(17*ROW(12:12)+ROW('(default)'!$C$3)-19+IF(COLUMN(D:D)&gt;19,50000,COLUMN(D:D)-1)))</f>
        <v>352</v>
      </c>
      <c r="K13" s="2">
        <f ca="1">INDIRECT("C"&amp;(17*ROW(12:12)+ROW('(default)'!$C$3)-19+IF(COLUMN(E:E)&gt;19,50000,COLUMN(E:E)-1)))</f>
        <v>405</v>
      </c>
      <c r="L13" s="2">
        <f ca="1">INDIRECT("C"&amp;(17*ROW(12:12)+ROW('(default)'!$C$3)-19+IF(COLUMN(F:F)&gt;19,50000,COLUMN(F:F)-1)))</f>
        <v>458</v>
      </c>
      <c r="M13" s="2">
        <f ca="1">INDIRECT("C"&amp;(17*ROW(12:12)+ROW('(default)'!$C$3)-19+IF(COLUMN(G:G)&gt;19,50000,COLUMN(G:G)-1)))</f>
        <v>512</v>
      </c>
      <c r="N13" s="2">
        <f ca="1">INDIRECT("C"&amp;(17*ROW(12:12)+ROW('(default)'!$C$3)-19+IF(COLUMN(H:H)&gt;19,50000,COLUMN(H:H)-1)))</f>
        <v>565</v>
      </c>
      <c r="O13" s="2">
        <f ca="1">INDIRECT("C"&amp;(17*ROW(12:12)+ROW('(default)'!$C$3)-19+IF(COLUMN(I:I)&gt;19,50000,COLUMN(I:I)-1)))</f>
        <v>607</v>
      </c>
      <c r="P13" s="2">
        <f ca="1">INDIRECT("C"&amp;(17*ROW(12:12)+ROW('(default)'!$C$3)-19+IF(COLUMN(J:J)&gt;19,50000,COLUMN(J:J)-1)))</f>
        <v>639</v>
      </c>
      <c r="Q13" s="2">
        <f ca="1">INDIRECT("C"&amp;(17*ROW(12:12)+ROW('(default)'!$C$3)-19+IF(COLUMN(K:K)&gt;19,50000,COLUMN(K:K)-1)))</f>
        <v>650</v>
      </c>
      <c r="R13" s="2">
        <f ca="1">INDIRECT("C"&amp;(17*ROW(12:12)+ROW('(default)'!$C$3)-19+IF(COLUMN(L:L)&gt;19,50000,COLUMN(L:L)-1)))</f>
        <v>639</v>
      </c>
      <c r="S13" s="2">
        <f ca="1">INDIRECT("C"&amp;(17*ROW(12:12)+ROW('(default)'!$C$3)-19+IF(COLUMN(M:M)&gt;19,50000,COLUMN(M:M)-1)))</f>
        <v>607</v>
      </c>
      <c r="T13" s="2">
        <f ca="1">INDIRECT("C"&amp;(17*ROW(12:12)+ROW('(default)'!$C$3)-19+IF(COLUMN(N:N)&gt;19,50000,COLUMN(N:N)-1)))</f>
        <v>565</v>
      </c>
      <c r="U13" s="2">
        <f ca="1">INDIRECT("C"&amp;(17*ROW(12:12)+ROW('(default)'!$C$3)-19+IF(COLUMN(O:O)&gt;19,50000,COLUMN(O:O)-1)))</f>
        <v>522</v>
      </c>
      <c r="V13" s="2">
        <f ca="1">INDIRECT("C"&amp;(17*ROW(12:12)+ROW('(default)'!$C$3)-19+IF(COLUMN(P:P)&gt;19,50000,COLUMN(P:P)-1)))</f>
        <v>469</v>
      </c>
      <c r="W13" s="2">
        <f ca="1">INDIRECT("C"&amp;(17*ROW(12:12)+ROW('(default)'!$C$3)-19+IF(COLUMN(Q:Q)&gt;19,50000,COLUMN(Q:Q)-1)))</f>
        <v>416</v>
      </c>
      <c r="X13" s="2">
        <f ca="1">INDIRECT("C"&amp;(17*ROW(12:12)+ROW('(default)'!$C$3)-19+IF(COLUMN(R:R)&gt;19,50000,COLUMN(R:R)-1)))</f>
        <v>352</v>
      </c>
      <c r="Y13" s="2">
        <f ca="1">INDIRECT("C"&amp;(17*ROW(12:12)+ROW('(default)'!$C$3)-19+IF(COLUMN(S:S)&gt;19,50000,COLUMN(S:S)-1)))</f>
        <v>309</v>
      </c>
      <c r="AG13" s="1"/>
    </row>
    <row r="14" spans="2:33" x14ac:dyDescent="0.3">
      <c r="B14" s="5">
        <v>11</v>
      </c>
      <c r="C14" s="6">
        <v>494</v>
      </c>
      <c r="D14" s="6">
        <v>538</v>
      </c>
      <c r="E14" s="6">
        <v>537</v>
      </c>
      <c r="F14" s="6">
        <v>546</v>
      </c>
      <c r="I14" s="3">
        <f ca="1">INDIRECT("C"&amp;(17*ROW(13:13)+ROW('(default)'!$C$3)-19+IF(COLUMN(C:C)&gt;19,50000,COLUMN(C:C)-1)))</f>
        <v>281</v>
      </c>
      <c r="J14" s="2">
        <f ca="1">INDIRECT("C"&amp;(17*ROW(13:13)+ROW('(default)'!$C$3)-19+IF(COLUMN(D:D)&gt;19,50000,COLUMN(D:D)-1)))</f>
        <v>309</v>
      </c>
      <c r="K14" s="2">
        <f ca="1">INDIRECT("C"&amp;(17*ROW(13:13)+ROW('(default)'!$C$3)-19+IF(COLUMN(E:E)&gt;19,50000,COLUMN(E:E)-1)))</f>
        <v>362</v>
      </c>
      <c r="L14" s="2">
        <f ca="1">INDIRECT("C"&amp;(17*ROW(13:13)+ROW('(default)'!$C$3)-19+IF(COLUMN(F:F)&gt;19,50000,COLUMN(F:F)-1)))</f>
        <v>416</v>
      </c>
      <c r="M14" s="2">
        <f ca="1">INDIRECT("C"&amp;(17*ROW(13:13)+ROW('(default)'!$C$3)-19+IF(COLUMN(G:G)&gt;19,50000,COLUMN(G:G)-1)))</f>
        <v>455</v>
      </c>
      <c r="N14" s="2">
        <f ca="1">INDIRECT("C"&amp;(17*ROW(13:13)+ROW('(default)'!$C$3)-19+IF(COLUMN(H:H)&gt;19,50000,COLUMN(H:H)-1)))</f>
        <v>480</v>
      </c>
      <c r="O14" s="2">
        <f ca="1">INDIRECT("C"&amp;(17*ROW(13:13)+ROW('(default)'!$C$3)-19+IF(COLUMN(I:I)&gt;19,50000,COLUMN(I:I)-1)))</f>
        <v>522</v>
      </c>
      <c r="P14" s="2">
        <f ca="1">INDIRECT("C"&amp;(17*ROW(13:13)+ROW('(default)'!$C$3)-19+IF(COLUMN(J:J)&gt;19,50000,COLUMN(J:J)-1)))</f>
        <v>540</v>
      </c>
      <c r="Q14" s="2">
        <f ca="1">INDIRECT("C"&amp;(17*ROW(13:13)+ROW('(default)'!$C$3)-19+IF(COLUMN(K:K)&gt;19,50000,COLUMN(K:K)-1)))</f>
        <v>551</v>
      </c>
      <c r="R14" s="2">
        <f ca="1">INDIRECT("C"&amp;(17*ROW(13:13)+ROW('(default)'!$C$3)-19+IF(COLUMN(L:L)&gt;19,50000,COLUMN(L:L)-1)))</f>
        <v>540</v>
      </c>
      <c r="S14" s="2">
        <f ca="1">INDIRECT("C"&amp;(17*ROW(13:13)+ROW('(default)'!$C$3)-19+IF(COLUMN(M:M)&gt;19,50000,COLUMN(M:M)-1)))</f>
        <v>522</v>
      </c>
      <c r="T14" s="2">
        <f ca="1">INDIRECT("C"&amp;(17*ROW(13:13)+ROW('(default)'!$C$3)-19+IF(COLUMN(N:N)&gt;19,50000,COLUMN(N:N)-1)))</f>
        <v>494</v>
      </c>
      <c r="U14" s="2">
        <f ca="1">INDIRECT("C"&amp;(17*ROW(13:13)+ROW('(default)'!$C$3)-19+IF(COLUMN(O:O)&gt;19,50000,COLUMN(O:O)-1)))</f>
        <v>451</v>
      </c>
      <c r="V14" s="2">
        <f ca="1">INDIRECT("C"&amp;(17*ROW(13:13)+ROW('(default)'!$C$3)-19+IF(COLUMN(P:P)&gt;19,50000,COLUMN(P:P)-1)))</f>
        <v>412</v>
      </c>
      <c r="W14" s="2">
        <f ca="1">INDIRECT("C"&amp;(17*ROW(13:13)+ROW('(default)'!$C$3)-19+IF(COLUMN(Q:Q)&gt;19,50000,COLUMN(Q:Q)-1)))</f>
        <v>359</v>
      </c>
      <c r="X14" s="2">
        <f ca="1">INDIRECT("C"&amp;(17*ROW(13:13)+ROW('(default)'!$C$3)-19+IF(COLUMN(R:R)&gt;19,50000,COLUMN(R:R)-1)))</f>
        <v>323</v>
      </c>
      <c r="Y14" s="3">
        <f ca="1">INDIRECT("C"&amp;(17*ROW(13:13)+ROW('(default)'!$C$3)-19+IF(COLUMN(S:S)&gt;19,50000,COLUMN(S:S)-1)))</f>
        <v>281</v>
      </c>
      <c r="AG14" s="1"/>
    </row>
    <row r="15" spans="2:33" x14ac:dyDescent="0.3">
      <c r="B15" s="5">
        <v>12</v>
      </c>
      <c r="C15" s="6">
        <v>469</v>
      </c>
      <c r="D15" s="6">
        <v>507</v>
      </c>
      <c r="E15" s="6">
        <v>504</v>
      </c>
      <c r="F15" s="6">
        <v>508</v>
      </c>
      <c r="AG15" s="1"/>
    </row>
    <row r="16" spans="2:33" x14ac:dyDescent="0.3">
      <c r="B16" s="5">
        <v>13</v>
      </c>
      <c r="C16" s="6">
        <v>426</v>
      </c>
      <c r="D16" s="6">
        <v>468</v>
      </c>
      <c r="E16" s="6">
        <v>457</v>
      </c>
      <c r="F16" s="6">
        <v>467</v>
      </c>
      <c r="H16" t="s">
        <v>1</v>
      </c>
      <c r="I16" s="10">
        <f ca="1">INDIRECT("D"&amp;(17*ROW(1:1)+ROW('(default)'!$D$3)-19+IF(COLUMN(C:C)&gt;19,50000,COLUMN(C:C)-1)))</f>
        <v>314</v>
      </c>
      <c r="J16" s="2">
        <f ca="1">INDIRECT("D"&amp;(17*ROW(1:1)+ROW('(default)'!$D$3)-19+IF(COLUMN(D:D)&gt;19,50000,COLUMN(D:D)-1)))</f>
        <v>353</v>
      </c>
      <c r="K16" s="2">
        <f ca="1">INDIRECT("D"&amp;(17*ROW(1:1)+ROW('(default)'!$D$3)-19+IF(COLUMN(E:E)&gt;19,50000,COLUMN(E:E)-1)))</f>
        <v>401</v>
      </c>
      <c r="L16" s="2">
        <f ca="1">INDIRECT("D"&amp;(17*ROW(1:1)+ROW('(default)'!$D$3)-19+IF(COLUMN(F:F)&gt;19,50000,COLUMN(F:F)-1)))</f>
        <v>462</v>
      </c>
      <c r="M16" s="2">
        <f ca="1">INDIRECT("D"&amp;(17*ROW(1:1)+ROW('(default)'!$D$3)-19+IF(COLUMN(G:G)&gt;19,50000,COLUMN(G:G)-1)))</f>
        <v>507</v>
      </c>
      <c r="N16" s="2">
        <f ca="1">INDIRECT("D"&amp;(17*ROW(1:1)+ROW('(default)'!$D$3)-19+IF(COLUMN(H:H)&gt;19,50000,COLUMN(H:H)-1)))</f>
        <v>540</v>
      </c>
      <c r="O16" s="2">
        <f ca="1">INDIRECT("D"&amp;(17*ROW(1:1)+ROW('(default)'!$D$3)-19+IF(COLUMN(I:I)&gt;19,50000,COLUMN(I:I)-1)))</f>
        <v>567</v>
      </c>
      <c r="P16" s="2">
        <f ca="1">INDIRECT("D"&amp;(17*ROW(1:1)+ROW('(default)'!$D$3)-19+IF(COLUMN(J:J)&gt;19,50000,COLUMN(J:J)-1)))</f>
        <v>588</v>
      </c>
      <c r="Q16" s="2">
        <f ca="1">INDIRECT("D"&amp;(17*ROW(1:1)+ROW('(default)'!$D$3)-19+IF(COLUMN(K:K)&gt;19,50000,COLUMN(K:K)-1)))</f>
        <v>592</v>
      </c>
      <c r="R16" s="2">
        <f ca="1">INDIRECT("D"&amp;(17*ROW(1:1)+ROW('(default)'!$D$3)-19+IF(COLUMN(L:L)&gt;19,50000,COLUMN(L:L)-1)))</f>
        <v>588</v>
      </c>
      <c r="S16" s="2">
        <f ca="1">INDIRECT("D"&amp;(17*ROW(1:1)+ROW('(default)'!$D$3)-19+IF(COLUMN(M:M)&gt;19,50000,COLUMN(M:M)-1)))</f>
        <v>565</v>
      </c>
      <c r="T16" s="2">
        <f ca="1">INDIRECT("D"&amp;(17*ROW(1:1)+ROW('(default)'!$D$3)-19+IF(COLUMN(N:N)&gt;19,50000,COLUMN(N:N)-1)))</f>
        <v>538</v>
      </c>
      <c r="U16" s="2">
        <f ca="1">INDIRECT("D"&amp;(17*ROW(1:1)+ROW('(default)'!$D$3)-19+IF(COLUMN(O:O)&gt;19,50000,COLUMN(O:O)-1)))</f>
        <v>507</v>
      </c>
      <c r="V16" s="2">
        <f ca="1">INDIRECT("D"&amp;(17*ROW(1:1)+ROW('(default)'!$D$3)-19+IF(COLUMN(P:P)&gt;19,50000,COLUMN(P:P)-1)))</f>
        <v>468</v>
      </c>
      <c r="W16" s="2">
        <f ca="1">INDIRECT("D"&amp;(17*ROW(1:1)+ROW('(default)'!$D$3)-19+IF(COLUMN(Q:Q)&gt;19,50000,COLUMN(Q:Q)-1)))</f>
        <v>415</v>
      </c>
      <c r="X16" s="2">
        <f ca="1">INDIRECT("D"&amp;(17*ROW(1:1)+ROW('(default)'!$D$3)-19+IF(COLUMN(R:R)&gt;19,50000,COLUMN(R:R)-1)))</f>
        <v>357</v>
      </c>
      <c r="Y16" s="10">
        <f ca="1">INDIRECT("D"&amp;(17*ROW(1:1)+ROW('(default)'!$D$3)-19+IF(COLUMN(S:S)&gt;19,50000,COLUMN(S:S)-1)))</f>
        <v>310</v>
      </c>
      <c r="AG16" s="1"/>
    </row>
    <row r="17" spans="2:33" x14ac:dyDescent="0.3">
      <c r="B17" s="5">
        <v>14</v>
      </c>
      <c r="C17" s="6">
        <v>373</v>
      </c>
      <c r="D17" s="6">
        <v>415</v>
      </c>
      <c r="E17" s="6">
        <v>407</v>
      </c>
      <c r="F17" s="6">
        <v>419</v>
      </c>
      <c r="I17" s="2">
        <f ca="1">INDIRECT("D"&amp;(17*ROW(2:2)+ROW('(default)'!$D$3)-19+IF(COLUMN(C:C)&gt;19,50000,COLUMN(C:C)-1)))</f>
        <v>345</v>
      </c>
      <c r="J17" s="2">
        <f ca="1">INDIRECT("D"&amp;(17*ROW(2:2)+ROW('(default)'!$D$3)-19+IF(COLUMN(D:D)&gt;19,50000,COLUMN(D:D)-1)))</f>
        <v>392</v>
      </c>
      <c r="K17" s="2">
        <f ca="1">INDIRECT("D"&amp;(17*ROW(2:2)+ROW('(default)'!$D$3)-19+IF(COLUMN(E:E)&gt;19,50000,COLUMN(E:E)-1)))</f>
        <v>456</v>
      </c>
      <c r="L17" s="2">
        <f ca="1">INDIRECT("D"&amp;(17*ROW(2:2)+ROW('(default)'!$D$3)-19+IF(COLUMN(F:F)&gt;19,50000,COLUMN(F:F)-1)))</f>
        <v>509</v>
      </c>
      <c r="M17" s="2">
        <f ca="1">INDIRECT("D"&amp;(17*ROW(2:2)+ROW('(default)'!$D$3)-19+IF(COLUMN(G:G)&gt;19,50000,COLUMN(G:G)-1)))</f>
        <v>561</v>
      </c>
      <c r="N17" s="2">
        <f ca="1">INDIRECT("D"&amp;(17*ROW(2:2)+ROW('(default)'!$D$3)-19+IF(COLUMN(H:H)&gt;19,50000,COLUMN(H:H)-1)))</f>
        <v>602</v>
      </c>
      <c r="O17" s="2">
        <f ca="1">INDIRECT("D"&amp;(17*ROW(2:2)+ROW('(default)'!$D$3)-19+IF(COLUMN(I:I)&gt;19,50000,COLUMN(I:I)-1)))</f>
        <v>637</v>
      </c>
      <c r="P17" s="2">
        <f ca="1">INDIRECT("D"&amp;(17*ROW(2:2)+ROW('(default)'!$D$3)-19+IF(COLUMN(J:J)&gt;19,50000,COLUMN(J:J)-1)))</f>
        <v>666</v>
      </c>
      <c r="Q17" s="2">
        <f ca="1">INDIRECT("D"&amp;(17*ROW(2:2)+ROW('(default)'!$D$3)-19+IF(COLUMN(K:K)&gt;19,50000,COLUMN(K:K)-1)))</f>
        <v>678</v>
      </c>
      <c r="R17" s="2">
        <f ca="1">INDIRECT("D"&amp;(17*ROW(2:2)+ROW('(default)'!$D$3)-19+IF(COLUMN(L:L)&gt;19,50000,COLUMN(L:L)-1)))</f>
        <v>666</v>
      </c>
      <c r="S17" s="2">
        <f ca="1">INDIRECT("D"&amp;(17*ROW(2:2)+ROW('(default)'!$D$3)-19+IF(COLUMN(M:M)&gt;19,50000,COLUMN(M:M)-1)))</f>
        <v>643</v>
      </c>
      <c r="T17" s="2">
        <f ca="1">INDIRECT("D"&amp;(17*ROW(2:2)+ROW('(default)'!$D$3)-19+IF(COLUMN(N:N)&gt;19,50000,COLUMN(N:N)-1)))</f>
        <v>608</v>
      </c>
      <c r="U17" s="2">
        <f ca="1">INDIRECT("D"&amp;(17*ROW(2:2)+ROW('(default)'!$D$3)-19+IF(COLUMN(O:O)&gt;19,50000,COLUMN(O:O)-1)))</f>
        <v>561</v>
      </c>
      <c r="V17" s="2">
        <f ca="1">INDIRECT("D"&amp;(17*ROW(2:2)+ROW('(default)'!$D$3)-19+IF(COLUMN(P:P)&gt;19,50000,COLUMN(P:P)-1)))</f>
        <v>514</v>
      </c>
      <c r="W17" s="2">
        <f ca="1">INDIRECT("D"&amp;(17*ROW(2:2)+ROW('(default)'!$D$3)-19+IF(COLUMN(Q:Q)&gt;19,50000,COLUMN(Q:Q)-1)))</f>
        <v>462</v>
      </c>
      <c r="X17" s="2">
        <f ca="1">INDIRECT("D"&amp;(17*ROW(2:2)+ROW('(default)'!$D$3)-19+IF(COLUMN(R:R)&gt;19,50000,COLUMN(R:R)-1)))</f>
        <v>403</v>
      </c>
      <c r="Y17" s="2">
        <f ca="1">INDIRECT("D"&amp;(17*ROW(2:2)+ROW('(default)'!$D$3)-19+IF(COLUMN(S:S)&gt;19,50000,COLUMN(S:S)-1)))</f>
        <v>341</v>
      </c>
      <c r="AG17" s="1"/>
    </row>
    <row r="18" spans="2:33" x14ac:dyDescent="0.3">
      <c r="B18" s="5">
        <v>15</v>
      </c>
      <c r="C18" s="6">
        <v>320</v>
      </c>
      <c r="D18" s="6">
        <v>357</v>
      </c>
      <c r="E18" s="6">
        <v>357</v>
      </c>
      <c r="F18" s="6">
        <v>358</v>
      </c>
      <c r="I18" s="2">
        <f ca="1">INDIRECT("D"&amp;(17*ROW(3:3)+ROW('(default)'!$D$3)-19+IF(COLUMN(C:C)&gt;19,50000,COLUMN(C:C)-1)))</f>
        <v>370</v>
      </c>
      <c r="J18" s="2">
        <f ca="1">INDIRECT("D"&amp;(17*ROW(3:3)+ROW('(default)'!$D$3)-19+IF(COLUMN(D:D)&gt;19,50000,COLUMN(D:D)-1)))</f>
        <v>433</v>
      </c>
      <c r="K18" s="2">
        <f ca="1">INDIRECT("D"&amp;(17*ROW(3:3)+ROW('(default)'!$D$3)-19+IF(COLUMN(E:E)&gt;19,50000,COLUMN(E:E)-1)))</f>
        <v>497</v>
      </c>
      <c r="L18" s="2">
        <f ca="1">INDIRECT("D"&amp;(17*ROW(3:3)+ROW('(default)'!$D$3)-19+IF(COLUMN(F:F)&gt;19,50000,COLUMN(F:F)-1)))</f>
        <v>555</v>
      </c>
      <c r="M18" s="2">
        <f ca="1">INDIRECT("D"&amp;(17*ROW(3:3)+ROW('(default)'!$D$3)-19+IF(COLUMN(G:G)&gt;19,50000,COLUMN(G:G)-1)))</f>
        <v>614</v>
      </c>
      <c r="N18" s="2">
        <f ca="1">INDIRECT("D"&amp;(17*ROW(3:3)+ROW('(default)'!$D$3)-19+IF(COLUMN(H:H)&gt;19,50000,COLUMN(H:H)-1)))</f>
        <v>672</v>
      </c>
      <c r="O18" s="2">
        <f ca="1">INDIRECT("D"&amp;(17*ROW(3:3)+ROW('(default)'!$D$3)-19+IF(COLUMN(I:I)&gt;19,50000,COLUMN(I:I)-1)))</f>
        <v>725</v>
      </c>
      <c r="P18" s="2">
        <f ca="1">INDIRECT("D"&amp;(17*ROW(3:3)+ROW('(default)'!$D$3)-19+IF(COLUMN(J:J)&gt;19,50000,COLUMN(J:J)-1)))</f>
        <v>766</v>
      </c>
      <c r="Q18" s="2">
        <f ca="1">INDIRECT("D"&amp;(17*ROW(3:3)+ROW('(default)'!$D$3)-19+IF(COLUMN(K:K)&gt;19,50000,COLUMN(K:K)-1)))</f>
        <v>777</v>
      </c>
      <c r="R18" s="2">
        <f ca="1">INDIRECT("D"&amp;(17*ROW(3:3)+ROW('(default)'!$D$3)-19+IF(COLUMN(L:L)&gt;19,50000,COLUMN(L:L)-1)))</f>
        <v>766</v>
      </c>
      <c r="S18" s="2">
        <f ca="1">INDIRECT("D"&amp;(17*ROW(3:3)+ROW('(default)'!$D$3)-19+IF(COLUMN(M:M)&gt;19,50000,COLUMN(M:M)-1)))</f>
        <v>731</v>
      </c>
      <c r="T18" s="2">
        <f ca="1">INDIRECT("D"&amp;(17*ROW(3:3)+ROW('(default)'!$D$3)-19+IF(COLUMN(N:N)&gt;19,50000,COLUMN(N:N)-1)))</f>
        <v>678</v>
      </c>
      <c r="U18" s="2">
        <f ca="1">INDIRECT("D"&amp;(17*ROW(3:3)+ROW('(default)'!$D$3)-19+IF(COLUMN(O:O)&gt;19,50000,COLUMN(O:O)-1)))</f>
        <v>620</v>
      </c>
      <c r="V18" s="2">
        <f ca="1">INDIRECT("D"&amp;(17*ROW(3:3)+ROW('(default)'!$D$3)-19+IF(COLUMN(P:P)&gt;19,50000,COLUMN(P:P)-1)))</f>
        <v>561</v>
      </c>
      <c r="W18" s="2">
        <f ca="1">INDIRECT("D"&amp;(17*ROW(3:3)+ROW('(default)'!$D$3)-19+IF(COLUMN(Q:Q)&gt;19,50000,COLUMN(Q:Q)-1)))</f>
        <v>503</v>
      </c>
      <c r="X18" s="2">
        <f ca="1">INDIRECT("D"&amp;(17*ROW(3:3)+ROW('(default)'!$D$3)-19+IF(COLUMN(R:R)&gt;19,50000,COLUMN(R:R)-1)))</f>
        <v>438</v>
      </c>
      <c r="Y18" s="2">
        <f ca="1">INDIRECT("D"&amp;(17*ROW(3:3)+ROW('(default)'!$D$3)-19+IF(COLUMN(S:S)&gt;19,50000,COLUMN(S:S)-1)))</f>
        <v>376</v>
      </c>
      <c r="AG18" s="1"/>
    </row>
    <row r="19" spans="2:33" x14ac:dyDescent="0.3">
      <c r="B19" s="5">
        <v>16</v>
      </c>
      <c r="C19" s="6">
        <v>291</v>
      </c>
      <c r="D19" s="6">
        <v>310</v>
      </c>
      <c r="E19" s="6">
        <v>310</v>
      </c>
      <c r="F19" s="6">
        <v>317</v>
      </c>
      <c r="I19" s="2">
        <f ca="1">INDIRECT("D"&amp;(17*ROW(4:4)+ROW('(default)'!$D$3)-19+IF(COLUMN(C:C)&gt;19,50000,COLUMN(C:C)-1)))</f>
        <v>398</v>
      </c>
      <c r="J19" s="2">
        <f ca="1">INDIRECT("D"&amp;(17*ROW(4:4)+ROW('(default)'!$D$3)-19+IF(COLUMN(D:D)&gt;19,50000,COLUMN(D:D)-1)))</f>
        <v>468</v>
      </c>
      <c r="K19" s="2">
        <f ca="1">INDIRECT("D"&amp;(17*ROW(4:4)+ROW('(default)'!$D$3)-19+IF(COLUMN(E:E)&gt;19,50000,COLUMN(E:E)-1)))</f>
        <v>532</v>
      </c>
      <c r="L19" s="2">
        <f ca="1">INDIRECT("D"&amp;(17*ROW(4:4)+ROW('(default)'!$D$3)-19+IF(COLUMN(F:F)&gt;19,50000,COLUMN(F:F)-1)))</f>
        <v>596</v>
      </c>
      <c r="M19" s="2">
        <f ca="1">INDIRECT("D"&amp;(17*ROW(4:4)+ROW('(default)'!$D$3)-19+IF(COLUMN(G:G)&gt;19,50000,COLUMN(G:G)-1)))</f>
        <v>672</v>
      </c>
      <c r="N19" s="2">
        <f ca="1">INDIRECT("D"&amp;(17*ROW(4:4)+ROW('(default)'!$D$3)-19+IF(COLUMN(H:H)&gt;19,50000,COLUMN(H:H)-1)))</f>
        <v>748</v>
      </c>
      <c r="O19" s="2">
        <f ca="1">INDIRECT("D"&amp;(17*ROW(4:4)+ROW('(default)'!$D$3)-19+IF(COLUMN(I:I)&gt;19,50000,COLUMN(I:I)-1)))</f>
        <v>813</v>
      </c>
      <c r="P19" s="2">
        <f ca="1">INDIRECT("D"&amp;(17*ROW(4:4)+ROW('(default)'!$D$3)-19+IF(COLUMN(J:J)&gt;19,50000,COLUMN(J:J)-1)))</f>
        <v>859</v>
      </c>
      <c r="Q19" s="2">
        <f ca="1">INDIRECT("D"&amp;(17*ROW(4:4)+ROW('(default)'!$D$3)-19+IF(COLUMN(K:K)&gt;19,50000,COLUMN(K:K)-1)))</f>
        <v>877</v>
      </c>
      <c r="R19" s="2">
        <f ca="1">INDIRECT("D"&amp;(17*ROW(4:4)+ROW('(default)'!$D$3)-19+IF(COLUMN(L:L)&gt;19,50000,COLUMN(L:L)-1)))</f>
        <v>859</v>
      </c>
      <c r="S19" s="2">
        <f ca="1">INDIRECT("D"&amp;(17*ROW(4:4)+ROW('(default)'!$D$3)-19+IF(COLUMN(M:M)&gt;19,50000,COLUMN(M:M)-1)))</f>
        <v>818</v>
      </c>
      <c r="T19" s="2">
        <f ca="1">INDIRECT("D"&amp;(17*ROW(4:4)+ROW('(default)'!$D$3)-19+IF(COLUMN(N:N)&gt;19,50000,COLUMN(N:N)-1)))</f>
        <v>754</v>
      </c>
      <c r="U19" s="2">
        <f ca="1">INDIRECT("D"&amp;(17*ROW(4:4)+ROW('(default)'!$D$3)-19+IF(COLUMN(O:O)&gt;19,50000,COLUMN(O:O)-1)))</f>
        <v>678</v>
      </c>
      <c r="V19" s="2">
        <f ca="1">INDIRECT("D"&amp;(17*ROW(4:4)+ROW('(default)'!$D$3)-19+IF(COLUMN(P:P)&gt;19,50000,COLUMN(P:P)-1)))</f>
        <v>602</v>
      </c>
      <c r="W19" s="2">
        <f ca="1">INDIRECT("D"&amp;(17*ROW(4:4)+ROW('(default)'!$D$3)-19+IF(COLUMN(Q:Q)&gt;19,50000,COLUMN(Q:Q)-1)))</f>
        <v>538</v>
      </c>
      <c r="X19" s="2">
        <f ca="1">INDIRECT("D"&amp;(17*ROW(4:4)+ROW('(default)'!$D$3)-19+IF(COLUMN(R:R)&gt;19,50000,COLUMN(R:R)-1)))</f>
        <v>474</v>
      </c>
      <c r="Y19" s="2">
        <f ca="1">INDIRECT("D"&amp;(17*ROW(4:4)+ROW('(default)'!$D$3)-19+IF(COLUMN(S:S)&gt;19,50000,COLUMN(S:S)-1)))</f>
        <v>403</v>
      </c>
      <c r="AG19" s="1"/>
    </row>
    <row r="20" spans="2:33" x14ac:dyDescent="0.3">
      <c r="B20" s="5">
        <v>17</v>
      </c>
      <c r="C20" s="6">
        <v>309</v>
      </c>
      <c r="D20" s="6">
        <v>345</v>
      </c>
      <c r="E20" s="6">
        <v>343</v>
      </c>
      <c r="F20" s="6">
        <v>344</v>
      </c>
      <c r="I20" s="2">
        <f ca="1">INDIRECT("D"&amp;(17*ROW(5:5)+ROW('(default)'!$D$3)-19+IF(COLUMN(C:C)&gt;19,50000,COLUMN(C:C)-1)))</f>
        <v>413</v>
      </c>
      <c r="J20" s="2">
        <f ca="1">INDIRECT("D"&amp;(17*ROW(5:5)+ROW('(default)'!$D$3)-19+IF(COLUMN(D:D)&gt;19,50000,COLUMN(D:D)-1)))</f>
        <v>491</v>
      </c>
      <c r="K20" s="2">
        <f ca="1">INDIRECT("D"&amp;(17*ROW(5:5)+ROW('(default)'!$D$3)-19+IF(COLUMN(E:E)&gt;19,50000,COLUMN(E:E)-1)))</f>
        <v>555</v>
      </c>
      <c r="L20" s="2">
        <f ca="1">INDIRECT("D"&amp;(17*ROW(5:5)+ROW('(default)'!$D$3)-19+IF(COLUMN(F:F)&gt;19,50000,COLUMN(F:F)-1)))</f>
        <v>631</v>
      </c>
      <c r="M20" s="2">
        <f ca="1">INDIRECT("D"&amp;(17*ROW(5:5)+ROW('(default)'!$D$3)-19+IF(COLUMN(G:G)&gt;19,50000,COLUMN(G:G)-1)))</f>
        <v>719</v>
      </c>
      <c r="N20" s="2">
        <f ca="1">INDIRECT("D"&amp;(17*ROW(5:5)+ROW('(default)'!$D$3)-19+IF(COLUMN(H:H)&gt;19,50000,COLUMN(H:H)-1)))</f>
        <v>807</v>
      </c>
      <c r="O20" s="2">
        <f ca="1">INDIRECT("D"&amp;(17*ROW(5:5)+ROW('(default)'!$D$3)-19+IF(COLUMN(I:I)&gt;19,50000,COLUMN(I:I)-1)))</f>
        <v>883</v>
      </c>
      <c r="P20" s="2">
        <f ca="1">INDIRECT("D"&amp;(17*ROW(5:5)+ROW('(default)'!$D$3)-19+IF(COLUMN(J:J)&gt;19,50000,COLUMN(J:J)-1)))</f>
        <v>941</v>
      </c>
      <c r="Q20" s="2">
        <f ca="1">INDIRECT("D"&amp;(17*ROW(5:5)+ROW('(default)'!$D$3)-19+IF(COLUMN(K:K)&gt;19,50000,COLUMN(K:K)-1)))</f>
        <v>965</v>
      </c>
      <c r="R20" s="2">
        <f ca="1">INDIRECT("D"&amp;(17*ROW(5:5)+ROW('(default)'!$D$3)-19+IF(COLUMN(L:L)&gt;19,50000,COLUMN(L:L)-1)))</f>
        <v>947</v>
      </c>
      <c r="S20" s="2">
        <f ca="1">INDIRECT("D"&amp;(17*ROW(5:5)+ROW('(default)'!$D$3)-19+IF(COLUMN(M:M)&gt;19,50000,COLUMN(M:M)-1)))</f>
        <v>900</v>
      </c>
      <c r="T20" s="2">
        <f ca="1">INDIRECT("D"&amp;(17*ROW(5:5)+ROW('(default)'!$D$3)-19+IF(COLUMN(N:N)&gt;19,50000,COLUMN(N:N)-1)))</f>
        <v>818</v>
      </c>
      <c r="U20" s="2">
        <f ca="1">INDIRECT("D"&amp;(17*ROW(5:5)+ROW('(default)'!$D$3)-19+IF(COLUMN(O:O)&gt;19,50000,COLUMN(O:O)-1)))</f>
        <v>731</v>
      </c>
      <c r="V20" s="2">
        <f ca="1">INDIRECT("D"&amp;(17*ROW(5:5)+ROW('(default)'!$D$3)-19+IF(COLUMN(P:P)&gt;19,50000,COLUMN(P:P)-1)))</f>
        <v>643</v>
      </c>
      <c r="W20" s="2">
        <f ca="1">INDIRECT("D"&amp;(17*ROW(5:5)+ROW('(default)'!$D$3)-19+IF(COLUMN(Q:Q)&gt;19,50000,COLUMN(Q:Q)-1)))</f>
        <v>567</v>
      </c>
      <c r="X20" s="2">
        <f ca="1">INDIRECT("D"&amp;(17*ROW(5:5)+ROW('(default)'!$D$3)-19+IF(COLUMN(R:R)&gt;19,50000,COLUMN(R:R)-1)))</f>
        <v>497</v>
      </c>
      <c r="Y20" s="2">
        <f ca="1">INDIRECT("D"&amp;(17*ROW(5:5)+ROW('(default)'!$D$3)-19+IF(COLUMN(S:S)&gt;19,50000,COLUMN(S:S)-1)))</f>
        <v>419</v>
      </c>
      <c r="AG20" s="1"/>
    </row>
    <row r="21" spans="2:33" x14ac:dyDescent="0.3">
      <c r="B21" s="5">
        <v>18</v>
      </c>
      <c r="C21" s="6">
        <v>352</v>
      </c>
      <c r="D21" s="6">
        <v>392</v>
      </c>
      <c r="E21" s="6">
        <v>389</v>
      </c>
      <c r="F21" s="6">
        <v>399</v>
      </c>
      <c r="I21" s="2">
        <f ca="1">INDIRECT("D"&amp;(17*ROW(6:6)+ROW('(default)'!$D$3)-19+IF(COLUMN(C:C)&gt;19,50000,COLUMN(C:C)-1)))</f>
        <v>433</v>
      </c>
      <c r="J21" s="2">
        <f ca="1">INDIRECT("D"&amp;(17*ROW(6:6)+ROW('(default)'!$D$3)-19+IF(COLUMN(D:D)&gt;19,50000,COLUMN(D:D)-1)))</f>
        <v>503</v>
      </c>
      <c r="K21" s="2">
        <f ca="1">INDIRECT("D"&amp;(17*ROW(6:6)+ROW('(default)'!$D$3)-19+IF(COLUMN(E:E)&gt;19,50000,COLUMN(E:E)-1)))</f>
        <v>573</v>
      </c>
      <c r="L21" s="2">
        <f ca="1">INDIRECT("D"&amp;(17*ROW(6:6)+ROW('(default)'!$D$3)-19+IF(COLUMN(F:F)&gt;19,50000,COLUMN(F:F)-1)))</f>
        <v>655</v>
      </c>
      <c r="M21" s="2">
        <f ca="1">INDIRECT("D"&amp;(17*ROW(6:6)+ROW('(default)'!$D$3)-19+IF(COLUMN(G:G)&gt;19,50000,COLUMN(G:G)-1)))</f>
        <v>754</v>
      </c>
      <c r="N21" s="2">
        <f ca="1">INDIRECT("D"&amp;(17*ROW(6:6)+ROW('(default)'!$D$3)-19+IF(COLUMN(H:H)&gt;19,50000,COLUMN(H:H)-1)))</f>
        <v>848</v>
      </c>
      <c r="O21" s="2">
        <f ca="1">INDIRECT("D"&amp;(17*ROW(6:6)+ROW('(default)'!$D$3)-19+IF(COLUMN(I:I)&gt;19,50000,COLUMN(I:I)-1)))</f>
        <v>941</v>
      </c>
      <c r="P21" s="2">
        <f ca="1">INDIRECT("D"&amp;(17*ROW(6:6)+ROW('(default)'!$D$3)-19+IF(COLUMN(J:J)&gt;19,50000,COLUMN(J:J)-1)))</f>
        <v>988</v>
      </c>
      <c r="Q21" s="2">
        <f ca="1">INDIRECT("D"&amp;(17*ROW(6:6)+ROW('(default)'!$D$3)-19+IF(COLUMN(K:K)&gt;19,50000,COLUMN(K:K)-1)))</f>
        <v>1011</v>
      </c>
      <c r="R21" s="2">
        <f ca="1">INDIRECT("D"&amp;(17*ROW(6:6)+ROW('(default)'!$D$3)-19+IF(COLUMN(L:L)&gt;19,50000,COLUMN(L:L)-1)))</f>
        <v>994</v>
      </c>
      <c r="S21" s="2">
        <f ca="1">INDIRECT("D"&amp;(17*ROW(6:6)+ROW('(default)'!$D$3)-19+IF(COLUMN(M:M)&gt;19,50000,COLUMN(M:M)-1)))</f>
        <v>947</v>
      </c>
      <c r="T21" s="2">
        <f ca="1">INDIRECT("D"&amp;(17*ROW(6:6)+ROW('(default)'!$D$3)-19+IF(COLUMN(N:N)&gt;19,50000,COLUMN(N:N)-1)))</f>
        <v>865</v>
      </c>
      <c r="U21" s="2">
        <f ca="1">INDIRECT("D"&amp;(17*ROW(6:6)+ROW('(default)'!$D$3)-19+IF(COLUMN(O:O)&gt;19,50000,COLUMN(O:O)-1)))</f>
        <v>766</v>
      </c>
      <c r="V21" s="2">
        <f ca="1">INDIRECT("D"&amp;(17*ROW(6:6)+ROW('(default)'!$D$3)-19+IF(COLUMN(P:P)&gt;19,50000,COLUMN(P:P)-1)))</f>
        <v>666</v>
      </c>
      <c r="W21" s="2">
        <f ca="1">INDIRECT("D"&amp;(17*ROW(6:6)+ROW('(default)'!$D$3)-19+IF(COLUMN(Q:Q)&gt;19,50000,COLUMN(Q:Q)-1)))</f>
        <v>585</v>
      </c>
      <c r="X21" s="2">
        <f ca="1">INDIRECT("D"&amp;(17*ROW(6:6)+ROW('(default)'!$D$3)-19+IF(COLUMN(R:R)&gt;19,50000,COLUMN(R:R)-1)))</f>
        <v>509</v>
      </c>
      <c r="Y21" s="2">
        <f ca="1">INDIRECT("D"&amp;(17*ROW(6:6)+ROW('(default)'!$D$3)-19+IF(COLUMN(S:S)&gt;19,50000,COLUMN(S:S)-1)))</f>
        <v>438</v>
      </c>
      <c r="AG21" s="1"/>
    </row>
    <row r="22" spans="2:33" x14ac:dyDescent="0.3">
      <c r="B22" s="5">
        <v>19</v>
      </c>
      <c r="C22" s="6">
        <v>416</v>
      </c>
      <c r="D22" s="6">
        <v>456</v>
      </c>
      <c r="E22" s="6">
        <v>453</v>
      </c>
      <c r="F22" s="6">
        <v>460</v>
      </c>
      <c r="I22" s="2">
        <f ca="1">INDIRECT("D"&amp;(17*ROW(7:7)+ROW('(default)'!$D$3)-19+IF(COLUMN(C:C)&gt;19,50000,COLUMN(C:C)-1)))</f>
        <v>433</v>
      </c>
      <c r="J22" s="2">
        <f ca="1">INDIRECT("D"&amp;(17*ROW(7:7)+ROW('(default)'!$D$3)-19+IF(COLUMN(D:D)&gt;19,50000,COLUMN(D:D)-1)))</f>
        <v>503</v>
      </c>
      <c r="K22" s="2">
        <f ca="1">INDIRECT("D"&amp;(17*ROW(7:7)+ROW('(default)'!$D$3)-19+IF(COLUMN(E:E)&gt;19,50000,COLUMN(E:E)-1)))</f>
        <v>579</v>
      </c>
      <c r="L22" s="2">
        <f ca="1">INDIRECT("D"&amp;(17*ROW(7:7)+ROW('(default)'!$D$3)-19+IF(COLUMN(F:F)&gt;19,50000,COLUMN(F:F)-1)))</f>
        <v>666</v>
      </c>
      <c r="M22" s="2">
        <f ca="1">INDIRECT("D"&amp;(17*ROW(7:7)+ROW('(default)'!$D$3)-19+IF(COLUMN(G:G)&gt;19,50000,COLUMN(G:G)-1)))</f>
        <v>766</v>
      </c>
      <c r="N22" s="2">
        <f ca="1">INDIRECT("D"&amp;(17*ROW(7:7)+ROW('(default)'!$D$3)-19+IF(COLUMN(H:H)&gt;19,50000,COLUMN(H:H)-1)))</f>
        <v>865</v>
      </c>
      <c r="O22" s="2">
        <f ca="1">INDIRECT("D"&amp;(17*ROW(7:7)+ROW('(default)'!$D$3)-19+IF(COLUMN(I:I)&gt;19,50000,COLUMN(I:I)-1)))</f>
        <v>959</v>
      </c>
      <c r="P22" s="2">
        <f ca="1">INDIRECT("D"&amp;(17*ROW(7:7)+ROW('(default)'!$D$3)-19+IF(COLUMN(J:J)&gt;19,50000,COLUMN(J:J)-1)))</f>
        <v>1005</v>
      </c>
      <c r="Q22" s="2">
        <f ca="1">INDIRECT("D"&amp;(17*ROW(7:7)+ROW('(default)'!$D$3)-19+IF(COLUMN(K:K)&gt;19,50000,COLUMN(K:K)-1)))</f>
        <v>1023</v>
      </c>
      <c r="R22" s="2">
        <f ca="1">INDIRECT("D"&amp;(17*ROW(7:7)+ROW('(default)'!$D$3)-19+IF(COLUMN(L:L)&gt;19,50000,COLUMN(L:L)-1)))</f>
        <v>1011</v>
      </c>
      <c r="S22" s="2">
        <f ca="1">INDIRECT("D"&amp;(17*ROW(7:7)+ROW('(default)'!$D$3)-19+IF(COLUMN(M:M)&gt;19,50000,COLUMN(M:M)-1)))</f>
        <v>959</v>
      </c>
      <c r="T22" s="2">
        <f ca="1">INDIRECT("D"&amp;(17*ROW(7:7)+ROW('(default)'!$D$3)-19+IF(COLUMN(N:N)&gt;19,50000,COLUMN(N:N)-1)))</f>
        <v>883</v>
      </c>
      <c r="U22" s="2">
        <f ca="1">INDIRECT("D"&amp;(17*ROW(7:7)+ROW('(default)'!$D$3)-19+IF(COLUMN(O:O)&gt;19,50000,COLUMN(O:O)-1)))</f>
        <v>777</v>
      </c>
      <c r="V22" s="2">
        <f ca="1">INDIRECT("D"&amp;(17*ROW(7:7)+ROW('(default)'!$D$3)-19+IF(COLUMN(P:P)&gt;19,50000,COLUMN(P:P)-1)))</f>
        <v>672</v>
      </c>
      <c r="W22" s="2">
        <f ca="1">INDIRECT("D"&amp;(17*ROW(7:7)+ROW('(default)'!$D$3)-19+IF(COLUMN(Q:Q)&gt;19,50000,COLUMN(Q:Q)-1)))</f>
        <v>590</v>
      </c>
      <c r="X22" s="2">
        <f ca="1">INDIRECT("D"&amp;(17*ROW(7:7)+ROW('(default)'!$D$3)-19+IF(COLUMN(R:R)&gt;19,50000,COLUMN(R:R)-1)))</f>
        <v>514</v>
      </c>
      <c r="Y22" s="2">
        <f ca="1">INDIRECT("D"&amp;(17*ROW(7:7)+ROW('(default)'!$D$3)-19+IF(COLUMN(S:S)&gt;19,50000,COLUMN(S:S)-1)))</f>
        <v>436</v>
      </c>
      <c r="AG22" s="1"/>
    </row>
    <row r="23" spans="2:33" x14ac:dyDescent="0.3">
      <c r="B23" s="5">
        <v>20</v>
      </c>
      <c r="C23" s="6">
        <v>469</v>
      </c>
      <c r="D23" s="6">
        <v>509</v>
      </c>
      <c r="E23" s="6">
        <v>506</v>
      </c>
      <c r="F23" s="6">
        <v>512</v>
      </c>
      <c r="I23" s="2">
        <f ca="1">INDIRECT("D"&amp;(17*ROW(8:8)+ROW('(default)'!$D$3)-19+IF(COLUMN(C:C)&gt;19,50000,COLUMN(C:C)-1)))</f>
        <v>427</v>
      </c>
      <c r="J23" s="2">
        <f ca="1">INDIRECT("D"&amp;(17*ROW(8:8)+ROW('(default)'!$D$3)-19+IF(COLUMN(D:D)&gt;19,50000,COLUMN(D:D)-1)))</f>
        <v>497</v>
      </c>
      <c r="K23" s="2">
        <f ca="1">INDIRECT("D"&amp;(17*ROW(8:8)+ROW('(default)'!$D$3)-19+IF(COLUMN(E:E)&gt;19,50000,COLUMN(E:E)-1)))</f>
        <v>573</v>
      </c>
      <c r="L23" s="2">
        <f ca="1">INDIRECT("D"&amp;(17*ROW(8:8)+ROW('(default)'!$D$3)-19+IF(COLUMN(F:F)&gt;19,50000,COLUMN(F:F)-1)))</f>
        <v>655</v>
      </c>
      <c r="M23" s="2">
        <f ca="1">INDIRECT("D"&amp;(17*ROW(8:8)+ROW('(default)'!$D$3)-19+IF(COLUMN(G:G)&gt;19,50000,COLUMN(G:G)-1)))</f>
        <v>754</v>
      </c>
      <c r="N23" s="2">
        <f ca="1">INDIRECT("D"&amp;(17*ROW(8:8)+ROW('(default)'!$D$3)-19+IF(COLUMN(H:H)&gt;19,50000,COLUMN(H:H)-1)))</f>
        <v>848</v>
      </c>
      <c r="O23" s="2">
        <f ca="1">INDIRECT("D"&amp;(17*ROW(8:8)+ROW('(default)'!$D$3)-19+IF(COLUMN(I:I)&gt;19,50000,COLUMN(I:I)-1)))</f>
        <v>941</v>
      </c>
      <c r="P23" s="2">
        <f ca="1">INDIRECT("D"&amp;(17*ROW(8:8)+ROW('(default)'!$D$3)-19+IF(COLUMN(J:J)&gt;19,50000,COLUMN(J:J)-1)))</f>
        <v>988</v>
      </c>
      <c r="Q23" s="2">
        <f ca="1">INDIRECT("D"&amp;(17*ROW(8:8)+ROW('(default)'!$D$3)-19+IF(COLUMN(K:K)&gt;19,50000,COLUMN(K:K)-1)))</f>
        <v>1005</v>
      </c>
      <c r="R23" s="2">
        <f ca="1">INDIRECT("D"&amp;(17*ROW(8:8)+ROW('(default)'!$D$3)-19+IF(COLUMN(L:L)&gt;19,50000,COLUMN(L:L)-1)))</f>
        <v>994</v>
      </c>
      <c r="S23" s="2">
        <f ca="1">INDIRECT("D"&amp;(17*ROW(8:8)+ROW('(default)'!$D$3)-19+IF(COLUMN(M:M)&gt;19,50000,COLUMN(M:M)-1)))</f>
        <v>947</v>
      </c>
      <c r="T23" s="2">
        <f ca="1">INDIRECT("D"&amp;(17*ROW(8:8)+ROW('(default)'!$D$3)-19+IF(COLUMN(N:N)&gt;19,50000,COLUMN(N:N)-1)))</f>
        <v>865</v>
      </c>
      <c r="U23" s="2">
        <f ca="1">INDIRECT("D"&amp;(17*ROW(8:8)+ROW('(default)'!$D$3)-19+IF(COLUMN(O:O)&gt;19,50000,COLUMN(O:O)-1)))</f>
        <v>760</v>
      </c>
      <c r="V23" s="2">
        <f ca="1">INDIRECT("D"&amp;(17*ROW(8:8)+ROW('(default)'!$D$3)-19+IF(COLUMN(P:P)&gt;19,50000,COLUMN(P:P)-1)))</f>
        <v>666</v>
      </c>
      <c r="W23" s="2">
        <f ca="1">INDIRECT("D"&amp;(17*ROW(8:8)+ROW('(default)'!$D$3)-19+IF(COLUMN(Q:Q)&gt;19,50000,COLUMN(Q:Q)-1)))</f>
        <v>579</v>
      </c>
      <c r="X23" s="2">
        <f ca="1">INDIRECT("D"&amp;(17*ROW(8:8)+ROW('(default)'!$D$3)-19+IF(COLUMN(R:R)&gt;19,50000,COLUMN(R:R)-1)))</f>
        <v>509</v>
      </c>
      <c r="Y23" s="2">
        <f ca="1">INDIRECT("D"&amp;(17*ROW(8:8)+ROW('(default)'!$D$3)-19+IF(COLUMN(S:S)&gt;19,50000,COLUMN(S:S)-1)))</f>
        <v>431</v>
      </c>
      <c r="AG23" s="1"/>
    </row>
    <row r="24" spans="2:33" x14ac:dyDescent="0.3">
      <c r="B24" s="5">
        <v>21</v>
      </c>
      <c r="C24" s="6">
        <v>512</v>
      </c>
      <c r="D24" s="6">
        <v>561</v>
      </c>
      <c r="E24" s="6">
        <v>558</v>
      </c>
      <c r="F24" s="6">
        <v>563</v>
      </c>
      <c r="I24" s="2">
        <f ca="1">INDIRECT("D"&amp;(17*ROW(9:9)+ROW('(default)'!$D$3)-19+IF(COLUMN(C:C)&gt;19,50000,COLUMN(C:C)-1)))</f>
        <v>415</v>
      </c>
      <c r="J24" s="2">
        <f ca="1">INDIRECT("D"&amp;(17*ROW(9:9)+ROW('(default)'!$D$3)-19+IF(COLUMN(D:D)&gt;19,50000,COLUMN(D:D)-1)))</f>
        <v>485</v>
      </c>
      <c r="K24" s="2">
        <f ca="1">INDIRECT("D"&amp;(17*ROW(9:9)+ROW('(default)'!$D$3)-19+IF(COLUMN(E:E)&gt;19,50000,COLUMN(E:E)-1)))</f>
        <v>555</v>
      </c>
      <c r="L24" s="2">
        <f ca="1">INDIRECT("D"&amp;(17*ROW(9:9)+ROW('(default)'!$D$3)-19+IF(COLUMN(F:F)&gt;19,50000,COLUMN(F:F)-1)))</f>
        <v>631</v>
      </c>
      <c r="M24" s="2">
        <f ca="1">INDIRECT("D"&amp;(17*ROW(9:9)+ROW('(default)'!$D$3)-19+IF(COLUMN(G:G)&gt;19,50000,COLUMN(G:G)-1)))</f>
        <v>719</v>
      </c>
      <c r="N24" s="2">
        <f ca="1">INDIRECT("D"&amp;(17*ROW(9:9)+ROW('(default)'!$D$3)-19+IF(COLUMN(H:H)&gt;19,50000,COLUMN(H:H)-1)))</f>
        <v>807</v>
      </c>
      <c r="O24" s="2">
        <f ca="1">INDIRECT("D"&amp;(17*ROW(9:9)+ROW('(default)'!$D$3)-19+IF(COLUMN(I:I)&gt;19,50000,COLUMN(I:I)-1)))</f>
        <v>889</v>
      </c>
      <c r="P24" s="2">
        <f ca="1">INDIRECT("D"&amp;(17*ROW(9:9)+ROW('(default)'!$D$3)-19+IF(COLUMN(J:J)&gt;19,50000,COLUMN(J:J)-1)))</f>
        <v>947</v>
      </c>
      <c r="Q24" s="2">
        <f ca="1">INDIRECT("D"&amp;(17*ROW(9:9)+ROW('(default)'!$D$3)-19+IF(COLUMN(K:K)&gt;19,50000,COLUMN(K:K)-1)))</f>
        <v>965</v>
      </c>
      <c r="R24" s="2">
        <f ca="1">INDIRECT("D"&amp;(17*ROW(9:9)+ROW('(default)'!$D$3)-19+IF(COLUMN(L:L)&gt;19,50000,COLUMN(L:L)-1)))</f>
        <v>953</v>
      </c>
      <c r="S24" s="2">
        <f ca="1">INDIRECT("D"&amp;(17*ROW(9:9)+ROW('(default)'!$D$3)-19+IF(COLUMN(M:M)&gt;19,50000,COLUMN(M:M)-1)))</f>
        <v>900</v>
      </c>
      <c r="T24" s="2">
        <f ca="1">INDIRECT("D"&amp;(17*ROW(9:9)+ROW('(default)'!$D$3)-19+IF(COLUMN(N:N)&gt;19,50000,COLUMN(N:N)-1)))</f>
        <v>818</v>
      </c>
      <c r="U24" s="2">
        <f ca="1">INDIRECT("D"&amp;(17*ROW(9:9)+ROW('(default)'!$D$3)-19+IF(COLUMN(O:O)&gt;19,50000,COLUMN(O:O)-1)))</f>
        <v>725</v>
      </c>
      <c r="V24" s="2">
        <f ca="1">INDIRECT("D"&amp;(17*ROW(9:9)+ROW('(default)'!$D$3)-19+IF(COLUMN(P:P)&gt;19,50000,COLUMN(P:P)-1)))</f>
        <v>637</v>
      </c>
      <c r="W24" s="2">
        <f ca="1">INDIRECT("D"&amp;(17*ROW(9:9)+ROW('(default)'!$D$3)-19+IF(COLUMN(Q:Q)&gt;19,50000,COLUMN(Q:Q)-1)))</f>
        <v>561</v>
      </c>
      <c r="X24" s="2">
        <f ca="1">INDIRECT("D"&amp;(17*ROW(9:9)+ROW('(default)'!$D$3)-19+IF(COLUMN(R:R)&gt;19,50000,COLUMN(R:R)-1)))</f>
        <v>491</v>
      </c>
      <c r="Y24" s="2">
        <f ca="1">INDIRECT("D"&amp;(17*ROW(9:9)+ROW('(default)'!$D$3)-19+IF(COLUMN(S:S)&gt;19,50000,COLUMN(S:S)-1)))</f>
        <v>421</v>
      </c>
      <c r="AG24" s="1"/>
    </row>
    <row r="25" spans="2:33" x14ac:dyDescent="0.3">
      <c r="B25" s="5">
        <v>22</v>
      </c>
      <c r="C25" s="6">
        <v>554</v>
      </c>
      <c r="D25" s="6">
        <v>602</v>
      </c>
      <c r="E25" s="6">
        <v>599</v>
      </c>
      <c r="F25" s="6">
        <v>614</v>
      </c>
      <c r="I25" s="2">
        <f ca="1">INDIRECT("D"&amp;(17*ROW(10:10)+ROW('(default)'!$D$3)-19+IF(COLUMN(C:C)&gt;19,50000,COLUMN(C:C)-1)))</f>
        <v>392</v>
      </c>
      <c r="J25" s="2">
        <f ca="1">INDIRECT("D"&amp;(17*ROW(10:10)+ROW('(default)'!$D$3)-19+IF(COLUMN(D:D)&gt;19,50000,COLUMN(D:D)-1)))</f>
        <v>462</v>
      </c>
      <c r="K25" s="2">
        <f ca="1">INDIRECT("D"&amp;(17*ROW(10:10)+ROW('(default)'!$D$3)-19+IF(COLUMN(E:E)&gt;19,50000,COLUMN(E:E)-1)))</f>
        <v>526</v>
      </c>
      <c r="L25" s="2">
        <f ca="1">INDIRECT("D"&amp;(17*ROW(10:10)+ROW('(default)'!$D$3)-19+IF(COLUMN(F:F)&gt;19,50000,COLUMN(F:F)-1)))</f>
        <v>596</v>
      </c>
      <c r="M25" s="2">
        <f ca="1">INDIRECT("D"&amp;(17*ROW(10:10)+ROW('(default)'!$D$3)-19+IF(COLUMN(G:G)&gt;19,50000,COLUMN(G:G)-1)))</f>
        <v>672</v>
      </c>
      <c r="N25" s="2">
        <f ca="1">INDIRECT("D"&amp;(17*ROW(10:10)+ROW('(default)'!$D$3)-19+IF(COLUMN(H:H)&gt;19,50000,COLUMN(H:H)-1)))</f>
        <v>748</v>
      </c>
      <c r="O25" s="2">
        <f ca="1">INDIRECT("D"&amp;(17*ROW(10:10)+ROW('(default)'!$D$3)-19+IF(COLUMN(I:I)&gt;19,50000,COLUMN(I:I)-1)))</f>
        <v>813</v>
      </c>
      <c r="P25" s="2">
        <f ca="1">INDIRECT("D"&amp;(17*ROW(10:10)+ROW('(default)'!$D$3)-19+IF(COLUMN(J:J)&gt;19,50000,COLUMN(J:J)-1)))</f>
        <v>859</v>
      </c>
      <c r="Q25" s="2">
        <f ca="1">INDIRECT("D"&amp;(17*ROW(10:10)+ROW('(default)'!$D$3)-19+IF(COLUMN(K:K)&gt;19,50000,COLUMN(K:K)-1)))</f>
        <v>883</v>
      </c>
      <c r="R25" s="2">
        <f ca="1">INDIRECT("D"&amp;(17*ROW(10:10)+ROW('(default)'!$D$3)-19+IF(COLUMN(L:L)&gt;19,50000,COLUMN(L:L)-1)))</f>
        <v>865</v>
      </c>
      <c r="S25" s="2">
        <f ca="1">INDIRECT("D"&amp;(17*ROW(10:10)+ROW('(default)'!$D$3)-19+IF(COLUMN(M:M)&gt;19,50000,COLUMN(M:M)-1)))</f>
        <v>818</v>
      </c>
      <c r="T25" s="2">
        <f ca="1">INDIRECT("D"&amp;(17*ROW(10:10)+ROW('(default)'!$D$3)-19+IF(COLUMN(N:N)&gt;19,50000,COLUMN(N:N)-1)))</f>
        <v>754</v>
      </c>
      <c r="U25" s="2">
        <f ca="1">INDIRECT("D"&amp;(17*ROW(10:10)+ROW('(default)'!$D$3)-19+IF(COLUMN(O:O)&gt;19,50000,COLUMN(O:O)-1)))</f>
        <v>678</v>
      </c>
      <c r="V25" s="2">
        <f ca="1">INDIRECT("D"&amp;(17*ROW(10:10)+ROW('(default)'!$D$3)-19+IF(COLUMN(P:P)&gt;19,50000,COLUMN(P:P)-1)))</f>
        <v>602</v>
      </c>
      <c r="W25" s="2">
        <f ca="1">INDIRECT("D"&amp;(17*ROW(10:10)+ROW('(default)'!$D$3)-19+IF(COLUMN(Q:Q)&gt;19,50000,COLUMN(Q:Q)-1)))</f>
        <v>532</v>
      </c>
      <c r="X25" s="2">
        <f ca="1">INDIRECT("D"&amp;(17*ROW(10:10)+ROW('(default)'!$D$3)-19+IF(COLUMN(R:R)&gt;19,50000,COLUMN(R:R)-1)))</f>
        <v>468</v>
      </c>
      <c r="Y25" s="2">
        <f ca="1">INDIRECT("D"&amp;(17*ROW(10:10)+ROW('(default)'!$D$3)-19+IF(COLUMN(S:S)&gt;19,50000,COLUMN(S:S)-1)))</f>
        <v>398</v>
      </c>
      <c r="AG25" s="1"/>
    </row>
    <row r="26" spans="2:33" x14ac:dyDescent="0.3">
      <c r="B26" s="5">
        <v>23</v>
      </c>
      <c r="C26" s="6">
        <v>597</v>
      </c>
      <c r="D26" s="6">
        <v>637</v>
      </c>
      <c r="E26" s="6">
        <v>639</v>
      </c>
      <c r="F26" s="6">
        <v>644</v>
      </c>
      <c r="I26" s="2">
        <f ca="1">INDIRECT("D"&amp;(17*ROW(11:11)+ROW('(default)'!$D$3)-19+IF(COLUMN(C:C)&gt;19,50000,COLUMN(C:C)-1)))</f>
        <v>364</v>
      </c>
      <c r="J26" s="2">
        <f ca="1">INDIRECT("D"&amp;(17*ROW(11:11)+ROW('(default)'!$D$3)-19+IF(COLUMN(D:D)&gt;19,50000,COLUMN(D:D)-1)))</f>
        <v>427</v>
      </c>
      <c r="K26" s="2">
        <f ca="1">INDIRECT("D"&amp;(17*ROW(11:11)+ROW('(default)'!$D$3)-19+IF(COLUMN(E:E)&gt;19,50000,COLUMN(E:E)-1)))</f>
        <v>497</v>
      </c>
      <c r="L26" s="2">
        <f ca="1">INDIRECT("D"&amp;(17*ROW(11:11)+ROW('(default)'!$D$3)-19+IF(COLUMN(F:F)&gt;19,50000,COLUMN(F:F)-1)))</f>
        <v>555</v>
      </c>
      <c r="M26" s="2">
        <f ca="1">INDIRECT("D"&amp;(17*ROW(11:11)+ROW('(default)'!$D$3)-19+IF(COLUMN(G:G)&gt;19,50000,COLUMN(G:G)-1)))</f>
        <v>614</v>
      </c>
      <c r="N26" s="2">
        <f ca="1">INDIRECT("D"&amp;(17*ROW(11:11)+ROW('(default)'!$D$3)-19+IF(COLUMN(H:H)&gt;19,50000,COLUMN(H:H)-1)))</f>
        <v>672</v>
      </c>
      <c r="O26" s="2">
        <f ca="1">INDIRECT("D"&amp;(17*ROW(11:11)+ROW('(default)'!$D$3)-19+IF(COLUMN(I:I)&gt;19,50000,COLUMN(I:I)-1)))</f>
        <v>725</v>
      </c>
      <c r="P26" s="2">
        <f ca="1">INDIRECT("D"&amp;(17*ROW(11:11)+ROW('(default)'!$D$3)-19+IF(COLUMN(J:J)&gt;19,50000,COLUMN(J:J)-1)))</f>
        <v>766</v>
      </c>
      <c r="Q26" s="2">
        <f ca="1">INDIRECT("D"&amp;(17*ROW(11:11)+ROW('(default)'!$D$3)-19+IF(COLUMN(K:K)&gt;19,50000,COLUMN(K:K)-1)))</f>
        <v>777</v>
      </c>
      <c r="R26" s="2">
        <f ca="1">INDIRECT("D"&amp;(17*ROW(11:11)+ROW('(default)'!$D$3)-19+IF(COLUMN(L:L)&gt;19,50000,COLUMN(L:L)-1)))</f>
        <v>766</v>
      </c>
      <c r="S26" s="2">
        <f ca="1">INDIRECT("D"&amp;(17*ROW(11:11)+ROW('(default)'!$D$3)-19+IF(COLUMN(M:M)&gt;19,50000,COLUMN(M:M)-1)))</f>
        <v>731</v>
      </c>
      <c r="T26" s="2">
        <f ca="1">INDIRECT("D"&amp;(17*ROW(11:11)+ROW('(default)'!$D$3)-19+IF(COLUMN(N:N)&gt;19,50000,COLUMN(N:N)-1)))</f>
        <v>678</v>
      </c>
      <c r="U26" s="2">
        <f ca="1">INDIRECT("D"&amp;(17*ROW(11:11)+ROW('(default)'!$D$3)-19+IF(COLUMN(O:O)&gt;19,50000,COLUMN(O:O)-1)))</f>
        <v>614</v>
      </c>
      <c r="V26" s="2">
        <f ca="1">INDIRECT("D"&amp;(17*ROW(11:11)+ROW('(default)'!$D$3)-19+IF(COLUMN(P:P)&gt;19,50000,COLUMN(P:P)-1)))</f>
        <v>555</v>
      </c>
      <c r="W26" s="2">
        <f ca="1">INDIRECT("D"&amp;(17*ROW(11:11)+ROW('(default)'!$D$3)-19+IF(COLUMN(Q:Q)&gt;19,50000,COLUMN(Q:Q)-1)))</f>
        <v>497</v>
      </c>
      <c r="X26" s="2">
        <f ca="1">INDIRECT("D"&amp;(17*ROW(11:11)+ROW('(default)'!$D$3)-19+IF(COLUMN(R:R)&gt;19,50000,COLUMN(R:R)-1)))</f>
        <v>433</v>
      </c>
      <c r="Y26" s="2">
        <f ca="1">INDIRECT("D"&amp;(17*ROW(11:11)+ROW('(default)'!$D$3)-19+IF(COLUMN(S:S)&gt;19,50000,COLUMN(S:S)-1)))</f>
        <v>362</v>
      </c>
      <c r="AG26" s="1"/>
    </row>
    <row r="27" spans="2:33" x14ac:dyDescent="0.3">
      <c r="B27" s="5">
        <v>24</v>
      </c>
      <c r="C27" s="6">
        <v>629</v>
      </c>
      <c r="D27" s="6">
        <v>666</v>
      </c>
      <c r="E27" s="6">
        <v>663</v>
      </c>
      <c r="F27" s="6">
        <v>675</v>
      </c>
      <c r="I27" s="2">
        <f ca="1">INDIRECT("D"&amp;(17*ROW(12:12)+ROW('(default)'!$D$3)-19+IF(COLUMN(C:C)&gt;19,50000,COLUMN(C:C)-1)))</f>
        <v>339</v>
      </c>
      <c r="J27" s="2">
        <f ca="1">INDIRECT("D"&amp;(17*ROW(12:12)+ROW('(default)'!$D$3)-19+IF(COLUMN(D:D)&gt;19,50000,COLUMN(D:D)-1)))</f>
        <v>386</v>
      </c>
      <c r="K27" s="2">
        <f ca="1">INDIRECT("D"&amp;(17*ROW(12:12)+ROW('(default)'!$D$3)-19+IF(COLUMN(E:E)&gt;19,50000,COLUMN(E:E)-1)))</f>
        <v>450</v>
      </c>
      <c r="L27" s="2">
        <f ca="1">INDIRECT("D"&amp;(17*ROW(12:12)+ROW('(default)'!$D$3)-19+IF(COLUMN(F:F)&gt;19,50000,COLUMN(F:F)-1)))</f>
        <v>509</v>
      </c>
      <c r="M27" s="2">
        <f ca="1">INDIRECT("D"&amp;(17*ROW(12:12)+ROW('(default)'!$D$3)-19+IF(COLUMN(G:G)&gt;19,50000,COLUMN(G:G)-1)))</f>
        <v>555</v>
      </c>
      <c r="N27" s="2">
        <f ca="1">INDIRECT("D"&amp;(17*ROW(12:12)+ROW('(default)'!$D$3)-19+IF(COLUMN(H:H)&gt;19,50000,COLUMN(H:H)-1)))</f>
        <v>602</v>
      </c>
      <c r="O27" s="2">
        <f ca="1">INDIRECT("D"&amp;(17*ROW(12:12)+ROW('(default)'!$D$3)-19+IF(COLUMN(I:I)&gt;19,50000,COLUMN(I:I)-1)))</f>
        <v>643</v>
      </c>
      <c r="P27" s="2">
        <f ca="1">INDIRECT("D"&amp;(17*ROW(12:12)+ROW('(default)'!$D$3)-19+IF(COLUMN(J:J)&gt;19,50000,COLUMN(J:J)-1)))</f>
        <v>666</v>
      </c>
      <c r="Q27" s="2">
        <f ca="1">INDIRECT("D"&amp;(17*ROW(12:12)+ROW('(default)'!$D$3)-19+IF(COLUMN(K:K)&gt;19,50000,COLUMN(K:K)-1)))</f>
        <v>678</v>
      </c>
      <c r="R27" s="2">
        <f ca="1">INDIRECT("D"&amp;(17*ROW(12:12)+ROW('(default)'!$D$3)-19+IF(COLUMN(L:L)&gt;19,50000,COLUMN(L:L)-1)))</f>
        <v>666</v>
      </c>
      <c r="S27" s="2">
        <f ca="1">INDIRECT("D"&amp;(17*ROW(12:12)+ROW('(default)'!$D$3)-19+IF(COLUMN(M:M)&gt;19,50000,COLUMN(M:M)-1)))</f>
        <v>643</v>
      </c>
      <c r="T27" s="2">
        <f ca="1">INDIRECT("D"&amp;(17*ROW(12:12)+ROW('(default)'!$D$3)-19+IF(COLUMN(N:N)&gt;19,50000,COLUMN(N:N)-1)))</f>
        <v>602</v>
      </c>
      <c r="U27" s="2">
        <f ca="1">INDIRECT("D"&amp;(17*ROW(12:12)+ROW('(default)'!$D$3)-19+IF(COLUMN(O:O)&gt;19,50000,COLUMN(O:O)-1)))</f>
        <v>561</v>
      </c>
      <c r="V27" s="2">
        <f ca="1">INDIRECT("D"&amp;(17*ROW(12:12)+ROW('(default)'!$D$3)-19+IF(COLUMN(P:P)&gt;19,50000,COLUMN(P:P)-1)))</f>
        <v>509</v>
      </c>
      <c r="W27" s="2">
        <f ca="1">INDIRECT("D"&amp;(17*ROW(12:12)+ROW('(default)'!$D$3)-19+IF(COLUMN(Q:Q)&gt;19,50000,COLUMN(Q:Q)-1)))</f>
        <v>450</v>
      </c>
      <c r="X27" s="2">
        <f ca="1">INDIRECT("D"&amp;(17*ROW(12:12)+ROW('(default)'!$D$3)-19+IF(COLUMN(R:R)&gt;19,50000,COLUMN(R:R)-1)))</f>
        <v>392</v>
      </c>
      <c r="Y27" s="2">
        <f ca="1">INDIRECT("D"&amp;(17*ROW(12:12)+ROW('(default)'!$D$3)-19+IF(COLUMN(S:S)&gt;19,50000,COLUMN(S:S)-1)))</f>
        <v>337</v>
      </c>
      <c r="AG27" s="1"/>
    </row>
    <row r="28" spans="2:33" x14ac:dyDescent="0.3">
      <c r="B28" s="5">
        <v>25</v>
      </c>
      <c r="C28" s="6">
        <v>639</v>
      </c>
      <c r="D28" s="6">
        <v>678</v>
      </c>
      <c r="E28" s="6">
        <v>674</v>
      </c>
      <c r="F28" s="6">
        <v>685</v>
      </c>
      <c r="I28" s="10">
        <f ca="1">INDIRECT("D"&amp;(17*ROW(13:13)+ROW('(default)'!$D$3)-19+IF(COLUMN(C:C)&gt;19,50000,COLUMN(C:C)-1)))</f>
        <v>308</v>
      </c>
      <c r="J28" s="2">
        <f ca="1">INDIRECT("D"&amp;(17*ROW(13:13)+ROW('(default)'!$D$3)-19+IF(COLUMN(D:D)&gt;19,50000,COLUMN(D:D)-1)))</f>
        <v>347</v>
      </c>
      <c r="K28" s="2">
        <f ca="1">INDIRECT("D"&amp;(17*ROW(13:13)+ROW('(default)'!$D$3)-19+IF(COLUMN(E:E)&gt;19,50000,COLUMN(E:E)-1)))</f>
        <v>396</v>
      </c>
      <c r="L28" s="2">
        <f ca="1">INDIRECT("D"&amp;(17*ROW(13:13)+ROW('(default)'!$D$3)-19+IF(COLUMN(F:F)&gt;19,50000,COLUMN(F:F)-1)))</f>
        <v>446</v>
      </c>
      <c r="M28" s="2">
        <f ca="1">INDIRECT("D"&amp;(17*ROW(13:13)+ROW('(default)'!$D$3)-19+IF(COLUMN(G:G)&gt;19,50000,COLUMN(G:G)-1)))</f>
        <v>493</v>
      </c>
      <c r="N28" s="2">
        <f ca="1">INDIRECT("D"&amp;(17*ROW(13:13)+ROW('(default)'!$D$3)-19+IF(COLUMN(H:H)&gt;19,50000,COLUMN(H:H)-1)))</f>
        <v>532</v>
      </c>
      <c r="O28" s="2">
        <f ca="1">INDIRECT("D"&amp;(17*ROW(13:13)+ROW('(default)'!$D$3)-19+IF(COLUMN(I:I)&gt;19,50000,COLUMN(I:I)-1)))</f>
        <v>557</v>
      </c>
      <c r="P28" s="2">
        <f ca="1">INDIRECT("D"&amp;(17*ROW(13:13)+ROW('(default)'!$D$3)-19+IF(COLUMN(J:J)&gt;19,50000,COLUMN(J:J)-1)))</f>
        <v>581</v>
      </c>
      <c r="Q28" s="2">
        <f ca="1">INDIRECT("D"&amp;(17*ROW(13:13)+ROW('(default)'!$D$3)-19+IF(COLUMN(K:K)&gt;19,50000,COLUMN(K:K)-1)))</f>
        <v>585</v>
      </c>
      <c r="R28" s="2">
        <f ca="1">INDIRECT("D"&amp;(17*ROW(13:13)+ROW('(default)'!$D$3)-19+IF(COLUMN(L:L)&gt;19,50000,COLUMN(L:L)-1)))</f>
        <v>581</v>
      </c>
      <c r="S28" s="2">
        <f ca="1">INDIRECT("D"&amp;(17*ROW(13:13)+ROW('(default)'!$D$3)-19+IF(COLUMN(M:M)&gt;19,50000,COLUMN(M:M)-1)))</f>
        <v>557</v>
      </c>
      <c r="T28" s="2">
        <f ca="1">INDIRECT("D"&amp;(17*ROW(13:13)+ROW('(default)'!$D$3)-19+IF(COLUMN(N:N)&gt;19,50000,COLUMN(N:N)-1)))</f>
        <v>532</v>
      </c>
      <c r="U28" s="2">
        <f ca="1">INDIRECT("D"&amp;(17*ROW(13:13)+ROW('(default)'!$D$3)-19+IF(COLUMN(O:O)&gt;19,50000,COLUMN(O:O)-1)))</f>
        <v>499</v>
      </c>
      <c r="V28" s="2">
        <f ca="1">INDIRECT("D"&amp;(17*ROW(13:13)+ROW('(default)'!$D$3)-19+IF(COLUMN(P:P)&gt;19,50000,COLUMN(P:P)-1)))</f>
        <v>454</v>
      </c>
      <c r="W28" s="2">
        <f ca="1">INDIRECT("D"&amp;(17*ROW(13:13)+ROW('(default)'!$D$3)-19+IF(COLUMN(Q:Q)&gt;19,50000,COLUMN(Q:Q)-1)))</f>
        <v>396</v>
      </c>
      <c r="X28" s="2">
        <f ca="1">INDIRECT("D"&amp;(17*ROW(13:13)+ROW('(default)'!$D$3)-19+IF(COLUMN(R:R)&gt;19,50000,COLUMN(R:R)-1)))</f>
        <v>345</v>
      </c>
      <c r="Y28" s="10">
        <f ca="1">INDIRECT("D"&amp;(17*ROW(13:13)+ROW('(default)'!$D$3)-19+IF(COLUMN(S:S)&gt;19,50000,COLUMN(S:S)-1)))</f>
        <v>298</v>
      </c>
      <c r="AG28" s="1"/>
    </row>
    <row r="29" spans="2:33" x14ac:dyDescent="0.3">
      <c r="B29" s="5">
        <v>26</v>
      </c>
      <c r="C29" s="6">
        <v>629</v>
      </c>
      <c r="D29" s="6">
        <v>666</v>
      </c>
      <c r="E29" s="6">
        <v>663</v>
      </c>
      <c r="F29" s="6">
        <v>675</v>
      </c>
      <c r="AG29" s="1"/>
    </row>
    <row r="30" spans="2:33" x14ac:dyDescent="0.3">
      <c r="B30" s="5">
        <v>27</v>
      </c>
      <c r="C30" s="6">
        <v>607</v>
      </c>
      <c r="D30" s="6">
        <v>643</v>
      </c>
      <c r="E30" s="6">
        <v>639</v>
      </c>
      <c r="F30" s="6">
        <v>655</v>
      </c>
      <c r="H30" t="s">
        <v>2</v>
      </c>
      <c r="I30" s="11">
        <f ca="1">INDIRECT("E"&amp;(17*ROW(1:1)+ROW('(default)'!$E$3)-19+IF(COLUMN(C:C)&gt;19,50000,COLUMN(C:C)-1)))</f>
        <v>312</v>
      </c>
      <c r="J30" s="2">
        <f ca="1">INDIRECT("E"&amp;(17*ROW(1:1)+ROW('(default)'!$E$3)-19+IF(COLUMN(D:D)&gt;19,50000,COLUMN(D:D)-1)))</f>
        <v>351</v>
      </c>
      <c r="K30" s="2">
        <f ca="1">INDIRECT("E"&amp;(17*ROW(1:1)+ROW('(default)'!$E$3)-19+IF(COLUMN(E:E)&gt;19,50000,COLUMN(E:E)-1)))</f>
        <v>399</v>
      </c>
      <c r="L30" s="2">
        <f ca="1">INDIRECT("E"&amp;(17*ROW(1:1)+ROW('(default)'!$E$3)-19+IF(COLUMN(F:F)&gt;19,50000,COLUMN(F:F)-1)))</f>
        <v>459</v>
      </c>
      <c r="M30" s="2">
        <f ca="1">INDIRECT("E"&amp;(17*ROW(1:1)+ROW('(default)'!$E$3)-19+IF(COLUMN(G:G)&gt;19,50000,COLUMN(G:G)-1)))</f>
        <v>504</v>
      </c>
      <c r="N30" s="2">
        <f ca="1">INDIRECT("E"&amp;(17*ROW(1:1)+ROW('(default)'!$E$3)-19+IF(COLUMN(H:H)&gt;19,50000,COLUMN(H:H)-1)))</f>
        <v>537</v>
      </c>
      <c r="O30" s="2">
        <f ca="1">INDIRECT("E"&amp;(17*ROW(1:1)+ROW('(default)'!$E$3)-19+IF(COLUMN(I:I)&gt;19,50000,COLUMN(I:I)-1)))</f>
        <v>562</v>
      </c>
      <c r="P30" s="2">
        <f ca="1">INDIRECT("E"&amp;(17*ROW(1:1)+ROW('(default)'!$E$3)-19+IF(COLUMN(J:J)&gt;19,50000,COLUMN(J:J)-1)))</f>
        <v>585</v>
      </c>
      <c r="Q30" s="2">
        <f ca="1">INDIRECT("E"&amp;(17*ROW(1:1)+ROW('(default)'!$E$3)-19+IF(COLUMN(K:K)&gt;19,50000,COLUMN(K:K)-1)))</f>
        <v>589</v>
      </c>
      <c r="R30" s="2">
        <f ca="1">INDIRECT("E"&amp;(17*ROW(1:1)+ROW('(default)'!$E$3)-19+IF(COLUMN(L:L)&gt;19,50000,COLUMN(L:L)-1)))</f>
        <v>585</v>
      </c>
      <c r="S30" s="2">
        <f ca="1">INDIRECT("E"&amp;(17*ROW(1:1)+ROW('(default)'!$E$3)-19+IF(COLUMN(M:M)&gt;19,50000,COLUMN(M:M)-1)))</f>
        <v>562</v>
      </c>
      <c r="T30" s="2">
        <f ca="1">INDIRECT("E"&amp;(17*ROW(1:1)+ROW('(default)'!$E$3)-19+IF(COLUMN(N:N)&gt;19,50000,COLUMN(N:N)-1)))</f>
        <v>537</v>
      </c>
      <c r="U30" s="2">
        <f ca="1">INDIRECT("E"&amp;(17*ROW(1:1)+ROW('(default)'!$E$3)-19+IF(COLUMN(O:O)&gt;19,50000,COLUMN(O:O)-1)))</f>
        <v>504</v>
      </c>
      <c r="V30" s="2">
        <f ca="1">INDIRECT("E"&amp;(17*ROW(1:1)+ROW('(default)'!$E$3)-19+IF(COLUMN(P:P)&gt;19,50000,COLUMN(P:P)-1)))</f>
        <v>457</v>
      </c>
      <c r="W30" s="2">
        <f ca="1">INDIRECT("E"&amp;(17*ROW(1:1)+ROW('(default)'!$E$3)-19+IF(COLUMN(Q:Q)&gt;19,50000,COLUMN(Q:Q)-1)))</f>
        <v>407</v>
      </c>
      <c r="X30" s="2">
        <f ca="1">INDIRECT("E"&amp;(17*ROW(1:1)+ROW('(default)'!$E$3)-19+IF(COLUMN(R:R)&gt;19,50000,COLUMN(R:R)-1)))</f>
        <v>357</v>
      </c>
      <c r="Y30" s="11">
        <f ca="1">INDIRECT("E"&amp;(17*ROW(1:1)+ROW('(default)'!$E$3)-19+IF(COLUMN(S:S)&gt;19,50000,COLUMN(S:S)-1)))</f>
        <v>310</v>
      </c>
      <c r="AG30" s="1"/>
    </row>
    <row r="31" spans="2:33" x14ac:dyDescent="0.3">
      <c r="B31" s="5">
        <v>28</v>
      </c>
      <c r="C31" s="6">
        <v>565</v>
      </c>
      <c r="D31" s="6">
        <v>608</v>
      </c>
      <c r="E31" s="6">
        <v>599</v>
      </c>
      <c r="F31" s="6">
        <v>614</v>
      </c>
      <c r="I31" s="2">
        <f ca="1">INDIRECT("E"&amp;(17*ROW(2:2)+ROW('(default)'!$E$3)-19+IF(COLUMN(C:C)&gt;19,50000,COLUMN(C:C)-1)))</f>
        <v>343</v>
      </c>
      <c r="J31" s="2">
        <f ca="1">INDIRECT("E"&amp;(17*ROW(2:2)+ROW('(default)'!$E$3)-19+IF(COLUMN(D:D)&gt;19,50000,COLUMN(D:D)-1)))</f>
        <v>389</v>
      </c>
      <c r="K31" s="2">
        <f ca="1">INDIRECT("E"&amp;(17*ROW(2:2)+ROW('(default)'!$E$3)-19+IF(COLUMN(E:E)&gt;19,50000,COLUMN(E:E)-1)))</f>
        <v>453</v>
      </c>
      <c r="L31" s="2">
        <f ca="1">INDIRECT("E"&amp;(17*ROW(2:2)+ROW('(default)'!$E$3)-19+IF(COLUMN(F:F)&gt;19,50000,COLUMN(F:F)-1)))</f>
        <v>506</v>
      </c>
      <c r="M31" s="2">
        <f ca="1">INDIRECT("E"&amp;(17*ROW(2:2)+ROW('(default)'!$E$3)-19+IF(COLUMN(G:G)&gt;19,50000,COLUMN(G:G)-1)))</f>
        <v>558</v>
      </c>
      <c r="N31" s="2">
        <f ca="1">INDIRECT("E"&amp;(17*ROW(2:2)+ROW('(default)'!$E$3)-19+IF(COLUMN(H:H)&gt;19,50000,COLUMN(H:H)-1)))</f>
        <v>599</v>
      </c>
      <c r="O31" s="2">
        <f ca="1">INDIRECT("E"&amp;(17*ROW(2:2)+ROW('(default)'!$E$3)-19+IF(COLUMN(I:I)&gt;19,50000,COLUMN(I:I)-1)))</f>
        <v>639</v>
      </c>
      <c r="P31" s="2">
        <f ca="1">INDIRECT("E"&amp;(17*ROW(2:2)+ROW('(default)'!$E$3)-19+IF(COLUMN(J:J)&gt;19,50000,COLUMN(J:J)-1)))</f>
        <v>663</v>
      </c>
      <c r="Q31" s="2">
        <f ca="1">INDIRECT("E"&amp;(17*ROW(2:2)+ROW('(default)'!$E$3)-19+IF(COLUMN(K:K)&gt;19,50000,COLUMN(K:K)-1)))</f>
        <v>674</v>
      </c>
      <c r="R31" s="2">
        <f ca="1">INDIRECT("E"&amp;(17*ROW(2:2)+ROW('(default)'!$E$3)-19+IF(COLUMN(L:L)&gt;19,50000,COLUMN(L:L)-1)))</f>
        <v>663</v>
      </c>
      <c r="S31" s="2">
        <f ca="1">INDIRECT("E"&amp;(17*ROW(2:2)+ROW('(default)'!$E$3)-19+IF(COLUMN(M:M)&gt;19,50000,COLUMN(M:M)-1)))</f>
        <v>639</v>
      </c>
      <c r="T31" s="2">
        <f ca="1">INDIRECT("E"&amp;(17*ROW(2:2)+ROW('(default)'!$E$3)-19+IF(COLUMN(N:N)&gt;19,50000,COLUMN(N:N)-1)))</f>
        <v>599</v>
      </c>
      <c r="U31" s="2">
        <f ca="1">INDIRECT("E"&amp;(17*ROW(2:2)+ROW('(default)'!$E$3)-19+IF(COLUMN(O:O)&gt;19,50000,COLUMN(O:O)-1)))</f>
        <v>558</v>
      </c>
      <c r="V31" s="2">
        <f ca="1">INDIRECT("E"&amp;(17*ROW(2:2)+ROW('(default)'!$E$3)-19+IF(COLUMN(P:P)&gt;19,50000,COLUMN(P:P)-1)))</f>
        <v>512</v>
      </c>
      <c r="W31" s="2">
        <f ca="1">INDIRECT("E"&amp;(17*ROW(2:2)+ROW('(default)'!$E$3)-19+IF(COLUMN(Q:Q)&gt;19,50000,COLUMN(Q:Q)-1)))</f>
        <v>453</v>
      </c>
      <c r="X31" s="2">
        <f ca="1">INDIRECT("E"&amp;(17*ROW(2:2)+ROW('(default)'!$E$3)-19+IF(COLUMN(R:R)&gt;19,50000,COLUMN(R:R)-1)))</f>
        <v>395</v>
      </c>
      <c r="Y31" s="2">
        <f ca="1">INDIRECT("E"&amp;(17*ROW(2:2)+ROW('(default)'!$E$3)-19+IF(COLUMN(S:S)&gt;19,50000,COLUMN(S:S)-1)))</f>
        <v>341</v>
      </c>
      <c r="AG31" s="1"/>
    </row>
    <row r="32" spans="2:33" x14ac:dyDescent="0.3">
      <c r="B32" s="5">
        <v>29</v>
      </c>
      <c r="C32" s="6">
        <v>512</v>
      </c>
      <c r="D32" s="6">
        <v>561</v>
      </c>
      <c r="E32" s="6">
        <v>558</v>
      </c>
      <c r="F32" s="6">
        <v>563</v>
      </c>
      <c r="I32" s="2">
        <f ca="1">INDIRECT("E"&amp;(17*ROW(3:3)+ROW('(default)'!$E$3)-19+IF(COLUMN(C:C)&gt;19,50000,COLUMN(C:C)-1)))</f>
        <v>368</v>
      </c>
      <c r="J32" s="2">
        <f ca="1">INDIRECT("E"&amp;(17*ROW(3:3)+ROW('(default)'!$E$3)-19+IF(COLUMN(D:D)&gt;19,50000,COLUMN(D:D)-1)))</f>
        <v>430</v>
      </c>
      <c r="K32" s="2">
        <f ca="1">INDIRECT("E"&amp;(17*ROW(3:3)+ROW('(default)'!$E$3)-19+IF(COLUMN(E:E)&gt;19,50000,COLUMN(E:E)-1)))</f>
        <v>494</v>
      </c>
      <c r="L32" s="2">
        <f ca="1">INDIRECT("E"&amp;(17*ROW(3:3)+ROW('(default)'!$E$3)-19+IF(COLUMN(F:F)&gt;19,50000,COLUMN(F:F)-1)))</f>
        <v>552</v>
      </c>
      <c r="M32" s="2">
        <f ca="1">INDIRECT("E"&amp;(17*ROW(3:3)+ROW('(default)'!$E$3)-19+IF(COLUMN(G:G)&gt;19,50000,COLUMN(G:G)-1)))</f>
        <v>610</v>
      </c>
      <c r="N32" s="2">
        <f ca="1">INDIRECT("E"&amp;(17*ROW(3:3)+ROW('(default)'!$E$3)-19+IF(COLUMN(H:H)&gt;19,50000,COLUMN(H:H)-1)))</f>
        <v>668</v>
      </c>
      <c r="O32" s="2">
        <f ca="1">INDIRECT("E"&amp;(17*ROW(3:3)+ROW('(default)'!$E$3)-19+IF(COLUMN(I:I)&gt;19,50000,COLUMN(I:I)-1)))</f>
        <v>721</v>
      </c>
      <c r="P32" s="2">
        <f ca="1">INDIRECT("E"&amp;(17*ROW(3:3)+ROW('(default)'!$E$3)-19+IF(COLUMN(J:J)&gt;19,50000,COLUMN(J:J)-1)))</f>
        <v>761</v>
      </c>
      <c r="Q32" s="2">
        <f ca="1">INDIRECT("E"&amp;(17*ROW(3:3)+ROW('(default)'!$E$3)-19+IF(COLUMN(K:K)&gt;19,50000,COLUMN(K:K)-1)))</f>
        <v>773</v>
      </c>
      <c r="R32" s="2">
        <f ca="1">INDIRECT("E"&amp;(17*ROW(3:3)+ROW('(default)'!$E$3)-19+IF(COLUMN(L:L)&gt;19,50000,COLUMN(L:L)-1)))</f>
        <v>761</v>
      </c>
      <c r="S32" s="2">
        <f ca="1">INDIRECT("E"&amp;(17*ROW(3:3)+ROW('(default)'!$E$3)-19+IF(COLUMN(M:M)&gt;19,50000,COLUMN(M:M)-1)))</f>
        <v>727</v>
      </c>
      <c r="T32" s="2">
        <f ca="1">INDIRECT("E"&amp;(17*ROW(3:3)+ROW('(default)'!$E$3)-19+IF(COLUMN(N:N)&gt;19,50000,COLUMN(N:N)-1)))</f>
        <v>668</v>
      </c>
      <c r="U32" s="2">
        <f ca="1">INDIRECT("E"&amp;(17*ROW(3:3)+ROW('(default)'!$E$3)-19+IF(COLUMN(O:O)&gt;19,50000,COLUMN(O:O)-1)))</f>
        <v>610</v>
      </c>
      <c r="V32" s="2">
        <f ca="1">INDIRECT("E"&amp;(17*ROW(3:3)+ROW('(default)'!$E$3)-19+IF(COLUMN(P:P)&gt;19,50000,COLUMN(P:P)-1)))</f>
        <v>552</v>
      </c>
      <c r="W32" s="2">
        <f ca="1">INDIRECT("E"&amp;(17*ROW(3:3)+ROW('(default)'!$E$3)-19+IF(COLUMN(Q:Q)&gt;19,50000,COLUMN(Q:Q)-1)))</f>
        <v>500</v>
      </c>
      <c r="X32" s="2">
        <f ca="1">INDIRECT("E"&amp;(17*ROW(3:3)+ROW('(default)'!$E$3)-19+IF(COLUMN(R:R)&gt;19,50000,COLUMN(R:R)-1)))</f>
        <v>436</v>
      </c>
      <c r="Y32" s="2">
        <f ca="1">INDIRECT("E"&amp;(17*ROW(3:3)+ROW('(default)'!$E$3)-19+IF(COLUMN(S:S)&gt;19,50000,COLUMN(S:S)-1)))</f>
        <v>366</v>
      </c>
      <c r="AG32" s="1"/>
    </row>
    <row r="33" spans="2:33" x14ac:dyDescent="0.3">
      <c r="B33" s="5">
        <v>30</v>
      </c>
      <c r="C33" s="6">
        <v>469</v>
      </c>
      <c r="D33" s="6">
        <v>514</v>
      </c>
      <c r="E33" s="6">
        <v>512</v>
      </c>
      <c r="F33" s="6">
        <v>522</v>
      </c>
      <c r="I33" s="2">
        <f ca="1">INDIRECT("E"&amp;(17*ROW(4:4)+ROW('(default)'!$E$3)-19+IF(COLUMN(C:C)&gt;19,50000,COLUMN(C:C)-1)))</f>
        <v>395</v>
      </c>
      <c r="J33" s="2">
        <f ca="1">INDIRECT("E"&amp;(17*ROW(4:4)+ROW('(default)'!$E$3)-19+IF(COLUMN(D:D)&gt;19,50000,COLUMN(D:D)-1)))</f>
        <v>465</v>
      </c>
      <c r="K33" s="2">
        <f ca="1">INDIRECT("E"&amp;(17*ROW(4:4)+ROW('(default)'!$E$3)-19+IF(COLUMN(E:E)&gt;19,50000,COLUMN(E:E)-1)))</f>
        <v>529</v>
      </c>
      <c r="L33" s="2">
        <f ca="1">INDIRECT("E"&amp;(17*ROW(4:4)+ROW('(default)'!$E$3)-19+IF(COLUMN(F:F)&gt;19,50000,COLUMN(F:F)-1)))</f>
        <v>593</v>
      </c>
      <c r="M33" s="2">
        <f ca="1">INDIRECT("E"&amp;(17*ROW(4:4)+ROW('(default)'!$E$3)-19+IF(COLUMN(G:G)&gt;19,50000,COLUMN(G:G)-1)))</f>
        <v>668</v>
      </c>
      <c r="N33" s="2">
        <f ca="1">INDIRECT("E"&amp;(17*ROW(4:4)+ROW('(default)'!$E$3)-19+IF(COLUMN(H:H)&gt;19,50000,COLUMN(H:H)-1)))</f>
        <v>744</v>
      </c>
      <c r="O33" s="2">
        <f ca="1">INDIRECT("E"&amp;(17*ROW(4:4)+ROW('(default)'!$E$3)-19+IF(COLUMN(I:I)&gt;19,50000,COLUMN(I:I)-1)))</f>
        <v>808</v>
      </c>
      <c r="P33" s="2">
        <f ca="1">INDIRECT("E"&amp;(17*ROW(4:4)+ROW('(default)'!$E$3)-19+IF(COLUMN(J:J)&gt;19,50000,COLUMN(J:J)-1)))</f>
        <v>854</v>
      </c>
      <c r="Q33" s="2">
        <f ca="1">INDIRECT("E"&amp;(17*ROW(4:4)+ROW('(default)'!$E$3)-19+IF(COLUMN(K:K)&gt;19,50000,COLUMN(K:K)-1)))</f>
        <v>872</v>
      </c>
      <c r="R33" s="2">
        <f ca="1">INDIRECT("E"&amp;(17*ROW(4:4)+ROW('(default)'!$E$3)-19+IF(COLUMN(L:L)&gt;19,50000,COLUMN(L:L)-1)))</f>
        <v>854</v>
      </c>
      <c r="S33" s="2">
        <f ca="1">INDIRECT("E"&amp;(17*ROW(4:4)+ROW('(default)'!$E$3)-19+IF(COLUMN(M:M)&gt;19,50000,COLUMN(M:M)-1)))</f>
        <v>814</v>
      </c>
      <c r="T33" s="2">
        <f ca="1">INDIRECT("E"&amp;(17*ROW(4:4)+ROW('(default)'!$E$3)-19+IF(COLUMN(N:N)&gt;19,50000,COLUMN(N:N)-1)))</f>
        <v>744</v>
      </c>
      <c r="U33" s="2">
        <f ca="1">INDIRECT("E"&amp;(17*ROW(4:4)+ROW('(default)'!$E$3)-19+IF(COLUMN(O:O)&gt;19,50000,COLUMN(O:O)-1)))</f>
        <v>668</v>
      </c>
      <c r="V33" s="2">
        <f ca="1">INDIRECT("E"&amp;(17*ROW(4:4)+ROW('(default)'!$E$3)-19+IF(COLUMN(P:P)&gt;19,50000,COLUMN(P:P)-1)))</f>
        <v>593</v>
      </c>
      <c r="W33" s="2">
        <f ca="1">INDIRECT("E"&amp;(17*ROW(4:4)+ROW('(default)'!$E$3)-19+IF(COLUMN(Q:Q)&gt;19,50000,COLUMN(Q:Q)-1)))</f>
        <v>529</v>
      </c>
      <c r="X33" s="2">
        <f ca="1">INDIRECT("E"&amp;(17*ROW(4:4)+ROW('(default)'!$E$3)-19+IF(COLUMN(R:R)&gt;19,50000,COLUMN(R:R)-1)))</f>
        <v>465</v>
      </c>
      <c r="Y33" s="2">
        <f ca="1">INDIRECT("E"&amp;(17*ROW(4:4)+ROW('(default)'!$E$3)-19+IF(COLUMN(S:S)&gt;19,50000,COLUMN(S:S)-1)))</f>
        <v>395</v>
      </c>
      <c r="AG33" s="1"/>
    </row>
    <row r="34" spans="2:33" x14ac:dyDescent="0.3">
      <c r="B34" s="5">
        <v>31</v>
      </c>
      <c r="C34" s="6">
        <v>416</v>
      </c>
      <c r="D34" s="6">
        <v>462</v>
      </c>
      <c r="E34" s="6">
        <v>453</v>
      </c>
      <c r="F34" s="6">
        <v>460</v>
      </c>
      <c r="I34" s="2">
        <f ca="1">INDIRECT("E"&amp;(17*ROW(5:5)+ROW('(default)'!$E$3)-19+IF(COLUMN(C:C)&gt;19,50000,COLUMN(C:C)-1)))</f>
        <v>419</v>
      </c>
      <c r="J34" s="2">
        <f ca="1">INDIRECT("E"&amp;(17*ROW(5:5)+ROW('(default)'!$E$3)-19+IF(COLUMN(D:D)&gt;19,50000,COLUMN(D:D)-1)))</f>
        <v>488</v>
      </c>
      <c r="K34" s="2">
        <f ca="1">INDIRECT("E"&amp;(17*ROW(5:5)+ROW('(default)'!$E$3)-19+IF(COLUMN(E:E)&gt;19,50000,COLUMN(E:E)-1)))</f>
        <v>558</v>
      </c>
      <c r="L34" s="2">
        <f ca="1">INDIRECT("E"&amp;(17*ROW(5:5)+ROW('(default)'!$E$3)-19+IF(COLUMN(F:F)&gt;19,50000,COLUMN(F:F)-1)))</f>
        <v>634</v>
      </c>
      <c r="M34" s="2">
        <f ca="1">INDIRECT("E"&amp;(17*ROW(5:5)+ROW('(default)'!$E$3)-19+IF(COLUMN(G:G)&gt;19,50000,COLUMN(G:G)-1)))</f>
        <v>715</v>
      </c>
      <c r="N34" s="2">
        <f ca="1">INDIRECT("E"&amp;(17*ROW(5:5)+ROW('(default)'!$E$3)-19+IF(COLUMN(H:H)&gt;19,50000,COLUMN(H:H)-1)))</f>
        <v>808</v>
      </c>
      <c r="O34" s="2">
        <f ca="1">INDIRECT("E"&amp;(17*ROW(5:5)+ROW('(default)'!$E$3)-19+IF(COLUMN(I:I)&gt;19,50000,COLUMN(I:I)-1)))</f>
        <v>884</v>
      </c>
      <c r="P34" s="2">
        <f ca="1">INDIRECT("E"&amp;(17*ROW(5:5)+ROW('(default)'!$E$3)-19+IF(COLUMN(J:J)&gt;19,50000,COLUMN(J:J)-1)))</f>
        <v>942</v>
      </c>
      <c r="Q34" s="2">
        <f ca="1">INDIRECT("E"&amp;(17*ROW(5:5)+ROW('(default)'!$E$3)-19+IF(COLUMN(K:K)&gt;19,50000,COLUMN(K:K)-1)))</f>
        <v>959</v>
      </c>
      <c r="R34" s="2">
        <f ca="1">INDIRECT("E"&amp;(17*ROW(5:5)+ROW('(default)'!$E$3)-19+IF(COLUMN(L:L)&gt;19,50000,COLUMN(L:L)-1)))</f>
        <v>942</v>
      </c>
      <c r="S34" s="2">
        <f ca="1">INDIRECT("E"&amp;(17*ROW(5:5)+ROW('(default)'!$E$3)-19+IF(COLUMN(M:M)&gt;19,50000,COLUMN(M:M)-1)))</f>
        <v>895</v>
      </c>
      <c r="T34" s="2">
        <f ca="1">INDIRECT("E"&amp;(17*ROW(5:5)+ROW('(default)'!$E$3)-19+IF(COLUMN(N:N)&gt;19,50000,COLUMN(N:N)-1)))</f>
        <v>808</v>
      </c>
      <c r="U34" s="2">
        <f ca="1">INDIRECT("E"&amp;(17*ROW(5:5)+ROW('(default)'!$E$3)-19+IF(COLUMN(O:O)&gt;19,50000,COLUMN(O:O)-1)))</f>
        <v>721</v>
      </c>
      <c r="V34" s="2">
        <f ca="1">INDIRECT("E"&amp;(17*ROW(5:5)+ROW('(default)'!$E$3)-19+IF(COLUMN(P:P)&gt;19,50000,COLUMN(P:P)-1)))</f>
        <v>634</v>
      </c>
      <c r="W34" s="2">
        <f ca="1">INDIRECT("E"&amp;(17*ROW(5:5)+ROW('(default)'!$E$3)-19+IF(COLUMN(Q:Q)&gt;19,50000,COLUMN(Q:Q)-1)))</f>
        <v>558</v>
      </c>
      <c r="X34" s="2">
        <f ca="1">INDIRECT("E"&amp;(17*ROW(5:5)+ROW('(default)'!$E$3)-19+IF(COLUMN(R:R)&gt;19,50000,COLUMN(R:R)-1)))</f>
        <v>488</v>
      </c>
      <c r="Y34" s="2">
        <f ca="1">INDIRECT("E"&amp;(17*ROW(5:5)+ROW('(default)'!$E$3)-19+IF(COLUMN(S:S)&gt;19,50000,COLUMN(S:S)-1)))</f>
        <v>419</v>
      </c>
      <c r="AG34" s="1"/>
    </row>
    <row r="35" spans="2:33" x14ac:dyDescent="0.3">
      <c r="B35" s="5">
        <v>32</v>
      </c>
      <c r="C35" s="6">
        <v>362</v>
      </c>
      <c r="D35" s="6">
        <v>403</v>
      </c>
      <c r="E35" s="6">
        <v>395</v>
      </c>
      <c r="F35" s="6">
        <v>399</v>
      </c>
      <c r="I35" s="2">
        <f ca="1">INDIRECT("E"&amp;(17*ROW(6:6)+ROW('(default)'!$E$3)-19+IF(COLUMN(C:C)&gt;19,50000,COLUMN(C:C)-1)))</f>
        <v>430</v>
      </c>
      <c r="J35" s="2">
        <f ca="1">INDIRECT("E"&amp;(17*ROW(6:6)+ROW('(default)'!$E$3)-19+IF(COLUMN(D:D)&gt;19,50000,COLUMN(D:D)-1)))</f>
        <v>500</v>
      </c>
      <c r="K35" s="2">
        <f ca="1">INDIRECT("E"&amp;(17*ROW(6:6)+ROW('(default)'!$E$3)-19+IF(COLUMN(E:E)&gt;19,50000,COLUMN(E:E)-1)))</f>
        <v>575</v>
      </c>
      <c r="L35" s="2">
        <f ca="1">INDIRECT("E"&amp;(17*ROW(6:6)+ROW('(default)'!$E$3)-19+IF(COLUMN(F:F)&gt;19,50000,COLUMN(F:F)-1)))</f>
        <v>657</v>
      </c>
      <c r="M35" s="2">
        <f ca="1">INDIRECT("E"&amp;(17*ROW(6:6)+ROW('(default)'!$E$3)-19+IF(COLUMN(G:G)&gt;19,50000,COLUMN(G:G)-1)))</f>
        <v>750</v>
      </c>
      <c r="N35" s="2">
        <f ca="1">INDIRECT("E"&amp;(17*ROW(6:6)+ROW('(default)'!$E$3)-19+IF(COLUMN(H:H)&gt;19,50000,COLUMN(H:H)-1)))</f>
        <v>849</v>
      </c>
      <c r="O35" s="2">
        <f ca="1">INDIRECT("E"&amp;(17*ROW(6:6)+ROW('(default)'!$E$3)-19+IF(COLUMN(I:I)&gt;19,50000,COLUMN(I:I)-1)))</f>
        <v>936</v>
      </c>
      <c r="P35" s="2">
        <f ca="1">INDIRECT("E"&amp;(17*ROW(6:6)+ROW('(default)'!$E$3)-19+IF(COLUMN(J:J)&gt;19,50000,COLUMN(J:J)-1)))</f>
        <v>988</v>
      </c>
      <c r="Q35" s="2">
        <f ca="1">INDIRECT("E"&amp;(17*ROW(6:6)+ROW('(default)'!$E$3)-19+IF(COLUMN(K:K)&gt;19,50000,COLUMN(K:K)-1)))</f>
        <v>1006</v>
      </c>
      <c r="R35" s="2">
        <f ca="1">INDIRECT("E"&amp;(17*ROW(6:6)+ROW('(default)'!$E$3)-19+IF(COLUMN(L:L)&gt;19,50000,COLUMN(L:L)-1)))</f>
        <v>988</v>
      </c>
      <c r="S35" s="2">
        <f ca="1">INDIRECT("E"&amp;(17*ROW(6:6)+ROW('(default)'!$E$3)-19+IF(COLUMN(M:M)&gt;19,50000,COLUMN(M:M)-1)))</f>
        <v>936</v>
      </c>
      <c r="T35" s="2">
        <f ca="1">INDIRECT("E"&amp;(17*ROW(6:6)+ROW('(default)'!$E$3)-19+IF(COLUMN(N:N)&gt;19,50000,COLUMN(N:N)-1)))</f>
        <v>860</v>
      </c>
      <c r="U35" s="2">
        <f ca="1">INDIRECT("E"&amp;(17*ROW(6:6)+ROW('(default)'!$E$3)-19+IF(COLUMN(O:O)&gt;19,50000,COLUMN(O:O)-1)))</f>
        <v>756</v>
      </c>
      <c r="V35" s="2">
        <f ca="1">INDIRECT("E"&amp;(17*ROW(6:6)+ROW('(default)'!$E$3)-19+IF(COLUMN(P:P)&gt;19,50000,COLUMN(P:P)-1)))</f>
        <v>657</v>
      </c>
      <c r="W35" s="2">
        <f ca="1">INDIRECT("E"&amp;(17*ROW(6:6)+ROW('(default)'!$E$3)-19+IF(COLUMN(Q:Q)&gt;19,50000,COLUMN(Q:Q)-1)))</f>
        <v>575</v>
      </c>
      <c r="X35" s="2">
        <f ca="1">INDIRECT("E"&amp;(17*ROW(6:6)+ROW('(default)'!$E$3)-19+IF(COLUMN(R:R)&gt;19,50000,COLUMN(R:R)-1)))</f>
        <v>506</v>
      </c>
      <c r="Y35" s="2">
        <f ca="1">INDIRECT("E"&amp;(17*ROW(6:6)+ROW('(default)'!$E$3)-19+IF(COLUMN(S:S)&gt;19,50000,COLUMN(S:S)-1)))</f>
        <v>428</v>
      </c>
      <c r="AG35" s="1"/>
    </row>
    <row r="36" spans="2:33" x14ac:dyDescent="0.3">
      <c r="B36" s="5">
        <v>33</v>
      </c>
      <c r="C36" s="6">
        <v>305</v>
      </c>
      <c r="D36" s="6">
        <v>341</v>
      </c>
      <c r="E36" s="6">
        <v>341</v>
      </c>
      <c r="F36" s="6">
        <v>344</v>
      </c>
      <c r="I36" s="2">
        <f ca="1">INDIRECT("E"&amp;(17*ROW(7:7)+ROW('(default)'!$E$3)-19+IF(COLUMN(C:C)&gt;19,50000,COLUMN(C:C)-1)))</f>
        <v>436</v>
      </c>
      <c r="J36" s="2">
        <f ca="1">INDIRECT("E"&amp;(17*ROW(7:7)+ROW('(default)'!$E$3)-19+IF(COLUMN(D:D)&gt;19,50000,COLUMN(D:D)-1)))</f>
        <v>506</v>
      </c>
      <c r="K36" s="2">
        <f ca="1">INDIRECT("E"&amp;(17*ROW(7:7)+ROW('(default)'!$E$3)-19+IF(COLUMN(E:E)&gt;19,50000,COLUMN(E:E)-1)))</f>
        <v>575</v>
      </c>
      <c r="L36" s="2">
        <f ca="1">INDIRECT("E"&amp;(17*ROW(7:7)+ROW('(default)'!$E$3)-19+IF(COLUMN(F:F)&gt;19,50000,COLUMN(F:F)-1)))</f>
        <v>663</v>
      </c>
      <c r="M36" s="2">
        <f ca="1">INDIRECT("E"&amp;(17*ROW(7:7)+ROW('(default)'!$E$3)-19+IF(COLUMN(G:G)&gt;19,50000,COLUMN(G:G)-1)))</f>
        <v>767</v>
      </c>
      <c r="N36" s="2">
        <f ca="1">INDIRECT("E"&amp;(17*ROW(7:7)+ROW('(default)'!$E$3)-19+IF(COLUMN(H:H)&gt;19,50000,COLUMN(H:H)-1)))</f>
        <v>866</v>
      </c>
      <c r="O36" s="2">
        <f ca="1">INDIRECT("E"&amp;(17*ROW(7:7)+ROW('(default)'!$E$3)-19+IF(COLUMN(I:I)&gt;19,50000,COLUMN(I:I)-1)))</f>
        <v>959</v>
      </c>
      <c r="P36" s="2">
        <f ca="1">INDIRECT("E"&amp;(17*ROW(7:7)+ROW('(default)'!$E$3)-19+IF(COLUMN(J:J)&gt;19,50000,COLUMN(J:J)-1)))</f>
        <v>1000</v>
      </c>
      <c r="Q36" s="2">
        <f ca="1">INDIRECT("E"&amp;(17*ROW(7:7)+ROW('(default)'!$E$3)-19+IF(COLUMN(K:K)&gt;19,50000,COLUMN(K:K)-1)))</f>
        <v>1023</v>
      </c>
      <c r="R36" s="2">
        <f ca="1">INDIRECT("E"&amp;(17*ROW(7:7)+ROW('(default)'!$E$3)-19+IF(COLUMN(L:L)&gt;19,50000,COLUMN(L:L)-1)))</f>
        <v>1006</v>
      </c>
      <c r="S36" s="2">
        <f ca="1">INDIRECT("E"&amp;(17*ROW(7:7)+ROW('(default)'!$E$3)-19+IF(COLUMN(M:M)&gt;19,50000,COLUMN(M:M)-1)))</f>
        <v>953</v>
      </c>
      <c r="T36" s="2">
        <f ca="1">INDIRECT("E"&amp;(17*ROW(7:7)+ROW('(default)'!$E$3)-19+IF(COLUMN(N:N)&gt;19,50000,COLUMN(N:N)-1)))</f>
        <v>878</v>
      </c>
      <c r="U36" s="2">
        <f ca="1">INDIRECT("E"&amp;(17*ROW(7:7)+ROW('(default)'!$E$3)-19+IF(COLUMN(O:O)&gt;19,50000,COLUMN(O:O)-1)))</f>
        <v>767</v>
      </c>
      <c r="V36" s="2">
        <f ca="1">INDIRECT("E"&amp;(17*ROW(7:7)+ROW('(default)'!$E$3)-19+IF(COLUMN(P:P)&gt;19,50000,COLUMN(P:P)-1)))</f>
        <v>668</v>
      </c>
      <c r="W36" s="2">
        <f ca="1">INDIRECT("E"&amp;(17*ROW(7:7)+ROW('(default)'!$E$3)-19+IF(COLUMN(Q:Q)&gt;19,50000,COLUMN(Q:Q)-1)))</f>
        <v>581</v>
      </c>
      <c r="X36" s="2">
        <f ca="1">INDIRECT("E"&amp;(17*ROW(7:7)+ROW('(default)'!$E$3)-19+IF(COLUMN(R:R)&gt;19,50000,COLUMN(R:R)-1)))</f>
        <v>506</v>
      </c>
      <c r="Y36" s="2">
        <f ca="1">INDIRECT("E"&amp;(17*ROW(7:7)+ROW('(default)'!$E$3)-19+IF(COLUMN(S:S)&gt;19,50000,COLUMN(S:S)-1)))</f>
        <v>436</v>
      </c>
      <c r="AG36" s="1"/>
    </row>
    <row r="37" spans="2:33" x14ac:dyDescent="0.3">
      <c r="B37" s="5">
        <v>34</v>
      </c>
      <c r="C37" s="6">
        <v>337</v>
      </c>
      <c r="D37" s="6">
        <v>370</v>
      </c>
      <c r="E37" s="6">
        <v>368</v>
      </c>
      <c r="F37" s="6">
        <v>372</v>
      </c>
      <c r="I37" s="2">
        <f ca="1">INDIRECT("E"&amp;(17*ROW(8:8)+ROW('(default)'!$E$3)-19+IF(COLUMN(C:C)&gt;19,50000,COLUMN(C:C)-1)))</f>
        <v>430</v>
      </c>
      <c r="J37" s="2">
        <f ca="1">INDIRECT("E"&amp;(17*ROW(8:8)+ROW('(default)'!$E$3)-19+IF(COLUMN(D:D)&gt;19,50000,COLUMN(D:D)-1)))</f>
        <v>500</v>
      </c>
      <c r="K37" s="2">
        <f ca="1">INDIRECT("E"&amp;(17*ROW(8:8)+ROW('(default)'!$E$3)-19+IF(COLUMN(E:E)&gt;19,50000,COLUMN(E:E)-1)))</f>
        <v>570</v>
      </c>
      <c r="L37" s="2">
        <f ca="1">INDIRECT("E"&amp;(17*ROW(8:8)+ROW('(default)'!$E$3)-19+IF(COLUMN(F:F)&gt;19,50000,COLUMN(F:F)-1)))</f>
        <v>657</v>
      </c>
      <c r="M37" s="2">
        <f ca="1">INDIRECT("E"&amp;(17*ROW(8:8)+ROW('(default)'!$E$3)-19+IF(COLUMN(G:G)&gt;19,50000,COLUMN(G:G)-1)))</f>
        <v>756</v>
      </c>
      <c r="N37" s="2">
        <f ca="1">INDIRECT("E"&amp;(17*ROW(8:8)+ROW('(default)'!$E$3)-19+IF(COLUMN(H:H)&gt;19,50000,COLUMN(H:H)-1)))</f>
        <v>849</v>
      </c>
      <c r="O37" s="2">
        <f ca="1">INDIRECT("E"&amp;(17*ROW(8:8)+ROW('(default)'!$E$3)-19+IF(COLUMN(I:I)&gt;19,50000,COLUMN(I:I)-1)))</f>
        <v>942</v>
      </c>
      <c r="P37" s="2">
        <f ca="1">INDIRECT("E"&amp;(17*ROW(8:8)+ROW('(default)'!$E$3)-19+IF(COLUMN(J:J)&gt;19,50000,COLUMN(J:J)-1)))</f>
        <v>988</v>
      </c>
      <c r="Q37" s="2">
        <f ca="1">INDIRECT("E"&amp;(17*ROW(8:8)+ROW('(default)'!$E$3)-19+IF(COLUMN(K:K)&gt;19,50000,COLUMN(K:K)-1)))</f>
        <v>1006</v>
      </c>
      <c r="R37" s="2">
        <f ca="1">INDIRECT("E"&amp;(17*ROW(8:8)+ROW('(default)'!$E$3)-19+IF(COLUMN(L:L)&gt;19,50000,COLUMN(L:L)-1)))</f>
        <v>988</v>
      </c>
      <c r="S37" s="2">
        <f ca="1">INDIRECT("E"&amp;(17*ROW(8:8)+ROW('(default)'!$E$3)-19+IF(COLUMN(M:M)&gt;19,50000,COLUMN(M:M)-1)))</f>
        <v>942</v>
      </c>
      <c r="T37" s="2">
        <f ca="1">INDIRECT("E"&amp;(17*ROW(8:8)+ROW('(default)'!$E$3)-19+IF(COLUMN(N:N)&gt;19,50000,COLUMN(N:N)-1)))</f>
        <v>860</v>
      </c>
      <c r="U37" s="2">
        <f ca="1">INDIRECT("E"&amp;(17*ROW(8:8)+ROW('(default)'!$E$3)-19+IF(COLUMN(O:O)&gt;19,50000,COLUMN(O:O)-1)))</f>
        <v>756</v>
      </c>
      <c r="V37" s="2">
        <f ca="1">INDIRECT("E"&amp;(17*ROW(8:8)+ROW('(default)'!$E$3)-19+IF(COLUMN(P:P)&gt;19,50000,COLUMN(P:P)-1)))</f>
        <v>657</v>
      </c>
      <c r="W37" s="2">
        <f ca="1">INDIRECT("E"&amp;(17*ROW(8:8)+ROW('(default)'!$E$3)-19+IF(COLUMN(Q:Q)&gt;19,50000,COLUMN(Q:Q)-1)))</f>
        <v>575</v>
      </c>
      <c r="X37" s="2">
        <f ca="1">INDIRECT("E"&amp;(17*ROW(8:8)+ROW('(default)'!$E$3)-19+IF(COLUMN(R:R)&gt;19,50000,COLUMN(R:R)-1)))</f>
        <v>506</v>
      </c>
      <c r="Y37" s="2">
        <f ca="1">INDIRECT("E"&amp;(17*ROW(8:8)+ROW('(default)'!$E$3)-19+IF(COLUMN(S:S)&gt;19,50000,COLUMN(S:S)-1)))</f>
        <v>428</v>
      </c>
      <c r="AG37" s="1"/>
    </row>
    <row r="38" spans="2:33" x14ac:dyDescent="0.3">
      <c r="B38" s="5">
        <v>35</v>
      </c>
      <c r="C38" s="6">
        <v>394</v>
      </c>
      <c r="D38" s="6">
        <v>433</v>
      </c>
      <c r="E38" s="6">
        <v>430</v>
      </c>
      <c r="F38" s="6">
        <v>440</v>
      </c>
      <c r="I38" s="2">
        <f ca="1">INDIRECT("E"&amp;(17*ROW(9:9)+ROW('(default)'!$E$3)-19+IF(COLUMN(C:C)&gt;19,50000,COLUMN(C:C)-1)))</f>
        <v>419</v>
      </c>
      <c r="J38" s="2">
        <f ca="1">INDIRECT("E"&amp;(17*ROW(9:9)+ROW('(default)'!$E$3)-19+IF(COLUMN(D:D)&gt;19,50000,COLUMN(D:D)-1)))</f>
        <v>488</v>
      </c>
      <c r="K38" s="2">
        <f ca="1">INDIRECT("E"&amp;(17*ROW(9:9)+ROW('(default)'!$E$3)-19+IF(COLUMN(E:E)&gt;19,50000,COLUMN(E:E)-1)))</f>
        <v>558</v>
      </c>
      <c r="L38" s="2">
        <f ca="1">INDIRECT("E"&amp;(17*ROW(9:9)+ROW('(default)'!$E$3)-19+IF(COLUMN(F:F)&gt;19,50000,COLUMN(F:F)-1)))</f>
        <v>634</v>
      </c>
      <c r="M38" s="2">
        <f ca="1">INDIRECT("E"&amp;(17*ROW(9:9)+ROW('(default)'!$E$3)-19+IF(COLUMN(G:G)&gt;19,50000,COLUMN(G:G)-1)))</f>
        <v>721</v>
      </c>
      <c r="N38" s="2">
        <f ca="1">INDIRECT("E"&amp;(17*ROW(9:9)+ROW('(default)'!$E$3)-19+IF(COLUMN(H:H)&gt;19,50000,COLUMN(H:H)-1)))</f>
        <v>808</v>
      </c>
      <c r="O38" s="2">
        <f ca="1">INDIRECT("E"&amp;(17*ROW(9:9)+ROW('(default)'!$E$3)-19+IF(COLUMN(I:I)&gt;19,50000,COLUMN(I:I)-1)))</f>
        <v>889</v>
      </c>
      <c r="P38" s="2">
        <f ca="1">INDIRECT("E"&amp;(17*ROW(9:9)+ROW('(default)'!$E$3)-19+IF(COLUMN(J:J)&gt;19,50000,COLUMN(J:J)-1)))</f>
        <v>947</v>
      </c>
      <c r="Q38" s="2">
        <f ca="1">INDIRECT("E"&amp;(17*ROW(9:9)+ROW('(default)'!$E$3)-19+IF(COLUMN(K:K)&gt;19,50000,COLUMN(K:K)-1)))</f>
        <v>965</v>
      </c>
      <c r="R38" s="2">
        <f ca="1">INDIRECT("E"&amp;(17*ROW(9:9)+ROW('(default)'!$E$3)-19+IF(COLUMN(L:L)&gt;19,50000,COLUMN(L:L)-1)))</f>
        <v>947</v>
      </c>
      <c r="S38" s="2">
        <f ca="1">INDIRECT("E"&amp;(17*ROW(9:9)+ROW('(default)'!$E$3)-19+IF(COLUMN(M:M)&gt;19,50000,COLUMN(M:M)-1)))</f>
        <v>901</v>
      </c>
      <c r="T38" s="2">
        <f ca="1">INDIRECT("E"&amp;(17*ROW(9:9)+ROW('(default)'!$E$3)-19+IF(COLUMN(N:N)&gt;19,50000,COLUMN(N:N)-1)))</f>
        <v>814</v>
      </c>
      <c r="U38" s="2">
        <f ca="1">INDIRECT("E"&amp;(17*ROW(9:9)+ROW('(default)'!$E$3)-19+IF(COLUMN(O:O)&gt;19,50000,COLUMN(O:O)-1)))</f>
        <v>721</v>
      </c>
      <c r="V38" s="2">
        <f ca="1">INDIRECT("E"&amp;(17*ROW(9:9)+ROW('(default)'!$E$3)-19+IF(COLUMN(P:P)&gt;19,50000,COLUMN(P:P)-1)))</f>
        <v>634</v>
      </c>
      <c r="W38" s="2">
        <f ca="1">INDIRECT("E"&amp;(17*ROW(9:9)+ROW('(default)'!$E$3)-19+IF(COLUMN(Q:Q)&gt;19,50000,COLUMN(Q:Q)-1)))</f>
        <v>558</v>
      </c>
      <c r="X38" s="2">
        <f ca="1">INDIRECT("E"&amp;(17*ROW(9:9)+ROW('(default)'!$E$3)-19+IF(COLUMN(R:R)&gt;19,50000,COLUMN(R:R)-1)))</f>
        <v>488</v>
      </c>
      <c r="Y38" s="2">
        <f ca="1">INDIRECT("E"&amp;(17*ROW(9:9)+ROW('(default)'!$E$3)-19+IF(COLUMN(S:S)&gt;19,50000,COLUMN(S:S)-1)))</f>
        <v>419</v>
      </c>
      <c r="AG38" s="1"/>
    </row>
    <row r="39" spans="2:33" x14ac:dyDescent="0.3">
      <c r="B39" s="5">
        <v>36</v>
      </c>
      <c r="C39" s="6">
        <v>448</v>
      </c>
      <c r="D39" s="6">
        <v>497</v>
      </c>
      <c r="E39" s="6">
        <v>494</v>
      </c>
      <c r="F39" s="6">
        <v>501</v>
      </c>
      <c r="I39" s="2">
        <f ca="1">INDIRECT("E"&amp;(17*ROW(10:10)+ROW('(default)'!$E$3)-19+IF(COLUMN(C:C)&gt;19,50000,COLUMN(C:C)-1)))</f>
        <v>395</v>
      </c>
      <c r="J39" s="2">
        <f ca="1">INDIRECT("E"&amp;(17*ROW(10:10)+ROW('(default)'!$E$3)-19+IF(COLUMN(D:D)&gt;19,50000,COLUMN(D:D)-1)))</f>
        <v>465</v>
      </c>
      <c r="K39" s="2">
        <f ca="1">INDIRECT("E"&amp;(17*ROW(10:10)+ROW('(default)'!$E$3)-19+IF(COLUMN(E:E)&gt;19,50000,COLUMN(E:E)-1)))</f>
        <v>529</v>
      </c>
      <c r="L39" s="2">
        <f ca="1">INDIRECT("E"&amp;(17*ROW(10:10)+ROW('(default)'!$E$3)-19+IF(COLUMN(F:F)&gt;19,50000,COLUMN(F:F)-1)))</f>
        <v>599</v>
      </c>
      <c r="M39" s="2">
        <f ca="1">INDIRECT("E"&amp;(17*ROW(10:10)+ROW('(default)'!$E$3)-19+IF(COLUMN(G:G)&gt;19,50000,COLUMN(G:G)-1)))</f>
        <v>674</v>
      </c>
      <c r="N39" s="2">
        <f ca="1">INDIRECT("E"&amp;(17*ROW(10:10)+ROW('(default)'!$E$3)-19+IF(COLUMN(H:H)&gt;19,50000,COLUMN(H:H)-1)))</f>
        <v>750</v>
      </c>
      <c r="O39" s="2">
        <f ca="1">INDIRECT("E"&amp;(17*ROW(10:10)+ROW('(default)'!$E$3)-19+IF(COLUMN(I:I)&gt;19,50000,COLUMN(I:I)-1)))</f>
        <v>814</v>
      </c>
      <c r="P39" s="2">
        <f ca="1">INDIRECT("E"&amp;(17*ROW(10:10)+ROW('(default)'!$E$3)-19+IF(COLUMN(J:J)&gt;19,50000,COLUMN(J:J)-1)))</f>
        <v>860</v>
      </c>
      <c r="Q39" s="2">
        <f ca="1">INDIRECT("E"&amp;(17*ROW(10:10)+ROW('(default)'!$E$3)-19+IF(COLUMN(K:K)&gt;19,50000,COLUMN(K:K)-1)))</f>
        <v>878</v>
      </c>
      <c r="R39" s="2">
        <f ca="1">INDIRECT("E"&amp;(17*ROW(10:10)+ROW('(default)'!$E$3)-19+IF(COLUMN(L:L)&gt;19,50000,COLUMN(L:L)-1)))</f>
        <v>866</v>
      </c>
      <c r="S39" s="2">
        <f ca="1">INDIRECT("E"&amp;(17*ROW(10:10)+ROW('(default)'!$E$3)-19+IF(COLUMN(M:M)&gt;19,50000,COLUMN(M:M)-1)))</f>
        <v>820</v>
      </c>
      <c r="T39" s="2">
        <f ca="1">INDIRECT("E"&amp;(17*ROW(10:10)+ROW('(default)'!$E$3)-19+IF(COLUMN(N:N)&gt;19,50000,COLUMN(N:N)-1)))</f>
        <v>750</v>
      </c>
      <c r="U39" s="2">
        <f ca="1">INDIRECT("E"&amp;(17*ROW(10:10)+ROW('(default)'!$E$3)-19+IF(COLUMN(O:O)&gt;19,50000,COLUMN(O:O)-1)))</f>
        <v>674</v>
      </c>
      <c r="V39" s="2">
        <f ca="1">INDIRECT("E"&amp;(17*ROW(10:10)+ROW('(default)'!$E$3)-19+IF(COLUMN(P:P)&gt;19,50000,COLUMN(P:P)-1)))</f>
        <v>599</v>
      </c>
      <c r="W39" s="2">
        <f ca="1">INDIRECT("E"&amp;(17*ROW(10:10)+ROW('(default)'!$E$3)-19+IF(COLUMN(Q:Q)&gt;19,50000,COLUMN(Q:Q)-1)))</f>
        <v>529</v>
      </c>
      <c r="X39" s="2">
        <f ca="1">INDIRECT("E"&amp;(17*ROW(10:10)+ROW('(default)'!$E$3)-19+IF(COLUMN(R:R)&gt;19,50000,COLUMN(R:R)-1)))</f>
        <v>465</v>
      </c>
      <c r="Y39" s="2">
        <f ca="1">INDIRECT("E"&amp;(17*ROW(10:10)+ROW('(default)'!$E$3)-19+IF(COLUMN(S:S)&gt;19,50000,COLUMN(S:S)-1)))</f>
        <v>395</v>
      </c>
      <c r="AG39" s="1"/>
    </row>
    <row r="40" spans="2:33" x14ac:dyDescent="0.3">
      <c r="B40" s="5">
        <v>37</v>
      </c>
      <c r="C40" s="6">
        <v>512</v>
      </c>
      <c r="D40" s="6">
        <v>555</v>
      </c>
      <c r="E40" s="6">
        <v>552</v>
      </c>
      <c r="F40" s="6">
        <v>563</v>
      </c>
      <c r="I40" s="2">
        <f ca="1">INDIRECT("E"&amp;(17*ROW(11:11)+ROW('(default)'!$E$3)-19+IF(COLUMN(C:C)&gt;19,50000,COLUMN(C:C)-1)))</f>
        <v>368</v>
      </c>
      <c r="J40" s="2">
        <f ca="1">INDIRECT("E"&amp;(17*ROW(11:11)+ROW('(default)'!$E$3)-19+IF(COLUMN(D:D)&gt;19,50000,COLUMN(D:D)-1)))</f>
        <v>430</v>
      </c>
      <c r="K40" s="2">
        <f ca="1">INDIRECT("E"&amp;(17*ROW(11:11)+ROW('(default)'!$E$3)-19+IF(COLUMN(E:E)&gt;19,50000,COLUMN(E:E)-1)))</f>
        <v>494</v>
      </c>
      <c r="L40" s="2">
        <f ca="1">INDIRECT("E"&amp;(17*ROW(11:11)+ROW('(default)'!$E$3)-19+IF(COLUMN(F:F)&gt;19,50000,COLUMN(F:F)-1)))</f>
        <v>558</v>
      </c>
      <c r="M40" s="2">
        <f ca="1">INDIRECT("E"&amp;(17*ROW(11:11)+ROW('(default)'!$E$3)-19+IF(COLUMN(G:G)&gt;19,50000,COLUMN(G:G)-1)))</f>
        <v>616</v>
      </c>
      <c r="N40" s="2">
        <f ca="1">INDIRECT("E"&amp;(17*ROW(11:11)+ROW('(default)'!$E$3)-19+IF(COLUMN(H:H)&gt;19,50000,COLUMN(H:H)-1)))</f>
        <v>674</v>
      </c>
      <c r="O40" s="2">
        <f ca="1">INDIRECT("E"&amp;(17*ROW(11:11)+ROW('(default)'!$E$3)-19+IF(COLUMN(I:I)&gt;19,50000,COLUMN(I:I)-1)))</f>
        <v>732</v>
      </c>
      <c r="P40" s="2">
        <f ca="1">INDIRECT("E"&amp;(17*ROW(11:11)+ROW('(default)'!$E$3)-19+IF(COLUMN(J:J)&gt;19,50000,COLUMN(J:J)-1)))</f>
        <v>767</v>
      </c>
      <c r="Q40" s="2">
        <f ca="1">INDIRECT("E"&amp;(17*ROW(11:11)+ROW('(default)'!$E$3)-19+IF(COLUMN(K:K)&gt;19,50000,COLUMN(K:K)-1)))</f>
        <v>779</v>
      </c>
      <c r="R40" s="2">
        <f ca="1">INDIRECT("E"&amp;(17*ROW(11:11)+ROW('(default)'!$E$3)-19+IF(COLUMN(L:L)&gt;19,50000,COLUMN(L:L)-1)))</f>
        <v>767</v>
      </c>
      <c r="S40" s="2">
        <f ca="1">INDIRECT("E"&amp;(17*ROW(11:11)+ROW('(default)'!$E$3)-19+IF(COLUMN(M:M)&gt;19,50000,COLUMN(M:M)-1)))</f>
        <v>732</v>
      </c>
      <c r="T40" s="2">
        <f ca="1">INDIRECT("E"&amp;(17*ROW(11:11)+ROW('(default)'!$E$3)-19+IF(COLUMN(N:N)&gt;19,50000,COLUMN(N:N)-1)))</f>
        <v>680</v>
      </c>
      <c r="U40" s="2">
        <f ca="1">INDIRECT("E"&amp;(17*ROW(11:11)+ROW('(default)'!$E$3)-19+IF(COLUMN(O:O)&gt;19,50000,COLUMN(O:O)-1)))</f>
        <v>616</v>
      </c>
      <c r="V40" s="2">
        <f ca="1">INDIRECT("E"&amp;(17*ROW(11:11)+ROW('(default)'!$E$3)-19+IF(COLUMN(P:P)&gt;19,50000,COLUMN(P:P)-1)))</f>
        <v>558</v>
      </c>
      <c r="W40" s="2">
        <f ca="1">INDIRECT("E"&amp;(17*ROW(11:11)+ROW('(default)'!$E$3)-19+IF(COLUMN(Q:Q)&gt;19,50000,COLUMN(Q:Q)-1)))</f>
        <v>494</v>
      </c>
      <c r="X40" s="2">
        <f ca="1">INDIRECT("E"&amp;(17*ROW(11:11)+ROW('(default)'!$E$3)-19+IF(COLUMN(R:R)&gt;19,50000,COLUMN(R:R)-1)))</f>
        <v>430</v>
      </c>
      <c r="Y40" s="2">
        <f ca="1">INDIRECT("E"&amp;(17*ROW(11:11)+ROW('(default)'!$E$3)-19+IF(COLUMN(S:S)&gt;19,50000,COLUMN(S:S)-1)))</f>
        <v>360</v>
      </c>
      <c r="AG40" s="1"/>
    </row>
    <row r="41" spans="2:33" x14ac:dyDescent="0.3">
      <c r="B41" s="5">
        <v>38</v>
      </c>
      <c r="C41" s="6">
        <v>575</v>
      </c>
      <c r="D41" s="6">
        <v>614</v>
      </c>
      <c r="E41" s="6">
        <v>610</v>
      </c>
      <c r="F41" s="6">
        <v>624</v>
      </c>
      <c r="I41" s="2">
        <f ca="1">INDIRECT("E"&amp;(17*ROW(12:12)+ROW('(default)'!$E$3)-19+IF(COLUMN(C:C)&gt;19,50000,COLUMN(C:C)-1)))</f>
        <v>335</v>
      </c>
      <c r="J41" s="2">
        <f ca="1">INDIRECT("E"&amp;(17*ROW(12:12)+ROW('(default)'!$E$3)-19+IF(COLUMN(D:D)&gt;19,50000,COLUMN(D:D)-1)))</f>
        <v>389</v>
      </c>
      <c r="K41" s="2">
        <f ca="1">INDIRECT("E"&amp;(17*ROW(12:12)+ROW('(default)'!$E$3)-19+IF(COLUMN(E:E)&gt;19,50000,COLUMN(E:E)-1)))</f>
        <v>453</v>
      </c>
      <c r="L41" s="2">
        <f ca="1">INDIRECT("E"&amp;(17*ROW(12:12)+ROW('(default)'!$E$3)-19+IF(COLUMN(F:F)&gt;19,50000,COLUMN(F:F)-1)))</f>
        <v>506</v>
      </c>
      <c r="M41" s="2">
        <f ca="1">INDIRECT("E"&amp;(17*ROW(12:12)+ROW('(default)'!$E$3)-19+IF(COLUMN(G:G)&gt;19,50000,COLUMN(G:G)-1)))</f>
        <v>558</v>
      </c>
      <c r="N41" s="2">
        <f ca="1">INDIRECT("E"&amp;(17*ROW(12:12)+ROW('(default)'!$E$3)-19+IF(COLUMN(H:H)&gt;19,50000,COLUMN(H:H)-1)))</f>
        <v>605</v>
      </c>
      <c r="O41" s="2">
        <f ca="1">INDIRECT("E"&amp;(17*ROW(12:12)+ROW('(default)'!$E$3)-19+IF(COLUMN(I:I)&gt;19,50000,COLUMN(I:I)-1)))</f>
        <v>645</v>
      </c>
      <c r="P41" s="2">
        <f ca="1">INDIRECT("E"&amp;(17*ROW(12:12)+ROW('(default)'!$E$3)-19+IF(COLUMN(J:J)&gt;19,50000,COLUMN(J:J)-1)))</f>
        <v>668</v>
      </c>
      <c r="Q41" s="2">
        <f ca="1">INDIRECT("E"&amp;(17*ROW(12:12)+ROW('(default)'!$E$3)-19+IF(COLUMN(K:K)&gt;19,50000,COLUMN(K:K)-1)))</f>
        <v>680</v>
      </c>
      <c r="R41" s="2">
        <f ca="1">INDIRECT("E"&amp;(17*ROW(12:12)+ROW('(default)'!$E$3)-19+IF(COLUMN(L:L)&gt;19,50000,COLUMN(L:L)-1)))</f>
        <v>668</v>
      </c>
      <c r="S41" s="2">
        <f ca="1">INDIRECT("E"&amp;(17*ROW(12:12)+ROW('(default)'!$E$3)-19+IF(COLUMN(M:M)&gt;19,50000,COLUMN(M:M)-1)))</f>
        <v>645</v>
      </c>
      <c r="T41" s="2">
        <f ca="1">INDIRECT("E"&amp;(17*ROW(12:12)+ROW('(default)'!$E$3)-19+IF(COLUMN(N:N)&gt;19,50000,COLUMN(N:N)-1)))</f>
        <v>605</v>
      </c>
      <c r="U41" s="2">
        <f ca="1">INDIRECT("E"&amp;(17*ROW(12:12)+ROW('(default)'!$E$3)-19+IF(COLUMN(O:O)&gt;19,50000,COLUMN(O:O)-1)))</f>
        <v>558</v>
      </c>
      <c r="V41" s="2">
        <f ca="1">INDIRECT("E"&amp;(17*ROW(12:12)+ROW('(default)'!$E$3)-19+IF(COLUMN(P:P)&gt;19,50000,COLUMN(P:P)-1)))</f>
        <v>512</v>
      </c>
      <c r="W41" s="2">
        <f ca="1">INDIRECT("E"&amp;(17*ROW(12:12)+ROW('(default)'!$E$3)-19+IF(COLUMN(Q:Q)&gt;19,50000,COLUMN(Q:Q)-1)))</f>
        <v>453</v>
      </c>
      <c r="X41" s="2">
        <f ca="1">INDIRECT("E"&amp;(17*ROW(12:12)+ROW('(default)'!$E$3)-19+IF(COLUMN(R:R)&gt;19,50000,COLUMN(R:R)-1)))</f>
        <v>389</v>
      </c>
      <c r="Y41" s="2">
        <f ca="1">INDIRECT("E"&amp;(17*ROW(12:12)+ROW('(default)'!$E$3)-19+IF(COLUMN(S:S)&gt;19,50000,COLUMN(S:S)-1)))</f>
        <v>335</v>
      </c>
      <c r="AG41" s="1"/>
    </row>
    <row r="42" spans="2:33" x14ac:dyDescent="0.3">
      <c r="B42" s="5">
        <v>39</v>
      </c>
      <c r="C42" s="6">
        <v>639</v>
      </c>
      <c r="D42" s="6">
        <v>672</v>
      </c>
      <c r="E42" s="6">
        <v>668</v>
      </c>
      <c r="F42" s="6">
        <v>685</v>
      </c>
      <c r="I42" s="11">
        <f ca="1">INDIRECT("E"&amp;(17*ROW(13:13)+ROW('(default)'!$E$3)-19+IF(COLUMN(C:C)&gt;19,50000,COLUMN(C:C)-1)))</f>
        <v>304</v>
      </c>
      <c r="J42" s="2">
        <f ca="1">INDIRECT("E"&amp;(17*ROW(13:13)+ROW('(default)'!$E$3)-19+IF(COLUMN(D:D)&gt;19,50000,COLUMN(D:D)-1)))</f>
        <v>343</v>
      </c>
      <c r="K42" s="2">
        <f ca="1">INDIRECT("E"&amp;(17*ROW(13:13)+ROW('(default)'!$E$3)-19+IF(COLUMN(E:E)&gt;19,50000,COLUMN(E:E)-1)))</f>
        <v>399</v>
      </c>
      <c r="L42" s="2">
        <f ca="1">INDIRECT("E"&amp;(17*ROW(13:13)+ROW('(default)'!$E$3)-19+IF(COLUMN(F:F)&gt;19,50000,COLUMN(F:F)-1)))</f>
        <v>451</v>
      </c>
      <c r="M42" s="2">
        <f ca="1">INDIRECT("E"&amp;(17*ROW(13:13)+ROW('(default)'!$E$3)-19+IF(COLUMN(G:G)&gt;19,50000,COLUMN(G:G)-1)))</f>
        <v>496</v>
      </c>
      <c r="N42" s="2">
        <f ca="1">INDIRECT("E"&amp;(17*ROW(13:13)+ROW('(default)'!$E$3)-19+IF(COLUMN(H:H)&gt;19,50000,COLUMN(H:H)-1)))</f>
        <v>535</v>
      </c>
      <c r="O42" s="2">
        <f ca="1">INDIRECT("E"&amp;(17*ROW(13:13)+ROW('(default)'!$E$3)-19+IF(COLUMN(I:I)&gt;19,50000,COLUMN(I:I)-1)))</f>
        <v>560</v>
      </c>
      <c r="P42" s="2">
        <f ca="1">INDIRECT("E"&amp;(17*ROW(13:13)+ROW('(default)'!$E$3)-19+IF(COLUMN(J:J)&gt;19,50000,COLUMN(J:J)-1)))</f>
        <v>583</v>
      </c>
      <c r="Q42" s="2">
        <f ca="1">INDIRECT("E"&amp;(17*ROW(13:13)+ROW('(default)'!$E$3)-19+IF(COLUMN(K:K)&gt;19,50000,COLUMN(K:K)-1)))</f>
        <v>587</v>
      </c>
      <c r="R42" s="2">
        <f ca="1">INDIRECT("E"&amp;(17*ROW(13:13)+ROW('(default)'!$E$3)-19+IF(COLUMN(L:L)&gt;19,50000,COLUMN(L:L)-1)))</f>
        <v>583</v>
      </c>
      <c r="S42" s="2">
        <f ca="1">INDIRECT("E"&amp;(17*ROW(13:13)+ROW('(default)'!$E$3)-19+IF(COLUMN(M:M)&gt;19,50000,COLUMN(M:M)-1)))</f>
        <v>560</v>
      </c>
      <c r="T42" s="2">
        <f ca="1">INDIRECT("E"&amp;(17*ROW(13:13)+ROW('(default)'!$E$3)-19+IF(COLUMN(N:N)&gt;19,50000,COLUMN(N:N)-1)))</f>
        <v>535</v>
      </c>
      <c r="U42" s="2">
        <f ca="1">INDIRECT("E"&amp;(17*ROW(13:13)+ROW('(default)'!$E$3)-19+IF(COLUMN(O:O)&gt;19,50000,COLUMN(O:O)-1)))</f>
        <v>496</v>
      </c>
      <c r="V42" s="2">
        <f ca="1">INDIRECT("E"&amp;(17*ROW(13:13)+ROW('(default)'!$E$3)-19+IF(COLUMN(P:P)&gt;19,50000,COLUMN(P:P)-1)))</f>
        <v>450</v>
      </c>
      <c r="W42" s="2">
        <f ca="1">INDIRECT("E"&amp;(17*ROW(13:13)+ROW('(default)'!$E$3)-19+IF(COLUMN(Q:Q)&gt;19,50000,COLUMN(Q:Q)-1)))</f>
        <v>399</v>
      </c>
      <c r="X42" s="2">
        <f ca="1">INDIRECT("E"&amp;(17*ROW(13:13)+ROW('(default)'!$E$3)-19+IF(COLUMN(R:R)&gt;19,50000,COLUMN(R:R)-1)))</f>
        <v>343</v>
      </c>
      <c r="Y42" s="11">
        <f ca="1">INDIRECT("E"&amp;(17*ROW(13:13)+ROW('(default)'!$E$3)-19+IF(COLUMN(S:S)&gt;19,50000,COLUMN(S:S)-1)))</f>
        <v>304</v>
      </c>
      <c r="AG42" s="1"/>
    </row>
    <row r="43" spans="2:33" x14ac:dyDescent="0.3">
      <c r="B43" s="5">
        <v>40</v>
      </c>
      <c r="C43" s="6">
        <v>693</v>
      </c>
      <c r="D43" s="6">
        <v>725</v>
      </c>
      <c r="E43" s="6">
        <v>721</v>
      </c>
      <c r="F43" s="6">
        <v>737</v>
      </c>
      <c r="AG43" s="1"/>
    </row>
    <row r="44" spans="2:33" x14ac:dyDescent="0.3">
      <c r="B44" s="5">
        <v>41</v>
      </c>
      <c r="C44" s="6">
        <v>735</v>
      </c>
      <c r="D44" s="6">
        <v>766</v>
      </c>
      <c r="E44" s="6">
        <v>761</v>
      </c>
      <c r="F44" s="6">
        <v>777</v>
      </c>
      <c r="H44" t="s">
        <v>3</v>
      </c>
      <c r="I44" s="13">
        <f ca="1">INDIRECT("F"&amp;(17*ROW(1:1)+ROW('(default)'!$F$3)-19+IF(COLUMN(C:C)&gt;19,50000,COLUMN(C:C)-1)))</f>
        <v>317</v>
      </c>
      <c r="J44" s="2">
        <f ca="1">INDIRECT("F"&amp;(17*ROW(1:1)+ROW('(default)'!$F$3)-19+IF(COLUMN(D:D)&gt;19,50000,COLUMN(D:D)-1)))</f>
        <v>358</v>
      </c>
      <c r="K44" s="2">
        <f ca="1">INDIRECT("F"&amp;(17*ROW(1:1)+ROW('(default)'!$F$3)-19+IF(COLUMN(E:E)&gt;19,50000,COLUMN(E:E)-1)))</f>
        <v>406</v>
      </c>
      <c r="L44" s="2">
        <f ca="1">INDIRECT("F"&amp;(17*ROW(1:1)+ROW('(default)'!$F$3)-19+IF(COLUMN(F:F)&gt;19,50000,COLUMN(F:F)-1)))</f>
        <v>471</v>
      </c>
      <c r="M44" s="2">
        <f ca="1">INDIRECT("F"&amp;(17*ROW(1:1)+ROW('(default)'!$F$3)-19+IF(COLUMN(G:G)&gt;19,50000,COLUMN(G:G)-1)))</f>
        <v>508</v>
      </c>
      <c r="N44" s="2">
        <f ca="1">INDIRECT("F"&amp;(17*ROW(1:1)+ROW('(default)'!$F$3)-19+IF(COLUMN(H:H)&gt;19,50000,COLUMN(H:H)-1)))</f>
        <v>546</v>
      </c>
      <c r="O44" s="2">
        <f ca="1">INDIRECT("F"&amp;(17*ROW(1:1)+ROW('(default)'!$F$3)-19+IF(COLUMN(I:I)&gt;19,50000,COLUMN(I:I)-1)))</f>
        <v>576</v>
      </c>
      <c r="P44" s="2">
        <f ca="1">INDIRECT("F"&amp;(17*ROW(1:1)+ROW('(default)'!$F$3)-19+IF(COLUMN(J:J)&gt;19,50000,COLUMN(J:J)-1)))</f>
        <v>593</v>
      </c>
      <c r="Q44" s="2">
        <f ca="1">INDIRECT("F"&amp;(17*ROW(1:1)+ROW('(default)'!$F$3)-19+IF(COLUMN(K:K)&gt;19,50000,COLUMN(K:K)-1)))</f>
        <v>590</v>
      </c>
      <c r="R44" s="2">
        <f ca="1">INDIRECT("F"&amp;(17*ROW(1:1)+ROW('(default)'!$F$3)-19+IF(COLUMN(L:L)&gt;19,50000,COLUMN(L:L)-1)))</f>
        <v>593</v>
      </c>
      <c r="S44" s="2">
        <f ca="1">INDIRECT("F"&amp;(17*ROW(1:1)+ROW('(default)'!$F$3)-19+IF(COLUMN(M:M)&gt;19,50000,COLUMN(M:M)-1)))</f>
        <v>573</v>
      </c>
      <c r="T44" s="2">
        <f ca="1">INDIRECT("F"&amp;(17*ROW(1:1)+ROW('(default)'!$F$3)-19+IF(COLUMN(N:N)&gt;19,50000,COLUMN(N:N)-1)))</f>
        <v>546</v>
      </c>
      <c r="U44" s="2">
        <f ca="1">INDIRECT("F"&amp;(17*ROW(1:1)+ROW('(default)'!$F$3)-19+IF(COLUMN(O:O)&gt;19,50000,COLUMN(O:O)-1)))</f>
        <v>508</v>
      </c>
      <c r="V44" s="2">
        <f ca="1">INDIRECT("F"&amp;(17*ROW(1:1)+ROW('(default)'!$F$3)-19+IF(COLUMN(P:P)&gt;19,50000,COLUMN(P:P)-1)))</f>
        <v>467</v>
      </c>
      <c r="W44" s="2">
        <f ca="1">INDIRECT("F"&amp;(17*ROW(1:1)+ROW('(default)'!$F$3)-19+IF(COLUMN(Q:Q)&gt;19,50000,COLUMN(Q:Q)-1)))</f>
        <v>419</v>
      </c>
      <c r="X44" s="2">
        <f ca="1">INDIRECT("F"&amp;(17*ROW(1:1)+ROW('(default)'!$F$3)-19+IF(COLUMN(R:R)&gt;19,50000,COLUMN(R:R)-1)))</f>
        <v>358</v>
      </c>
      <c r="Y44" s="13">
        <f ca="1">INDIRECT("F"&amp;(17*ROW(1:1)+ROW('(default)'!$F$3)-19+IF(COLUMN(S:S)&gt;19,50000,COLUMN(S:S)-1)))</f>
        <v>317</v>
      </c>
      <c r="AG44" s="1"/>
    </row>
    <row r="45" spans="2:33" x14ac:dyDescent="0.3">
      <c r="B45" s="5">
        <v>42</v>
      </c>
      <c r="C45" s="6">
        <v>746</v>
      </c>
      <c r="D45" s="6">
        <v>777</v>
      </c>
      <c r="E45" s="6">
        <v>773</v>
      </c>
      <c r="F45" s="6">
        <v>788</v>
      </c>
      <c r="I45" s="2">
        <f ca="1">INDIRECT("F"&amp;(17*ROW(2:2)+ROW('(default)'!$F$3)-19+IF(COLUMN(C:C)&gt;19,50000,COLUMN(C:C)-1)))</f>
        <v>344</v>
      </c>
      <c r="J45" s="2">
        <f ca="1">INDIRECT("F"&amp;(17*ROW(2:2)+ROW('(default)'!$F$3)-19+IF(COLUMN(D:D)&gt;19,50000,COLUMN(D:D)-1)))</f>
        <v>399</v>
      </c>
      <c r="K45" s="2">
        <f ca="1">INDIRECT("F"&amp;(17*ROW(2:2)+ROW('(default)'!$F$3)-19+IF(COLUMN(E:E)&gt;19,50000,COLUMN(E:E)-1)))</f>
        <v>460</v>
      </c>
      <c r="L45" s="2">
        <f ca="1">INDIRECT("F"&amp;(17*ROW(2:2)+ROW('(default)'!$F$3)-19+IF(COLUMN(F:F)&gt;19,50000,COLUMN(F:F)-1)))</f>
        <v>512</v>
      </c>
      <c r="M45" s="2">
        <f ca="1">INDIRECT("F"&amp;(17*ROW(2:2)+ROW('(default)'!$F$3)-19+IF(COLUMN(G:G)&gt;19,50000,COLUMN(G:G)-1)))</f>
        <v>563</v>
      </c>
      <c r="N45" s="2">
        <f ca="1">INDIRECT("F"&amp;(17*ROW(2:2)+ROW('(default)'!$F$3)-19+IF(COLUMN(H:H)&gt;19,50000,COLUMN(H:H)-1)))</f>
        <v>614</v>
      </c>
      <c r="O45" s="2">
        <f ca="1">INDIRECT("F"&amp;(17*ROW(2:2)+ROW('(default)'!$F$3)-19+IF(COLUMN(I:I)&gt;19,50000,COLUMN(I:I)-1)))</f>
        <v>644</v>
      </c>
      <c r="P45" s="2">
        <f ca="1">INDIRECT("F"&amp;(17*ROW(2:2)+ROW('(default)'!$F$3)-19+IF(COLUMN(J:J)&gt;19,50000,COLUMN(J:J)-1)))</f>
        <v>675</v>
      </c>
      <c r="Q45" s="2">
        <f ca="1">INDIRECT("F"&amp;(17*ROW(2:2)+ROW('(default)'!$F$3)-19+IF(COLUMN(K:K)&gt;19,50000,COLUMN(K:K)-1)))</f>
        <v>685</v>
      </c>
      <c r="R45" s="2">
        <f ca="1">INDIRECT("F"&amp;(17*ROW(2:2)+ROW('(default)'!$F$3)-19+IF(COLUMN(L:L)&gt;19,50000,COLUMN(L:L)-1)))</f>
        <v>675</v>
      </c>
      <c r="S45" s="2">
        <f ca="1">INDIRECT("F"&amp;(17*ROW(2:2)+ROW('(default)'!$F$3)-19+IF(COLUMN(M:M)&gt;19,50000,COLUMN(M:M)-1)))</f>
        <v>655</v>
      </c>
      <c r="T45" s="2">
        <f ca="1">INDIRECT("F"&amp;(17*ROW(2:2)+ROW('(default)'!$F$3)-19+IF(COLUMN(N:N)&gt;19,50000,COLUMN(N:N)-1)))</f>
        <v>614</v>
      </c>
      <c r="U45" s="2">
        <f ca="1">INDIRECT("F"&amp;(17*ROW(2:2)+ROW('(default)'!$F$3)-19+IF(COLUMN(O:O)&gt;19,50000,COLUMN(O:O)-1)))</f>
        <v>563</v>
      </c>
      <c r="V45" s="2">
        <f ca="1">INDIRECT("F"&amp;(17*ROW(2:2)+ROW('(default)'!$F$3)-19+IF(COLUMN(P:P)&gt;19,50000,COLUMN(P:P)-1)))</f>
        <v>522</v>
      </c>
      <c r="W45" s="2">
        <f ca="1">INDIRECT("F"&amp;(17*ROW(2:2)+ROW('(default)'!$F$3)-19+IF(COLUMN(Q:Q)&gt;19,50000,COLUMN(Q:Q)-1)))</f>
        <v>460</v>
      </c>
      <c r="X45" s="2">
        <f ca="1">INDIRECT("F"&amp;(17*ROW(2:2)+ROW('(default)'!$F$3)-19+IF(COLUMN(R:R)&gt;19,50000,COLUMN(R:R)-1)))</f>
        <v>399</v>
      </c>
      <c r="Y45" s="2">
        <f ca="1">INDIRECT("F"&amp;(17*ROW(2:2)+ROW('(default)'!$F$3)-19+IF(COLUMN(S:S)&gt;19,50000,COLUMN(S:S)-1)))</f>
        <v>344</v>
      </c>
      <c r="AG45" s="1"/>
    </row>
    <row r="46" spans="2:33" x14ac:dyDescent="0.3">
      <c r="B46" s="5">
        <v>43</v>
      </c>
      <c r="C46" s="6">
        <v>735</v>
      </c>
      <c r="D46" s="6">
        <v>766</v>
      </c>
      <c r="E46" s="6">
        <v>761</v>
      </c>
      <c r="F46" s="6">
        <v>777</v>
      </c>
      <c r="I46" s="2">
        <f ca="1">INDIRECT("F"&amp;(17*ROW(3:3)+ROW('(default)'!$F$3)-19+IF(COLUMN(C:C)&gt;19,50000,COLUMN(C:C)-1)))</f>
        <v>372</v>
      </c>
      <c r="J46" s="2">
        <f ca="1">INDIRECT("F"&amp;(17*ROW(3:3)+ROW('(default)'!$F$3)-19+IF(COLUMN(D:D)&gt;19,50000,COLUMN(D:D)-1)))</f>
        <v>440</v>
      </c>
      <c r="K46" s="2">
        <f ca="1">INDIRECT("F"&amp;(17*ROW(3:3)+ROW('(default)'!$F$3)-19+IF(COLUMN(E:E)&gt;19,50000,COLUMN(E:E)-1)))</f>
        <v>501</v>
      </c>
      <c r="L46" s="2">
        <f ca="1">INDIRECT("F"&amp;(17*ROW(3:3)+ROW('(default)'!$F$3)-19+IF(COLUMN(F:F)&gt;19,50000,COLUMN(F:F)-1)))</f>
        <v>563</v>
      </c>
      <c r="M46" s="2">
        <f ca="1">INDIRECT("F"&amp;(17*ROW(3:3)+ROW('(default)'!$F$3)-19+IF(COLUMN(G:G)&gt;19,50000,COLUMN(G:G)-1)))</f>
        <v>624</v>
      </c>
      <c r="N46" s="2">
        <f ca="1">INDIRECT("F"&amp;(17*ROW(3:3)+ROW('(default)'!$F$3)-19+IF(COLUMN(H:H)&gt;19,50000,COLUMN(H:H)-1)))</f>
        <v>685</v>
      </c>
      <c r="O46" s="2">
        <f ca="1">INDIRECT("F"&amp;(17*ROW(3:3)+ROW('(default)'!$F$3)-19+IF(COLUMN(I:I)&gt;19,50000,COLUMN(I:I)-1)))</f>
        <v>737</v>
      </c>
      <c r="P46" s="2">
        <f ca="1">INDIRECT("F"&amp;(17*ROW(3:3)+ROW('(default)'!$F$3)-19+IF(COLUMN(J:J)&gt;19,50000,COLUMN(J:J)-1)))</f>
        <v>777</v>
      </c>
      <c r="Q46" s="2">
        <f ca="1">INDIRECT("F"&amp;(17*ROW(3:3)+ROW('(default)'!$F$3)-19+IF(COLUMN(K:K)&gt;19,50000,COLUMN(K:K)-1)))</f>
        <v>788</v>
      </c>
      <c r="R46" s="2">
        <f ca="1">INDIRECT("F"&amp;(17*ROW(3:3)+ROW('(default)'!$F$3)-19+IF(COLUMN(L:L)&gt;19,50000,COLUMN(L:L)-1)))</f>
        <v>777</v>
      </c>
      <c r="S46" s="2">
        <f ca="1">INDIRECT("F"&amp;(17*ROW(3:3)+ROW('(default)'!$F$3)-19+IF(COLUMN(M:M)&gt;19,50000,COLUMN(M:M)-1)))</f>
        <v>737</v>
      </c>
      <c r="T46" s="2">
        <f ca="1">INDIRECT("F"&amp;(17*ROW(3:3)+ROW('(default)'!$F$3)-19+IF(COLUMN(N:N)&gt;19,50000,COLUMN(N:N)-1)))</f>
        <v>685</v>
      </c>
      <c r="U46" s="2">
        <f ca="1">INDIRECT("F"&amp;(17*ROW(3:3)+ROW('(default)'!$F$3)-19+IF(COLUMN(O:O)&gt;19,50000,COLUMN(O:O)-1)))</f>
        <v>624</v>
      </c>
      <c r="V46" s="2">
        <f ca="1">INDIRECT("F"&amp;(17*ROW(3:3)+ROW('(default)'!$F$3)-19+IF(COLUMN(P:P)&gt;19,50000,COLUMN(P:P)-1)))</f>
        <v>563</v>
      </c>
      <c r="W46" s="2">
        <f ca="1">INDIRECT("F"&amp;(17*ROW(3:3)+ROW('(default)'!$F$3)-19+IF(COLUMN(Q:Q)&gt;19,50000,COLUMN(Q:Q)-1)))</f>
        <v>501</v>
      </c>
      <c r="X46" s="2">
        <f ca="1">INDIRECT("F"&amp;(17*ROW(3:3)+ROW('(default)'!$F$3)-19+IF(COLUMN(R:R)&gt;19,50000,COLUMN(R:R)-1)))</f>
        <v>440</v>
      </c>
      <c r="Y46" s="2">
        <f ca="1">INDIRECT("F"&amp;(17*ROW(3:3)+ROW('(default)'!$F$3)-19+IF(COLUMN(S:S)&gt;19,50000,COLUMN(S:S)-1)))</f>
        <v>372</v>
      </c>
      <c r="AG46" s="1"/>
    </row>
    <row r="47" spans="2:33" x14ac:dyDescent="0.3">
      <c r="B47" s="5">
        <v>44</v>
      </c>
      <c r="C47" s="6">
        <v>693</v>
      </c>
      <c r="D47" s="6">
        <v>731</v>
      </c>
      <c r="E47" s="6">
        <v>727</v>
      </c>
      <c r="F47" s="6">
        <v>737</v>
      </c>
      <c r="I47" s="2">
        <f ca="1">INDIRECT("F"&amp;(17*ROW(4:4)+ROW('(default)'!$F$3)-19+IF(COLUMN(C:C)&gt;19,50000,COLUMN(C:C)-1)))</f>
        <v>402</v>
      </c>
      <c r="J47" s="2">
        <f ca="1">INDIRECT("F"&amp;(17*ROW(4:4)+ROW('(default)'!$F$3)-19+IF(COLUMN(D:D)&gt;19,50000,COLUMN(D:D)-1)))</f>
        <v>471</v>
      </c>
      <c r="K47" s="2">
        <f ca="1">INDIRECT("F"&amp;(17*ROW(4:4)+ROW('(default)'!$F$3)-19+IF(COLUMN(E:E)&gt;19,50000,COLUMN(E:E)-1)))</f>
        <v>532</v>
      </c>
      <c r="L47" s="2">
        <f ca="1">INDIRECT("F"&amp;(17*ROW(4:4)+ROW('(default)'!$F$3)-19+IF(COLUMN(F:F)&gt;19,50000,COLUMN(F:F)-1)))</f>
        <v>604</v>
      </c>
      <c r="M47" s="2">
        <f ca="1">INDIRECT("F"&amp;(17*ROW(4:4)+ROW('(default)'!$F$3)-19+IF(COLUMN(G:G)&gt;19,50000,COLUMN(G:G)-1)))</f>
        <v>675</v>
      </c>
      <c r="N47" s="2">
        <f ca="1">INDIRECT("F"&amp;(17*ROW(4:4)+ROW('(default)'!$F$3)-19+IF(COLUMN(H:H)&gt;19,50000,COLUMN(H:H)-1)))</f>
        <v>757</v>
      </c>
      <c r="O47" s="2">
        <f ca="1">INDIRECT("F"&amp;(17*ROW(4:4)+ROW('(default)'!$F$3)-19+IF(COLUMN(I:I)&gt;19,50000,COLUMN(I:I)-1)))</f>
        <v>818</v>
      </c>
      <c r="P47" s="2">
        <f ca="1">INDIRECT("F"&amp;(17*ROW(4:4)+ROW('(default)'!$F$3)-19+IF(COLUMN(J:J)&gt;19,50000,COLUMN(J:J)-1)))</f>
        <v>870</v>
      </c>
      <c r="Q47" s="2">
        <f ca="1">INDIRECT("F"&amp;(17*ROW(4:4)+ROW('(default)'!$F$3)-19+IF(COLUMN(K:K)&gt;19,50000,COLUMN(K:K)-1)))</f>
        <v>880</v>
      </c>
      <c r="R47" s="2">
        <f ca="1">INDIRECT("F"&amp;(17*ROW(4:4)+ROW('(default)'!$F$3)-19+IF(COLUMN(L:L)&gt;19,50000,COLUMN(L:L)-1)))</f>
        <v>870</v>
      </c>
      <c r="S47" s="2">
        <f ca="1">INDIRECT("F"&amp;(17*ROW(4:4)+ROW('(default)'!$F$3)-19+IF(COLUMN(M:M)&gt;19,50000,COLUMN(M:M)-1)))</f>
        <v>829</v>
      </c>
      <c r="T47" s="2">
        <f ca="1">INDIRECT("F"&amp;(17*ROW(4:4)+ROW('(default)'!$F$3)-19+IF(COLUMN(N:N)&gt;19,50000,COLUMN(N:N)-1)))</f>
        <v>757</v>
      </c>
      <c r="U47" s="2">
        <f ca="1">INDIRECT("F"&amp;(17*ROW(4:4)+ROW('(default)'!$F$3)-19+IF(COLUMN(O:O)&gt;19,50000,COLUMN(O:O)-1)))</f>
        <v>685</v>
      </c>
      <c r="V47" s="2">
        <f ca="1">INDIRECT("F"&amp;(17*ROW(4:4)+ROW('(default)'!$F$3)-19+IF(COLUMN(P:P)&gt;19,50000,COLUMN(P:P)-1)))</f>
        <v>604</v>
      </c>
      <c r="W47" s="2">
        <f ca="1">INDIRECT("F"&amp;(17*ROW(4:4)+ROW('(default)'!$F$3)-19+IF(COLUMN(Q:Q)&gt;19,50000,COLUMN(Q:Q)-1)))</f>
        <v>542</v>
      </c>
      <c r="X47" s="2">
        <f ca="1">INDIRECT("F"&amp;(17*ROW(4:4)+ROW('(default)'!$F$3)-19+IF(COLUMN(R:R)&gt;19,50000,COLUMN(R:R)-1)))</f>
        <v>471</v>
      </c>
      <c r="Y47" s="2">
        <f ca="1">INDIRECT("F"&amp;(17*ROW(4:4)+ROW('(default)'!$F$3)-19+IF(COLUMN(S:S)&gt;19,50000,COLUMN(S:S)-1)))</f>
        <v>402</v>
      </c>
      <c r="AG47" s="1"/>
    </row>
    <row r="48" spans="2:33" x14ac:dyDescent="0.3">
      <c r="B48" s="5">
        <v>45</v>
      </c>
      <c r="C48" s="6">
        <v>639</v>
      </c>
      <c r="D48" s="6">
        <v>678</v>
      </c>
      <c r="E48" s="6">
        <v>668</v>
      </c>
      <c r="F48" s="6">
        <v>685</v>
      </c>
      <c r="I48" s="2">
        <f ca="1">INDIRECT("F"&amp;(17*ROW(5:5)+ROW('(default)'!$F$3)-19+IF(COLUMN(C:C)&gt;19,50000,COLUMN(C:C)-1)))</f>
        <v>423</v>
      </c>
      <c r="J48" s="2">
        <f ca="1">INDIRECT("F"&amp;(17*ROW(5:5)+ROW('(default)'!$F$3)-19+IF(COLUMN(D:D)&gt;19,50000,COLUMN(D:D)-1)))</f>
        <v>491</v>
      </c>
      <c r="K48" s="2">
        <f ca="1">INDIRECT("F"&amp;(17*ROW(5:5)+ROW('(default)'!$F$3)-19+IF(COLUMN(E:E)&gt;19,50000,COLUMN(E:E)-1)))</f>
        <v>563</v>
      </c>
      <c r="L48" s="2">
        <f ca="1">INDIRECT("F"&amp;(17*ROW(5:5)+ROW('(default)'!$F$3)-19+IF(COLUMN(F:F)&gt;19,50000,COLUMN(F:F)-1)))</f>
        <v>644</v>
      </c>
      <c r="M48" s="2">
        <f ca="1">INDIRECT("F"&amp;(17*ROW(5:5)+ROW('(default)'!$F$3)-19+IF(COLUMN(G:G)&gt;19,50000,COLUMN(G:G)-1)))</f>
        <v>726</v>
      </c>
      <c r="N48" s="2">
        <f ca="1">INDIRECT("F"&amp;(17*ROW(5:5)+ROW('(default)'!$F$3)-19+IF(COLUMN(H:H)&gt;19,50000,COLUMN(H:H)-1)))</f>
        <v>818</v>
      </c>
      <c r="O48" s="2">
        <f ca="1">INDIRECT("F"&amp;(17*ROW(5:5)+ROW('(default)'!$F$3)-19+IF(COLUMN(I:I)&gt;19,50000,COLUMN(I:I)-1)))</f>
        <v>890</v>
      </c>
      <c r="P48" s="2">
        <f ca="1">INDIRECT("F"&amp;(17*ROW(5:5)+ROW('(default)'!$F$3)-19+IF(COLUMN(J:J)&gt;19,50000,COLUMN(J:J)-1)))</f>
        <v>951</v>
      </c>
      <c r="Q48" s="2">
        <f ca="1">INDIRECT("F"&amp;(17*ROW(5:5)+ROW('(default)'!$F$3)-19+IF(COLUMN(K:K)&gt;19,50000,COLUMN(K:K)-1)))</f>
        <v>962</v>
      </c>
      <c r="R48" s="2">
        <f ca="1">INDIRECT("F"&amp;(17*ROW(5:5)+ROW('(default)'!$F$3)-19+IF(COLUMN(L:L)&gt;19,50000,COLUMN(L:L)-1)))</f>
        <v>951</v>
      </c>
      <c r="S48" s="2">
        <f ca="1">INDIRECT("F"&amp;(17*ROW(5:5)+ROW('(default)'!$F$3)-19+IF(COLUMN(M:M)&gt;19,50000,COLUMN(M:M)-1)))</f>
        <v>910</v>
      </c>
      <c r="T48" s="2">
        <f ca="1">INDIRECT("F"&amp;(17*ROW(5:5)+ROW('(default)'!$F$3)-19+IF(COLUMN(N:N)&gt;19,50000,COLUMN(N:N)-1)))</f>
        <v>829</v>
      </c>
      <c r="U48" s="2">
        <f ca="1">INDIRECT("F"&amp;(17*ROW(5:5)+ROW('(default)'!$F$3)-19+IF(COLUMN(O:O)&gt;19,50000,COLUMN(O:O)-1)))</f>
        <v>737</v>
      </c>
      <c r="V48" s="2">
        <f ca="1">INDIRECT("F"&amp;(17*ROW(5:5)+ROW('(default)'!$F$3)-19+IF(COLUMN(P:P)&gt;19,50000,COLUMN(P:P)-1)))</f>
        <v>644</v>
      </c>
      <c r="W48" s="2">
        <f ca="1">INDIRECT("F"&amp;(17*ROW(5:5)+ROW('(default)'!$F$3)-19+IF(COLUMN(Q:Q)&gt;19,50000,COLUMN(Q:Q)-1)))</f>
        <v>563</v>
      </c>
      <c r="X48" s="2">
        <f ca="1">INDIRECT("F"&amp;(17*ROW(5:5)+ROW('(default)'!$F$3)-19+IF(COLUMN(R:R)&gt;19,50000,COLUMN(R:R)-1)))</f>
        <v>491</v>
      </c>
      <c r="Y48" s="2">
        <f ca="1">INDIRECT("F"&amp;(17*ROW(5:5)+ROW('(default)'!$F$3)-19+IF(COLUMN(S:S)&gt;19,50000,COLUMN(S:S)-1)))</f>
        <v>423</v>
      </c>
      <c r="AG48" s="1"/>
    </row>
    <row r="49" spans="2:33" x14ac:dyDescent="0.3">
      <c r="B49" s="5">
        <v>46</v>
      </c>
      <c r="C49" s="6">
        <v>575</v>
      </c>
      <c r="D49" s="6">
        <v>620</v>
      </c>
      <c r="E49" s="6">
        <v>610</v>
      </c>
      <c r="F49" s="6">
        <v>624</v>
      </c>
      <c r="I49" s="2">
        <f ca="1">INDIRECT("F"&amp;(17*ROW(6:6)+ROW('(default)'!$F$3)-19+IF(COLUMN(C:C)&gt;19,50000,COLUMN(C:C)-1)))</f>
        <v>433</v>
      </c>
      <c r="J49" s="2">
        <f ca="1">INDIRECT("F"&amp;(17*ROW(6:6)+ROW('(default)'!$F$3)-19+IF(COLUMN(D:D)&gt;19,50000,COLUMN(D:D)-1)))</f>
        <v>501</v>
      </c>
      <c r="K49" s="2">
        <f ca="1">INDIRECT("F"&amp;(17*ROW(6:6)+ROW('(default)'!$F$3)-19+IF(COLUMN(E:E)&gt;19,50000,COLUMN(E:E)-1)))</f>
        <v>583</v>
      </c>
      <c r="L49" s="2">
        <f ca="1">INDIRECT("F"&amp;(17*ROW(6:6)+ROW('(default)'!$F$3)-19+IF(COLUMN(F:F)&gt;19,50000,COLUMN(F:F)-1)))</f>
        <v>665</v>
      </c>
      <c r="M49" s="2">
        <f ca="1">INDIRECT("F"&amp;(17*ROW(6:6)+ROW('(default)'!$F$3)-19+IF(COLUMN(G:G)&gt;19,50000,COLUMN(G:G)-1)))</f>
        <v>757</v>
      </c>
      <c r="N49" s="2">
        <f ca="1">INDIRECT("F"&amp;(17*ROW(6:6)+ROW('(default)'!$F$3)-19+IF(COLUMN(H:H)&gt;19,50000,COLUMN(H:H)-1)))</f>
        <v>859</v>
      </c>
      <c r="O49" s="2">
        <f ca="1">INDIRECT("F"&amp;(17*ROW(6:6)+ROW('(default)'!$F$3)-19+IF(COLUMN(I:I)&gt;19,50000,COLUMN(I:I)-1)))</f>
        <v>941</v>
      </c>
      <c r="P49" s="2">
        <f ca="1">INDIRECT("F"&amp;(17*ROW(6:6)+ROW('(default)'!$F$3)-19+IF(COLUMN(J:J)&gt;19,50000,COLUMN(J:J)-1)))</f>
        <v>992</v>
      </c>
      <c r="Q49" s="2">
        <f ca="1">INDIRECT("F"&amp;(17*ROW(6:6)+ROW('(default)'!$F$3)-19+IF(COLUMN(K:K)&gt;19,50000,COLUMN(K:K)-1)))</f>
        <v>1003</v>
      </c>
      <c r="R49" s="2">
        <f ca="1">INDIRECT("F"&amp;(17*ROW(6:6)+ROW('(default)'!$F$3)-19+IF(COLUMN(L:L)&gt;19,50000,COLUMN(L:L)-1)))</f>
        <v>992</v>
      </c>
      <c r="S49" s="2">
        <f ca="1">INDIRECT("F"&amp;(17*ROW(6:6)+ROW('(default)'!$F$3)-19+IF(COLUMN(M:M)&gt;19,50000,COLUMN(M:M)-1)))</f>
        <v>951</v>
      </c>
      <c r="T49" s="2">
        <f ca="1">INDIRECT("F"&amp;(17*ROW(6:6)+ROW('(default)'!$F$3)-19+IF(COLUMN(N:N)&gt;19,50000,COLUMN(N:N)-1)))</f>
        <v>870</v>
      </c>
      <c r="U49" s="2">
        <f ca="1">INDIRECT("F"&amp;(17*ROW(6:6)+ROW('(default)'!$F$3)-19+IF(COLUMN(O:O)&gt;19,50000,COLUMN(O:O)-1)))</f>
        <v>767</v>
      </c>
      <c r="V49" s="2">
        <f ca="1">INDIRECT("F"&amp;(17*ROW(6:6)+ROW('(default)'!$F$3)-19+IF(COLUMN(P:P)&gt;19,50000,COLUMN(P:P)-1)))</f>
        <v>665</v>
      </c>
      <c r="W49" s="2">
        <f ca="1">INDIRECT("F"&amp;(17*ROW(6:6)+ROW('(default)'!$F$3)-19+IF(COLUMN(Q:Q)&gt;19,50000,COLUMN(Q:Q)-1)))</f>
        <v>583</v>
      </c>
      <c r="X49" s="2">
        <f ca="1">INDIRECT("F"&amp;(17*ROW(6:6)+ROW('(default)'!$F$3)-19+IF(COLUMN(R:R)&gt;19,50000,COLUMN(R:R)-1)))</f>
        <v>512</v>
      </c>
      <c r="Y49" s="2">
        <f ca="1">INDIRECT("F"&amp;(17*ROW(6:6)+ROW('(default)'!$F$3)-19+IF(COLUMN(S:S)&gt;19,50000,COLUMN(S:S)-1)))</f>
        <v>430</v>
      </c>
      <c r="AG49" s="1"/>
    </row>
    <row r="50" spans="2:33" x14ac:dyDescent="0.3">
      <c r="B50" s="5">
        <v>47</v>
      </c>
      <c r="C50" s="6">
        <v>512</v>
      </c>
      <c r="D50" s="6">
        <v>561</v>
      </c>
      <c r="E50" s="6">
        <v>552</v>
      </c>
      <c r="F50" s="6">
        <v>563</v>
      </c>
      <c r="I50" s="2">
        <f ca="1">INDIRECT("F"&amp;(17*ROW(7:7)+ROW('(default)'!$F$3)-19+IF(COLUMN(C:C)&gt;19,50000,COLUMN(C:C)-1)))</f>
        <v>430</v>
      </c>
      <c r="J50" s="2">
        <f ca="1">INDIRECT("F"&amp;(17*ROW(7:7)+ROW('(default)'!$F$3)-19+IF(COLUMN(D:D)&gt;19,50000,COLUMN(D:D)-1)))</f>
        <v>512</v>
      </c>
      <c r="K50" s="2">
        <f ca="1">INDIRECT("F"&amp;(17*ROW(7:7)+ROW('(default)'!$F$3)-19+IF(COLUMN(E:E)&gt;19,50000,COLUMN(E:E)-1)))</f>
        <v>583</v>
      </c>
      <c r="L50" s="2">
        <f ca="1">INDIRECT("F"&amp;(17*ROW(7:7)+ROW('(default)'!$F$3)-19+IF(COLUMN(F:F)&gt;19,50000,COLUMN(F:F)-1)))</f>
        <v>675</v>
      </c>
      <c r="M50" s="2">
        <f ca="1">INDIRECT("F"&amp;(17*ROW(7:7)+ROW('(default)'!$F$3)-19+IF(COLUMN(G:G)&gt;19,50000,COLUMN(G:G)-1)))</f>
        <v>777</v>
      </c>
      <c r="N50" s="2">
        <f ca="1">INDIRECT("F"&amp;(17*ROW(7:7)+ROW('(default)'!$F$3)-19+IF(COLUMN(H:H)&gt;19,50000,COLUMN(H:H)-1)))</f>
        <v>870</v>
      </c>
      <c r="O50" s="2">
        <f ca="1">INDIRECT("F"&amp;(17*ROW(7:7)+ROW('(default)'!$F$3)-19+IF(COLUMN(I:I)&gt;19,50000,COLUMN(I:I)-1)))</f>
        <v>962</v>
      </c>
      <c r="P50" s="2">
        <f ca="1">INDIRECT("F"&amp;(17*ROW(7:7)+ROW('(default)'!$F$3)-19+IF(COLUMN(J:J)&gt;19,50000,COLUMN(J:J)-1)))</f>
        <v>1003</v>
      </c>
      <c r="Q50" s="2">
        <f ca="1">INDIRECT("F"&amp;(17*ROW(7:7)+ROW('(default)'!$F$3)-19+IF(COLUMN(K:K)&gt;19,50000,COLUMN(K:K)-1)))</f>
        <v>1023</v>
      </c>
      <c r="R50" s="2">
        <f ca="1">INDIRECT("F"&amp;(17*ROW(7:7)+ROW('(default)'!$F$3)-19+IF(COLUMN(L:L)&gt;19,50000,COLUMN(L:L)-1)))</f>
        <v>1003</v>
      </c>
      <c r="S50" s="2">
        <f ca="1">INDIRECT("F"&amp;(17*ROW(7:7)+ROW('(default)'!$F$3)-19+IF(COLUMN(M:M)&gt;19,50000,COLUMN(M:M)-1)))</f>
        <v>962</v>
      </c>
      <c r="T50" s="2">
        <f ca="1">INDIRECT("F"&amp;(17*ROW(7:7)+ROW('(default)'!$F$3)-19+IF(COLUMN(N:N)&gt;19,50000,COLUMN(N:N)-1)))</f>
        <v>890</v>
      </c>
      <c r="U50" s="2">
        <f ca="1">INDIRECT("F"&amp;(17*ROW(7:7)+ROW('(default)'!$F$3)-19+IF(COLUMN(O:O)&gt;19,50000,COLUMN(O:O)-1)))</f>
        <v>777</v>
      </c>
      <c r="V50" s="2">
        <f ca="1">INDIRECT("F"&amp;(17*ROW(7:7)+ROW('(default)'!$F$3)-19+IF(COLUMN(P:P)&gt;19,50000,COLUMN(P:P)-1)))</f>
        <v>675</v>
      </c>
      <c r="W50" s="2">
        <f ca="1">INDIRECT("F"&amp;(17*ROW(7:7)+ROW('(default)'!$F$3)-19+IF(COLUMN(Q:Q)&gt;19,50000,COLUMN(Q:Q)-1)))</f>
        <v>583</v>
      </c>
      <c r="X50" s="2">
        <f ca="1">INDIRECT("F"&amp;(17*ROW(7:7)+ROW('(default)'!$F$3)-19+IF(COLUMN(R:R)&gt;19,50000,COLUMN(R:R)-1)))</f>
        <v>512</v>
      </c>
      <c r="Y50" s="2">
        <f ca="1">INDIRECT("F"&amp;(17*ROW(7:7)+ROW('(default)'!$F$3)-19+IF(COLUMN(S:S)&gt;19,50000,COLUMN(S:S)-1)))</f>
        <v>430</v>
      </c>
      <c r="AG50" s="1"/>
    </row>
    <row r="51" spans="2:33" x14ac:dyDescent="0.3">
      <c r="B51" s="5">
        <v>48</v>
      </c>
      <c r="C51" s="6">
        <v>458</v>
      </c>
      <c r="D51" s="6">
        <v>503</v>
      </c>
      <c r="E51" s="6">
        <v>500</v>
      </c>
      <c r="F51" s="6">
        <v>501</v>
      </c>
      <c r="I51" s="2">
        <f ca="1">INDIRECT("F"&amp;(17*ROW(8:8)+ROW('(default)'!$F$3)-19+IF(COLUMN(C:C)&gt;19,50000,COLUMN(C:C)-1)))</f>
        <v>433</v>
      </c>
      <c r="J51" s="2">
        <f ca="1">INDIRECT("F"&amp;(17*ROW(8:8)+ROW('(default)'!$F$3)-19+IF(COLUMN(D:D)&gt;19,50000,COLUMN(D:D)-1)))</f>
        <v>501</v>
      </c>
      <c r="K51" s="2">
        <f ca="1">INDIRECT("F"&amp;(17*ROW(8:8)+ROW('(default)'!$F$3)-19+IF(COLUMN(E:E)&gt;19,50000,COLUMN(E:E)-1)))</f>
        <v>573</v>
      </c>
      <c r="L51" s="2">
        <f ca="1">INDIRECT("F"&amp;(17*ROW(8:8)+ROW('(default)'!$F$3)-19+IF(COLUMN(F:F)&gt;19,50000,COLUMN(F:F)-1)))</f>
        <v>665</v>
      </c>
      <c r="M51" s="2">
        <f ca="1">INDIRECT("F"&amp;(17*ROW(8:8)+ROW('(default)'!$F$3)-19+IF(COLUMN(G:G)&gt;19,50000,COLUMN(G:G)-1)))</f>
        <v>757</v>
      </c>
      <c r="N51" s="2">
        <f ca="1">INDIRECT("F"&amp;(17*ROW(8:8)+ROW('(default)'!$F$3)-19+IF(COLUMN(H:H)&gt;19,50000,COLUMN(H:H)-1)))</f>
        <v>859</v>
      </c>
      <c r="O51" s="2">
        <f ca="1">INDIRECT("F"&amp;(17*ROW(8:8)+ROW('(default)'!$F$3)-19+IF(COLUMN(I:I)&gt;19,50000,COLUMN(I:I)-1)))</f>
        <v>951</v>
      </c>
      <c r="P51" s="2">
        <f ca="1">INDIRECT("F"&amp;(17*ROW(8:8)+ROW('(default)'!$F$3)-19+IF(COLUMN(J:J)&gt;19,50000,COLUMN(J:J)-1)))</f>
        <v>992</v>
      </c>
      <c r="Q51" s="2">
        <f ca="1">INDIRECT("F"&amp;(17*ROW(8:8)+ROW('(default)'!$F$3)-19+IF(COLUMN(K:K)&gt;19,50000,COLUMN(K:K)-1)))</f>
        <v>1003</v>
      </c>
      <c r="R51" s="2">
        <f ca="1">INDIRECT("F"&amp;(17*ROW(8:8)+ROW('(default)'!$F$3)-19+IF(COLUMN(L:L)&gt;19,50000,COLUMN(L:L)-1)))</f>
        <v>992</v>
      </c>
      <c r="S51" s="2">
        <f ca="1">INDIRECT("F"&amp;(17*ROW(8:8)+ROW('(default)'!$F$3)-19+IF(COLUMN(M:M)&gt;19,50000,COLUMN(M:M)-1)))</f>
        <v>951</v>
      </c>
      <c r="T51" s="2">
        <f ca="1">INDIRECT("F"&amp;(17*ROW(8:8)+ROW('(default)'!$F$3)-19+IF(COLUMN(N:N)&gt;19,50000,COLUMN(N:N)-1)))</f>
        <v>870</v>
      </c>
      <c r="U51" s="2">
        <f ca="1">INDIRECT("F"&amp;(17*ROW(8:8)+ROW('(default)'!$F$3)-19+IF(COLUMN(O:O)&gt;19,50000,COLUMN(O:O)-1)))</f>
        <v>767</v>
      </c>
      <c r="V51" s="2">
        <f ca="1">INDIRECT("F"&amp;(17*ROW(8:8)+ROW('(default)'!$F$3)-19+IF(COLUMN(P:P)&gt;19,50000,COLUMN(P:P)-1)))</f>
        <v>665</v>
      </c>
      <c r="W51" s="2">
        <f ca="1">INDIRECT("F"&amp;(17*ROW(8:8)+ROW('(default)'!$F$3)-19+IF(COLUMN(Q:Q)&gt;19,50000,COLUMN(Q:Q)-1)))</f>
        <v>583</v>
      </c>
      <c r="X51" s="2">
        <f ca="1">INDIRECT("F"&amp;(17*ROW(8:8)+ROW('(default)'!$F$3)-19+IF(COLUMN(R:R)&gt;19,50000,COLUMN(R:R)-1)))</f>
        <v>512</v>
      </c>
      <c r="Y51" s="2">
        <f ca="1">INDIRECT("F"&amp;(17*ROW(8:8)+ROW('(default)'!$F$3)-19+IF(COLUMN(S:S)&gt;19,50000,COLUMN(S:S)-1)))</f>
        <v>430</v>
      </c>
      <c r="AG51" s="1"/>
    </row>
    <row r="52" spans="2:33" x14ac:dyDescent="0.3">
      <c r="B52" s="5">
        <v>49</v>
      </c>
      <c r="C52" s="6">
        <v>394</v>
      </c>
      <c r="D52" s="6">
        <v>438</v>
      </c>
      <c r="E52" s="6">
        <v>436</v>
      </c>
      <c r="F52" s="6">
        <v>440</v>
      </c>
      <c r="I52" s="2">
        <f ca="1">INDIRECT("F"&amp;(17*ROW(9:9)+ROW('(default)'!$F$3)-19+IF(COLUMN(C:C)&gt;19,50000,COLUMN(C:C)-1)))</f>
        <v>409</v>
      </c>
      <c r="J52" s="2">
        <f ca="1">INDIRECT("F"&amp;(17*ROW(9:9)+ROW('(default)'!$F$3)-19+IF(COLUMN(D:D)&gt;19,50000,COLUMN(D:D)-1)))</f>
        <v>491</v>
      </c>
      <c r="K52" s="2">
        <f ca="1">INDIRECT("F"&amp;(17*ROW(9:9)+ROW('(default)'!$F$3)-19+IF(COLUMN(E:E)&gt;19,50000,COLUMN(E:E)-1)))</f>
        <v>563</v>
      </c>
      <c r="L52" s="2">
        <f ca="1">INDIRECT("F"&amp;(17*ROW(9:9)+ROW('(default)'!$F$3)-19+IF(COLUMN(F:F)&gt;19,50000,COLUMN(F:F)-1)))</f>
        <v>634</v>
      </c>
      <c r="M52" s="2">
        <f ca="1">INDIRECT("F"&amp;(17*ROW(9:9)+ROW('(default)'!$F$3)-19+IF(COLUMN(G:G)&gt;19,50000,COLUMN(G:G)-1)))</f>
        <v>726</v>
      </c>
      <c r="N52" s="2">
        <f ca="1">INDIRECT("F"&amp;(17*ROW(9:9)+ROW('(default)'!$F$3)-19+IF(COLUMN(H:H)&gt;19,50000,COLUMN(H:H)-1)))</f>
        <v>818</v>
      </c>
      <c r="O52" s="2">
        <f ca="1">INDIRECT("F"&amp;(17*ROW(9:9)+ROW('(default)'!$F$3)-19+IF(COLUMN(I:I)&gt;19,50000,COLUMN(I:I)-1)))</f>
        <v>900</v>
      </c>
      <c r="P52" s="2">
        <f ca="1">INDIRECT("F"&amp;(17*ROW(9:9)+ROW('(default)'!$F$3)-19+IF(COLUMN(J:J)&gt;19,50000,COLUMN(J:J)-1)))</f>
        <v>951</v>
      </c>
      <c r="Q52" s="2">
        <f ca="1">INDIRECT("F"&amp;(17*ROW(9:9)+ROW('(default)'!$F$3)-19+IF(COLUMN(K:K)&gt;19,50000,COLUMN(K:K)-1)))</f>
        <v>962</v>
      </c>
      <c r="R52" s="2">
        <f ca="1">INDIRECT("F"&amp;(17*ROW(9:9)+ROW('(default)'!$F$3)-19+IF(COLUMN(L:L)&gt;19,50000,COLUMN(L:L)-1)))</f>
        <v>951</v>
      </c>
      <c r="S52" s="2">
        <f ca="1">INDIRECT("F"&amp;(17*ROW(9:9)+ROW('(default)'!$F$3)-19+IF(COLUMN(M:M)&gt;19,50000,COLUMN(M:M)-1)))</f>
        <v>910</v>
      </c>
      <c r="T52" s="2">
        <f ca="1">INDIRECT("F"&amp;(17*ROW(9:9)+ROW('(default)'!$F$3)-19+IF(COLUMN(N:N)&gt;19,50000,COLUMN(N:N)-1)))</f>
        <v>829</v>
      </c>
      <c r="U52" s="2">
        <f ca="1">INDIRECT("F"&amp;(17*ROW(9:9)+ROW('(default)'!$F$3)-19+IF(COLUMN(O:O)&gt;19,50000,COLUMN(O:O)-1)))</f>
        <v>737</v>
      </c>
      <c r="V52" s="2">
        <f ca="1">INDIRECT("F"&amp;(17*ROW(9:9)+ROW('(default)'!$F$3)-19+IF(COLUMN(P:P)&gt;19,50000,COLUMN(P:P)-1)))</f>
        <v>644</v>
      </c>
      <c r="W52" s="2">
        <f ca="1">INDIRECT("F"&amp;(17*ROW(9:9)+ROW('(default)'!$F$3)-19+IF(COLUMN(Q:Q)&gt;19,50000,COLUMN(Q:Q)-1)))</f>
        <v>563</v>
      </c>
      <c r="X52" s="2">
        <f ca="1">INDIRECT("F"&amp;(17*ROW(9:9)+ROW('(default)'!$F$3)-19+IF(COLUMN(R:R)&gt;19,50000,COLUMN(R:R)-1)))</f>
        <v>491</v>
      </c>
      <c r="Y52" s="2">
        <f ca="1">INDIRECT("F"&amp;(17*ROW(9:9)+ROW('(default)'!$F$3)-19+IF(COLUMN(S:S)&gt;19,50000,COLUMN(S:S)-1)))</f>
        <v>423</v>
      </c>
      <c r="AG52" s="1"/>
    </row>
    <row r="53" spans="2:33" x14ac:dyDescent="0.3">
      <c r="B53" s="5">
        <v>50</v>
      </c>
      <c r="C53" s="6">
        <v>337</v>
      </c>
      <c r="D53" s="6">
        <v>376</v>
      </c>
      <c r="E53" s="6">
        <v>366</v>
      </c>
      <c r="F53" s="6">
        <v>372</v>
      </c>
      <c r="I53" s="2">
        <f ca="1">INDIRECT("F"&amp;(17*ROW(10:10)+ROW('(default)'!$F$3)-19+IF(COLUMN(C:C)&gt;19,50000,COLUMN(C:C)-1)))</f>
        <v>392</v>
      </c>
      <c r="J53" s="2">
        <f ca="1">INDIRECT("F"&amp;(17*ROW(10:10)+ROW('(default)'!$F$3)-19+IF(COLUMN(D:D)&gt;19,50000,COLUMN(D:D)-1)))</f>
        <v>460</v>
      </c>
      <c r="K53" s="2">
        <f ca="1">INDIRECT("F"&amp;(17*ROW(10:10)+ROW('(default)'!$F$3)-19+IF(COLUMN(E:E)&gt;19,50000,COLUMN(E:E)-1)))</f>
        <v>532</v>
      </c>
      <c r="L53" s="2">
        <f ca="1">INDIRECT("F"&amp;(17*ROW(10:10)+ROW('(default)'!$F$3)-19+IF(COLUMN(F:F)&gt;19,50000,COLUMN(F:F)-1)))</f>
        <v>604</v>
      </c>
      <c r="M53" s="2">
        <f ca="1">INDIRECT("F"&amp;(17*ROW(10:10)+ROW('(default)'!$F$3)-19+IF(COLUMN(G:G)&gt;19,50000,COLUMN(G:G)-1)))</f>
        <v>675</v>
      </c>
      <c r="N53" s="2">
        <f ca="1">INDIRECT("F"&amp;(17*ROW(10:10)+ROW('(default)'!$F$3)-19+IF(COLUMN(H:H)&gt;19,50000,COLUMN(H:H)-1)))</f>
        <v>757</v>
      </c>
      <c r="O53" s="2">
        <f ca="1">INDIRECT("F"&amp;(17*ROW(10:10)+ROW('(default)'!$F$3)-19+IF(COLUMN(I:I)&gt;19,50000,COLUMN(I:I)-1)))</f>
        <v>818</v>
      </c>
      <c r="P53" s="2">
        <f ca="1">INDIRECT("F"&amp;(17*ROW(10:10)+ROW('(default)'!$F$3)-19+IF(COLUMN(J:J)&gt;19,50000,COLUMN(J:J)-1)))</f>
        <v>870</v>
      </c>
      <c r="Q53" s="2">
        <f ca="1">INDIRECT("F"&amp;(17*ROW(10:10)+ROW('(default)'!$F$3)-19+IF(COLUMN(K:K)&gt;19,50000,COLUMN(K:K)-1)))</f>
        <v>880</v>
      </c>
      <c r="R53" s="2">
        <f ca="1">INDIRECT("F"&amp;(17*ROW(10:10)+ROW('(default)'!$F$3)-19+IF(COLUMN(L:L)&gt;19,50000,COLUMN(L:L)-1)))</f>
        <v>870</v>
      </c>
      <c r="S53" s="2">
        <f ca="1">INDIRECT("F"&amp;(17*ROW(10:10)+ROW('(default)'!$F$3)-19+IF(COLUMN(M:M)&gt;19,50000,COLUMN(M:M)-1)))</f>
        <v>829</v>
      </c>
      <c r="T53" s="2">
        <f ca="1">INDIRECT("F"&amp;(17*ROW(10:10)+ROW('(default)'!$F$3)-19+IF(COLUMN(N:N)&gt;19,50000,COLUMN(N:N)-1)))</f>
        <v>757</v>
      </c>
      <c r="U53" s="2">
        <f ca="1">INDIRECT("F"&amp;(17*ROW(10:10)+ROW('(default)'!$F$3)-19+IF(COLUMN(O:O)&gt;19,50000,COLUMN(O:O)-1)))</f>
        <v>685</v>
      </c>
      <c r="V53" s="2">
        <f ca="1">INDIRECT("F"&amp;(17*ROW(10:10)+ROW('(default)'!$F$3)-19+IF(COLUMN(P:P)&gt;19,50000,COLUMN(P:P)-1)))</f>
        <v>604</v>
      </c>
      <c r="W53" s="2">
        <f ca="1">INDIRECT("F"&amp;(17*ROW(10:10)+ROW('(default)'!$F$3)-19+IF(COLUMN(Q:Q)&gt;19,50000,COLUMN(Q:Q)-1)))</f>
        <v>532</v>
      </c>
      <c r="X53" s="2">
        <f ca="1">INDIRECT("F"&amp;(17*ROW(10:10)+ROW('(default)'!$F$3)-19+IF(COLUMN(R:R)&gt;19,50000,COLUMN(R:R)-1)))</f>
        <v>471</v>
      </c>
      <c r="Y53" s="2">
        <f ca="1">INDIRECT("F"&amp;(17*ROW(10:10)+ROW('(default)'!$F$3)-19+IF(COLUMN(S:S)&gt;19,50000,COLUMN(S:S)-1)))</f>
        <v>389</v>
      </c>
      <c r="AG53" s="1"/>
    </row>
    <row r="54" spans="2:33" x14ac:dyDescent="0.3">
      <c r="B54" s="5">
        <v>51</v>
      </c>
      <c r="C54" s="6">
        <v>359</v>
      </c>
      <c r="D54" s="6">
        <v>398</v>
      </c>
      <c r="E54" s="6">
        <v>395</v>
      </c>
      <c r="F54" s="6">
        <v>402</v>
      </c>
      <c r="I54" s="2">
        <f ca="1">INDIRECT("F"&amp;(17*ROW(11:11)+ROW('(default)'!$F$3)-19+IF(COLUMN(C:C)&gt;19,50000,COLUMN(C:C)-1)))</f>
        <v>361</v>
      </c>
      <c r="J54" s="2">
        <f ca="1">INDIRECT("F"&amp;(17*ROW(11:11)+ROW('(default)'!$F$3)-19+IF(COLUMN(D:D)&gt;19,50000,COLUMN(D:D)-1)))</f>
        <v>430</v>
      </c>
      <c r="K54" s="2">
        <f ca="1">INDIRECT("F"&amp;(17*ROW(11:11)+ROW('(default)'!$F$3)-19+IF(COLUMN(E:E)&gt;19,50000,COLUMN(E:E)-1)))</f>
        <v>501</v>
      </c>
      <c r="L54" s="2">
        <f ca="1">INDIRECT("F"&amp;(17*ROW(11:11)+ROW('(default)'!$F$3)-19+IF(COLUMN(F:F)&gt;19,50000,COLUMN(F:F)-1)))</f>
        <v>563</v>
      </c>
      <c r="M54" s="2">
        <f ca="1">INDIRECT("F"&amp;(17*ROW(11:11)+ROW('(default)'!$F$3)-19+IF(COLUMN(G:G)&gt;19,50000,COLUMN(G:G)-1)))</f>
        <v>624</v>
      </c>
      <c r="N54" s="2">
        <f ca="1">INDIRECT("F"&amp;(17*ROW(11:11)+ROW('(default)'!$F$3)-19+IF(COLUMN(H:H)&gt;19,50000,COLUMN(H:H)-1)))</f>
        <v>685</v>
      </c>
      <c r="O54" s="2">
        <f ca="1">INDIRECT("F"&amp;(17*ROW(11:11)+ROW('(default)'!$F$3)-19+IF(COLUMN(I:I)&gt;19,50000,COLUMN(I:I)-1)))</f>
        <v>737</v>
      </c>
      <c r="P54" s="2">
        <f ca="1">INDIRECT("F"&amp;(17*ROW(11:11)+ROW('(default)'!$F$3)-19+IF(COLUMN(J:J)&gt;19,50000,COLUMN(J:J)-1)))</f>
        <v>767</v>
      </c>
      <c r="Q54" s="2">
        <f ca="1">INDIRECT("F"&amp;(17*ROW(11:11)+ROW('(default)'!$F$3)-19+IF(COLUMN(K:K)&gt;19,50000,COLUMN(K:K)-1)))</f>
        <v>788</v>
      </c>
      <c r="R54" s="2">
        <f ca="1">INDIRECT("F"&amp;(17*ROW(11:11)+ROW('(default)'!$F$3)-19+IF(COLUMN(L:L)&gt;19,50000,COLUMN(L:L)-1)))</f>
        <v>767</v>
      </c>
      <c r="S54" s="2">
        <f ca="1">INDIRECT("F"&amp;(17*ROW(11:11)+ROW('(default)'!$F$3)-19+IF(COLUMN(M:M)&gt;19,50000,COLUMN(M:M)-1)))</f>
        <v>737</v>
      </c>
      <c r="T54" s="2">
        <f ca="1">INDIRECT("F"&amp;(17*ROW(11:11)+ROW('(default)'!$F$3)-19+IF(COLUMN(N:N)&gt;19,50000,COLUMN(N:N)-1)))</f>
        <v>685</v>
      </c>
      <c r="U54" s="2">
        <f ca="1">INDIRECT("F"&amp;(17*ROW(11:11)+ROW('(default)'!$F$3)-19+IF(COLUMN(O:O)&gt;19,50000,COLUMN(O:O)-1)))</f>
        <v>624</v>
      </c>
      <c r="V54" s="2">
        <f ca="1">INDIRECT("F"&amp;(17*ROW(11:11)+ROW('(default)'!$F$3)-19+IF(COLUMN(P:P)&gt;19,50000,COLUMN(P:P)-1)))</f>
        <v>563</v>
      </c>
      <c r="W54" s="2">
        <f ca="1">INDIRECT("F"&amp;(17*ROW(11:11)+ROW('(default)'!$F$3)-19+IF(COLUMN(Q:Q)&gt;19,50000,COLUMN(Q:Q)-1)))</f>
        <v>501</v>
      </c>
      <c r="X54" s="2">
        <f ca="1">INDIRECT("F"&amp;(17*ROW(11:11)+ROW('(default)'!$F$3)-19+IF(COLUMN(R:R)&gt;19,50000,COLUMN(R:R)-1)))</f>
        <v>430</v>
      </c>
      <c r="Y54" s="2">
        <f ca="1">INDIRECT("F"&amp;(17*ROW(11:11)+ROW('(default)'!$F$3)-19+IF(COLUMN(S:S)&gt;19,50000,COLUMN(S:S)-1)))</f>
        <v>361</v>
      </c>
      <c r="AG54" s="1"/>
    </row>
    <row r="55" spans="2:33" x14ac:dyDescent="0.3">
      <c r="B55" s="5">
        <v>52</v>
      </c>
      <c r="C55" s="6">
        <v>416</v>
      </c>
      <c r="D55" s="6">
        <v>468</v>
      </c>
      <c r="E55" s="6">
        <v>465</v>
      </c>
      <c r="F55" s="6">
        <v>471</v>
      </c>
      <c r="I55" s="2">
        <f ca="1">INDIRECT("F"&amp;(17*ROW(12:12)+ROW('(default)'!$F$3)-19+IF(COLUMN(C:C)&gt;19,50000,COLUMN(C:C)-1)))</f>
        <v>334</v>
      </c>
      <c r="J55" s="2">
        <f ca="1">INDIRECT("F"&amp;(17*ROW(12:12)+ROW('(default)'!$F$3)-19+IF(COLUMN(D:D)&gt;19,50000,COLUMN(D:D)-1)))</f>
        <v>389</v>
      </c>
      <c r="K55" s="2">
        <f ca="1">INDIRECT("F"&amp;(17*ROW(12:12)+ROW('(default)'!$F$3)-19+IF(COLUMN(E:E)&gt;19,50000,COLUMN(E:E)-1)))</f>
        <v>450</v>
      </c>
      <c r="L55" s="2">
        <f ca="1">INDIRECT("F"&amp;(17*ROW(12:12)+ROW('(default)'!$F$3)-19+IF(COLUMN(F:F)&gt;19,50000,COLUMN(F:F)-1)))</f>
        <v>512</v>
      </c>
      <c r="M55" s="2">
        <f ca="1">INDIRECT("F"&amp;(17*ROW(12:12)+ROW('(default)'!$F$3)-19+IF(COLUMN(G:G)&gt;19,50000,COLUMN(G:G)-1)))</f>
        <v>563</v>
      </c>
      <c r="N55" s="2">
        <f ca="1">INDIRECT("F"&amp;(17*ROW(12:12)+ROW('(default)'!$F$3)-19+IF(COLUMN(H:H)&gt;19,50000,COLUMN(H:H)-1)))</f>
        <v>604</v>
      </c>
      <c r="O55" s="2">
        <f ca="1">INDIRECT("F"&amp;(17*ROW(12:12)+ROW('(default)'!$F$3)-19+IF(COLUMN(I:I)&gt;19,50000,COLUMN(I:I)-1)))</f>
        <v>644</v>
      </c>
      <c r="P55" s="2">
        <f ca="1">INDIRECT("F"&amp;(17*ROW(12:12)+ROW('(default)'!$F$3)-19+IF(COLUMN(J:J)&gt;19,50000,COLUMN(J:J)-1)))</f>
        <v>675</v>
      </c>
      <c r="Q55" s="2">
        <f ca="1">INDIRECT("F"&amp;(17*ROW(12:12)+ROW('(default)'!$F$3)-19+IF(COLUMN(K:K)&gt;19,50000,COLUMN(K:K)-1)))</f>
        <v>685</v>
      </c>
      <c r="R55" s="2">
        <f ca="1">INDIRECT("F"&amp;(17*ROW(12:12)+ROW('(default)'!$F$3)-19+IF(COLUMN(L:L)&gt;19,50000,COLUMN(L:L)-1)))</f>
        <v>675</v>
      </c>
      <c r="S55" s="2">
        <f ca="1">INDIRECT("F"&amp;(17*ROW(12:12)+ROW('(default)'!$F$3)-19+IF(COLUMN(M:M)&gt;19,50000,COLUMN(M:M)-1)))</f>
        <v>644</v>
      </c>
      <c r="T55" s="2">
        <f ca="1">INDIRECT("F"&amp;(17*ROW(12:12)+ROW('(default)'!$F$3)-19+IF(COLUMN(N:N)&gt;19,50000,COLUMN(N:N)-1)))</f>
        <v>604</v>
      </c>
      <c r="U55" s="2">
        <f ca="1">INDIRECT("F"&amp;(17*ROW(12:12)+ROW('(default)'!$F$3)-19+IF(COLUMN(O:O)&gt;19,50000,COLUMN(O:O)-1)))</f>
        <v>563</v>
      </c>
      <c r="V55" s="2">
        <f ca="1">INDIRECT("F"&amp;(17*ROW(12:12)+ROW('(default)'!$F$3)-19+IF(COLUMN(P:P)&gt;19,50000,COLUMN(P:P)-1)))</f>
        <v>512</v>
      </c>
      <c r="W55" s="2">
        <f ca="1">INDIRECT("F"&amp;(17*ROW(12:12)+ROW('(default)'!$F$3)-19+IF(COLUMN(Q:Q)&gt;19,50000,COLUMN(Q:Q)-1)))</f>
        <v>450</v>
      </c>
      <c r="X55" s="2">
        <f ca="1">INDIRECT("F"&amp;(17*ROW(12:12)+ROW('(default)'!$F$3)-19+IF(COLUMN(R:R)&gt;19,50000,COLUMN(R:R)-1)))</f>
        <v>389</v>
      </c>
      <c r="Y55" s="2">
        <f ca="1">INDIRECT("F"&amp;(17*ROW(12:12)+ROW('(default)'!$F$3)-19+IF(COLUMN(S:S)&gt;19,50000,COLUMN(S:S)-1)))</f>
        <v>334</v>
      </c>
      <c r="AG55" s="1"/>
    </row>
    <row r="56" spans="2:33" x14ac:dyDescent="0.3">
      <c r="B56" s="5">
        <v>53</v>
      </c>
      <c r="C56" s="6">
        <v>480</v>
      </c>
      <c r="D56" s="6">
        <v>532</v>
      </c>
      <c r="E56" s="6">
        <v>529</v>
      </c>
      <c r="F56" s="6">
        <v>532</v>
      </c>
      <c r="I56" s="13">
        <f ca="1">INDIRECT("F"&amp;(17*ROW(13:13)+ROW('(default)'!$F$3)-19+IF(COLUMN(C:C)&gt;19,50000,COLUMN(C:C)-1)))</f>
        <v>307</v>
      </c>
      <c r="J56" s="2">
        <f ca="1">INDIRECT("F"&amp;(17*ROW(13:13)+ROW('(default)'!$F$3)-19+IF(COLUMN(D:D)&gt;19,50000,COLUMN(D:D)-1)))</f>
        <v>348</v>
      </c>
      <c r="K56" s="2">
        <f ca="1">INDIRECT("F"&amp;(17*ROW(13:13)+ROW('(default)'!$F$3)-19+IF(COLUMN(E:E)&gt;19,50000,COLUMN(E:E)-1)))</f>
        <v>396</v>
      </c>
      <c r="L56" s="2">
        <f ca="1">INDIRECT("F"&amp;(17*ROW(13:13)+ROW('(default)'!$F$3)-19+IF(COLUMN(F:F)&gt;19,50000,COLUMN(F:F)-1)))</f>
        <v>457</v>
      </c>
      <c r="M56" s="2">
        <f ca="1">INDIRECT("F"&amp;(17*ROW(13:13)+ROW('(default)'!$F$3)-19+IF(COLUMN(G:G)&gt;19,50000,COLUMN(G:G)-1)))</f>
        <v>494</v>
      </c>
      <c r="N56" s="2">
        <f ca="1">INDIRECT("F"&amp;(17*ROW(13:13)+ROW('(default)'!$F$3)-19+IF(COLUMN(H:H)&gt;19,50000,COLUMN(H:H)-1)))</f>
        <v>535</v>
      </c>
      <c r="O56" s="2">
        <f ca="1">INDIRECT("F"&amp;(17*ROW(13:13)+ROW('(default)'!$F$3)-19+IF(COLUMN(I:I)&gt;19,50000,COLUMN(I:I)-1)))</f>
        <v>563</v>
      </c>
      <c r="P56" s="2">
        <f ca="1">INDIRECT("F"&amp;(17*ROW(13:13)+ROW('(default)'!$F$3)-19+IF(COLUMN(J:J)&gt;19,50000,COLUMN(J:J)-1)))</f>
        <v>580</v>
      </c>
      <c r="Q56" s="2">
        <f ca="1">INDIRECT("F"&amp;(17*ROW(13:13)+ROW('(default)'!$F$3)-19+IF(COLUMN(K:K)&gt;19,50000,COLUMN(K:K)-1)))</f>
        <v>590</v>
      </c>
      <c r="R56" s="2">
        <f ca="1">INDIRECT("F"&amp;(17*ROW(13:13)+ROW('(default)'!$F$3)-19+IF(COLUMN(L:L)&gt;19,50000,COLUMN(L:L)-1)))</f>
        <v>580</v>
      </c>
      <c r="S56" s="2">
        <f ca="1">INDIRECT("F"&amp;(17*ROW(13:13)+ROW('(default)'!$F$3)-19+IF(COLUMN(M:M)&gt;19,50000,COLUMN(M:M)-1)))</f>
        <v>563</v>
      </c>
      <c r="T56" s="2">
        <f ca="1">INDIRECT("F"&amp;(17*ROW(13:13)+ROW('(default)'!$F$3)-19+IF(COLUMN(N:N)&gt;19,50000,COLUMN(N:N)-1)))</f>
        <v>535</v>
      </c>
      <c r="U56" s="2">
        <f ca="1">INDIRECT("F"&amp;(17*ROW(13:13)+ROW('(default)'!$F$3)-19+IF(COLUMN(O:O)&gt;19,50000,COLUMN(O:O)-1)))</f>
        <v>494</v>
      </c>
      <c r="V56" s="2">
        <f ca="1">INDIRECT("F"&amp;(17*ROW(13:13)+ROW('(default)'!$F$3)-19+IF(COLUMN(P:P)&gt;19,50000,COLUMN(P:P)-1)))</f>
        <v>457</v>
      </c>
      <c r="W56" s="2">
        <f ca="1">INDIRECT("F"&amp;(17*ROW(13:13)+ROW('(default)'!$F$3)-19+IF(COLUMN(Q:Q)&gt;19,50000,COLUMN(Q:Q)-1)))</f>
        <v>396</v>
      </c>
      <c r="X56" s="2">
        <f ca="1">INDIRECT("F"&amp;(17*ROW(13:13)+ROW('(default)'!$F$3)-19+IF(COLUMN(R:R)&gt;19,50000,COLUMN(R:R)-1)))</f>
        <v>348</v>
      </c>
      <c r="Y56" s="13">
        <f ca="1">INDIRECT("F"&amp;(17*ROW(13:13)+ROW('(default)'!$F$3)-19+IF(COLUMN(S:S)&gt;19,50000,COLUMN(S:S)-1)))</f>
        <v>307</v>
      </c>
      <c r="AG56" s="1"/>
    </row>
    <row r="57" spans="2:33" x14ac:dyDescent="0.3">
      <c r="B57" s="5">
        <v>54</v>
      </c>
      <c r="C57" s="6">
        <v>554</v>
      </c>
      <c r="D57" s="6">
        <v>596</v>
      </c>
      <c r="E57" s="6">
        <v>593</v>
      </c>
      <c r="F57" s="6">
        <v>604</v>
      </c>
      <c r="AG57" s="1"/>
    </row>
    <row r="58" spans="2:33" x14ac:dyDescent="0.3">
      <c r="B58" s="5">
        <v>55</v>
      </c>
      <c r="C58" s="6">
        <v>629</v>
      </c>
      <c r="D58" s="6">
        <v>672</v>
      </c>
      <c r="E58" s="6">
        <v>668</v>
      </c>
      <c r="F58" s="6">
        <v>675</v>
      </c>
      <c r="AG58" s="1"/>
    </row>
    <row r="59" spans="2:33" x14ac:dyDescent="0.3">
      <c r="B59" s="5">
        <v>56</v>
      </c>
      <c r="C59" s="6">
        <v>714</v>
      </c>
      <c r="D59" s="6">
        <v>748</v>
      </c>
      <c r="E59" s="6">
        <v>744</v>
      </c>
      <c r="F59" s="6">
        <v>757</v>
      </c>
      <c r="AG59" s="1"/>
    </row>
    <row r="60" spans="2:33" x14ac:dyDescent="0.3">
      <c r="B60" s="5">
        <v>57</v>
      </c>
      <c r="C60" s="6">
        <v>789</v>
      </c>
      <c r="D60" s="6">
        <v>813</v>
      </c>
      <c r="E60" s="6">
        <v>808</v>
      </c>
      <c r="F60" s="6">
        <v>818</v>
      </c>
      <c r="AG60" s="1"/>
    </row>
    <row r="61" spans="2:33" x14ac:dyDescent="0.3">
      <c r="B61" s="5">
        <v>58</v>
      </c>
      <c r="C61" s="6">
        <v>842</v>
      </c>
      <c r="D61" s="6">
        <v>859</v>
      </c>
      <c r="E61" s="6">
        <v>854</v>
      </c>
      <c r="F61" s="6">
        <v>870</v>
      </c>
      <c r="AG61" s="1"/>
    </row>
    <row r="62" spans="2:33" x14ac:dyDescent="0.3">
      <c r="B62" s="5">
        <v>59</v>
      </c>
      <c r="C62" s="6">
        <v>863</v>
      </c>
      <c r="D62" s="6">
        <v>877</v>
      </c>
      <c r="E62" s="6">
        <v>872</v>
      </c>
      <c r="F62" s="6">
        <v>880</v>
      </c>
      <c r="AG62" s="1"/>
    </row>
    <row r="63" spans="2:33" x14ac:dyDescent="0.3">
      <c r="B63" s="5">
        <v>60</v>
      </c>
      <c r="C63" s="6">
        <v>842</v>
      </c>
      <c r="D63" s="6">
        <v>859</v>
      </c>
      <c r="E63" s="6">
        <v>854</v>
      </c>
      <c r="F63" s="6">
        <v>870</v>
      </c>
      <c r="AG63" s="1"/>
    </row>
    <row r="64" spans="2:33" x14ac:dyDescent="0.3">
      <c r="B64" s="5">
        <v>61</v>
      </c>
      <c r="C64" s="6">
        <v>789</v>
      </c>
      <c r="D64" s="6">
        <v>818</v>
      </c>
      <c r="E64" s="6">
        <v>814</v>
      </c>
      <c r="F64" s="6">
        <v>829</v>
      </c>
      <c r="AG64" s="1"/>
    </row>
    <row r="65" spans="2:33" x14ac:dyDescent="0.3">
      <c r="B65" s="5">
        <v>62</v>
      </c>
      <c r="C65" s="6">
        <v>725</v>
      </c>
      <c r="D65" s="6">
        <v>754</v>
      </c>
      <c r="E65" s="6">
        <v>744</v>
      </c>
      <c r="F65" s="6">
        <v>757</v>
      </c>
      <c r="AG65" s="1"/>
    </row>
    <row r="66" spans="2:33" x14ac:dyDescent="0.3">
      <c r="B66" s="5">
        <v>63</v>
      </c>
      <c r="C66" s="6">
        <v>639</v>
      </c>
      <c r="D66" s="6">
        <v>678</v>
      </c>
      <c r="E66" s="6">
        <v>668</v>
      </c>
      <c r="F66" s="6">
        <v>685</v>
      </c>
      <c r="AG66" s="1"/>
    </row>
    <row r="67" spans="2:33" x14ac:dyDescent="0.3">
      <c r="B67" s="5">
        <v>64</v>
      </c>
      <c r="C67" s="6">
        <v>554</v>
      </c>
      <c r="D67" s="6">
        <v>602</v>
      </c>
      <c r="E67" s="6">
        <v>593</v>
      </c>
      <c r="F67" s="6">
        <v>604</v>
      </c>
      <c r="AG67" s="1"/>
    </row>
    <row r="68" spans="2:33" x14ac:dyDescent="0.3">
      <c r="B68" s="5">
        <v>65</v>
      </c>
      <c r="C68" s="6">
        <v>490</v>
      </c>
      <c r="D68" s="6">
        <v>538</v>
      </c>
      <c r="E68" s="6">
        <v>529</v>
      </c>
      <c r="F68" s="6">
        <v>542</v>
      </c>
      <c r="AG68" s="1"/>
    </row>
    <row r="69" spans="2:33" x14ac:dyDescent="0.3">
      <c r="B69" s="5">
        <v>66</v>
      </c>
      <c r="C69" s="6">
        <v>426</v>
      </c>
      <c r="D69" s="6">
        <v>474</v>
      </c>
      <c r="E69" s="6">
        <v>465</v>
      </c>
      <c r="F69" s="6">
        <v>471</v>
      </c>
      <c r="AG69" s="1"/>
    </row>
    <row r="70" spans="2:33" x14ac:dyDescent="0.3">
      <c r="B70" s="5">
        <v>67</v>
      </c>
      <c r="C70" s="6">
        <v>355</v>
      </c>
      <c r="D70" s="6">
        <v>403</v>
      </c>
      <c r="E70" s="6">
        <v>395</v>
      </c>
      <c r="F70" s="6">
        <v>402</v>
      </c>
      <c r="AG70" s="1"/>
    </row>
    <row r="71" spans="2:33" x14ac:dyDescent="0.3">
      <c r="B71" s="5">
        <v>68</v>
      </c>
      <c r="C71" s="6">
        <v>380</v>
      </c>
      <c r="D71" s="6">
        <v>413</v>
      </c>
      <c r="E71" s="6">
        <v>419</v>
      </c>
      <c r="F71" s="6">
        <v>423</v>
      </c>
      <c r="AG71" s="1"/>
    </row>
    <row r="72" spans="2:33" x14ac:dyDescent="0.3">
      <c r="B72" s="5">
        <v>69</v>
      </c>
      <c r="C72" s="6">
        <v>437</v>
      </c>
      <c r="D72" s="6">
        <v>491</v>
      </c>
      <c r="E72" s="6">
        <v>488</v>
      </c>
      <c r="F72" s="6">
        <v>491</v>
      </c>
      <c r="AG72" s="1"/>
    </row>
    <row r="73" spans="2:33" x14ac:dyDescent="0.3">
      <c r="B73" s="5">
        <v>70</v>
      </c>
      <c r="C73" s="6">
        <v>512</v>
      </c>
      <c r="D73" s="6">
        <v>555</v>
      </c>
      <c r="E73" s="6">
        <v>558</v>
      </c>
      <c r="F73" s="6">
        <v>563</v>
      </c>
      <c r="AG73" s="1"/>
    </row>
    <row r="74" spans="2:33" x14ac:dyDescent="0.3">
      <c r="B74" s="5">
        <v>71</v>
      </c>
      <c r="C74" s="6">
        <v>597</v>
      </c>
      <c r="D74" s="6">
        <v>631</v>
      </c>
      <c r="E74" s="6">
        <v>634</v>
      </c>
      <c r="F74" s="6">
        <v>644</v>
      </c>
      <c r="AG74" s="1"/>
    </row>
    <row r="75" spans="2:33" x14ac:dyDescent="0.3">
      <c r="B75" s="5">
        <v>72</v>
      </c>
      <c r="C75" s="6">
        <v>682</v>
      </c>
      <c r="D75" s="6">
        <v>719</v>
      </c>
      <c r="E75" s="6">
        <v>715</v>
      </c>
      <c r="F75" s="6">
        <v>726</v>
      </c>
      <c r="AG75" s="1"/>
    </row>
    <row r="76" spans="2:33" x14ac:dyDescent="0.3">
      <c r="B76" s="5">
        <v>73</v>
      </c>
      <c r="C76" s="6">
        <v>778</v>
      </c>
      <c r="D76" s="6">
        <v>807</v>
      </c>
      <c r="E76" s="6">
        <v>808</v>
      </c>
      <c r="F76" s="6">
        <v>818</v>
      </c>
      <c r="AG76" s="1"/>
    </row>
    <row r="77" spans="2:33" x14ac:dyDescent="0.3">
      <c r="B77" s="5">
        <v>74</v>
      </c>
      <c r="C77" s="6">
        <v>863</v>
      </c>
      <c r="D77" s="6">
        <v>883</v>
      </c>
      <c r="E77" s="6">
        <v>884</v>
      </c>
      <c r="F77" s="6">
        <v>890</v>
      </c>
      <c r="AG77" s="1"/>
    </row>
    <row r="78" spans="2:33" x14ac:dyDescent="0.3">
      <c r="B78" s="5">
        <v>75</v>
      </c>
      <c r="C78" s="6">
        <v>938</v>
      </c>
      <c r="D78" s="6">
        <v>941</v>
      </c>
      <c r="E78" s="6">
        <v>942</v>
      </c>
      <c r="F78" s="6">
        <v>951</v>
      </c>
      <c r="AG78" s="1"/>
    </row>
    <row r="79" spans="2:33" x14ac:dyDescent="0.3">
      <c r="B79" s="5">
        <v>76</v>
      </c>
      <c r="C79" s="6">
        <v>948</v>
      </c>
      <c r="D79" s="6">
        <v>965</v>
      </c>
      <c r="E79" s="6">
        <v>959</v>
      </c>
      <c r="F79" s="6">
        <v>962</v>
      </c>
      <c r="AG79" s="1"/>
    </row>
    <row r="80" spans="2:33" x14ac:dyDescent="0.3">
      <c r="B80" s="5">
        <v>77</v>
      </c>
      <c r="C80" s="6">
        <v>938</v>
      </c>
      <c r="D80" s="6">
        <v>947</v>
      </c>
      <c r="E80" s="6">
        <v>942</v>
      </c>
      <c r="F80" s="6">
        <v>951</v>
      </c>
      <c r="AG80" s="1"/>
    </row>
    <row r="81" spans="2:33" x14ac:dyDescent="0.3">
      <c r="B81" s="5">
        <v>78</v>
      </c>
      <c r="C81" s="6">
        <v>884</v>
      </c>
      <c r="D81" s="6">
        <v>900</v>
      </c>
      <c r="E81" s="6">
        <v>895</v>
      </c>
      <c r="F81" s="6">
        <v>910</v>
      </c>
      <c r="AG81" s="1"/>
    </row>
    <row r="82" spans="2:33" x14ac:dyDescent="0.3">
      <c r="B82" s="5">
        <v>79</v>
      </c>
      <c r="C82" s="6">
        <v>789</v>
      </c>
      <c r="D82" s="6">
        <v>818</v>
      </c>
      <c r="E82" s="6">
        <v>808</v>
      </c>
      <c r="F82" s="6">
        <v>829</v>
      </c>
      <c r="AG82" s="1"/>
    </row>
    <row r="83" spans="2:33" x14ac:dyDescent="0.3">
      <c r="B83" s="5">
        <v>80</v>
      </c>
      <c r="C83" s="6">
        <v>693</v>
      </c>
      <c r="D83" s="6">
        <v>731</v>
      </c>
      <c r="E83" s="6">
        <v>721</v>
      </c>
      <c r="F83" s="6">
        <v>737</v>
      </c>
      <c r="AG83" s="1"/>
    </row>
    <row r="84" spans="2:33" x14ac:dyDescent="0.3">
      <c r="B84" s="5">
        <v>81</v>
      </c>
      <c r="C84" s="6">
        <v>597</v>
      </c>
      <c r="D84" s="6">
        <v>643</v>
      </c>
      <c r="E84" s="6">
        <v>634</v>
      </c>
      <c r="F84" s="6">
        <v>644</v>
      </c>
      <c r="AG84" s="1"/>
    </row>
    <row r="85" spans="2:33" x14ac:dyDescent="0.3">
      <c r="B85" s="5">
        <v>82</v>
      </c>
      <c r="C85" s="6">
        <v>512</v>
      </c>
      <c r="D85" s="6">
        <v>567</v>
      </c>
      <c r="E85" s="6">
        <v>558</v>
      </c>
      <c r="F85" s="6">
        <v>563</v>
      </c>
      <c r="AG85" s="1"/>
    </row>
    <row r="86" spans="2:33" x14ac:dyDescent="0.3">
      <c r="B86" s="5">
        <v>83</v>
      </c>
      <c r="C86" s="6">
        <v>448</v>
      </c>
      <c r="D86" s="6">
        <v>497</v>
      </c>
      <c r="E86" s="6">
        <v>488</v>
      </c>
      <c r="F86" s="6">
        <v>491</v>
      </c>
      <c r="AG86" s="1"/>
    </row>
    <row r="87" spans="2:33" x14ac:dyDescent="0.3">
      <c r="B87" s="5">
        <v>84</v>
      </c>
      <c r="C87" s="6">
        <v>377</v>
      </c>
      <c r="D87" s="6">
        <v>419</v>
      </c>
      <c r="E87" s="6">
        <v>419</v>
      </c>
      <c r="F87" s="6">
        <v>423</v>
      </c>
      <c r="AG87" s="1"/>
    </row>
    <row r="88" spans="2:33" x14ac:dyDescent="0.3">
      <c r="B88" s="5">
        <v>85</v>
      </c>
      <c r="C88" s="6">
        <v>387</v>
      </c>
      <c r="D88" s="6">
        <v>433</v>
      </c>
      <c r="E88" s="6">
        <v>430</v>
      </c>
      <c r="F88" s="6">
        <v>433</v>
      </c>
      <c r="AG88" s="1"/>
    </row>
    <row r="89" spans="2:33" x14ac:dyDescent="0.3">
      <c r="B89" s="5">
        <v>86</v>
      </c>
      <c r="C89" s="6">
        <v>458</v>
      </c>
      <c r="D89" s="6">
        <v>503</v>
      </c>
      <c r="E89" s="6">
        <v>500</v>
      </c>
      <c r="F89" s="6">
        <v>501</v>
      </c>
      <c r="AG89" s="1"/>
    </row>
    <row r="90" spans="2:33" x14ac:dyDescent="0.3">
      <c r="B90" s="5">
        <v>87</v>
      </c>
      <c r="C90" s="6">
        <v>522</v>
      </c>
      <c r="D90" s="6">
        <v>573</v>
      </c>
      <c r="E90" s="6">
        <v>575</v>
      </c>
      <c r="F90" s="6">
        <v>583</v>
      </c>
      <c r="AG90" s="1"/>
    </row>
    <row r="91" spans="2:33" x14ac:dyDescent="0.3">
      <c r="B91" s="5">
        <v>88</v>
      </c>
      <c r="C91" s="6">
        <v>618</v>
      </c>
      <c r="D91" s="6">
        <v>655</v>
      </c>
      <c r="E91" s="6">
        <v>657</v>
      </c>
      <c r="F91" s="6">
        <v>665</v>
      </c>
      <c r="AG91" s="1"/>
    </row>
    <row r="92" spans="2:33" x14ac:dyDescent="0.3">
      <c r="B92" s="5">
        <v>89</v>
      </c>
      <c r="C92" s="6">
        <v>725</v>
      </c>
      <c r="D92" s="6">
        <v>754</v>
      </c>
      <c r="E92" s="6">
        <v>750</v>
      </c>
      <c r="F92" s="6">
        <v>757</v>
      </c>
      <c r="AG92" s="1"/>
    </row>
    <row r="93" spans="2:33" x14ac:dyDescent="0.3">
      <c r="B93" s="5">
        <v>90</v>
      </c>
      <c r="C93" s="6">
        <v>831</v>
      </c>
      <c r="D93" s="6">
        <v>848</v>
      </c>
      <c r="E93" s="6">
        <v>849</v>
      </c>
      <c r="F93" s="6">
        <v>859</v>
      </c>
      <c r="AG93" s="1"/>
    </row>
    <row r="94" spans="2:33" x14ac:dyDescent="0.3">
      <c r="B94" s="5">
        <v>91</v>
      </c>
      <c r="C94" s="6">
        <v>927</v>
      </c>
      <c r="D94" s="6">
        <v>941</v>
      </c>
      <c r="E94" s="6">
        <v>936</v>
      </c>
      <c r="F94" s="6">
        <v>941</v>
      </c>
      <c r="AG94" s="1"/>
    </row>
    <row r="95" spans="2:33" x14ac:dyDescent="0.3">
      <c r="B95" s="5">
        <v>92</v>
      </c>
      <c r="C95" s="6">
        <v>980</v>
      </c>
      <c r="D95" s="6">
        <v>988</v>
      </c>
      <c r="E95" s="6">
        <v>988</v>
      </c>
      <c r="F95" s="6">
        <v>992</v>
      </c>
      <c r="AG95" s="1"/>
    </row>
    <row r="96" spans="2:33" x14ac:dyDescent="0.3">
      <c r="B96" s="5">
        <v>93</v>
      </c>
      <c r="C96" s="6">
        <v>1002</v>
      </c>
      <c r="D96" s="6">
        <v>1011</v>
      </c>
      <c r="E96" s="6">
        <v>1006</v>
      </c>
      <c r="F96" s="6">
        <v>1003</v>
      </c>
      <c r="AG96" s="1"/>
    </row>
    <row r="97" spans="2:33" x14ac:dyDescent="0.3">
      <c r="B97" s="5">
        <v>94</v>
      </c>
      <c r="C97" s="6">
        <v>980</v>
      </c>
      <c r="D97" s="6">
        <v>994</v>
      </c>
      <c r="E97" s="6">
        <v>988</v>
      </c>
      <c r="F97" s="6">
        <v>992</v>
      </c>
      <c r="AG97" s="1"/>
    </row>
    <row r="98" spans="2:33" x14ac:dyDescent="0.3">
      <c r="B98" s="5">
        <v>95</v>
      </c>
      <c r="C98" s="6">
        <v>927</v>
      </c>
      <c r="D98" s="6">
        <v>947</v>
      </c>
      <c r="E98" s="6">
        <v>936</v>
      </c>
      <c r="F98" s="6">
        <v>951</v>
      </c>
      <c r="AG98" s="1"/>
    </row>
    <row r="99" spans="2:33" x14ac:dyDescent="0.3">
      <c r="B99" s="5">
        <v>96</v>
      </c>
      <c r="C99" s="6">
        <v>842</v>
      </c>
      <c r="D99" s="6">
        <v>865</v>
      </c>
      <c r="E99" s="6">
        <v>860</v>
      </c>
      <c r="F99" s="6">
        <v>870</v>
      </c>
      <c r="AG99" s="1"/>
    </row>
    <row r="100" spans="2:33" x14ac:dyDescent="0.3">
      <c r="B100" s="5">
        <v>97</v>
      </c>
      <c r="C100" s="6">
        <v>725</v>
      </c>
      <c r="D100" s="6">
        <v>766</v>
      </c>
      <c r="E100" s="6">
        <v>756</v>
      </c>
      <c r="F100" s="6">
        <v>767</v>
      </c>
      <c r="AG100" s="1"/>
    </row>
    <row r="101" spans="2:33" x14ac:dyDescent="0.3">
      <c r="B101" s="5">
        <v>98</v>
      </c>
      <c r="C101" s="6">
        <v>618</v>
      </c>
      <c r="D101" s="6">
        <v>666</v>
      </c>
      <c r="E101" s="6">
        <v>657</v>
      </c>
      <c r="F101" s="6">
        <v>665</v>
      </c>
      <c r="AG101" s="1"/>
    </row>
    <row r="102" spans="2:33" x14ac:dyDescent="0.3">
      <c r="B102" s="5">
        <v>99</v>
      </c>
      <c r="C102" s="6">
        <v>533</v>
      </c>
      <c r="D102" s="6">
        <v>585</v>
      </c>
      <c r="E102" s="6">
        <v>575</v>
      </c>
      <c r="F102" s="6">
        <v>583</v>
      </c>
      <c r="AG102" s="1"/>
    </row>
    <row r="103" spans="2:33" x14ac:dyDescent="0.3">
      <c r="B103" s="5">
        <v>100</v>
      </c>
      <c r="C103" s="6">
        <v>458</v>
      </c>
      <c r="D103" s="6">
        <v>509</v>
      </c>
      <c r="E103" s="6">
        <v>506</v>
      </c>
      <c r="F103" s="6">
        <v>512</v>
      </c>
      <c r="AG103" s="1"/>
    </row>
    <row r="104" spans="2:33" x14ac:dyDescent="0.3">
      <c r="B104" s="5">
        <v>101</v>
      </c>
      <c r="C104" s="6">
        <v>387</v>
      </c>
      <c r="D104" s="6">
        <v>438</v>
      </c>
      <c r="E104" s="6">
        <v>428</v>
      </c>
      <c r="F104" s="6">
        <v>430</v>
      </c>
      <c r="AG104" s="1"/>
    </row>
    <row r="105" spans="2:33" x14ac:dyDescent="0.3">
      <c r="B105" s="5">
        <v>102</v>
      </c>
      <c r="C105" s="6">
        <v>387</v>
      </c>
      <c r="D105" s="6">
        <v>433</v>
      </c>
      <c r="E105" s="6">
        <v>436</v>
      </c>
      <c r="F105" s="6">
        <v>430</v>
      </c>
      <c r="AG105" s="1"/>
    </row>
    <row r="106" spans="2:33" x14ac:dyDescent="0.3">
      <c r="B106" s="5">
        <v>103</v>
      </c>
      <c r="C106" s="6">
        <v>458</v>
      </c>
      <c r="D106" s="6">
        <v>503</v>
      </c>
      <c r="E106" s="6">
        <v>506</v>
      </c>
      <c r="F106" s="6">
        <v>512</v>
      </c>
      <c r="AG106" s="1"/>
    </row>
    <row r="107" spans="2:33" x14ac:dyDescent="0.3">
      <c r="B107" s="5">
        <v>104</v>
      </c>
      <c r="C107" s="6">
        <v>533</v>
      </c>
      <c r="D107" s="6">
        <v>579</v>
      </c>
      <c r="E107" s="6">
        <v>575</v>
      </c>
      <c r="F107" s="6">
        <v>583</v>
      </c>
      <c r="AG107" s="1"/>
    </row>
    <row r="108" spans="2:33" x14ac:dyDescent="0.3">
      <c r="B108" s="5">
        <v>105</v>
      </c>
      <c r="C108" s="6">
        <v>629</v>
      </c>
      <c r="D108" s="6">
        <v>666</v>
      </c>
      <c r="E108" s="6">
        <v>663</v>
      </c>
      <c r="F108" s="6">
        <v>675</v>
      </c>
      <c r="AG108" s="1"/>
    </row>
    <row r="109" spans="2:33" x14ac:dyDescent="0.3">
      <c r="B109" s="5">
        <v>106</v>
      </c>
      <c r="C109" s="6">
        <v>735</v>
      </c>
      <c r="D109" s="6">
        <v>766</v>
      </c>
      <c r="E109" s="6">
        <v>767</v>
      </c>
      <c r="F109" s="6">
        <v>777</v>
      </c>
      <c r="AG109" s="1"/>
    </row>
    <row r="110" spans="2:33" x14ac:dyDescent="0.3">
      <c r="B110" s="5">
        <v>107</v>
      </c>
      <c r="C110" s="6">
        <v>842</v>
      </c>
      <c r="D110" s="6">
        <v>865</v>
      </c>
      <c r="E110" s="6">
        <v>866</v>
      </c>
      <c r="F110" s="6">
        <v>870</v>
      </c>
      <c r="AG110" s="1"/>
    </row>
    <row r="111" spans="2:33" x14ac:dyDescent="0.3">
      <c r="B111" s="5">
        <v>108</v>
      </c>
      <c r="C111" s="6">
        <v>948</v>
      </c>
      <c r="D111" s="6">
        <v>959</v>
      </c>
      <c r="E111" s="6">
        <v>959</v>
      </c>
      <c r="F111" s="6">
        <v>962</v>
      </c>
      <c r="AG111" s="1"/>
    </row>
    <row r="112" spans="2:33" x14ac:dyDescent="0.3">
      <c r="B112" s="5">
        <v>109</v>
      </c>
      <c r="C112" s="6">
        <v>1002</v>
      </c>
      <c r="D112" s="6">
        <v>1005</v>
      </c>
      <c r="E112" s="6">
        <v>1000</v>
      </c>
      <c r="F112" s="6">
        <v>1003</v>
      </c>
      <c r="AG112" s="1"/>
    </row>
    <row r="113" spans="2:33" x14ac:dyDescent="0.3">
      <c r="B113" s="5">
        <v>110</v>
      </c>
      <c r="C113" s="6">
        <v>1023</v>
      </c>
      <c r="D113" s="6">
        <v>1023</v>
      </c>
      <c r="E113" s="6">
        <v>1023</v>
      </c>
      <c r="F113" s="6">
        <v>1023</v>
      </c>
      <c r="AG113" s="1"/>
    </row>
    <row r="114" spans="2:33" x14ac:dyDescent="0.3">
      <c r="B114" s="5">
        <v>111</v>
      </c>
      <c r="C114" s="6">
        <v>1002</v>
      </c>
      <c r="D114" s="6">
        <v>1011</v>
      </c>
      <c r="E114" s="6">
        <v>1006</v>
      </c>
      <c r="F114" s="6">
        <v>1003</v>
      </c>
      <c r="AG114" s="1"/>
    </row>
    <row r="115" spans="2:33" x14ac:dyDescent="0.3">
      <c r="B115" s="5">
        <v>112</v>
      </c>
      <c r="C115" s="6">
        <v>948</v>
      </c>
      <c r="D115" s="6">
        <v>959</v>
      </c>
      <c r="E115" s="6">
        <v>953</v>
      </c>
      <c r="F115" s="6">
        <v>962</v>
      </c>
      <c r="AG115" s="1"/>
    </row>
    <row r="116" spans="2:33" x14ac:dyDescent="0.3">
      <c r="B116" s="5">
        <v>113</v>
      </c>
      <c r="C116" s="6">
        <v>853</v>
      </c>
      <c r="D116" s="6">
        <v>883</v>
      </c>
      <c r="E116" s="6">
        <v>878</v>
      </c>
      <c r="F116" s="6">
        <v>890</v>
      </c>
      <c r="AG116" s="1"/>
    </row>
    <row r="117" spans="2:33" x14ac:dyDescent="0.3">
      <c r="B117" s="5">
        <v>114</v>
      </c>
      <c r="C117" s="6">
        <v>746</v>
      </c>
      <c r="D117" s="6">
        <v>777</v>
      </c>
      <c r="E117" s="6">
        <v>767</v>
      </c>
      <c r="F117" s="6">
        <v>777</v>
      </c>
      <c r="AG117" s="1"/>
    </row>
    <row r="118" spans="2:33" x14ac:dyDescent="0.3">
      <c r="B118" s="5">
        <v>115</v>
      </c>
      <c r="C118" s="6">
        <v>629</v>
      </c>
      <c r="D118" s="6">
        <v>672</v>
      </c>
      <c r="E118" s="6">
        <v>668</v>
      </c>
      <c r="F118" s="6">
        <v>675</v>
      </c>
      <c r="AG118" s="1"/>
    </row>
    <row r="119" spans="2:33" x14ac:dyDescent="0.3">
      <c r="B119" s="5">
        <v>116</v>
      </c>
      <c r="C119" s="6">
        <v>543</v>
      </c>
      <c r="D119" s="6">
        <v>590</v>
      </c>
      <c r="E119" s="6">
        <v>581</v>
      </c>
      <c r="F119" s="6">
        <v>583</v>
      </c>
      <c r="AG119" s="1"/>
    </row>
    <row r="120" spans="2:33" x14ac:dyDescent="0.3">
      <c r="B120" s="5">
        <v>117</v>
      </c>
      <c r="C120" s="6">
        <v>469</v>
      </c>
      <c r="D120" s="6">
        <v>514</v>
      </c>
      <c r="E120" s="6">
        <v>506</v>
      </c>
      <c r="F120" s="6">
        <v>512</v>
      </c>
      <c r="AG120" s="1"/>
    </row>
    <row r="121" spans="2:33" x14ac:dyDescent="0.3">
      <c r="B121" s="5">
        <v>118</v>
      </c>
      <c r="C121" s="6">
        <v>398</v>
      </c>
      <c r="D121" s="6">
        <v>436</v>
      </c>
      <c r="E121" s="6">
        <v>436</v>
      </c>
      <c r="F121" s="6">
        <v>430</v>
      </c>
      <c r="AG121" s="1"/>
    </row>
    <row r="122" spans="2:33" x14ac:dyDescent="0.3">
      <c r="B122" s="5">
        <v>119</v>
      </c>
      <c r="C122" s="6">
        <v>391</v>
      </c>
      <c r="D122" s="6">
        <v>427</v>
      </c>
      <c r="E122" s="6">
        <v>430</v>
      </c>
      <c r="F122" s="6">
        <v>433</v>
      </c>
      <c r="AG122" s="1"/>
    </row>
    <row r="123" spans="2:33" x14ac:dyDescent="0.3">
      <c r="B123" s="5">
        <v>120</v>
      </c>
      <c r="C123" s="6">
        <v>448</v>
      </c>
      <c r="D123" s="6">
        <v>497</v>
      </c>
      <c r="E123" s="6">
        <v>500</v>
      </c>
      <c r="F123" s="6">
        <v>501</v>
      </c>
      <c r="AG123" s="1"/>
    </row>
    <row r="124" spans="2:33" x14ac:dyDescent="0.3">
      <c r="B124" s="5">
        <v>121</v>
      </c>
      <c r="C124" s="6">
        <v>522</v>
      </c>
      <c r="D124" s="6">
        <v>573</v>
      </c>
      <c r="E124" s="6">
        <v>570</v>
      </c>
      <c r="F124" s="6">
        <v>573</v>
      </c>
      <c r="AG124" s="1"/>
    </row>
    <row r="125" spans="2:33" x14ac:dyDescent="0.3">
      <c r="B125" s="5">
        <v>122</v>
      </c>
      <c r="C125" s="6">
        <v>618</v>
      </c>
      <c r="D125" s="6">
        <v>655</v>
      </c>
      <c r="E125" s="6">
        <v>657</v>
      </c>
      <c r="F125" s="6">
        <v>665</v>
      </c>
      <c r="AG125" s="1"/>
    </row>
    <row r="126" spans="2:33" x14ac:dyDescent="0.3">
      <c r="B126" s="5">
        <v>123</v>
      </c>
      <c r="C126" s="6">
        <v>725</v>
      </c>
      <c r="D126" s="6">
        <v>754</v>
      </c>
      <c r="E126" s="6">
        <v>756</v>
      </c>
      <c r="F126" s="6">
        <v>757</v>
      </c>
      <c r="AG126" s="1"/>
    </row>
    <row r="127" spans="2:33" x14ac:dyDescent="0.3">
      <c r="B127" s="5">
        <v>124</v>
      </c>
      <c r="C127" s="6">
        <v>831</v>
      </c>
      <c r="D127" s="6">
        <v>848</v>
      </c>
      <c r="E127" s="6">
        <v>849</v>
      </c>
      <c r="F127" s="6">
        <v>859</v>
      </c>
      <c r="AG127" s="1"/>
    </row>
    <row r="128" spans="2:33" x14ac:dyDescent="0.3">
      <c r="B128" s="5">
        <v>125</v>
      </c>
      <c r="C128" s="6">
        <v>927</v>
      </c>
      <c r="D128" s="6">
        <v>941</v>
      </c>
      <c r="E128" s="6">
        <v>942</v>
      </c>
      <c r="F128" s="6">
        <v>951</v>
      </c>
      <c r="AG128" s="1"/>
    </row>
    <row r="129" spans="2:33" x14ac:dyDescent="0.3">
      <c r="B129" s="5">
        <v>126</v>
      </c>
      <c r="C129" s="6">
        <v>980</v>
      </c>
      <c r="D129" s="6">
        <v>988</v>
      </c>
      <c r="E129" s="6">
        <v>988</v>
      </c>
      <c r="F129" s="6">
        <v>992</v>
      </c>
      <c r="AG129" s="1"/>
    </row>
    <row r="130" spans="2:33" x14ac:dyDescent="0.3">
      <c r="B130" s="5">
        <v>127</v>
      </c>
      <c r="C130" s="6">
        <v>1002</v>
      </c>
      <c r="D130" s="6">
        <v>1005</v>
      </c>
      <c r="E130" s="6">
        <v>1006</v>
      </c>
      <c r="F130" s="6">
        <v>1003</v>
      </c>
      <c r="AG130" s="1"/>
    </row>
    <row r="131" spans="2:33" x14ac:dyDescent="0.3">
      <c r="B131" s="5">
        <v>128</v>
      </c>
      <c r="C131" s="6">
        <v>980</v>
      </c>
      <c r="D131" s="6">
        <v>994</v>
      </c>
      <c r="E131" s="6">
        <v>988</v>
      </c>
      <c r="F131" s="6">
        <v>992</v>
      </c>
      <c r="AG131" s="1"/>
    </row>
    <row r="132" spans="2:33" x14ac:dyDescent="0.3">
      <c r="B132" s="5">
        <v>129</v>
      </c>
      <c r="C132" s="6">
        <v>927</v>
      </c>
      <c r="D132" s="6">
        <v>947</v>
      </c>
      <c r="E132" s="6">
        <v>942</v>
      </c>
      <c r="F132" s="6">
        <v>951</v>
      </c>
      <c r="AG132" s="1"/>
    </row>
    <row r="133" spans="2:33" x14ac:dyDescent="0.3">
      <c r="B133" s="5">
        <v>130</v>
      </c>
      <c r="C133" s="6">
        <v>842</v>
      </c>
      <c r="D133" s="6">
        <v>865</v>
      </c>
      <c r="E133" s="6">
        <v>860</v>
      </c>
      <c r="F133" s="6">
        <v>870</v>
      </c>
      <c r="AG133" s="1"/>
    </row>
    <row r="134" spans="2:33" x14ac:dyDescent="0.3">
      <c r="B134" s="5">
        <v>131</v>
      </c>
      <c r="C134" s="6">
        <v>725</v>
      </c>
      <c r="D134" s="6">
        <v>760</v>
      </c>
      <c r="E134" s="6">
        <v>756</v>
      </c>
      <c r="F134" s="6">
        <v>767</v>
      </c>
      <c r="AG134" s="1"/>
    </row>
    <row r="135" spans="2:33" x14ac:dyDescent="0.3">
      <c r="B135" s="5">
        <v>132</v>
      </c>
      <c r="C135" s="6">
        <v>618</v>
      </c>
      <c r="D135" s="6">
        <v>666</v>
      </c>
      <c r="E135" s="6">
        <v>657</v>
      </c>
      <c r="F135" s="6">
        <v>665</v>
      </c>
      <c r="AG135" s="1"/>
    </row>
    <row r="136" spans="2:33" x14ac:dyDescent="0.3">
      <c r="B136" s="5">
        <v>133</v>
      </c>
      <c r="C136" s="6">
        <v>533</v>
      </c>
      <c r="D136" s="6">
        <v>579</v>
      </c>
      <c r="E136" s="6">
        <v>575</v>
      </c>
      <c r="F136" s="6">
        <v>583</v>
      </c>
      <c r="AG136" s="1"/>
    </row>
    <row r="137" spans="2:33" x14ac:dyDescent="0.3">
      <c r="B137" s="5">
        <v>134</v>
      </c>
      <c r="C137" s="6">
        <v>458</v>
      </c>
      <c r="D137" s="6">
        <v>509</v>
      </c>
      <c r="E137" s="6">
        <v>506</v>
      </c>
      <c r="F137" s="6">
        <v>512</v>
      </c>
      <c r="AG137" s="1"/>
    </row>
    <row r="138" spans="2:33" x14ac:dyDescent="0.3">
      <c r="B138" s="5">
        <v>135</v>
      </c>
      <c r="C138" s="6">
        <v>387</v>
      </c>
      <c r="D138" s="6">
        <v>431</v>
      </c>
      <c r="E138" s="6">
        <v>428</v>
      </c>
      <c r="F138" s="6">
        <v>430</v>
      </c>
      <c r="AG138" s="1"/>
    </row>
    <row r="139" spans="2:33" x14ac:dyDescent="0.3">
      <c r="B139" s="5">
        <v>136</v>
      </c>
      <c r="C139" s="6">
        <v>366</v>
      </c>
      <c r="D139" s="6">
        <v>415</v>
      </c>
      <c r="E139" s="6">
        <v>419</v>
      </c>
      <c r="F139" s="6">
        <v>409</v>
      </c>
      <c r="AG139" s="1"/>
    </row>
    <row r="140" spans="2:33" x14ac:dyDescent="0.3">
      <c r="B140" s="5">
        <v>137</v>
      </c>
      <c r="C140" s="6">
        <v>437</v>
      </c>
      <c r="D140" s="6">
        <v>485</v>
      </c>
      <c r="E140" s="6">
        <v>488</v>
      </c>
      <c r="F140" s="6">
        <v>491</v>
      </c>
      <c r="AG140" s="1"/>
    </row>
    <row r="141" spans="2:33" x14ac:dyDescent="0.3">
      <c r="B141" s="5">
        <v>138</v>
      </c>
      <c r="C141" s="6">
        <v>501</v>
      </c>
      <c r="D141" s="6">
        <v>555</v>
      </c>
      <c r="E141" s="6">
        <v>558</v>
      </c>
      <c r="F141" s="6">
        <v>563</v>
      </c>
      <c r="AG141" s="1"/>
    </row>
    <row r="142" spans="2:33" x14ac:dyDescent="0.3">
      <c r="B142" s="5">
        <v>139</v>
      </c>
      <c r="C142" s="6">
        <v>586</v>
      </c>
      <c r="D142" s="6">
        <v>631</v>
      </c>
      <c r="E142" s="6">
        <v>634</v>
      </c>
      <c r="F142" s="6">
        <v>634</v>
      </c>
      <c r="AG142" s="1"/>
    </row>
    <row r="143" spans="2:33" x14ac:dyDescent="0.3">
      <c r="B143" s="5">
        <v>140</v>
      </c>
      <c r="C143" s="6">
        <v>682</v>
      </c>
      <c r="D143" s="6">
        <v>719</v>
      </c>
      <c r="E143" s="6">
        <v>721</v>
      </c>
      <c r="F143" s="6">
        <v>726</v>
      </c>
      <c r="AG143" s="1"/>
    </row>
    <row r="144" spans="2:33" x14ac:dyDescent="0.3">
      <c r="B144" s="5">
        <v>141</v>
      </c>
      <c r="C144" s="6">
        <v>778</v>
      </c>
      <c r="D144" s="6">
        <v>807</v>
      </c>
      <c r="E144" s="6">
        <v>808</v>
      </c>
      <c r="F144" s="6">
        <v>818</v>
      </c>
      <c r="AG144" s="1"/>
    </row>
    <row r="145" spans="2:33" x14ac:dyDescent="0.3">
      <c r="B145" s="5">
        <v>142</v>
      </c>
      <c r="C145" s="6">
        <v>874</v>
      </c>
      <c r="D145" s="6">
        <v>889</v>
      </c>
      <c r="E145" s="6">
        <v>889</v>
      </c>
      <c r="F145" s="6">
        <v>900</v>
      </c>
      <c r="AG145" s="1"/>
    </row>
    <row r="146" spans="2:33" x14ac:dyDescent="0.3">
      <c r="B146" s="5">
        <v>143</v>
      </c>
      <c r="C146" s="6">
        <v>938</v>
      </c>
      <c r="D146" s="6">
        <v>947</v>
      </c>
      <c r="E146" s="6">
        <v>947</v>
      </c>
      <c r="F146" s="6">
        <v>951</v>
      </c>
      <c r="AG146" s="1"/>
    </row>
    <row r="147" spans="2:33" x14ac:dyDescent="0.3">
      <c r="B147" s="5">
        <v>144</v>
      </c>
      <c r="C147" s="6">
        <v>959</v>
      </c>
      <c r="D147" s="6">
        <v>965</v>
      </c>
      <c r="E147" s="6">
        <v>965</v>
      </c>
      <c r="F147" s="6">
        <v>962</v>
      </c>
      <c r="AG147" s="1"/>
    </row>
    <row r="148" spans="2:33" x14ac:dyDescent="0.3">
      <c r="B148" s="5">
        <v>145</v>
      </c>
      <c r="C148" s="6">
        <v>938</v>
      </c>
      <c r="D148" s="6">
        <v>953</v>
      </c>
      <c r="E148" s="6">
        <v>947</v>
      </c>
      <c r="F148" s="6">
        <v>951</v>
      </c>
      <c r="AG148" s="1"/>
    </row>
    <row r="149" spans="2:33" x14ac:dyDescent="0.3">
      <c r="B149" s="5">
        <v>146</v>
      </c>
      <c r="C149" s="6">
        <v>884</v>
      </c>
      <c r="D149" s="6">
        <v>900</v>
      </c>
      <c r="E149" s="6">
        <v>901</v>
      </c>
      <c r="F149" s="6">
        <v>910</v>
      </c>
      <c r="AG149" s="1"/>
    </row>
    <row r="150" spans="2:33" x14ac:dyDescent="0.3">
      <c r="B150" s="5">
        <v>147</v>
      </c>
      <c r="C150" s="6">
        <v>789</v>
      </c>
      <c r="D150" s="6">
        <v>818</v>
      </c>
      <c r="E150" s="6">
        <v>814</v>
      </c>
      <c r="F150" s="6">
        <v>829</v>
      </c>
      <c r="AG150" s="1"/>
    </row>
    <row r="151" spans="2:33" x14ac:dyDescent="0.3">
      <c r="B151" s="5">
        <v>148</v>
      </c>
      <c r="C151" s="6">
        <v>693</v>
      </c>
      <c r="D151" s="6">
        <v>725</v>
      </c>
      <c r="E151" s="6">
        <v>721</v>
      </c>
      <c r="F151" s="6">
        <v>737</v>
      </c>
      <c r="AG151" s="1"/>
    </row>
    <row r="152" spans="2:33" x14ac:dyDescent="0.3">
      <c r="B152" s="5">
        <v>149</v>
      </c>
      <c r="C152" s="6">
        <v>597</v>
      </c>
      <c r="D152" s="6">
        <v>637</v>
      </c>
      <c r="E152" s="6">
        <v>634</v>
      </c>
      <c r="F152" s="6">
        <v>644</v>
      </c>
      <c r="AG152" s="1"/>
    </row>
    <row r="153" spans="2:33" x14ac:dyDescent="0.3">
      <c r="B153" s="5">
        <v>150</v>
      </c>
      <c r="C153" s="6">
        <v>512</v>
      </c>
      <c r="D153" s="6">
        <v>561</v>
      </c>
      <c r="E153" s="6">
        <v>558</v>
      </c>
      <c r="F153" s="6">
        <v>563</v>
      </c>
      <c r="AG153" s="1"/>
    </row>
    <row r="154" spans="2:33" x14ac:dyDescent="0.3">
      <c r="B154" s="5">
        <v>151</v>
      </c>
      <c r="C154" s="6">
        <v>448</v>
      </c>
      <c r="D154" s="6">
        <v>491</v>
      </c>
      <c r="E154" s="6">
        <v>488</v>
      </c>
      <c r="F154" s="6">
        <v>491</v>
      </c>
      <c r="AG154" s="1"/>
    </row>
    <row r="155" spans="2:33" x14ac:dyDescent="0.3">
      <c r="B155" s="5">
        <v>152</v>
      </c>
      <c r="C155" s="6">
        <v>377</v>
      </c>
      <c r="D155" s="6">
        <v>421</v>
      </c>
      <c r="E155" s="6">
        <v>419</v>
      </c>
      <c r="F155" s="6">
        <v>423</v>
      </c>
      <c r="AG155" s="1"/>
    </row>
    <row r="156" spans="2:33" x14ac:dyDescent="0.3">
      <c r="B156" s="5">
        <v>153</v>
      </c>
      <c r="C156" s="6">
        <v>345</v>
      </c>
      <c r="D156" s="6">
        <v>392</v>
      </c>
      <c r="E156" s="6">
        <v>395</v>
      </c>
      <c r="F156" s="6">
        <v>392</v>
      </c>
      <c r="AG156" s="1"/>
    </row>
    <row r="157" spans="2:33" x14ac:dyDescent="0.3">
      <c r="B157" s="5">
        <v>154</v>
      </c>
      <c r="C157" s="6">
        <v>416</v>
      </c>
      <c r="D157" s="6">
        <v>462</v>
      </c>
      <c r="E157" s="6">
        <v>465</v>
      </c>
      <c r="F157" s="6">
        <v>460</v>
      </c>
      <c r="AG157" s="1"/>
    </row>
    <row r="158" spans="2:33" x14ac:dyDescent="0.3">
      <c r="B158" s="5">
        <v>155</v>
      </c>
      <c r="C158" s="6">
        <v>480</v>
      </c>
      <c r="D158" s="6">
        <v>526</v>
      </c>
      <c r="E158" s="6">
        <v>529</v>
      </c>
      <c r="F158" s="6">
        <v>532</v>
      </c>
      <c r="AG158" s="1"/>
    </row>
    <row r="159" spans="2:33" x14ac:dyDescent="0.3">
      <c r="B159" s="5">
        <v>156</v>
      </c>
      <c r="C159" s="6">
        <v>554</v>
      </c>
      <c r="D159" s="6">
        <v>596</v>
      </c>
      <c r="E159" s="6">
        <v>599</v>
      </c>
      <c r="F159" s="6">
        <v>604</v>
      </c>
      <c r="AG159" s="1"/>
    </row>
    <row r="160" spans="2:33" x14ac:dyDescent="0.3">
      <c r="B160" s="5">
        <v>157</v>
      </c>
      <c r="C160" s="6">
        <v>629</v>
      </c>
      <c r="D160" s="6">
        <v>672</v>
      </c>
      <c r="E160" s="6">
        <v>674</v>
      </c>
      <c r="F160" s="6">
        <v>675</v>
      </c>
      <c r="AG160" s="1"/>
    </row>
    <row r="161" spans="2:33" x14ac:dyDescent="0.3">
      <c r="B161" s="5">
        <v>158</v>
      </c>
      <c r="C161" s="6">
        <v>714</v>
      </c>
      <c r="D161" s="6">
        <v>748</v>
      </c>
      <c r="E161" s="6">
        <v>750</v>
      </c>
      <c r="F161" s="6">
        <v>757</v>
      </c>
      <c r="AG161" s="1"/>
    </row>
    <row r="162" spans="2:33" x14ac:dyDescent="0.3">
      <c r="B162" s="5">
        <v>159</v>
      </c>
      <c r="C162" s="6">
        <v>789</v>
      </c>
      <c r="D162" s="6">
        <v>813</v>
      </c>
      <c r="E162" s="6">
        <v>814</v>
      </c>
      <c r="F162" s="6">
        <v>818</v>
      </c>
      <c r="AG162" s="1"/>
    </row>
    <row r="163" spans="2:33" x14ac:dyDescent="0.3">
      <c r="B163" s="5">
        <v>160</v>
      </c>
      <c r="C163" s="6">
        <v>842</v>
      </c>
      <c r="D163" s="6">
        <v>859</v>
      </c>
      <c r="E163" s="6">
        <v>860</v>
      </c>
      <c r="F163" s="6">
        <v>870</v>
      </c>
      <c r="AG163" s="1"/>
    </row>
    <row r="164" spans="2:33" x14ac:dyDescent="0.3">
      <c r="B164" s="5">
        <v>161</v>
      </c>
      <c r="C164" s="6">
        <v>863</v>
      </c>
      <c r="D164" s="6">
        <v>883</v>
      </c>
      <c r="E164" s="6">
        <v>878</v>
      </c>
      <c r="F164" s="6">
        <v>880</v>
      </c>
      <c r="AG164" s="1"/>
    </row>
    <row r="165" spans="2:33" x14ac:dyDescent="0.3">
      <c r="B165" s="5">
        <v>162</v>
      </c>
      <c r="C165" s="6">
        <v>853</v>
      </c>
      <c r="D165" s="6">
        <v>865</v>
      </c>
      <c r="E165" s="6">
        <v>866</v>
      </c>
      <c r="F165" s="6">
        <v>870</v>
      </c>
      <c r="AG165" s="1"/>
    </row>
    <row r="166" spans="2:33" x14ac:dyDescent="0.3">
      <c r="B166" s="5">
        <v>163</v>
      </c>
      <c r="C166" s="6">
        <v>799</v>
      </c>
      <c r="D166" s="6">
        <v>818</v>
      </c>
      <c r="E166" s="6">
        <v>820</v>
      </c>
      <c r="F166" s="6">
        <v>829</v>
      </c>
      <c r="AG166" s="1"/>
    </row>
    <row r="167" spans="2:33" x14ac:dyDescent="0.3">
      <c r="B167" s="5">
        <v>164</v>
      </c>
      <c r="C167" s="6">
        <v>725</v>
      </c>
      <c r="D167" s="6">
        <v>754</v>
      </c>
      <c r="E167" s="6">
        <v>750</v>
      </c>
      <c r="F167" s="6">
        <v>757</v>
      </c>
      <c r="AG167" s="1"/>
    </row>
    <row r="168" spans="2:33" x14ac:dyDescent="0.3">
      <c r="B168" s="5">
        <v>165</v>
      </c>
      <c r="C168" s="6">
        <v>639</v>
      </c>
      <c r="D168" s="6">
        <v>678</v>
      </c>
      <c r="E168" s="6">
        <v>674</v>
      </c>
      <c r="F168" s="6">
        <v>685</v>
      </c>
      <c r="AG168" s="1"/>
    </row>
    <row r="169" spans="2:33" x14ac:dyDescent="0.3">
      <c r="B169" s="5">
        <v>166</v>
      </c>
      <c r="C169" s="6">
        <v>554</v>
      </c>
      <c r="D169" s="6">
        <v>602</v>
      </c>
      <c r="E169" s="6">
        <v>599</v>
      </c>
      <c r="F169" s="6">
        <v>604</v>
      </c>
      <c r="AG169" s="1"/>
    </row>
    <row r="170" spans="2:33" x14ac:dyDescent="0.3">
      <c r="B170" s="5">
        <v>167</v>
      </c>
      <c r="C170" s="6">
        <v>490</v>
      </c>
      <c r="D170" s="6">
        <v>532</v>
      </c>
      <c r="E170" s="6">
        <v>529</v>
      </c>
      <c r="F170" s="6">
        <v>532</v>
      </c>
      <c r="AG170" s="1"/>
    </row>
    <row r="171" spans="2:33" x14ac:dyDescent="0.3">
      <c r="B171" s="5">
        <v>168</v>
      </c>
      <c r="C171" s="6">
        <v>426</v>
      </c>
      <c r="D171" s="6">
        <v>468</v>
      </c>
      <c r="E171" s="6">
        <v>465</v>
      </c>
      <c r="F171" s="6">
        <v>471</v>
      </c>
      <c r="AG171" s="1"/>
    </row>
    <row r="172" spans="2:33" x14ac:dyDescent="0.3">
      <c r="B172" s="5">
        <v>169</v>
      </c>
      <c r="C172" s="6">
        <v>355</v>
      </c>
      <c r="D172" s="6">
        <v>398</v>
      </c>
      <c r="E172" s="6">
        <v>395</v>
      </c>
      <c r="F172" s="6">
        <v>389</v>
      </c>
      <c r="AG172" s="1"/>
    </row>
    <row r="173" spans="2:33" x14ac:dyDescent="0.3">
      <c r="B173" s="5">
        <v>170</v>
      </c>
      <c r="C173" s="6">
        <v>327</v>
      </c>
      <c r="D173" s="6">
        <v>364</v>
      </c>
      <c r="E173" s="6">
        <v>368</v>
      </c>
      <c r="F173" s="6">
        <v>361</v>
      </c>
      <c r="AG173" s="1"/>
    </row>
    <row r="174" spans="2:33" x14ac:dyDescent="0.3">
      <c r="B174" s="5">
        <v>171</v>
      </c>
      <c r="C174" s="6">
        <v>384</v>
      </c>
      <c r="D174" s="6">
        <v>427</v>
      </c>
      <c r="E174" s="6">
        <v>430</v>
      </c>
      <c r="F174" s="6">
        <v>430</v>
      </c>
      <c r="AG174" s="1"/>
    </row>
    <row r="175" spans="2:33" x14ac:dyDescent="0.3">
      <c r="B175" s="5">
        <v>172</v>
      </c>
      <c r="C175" s="6">
        <v>448</v>
      </c>
      <c r="D175" s="6">
        <v>497</v>
      </c>
      <c r="E175" s="6">
        <v>494</v>
      </c>
      <c r="F175" s="6">
        <v>501</v>
      </c>
      <c r="AG175" s="1"/>
    </row>
    <row r="176" spans="2:33" x14ac:dyDescent="0.3">
      <c r="B176" s="5">
        <v>173</v>
      </c>
      <c r="C176" s="6">
        <v>512</v>
      </c>
      <c r="D176" s="6">
        <v>555</v>
      </c>
      <c r="E176" s="6">
        <v>558</v>
      </c>
      <c r="F176" s="6">
        <v>563</v>
      </c>
      <c r="AG176" s="1"/>
    </row>
    <row r="177" spans="2:33" x14ac:dyDescent="0.3">
      <c r="B177" s="5">
        <v>174</v>
      </c>
      <c r="C177" s="6">
        <v>575</v>
      </c>
      <c r="D177" s="6">
        <v>614</v>
      </c>
      <c r="E177" s="6">
        <v>616</v>
      </c>
      <c r="F177" s="6">
        <v>624</v>
      </c>
      <c r="AG177" s="1"/>
    </row>
    <row r="178" spans="2:33" x14ac:dyDescent="0.3">
      <c r="B178" s="5">
        <v>175</v>
      </c>
      <c r="C178" s="6">
        <v>639</v>
      </c>
      <c r="D178" s="6">
        <v>672</v>
      </c>
      <c r="E178" s="6">
        <v>674</v>
      </c>
      <c r="F178" s="6">
        <v>685</v>
      </c>
      <c r="AG178" s="1"/>
    </row>
    <row r="179" spans="2:33" x14ac:dyDescent="0.3">
      <c r="B179" s="5">
        <v>176</v>
      </c>
      <c r="C179" s="6">
        <v>693</v>
      </c>
      <c r="D179" s="6">
        <v>725</v>
      </c>
      <c r="E179" s="6">
        <v>732</v>
      </c>
      <c r="F179" s="6">
        <v>737</v>
      </c>
      <c r="AG179" s="1"/>
    </row>
    <row r="180" spans="2:33" x14ac:dyDescent="0.3">
      <c r="B180" s="5">
        <v>177</v>
      </c>
      <c r="C180" s="6">
        <v>735</v>
      </c>
      <c r="D180" s="6">
        <v>766</v>
      </c>
      <c r="E180" s="6">
        <v>767</v>
      </c>
      <c r="F180" s="6">
        <v>767</v>
      </c>
      <c r="AG180" s="1"/>
    </row>
    <row r="181" spans="2:33" x14ac:dyDescent="0.3">
      <c r="B181" s="5">
        <v>178</v>
      </c>
      <c r="C181" s="6">
        <v>757</v>
      </c>
      <c r="D181" s="6">
        <v>777</v>
      </c>
      <c r="E181" s="6">
        <v>779</v>
      </c>
      <c r="F181" s="6">
        <v>788</v>
      </c>
      <c r="AG181" s="1"/>
    </row>
    <row r="182" spans="2:33" x14ac:dyDescent="0.3">
      <c r="B182" s="5">
        <v>179</v>
      </c>
      <c r="C182" s="6">
        <v>746</v>
      </c>
      <c r="D182" s="6">
        <v>766</v>
      </c>
      <c r="E182" s="6">
        <v>767</v>
      </c>
      <c r="F182" s="6">
        <v>767</v>
      </c>
      <c r="AG182" s="1"/>
    </row>
    <row r="183" spans="2:33" x14ac:dyDescent="0.3">
      <c r="B183" s="5">
        <v>180</v>
      </c>
      <c r="C183" s="6">
        <v>703</v>
      </c>
      <c r="D183" s="6">
        <v>731</v>
      </c>
      <c r="E183" s="6">
        <v>732</v>
      </c>
      <c r="F183" s="6">
        <v>737</v>
      </c>
      <c r="AG183" s="1"/>
    </row>
    <row r="184" spans="2:33" x14ac:dyDescent="0.3">
      <c r="B184" s="5">
        <v>181</v>
      </c>
      <c r="C184" s="6">
        <v>639</v>
      </c>
      <c r="D184" s="6">
        <v>678</v>
      </c>
      <c r="E184" s="6">
        <v>680</v>
      </c>
      <c r="F184" s="6">
        <v>685</v>
      </c>
      <c r="AG184" s="1"/>
    </row>
    <row r="185" spans="2:33" x14ac:dyDescent="0.3">
      <c r="B185" s="5">
        <v>182</v>
      </c>
      <c r="C185" s="6">
        <v>575</v>
      </c>
      <c r="D185" s="6">
        <v>614</v>
      </c>
      <c r="E185" s="6">
        <v>616</v>
      </c>
      <c r="F185" s="6">
        <v>624</v>
      </c>
      <c r="AG185" s="1"/>
    </row>
    <row r="186" spans="2:33" x14ac:dyDescent="0.3">
      <c r="B186" s="5">
        <v>183</v>
      </c>
      <c r="C186" s="6">
        <v>512</v>
      </c>
      <c r="D186" s="6">
        <v>555</v>
      </c>
      <c r="E186" s="6">
        <v>558</v>
      </c>
      <c r="F186" s="6">
        <v>563</v>
      </c>
      <c r="AG186" s="1"/>
    </row>
    <row r="187" spans="2:33" x14ac:dyDescent="0.3">
      <c r="B187" s="5">
        <v>184</v>
      </c>
      <c r="C187" s="6">
        <v>448</v>
      </c>
      <c r="D187" s="6">
        <v>497</v>
      </c>
      <c r="E187" s="6">
        <v>494</v>
      </c>
      <c r="F187" s="6">
        <v>501</v>
      </c>
      <c r="AG187" s="1"/>
    </row>
    <row r="188" spans="2:33" x14ac:dyDescent="0.3">
      <c r="B188" s="5">
        <v>185</v>
      </c>
      <c r="C188" s="6">
        <v>394</v>
      </c>
      <c r="D188" s="6">
        <v>433</v>
      </c>
      <c r="E188" s="6">
        <v>430</v>
      </c>
      <c r="F188" s="6">
        <v>430</v>
      </c>
      <c r="AG188" s="1"/>
    </row>
    <row r="189" spans="2:33" x14ac:dyDescent="0.3">
      <c r="B189" s="5">
        <v>186</v>
      </c>
      <c r="C189" s="6">
        <v>323</v>
      </c>
      <c r="D189" s="6">
        <v>362</v>
      </c>
      <c r="E189" s="6">
        <v>360</v>
      </c>
      <c r="F189" s="6">
        <v>361</v>
      </c>
      <c r="AG189" s="1"/>
    </row>
    <row r="190" spans="2:33" x14ac:dyDescent="0.3">
      <c r="B190" s="5">
        <v>187</v>
      </c>
      <c r="C190" s="6">
        <v>295</v>
      </c>
      <c r="D190" s="6">
        <v>339</v>
      </c>
      <c r="E190" s="6">
        <v>335</v>
      </c>
      <c r="F190" s="6">
        <v>334</v>
      </c>
      <c r="AG190" s="1"/>
    </row>
    <row r="191" spans="2:33" x14ac:dyDescent="0.3">
      <c r="B191" s="5">
        <v>188</v>
      </c>
      <c r="C191" s="6">
        <v>352</v>
      </c>
      <c r="D191" s="6">
        <v>386</v>
      </c>
      <c r="E191" s="6">
        <v>389</v>
      </c>
      <c r="F191" s="6">
        <v>389</v>
      </c>
      <c r="AG191" s="1"/>
    </row>
    <row r="192" spans="2:33" x14ac:dyDescent="0.3">
      <c r="B192" s="5">
        <v>189</v>
      </c>
      <c r="C192" s="6">
        <v>405</v>
      </c>
      <c r="D192" s="6">
        <v>450</v>
      </c>
      <c r="E192" s="6">
        <v>453</v>
      </c>
      <c r="F192" s="6">
        <v>450</v>
      </c>
      <c r="AG192" s="1"/>
    </row>
    <row r="193" spans="2:33" x14ac:dyDescent="0.3">
      <c r="B193" s="5">
        <v>190</v>
      </c>
      <c r="C193" s="6">
        <v>458</v>
      </c>
      <c r="D193" s="6">
        <v>509</v>
      </c>
      <c r="E193" s="6">
        <v>506</v>
      </c>
      <c r="F193" s="6">
        <v>512</v>
      </c>
      <c r="AG193" s="1"/>
    </row>
    <row r="194" spans="2:33" x14ac:dyDescent="0.3">
      <c r="B194" s="5">
        <v>191</v>
      </c>
      <c r="C194" s="6">
        <v>512</v>
      </c>
      <c r="D194" s="6">
        <v>555</v>
      </c>
      <c r="E194" s="6">
        <v>558</v>
      </c>
      <c r="F194" s="6">
        <v>563</v>
      </c>
      <c r="AG194" s="1"/>
    </row>
    <row r="195" spans="2:33" x14ac:dyDescent="0.3">
      <c r="B195" s="5">
        <v>192</v>
      </c>
      <c r="C195" s="6">
        <v>565</v>
      </c>
      <c r="D195" s="6">
        <v>602</v>
      </c>
      <c r="E195" s="6">
        <v>605</v>
      </c>
      <c r="F195" s="6">
        <v>604</v>
      </c>
      <c r="AG195" s="1"/>
    </row>
    <row r="196" spans="2:33" x14ac:dyDescent="0.3">
      <c r="B196" s="5">
        <v>193</v>
      </c>
      <c r="C196" s="6">
        <v>607</v>
      </c>
      <c r="D196" s="6">
        <v>643</v>
      </c>
      <c r="E196" s="6">
        <v>645</v>
      </c>
      <c r="F196" s="6">
        <v>644</v>
      </c>
      <c r="AG196" s="1"/>
    </row>
    <row r="197" spans="2:33" x14ac:dyDescent="0.3">
      <c r="B197" s="5">
        <v>194</v>
      </c>
      <c r="C197" s="6">
        <v>639</v>
      </c>
      <c r="D197" s="6">
        <v>666</v>
      </c>
      <c r="E197" s="6">
        <v>668</v>
      </c>
      <c r="F197" s="6">
        <v>675</v>
      </c>
      <c r="AG197" s="1"/>
    </row>
    <row r="198" spans="2:33" x14ac:dyDescent="0.3">
      <c r="B198" s="5">
        <v>195</v>
      </c>
      <c r="C198" s="6">
        <v>650</v>
      </c>
      <c r="D198" s="6">
        <v>678</v>
      </c>
      <c r="E198" s="6">
        <v>680</v>
      </c>
      <c r="F198" s="6">
        <v>685</v>
      </c>
      <c r="AG198" s="1"/>
    </row>
    <row r="199" spans="2:33" x14ac:dyDescent="0.3">
      <c r="B199" s="5">
        <v>196</v>
      </c>
      <c r="C199" s="6">
        <v>639</v>
      </c>
      <c r="D199" s="6">
        <v>666</v>
      </c>
      <c r="E199" s="6">
        <v>668</v>
      </c>
      <c r="F199" s="6">
        <v>675</v>
      </c>
      <c r="AG199" s="1"/>
    </row>
    <row r="200" spans="2:33" x14ac:dyDescent="0.3">
      <c r="B200" s="5">
        <v>197</v>
      </c>
      <c r="C200" s="6">
        <v>607</v>
      </c>
      <c r="D200" s="6">
        <v>643</v>
      </c>
      <c r="E200" s="6">
        <v>645</v>
      </c>
      <c r="F200" s="6">
        <v>644</v>
      </c>
      <c r="AG200" s="1"/>
    </row>
    <row r="201" spans="2:33" x14ac:dyDescent="0.3">
      <c r="B201" s="5">
        <v>198</v>
      </c>
      <c r="C201" s="6">
        <v>565</v>
      </c>
      <c r="D201" s="6">
        <v>602</v>
      </c>
      <c r="E201" s="6">
        <v>605</v>
      </c>
      <c r="F201" s="6">
        <v>604</v>
      </c>
      <c r="AG201" s="1"/>
    </row>
    <row r="202" spans="2:33" x14ac:dyDescent="0.3">
      <c r="B202" s="5">
        <v>199</v>
      </c>
      <c r="C202" s="6">
        <v>522</v>
      </c>
      <c r="D202" s="6">
        <v>561</v>
      </c>
      <c r="E202" s="6">
        <v>558</v>
      </c>
      <c r="F202" s="6">
        <v>563</v>
      </c>
      <c r="AG202" s="1"/>
    </row>
    <row r="203" spans="2:33" x14ac:dyDescent="0.3">
      <c r="B203" s="5">
        <v>200</v>
      </c>
      <c r="C203" s="6">
        <v>469</v>
      </c>
      <c r="D203" s="6">
        <v>509</v>
      </c>
      <c r="E203" s="6">
        <v>512</v>
      </c>
      <c r="F203" s="6">
        <v>512</v>
      </c>
      <c r="AG203" s="1"/>
    </row>
    <row r="204" spans="2:33" x14ac:dyDescent="0.3">
      <c r="B204" s="5">
        <v>201</v>
      </c>
      <c r="C204" s="6">
        <v>416</v>
      </c>
      <c r="D204" s="6">
        <v>450</v>
      </c>
      <c r="E204" s="6">
        <v>453</v>
      </c>
      <c r="F204" s="6">
        <v>450</v>
      </c>
      <c r="AG204" s="1"/>
    </row>
    <row r="205" spans="2:33" x14ac:dyDescent="0.3">
      <c r="B205" s="5">
        <v>202</v>
      </c>
      <c r="C205" s="6">
        <v>352</v>
      </c>
      <c r="D205" s="6">
        <v>392</v>
      </c>
      <c r="E205" s="6">
        <v>389</v>
      </c>
      <c r="F205" s="6">
        <v>389</v>
      </c>
      <c r="AG205" s="1"/>
    </row>
    <row r="206" spans="2:33" x14ac:dyDescent="0.3">
      <c r="B206" s="5">
        <v>203</v>
      </c>
      <c r="C206" s="6">
        <v>309</v>
      </c>
      <c r="D206" s="6">
        <v>337</v>
      </c>
      <c r="E206" s="6">
        <v>335</v>
      </c>
      <c r="F206" s="6">
        <v>334</v>
      </c>
      <c r="AG206" s="1"/>
    </row>
    <row r="207" spans="2:33" x14ac:dyDescent="0.3">
      <c r="B207" s="5">
        <v>204</v>
      </c>
      <c r="C207" s="6">
        <v>281</v>
      </c>
      <c r="D207" s="6">
        <v>308</v>
      </c>
      <c r="E207" s="6">
        <v>304</v>
      </c>
      <c r="F207" s="6">
        <v>307</v>
      </c>
      <c r="AG207" s="1"/>
    </row>
    <row r="208" spans="2:33" x14ac:dyDescent="0.3">
      <c r="B208" s="5">
        <v>205</v>
      </c>
      <c r="C208" s="6">
        <v>309</v>
      </c>
      <c r="D208" s="6">
        <v>347</v>
      </c>
      <c r="E208" s="6">
        <v>343</v>
      </c>
      <c r="F208" s="6">
        <v>348</v>
      </c>
      <c r="AG208" s="1"/>
    </row>
    <row r="209" spans="2:33" x14ac:dyDescent="0.3">
      <c r="B209" s="5">
        <v>206</v>
      </c>
      <c r="C209" s="6">
        <v>362</v>
      </c>
      <c r="D209" s="6">
        <v>396</v>
      </c>
      <c r="E209" s="6">
        <v>399</v>
      </c>
      <c r="F209" s="6">
        <v>396</v>
      </c>
      <c r="AG209" s="1"/>
    </row>
    <row r="210" spans="2:33" x14ac:dyDescent="0.3">
      <c r="B210" s="5">
        <v>207</v>
      </c>
      <c r="C210" s="6">
        <v>416</v>
      </c>
      <c r="D210" s="6">
        <v>446</v>
      </c>
      <c r="E210" s="6">
        <v>451</v>
      </c>
      <c r="F210" s="6">
        <v>457</v>
      </c>
      <c r="AG210" s="1"/>
    </row>
    <row r="211" spans="2:33" x14ac:dyDescent="0.3">
      <c r="B211" s="5">
        <v>208</v>
      </c>
      <c r="C211" s="6">
        <v>455</v>
      </c>
      <c r="D211" s="6">
        <v>493</v>
      </c>
      <c r="E211" s="6">
        <v>496</v>
      </c>
      <c r="F211" s="6">
        <v>494</v>
      </c>
      <c r="AG211" s="1"/>
    </row>
    <row r="212" spans="2:33" x14ac:dyDescent="0.3">
      <c r="B212" s="5">
        <v>209</v>
      </c>
      <c r="C212" s="6">
        <v>480</v>
      </c>
      <c r="D212" s="6">
        <v>532</v>
      </c>
      <c r="E212" s="6">
        <v>535</v>
      </c>
      <c r="F212" s="6">
        <v>535</v>
      </c>
      <c r="AG212" s="1"/>
    </row>
    <row r="213" spans="2:33" x14ac:dyDescent="0.3">
      <c r="B213" s="5">
        <v>210</v>
      </c>
      <c r="C213" s="6">
        <v>522</v>
      </c>
      <c r="D213" s="6">
        <v>557</v>
      </c>
      <c r="E213" s="6">
        <v>560</v>
      </c>
      <c r="F213" s="6">
        <v>563</v>
      </c>
      <c r="AG213" s="1"/>
    </row>
    <row r="214" spans="2:33" x14ac:dyDescent="0.3">
      <c r="B214" s="5">
        <v>211</v>
      </c>
      <c r="C214" s="6">
        <v>540</v>
      </c>
      <c r="D214" s="6">
        <v>581</v>
      </c>
      <c r="E214" s="6">
        <v>583</v>
      </c>
      <c r="F214" s="6">
        <v>580</v>
      </c>
      <c r="AG214" s="1"/>
    </row>
    <row r="215" spans="2:33" x14ac:dyDescent="0.3">
      <c r="B215" s="5">
        <v>212</v>
      </c>
      <c r="C215" s="6">
        <v>551</v>
      </c>
      <c r="D215" s="6">
        <v>585</v>
      </c>
      <c r="E215" s="6">
        <v>587</v>
      </c>
      <c r="F215" s="6">
        <v>590</v>
      </c>
      <c r="AG215" s="1"/>
    </row>
    <row r="216" spans="2:33" x14ac:dyDescent="0.3">
      <c r="B216" s="5">
        <v>213</v>
      </c>
      <c r="C216" s="6">
        <v>540</v>
      </c>
      <c r="D216" s="6">
        <v>581</v>
      </c>
      <c r="E216" s="6">
        <v>583</v>
      </c>
      <c r="F216" s="6">
        <v>580</v>
      </c>
      <c r="AG216" s="1"/>
    </row>
    <row r="217" spans="2:33" x14ac:dyDescent="0.3">
      <c r="B217" s="5">
        <v>214</v>
      </c>
      <c r="C217" s="6">
        <v>522</v>
      </c>
      <c r="D217" s="6">
        <v>557</v>
      </c>
      <c r="E217" s="6">
        <v>560</v>
      </c>
      <c r="F217" s="6">
        <v>563</v>
      </c>
      <c r="AG217" s="1"/>
    </row>
    <row r="218" spans="2:33" x14ac:dyDescent="0.3">
      <c r="B218" s="5">
        <v>215</v>
      </c>
      <c r="C218" s="6">
        <v>494</v>
      </c>
      <c r="D218" s="6">
        <v>532</v>
      </c>
      <c r="E218" s="6">
        <v>535</v>
      </c>
      <c r="F218" s="6">
        <v>535</v>
      </c>
      <c r="AG218" s="1"/>
    </row>
    <row r="219" spans="2:33" x14ac:dyDescent="0.3">
      <c r="B219" s="5">
        <v>216</v>
      </c>
      <c r="C219" s="6">
        <v>451</v>
      </c>
      <c r="D219" s="6">
        <v>499</v>
      </c>
      <c r="E219" s="6">
        <v>496</v>
      </c>
      <c r="F219" s="6">
        <v>494</v>
      </c>
      <c r="AG219" s="1"/>
    </row>
    <row r="220" spans="2:33" x14ac:dyDescent="0.3">
      <c r="B220" s="5">
        <v>217</v>
      </c>
      <c r="C220" s="6">
        <v>412</v>
      </c>
      <c r="D220" s="6">
        <v>454</v>
      </c>
      <c r="E220" s="6">
        <v>450</v>
      </c>
      <c r="F220" s="6">
        <v>457</v>
      </c>
      <c r="AG220" s="1"/>
    </row>
    <row r="221" spans="2:33" x14ac:dyDescent="0.3">
      <c r="B221" s="5">
        <v>218</v>
      </c>
      <c r="C221" s="6">
        <v>359</v>
      </c>
      <c r="D221" s="6">
        <v>396</v>
      </c>
      <c r="E221" s="6">
        <v>399</v>
      </c>
      <c r="F221" s="6">
        <v>396</v>
      </c>
      <c r="AG221" s="1"/>
    </row>
    <row r="222" spans="2:33" x14ac:dyDescent="0.3">
      <c r="B222" s="5">
        <v>219</v>
      </c>
      <c r="C222" s="6">
        <v>323</v>
      </c>
      <c r="D222" s="6">
        <v>345</v>
      </c>
      <c r="E222" s="6">
        <v>343</v>
      </c>
      <c r="F222" s="6">
        <v>348</v>
      </c>
      <c r="AG222" s="1"/>
    </row>
    <row r="223" spans="2:33" x14ac:dyDescent="0.3">
      <c r="B223" s="5">
        <v>220</v>
      </c>
      <c r="C223" s="6">
        <v>281</v>
      </c>
      <c r="D223" s="6">
        <v>298</v>
      </c>
      <c r="E223" s="6">
        <v>304</v>
      </c>
      <c r="F223" s="6">
        <v>307</v>
      </c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7FE3E-BB48-4F1F-BBB4-F879B2A6A3B9}">
  <sheetPr codeName="工作表2"/>
  <dimension ref="A2:CK280"/>
  <sheetViews>
    <sheetView zoomScale="85" zoomScaleNormal="85" workbookViewId="0"/>
  </sheetViews>
  <sheetFormatPr defaultColWidth="8.44140625" defaultRowHeight="16.2" x14ac:dyDescent="0.3"/>
  <cols>
    <col min="1" max="1" width="3.6640625" customWidth="1"/>
    <col min="2" max="6" width="7.6640625" style="2" customWidth="1"/>
    <col min="7" max="7" width="3.6640625" customWidth="1"/>
    <col min="9" max="9" width="8.44140625" style="2"/>
    <col min="10" max="11" width="8.44140625" style="2" customWidth="1"/>
    <col min="12" max="25" width="8.44140625" style="2"/>
    <col min="26" max="26" width="3.6640625" customWidth="1"/>
    <col min="27" max="27" width="8.44140625" style="2" customWidth="1"/>
    <col min="28" max="43" width="8.44140625" style="2"/>
    <col min="53" max="56" width="8.44140625" style="2"/>
  </cols>
  <sheetData>
    <row r="2" spans="2:56" x14ac:dyDescent="0.3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5</v>
      </c>
      <c r="I2" s="3">
        <f ca="1">goldenOTP_check!I2*I58</f>
        <v>1302.6626100000001</v>
      </c>
      <c r="J2" s="2">
        <f ca="1">goldenOTP_check!J2*J58</f>
        <v>1291.8685390000001</v>
      </c>
      <c r="K2" s="2">
        <f ca="1">goldenOTP_check!K2*K58</f>
        <v>1312.6075149999999</v>
      </c>
      <c r="L2" s="2">
        <f ca="1">goldenOTP_check!L2*L58</f>
        <v>1277.3524399999999</v>
      </c>
      <c r="M2" s="2">
        <f ca="1">goldenOTP_check!M2*M58</f>
        <v>1256.24863</v>
      </c>
      <c r="N2" s="2">
        <f ca="1">goldenOTP_check!N2*N58</f>
        <v>1246.999838</v>
      </c>
      <c r="O2" s="2">
        <f ca="1">goldenOTP_check!O2*O58</f>
        <v>1234.2611039999999</v>
      </c>
      <c r="P2" s="2">
        <f ca="1">goldenOTP_check!P2*P58</f>
        <v>1219.352112</v>
      </c>
      <c r="Q2" s="2">
        <f ca="1">goldenOTP_check!Q2*Q58</f>
        <v>1222.09907</v>
      </c>
      <c r="R2" s="2">
        <f ca="1">goldenOTP_check!R2*R58</f>
        <v>1215.1786139999999</v>
      </c>
      <c r="S2" s="2">
        <f ca="1">goldenOTP_check!S2*S58</f>
        <v>1215.094374</v>
      </c>
      <c r="T2" s="2">
        <f ca="1">goldenOTP_check!T2*T58</f>
        <v>1227.7322720000002</v>
      </c>
      <c r="U2" s="2">
        <f ca="1">goldenOTP_check!U2*U58</f>
        <v>1272.1352979999999</v>
      </c>
      <c r="V2" s="2">
        <f ca="1">goldenOTP_check!V2*V58</f>
        <v>1292.228826</v>
      </c>
      <c r="W2" s="2">
        <f ca="1">goldenOTP_check!W2*W58</f>
        <v>1282.296789</v>
      </c>
      <c r="X2" s="2">
        <f ca="1">goldenOTP_check!X2*X58</f>
        <v>1243.3363199999999</v>
      </c>
      <c r="Y2" s="3">
        <f ca="1">goldenOTP_check!Y2*Y58</f>
        <v>1279.4606520000002</v>
      </c>
      <c r="BA2"/>
      <c r="BB2"/>
      <c r="BC2"/>
      <c r="BD2"/>
    </row>
    <row r="3" spans="2:56" x14ac:dyDescent="0.3">
      <c r="B3" s="8">
        <v>0</v>
      </c>
      <c r="C3" s="9">
        <v>4.6358100000000002</v>
      </c>
      <c r="D3" s="9">
        <v>4.1562780000000004</v>
      </c>
      <c r="E3" s="9">
        <v>4.1744620000000001</v>
      </c>
      <c r="F3" s="9">
        <v>4.3833479999999998</v>
      </c>
      <c r="H3" t="s">
        <v>6</v>
      </c>
      <c r="I3" s="2">
        <f ca="1">goldenOTP_check!I3*I59</f>
        <v>1289.993424</v>
      </c>
      <c r="J3" s="2">
        <f ca="1">goldenOTP_check!J3*J59</f>
        <v>1272.649664</v>
      </c>
      <c r="K3" s="2">
        <f ca="1">goldenOTP_check!K3*K59</f>
        <v>1301.4942719999999</v>
      </c>
      <c r="L3" s="2">
        <f ca="1">goldenOTP_check!L3*L59</f>
        <v>1274.98588</v>
      </c>
      <c r="M3" s="2">
        <f ca="1">goldenOTP_check!M3*M59</f>
        <v>1232.19712</v>
      </c>
      <c r="N3" s="2">
        <f ca="1">goldenOTP_check!N3*N59</f>
        <v>1202.776658</v>
      </c>
      <c r="O3" s="2">
        <f ca="1">goldenOTP_check!O3*O59</f>
        <v>1194.3784979999998</v>
      </c>
      <c r="P3" s="2">
        <f ca="1">goldenOTP_check!P3*P59</f>
        <v>1189.370439</v>
      </c>
      <c r="Q3" s="2">
        <f ca="1">goldenOTP_check!Q3*Q59</f>
        <v>1181.69631</v>
      </c>
      <c r="R3" s="2">
        <f ca="1">goldenOTP_check!R3*R59</f>
        <v>1182.687314</v>
      </c>
      <c r="S3" s="2">
        <f ca="1">goldenOTP_check!S3*S59</f>
        <v>1201.929198</v>
      </c>
      <c r="T3" s="2">
        <f ca="1">goldenOTP_check!T3*T59</f>
        <v>1209.6593499999999</v>
      </c>
      <c r="U3" s="2">
        <f ca="1">goldenOTP_check!U3*U59</f>
        <v>1208.800256</v>
      </c>
      <c r="V3" s="2">
        <f ca="1">goldenOTP_check!V3*V59</f>
        <v>1245.1846819999998</v>
      </c>
      <c r="W3" s="2">
        <f ca="1">goldenOTP_check!W3*W59</f>
        <v>1267.3693760000001</v>
      </c>
      <c r="X3" s="2">
        <f ca="1">goldenOTP_check!X3*X59</f>
        <v>1271.1199220000001</v>
      </c>
      <c r="Y3" s="2">
        <f ca="1">goldenOTP_check!Y3*Y59</f>
        <v>1228.34907</v>
      </c>
      <c r="BA3"/>
      <c r="BB3"/>
      <c r="BC3"/>
      <c r="BD3"/>
    </row>
    <row r="4" spans="2:56" x14ac:dyDescent="0.3">
      <c r="B4" s="6">
        <v>1</v>
      </c>
      <c r="C4" s="9">
        <v>3.999593</v>
      </c>
      <c r="D4" s="9">
        <v>3.5429560000000002</v>
      </c>
      <c r="E4" s="9">
        <v>3.5664060000000002</v>
      </c>
      <c r="F4" s="9">
        <v>3.7017340000000001</v>
      </c>
      <c r="I4" s="2">
        <f ca="1">goldenOTP_check!I4*I60</f>
        <v>1300.076241</v>
      </c>
      <c r="J4" s="2">
        <f ca="1">goldenOTP_check!J4*J60</f>
        <v>1297.574384</v>
      </c>
      <c r="K4" s="2">
        <f ca="1">goldenOTP_check!K4*K60</f>
        <v>1254.762432</v>
      </c>
      <c r="L4" s="2">
        <f ca="1">goldenOTP_check!L4*L60</f>
        <v>1234.963968</v>
      </c>
      <c r="M4" s="2">
        <f ca="1">goldenOTP_check!M4*M60</f>
        <v>1214.8628749999998</v>
      </c>
      <c r="N4" s="2">
        <f ca="1">goldenOTP_check!N4*N60</f>
        <v>1193.19831</v>
      </c>
      <c r="O4" s="2">
        <f ca="1">goldenOTP_check!O4*O60</f>
        <v>1164.723714</v>
      </c>
      <c r="P4" s="2">
        <f ca="1">goldenOTP_check!P4*P60</f>
        <v>1148.2860900000001</v>
      </c>
      <c r="Q4" s="2">
        <f ca="1">goldenOTP_check!Q4*Q60</f>
        <v>1133.552222</v>
      </c>
      <c r="R4" s="2">
        <f ca="1">goldenOTP_check!R4*R60</f>
        <v>1139.584425</v>
      </c>
      <c r="S4" s="2">
        <f ca="1">goldenOTP_check!S4*S60</f>
        <v>1146.594141</v>
      </c>
      <c r="T4" s="2">
        <f ca="1">goldenOTP_check!T4*T60</f>
        <v>1170.773244</v>
      </c>
      <c r="U4" s="2">
        <f ca="1">goldenOTP_check!U4*U60</f>
        <v>1187.8056749999998</v>
      </c>
      <c r="V4" s="2">
        <f ca="1">goldenOTP_check!V4*V60</f>
        <v>1205.3544959999999</v>
      </c>
      <c r="W4" s="2">
        <f ca="1">goldenOTP_check!W4*W60</f>
        <v>1244.6397319999999</v>
      </c>
      <c r="X4" s="2">
        <f ca="1">goldenOTP_check!X4*X60</f>
        <v>1254.7142759999999</v>
      </c>
      <c r="Y4" s="2">
        <f ca="1">goldenOTP_check!Y4*Y60</f>
        <v>1251.5152149999999</v>
      </c>
      <c r="BA4"/>
      <c r="BB4"/>
      <c r="BC4"/>
      <c r="BD4"/>
    </row>
    <row r="5" spans="2:56" x14ac:dyDescent="0.3">
      <c r="B5" s="6">
        <v>2</v>
      </c>
      <c r="C5" s="9">
        <v>3.5190549999999998</v>
      </c>
      <c r="D5" s="9">
        <v>3.1161919999999999</v>
      </c>
      <c r="E5" s="9">
        <v>3.1275439999999999</v>
      </c>
      <c r="F5" s="9">
        <v>3.2333729999999998</v>
      </c>
      <c r="I5" s="2">
        <f ca="1">goldenOTP_check!I5*I61</f>
        <v>1293.6310110000002</v>
      </c>
      <c r="J5" s="2">
        <f ca="1">goldenOTP_check!J5*J61</f>
        <v>1260.269088</v>
      </c>
      <c r="K5" s="2">
        <f ca="1">goldenOTP_check!K5*K61</f>
        <v>1226.36448</v>
      </c>
      <c r="L5" s="2">
        <f ca="1">goldenOTP_check!L5*L61</f>
        <v>1209.1742499999998</v>
      </c>
      <c r="M5" s="2">
        <f ca="1">goldenOTP_check!M5*M61</f>
        <v>1178.8089</v>
      </c>
      <c r="N5" s="2">
        <f ca="1">goldenOTP_check!N5*N61</f>
        <v>1149.470742</v>
      </c>
      <c r="O5" s="2">
        <f ca="1">goldenOTP_check!O5*O61</f>
        <v>1123.1367660000001</v>
      </c>
      <c r="P5" s="2">
        <f ca="1">goldenOTP_check!P5*P61</f>
        <v>1107.3596680000001</v>
      </c>
      <c r="Q5" s="2">
        <f ca="1">goldenOTP_check!Q5*Q61</f>
        <v>1100.3974920000001</v>
      </c>
      <c r="R5" s="2">
        <f ca="1">goldenOTP_check!R5*R61</f>
        <v>1096.947496</v>
      </c>
      <c r="S5" s="2">
        <f ca="1">goldenOTP_check!S5*S61</f>
        <v>1104.3412080000001</v>
      </c>
      <c r="T5" s="2">
        <f ca="1">goldenOTP_check!T5*T61</f>
        <v>1138.13255</v>
      </c>
      <c r="U5" s="2">
        <f ca="1">goldenOTP_check!U5*U61</f>
        <v>1164.1704569999999</v>
      </c>
      <c r="V5" s="2">
        <f ca="1">goldenOTP_check!V5*V61</f>
        <v>1176.4810480000001</v>
      </c>
      <c r="W5" s="2">
        <f ca="1">goldenOTP_check!W5*W61</f>
        <v>1212.4937299999999</v>
      </c>
      <c r="X5" s="2">
        <f ca="1">goldenOTP_check!X5*X61</f>
        <v>1243.4888880000001</v>
      </c>
      <c r="Y5" s="2">
        <f ca="1">goldenOTP_check!Y5*Y61</f>
        <v>1225.45858</v>
      </c>
      <c r="BA5"/>
      <c r="BB5"/>
      <c r="BC5"/>
      <c r="BD5"/>
    </row>
    <row r="6" spans="2:56" x14ac:dyDescent="0.3">
      <c r="B6" s="6">
        <v>3</v>
      </c>
      <c r="C6" s="9">
        <v>3.1003699999999998</v>
      </c>
      <c r="D6" s="9">
        <v>2.752097</v>
      </c>
      <c r="E6" s="9">
        <v>2.7573180000000002</v>
      </c>
      <c r="F6" s="9">
        <v>2.862727</v>
      </c>
      <c r="I6" s="2">
        <f ca="1">goldenOTP_check!I6*I62</f>
        <v>1296.09716</v>
      </c>
      <c r="J6" s="2">
        <f ca="1">goldenOTP_check!J6*J62</f>
        <v>1242.8262520000001</v>
      </c>
      <c r="K6" s="2">
        <f ca="1">goldenOTP_check!K6*K62</f>
        <v>1222.8884479999999</v>
      </c>
      <c r="L6" s="2">
        <f ca="1">goldenOTP_check!L6*L62</f>
        <v>1206.195516</v>
      </c>
      <c r="M6" s="2">
        <f ca="1">goldenOTP_check!M6*M62</f>
        <v>1155.3584680000001</v>
      </c>
      <c r="N6" s="2">
        <f ca="1">goldenOTP_check!N6*N62</f>
        <v>1114.0104200000001</v>
      </c>
      <c r="O6" s="2">
        <f ca="1">goldenOTP_check!O6*O62</f>
        <v>1085.3683469999999</v>
      </c>
      <c r="P6" s="2">
        <f ca="1">goldenOTP_check!P6*P62</f>
        <v>1086.4244299999998</v>
      </c>
      <c r="Q6" s="2">
        <f ca="1">goldenOTP_check!Q6*Q62</f>
        <v>1062.348708</v>
      </c>
      <c r="R6" s="2">
        <f ca="1">goldenOTP_check!R6*R62</f>
        <v>1074.11787</v>
      </c>
      <c r="S6" s="2">
        <f ca="1">goldenOTP_check!S6*S62</f>
        <v>1089.7067999999999</v>
      </c>
      <c r="T6" s="2">
        <f ca="1">goldenOTP_check!T6*T62</f>
        <v>1097.2323180000001</v>
      </c>
      <c r="U6" s="2">
        <f ca="1">goldenOTP_check!U6*U62</f>
        <v>1134.2760660000001</v>
      </c>
      <c r="V6" s="2">
        <f ca="1">goldenOTP_check!V6*V62</f>
        <v>1168.142736</v>
      </c>
      <c r="W6" s="2">
        <f ca="1">goldenOTP_check!W6*W62</f>
        <v>1180.6771200000001</v>
      </c>
      <c r="X6" s="2">
        <f ca="1">goldenOTP_check!X6*X62</f>
        <v>1223.2752</v>
      </c>
      <c r="Y6" s="2">
        <f ca="1">goldenOTP_check!Y6*Y62</f>
        <v>1228.4307489999999</v>
      </c>
      <c r="BA6"/>
      <c r="BB6"/>
      <c r="BC6"/>
      <c r="BD6"/>
    </row>
    <row r="7" spans="2:56" x14ac:dyDescent="0.3">
      <c r="B7" s="6">
        <v>4</v>
      </c>
      <c r="C7" s="9">
        <v>2.7609859999999999</v>
      </c>
      <c r="D7" s="9">
        <v>2.4563549999999998</v>
      </c>
      <c r="E7" s="9">
        <v>2.454224</v>
      </c>
      <c r="F7" s="9">
        <v>2.5584310000000001</v>
      </c>
      <c r="I7" s="2">
        <f ca="1">goldenOTP_check!I7*I63</f>
        <v>1273.300821</v>
      </c>
      <c r="J7" s="2">
        <f ca="1">goldenOTP_check!J7*J63</f>
        <v>1251.321494</v>
      </c>
      <c r="K7" s="2">
        <f ca="1">goldenOTP_check!K7*K63</f>
        <v>1194.9754500000001</v>
      </c>
      <c r="L7" s="2">
        <f ca="1">goldenOTP_check!L7*L63</f>
        <v>1185.5755260000001</v>
      </c>
      <c r="M7" s="2">
        <f ca="1">goldenOTP_check!M7*M63</f>
        <v>1148.5326749999999</v>
      </c>
      <c r="N7" s="2">
        <f ca="1">goldenOTP_check!N7*N63</f>
        <v>1105.9363500000002</v>
      </c>
      <c r="O7" s="2">
        <f ca="1">goldenOTP_check!O7*O63</f>
        <v>1081.4382000000001</v>
      </c>
      <c r="P7" s="2">
        <f ca="1">goldenOTP_check!P7*P63</f>
        <v>1048.6558600000001</v>
      </c>
      <c r="Q7" s="2">
        <f ca="1">goldenOTP_check!Q7*Q63</f>
        <v>1036.1972580000001</v>
      </c>
      <c r="R7" s="2">
        <f ca="1">goldenOTP_check!R7*R63</f>
        <v>1036.2225999999998</v>
      </c>
      <c r="S7" s="2">
        <f ca="1">goldenOTP_check!S7*S63</f>
        <v>1056.26088</v>
      </c>
      <c r="T7" s="2">
        <f ca="1">goldenOTP_check!T7*T63</f>
        <v>1085.4525120000001</v>
      </c>
      <c r="U7" s="2">
        <f ca="1">goldenOTP_check!U7*U63</f>
        <v>1106.1680249999999</v>
      </c>
      <c r="V7" s="2">
        <f ca="1">goldenOTP_check!V7*V63</f>
        <v>1141.4459999999999</v>
      </c>
      <c r="W7" s="2">
        <f ca="1">goldenOTP_check!W7*W63</f>
        <v>1175.349747</v>
      </c>
      <c r="X7" s="2">
        <f ca="1">goldenOTP_check!X7*X63</f>
        <v>1200.330064</v>
      </c>
      <c r="Y7" s="2">
        <f ca="1">goldenOTP_check!Y7*Y63</f>
        <v>1210.8591450000001</v>
      </c>
      <c r="BA7"/>
      <c r="BB7"/>
      <c r="BC7"/>
      <c r="BD7"/>
    </row>
    <row r="8" spans="2:56" x14ac:dyDescent="0.3">
      <c r="B8" s="6">
        <v>5</v>
      </c>
      <c r="C8" s="9">
        <v>2.5090539999999999</v>
      </c>
      <c r="D8" s="9">
        <v>2.2350919999999999</v>
      </c>
      <c r="E8" s="9">
        <v>2.2357089999999999</v>
      </c>
      <c r="F8" s="9">
        <v>2.3277100000000002</v>
      </c>
      <c r="I8" s="2">
        <f ca="1">goldenOTP_check!I8*I64</f>
        <v>1255.1284619999999</v>
      </c>
      <c r="J8" s="2">
        <f ca="1">goldenOTP_check!J8*J64</f>
        <v>1232.7752419999999</v>
      </c>
      <c r="K8" s="2">
        <f ca="1">goldenOTP_check!K8*K64</f>
        <v>1201.0845860000002</v>
      </c>
      <c r="L8" s="2">
        <f ca="1">goldenOTP_check!L8*L64</f>
        <v>1182.3753300000001</v>
      </c>
      <c r="M8" s="2">
        <f ca="1">goldenOTP_check!M8*M64</f>
        <v>1136.1982800000001</v>
      </c>
      <c r="N8" s="2">
        <f ca="1">goldenOTP_check!N8*N64</f>
        <v>1090.7966859999999</v>
      </c>
      <c r="O8" s="2">
        <f ca="1">goldenOTP_check!O8*O64</f>
        <v>1074.6035039999999</v>
      </c>
      <c r="P8" s="2">
        <f ca="1">goldenOTP_check!P8*P64</f>
        <v>1040.6701860000001</v>
      </c>
      <c r="Q8" s="2">
        <f ca="1">goldenOTP_check!Q8*Q64</f>
        <v>1027.410153</v>
      </c>
      <c r="R8" s="2">
        <f ca="1">goldenOTP_check!R8*R64</f>
        <v>1031.049984</v>
      </c>
      <c r="S8" s="2">
        <f ca="1">goldenOTP_check!S8*S64</f>
        <v>1050.828612</v>
      </c>
      <c r="T8" s="2">
        <f ca="1">goldenOTP_check!T8*T64</f>
        <v>1069.4658100000001</v>
      </c>
      <c r="U8" s="2">
        <f ca="1">goldenOTP_check!U8*U64</f>
        <v>1106.890928</v>
      </c>
      <c r="V8" s="2">
        <f ca="1">goldenOTP_check!V8*V64</f>
        <v>1135.306002</v>
      </c>
      <c r="W8" s="2">
        <f ca="1">goldenOTP_check!W8*W64</f>
        <v>1176.786885</v>
      </c>
      <c r="X8" s="2">
        <f ca="1">goldenOTP_check!X8*X64</f>
        <v>1208.890179</v>
      </c>
      <c r="Y8" s="2">
        <f ca="1">goldenOTP_check!Y8*Y64</f>
        <v>1227.053502</v>
      </c>
    </row>
    <row r="9" spans="2:56" x14ac:dyDescent="0.3">
      <c r="B9" s="6">
        <v>6</v>
      </c>
      <c r="C9" s="9">
        <v>2.3465039999999999</v>
      </c>
      <c r="D9" s="9">
        <v>2.1013169999999999</v>
      </c>
      <c r="E9" s="9">
        <v>2.1017649999999999</v>
      </c>
      <c r="F9" s="9">
        <v>2.184653</v>
      </c>
      <c r="I9" s="2">
        <f ca="1">goldenOTP_check!I9*I65</f>
        <v>1281.2018209999999</v>
      </c>
      <c r="J9" s="2">
        <f ca="1">goldenOTP_check!J9*J65</f>
        <v>1219.4698879999999</v>
      </c>
      <c r="K9" s="2">
        <f ca="1">goldenOTP_check!K9*K65</f>
        <v>1191.1627620000002</v>
      </c>
      <c r="L9" s="2">
        <f ca="1">goldenOTP_check!L9*L65</f>
        <v>1183.550958</v>
      </c>
      <c r="M9" s="2">
        <f ca="1">goldenOTP_check!M9*M65</f>
        <v>1145.9727</v>
      </c>
      <c r="N9" s="2">
        <f ca="1">goldenOTP_check!N9*N65</f>
        <v>1103.3810249999999</v>
      </c>
      <c r="O9" s="2">
        <f ca="1">goldenOTP_check!O9*O65</f>
        <v>1078.942716</v>
      </c>
      <c r="P9" s="2">
        <f ca="1">goldenOTP_check!P9*P65</f>
        <v>1048.4059599999998</v>
      </c>
      <c r="Q9" s="2">
        <f ca="1">goldenOTP_check!Q9*Q65</f>
        <v>1037.9277120000002</v>
      </c>
      <c r="R9" s="2">
        <f ca="1">goldenOTP_check!R9*R65</f>
        <v>1039.48208</v>
      </c>
      <c r="S9" s="2">
        <f ca="1">goldenOTP_check!S9*S65</f>
        <v>1056.0550860000001</v>
      </c>
      <c r="T9" s="2">
        <f ca="1">goldenOTP_check!T9*T65</f>
        <v>1082.5956060000001</v>
      </c>
      <c r="U9" s="2">
        <f ca="1">goldenOTP_check!U9*U65</f>
        <v>1102.3277</v>
      </c>
      <c r="V9" s="2">
        <f ca="1">goldenOTP_check!V9*V65</f>
        <v>1137.570522</v>
      </c>
      <c r="W9" s="2">
        <f ca="1">goldenOTP_check!W9*W65</f>
        <v>1171.0969399999999</v>
      </c>
      <c r="X9" s="2">
        <f ca="1">goldenOTP_check!X9*X65</f>
        <v>1194.110424</v>
      </c>
      <c r="Y9" s="2">
        <f ca="1">goldenOTP_check!Y9*Y65</f>
        <v>1205.078139</v>
      </c>
    </row>
    <row r="10" spans="2:56" x14ac:dyDescent="0.3">
      <c r="B10" s="6">
        <v>7</v>
      </c>
      <c r="C10" s="9">
        <v>2.245584</v>
      </c>
      <c r="D10" s="9">
        <v>2.0228969999999999</v>
      </c>
      <c r="E10" s="9">
        <v>2.0248560000000002</v>
      </c>
      <c r="F10" s="9">
        <v>2.102989</v>
      </c>
      <c r="I10" s="2">
        <f ca="1">goldenOTP_check!I10*I66</f>
        <v>1236.6411660000001</v>
      </c>
      <c r="J10" s="2">
        <f ca="1">goldenOTP_check!J10*J66</f>
        <v>1234.509268</v>
      </c>
      <c r="K10" s="2">
        <f ca="1">goldenOTP_check!K10*K66</f>
        <v>1190.605959</v>
      </c>
      <c r="L10" s="2">
        <f ca="1">goldenOTP_check!L10*L66</f>
        <v>1180.10438</v>
      </c>
      <c r="M10" s="2">
        <f ca="1">goldenOTP_check!M10*M66</f>
        <v>1151.7943359999999</v>
      </c>
      <c r="N10" s="2">
        <f ca="1">goldenOTP_check!N10*N66</f>
        <v>1110.310252</v>
      </c>
      <c r="O10" s="2">
        <f ca="1">goldenOTP_check!O10*O66</f>
        <v>1097.404888</v>
      </c>
      <c r="P10" s="2">
        <f ca="1">goldenOTP_check!P10*P66</f>
        <v>1084.13571</v>
      </c>
      <c r="Q10" s="2">
        <f ca="1">goldenOTP_check!Q10*Q66</f>
        <v>1075.458083</v>
      </c>
      <c r="R10" s="2">
        <f ca="1">goldenOTP_check!R10*R66</f>
        <v>1074.7331980000001</v>
      </c>
      <c r="S10" s="2">
        <f ca="1">goldenOTP_check!S10*S66</f>
        <v>1086.083284</v>
      </c>
      <c r="T10" s="2">
        <f ca="1">goldenOTP_check!T10*T66</f>
        <v>1092.8912399999999</v>
      </c>
      <c r="U10" s="2">
        <f ca="1">goldenOTP_check!U10*U66</f>
        <v>1128.655143</v>
      </c>
      <c r="V10" s="2">
        <f ca="1">goldenOTP_check!V10*V66</f>
        <v>1161.053958</v>
      </c>
      <c r="W10" s="2">
        <f ca="1">goldenOTP_check!W10*W66</f>
        <v>1172.7815680000001</v>
      </c>
      <c r="X10" s="2">
        <f ca="1">goldenOTP_check!X10*X66</f>
        <v>1212.865472</v>
      </c>
      <c r="Y10" s="2">
        <f ca="1">goldenOTP_check!Y10*Y66</f>
        <v>1215.642155</v>
      </c>
    </row>
    <row r="11" spans="2:56" x14ac:dyDescent="0.3">
      <c r="B11" s="6">
        <v>8</v>
      </c>
      <c r="C11" s="9">
        <v>2.2059549999999999</v>
      </c>
      <c r="D11" s="9">
        <v>1.99501</v>
      </c>
      <c r="E11" s="9">
        <v>1.9958899999999999</v>
      </c>
      <c r="F11" s="9">
        <v>2.0702970000000001</v>
      </c>
      <c r="I11" s="2">
        <f ca="1">goldenOTP_check!I11*I67</f>
        <v>1224.983565</v>
      </c>
      <c r="J11" s="2">
        <f ca="1">goldenOTP_check!J11*J67</f>
        <v>1247.432992</v>
      </c>
      <c r="K11" s="2">
        <f ca="1">goldenOTP_check!K11*K67</f>
        <v>1216.66992</v>
      </c>
      <c r="L11" s="2">
        <f ca="1">goldenOTP_check!L11*L67</f>
        <v>1202.8287340000002</v>
      </c>
      <c r="M11" s="2">
        <f ca="1">goldenOTP_check!M11*M67</f>
        <v>1172.5446890000001</v>
      </c>
      <c r="N11" s="2">
        <f ca="1">goldenOTP_check!N11*N67</f>
        <v>1144.136448</v>
      </c>
      <c r="O11" s="2">
        <f ca="1">goldenOTP_check!O11*O67</f>
        <v>1119.6580649999999</v>
      </c>
      <c r="P11" s="2">
        <f ca="1">goldenOTP_check!P11*P67</f>
        <v>1104.0834460000001</v>
      </c>
      <c r="Q11" s="2">
        <f ca="1">goldenOTP_check!Q11*Q67</f>
        <v>1097.637618</v>
      </c>
      <c r="R11" s="2">
        <f ca="1">goldenOTP_check!R11*R67</f>
        <v>1107.5821149999999</v>
      </c>
      <c r="S11" s="2">
        <f ca="1">goldenOTP_check!S11*S67</f>
        <v>1110.7474279999999</v>
      </c>
      <c r="T11" s="2">
        <f ca="1">goldenOTP_check!T11*T67</f>
        <v>1128.3189500000001</v>
      </c>
      <c r="U11" s="2">
        <f ca="1">goldenOTP_check!U11*U67</f>
        <v>1154.252538</v>
      </c>
      <c r="V11" s="2">
        <f ca="1">goldenOTP_check!V11*V67</f>
        <v>1166.3744260000001</v>
      </c>
      <c r="W11" s="2">
        <f ca="1">goldenOTP_check!W11*W67</f>
        <v>1198.01668</v>
      </c>
      <c r="X11" s="2">
        <f ca="1">goldenOTP_check!X11*X67</f>
        <v>1226.719824</v>
      </c>
      <c r="Y11" s="2">
        <f ca="1">goldenOTP_check!Y11*Y67</f>
        <v>1208.91274</v>
      </c>
      <c r="BD11"/>
    </row>
    <row r="12" spans="2:56" x14ac:dyDescent="0.3">
      <c r="B12" s="6">
        <v>9</v>
      </c>
      <c r="C12" s="9">
        <v>2.2378979999999999</v>
      </c>
      <c r="D12" s="9">
        <v>2.0195780000000001</v>
      </c>
      <c r="E12" s="9">
        <v>2.02535</v>
      </c>
      <c r="F12" s="9">
        <v>2.0965500000000001</v>
      </c>
      <c r="I12" s="2">
        <f ca="1">goldenOTP_check!I12*I68</f>
        <v>1233.2200049999999</v>
      </c>
      <c r="J12" s="2">
        <f ca="1">goldenOTP_check!J12*J68</f>
        <v>1246.10304</v>
      </c>
      <c r="K12" s="2">
        <f ca="1">goldenOTP_check!K12*K68</f>
        <v>1240.093568</v>
      </c>
      <c r="L12" s="2">
        <f ca="1">goldenOTP_check!L12*L68</f>
        <v>1224.99584</v>
      </c>
      <c r="M12" s="2">
        <f ca="1">goldenOTP_check!M12*M68</f>
        <v>1205.7209500000001</v>
      </c>
      <c r="N12" s="2">
        <f ca="1">goldenOTP_check!N12*N68</f>
        <v>1187.7073829999999</v>
      </c>
      <c r="O12" s="2">
        <f ca="1">goldenOTP_check!O12*O68</f>
        <v>1157.9537970000001</v>
      </c>
      <c r="P12" s="2">
        <f ca="1">goldenOTP_check!P12*P68</f>
        <v>1142.42814</v>
      </c>
      <c r="Q12" s="2">
        <f ca="1">goldenOTP_check!Q12*Q68</f>
        <v>1144.4409270000001</v>
      </c>
      <c r="R12" s="2">
        <f ca="1">goldenOTP_check!R12*R68</f>
        <v>1148.594566</v>
      </c>
      <c r="S12" s="2">
        <f ca="1">goldenOTP_check!S12*S68</f>
        <v>1151.9140069999999</v>
      </c>
      <c r="T12" s="2">
        <f ca="1">goldenOTP_check!T12*T68</f>
        <v>1159.0182</v>
      </c>
      <c r="U12" s="2">
        <f ca="1">goldenOTP_check!U12*U68</f>
        <v>1174.221875</v>
      </c>
      <c r="V12" s="2">
        <f ca="1">goldenOTP_check!V12*V68</f>
        <v>1188.7037439999999</v>
      </c>
      <c r="W12" s="2">
        <f ca="1">goldenOTP_check!W12*W68</f>
        <v>1198.3677439999999</v>
      </c>
      <c r="X12" s="2">
        <f ca="1">goldenOTP_check!X12*X68</f>
        <v>1232.6888880000001</v>
      </c>
      <c r="Y12" s="2">
        <f ca="1">goldenOTP_check!Y12*Y68</f>
        <v>1177.485195</v>
      </c>
      <c r="BD12"/>
    </row>
    <row r="13" spans="2:56" x14ac:dyDescent="0.3">
      <c r="B13" s="6">
        <v>10</v>
      </c>
      <c r="C13" s="9">
        <v>2.3277670000000001</v>
      </c>
      <c r="D13" s="9">
        <v>2.0904739999999999</v>
      </c>
      <c r="E13" s="9">
        <v>2.0945749999999999</v>
      </c>
      <c r="F13" s="9">
        <v>2.1706599999999998</v>
      </c>
      <c r="I13" s="2">
        <f ca="1">goldenOTP_check!I13*I69</f>
        <v>1194.7529500000001</v>
      </c>
      <c r="J13" s="2">
        <f ca="1">goldenOTP_check!J13*J69</f>
        <v>1249.575008</v>
      </c>
      <c r="K13" s="2">
        <f ca="1">goldenOTP_check!K13*K69</f>
        <v>1248.6992399999999</v>
      </c>
      <c r="L13" s="2">
        <f ca="1">goldenOTP_check!L13*L69</f>
        <v>1229.655804</v>
      </c>
      <c r="M13" s="2">
        <f ca="1">goldenOTP_check!M13*M69</f>
        <v>1219.464704</v>
      </c>
      <c r="N13" s="2">
        <f ca="1">goldenOTP_check!N13*N69</f>
        <v>1216.92299</v>
      </c>
      <c r="O13" s="2">
        <f ca="1">goldenOTP_check!O13*O69</f>
        <v>1207.5961499999999</v>
      </c>
      <c r="P13" s="2">
        <f ca="1">goldenOTP_check!P13*P69</f>
        <v>1200.256065</v>
      </c>
      <c r="Q13" s="2">
        <f ca="1">goldenOTP_check!Q13*Q69</f>
        <v>1194.3346999999999</v>
      </c>
      <c r="R13" s="2">
        <f ca="1">goldenOTP_check!R13*R69</f>
        <v>1192.160574</v>
      </c>
      <c r="S13" s="2">
        <f ca="1">goldenOTP_check!S13*S69</f>
        <v>1190.212884</v>
      </c>
      <c r="T13" s="2">
        <f ca="1">goldenOTP_check!T13*T69</f>
        <v>1195.7885999999999</v>
      </c>
      <c r="U13" s="2">
        <f ca="1">goldenOTP_check!U13*U69</f>
        <v>1214.8834859999999</v>
      </c>
      <c r="V13" s="2">
        <f ca="1">goldenOTP_check!V13*V69</f>
        <v>1225.6353549999999</v>
      </c>
      <c r="W13" s="2">
        <f ca="1">goldenOTP_check!W13*W69</f>
        <v>1244.6353920000001</v>
      </c>
      <c r="X13" s="2">
        <f ca="1">goldenOTP_check!X13*X69</f>
        <v>1211.3031040000001</v>
      </c>
      <c r="Y13" s="2">
        <f ca="1">goldenOTP_check!Y13*Y69</f>
        <v>1211.491665</v>
      </c>
      <c r="BD13"/>
    </row>
    <row r="14" spans="2:56" x14ac:dyDescent="0.3">
      <c r="B14" s="6">
        <v>11</v>
      </c>
      <c r="C14" s="9">
        <v>2.4852880000000002</v>
      </c>
      <c r="D14" s="9">
        <v>2.2136960000000001</v>
      </c>
      <c r="E14" s="9">
        <v>2.2196250000000002</v>
      </c>
      <c r="F14" s="9">
        <v>2.2999649999999998</v>
      </c>
      <c r="I14" s="3">
        <f ca="1">goldenOTP_check!I14*I70</f>
        <v>1247.9951840000001</v>
      </c>
      <c r="J14" s="2">
        <f ca="1">goldenOTP_check!J14*J70</f>
        <v>1208.9393250000001</v>
      </c>
      <c r="K14" s="2">
        <f ca="1">goldenOTP_check!K14*K70</f>
        <v>1255.042054</v>
      </c>
      <c r="L14" s="2">
        <f ca="1">goldenOTP_check!L14*L70</f>
        <v>1277.087968</v>
      </c>
      <c r="M14" s="2">
        <f ca="1">goldenOTP_check!M14*M70</f>
        <v>1244.28395</v>
      </c>
      <c r="N14" s="2">
        <f ca="1">goldenOTP_check!N14*N70</f>
        <v>1199.1595199999999</v>
      </c>
      <c r="O14" s="2">
        <f ca="1">goldenOTP_check!O14*O70</f>
        <v>1217.8703700000001</v>
      </c>
      <c r="P14" s="2">
        <f ca="1">goldenOTP_check!P14*P70</f>
        <v>1207.0544399999999</v>
      </c>
      <c r="Q14" s="2">
        <f ca="1">goldenOTP_check!Q14*Q70</f>
        <v>1212.8358539999999</v>
      </c>
      <c r="R14" s="2">
        <f ca="1">goldenOTP_check!R14*R70</f>
        <v>1202.6561400000001</v>
      </c>
      <c r="S14" s="2">
        <f ca="1">goldenOTP_check!S14*S70</f>
        <v>1206.2198519999999</v>
      </c>
      <c r="T14" s="2">
        <f ca="1">goldenOTP_check!T14*T70</f>
        <v>1212.7428299999999</v>
      </c>
      <c r="U14" s="2">
        <f ca="1">goldenOTP_check!U14*U70</f>
        <v>1208.834693</v>
      </c>
      <c r="V14" s="2">
        <f ca="1">goldenOTP_check!V14*V70</f>
        <v>1232.8955800000001</v>
      </c>
      <c r="W14" s="2">
        <f ca="1">goldenOTP_check!W14*W70</f>
        <v>1214.6362919999999</v>
      </c>
      <c r="X14" s="2">
        <f ca="1">goldenOTP_check!X14*X70</f>
        <v>1227.8586599999999</v>
      </c>
      <c r="Y14" s="3">
        <f ca="1">goldenOTP_check!Y14*Y70</f>
        <v>1195.6176270000001</v>
      </c>
      <c r="BD14"/>
    </row>
    <row r="15" spans="2:56" x14ac:dyDescent="0.3">
      <c r="B15" s="6">
        <v>12</v>
      </c>
      <c r="C15" s="9">
        <v>2.7124419999999998</v>
      </c>
      <c r="D15" s="9">
        <v>2.415788</v>
      </c>
      <c r="E15" s="9">
        <v>2.4268519999999998</v>
      </c>
      <c r="F15" s="9">
        <v>2.5084390000000001</v>
      </c>
      <c r="BD15"/>
    </row>
    <row r="16" spans="2:56" x14ac:dyDescent="0.3">
      <c r="B16" s="6">
        <v>13</v>
      </c>
      <c r="C16" s="9">
        <v>3.033401</v>
      </c>
      <c r="D16" s="9">
        <v>2.704987</v>
      </c>
      <c r="E16" s="9">
        <v>2.713622</v>
      </c>
      <c r="F16" s="9">
        <v>2.8022360000000002</v>
      </c>
      <c r="H16" t="s">
        <v>1</v>
      </c>
      <c r="I16" s="10">
        <f ca="1">goldenOTP_check!I16*I72</f>
        <v>1305.0712920000001</v>
      </c>
      <c r="J16" s="2">
        <f ca="1">goldenOTP_check!J16*J72</f>
        <v>1250.663468</v>
      </c>
      <c r="K16" s="2">
        <f ca="1">goldenOTP_check!K16*K72</f>
        <v>1249.5929919999999</v>
      </c>
      <c r="L16" s="2">
        <f ca="1">goldenOTP_check!L16*L72</f>
        <v>1271.4688140000001</v>
      </c>
      <c r="M16" s="2">
        <f ca="1">goldenOTP_check!M16*M72</f>
        <v>1245.371985</v>
      </c>
      <c r="N16" s="2">
        <f ca="1">goldenOTP_check!N16*N72</f>
        <v>1206.9496799999999</v>
      </c>
      <c r="O16" s="2">
        <f ca="1">goldenOTP_check!O16*O72</f>
        <v>1191.446739</v>
      </c>
      <c r="P16" s="2">
        <f ca="1">goldenOTP_check!P16*P72</f>
        <v>1189.463436</v>
      </c>
      <c r="Q16" s="2">
        <f ca="1">goldenOTP_check!Q16*Q72</f>
        <v>1181.04592</v>
      </c>
      <c r="R16" s="2">
        <f ca="1">goldenOTP_check!R16*R72</f>
        <v>1187.5118640000001</v>
      </c>
      <c r="S16" s="2">
        <f ca="1">goldenOTP_check!S16*S72</f>
        <v>1181.11781</v>
      </c>
      <c r="T16" s="2">
        <f ca="1">goldenOTP_check!T16*T72</f>
        <v>1190.9684480000001</v>
      </c>
      <c r="U16" s="2">
        <f ca="1">goldenOTP_check!U16*U72</f>
        <v>1224.8045159999999</v>
      </c>
      <c r="V16" s="2">
        <f ca="1">goldenOTP_check!V16*V72</f>
        <v>1265.933916</v>
      </c>
      <c r="W16" s="2">
        <f ca="1">goldenOTP_check!W16*W72</f>
        <v>1269.0828650000001</v>
      </c>
      <c r="X16" s="2">
        <f ca="1">goldenOTP_check!X16*X72</f>
        <v>1234.726983</v>
      </c>
      <c r="Y16" s="10">
        <f ca="1">goldenOTP_check!Y16*Y72</f>
        <v>1211.8321600000002</v>
      </c>
    </row>
    <row r="17" spans="2:25" x14ac:dyDescent="0.3">
      <c r="B17" s="6">
        <v>14</v>
      </c>
      <c r="C17" s="9">
        <v>3.4377930000000001</v>
      </c>
      <c r="D17" s="9">
        <v>3.0580310000000002</v>
      </c>
      <c r="E17" s="9">
        <v>3.0767989999999998</v>
      </c>
      <c r="F17" s="9">
        <v>3.164148</v>
      </c>
      <c r="H17" t="s">
        <v>6</v>
      </c>
      <c r="I17" s="2">
        <f ca="1">goldenOTP_check!I17*I73</f>
        <v>1286.4915450000001</v>
      </c>
      <c r="J17" s="2">
        <f ca="1">goldenOTP_check!J17*J73</f>
        <v>1257.8570480000001</v>
      </c>
      <c r="K17" s="2">
        <f ca="1">goldenOTP_check!K17*K73</f>
        <v>1268.680464</v>
      </c>
      <c r="L17" s="2">
        <f ca="1">goldenOTP_check!L17*L73</f>
        <v>1235.6366929999999</v>
      </c>
      <c r="M17" s="2">
        <f ca="1">goldenOTP_check!M17*M73</f>
        <v>1214.8763549999999</v>
      </c>
      <c r="N17" s="2">
        <f ca="1">goldenOTP_check!N17*N73</f>
        <v>1188.7007719999999</v>
      </c>
      <c r="O17" s="2">
        <f ca="1">goldenOTP_check!O17*O73</f>
        <v>1172.2965799999999</v>
      </c>
      <c r="P17" s="2">
        <f ca="1">goldenOTP_check!P17*P73</f>
        <v>1167.3175140000001</v>
      </c>
      <c r="Q17" s="2">
        <f ca="1">goldenOTP_check!Q17*Q73</f>
        <v>1166.0420280000001</v>
      </c>
      <c r="R17" s="2">
        <f ca="1">goldenOTP_check!R17*R73</f>
        <v>1162.482354</v>
      </c>
      <c r="S17" s="2">
        <f ca="1">goldenOTP_check!S17*S73</f>
        <v>1172.509857</v>
      </c>
      <c r="T17" s="2">
        <f ca="1">goldenOTP_check!T17*T73</f>
        <v>1188.3664000000001</v>
      </c>
      <c r="U17" s="2">
        <f ca="1">goldenOTP_check!U17*U73</f>
        <v>1197.010188</v>
      </c>
      <c r="V17" s="2">
        <f ca="1">goldenOTP_check!V17*V73</f>
        <v>1225.140588</v>
      </c>
      <c r="W17" s="2">
        <f ca="1">goldenOTP_check!W17*W73</f>
        <v>1257.9904260000001</v>
      </c>
      <c r="X17" s="2">
        <f ca="1">goldenOTP_check!X17*X73</f>
        <v>1261.738595</v>
      </c>
      <c r="Y17" s="2">
        <f ca="1">goldenOTP_check!Y17*Y73</f>
        <v>1218.1423649999999</v>
      </c>
    </row>
    <row r="18" spans="2:25" x14ac:dyDescent="0.3">
      <c r="B18" s="6">
        <v>15</v>
      </c>
      <c r="C18" s="9">
        <v>3.8854259999999998</v>
      </c>
      <c r="D18" s="9">
        <v>3.4586190000000001</v>
      </c>
      <c r="E18" s="9">
        <v>3.481376</v>
      </c>
      <c r="F18" s="9">
        <v>3.5733139999999999</v>
      </c>
      <c r="I18" s="2">
        <f ca="1">goldenOTP_check!I18*I74</f>
        <v>1267.6647700000001</v>
      </c>
      <c r="J18" s="2">
        <f ca="1">goldenOTP_check!J18*J74</f>
        <v>1262.5340389999999</v>
      </c>
      <c r="K18" s="2">
        <f ca="1">goldenOTP_check!K18*K74</f>
        <v>1236.9753479999999</v>
      </c>
      <c r="L18" s="2">
        <f ca="1">goldenOTP_check!L18*L74</f>
        <v>1200.2574299999999</v>
      </c>
      <c r="M18" s="2">
        <f ca="1">goldenOTP_check!M18*M74</f>
        <v>1183.4272839999999</v>
      </c>
      <c r="N18" s="2">
        <f ca="1">goldenOTP_check!N18*N74</f>
        <v>1165.6955520000001</v>
      </c>
      <c r="O18" s="2">
        <f ca="1">goldenOTP_check!O18*O74</f>
        <v>1150.2081500000002</v>
      </c>
      <c r="P18" s="2">
        <f ca="1">goldenOTP_check!P18*P74</f>
        <v>1140.3824999999999</v>
      </c>
      <c r="Q18" s="2">
        <f ca="1">goldenOTP_check!Q18*Q74</f>
        <v>1130.3205479999999</v>
      </c>
      <c r="R18" s="2">
        <f ca="1">goldenOTP_check!R18*R74</f>
        <v>1134.05151</v>
      </c>
      <c r="S18" s="2">
        <f ca="1">goldenOTP_check!S18*S74</f>
        <v>1144.6655900000001</v>
      </c>
      <c r="T18" s="2">
        <f ca="1">goldenOTP_check!T18*T74</f>
        <v>1159.5711960000001</v>
      </c>
      <c r="U18" s="2">
        <f ca="1">goldenOTP_check!U18*U74</f>
        <v>1174.8008</v>
      </c>
      <c r="V18" s="2">
        <f ca="1">goldenOTP_check!V18*V74</f>
        <v>1190.875092</v>
      </c>
      <c r="W18" s="2">
        <f ca="1">goldenOTP_check!W18*W74</f>
        <v>1221.6562199999998</v>
      </c>
      <c r="X18" s="2">
        <f ca="1">goldenOTP_check!X18*X74</f>
        <v>1241.1303780000001</v>
      </c>
      <c r="Y18" s="2">
        <f ca="1">goldenOTP_check!Y18*Y74</f>
        <v>1235.5141919999999</v>
      </c>
    </row>
    <row r="19" spans="2:25" x14ac:dyDescent="0.3">
      <c r="B19" s="6">
        <v>16</v>
      </c>
      <c r="C19" s="9">
        <v>4.3967720000000003</v>
      </c>
      <c r="D19" s="9">
        <v>3.9091360000000002</v>
      </c>
      <c r="E19" s="9">
        <v>3.9449839999999998</v>
      </c>
      <c r="F19" s="9">
        <v>3.9854400000000001</v>
      </c>
      <c r="I19" s="2">
        <f ca="1">goldenOTP_check!I19*I75</f>
        <v>1271.7771599999999</v>
      </c>
      <c r="J19" s="2">
        <f ca="1">goldenOTP_check!J19*J75</f>
        <v>1254.24</v>
      </c>
      <c r="K19" s="2">
        <f ca="1">goldenOTP_check!K19*K75</f>
        <v>1209.5344519999999</v>
      </c>
      <c r="L19" s="2">
        <f ca="1">goldenOTP_check!L19*L75</f>
        <v>1176.02124</v>
      </c>
      <c r="M19" s="2">
        <f ca="1">goldenOTP_check!M19*M75</f>
        <v>1164.8374080000001</v>
      </c>
      <c r="N19" s="2">
        <f ca="1">goldenOTP_check!N19*N75</f>
        <v>1141.97534</v>
      </c>
      <c r="O19" s="2">
        <f ca="1">goldenOTP_check!O19*O75</f>
        <v>1117.7693100000001</v>
      </c>
      <c r="P19" s="2">
        <f ca="1">goldenOTP_check!P19*P75</f>
        <v>1101.2946939999999</v>
      </c>
      <c r="Q19" s="2">
        <f ca="1">goldenOTP_check!Q19*Q75</f>
        <v>1096.4166299999999</v>
      </c>
      <c r="R19" s="2">
        <f ca="1">goldenOTP_check!R19*R75</f>
        <v>1093.2785060000001</v>
      </c>
      <c r="S19" s="2">
        <f ca="1">goldenOTP_check!S19*S75</f>
        <v>1108.86853</v>
      </c>
      <c r="T19" s="2">
        <f ca="1">goldenOTP_check!T19*T75</f>
        <v>1129.2318700000001</v>
      </c>
      <c r="U19" s="2">
        <f ca="1">goldenOTP_check!U19*U75</f>
        <v>1152.07455</v>
      </c>
      <c r="V19" s="2">
        <f ca="1">goldenOTP_check!V19*V75</f>
        <v>1165.6694560000001</v>
      </c>
      <c r="W19" s="2">
        <f ca="1">goldenOTP_check!W19*W75</f>
        <v>1194.270154</v>
      </c>
      <c r="X19" s="2">
        <f ca="1">goldenOTP_check!X19*X75</f>
        <v>1232.256852</v>
      </c>
      <c r="Y19" s="2">
        <f ca="1">goldenOTP_check!Y19*Y75</f>
        <v>1231.3233789999999</v>
      </c>
    </row>
    <row r="20" spans="2:25" x14ac:dyDescent="0.3">
      <c r="B20" s="6">
        <v>17</v>
      </c>
      <c r="C20" s="9">
        <v>4.1747360000000002</v>
      </c>
      <c r="D20" s="9">
        <v>3.728961</v>
      </c>
      <c r="E20" s="9">
        <v>3.756246</v>
      </c>
      <c r="F20" s="9">
        <v>3.9590920000000001</v>
      </c>
      <c r="I20" s="2">
        <f ca="1">goldenOTP_check!I20*I76</f>
        <v>1247.06176</v>
      </c>
      <c r="J20" s="2">
        <f ca="1">goldenOTP_check!J20*J76</f>
        <v>1234.5581249999998</v>
      </c>
      <c r="K20" s="2">
        <f ca="1">goldenOTP_check!K20*K76</f>
        <v>1182.4269449999999</v>
      </c>
      <c r="L20" s="2">
        <f ca="1">goldenOTP_check!L20*L76</f>
        <v>1160.5730599999999</v>
      </c>
      <c r="M20" s="2">
        <f ca="1">goldenOTP_check!M20*M76</f>
        <v>1140.297331</v>
      </c>
      <c r="N20" s="2">
        <f ca="1">goldenOTP_check!N20*N76</f>
        <v>1111.7651640000001</v>
      </c>
      <c r="O20" s="2">
        <f ca="1">goldenOTP_check!O20*O76</f>
        <v>1089.538998</v>
      </c>
      <c r="P20" s="2">
        <f ca="1">goldenOTP_check!P20*P76</f>
        <v>1078.386</v>
      </c>
      <c r="Q20" s="2">
        <f ca="1">goldenOTP_check!Q20*Q76</f>
        <v>1075.1258</v>
      </c>
      <c r="R20" s="2">
        <f ca="1">goldenOTP_check!R20*R76</f>
        <v>1075.828933</v>
      </c>
      <c r="S20" s="2">
        <f ca="1">goldenOTP_check!S20*S76</f>
        <v>1091.6343000000002</v>
      </c>
      <c r="T20" s="2">
        <f ca="1">goldenOTP_check!T20*T76</f>
        <v>1101.3462019999999</v>
      </c>
      <c r="U20" s="2">
        <f ca="1">goldenOTP_check!U20*U76</f>
        <v>1129.963718</v>
      </c>
      <c r="V20" s="2">
        <f ca="1">goldenOTP_check!V20*V76</f>
        <v>1157.0502079999999</v>
      </c>
      <c r="W20" s="2">
        <f ca="1">goldenOTP_check!W20*W76</f>
        <v>1178.6229000000001</v>
      </c>
      <c r="X20" s="2">
        <f ca="1">goldenOTP_check!X20*X76</f>
        <v>1210.2779989999999</v>
      </c>
      <c r="Y20" s="2">
        <f ca="1">goldenOTP_check!Y20*Y76</f>
        <v>1207.4901220000002</v>
      </c>
    </row>
    <row r="21" spans="2:25" x14ac:dyDescent="0.3">
      <c r="B21" s="6">
        <v>18</v>
      </c>
      <c r="C21" s="9">
        <v>3.6154820000000001</v>
      </c>
      <c r="D21" s="9">
        <v>3.2088190000000001</v>
      </c>
      <c r="E21" s="9">
        <v>3.230423</v>
      </c>
      <c r="F21" s="9">
        <v>3.3681269999999999</v>
      </c>
      <c r="I21" s="2">
        <f ca="1">goldenOTP_check!I21*I77</f>
        <v>1257.5255279999999</v>
      </c>
      <c r="J21" s="2">
        <f ca="1">goldenOTP_check!J21*J77</f>
        <v>1215.002033</v>
      </c>
      <c r="K21" s="2">
        <f ca="1">goldenOTP_check!K21*K77</f>
        <v>1173.60141</v>
      </c>
      <c r="L21" s="2">
        <f ca="1">goldenOTP_check!L21*L77</f>
        <v>1149.3782799999999</v>
      </c>
      <c r="M21" s="2">
        <f ca="1">goldenOTP_check!M21*M77</f>
        <v>1125.819266</v>
      </c>
      <c r="N21" s="2">
        <f ca="1">goldenOTP_check!N21*N77</f>
        <v>1094.012432</v>
      </c>
      <c r="O21" s="2">
        <f ca="1">goldenOTP_check!O21*O77</f>
        <v>1084.0291769999999</v>
      </c>
      <c r="P21" s="2">
        <f ca="1">goldenOTP_check!P21*P77</f>
        <v>1051.6518999999998</v>
      </c>
      <c r="Q21" s="2">
        <f ca="1">goldenOTP_check!Q21*Q77</f>
        <v>1044.3963630000001</v>
      </c>
      <c r="R21" s="2">
        <f ca="1">goldenOTP_check!R21*R77</f>
        <v>1048.869794</v>
      </c>
      <c r="S21" s="2">
        <f ca="1">goldenOTP_check!S21*S77</f>
        <v>1069.288004</v>
      </c>
      <c r="T21" s="2">
        <f ca="1">goldenOTP_check!T21*T77</f>
        <v>1088.4736150000001</v>
      </c>
      <c r="U21" s="2">
        <f ca="1">goldenOTP_check!U21*U77</f>
        <v>1113.7839160000001</v>
      </c>
      <c r="V21" s="2">
        <f ca="1">goldenOTP_check!V21*V77</f>
        <v>1139.5899360000001</v>
      </c>
      <c r="W21" s="2">
        <f ca="1">goldenOTP_check!W21*W77</f>
        <v>1167.0135749999999</v>
      </c>
      <c r="X21" s="2">
        <f ca="1">goldenOTP_check!X21*X77</f>
        <v>1191.0767969999999</v>
      </c>
      <c r="Y21" s="2">
        <f ca="1">goldenOTP_check!Y21*Y77</f>
        <v>1212.3086640000001</v>
      </c>
    </row>
    <row r="22" spans="2:25" x14ac:dyDescent="0.3">
      <c r="B22" s="6">
        <v>19</v>
      </c>
      <c r="C22" s="9">
        <v>3.1285919999999998</v>
      </c>
      <c r="D22" s="9">
        <v>2.7821940000000001</v>
      </c>
      <c r="E22" s="9">
        <v>2.7971200000000001</v>
      </c>
      <c r="F22" s="9">
        <v>2.9077069999999998</v>
      </c>
      <c r="I22" s="2">
        <f ca="1">goldenOTP_check!I22*I78</f>
        <v>1240.617311</v>
      </c>
      <c r="J22" s="2">
        <f ca="1">goldenOTP_check!J22*J78</f>
        <v>1197.955866</v>
      </c>
      <c r="K22" s="2">
        <f ca="1">goldenOTP_check!K22*K78</f>
        <v>1168.6287030000001</v>
      </c>
      <c r="L22" s="2">
        <f ca="1">goldenOTP_check!L22*L78</f>
        <v>1147.9335840000001</v>
      </c>
      <c r="M22" s="2">
        <f ca="1">goldenOTP_check!M22*M78</f>
        <v>1119.3580979999999</v>
      </c>
      <c r="N22" s="2">
        <f ca="1">goldenOTP_check!N22*N78</f>
        <v>1088.39663</v>
      </c>
      <c r="O22" s="2">
        <f ca="1">goldenOTP_check!O22*O78</f>
        <v>1075.3142329999998</v>
      </c>
      <c r="P22" s="2">
        <f ca="1">goldenOTP_check!P22*P78</f>
        <v>1040.175</v>
      </c>
      <c r="Q22" s="2">
        <f ca="1">goldenOTP_check!Q22*Q78</f>
        <v>1029.1165169999999</v>
      </c>
      <c r="R22" s="2">
        <f ca="1">goldenOTP_check!R22*R78</f>
        <v>1038.5861459999999</v>
      </c>
      <c r="S22" s="2">
        <f ca="1">goldenOTP_check!S22*S78</f>
        <v>1055.2682560000001</v>
      </c>
      <c r="T22" s="2">
        <f ca="1">goldenOTP_check!T22*T78</f>
        <v>1083.079853</v>
      </c>
      <c r="U22" s="2">
        <f ca="1">goldenOTP_check!U22*U78</f>
        <v>1100.6904300000001</v>
      </c>
      <c r="V22" s="2">
        <f ca="1">goldenOTP_check!V22*V78</f>
        <v>1125.589248</v>
      </c>
      <c r="W22" s="2">
        <f ca="1">goldenOTP_check!W22*W78</f>
        <v>1157.46495</v>
      </c>
      <c r="X22" s="2">
        <f ca="1">goldenOTP_check!X22*X78</f>
        <v>1182.625078</v>
      </c>
      <c r="Y22" s="2">
        <f ca="1">goldenOTP_check!Y22*Y78</f>
        <v>1189.3918679999999</v>
      </c>
    </row>
    <row r="23" spans="2:25" x14ac:dyDescent="0.3">
      <c r="B23" s="6">
        <v>20</v>
      </c>
      <c r="C23" s="9">
        <v>2.7185199999999998</v>
      </c>
      <c r="D23" s="9">
        <v>2.4275769999999999</v>
      </c>
      <c r="E23" s="9">
        <v>2.4379420000000001</v>
      </c>
      <c r="F23" s="9">
        <v>2.532394</v>
      </c>
      <c r="I23" s="2">
        <f ca="1">goldenOTP_check!I23*I79</f>
        <v>1233.9612529999999</v>
      </c>
      <c r="J23" s="2">
        <f ca="1">goldenOTP_check!J23*J79</f>
        <v>1197.3008320000001</v>
      </c>
      <c r="K23" s="2">
        <f ca="1">goldenOTP_check!K23*K79</f>
        <v>1170.356511</v>
      </c>
      <c r="L23" s="2">
        <f ca="1">goldenOTP_check!L23*L79</f>
        <v>1147.5567249999999</v>
      </c>
      <c r="M23" s="2">
        <f ca="1">goldenOTP_check!M23*M79</f>
        <v>1123.255666</v>
      </c>
      <c r="N23" s="2">
        <f ca="1">goldenOTP_check!N23*N79</f>
        <v>1090.603472</v>
      </c>
      <c r="O23" s="2">
        <f ca="1">goldenOTP_check!O23*O79</f>
        <v>1080.4966629999999</v>
      </c>
      <c r="P23" s="2">
        <f ca="1">goldenOTP_check!P23*P79</f>
        <v>1049.9347559999999</v>
      </c>
      <c r="Q23" s="2">
        <f ca="1">goldenOTP_check!Q23*Q79</f>
        <v>1037.6323500000001</v>
      </c>
      <c r="R23" s="2">
        <f ca="1">goldenOTP_check!R23*R79</f>
        <v>1048.6123480000001</v>
      </c>
      <c r="S23" s="2">
        <f ca="1">goldenOTP_check!S23*S79</f>
        <v>1067.2282789999999</v>
      </c>
      <c r="T23" s="2">
        <f ca="1">goldenOTP_check!T23*T79</f>
        <v>1083.60799</v>
      </c>
      <c r="U23" s="2">
        <f ca="1">goldenOTP_check!U23*U79</f>
        <v>1098.09816</v>
      </c>
      <c r="V23" s="2">
        <f ca="1">goldenOTP_check!V23*V79</f>
        <v>1133.260272</v>
      </c>
      <c r="W23" s="2">
        <f ca="1">goldenOTP_check!W23*W79</f>
        <v>1148.7759510000001</v>
      </c>
      <c r="X23" s="2">
        <f ca="1">goldenOTP_check!X23*X79</f>
        <v>1182.9806429999999</v>
      </c>
      <c r="Y23" s="2">
        <f ca="1">goldenOTP_check!Y23*Y79</f>
        <v>1187.0408049999999</v>
      </c>
    </row>
    <row r="24" spans="2:25" x14ac:dyDescent="0.3">
      <c r="B24" s="6">
        <v>21</v>
      </c>
      <c r="C24" s="9">
        <v>2.4066350000000001</v>
      </c>
      <c r="D24" s="9">
        <v>2.1655549999999999</v>
      </c>
      <c r="E24" s="9">
        <v>2.1680969999999999</v>
      </c>
      <c r="F24" s="9">
        <v>2.252259</v>
      </c>
      <c r="I24" s="2">
        <f ca="1">goldenOTP_check!I24*I80</f>
        <v>1237.1137549999999</v>
      </c>
      <c r="J24" s="2">
        <f ca="1">goldenOTP_check!J24*J80</f>
        <v>1211.704115</v>
      </c>
      <c r="K24" s="2">
        <f ca="1">goldenOTP_check!K24*K80</f>
        <v>1175.4872250000001</v>
      </c>
      <c r="L24" s="2">
        <f ca="1">goldenOTP_check!L24*L80</f>
        <v>1154.63535</v>
      </c>
      <c r="M24" s="2">
        <f ca="1">goldenOTP_check!M24*M80</f>
        <v>1135.5821289999999</v>
      </c>
      <c r="N24" s="2">
        <f ca="1">goldenOTP_check!N24*N80</f>
        <v>1105.7021729999999</v>
      </c>
      <c r="O24" s="2">
        <f ca="1">goldenOTP_check!O24*O80</f>
        <v>1091.591543</v>
      </c>
      <c r="P24" s="2">
        <f ca="1">goldenOTP_check!P24*P80</f>
        <v>1079.4209040000001</v>
      </c>
      <c r="Q24" s="2">
        <f ca="1">goldenOTP_check!Q24*Q80</f>
        <v>1070.583545</v>
      </c>
      <c r="R24" s="2">
        <f ca="1">goldenOTP_check!R24*R80</f>
        <v>1078.3881160000001</v>
      </c>
      <c r="S24" s="2">
        <f ca="1">goldenOTP_check!S24*S80</f>
        <v>1084.2822000000001</v>
      </c>
      <c r="T24" s="2">
        <f ca="1">goldenOTP_check!T24*T80</f>
        <v>1093.5702940000001</v>
      </c>
      <c r="U24" s="2">
        <f ca="1">goldenOTP_check!U24*U80</f>
        <v>1111.889725</v>
      </c>
      <c r="V24" s="2">
        <f ca="1">goldenOTP_check!V24*V80</f>
        <v>1135.2467489999999</v>
      </c>
      <c r="W24" s="2">
        <f ca="1">goldenOTP_check!W24*W80</f>
        <v>1153.7621370000002</v>
      </c>
      <c r="X24" s="2">
        <f ca="1">goldenOTP_check!X24*X80</f>
        <v>1182.7448589999999</v>
      </c>
      <c r="Y24" s="2">
        <f ca="1">goldenOTP_check!Y24*Y80</f>
        <v>1199.0189459999999</v>
      </c>
    </row>
    <row r="25" spans="2:25" x14ac:dyDescent="0.3">
      <c r="B25" s="6">
        <v>22</v>
      </c>
      <c r="C25" s="9">
        <v>2.1710769999999999</v>
      </c>
      <c r="D25" s="9">
        <v>1.974586</v>
      </c>
      <c r="E25" s="9">
        <v>1.975684</v>
      </c>
      <c r="F25" s="9">
        <v>2.055072</v>
      </c>
      <c r="I25" s="2">
        <f ca="1">goldenOTP_check!I25*I81</f>
        <v>1227.767912</v>
      </c>
      <c r="J25" s="2">
        <f ca="1">goldenOTP_check!J25*J81</f>
        <v>1226.5896719999998</v>
      </c>
      <c r="K25" s="2">
        <f ca="1">goldenOTP_check!K25*K81</f>
        <v>1184.038098</v>
      </c>
      <c r="L25" s="2">
        <f ca="1">goldenOTP_check!L25*L81</f>
        <v>1167.4972479999999</v>
      </c>
      <c r="M25" s="2">
        <f ca="1">goldenOTP_check!M25*M81</f>
        <v>1156.85808</v>
      </c>
      <c r="N25" s="2">
        <f ca="1">goldenOTP_check!N25*N81</f>
        <v>1133.91938</v>
      </c>
      <c r="O25" s="2">
        <f ca="1">goldenOTP_check!O25*O81</f>
        <v>1109.3767109999999</v>
      </c>
      <c r="P25" s="2">
        <f ca="1">goldenOTP_check!P25*P81</f>
        <v>1092.3095539999999</v>
      </c>
      <c r="Q25" s="2">
        <f ca="1">goldenOTP_check!Q25*Q81</f>
        <v>1094.402562</v>
      </c>
      <c r="R25" s="2">
        <f ca="1">goldenOTP_check!R25*R81</f>
        <v>1090.58854</v>
      </c>
      <c r="S25" s="2">
        <f ca="1">goldenOTP_check!S25*S81</f>
        <v>1096.707324</v>
      </c>
      <c r="T25" s="2">
        <f ca="1">goldenOTP_check!T25*T81</f>
        <v>1116.1281039999999</v>
      </c>
      <c r="U25" s="2">
        <f ca="1">goldenOTP_check!U25*U81</f>
        <v>1138.879314</v>
      </c>
      <c r="V25" s="2">
        <f ca="1">goldenOTP_check!V25*V81</f>
        <v>1149.5220099999999</v>
      </c>
      <c r="W25" s="2">
        <f ca="1">goldenOTP_check!W25*W81</f>
        <v>1161.6235959999999</v>
      </c>
      <c r="X25" s="2">
        <f ca="1">goldenOTP_check!X25*X81</f>
        <v>1196.164008</v>
      </c>
      <c r="Y25" s="2">
        <f ca="1">goldenOTP_check!Y25*Y81</f>
        <v>1195.728912</v>
      </c>
    </row>
    <row r="26" spans="2:25" x14ac:dyDescent="0.3">
      <c r="B26" s="6">
        <v>23</v>
      </c>
      <c r="C26" s="9">
        <v>2.0006339999999998</v>
      </c>
      <c r="D26" s="9">
        <v>1.8403400000000001</v>
      </c>
      <c r="E26" s="9">
        <v>1.8401780000000001</v>
      </c>
      <c r="F26" s="9">
        <v>1.913494</v>
      </c>
      <c r="I26" s="2">
        <f ca="1">goldenOTP_check!I26*I82</f>
        <v>1217.3656040000001</v>
      </c>
      <c r="J26" s="2">
        <f ca="1">goldenOTP_check!J26*J82</f>
        <v>1228.836826</v>
      </c>
      <c r="K26" s="2">
        <f ca="1">goldenOTP_check!K26*K82</f>
        <v>1220.450595</v>
      </c>
      <c r="L26" s="2">
        <f ca="1">goldenOTP_check!L26*L82</f>
        <v>1187.6195249999998</v>
      </c>
      <c r="M26" s="2">
        <f ca="1">goldenOTP_check!M26*M82</f>
        <v>1171.938116</v>
      </c>
      <c r="N26" s="2">
        <f ca="1">goldenOTP_check!N26*N82</f>
        <v>1156.4757120000002</v>
      </c>
      <c r="O26" s="2">
        <f ca="1">goldenOTP_check!O26*O82</f>
        <v>1137.222675</v>
      </c>
      <c r="P26" s="2">
        <f ca="1">goldenOTP_check!P26*P82</f>
        <v>1127.627068</v>
      </c>
      <c r="Q26" s="2">
        <f ca="1">goldenOTP_check!Q26*Q82</f>
        <v>1116.5163660000001</v>
      </c>
      <c r="R26" s="2">
        <f ca="1">goldenOTP_check!R26*R82</f>
        <v>1117.636896</v>
      </c>
      <c r="S26" s="2">
        <f ca="1">goldenOTP_check!S26*S82</f>
        <v>1127.6537579999999</v>
      </c>
      <c r="T26" s="2">
        <f ca="1">goldenOTP_check!T26*T82</f>
        <v>1142.366268</v>
      </c>
      <c r="U26" s="2">
        <f ca="1">goldenOTP_check!U26*U82</f>
        <v>1146.941562</v>
      </c>
      <c r="V26" s="2">
        <f ca="1">goldenOTP_check!V26*V82</f>
        <v>1156.9818600000001</v>
      </c>
      <c r="W26" s="2">
        <f ca="1">goldenOTP_check!W26*W82</f>
        <v>1184.2963300000001</v>
      </c>
      <c r="X26" s="2">
        <f ca="1">goldenOTP_check!X26*X82</f>
        <v>1202.746265</v>
      </c>
      <c r="Y26" s="2">
        <f ca="1">goldenOTP_check!Y26*Y82</f>
        <v>1165.241076</v>
      </c>
    </row>
    <row r="27" spans="2:25" x14ac:dyDescent="0.3">
      <c r="B27" s="6">
        <v>24</v>
      </c>
      <c r="C27" s="9">
        <v>1.8908910000000001</v>
      </c>
      <c r="D27" s="9">
        <v>1.752729</v>
      </c>
      <c r="E27" s="9">
        <v>1.752769</v>
      </c>
      <c r="F27" s="9">
        <v>1.820676</v>
      </c>
      <c r="I27" s="2">
        <f ca="1">goldenOTP_check!I27*I83</f>
        <v>1222.418406</v>
      </c>
      <c r="J27" s="2">
        <f ca="1">goldenOTP_check!J27*J83</f>
        <v>1219.56314</v>
      </c>
      <c r="K27" s="2">
        <f ca="1">goldenOTP_check!K27*K83</f>
        <v>1232.84295</v>
      </c>
      <c r="L27" s="2">
        <f ca="1">goldenOTP_check!L27*L83</f>
        <v>1218.707353</v>
      </c>
      <c r="M27" s="2">
        <f ca="1">goldenOTP_check!M27*M83</f>
        <v>1186.85751</v>
      </c>
      <c r="N27" s="2">
        <f ca="1">goldenOTP_check!N27*N83</f>
        <v>1175.953422</v>
      </c>
      <c r="O27" s="2">
        <f ca="1">goldenOTP_check!O27*O83</f>
        <v>1170.6702339999999</v>
      </c>
      <c r="P27" s="2">
        <f ca="1">goldenOTP_check!P27*P83</f>
        <v>1153.361484</v>
      </c>
      <c r="Q27" s="2">
        <f ca="1">goldenOTP_check!Q27*Q83</f>
        <v>1152.3450720000001</v>
      </c>
      <c r="R27" s="2">
        <f ca="1">goldenOTP_check!R27*R83</f>
        <v>1145.2542659999999</v>
      </c>
      <c r="S27" s="2">
        <f ca="1">goldenOTP_check!S27*S83</f>
        <v>1156.458648</v>
      </c>
      <c r="T27" s="2">
        <f ca="1">goldenOTP_check!T27*T83</f>
        <v>1159.043242</v>
      </c>
      <c r="U27" s="2">
        <f ca="1">goldenOTP_check!U27*U83</f>
        <v>1175.4346889999999</v>
      </c>
      <c r="V27" s="2">
        <f ca="1">goldenOTP_check!V27*V83</f>
        <v>1188.9863340000002</v>
      </c>
      <c r="W27" s="2">
        <f ca="1">goldenOTP_check!W27*W83</f>
        <v>1199.4529500000001</v>
      </c>
      <c r="X27" s="2">
        <f ca="1">goldenOTP_check!X27*X83</f>
        <v>1199.8806399999999</v>
      </c>
      <c r="Y27" s="2">
        <f ca="1">goldenOTP_check!Y27*Y83</f>
        <v>1172.595544</v>
      </c>
    </row>
    <row r="28" spans="2:25" x14ac:dyDescent="0.3">
      <c r="B28" s="6">
        <v>25</v>
      </c>
      <c r="C28" s="9">
        <v>1.8492900000000001</v>
      </c>
      <c r="D28" s="9">
        <v>1.7198260000000001</v>
      </c>
      <c r="E28" s="9">
        <v>1.719576</v>
      </c>
      <c r="F28" s="9">
        <v>1.7870349999999999</v>
      </c>
      <c r="I28" s="10">
        <f ca="1">goldenOTP_check!I28*I84</f>
        <v>1230.421192</v>
      </c>
      <c r="J28" s="2">
        <f ca="1">goldenOTP_check!J28*J84</f>
        <v>1216.9522490000002</v>
      </c>
      <c r="K28" s="2">
        <f ca="1">goldenOTP_check!K28*K84</f>
        <v>1227.9619439999999</v>
      </c>
      <c r="L28" s="2">
        <f ca="1">goldenOTP_check!L28*L84</f>
        <v>1222.8686680000001</v>
      </c>
      <c r="M28" s="2">
        <f ca="1">goldenOTP_check!M28*M84</f>
        <v>1206.8462519999998</v>
      </c>
      <c r="N28" s="2">
        <f ca="1">goldenOTP_check!N28*N84</f>
        <v>1189.915888</v>
      </c>
      <c r="O28" s="2">
        <f ca="1">goldenOTP_check!O28*O84</f>
        <v>1170.3216120000002</v>
      </c>
      <c r="P28" s="2">
        <f ca="1">goldenOTP_check!P28*P84</f>
        <v>1174.2991890000001</v>
      </c>
      <c r="Q28" s="2">
        <f ca="1">goldenOTP_check!Q28*Q84</f>
        <v>1166.4121950000001</v>
      </c>
      <c r="R28" s="2">
        <f ca="1">goldenOTP_check!R28*R84</f>
        <v>1167.8460219999999</v>
      </c>
      <c r="S28" s="2">
        <f ca="1">goldenOTP_check!S28*S84</f>
        <v>1158.9922320000001</v>
      </c>
      <c r="T28" s="2">
        <f ca="1">goldenOTP_check!T28*T84</f>
        <v>1170.9851999999998</v>
      </c>
      <c r="U28" s="2">
        <f ca="1">goldenOTP_check!U28*U84</f>
        <v>1196.1593869999999</v>
      </c>
      <c r="V28" s="2">
        <f ca="1">goldenOTP_check!V28*V84</f>
        <v>1215.772956</v>
      </c>
      <c r="W28" s="2">
        <f ca="1">goldenOTP_check!W28*W84</f>
        <v>1197.0794879999999</v>
      </c>
      <c r="X28" s="2">
        <f ca="1">goldenOTP_check!X28*X84</f>
        <v>1174.0284449999999</v>
      </c>
      <c r="Y28" s="10">
        <f ca="1">goldenOTP_check!Y28*Y84</f>
        <v>1135.246198</v>
      </c>
    </row>
    <row r="29" spans="2:25" x14ac:dyDescent="0.3">
      <c r="B29" s="6">
        <v>26</v>
      </c>
      <c r="C29" s="9">
        <v>1.880266</v>
      </c>
      <c r="D29" s="9">
        <v>1.7454689999999999</v>
      </c>
      <c r="E29" s="9">
        <v>1.7478689999999999</v>
      </c>
      <c r="F29" s="9">
        <v>1.8125910000000001</v>
      </c>
    </row>
    <row r="30" spans="2:25" x14ac:dyDescent="0.3">
      <c r="B30" s="6">
        <v>27</v>
      </c>
      <c r="C30" s="9">
        <v>1.9801139999999999</v>
      </c>
      <c r="D30" s="9">
        <v>1.823499</v>
      </c>
      <c r="E30" s="9">
        <v>1.827536</v>
      </c>
      <c r="F30" s="9">
        <v>1.8949210000000001</v>
      </c>
      <c r="H30" t="s">
        <v>2</v>
      </c>
      <c r="I30" s="11">
        <f ca="1">goldenOTP_check!I30*I86</f>
        <v>1302.4321440000001</v>
      </c>
      <c r="J30" s="2">
        <f ca="1">goldenOTP_check!J30*J86</f>
        <v>1251.8085060000001</v>
      </c>
      <c r="K30" s="2">
        <f ca="1">goldenOTP_check!K30*K86</f>
        <v>1247.890056</v>
      </c>
      <c r="L30" s="2">
        <f ca="1">goldenOTP_check!L30*L86</f>
        <v>1265.608962</v>
      </c>
      <c r="M30" s="2">
        <f ca="1">goldenOTP_check!M30*M86</f>
        <v>1236.9288959999999</v>
      </c>
      <c r="N30" s="2">
        <f ca="1">goldenOTP_check!N30*N86</f>
        <v>1200.5757329999999</v>
      </c>
      <c r="O30" s="2">
        <f ca="1">goldenOTP_check!O30*O86</f>
        <v>1181.19193</v>
      </c>
      <c r="P30" s="2">
        <f ca="1">goldenOTP_check!P30*P86</f>
        <v>1184.5407600000001</v>
      </c>
      <c r="Q30" s="2">
        <f ca="1">goldenOTP_check!Q30*Q86</f>
        <v>1175.5792099999999</v>
      </c>
      <c r="R30" s="2">
        <f ca="1">goldenOTP_check!R30*R86</f>
        <v>1184.8297500000001</v>
      </c>
      <c r="S30" s="2">
        <f ca="1">goldenOTP_check!S30*S86</f>
        <v>1177.1511499999999</v>
      </c>
      <c r="T30" s="2">
        <f ca="1">goldenOTP_check!T30*T86</f>
        <v>1191.938625</v>
      </c>
      <c r="U30" s="2">
        <f ca="1">goldenOTP_check!U30*U86</f>
        <v>1223.1334079999999</v>
      </c>
      <c r="V30" s="2">
        <f ca="1">goldenOTP_check!V30*V86</f>
        <v>1240.125254</v>
      </c>
      <c r="W30" s="2">
        <f ca="1">goldenOTP_check!W30*W86</f>
        <v>1252.2571929999999</v>
      </c>
      <c r="X30" s="2">
        <f ca="1">goldenOTP_check!X30*X86</f>
        <v>1242.851232</v>
      </c>
      <c r="Y30" s="11">
        <f ca="1">goldenOTP_check!Y30*Y86</f>
        <v>1222.9450399999998</v>
      </c>
    </row>
    <row r="31" spans="2:25" x14ac:dyDescent="0.3">
      <c r="B31" s="6">
        <v>28</v>
      </c>
      <c r="C31" s="9">
        <v>2.1409899999999999</v>
      </c>
      <c r="D31" s="9">
        <v>1.95455</v>
      </c>
      <c r="E31" s="9">
        <v>1.957627</v>
      </c>
      <c r="F31" s="9">
        <v>2.0298959999999999</v>
      </c>
      <c r="H31" t="s">
        <v>6</v>
      </c>
      <c r="I31" s="2">
        <f ca="1">goldenOTP_check!I31*I87</f>
        <v>1288.392378</v>
      </c>
      <c r="J31" s="2">
        <f ca="1">goldenOTP_check!J31*J87</f>
        <v>1256.6345470000001</v>
      </c>
      <c r="K31" s="2">
        <f ca="1">goldenOTP_check!K31*K87</f>
        <v>1267.09536</v>
      </c>
      <c r="L31" s="2">
        <f ca="1">goldenOTP_check!L31*L87</f>
        <v>1233.5986520000001</v>
      </c>
      <c r="M31" s="2">
        <f ca="1">goldenOTP_check!M31*M87</f>
        <v>1209.7981259999999</v>
      </c>
      <c r="N31" s="2">
        <f ca="1">goldenOTP_check!N31*N87</f>
        <v>1183.434716</v>
      </c>
      <c r="O31" s="2">
        <f ca="1">goldenOTP_check!O31*O87</f>
        <v>1175.873742</v>
      </c>
      <c r="P31" s="2">
        <f ca="1">goldenOTP_check!P31*P87</f>
        <v>1162.0858470000001</v>
      </c>
      <c r="Q31" s="2">
        <f ca="1">goldenOTP_check!Q31*Q87</f>
        <v>1158.994224</v>
      </c>
      <c r="R31" s="2">
        <f ca="1">goldenOTP_check!R31*R87</f>
        <v>1158.837147</v>
      </c>
      <c r="S31" s="2">
        <f ca="1">goldenOTP_check!S31*S87</f>
        <v>1167.7955039999999</v>
      </c>
      <c r="T31" s="2">
        <f ca="1">goldenOTP_check!T31*T87</f>
        <v>1172.618573</v>
      </c>
      <c r="U31" s="2">
        <f ca="1">goldenOTP_check!U31*U87</f>
        <v>1194.0234659999999</v>
      </c>
      <c r="V31" s="2">
        <f ca="1">goldenOTP_check!V31*V87</f>
        <v>1225.696768</v>
      </c>
      <c r="W31" s="2">
        <f ca="1">goldenOTP_check!W31*W87</f>
        <v>1241.205504</v>
      </c>
      <c r="X31" s="2">
        <f ca="1">goldenOTP_check!X31*X87</f>
        <v>1245.1118899999999</v>
      </c>
      <c r="Y31" s="2">
        <f ca="1">goldenOTP_check!Y31*Y87</f>
        <v>1228.0368210000001</v>
      </c>
    </row>
    <row r="32" spans="2:25" x14ac:dyDescent="0.3">
      <c r="B32" s="6">
        <v>29</v>
      </c>
      <c r="C32" s="9">
        <v>2.360938</v>
      </c>
      <c r="D32" s="9">
        <v>2.1337079999999999</v>
      </c>
      <c r="E32" s="9">
        <v>2.1398269999999999</v>
      </c>
      <c r="F32" s="9">
        <v>2.213778</v>
      </c>
      <c r="I32" s="2">
        <f ca="1">goldenOTP_check!I32*I88</f>
        <v>1270.813664</v>
      </c>
      <c r="J32" s="2">
        <f ca="1">goldenOTP_check!J32*J88</f>
        <v>1263.2282</v>
      </c>
      <c r="K32" s="2">
        <f ca="1">goldenOTP_check!K32*K88</f>
        <v>1237.65031</v>
      </c>
      <c r="L32" s="2">
        <f ca="1">goldenOTP_check!L32*L88</f>
        <v>1200.6563039999999</v>
      </c>
      <c r="M32" s="2">
        <f ca="1">goldenOTP_check!M32*M88</f>
        <v>1179.83394</v>
      </c>
      <c r="N32" s="2">
        <f ca="1">goldenOTP_check!N32*N88</f>
        <v>1160.913192</v>
      </c>
      <c r="O32" s="2">
        <f ca="1">goldenOTP_check!O32*O88</f>
        <v>1144.563707</v>
      </c>
      <c r="P32" s="2">
        <f ca="1">goldenOTP_check!P32*P88</f>
        <v>1133.9394649999999</v>
      </c>
      <c r="Q32" s="2">
        <f ca="1">goldenOTP_check!Q32*Q88</f>
        <v>1125.926291</v>
      </c>
      <c r="R32" s="2">
        <f ca="1">goldenOTP_check!R32*R88</f>
        <v>1128.8864249999999</v>
      </c>
      <c r="S32" s="2">
        <f ca="1">goldenOTP_check!S32*S88</f>
        <v>1141.3034870000001</v>
      </c>
      <c r="T32" s="2">
        <f ca="1">goldenOTP_check!T32*T88</f>
        <v>1145.7916760000001</v>
      </c>
      <c r="U32" s="2">
        <f ca="1">goldenOTP_check!U32*U88</f>
        <v>1161.61385</v>
      </c>
      <c r="V32" s="2">
        <f ca="1">goldenOTP_check!V32*V88</f>
        <v>1179.056544</v>
      </c>
      <c r="W32" s="2">
        <f ca="1">goldenOTP_check!W32*W88</f>
        <v>1223.0325</v>
      </c>
      <c r="X32" s="2">
        <f ca="1">goldenOTP_check!X32*X88</f>
        <v>1243.392212</v>
      </c>
      <c r="Y32" s="2">
        <f ca="1">goldenOTP_check!Y32*Y88</f>
        <v>1210.422024</v>
      </c>
    </row>
    <row r="33" spans="2:25" x14ac:dyDescent="0.3">
      <c r="B33" s="6">
        <v>30</v>
      </c>
      <c r="C33" s="9">
        <v>2.6549779999999998</v>
      </c>
      <c r="D33" s="9">
        <v>2.3835419999999998</v>
      </c>
      <c r="E33" s="9">
        <v>2.393939</v>
      </c>
      <c r="F33" s="9">
        <v>2.4765459999999999</v>
      </c>
      <c r="I33" s="2">
        <f ca="1">goldenOTP_check!I33*I89</f>
        <v>1270.96938</v>
      </c>
      <c r="J33" s="2">
        <f ca="1">goldenOTP_check!J33*J89</f>
        <v>1253.889705</v>
      </c>
      <c r="K33" s="2">
        <f ca="1">goldenOTP_check!K33*K89</f>
        <v>1210.3366590000001</v>
      </c>
      <c r="L33" s="2">
        <f ca="1">goldenOTP_check!L33*L89</f>
        <v>1177.371257</v>
      </c>
      <c r="M33" s="2">
        <f ca="1">goldenOTP_check!M33*M89</f>
        <v>1164.569156</v>
      </c>
      <c r="N33" s="2">
        <f ca="1">goldenOTP_check!N33*N89</f>
        <v>1140.2015759999999</v>
      </c>
      <c r="O33" s="2">
        <f ca="1">goldenOTP_check!O33*O89</f>
        <v>1113.7067999999999</v>
      </c>
      <c r="P33" s="2">
        <f ca="1">goldenOTP_check!P33*P89</f>
        <v>1098.5719360000001</v>
      </c>
      <c r="Q33" s="2">
        <f ca="1">goldenOTP_check!Q33*Q89</f>
        <v>1093.93272</v>
      </c>
      <c r="R33" s="2">
        <f ca="1">goldenOTP_check!R33*R89</f>
        <v>1091.921838</v>
      </c>
      <c r="S33" s="2">
        <f ca="1">goldenOTP_check!S33*S89</f>
        <v>1107.5495639999999</v>
      </c>
      <c r="T33" s="2">
        <f ca="1">goldenOTP_check!T33*T89</f>
        <v>1119.472992</v>
      </c>
      <c r="U33" s="2">
        <f ca="1">goldenOTP_check!U33*U89</f>
        <v>1141.571252</v>
      </c>
      <c r="V33" s="2">
        <f ca="1">goldenOTP_check!V33*V89</f>
        <v>1154.954078</v>
      </c>
      <c r="W33" s="2">
        <f ca="1">goldenOTP_check!W33*W89</f>
        <v>1179.9112240000002</v>
      </c>
      <c r="X33" s="2">
        <f ca="1">goldenOTP_check!X33*X89</f>
        <v>1213.8931950000001</v>
      </c>
      <c r="Y33" s="2">
        <f ca="1">goldenOTP_check!Y33*Y89</f>
        <v>1211.5124000000001</v>
      </c>
    </row>
    <row r="34" spans="2:25" x14ac:dyDescent="0.3">
      <c r="B34" s="6">
        <v>31</v>
      </c>
      <c r="C34" s="9">
        <v>3.0465610000000001</v>
      </c>
      <c r="D34" s="9">
        <v>2.7229230000000002</v>
      </c>
      <c r="E34" s="9">
        <v>2.7399680000000002</v>
      </c>
      <c r="F34" s="9">
        <v>2.835229</v>
      </c>
      <c r="I34" s="2">
        <f ca="1">goldenOTP_check!I34*I90</f>
        <v>1270.942644</v>
      </c>
      <c r="J34" s="2">
        <f ca="1">goldenOTP_check!J34*J90</f>
        <v>1231.8442480000001</v>
      </c>
      <c r="K34" s="2">
        <f ca="1">goldenOTP_check!K34*K90</f>
        <v>1194.289632</v>
      </c>
      <c r="L34" s="2">
        <f ca="1">goldenOTP_check!L34*L90</f>
        <v>1171.8672140000001</v>
      </c>
      <c r="M34" s="2">
        <f ca="1">goldenOTP_check!M34*M90</f>
        <v>1139.443305</v>
      </c>
      <c r="N34" s="2">
        <f ca="1">goldenOTP_check!N34*N90</f>
        <v>1116.342496</v>
      </c>
      <c r="O34" s="2">
        <f ca="1">goldenOTP_check!O34*O90</f>
        <v>1093.6352959999999</v>
      </c>
      <c r="P34" s="2">
        <f ca="1">goldenOTP_check!P34*P90</f>
        <v>1083.736146</v>
      </c>
      <c r="Q34" s="2">
        <f ca="1">goldenOTP_check!Q34*Q90</f>
        <v>1073.484461</v>
      </c>
      <c r="R34" s="2">
        <f ca="1">goldenOTP_check!R34*R90</f>
        <v>1075.49082</v>
      </c>
      <c r="S34" s="2">
        <f ca="1">goldenOTP_check!S34*S90</f>
        <v>1089.591795</v>
      </c>
      <c r="T34" s="2">
        <f ca="1">goldenOTP_check!T34*T90</f>
        <v>1091.1886480000001</v>
      </c>
      <c r="U34" s="2">
        <f ca="1">goldenOTP_check!U34*U90</f>
        <v>1119.7930309999999</v>
      </c>
      <c r="V34" s="2">
        <f ca="1">goldenOTP_check!V34*V90</f>
        <v>1145.77748</v>
      </c>
      <c r="W34" s="2">
        <f ca="1">goldenOTP_check!W34*W90</f>
        <v>1163.1738780000001</v>
      </c>
      <c r="X34" s="2">
        <f ca="1">goldenOTP_check!X34*X90</f>
        <v>1191.21288</v>
      </c>
      <c r="Y34" s="2">
        <f ca="1">goldenOTP_check!Y34*Y90</f>
        <v>1208.8506150000001</v>
      </c>
    </row>
    <row r="35" spans="2:25" x14ac:dyDescent="0.3">
      <c r="B35" s="6">
        <v>32</v>
      </c>
      <c r="C35" s="9">
        <v>3.5113810000000001</v>
      </c>
      <c r="D35" s="9">
        <v>3.130865</v>
      </c>
      <c r="E35" s="9">
        <v>3.1521819999999998</v>
      </c>
      <c r="F35" s="9">
        <v>3.2548360000000001</v>
      </c>
      <c r="I35" s="2">
        <f ca="1">goldenOTP_check!I35*I91</f>
        <v>1254.1792800000001</v>
      </c>
      <c r="J35" s="2">
        <f ca="1">goldenOTP_check!J35*J91</f>
        <v>1211.4645</v>
      </c>
      <c r="K35" s="2">
        <f ca="1">goldenOTP_check!K35*K91</f>
        <v>1180.9436250000001</v>
      </c>
      <c r="L35" s="2">
        <f ca="1">goldenOTP_check!L35*L91</f>
        <v>1156.5722880000001</v>
      </c>
      <c r="M35" s="2">
        <f ca="1">goldenOTP_check!M35*M91</f>
        <v>1123.66275</v>
      </c>
      <c r="N35" s="2">
        <f ca="1">goldenOTP_check!N35*N91</f>
        <v>1096.5123659999999</v>
      </c>
      <c r="O35" s="2">
        <f ca="1">goldenOTP_check!O35*O91</f>
        <v>1078.9197120000001</v>
      </c>
      <c r="P35" s="2">
        <f ca="1">goldenOTP_check!P35*P91</f>
        <v>1052.69424</v>
      </c>
      <c r="Q35" s="2">
        <f ca="1">goldenOTP_check!Q35*Q91</f>
        <v>1041.6154180000001</v>
      </c>
      <c r="R35" s="2">
        <f ca="1">goldenOTP_check!R35*R91</f>
        <v>1044.5857239999998</v>
      </c>
      <c r="S35" s="2">
        <f ca="1">goldenOTP_check!S35*S91</f>
        <v>1057.6004399999999</v>
      </c>
      <c r="T35" s="2">
        <f ca="1">goldenOTP_check!T35*T91</f>
        <v>1083.05132</v>
      </c>
      <c r="U35" s="2">
        <f ca="1">goldenOTP_check!U35*U91</f>
        <v>1101.4912440000001</v>
      </c>
      <c r="V35" s="2">
        <f ca="1">goldenOTP_check!V35*V91</f>
        <v>1126.576953</v>
      </c>
      <c r="W35" s="2">
        <f ca="1">goldenOTP_check!W35*W91</f>
        <v>1148.1260750000001</v>
      </c>
      <c r="X35" s="2">
        <f ca="1">goldenOTP_check!X35*X91</f>
        <v>1184.7428339999999</v>
      </c>
      <c r="Y35" s="2">
        <f ca="1">goldenOTP_check!Y35*Y91</f>
        <v>1186.018816</v>
      </c>
    </row>
    <row r="36" spans="2:25" x14ac:dyDescent="0.3">
      <c r="B36" s="6">
        <v>33</v>
      </c>
      <c r="C36" s="9">
        <v>4.027374</v>
      </c>
      <c r="D36" s="9">
        <v>3.5722649999999998</v>
      </c>
      <c r="E36" s="9">
        <v>3.6012810000000002</v>
      </c>
      <c r="F36" s="9">
        <v>3.668844</v>
      </c>
      <c r="I36" s="2">
        <f ca="1">goldenOTP_check!I36*I92</f>
        <v>1249.4046519999999</v>
      </c>
      <c r="J36" s="2">
        <f ca="1">goldenOTP_check!J36*J92</f>
        <v>1206.6202500000002</v>
      </c>
      <c r="K36" s="2">
        <f ca="1">goldenOTP_check!K36*K92</f>
        <v>1162.5148749999998</v>
      </c>
      <c r="L36" s="2">
        <f ca="1">goldenOTP_check!L36*L92</f>
        <v>1145.5088579999999</v>
      </c>
      <c r="M36" s="2">
        <f ca="1">goldenOTP_check!M36*M92</f>
        <v>1121.962231</v>
      </c>
      <c r="N36" s="2">
        <f ca="1">goldenOTP_check!N36*N92</f>
        <v>1089.690398</v>
      </c>
      <c r="O36" s="2">
        <f ca="1">goldenOTP_check!O36*O92</f>
        <v>1072.9924939999999</v>
      </c>
      <c r="P36" s="2">
        <f ca="1">goldenOTP_check!P36*P92</f>
        <v>1034.048</v>
      </c>
      <c r="Q36" s="2">
        <f ca="1">goldenOTP_check!Q36*Q92</f>
        <v>1028.725731</v>
      </c>
      <c r="R36" s="2">
        <f ca="1">goldenOTP_check!R36*R92</f>
        <v>1033.7505100000001</v>
      </c>
      <c r="S36" s="2">
        <f ca="1">goldenOTP_check!S36*S92</f>
        <v>1047.4308640000002</v>
      </c>
      <c r="T36" s="2">
        <f ca="1">goldenOTP_check!T36*T92</f>
        <v>1076.5500420000001</v>
      </c>
      <c r="U36" s="2">
        <f ca="1">goldenOTP_check!U36*U92</f>
        <v>1087.8222940000001</v>
      </c>
      <c r="V36" s="2">
        <f ca="1">goldenOTP_check!V36*V92</f>
        <v>1120.2667280000001</v>
      </c>
      <c r="W36" s="2">
        <f ca="1">goldenOTP_check!W36*W92</f>
        <v>1140.401325</v>
      </c>
      <c r="X36" s="2">
        <f ca="1">goldenOTP_check!X36*X92</f>
        <v>1164.36672</v>
      </c>
      <c r="Y36" s="2">
        <f ca="1">goldenOTP_check!Y36*Y92</f>
        <v>1188.6014</v>
      </c>
    </row>
    <row r="37" spans="2:25" x14ac:dyDescent="0.3">
      <c r="B37" s="6">
        <v>34</v>
      </c>
      <c r="C37" s="9">
        <v>3.857793</v>
      </c>
      <c r="D37" s="9">
        <v>3.4261210000000002</v>
      </c>
      <c r="E37" s="9">
        <v>3.4532980000000002</v>
      </c>
      <c r="F37" s="9">
        <v>3.6396999999999999</v>
      </c>
      <c r="I37" s="2">
        <f ca="1">goldenOTP_check!I37*I93</f>
        <v>1243.8610000000001</v>
      </c>
      <c r="J37" s="2">
        <f ca="1">goldenOTP_check!J37*J93</f>
        <v>1204.5065</v>
      </c>
      <c r="K37" s="2">
        <f ca="1">goldenOTP_check!K37*K93</f>
        <v>1163.82429</v>
      </c>
      <c r="L37" s="2">
        <f ca="1">goldenOTP_check!L37*L93</f>
        <v>1150.2355230000001</v>
      </c>
      <c r="M37" s="2">
        <f ca="1">goldenOTP_check!M37*M93</f>
        <v>1125.9780840000001</v>
      </c>
      <c r="N37" s="2">
        <f ca="1">goldenOTP_check!N37*N93</f>
        <v>1089.0589950000001</v>
      </c>
      <c r="O37" s="2">
        <f ca="1">goldenOTP_check!O37*O93</f>
        <v>1077.03099</v>
      </c>
      <c r="P37" s="2">
        <f ca="1">goldenOTP_check!P37*P93</f>
        <v>1047.0221320000001</v>
      </c>
      <c r="Q37" s="2">
        <f ca="1">goldenOTP_check!Q37*Q93</f>
        <v>1036.004956</v>
      </c>
      <c r="R37" s="2">
        <f ca="1">goldenOTP_check!R37*R93</f>
        <v>1039.7415599999999</v>
      </c>
      <c r="S37" s="2">
        <f ca="1">goldenOTP_check!S37*S93</f>
        <v>1058.4255479999999</v>
      </c>
      <c r="T37" s="2">
        <f ca="1">goldenOTP_check!T37*T93</f>
        <v>1074.52872</v>
      </c>
      <c r="U37" s="2">
        <f ca="1">goldenOTP_check!U37*U93</f>
        <v>1091.3411880000001</v>
      </c>
      <c r="V37" s="2">
        <f ca="1">goldenOTP_check!V37*V93</f>
        <v>1117.145718</v>
      </c>
      <c r="W37" s="2">
        <f ca="1">goldenOTP_check!W37*W93</f>
        <v>1138.8823749999999</v>
      </c>
      <c r="X37" s="2">
        <f ca="1">goldenOTP_check!X37*X93</f>
        <v>1174.7518640000001</v>
      </c>
      <c r="Y37" s="2">
        <f ca="1">goldenOTP_check!Y37*Y93</f>
        <v>1175.685612</v>
      </c>
    </row>
    <row r="38" spans="2:25" x14ac:dyDescent="0.3">
      <c r="B38" s="6">
        <v>35</v>
      </c>
      <c r="C38" s="9">
        <v>3.293336</v>
      </c>
      <c r="D38" s="9">
        <v>2.9157829999999998</v>
      </c>
      <c r="E38" s="9">
        <v>2.9377399999999998</v>
      </c>
      <c r="F38" s="9">
        <v>3.0658020000000001</v>
      </c>
      <c r="I38" s="2">
        <f ca="1">goldenOTP_check!I38*I94</f>
        <v>1247.2800380000001</v>
      </c>
      <c r="J38" s="2">
        <f ca="1">goldenOTP_check!J38*J94</f>
        <v>1216.4395519999998</v>
      </c>
      <c r="K38" s="2">
        <f ca="1">goldenOTP_check!K38*K94</f>
        <v>1178.7063659999999</v>
      </c>
      <c r="L38" s="2">
        <f ca="1">goldenOTP_check!L38*L94</f>
        <v>1157.00245</v>
      </c>
      <c r="M38" s="2">
        <f ca="1">goldenOTP_check!M38*M94</f>
        <v>1134.5028729999999</v>
      </c>
      <c r="N38" s="2">
        <f ca="1">goldenOTP_check!N38*N94</f>
        <v>1100.3901519999999</v>
      </c>
      <c r="O38" s="2">
        <f ca="1">goldenOTP_check!O38*O94</f>
        <v>1084.3026320000001</v>
      </c>
      <c r="P38" s="2">
        <f ca="1">goldenOTP_check!P38*P94</f>
        <v>1072.1574139999998</v>
      </c>
      <c r="Q38" s="2">
        <f ca="1">goldenOTP_check!Q38*Q94</f>
        <v>1064.780035</v>
      </c>
      <c r="R38" s="2">
        <f ca="1">goldenOTP_check!R38*R94</f>
        <v>1065.0227159999999</v>
      </c>
      <c r="S38" s="2">
        <f ca="1">goldenOTP_check!S38*S94</f>
        <v>1078.683507</v>
      </c>
      <c r="T38" s="2">
        <f ca="1">goldenOTP_check!T38*T94</f>
        <v>1081.70018</v>
      </c>
      <c r="U38" s="2">
        <f ca="1">goldenOTP_check!U38*U94</f>
        <v>1101.682953</v>
      </c>
      <c r="V38" s="2">
        <f ca="1">goldenOTP_check!V38*V94</f>
        <v>1126.2731040000001</v>
      </c>
      <c r="W38" s="2">
        <f ca="1">goldenOTP_check!W38*W94</f>
        <v>1143.8620559999999</v>
      </c>
      <c r="X38" s="2">
        <f ca="1">goldenOTP_check!X38*X94</f>
        <v>1171.575272</v>
      </c>
      <c r="Y38" s="2">
        <f ca="1">goldenOTP_check!Y38*Y94</f>
        <v>1190.597299</v>
      </c>
    </row>
    <row r="39" spans="2:25" x14ac:dyDescent="0.3">
      <c r="B39" s="6">
        <v>36</v>
      </c>
      <c r="C39" s="9">
        <v>2.8008090000000001</v>
      </c>
      <c r="D39" s="9">
        <v>2.4888840000000001</v>
      </c>
      <c r="E39" s="9">
        <v>2.5053649999999998</v>
      </c>
      <c r="F39" s="9">
        <v>2.6132680000000001</v>
      </c>
      <c r="I39" s="2">
        <f ca="1">goldenOTP_check!I39*I95</f>
        <v>1231.8280400000001</v>
      </c>
      <c r="J39" s="2">
        <f ca="1">goldenOTP_check!J39*J95</f>
        <v>1229.38374</v>
      </c>
      <c r="K39" s="2">
        <f ca="1">goldenOTP_check!K39*K95</f>
        <v>1184.1516879999999</v>
      </c>
      <c r="L39" s="2">
        <f ca="1">goldenOTP_check!L39*L95</f>
        <v>1165.4617209999999</v>
      </c>
      <c r="M39" s="2">
        <f ca="1">goldenOTP_check!M39*M95</f>
        <v>1151.0551780000001</v>
      </c>
      <c r="N39" s="2">
        <f ca="1">goldenOTP_check!N39*N95</f>
        <v>1124.20875</v>
      </c>
      <c r="O39" s="2">
        <f ca="1">goldenOTP_check!O39*O95</f>
        <v>1097.433986</v>
      </c>
      <c r="P39" s="2">
        <f ca="1">goldenOTP_check!P39*P95</f>
        <v>1081.1318000000001</v>
      </c>
      <c r="Q39" s="2">
        <f ca="1">goldenOTP_check!Q39*Q95</f>
        <v>1075.7378920000001</v>
      </c>
      <c r="R39" s="2">
        <f ca="1">goldenOTP_check!R39*R95</f>
        <v>1079.4612059999999</v>
      </c>
      <c r="S39" s="2">
        <f ca="1">goldenOTP_check!S39*S95</f>
        <v>1086.57626</v>
      </c>
      <c r="T39" s="2">
        <f ca="1">goldenOTP_check!T39*T95</f>
        <v>1098.9449999999999</v>
      </c>
      <c r="U39" s="2">
        <f ca="1">goldenOTP_check!U39*U95</f>
        <v>1122.633272</v>
      </c>
      <c r="V39" s="2">
        <f ca="1">goldenOTP_check!V39*V95</f>
        <v>1137.220069</v>
      </c>
      <c r="W39" s="2">
        <f ca="1">goldenOTP_check!W39*W95</f>
        <v>1149.4984850000001</v>
      </c>
      <c r="X39" s="2">
        <f ca="1">goldenOTP_check!X39*X95</f>
        <v>1183.9746299999999</v>
      </c>
      <c r="Y39" s="2">
        <f ca="1">goldenOTP_check!Y39*Y95</f>
        <v>1182.8689750000001</v>
      </c>
    </row>
    <row r="40" spans="2:25" x14ac:dyDescent="0.3">
      <c r="B40" s="6">
        <v>37</v>
      </c>
      <c r="C40" s="9">
        <v>2.412039</v>
      </c>
      <c r="D40" s="9">
        <v>2.1626259999999999</v>
      </c>
      <c r="E40" s="9">
        <v>2.1751019999999999</v>
      </c>
      <c r="F40" s="9">
        <v>2.2569089999999998</v>
      </c>
      <c r="I40" s="2">
        <f ca="1">goldenOTP_check!I40*I96</f>
        <v>1223.585648</v>
      </c>
      <c r="J40" s="2">
        <f ca="1">goldenOTP_check!J40*J96</f>
        <v>1229.2921699999999</v>
      </c>
      <c r="K40" s="2">
        <f ca="1">goldenOTP_check!K40*K96</f>
        <v>1204.63876</v>
      </c>
      <c r="L40" s="2">
        <f ca="1">goldenOTP_check!L40*L96</f>
        <v>1181.890314</v>
      </c>
      <c r="M40" s="2">
        <f ca="1">goldenOTP_check!M40*M96</f>
        <v>1160.5643279999999</v>
      </c>
      <c r="N40" s="2">
        <f ca="1">goldenOTP_check!N40*N96</f>
        <v>1141.6474860000001</v>
      </c>
      <c r="O40" s="2">
        <f ca="1">goldenOTP_check!O40*O96</f>
        <v>1128.851604</v>
      </c>
      <c r="P40" s="2">
        <f ca="1">goldenOTP_check!P40*P96</f>
        <v>1111.1413950000001</v>
      </c>
      <c r="Q40" s="2">
        <f ca="1">goldenOTP_check!Q40*Q96</f>
        <v>1100.873452</v>
      </c>
      <c r="R40" s="2">
        <f ca="1">goldenOTP_check!R40*R96</f>
        <v>1100.5729020000001</v>
      </c>
      <c r="S40" s="2">
        <f ca="1">goldenOTP_check!S40*S96</f>
        <v>1111.1950320000001</v>
      </c>
      <c r="T40" s="2">
        <f ca="1">goldenOTP_check!T40*T96</f>
        <v>1128.56744</v>
      </c>
      <c r="U40" s="2">
        <f ca="1">goldenOTP_check!U40*U96</f>
        <v>1135.4247519999999</v>
      </c>
      <c r="V40" s="2">
        <f ca="1">goldenOTP_check!V40*V96</f>
        <v>1151.9870940000001</v>
      </c>
      <c r="W40" s="2">
        <f ca="1">goldenOTP_check!W40*W96</f>
        <v>1167.71226</v>
      </c>
      <c r="X40" s="2">
        <f ca="1">goldenOTP_check!X40*X96</f>
        <v>1187.09455</v>
      </c>
      <c r="Y40" s="2">
        <f ca="1">goldenOTP_check!Y40*Y96</f>
        <v>1152.6768</v>
      </c>
    </row>
    <row r="41" spans="2:25" x14ac:dyDescent="0.3">
      <c r="B41" s="6">
        <v>38</v>
      </c>
      <c r="C41" s="9">
        <v>2.1128049999999998</v>
      </c>
      <c r="D41" s="9">
        <v>1.927406</v>
      </c>
      <c r="E41" s="9">
        <v>1.9341539999999999</v>
      </c>
      <c r="F41" s="9">
        <v>2.0033750000000001</v>
      </c>
      <c r="I41" s="2">
        <f ca="1">goldenOTP_check!I41*I97</f>
        <v>1200.8976150000001</v>
      </c>
      <c r="J41" s="2">
        <f ca="1">goldenOTP_check!J41*J97</f>
        <v>1218.0192950000001</v>
      </c>
      <c r="K41" s="2">
        <f ca="1">goldenOTP_check!K41*K97</f>
        <v>1226.893875</v>
      </c>
      <c r="L41" s="2">
        <f ca="1">goldenOTP_check!L41*L97</f>
        <v>1194.4312160000002</v>
      </c>
      <c r="M41" s="2">
        <f ca="1">goldenOTP_check!M41*M97</f>
        <v>1172.9790540000001</v>
      </c>
      <c r="N41" s="2">
        <f ca="1">goldenOTP_check!N41*N97</f>
        <v>1159.892085</v>
      </c>
      <c r="O41" s="2">
        <f ca="1">goldenOTP_check!O41*O97</f>
        <v>1151.8242299999999</v>
      </c>
      <c r="P41" s="2">
        <f ca="1">goldenOTP_check!P41*P97</f>
        <v>1135.034204</v>
      </c>
      <c r="Q41" s="2">
        <f ca="1">goldenOTP_check!Q41*Q97</f>
        <v>1133.4192399999999</v>
      </c>
      <c r="R41" s="2">
        <f ca="1">goldenOTP_check!R41*R97</f>
        <v>1127.05962</v>
      </c>
      <c r="S41" s="2">
        <f ca="1">goldenOTP_check!S41*S97</f>
        <v>1138.29342</v>
      </c>
      <c r="T41" s="2">
        <f ca="1">goldenOTP_check!T41*T97</f>
        <v>1143.4046250000001</v>
      </c>
      <c r="U41" s="2">
        <f ca="1">goldenOTP_check!U41*U97</f>
        <v>1149.3471959999999</v>
      </c>
      <c r="V41" s="2">
        <f ca="1">goldenOTP_check!V41*V97</f>
        <v>1179.70688</v>
      </c>
      <c r="W41" s="2">
        <f ca="1">goldenOTP_check!W41*W97</f>
        <v>1193.7714210000001</v>
      </c>
      <c r="X41" s="2">
        <f ca="1">goldenOTP_check!X41*X97</f>
        <v>1180.752706</v>
      </c>
      <c r="Y41" s="2">
        <f ca="1">goldenOTP_check!Y41*Y97</f>
        <v>1158.6822550000002</v>
      </c>
    </row>
    <row r="42" spans="2:25" x14ac:dyDescent="0.3">
      <c r="B42" s="6">
        <v>39</v>
      </c>
      <c r="C42" s="9">
        <v>1.8672899999999999</v>
      </c>
      <c r="D42" s="9">
        <v>1.734666</v>
      </c>
      <c r="E42" s="9">
        <v>1.737894</v>
      </c>
      <c r="F42" s="9">
        <v>1.802989</v>
      </c>
      <c r="I42" s="11">
        <f ca="1">goldenOTP_check!I42*I98</f>
        <v>1206.9730239999999</v>
      </c>
      <c r="J42" s="2">
        <f ca="1">goldenOTP_check!J42*J98</f>
        <v>1189.7308289999999</v>
      </c>
      <c r="K42" s="2">
        <f ca="1">goldenOTP_check!K42*K98</f>
        <v>1219.165248</v>
      </c>
      <c r="L42" s="2">
        <f ca="1">goldenOTP_check!L42*L98</f>
        <v>1215.3584080000001</v>
      </c>
      <c r="M42" s="2">
        <f ca="1">goldenOTP_check!M42*M98</f>
        <v>1190.6455199999998</v>
      </c>
      <c r="N42" s="2">
        <f ca="1">goldenOTP_check!N42*N98</f>
        <v>1172.7628</v>
      </c>
      <c r="O42" s="2">
        <f ca="1">goldenOTP_check!O42*O98</f>
        <v>1153.68344</v>
      </c>
      <c r="P42" s="2">
        <f ca="1">goldenOTP_check!P42*P98</f>
        <v>1156.010878</v>
      </c>
      <c r="Q42" s="2">
        <f ca="1">goldenOTP_check!Q42*Q98</f>
        <v>1145.014527</v>
      </c>
      <c r="R42" s="2">
        <f ca="1">goldenOTP_check!R42*R98</f>
        <v>1149.7418789999999</v>
      </c>
      <c r="S42" s="2">
        <f ca="1">goldenOTP_check!S42*S98</f>
        <v>1141.1764000000001</v>
      </c>
      <c r="T42" s="2">
        <f ca="1">goldenOTP_check!T42*T98</f>
        <v>1152.8998549999999</v>
      </c>
      <c r="U42" s="2">
        <f ca="1">goldenOTP_check!U42*U98</f>
        <v>1166.743776</v>
      </c>
      <c r="V42" s="2">
        <f ca="1">goldenOTP_check!V42*V98</f>
        <v>1184.36085</v>
      </c>
      <c r="W42" s="2">
        <f ca="1">goldenOTP_check!W42*W98</f>
        <v>1189.616505</v>
      </c>
      <c r="X42" s="2">
        <f ca="1">goldenOTP_check!X42*X98</f>
        <v>1155.346108</v>
      </c>
      <c r="Y42" s="11">
        <f ca="1">goldenOTP_check!Y42*Y98</f>
        <v>1150.923632</v>
      </c>
    </row>
    <row r="43" spans="2:25" x14ac:dyDescent="0.3">
      <c r="B43" s="6">
        <v>40</v>
      </c>
      <c r="C43" s="9">
        <v>1.680698</v>
      </c>
      <c r="D43" s="9">
        <v>1.5864940000000001</v>
      </c>
      <c r="E43" s="9">
        <v>1.587467</v>
      </c>
      <c r="F43" s="9">
        <v>1.645116</v>
      </c>
    </row>
    <row r="44" spans="2:25" x14ac:dyDescent="0.3">
      <c r="B44" s="6">
        <v>41</v>
      </c>
      <c r="C44" s="9">
        <v>1.5622940000000001</v>
      </c>
      <c r="D44" s="9">
        <v>1.48875</v>
      </c>
      <c r="E44" s="9">
        <v>1.490065</v>
      </c>
      <c r="F44" s="9">
        <v>1.5414220000000001</v>
      </c>
      <c r="H44" t="s">
        <v>3</v>
      </c>
      <c r="I44" s="12">
        <f ca="1">goldenOTP_check!I44*I100</f>
        <v>1389.5213159999998</v>
      </c>
      <c r="J44" s="4">
        <f ca="1">goldenOTP_check!J44*J100</f>
        <v>1325.2207720000001</v>
      </c>
      <c r="K44" s="4">
        <f ca="1">goldenOTP_check!K44*K100</f>
        <v>1312.7494379999998</v>
      </c>
      <c r="L44" s="4">
        <f ca="1">goldenOTP_check!L44*L100</f>
        <v>1348.344417</v>
      </c>
      <c r="M44" s="4">
        <f ca="1">goldenOTP_check!M44*M100</f>
        <v>1299.6829480000001</v>
      </c>
      <c r="N44" s="4">
        <f ca="1">goldenOTP_check!N44*N100</f>
        <v>1270.92966</v>
      </c>
      <c r="O44" s="4">
        <f ca="1">goldenOTP_check!O44*O100</f>
        <v>1258.360128</v>
      </c>
      <c r="P44" s="4">
        <f ca="1">goldenOTP_check!P44*P100</f>
        <v>1247.0724769999999</v>
      </c>
      <c r="Q44" s="4">
        <f ca="1">goldenOTP_check!Q44*Q100</f>
        <v>1221.47523</v>
      </c>
      <c r="R44" s="4">
        <f ca="1">goldenOTP_check!R44*R100</f>
        <v>1243.25415</v>
      </c>
      <c r="S44" s="4">
        <f ca="1">goldenOTP_check!S44*S100</f>
        <v>1243.7881799999998</v>
      </c>
      <c r="T44" s="4">
        <f ca="1">goldenOTP_check!T44*T100</f>
        <v>1255.78089</v>
      </c>
      <c r="U44" s="4">
        <f ca="1">goldenOTP_check!U44*U100</f>
        <v>1274.287012</v>
      </c>
      <c r="V44" s="4">
        <f ca="1">goldenOTP_check!V44*V100</f>
        <v>1308.6442120000002</v>
      </c>
      <c r="W44" s="4">
        <f ca="1">goldenOTP_check!W44*W100</f>
        <v>1325.778012</v>
      </c>
      <c r="X44" s="4">
        <f ca="1">goldenOTP_check!X44*X100</f>
        <v>1279.246412</v>
      </c>
      <c r="Y44" s="12">
        <f ca="1">goldenOTP_check!Y44*Y100</f>
        <v>1263.3844799999999</v>
      </c>
    </row>
    <row r="45" spans="2:25" x14ac:dyDescent="0.3">
      <c r="B45" s="6">
        <v>42</v>
      </c>
      <c r="C45" s="9">
        <v>1.5195069999999999</v>
      </c>
      <c r="D45" s="9">
        <v>1.4547239999999999</v>
      </c>
      <c r="E45" s="9">
        <v>1.4565669999999999</v>
      </c>
      <c r="F45" s="9">
        <v>1.5038800000000001</v>
      </c>
      <c r="H45" t="s">
        <v>6</v>
      </c>
      <c r="I45" s="4">
        <f ca="1">goldenOTP_check!I45*I101</f>
        <v>1361.9276480000001</v>
      </c>
      <c r="J45" s="4">
        <f ca="1">goldenOTP_check!J45*J101</f>
        <v>1343.8826729999998</v>
      </c>
      <c r="K45" s="4">
        <f ca="1">goldenOTP_check!K45*K101</f>
        <v>1337.54522</v>
      </c>
      <c r="L45" s="4">
        <f ca="1">goldenOTP_check!L45*L101</f>
        <v>1296.585728</v>
      </c>
      <c r="M45" s="4">
        <f ca="1">goldenOTP_check!M45*M101</f>
        <v>1268.0218170000001</v>
      </c>
      <c r="N45" s="4">
        <f ca="1">goldenOTP_check!N45*N101</f>
        <v>1261.814208</v>
      </c>
      <c r="O45" s="4">
        <f ca="1">goldenOTP_check!O45*O101</f>
        <v>1232.2901360000001</v>
      </c>
      <c r="P45" s="4">
        <f ca="1">goldenOTP_check!P45*P101</f>
        <v>1228.9563000000001</v>
      </c>
      <c r="Q45" s="4">
        <f ca="1">goldenOTP_check!Q45*Q101</f>
        <v>1224.1189749999999</v>
      </c>
      <c r="R45" s="4">
        <f ca="1">goldenOTP_check!R45*R101</f>
        <v>1223.4989250000001</v>
      </c>
      <c r="S45" s="4">
        <f ca="1">goldenOTP_check!S45*S101</f>
        <v>1241.1732550000002</v>
      </c>
      <c r="T45" s="4">
        <f ca="1">goldenOTP_check!T45*T101</f>
        <v>1246.3561439999999</v>
      </c>
      <c r="U45" s="4">
        <f ca="1">goldenOTP_check!U45*U101</f>
        <v>1246.3570139999999</v>
      </c>
      <c r="V45" s="4">
        <f ca="1">goldenOTP_check!V45*V101</f>
        <v>1292.757012</v>
      </c>
      <c r="W45" s="4">
        <f ca="1">goldenOTP_check!W45*W101</f>
        <v>1304.20534</v>
      </c>
      <c r="X45" s="4">
        <f ca="1">goldenOTP_check!X45*X101</f>
        <v>1298.679564</v>
      </c>
      <c r="Y45" s="4">
        <f ca="1">goldenOTP_check!Y45*Y101</f>
        <v>1262.0823359999999</v>
      </c>
    </row>
    <row r="46" spans="2:25" x14ac:dyDescent="0.3">
      <c r="B46" s="6">
        <v>43</v>
      </c>
      <c r="C46" s="9">
        <v>1.5504549999999999</v>
      </c>
      <c r="D46" s="9">
        <v>1.4804850000000001</v>
      </c>
      <c r="E46" s="9">
        <v>1.483425</v>
      </c>
      <c r="F46" s="9">
        <v>1.531274</v>
      </c>
      <c r="I46" s="4">
        <f ca="1">goldenOTP_check!I46*I102</f>
        <v>1353.9684</v>
      </c>
      <c r="J46" s="4">
        <f ca="1">goldenOTP_check!J46*J102</f>
        <v>1348.9528800000001</v>
      </c>
      <c r="K46" s="4">
        <f ca="1">goldenOTP_check!K46*K102</f>
        <v>1309.2472680000001</v>
      </c>
      <c r="L46" s="4">
        <f ca="1">goldenOTP_check!L46*L102</f>
        <v>1270.6397669999999</v>
      </c>
      <c r="M46" s="4">
        <f ca="1">goldenOTP_check!M46*M102</f>
        <v>1250.106</v>
      </c>
      <c r="N46" s="4">
        <f ca="1">goldenOTP_check!N46*N102</f>
        <v>1235.0474649999999</v>
      </c>
      <c r="O46" s="4">
        <f ca="1">goldenOTP_check!O46*O102</f>
        <v>1212.4504919999999</v>
      </c>
      <c r="P46" s="4">
        <f ca="1">goldenOTP_check!P46*P102</f>
        <v>1197.684894</v>
      </c>
      <c r="Q46" s="4">
        <f ca="1">goldenOTP_check!Q46*Q102</f>
        <v>1185.05744</v>
      </c>
      <c r="R46" s="4">
        <f ca="1">goldenOTP_check!R46*R102</f>
        <v>1189.799898</v>
      </c>
      <c r="S46" s="4">
        <f ca="1">goldenOTP_check!S46*S102</f>
        <v>1194.172155</v>
      </c>
      <c r="T46" s="4">
        <f ca="1">goldenOTP_check!T46*T102</f>
        <v>1213.205555</v>
      </c>
      <c r="U46" s="4">
        <f ca="1">goldenOTP_check!U46*U102</f>
        <v>1226.077008</v>
      </c>
      <c r="V46" s="4">
        <f ca="1">goldenOTP_check!V46*V102</f>
        <v>1241.940842</v>
      </c>
      <c r="W46" s="4">
        <f ca="1">goldenOTP_check!W46*W102</f>
        <v>1270.8105479999999</v>
      </c>
      <c r="X46" s="4">
        <f ca="1">goldenOTP_check!X46*X102</f>
        <v>1300.65716</v>
      </c>
      <c r="Y46" s="4">
        <f ca="1">goldenOTP_check!Y46*Y102</f>
        <v>1259.9197319999998</v>
      </c>
    </row>
    <row r="47" spans="2:25" x14ac:dyDescent="0.3">
      <c r="B47" s="6">
        <v>44</v>
      </c>
      <c r="C47" s="9">
        <v>1.6545369999999999</v>
      </c>
      <c r="D47" s="9">
        <v>1.56589</v>
      </c>
      <c r="E47" s="9">
        <v>1.5698810000000001</v>
      </c>
      <c r="F47" s="9">
        <v>1.6203149999999999</v>
      </c>
      <c r="I47" s="4">
        <f ca="1">goldenOTP_check!I47*I103</f>
        <v>1362.6754800000001</v>
      </c>
      <c r="J47" s="4">
        <f ca="1">goldenOTP_check!J47*J103</f>
        <v>1328.2331880000002</v>
      </c>
      <c r="K47" s="4">
        <f ca="1">goldenOTP_check!K47*K103</f>
        <v>1269.820692</v>
      </c>
      <c r="L47" s="4">
        <f ca="1">goldenOTP_check!L47*L103</f>
        <v>1246.9151160000001</v>
      </c>
      <c r="M47" s="4">
        <f ca="1">goldenOTP_check!M47*M103</f>
        <v>1220.042925</v>
      </c>
      <c r="N47" s="4">
        <f ca="1">goldenOTP_check!N47*N103</f>
        <v>1202.9494570000002</v>
      </c>
      <c r="O47" s="4">
        <f ca="1">goldenOTP_check!O47*O103</f>
        <v>1169.276194</v>
      </c>
      <c r="P47" s="4">
        <f ca="1">goldenOTP_check!P47*P103</f>
        <v>1158.8965499999999</v>
      </c>
      <c r="Q47" s="4">
        <f ca="1">goldenOTP_check!Q47*Q103</f>
        <v>1142.2408800000001</v>
      </c>
      <c r="R47" s="4">
        <f ca="1">goldenOTP_check!R47*R103</f>
        <v>1148.748</v>
      </c>
      <c r="S47" s="4">
        <f ca="1">goldenOTP_check!S47*S103</f>
        <v>1164.062733</v>
      </c>
      <c r="T47" s="4">
        <f ca="1">goldenOTP_check!T47*T103</f>
        <v>1174.0169169999999</v>
      </c>
      <c r="U47" s="4">
        <f ca="1">goldenOTP_check!U47*U103</f>
        <v>1208.49755</v>
      </c>
      <c r="V47" s="4">
        <f ca="1">goldenOTP_check!V47*V103</f>
        <v>1217.1427480000002</v>
      </c>
      <c r="W47" s="4">
        <f ca="1">goldenOTP_check!W47*W103</f>
        <v>1256.084458</v>
      </c>
      <c r="X47" s="4">
        <f ca="1">goldenOTP_check!X47*X103</f>
        <v>1278.20451</v>
      </c>
      <c r="Y47" s="4">
        <f ca="1">goldenOTP_check!Y47*Y103</f>
        <v>1265.2298759999999</v>
      </c>
    </row>
    <row r="48" spans="2:25" x14ac:dyDescent="0.3">
      <c r="B48" s="6">
        <v>45</v>
      </c>
      <c r="C48" s="9">
        <v>1.8321959999999999</v>
      </c>
      <c r="D48" s="9">
        <v>1.7102820000000001</v>
      </c>
      <c r="E48" s="9">
        <v>1.715257</v>
      </c>
      <c r="F48" s="9">
        <v>1.7711030000000001</v>
      </c>
      <c r="I48" s="4">
        <f ca="1">goldenOTP_check!I48*I104</f>
        <v>1353.5289359999999</v>
      </c>
      <c r="J48" s="4">
        <f ca="1">goldenOTP_check!J48*J104</f>
        <v>1299.023479</v>
      </c>
      <c r="K48" s="4">
        <f ca="1">goldenOTP_check!K48*K104</f>
        <v>1259.1010819999999</v>
      </c>
      <c r="L48" s="4">
        <f ca="1">goldenOTP_check!L48*L104</f>
        <v>1240.0239320000001</v>
      </c>
      <c r="M48" s="4">
        <f ca="1">goldenOTP_check!M48*M104</f>
        <v>1200.70236</v>
      </c>
      <c r="N48" s="4">
        <f ca="1">goldenOTP_check!N48*N104</f>
        <v>1174.35761</v>
      </c>
      <c r="O48" s="4">
        <f ca="1">goldenOTP_check!O48*O104</f>
        <v>1145.92128</v>
      </c>
      <c r="P48" s="4">
        <f ca="1">goldenOTP_check!P48*P104</f>
        <v>1135.776447</v>
      </c>
      <c r="Q48" s="4">
        <f ca="1">goldenOTP_check!Q48*Q104</f>
        <v>1117.677574</v>
      </c>
      <c r="R48" s="4">
        <f ca="1">goldenOTP_check!R48*R104</f>
        <v>1122.678324</v>
      </c>
      <c r="S48" s="4">
        <f ca="1">goldenOTP_check!S48*S104</f>
        <v>1142.8953900000001</v>
      </c>
      <c r="T48" s="4">
        <f ca="1">goldenOTP_check!T48*T104</f>
        <v>1155.6981230000001</v>
      </c>
      <c r="U48" s="4">
        <f ca="1">goldenOTP_check!U48*U104</f>
        <v>1179.7041079999999</v>
      </c>
      <c r="V48" s="4">
        <f ca="1">goldenOTP_check!V48*V104</f>
        <v>1205.89644</v>
      </c>
      <c r="W48" s="4">
        <f ca="1">goldenOTP_check!W48*W104</f>
        <v>1220.5096839999999</v>
      </c>
      <c r="X48" s="4">
        <f ca="1">goldenOTP_check!X48*X104</f>
        <v>1246.9053019999999</v>
      </c>
      <c r="Y48" s="4">
        <f ca="1">goldenOTP_check!Y48*Y104</f>
        <v>1257.4982069999999</v>
      </c>
    </row>
    <row r="49" spans="2:25" x14ac:dyDescent="0.3">
      <c r="B49" s="6">
        <v>46</v>
      </c>
      <c r="C49" s="9">
        <v>2.0657489999999998</v>
      </c>
      <c r="D49" s="9">
        <v>1.8948400000000001</v>
      </c>
      <c r="E49" s="9">
        <v>1.904285</v>
      </c>
      <c r="F49" s="9">
        <v>1.9648669999999999</v>
      </c>
      <c r="I49" s="4">
        <f ca="1">goldenOTP_check!I49*I105</f>
        <v>1335.2005319999998</v>
      </c>
      <c r="J49" s="4">
        <f ca="1">goldenOTP_check!J49*J105</f>
        <v>1273.730877</v>
      </c>
      <c r="K49" s="4">
        <f ca="1">goldenOTP_check!K49*K105</f>
        <v>1253.4540810000001</v>
      </c>
      <c r="L49" s="4">
        <f ca="1">goldenOTP_check!L49*L105</f>
        <v>1221.60367</v>
      </c>
      <c r="M49" s="4">
        <f ca="1">goldenOTP_check!M49*M105</f>
        <v>1178.627804</v>
      </c>
      <c r="N49" s="4">
        <f ca="1">goldenOTP_check!N49*N105</f>
        <v>1156.562754</v>
      </c>
      <c r="O49" s="4">
        <f ca="1">goldenOTP_check!O49*O105</f>
        <v>1132.7183989999999</v>
      </c>
      <c r="P49" s="4">
        <f ca="1">goldenOTP_check!P49*P105</f>
        <v>1105.6345920000001</v>
      </c>
      <c r="Q49" s="4">
        <f ca="1">goldenOTP_check!Q49*Q105</f>
        <v>1086.6060680000001</v>
      </c>
      <c r="R49" s="4">
        <f ca="1">goldenOTP_check!R49*R105</f>
        <v>1093.0917440000001</v>
      </c>
      <c r="S49" s="4">
        <f ca="1">goldenOTP_check!S49*S105</f>
        <v>1112.9961929999999</v>
      </c>
      <c r="T49" s="4">
        <f ca="1">goldenOTP_check!T49*T105</f>
        <v>1132.5947100000001</v>
      </c>
      <c r="U49" s="4">
        <f ca="1">goldenOTP_check!U49*U105</f>
        <v>1153.756682</v>
      </c>
      <c r="V49" s="4">
        <f ca="1">goldenOTP_check!V49*V105</f>
        <v>1183.003745</v>
      </c>
      <c r="W49" s="4">
        <f ca="1">goldenOTP_check!W49*W105</f>
        <v>1213.647424</v>
      </c>
      <c r="X49" s="4">
        <f ca="1">goldenOTP_check!X49*X105</f>
        <v>1250.4995839999999</v>
      </c>
      <c r="Y49" s="4">
        <f ca="1">goldenOTP_check!Y49*Y105</f>
        <v>1230.86726</v>
      </c>
    </row>
    <row r="50" spans="2:25" x14ac:dyDescent="0.3">
      <c r="B50" s="6">
        <v>47</v>
      </c>
      <c r="C50" s="9">
        <v>2.3542079999999999</v>
      </c>
      <c r="D50" s="9">
        <v>2.1227719999999999</v>
      </c>
      <c r="E50" s="9">
        <v>2.1359720000000002</v>
      </c>
      <c r="F50" s="9">
        <v>2.2059340000000001</v>
      </c>
      <c r="I50" s="4">
        <f ca="1">goldenOTP_check!I50*I106</f>
        <v>1308.9754699999999</v>
      </c>
      <c r="J50" s="4">
        <f ca="1">goldenOTP_check!J50*J106</f>
        <v>1284.4738560000001</v>
      </c>
      <c r="K50" s="4">
        <f ca="1">goldenOTP_check!K50*K106</f>
        <v>1237.524189</v>
      </c>
      <c r="L50" s="4">
        <f ca="1">goldenOTP_check!L50*L106</f>
        <v>1220.8556249999999</v>
      </c>
      <c r="M50" s="4">
        <f ca="1">goldenOTP_check!M50*M106</f>
        <v>1183.8807119999999</v>
      </c>
      <c r="N50" s="4">
        <f ca="1">goldenOTP_check!N50*N106</f>
        <v>1143.9395099999999</v>
      </c>
      <c r="O50" s="4">
        <f ca="1">goldenOTP_check!O50*O106</f>
        <v>1127.5967559999999</v>
      </c>
      <c r="P50" s="4">
        <f ca="1">goldenOTP_check!P50*P106</f>
        <v>1089.9229889999999</v>
      </c>
      <c r="Q50" s="4">
        <f ca="1">goldenOTP_check!Q50*Q106</f>
        <v>1082.5846350000002</v>
      </c>
      <c r="R50" s="4">
        <f ca="1">goldenOTP_check!R50*R106</f>
        <v>1080.7716170000001</v>
      </c>
      <c r="S50" s="4">
        <f ca="1">goldenOTP_check!S50*S106</f>
        <v>1100.5991880000001</v>
      </c>
      <c r="T50" s="4">
        <f ca="1">goldenOTP_check!T50*T106</f>
        <v>1132.8721</v>
      </c>
      <c r="U50" s="4">
        <f ca="1">goldenOTP_check!U50*U106</f>
        <v>1142.9312580000001</v>
      </c>
      <c r="V50" s="4">
        <f ca="1">goldenOTP_check!V50*V106</f>
        <v>1179.434925</v>
      </c>
      <c r="W50" s="4">
        <f ca="1">goldenOTP_check!W50*W106</f>
        <v>1197.1835040000001</v>
      </c>
      <c r="X50" s="4">
        <f ca="1">goldenOTP_check!X50*X106</f>
        <v>1233.1212800000001</v>
      </c>
      <c r="Y50" s="4">
        <f ca="1">goldenOTP_check!Y50*Y106</f>
        <v>1215.1081899999999</v>
      </c>
    </row>
    <row r="51" spans="2:25" x14ac:dyDescent="0.3">
      <c r="B51" s="6">
        <v>48</v>
      </c>
      <c r="C51" s="9">
        <v>2.7175539999999998</v>
      </c>
      <c r="D51" s="9">
        <v>2.4287399999999999</v>
      </c>
      <c r="E51" s="9">
        <v>2.4460649999999999</v>
      </c>
      <c r="F51" s="9">
        <v>2.5365479999999998</v>
      </c>
      <c r="I51" s="4">
        <f ca="1">goldenOTP_check!I51*I107</f>
        <v>1326.0672630000001</v>
      </c>
      <c r="J51" s="4">
        <f ca="1">goldenOTP_check!J51*J107</f>
        <v>1268.935806</v>
      </c>
      <c r="K51" s="4">
        <f ca="1">goldenOTP_check!K51*K107</f>
        <v>1228.608264</v>
      </c>
      <c r="L51" s="4">
        <f ca="1">goldenOTP_check!L51*L107</f>
        <v>1219.7416699999999</v>
      </c>
      <c r="M51" s="4">
        <f ca="1">goldenOTP_check!M51*M107</f>
        <v>1175.039624</v>
      </c>
      <c r="N51" s="4">
        <f ca="1">goldenOTP_check!N51*N107</f>
        <v>1151.4422550000002</v>
      </c>
      <c r="O51" s="4">
        <f ca="1">goldenOTP_check!O51*O107</f>
        <v>1137.374127</v>
      </c>
      <c r="P51" s="4">
        <f ca="1">goldenOTP_check!P51*P107</f>
        <v>1101.5217600000001</v>
      </c>
      <c r="Q51" s="4">
        <f ca="1">goldenOTP_check!Q51*Q107</f>
        <v>1086.9831959999999</v>
      </c>
      <c r="R51" s="4">
        <f ca="1">goldenOTP_check!R51*R107</f>
        <v>1094.0490240000001</v>
      </c>
      <c r="S51" s="4">
        <f ca="1">goldenOTP_check!S51*S107</f>
        <v>1113.848289</v>
      </c>
      <c r="T51" s="4">
        <f ca="1">goldenOTP_check!T51*T107</f>
        <v>1131.0095699999999</v>
      </c>
      <c r="U51" s="4">
        <f ca="1">goldenOTP_check!U51*U107</f>
        <v>1150.53835</v>
      </c>
      <c r="V51" s="4">
        <f ca="1">goldenOTP_check!V51*V107</f>
        <v>1179.480575</v>
      </c>
      <c r="W51" s="4">
        <f ca="1">goldenOTP_check!W51*W107</f>
        <v>1209.645712</v>
      </c>
      <c r="X51" s="4">
        <f ca="1">goldenOTP_check!X51*X107</f>
        <v>1245.2193279999999</v>
      </c>
      <c r="Y51" s="4">
        <f ca="1">goldenOTP_check!Y51*Y107</f>
        <v>1229.1081300000001</v>
      </c>
    </row>
    <row r="52" spans="2:25" x14ac:dyDescent="0.3">
      <c r="B52" s="6">
        <v>49</v>
      </c>
      <c r="C52" s="9">
        <v>3.1845539999999999</v>
      </c>
      <c r="D52" s="9">
        <v>2.833631</v>
      </c>
      <c r="E52" s="9">
        <v>2.851817</v>
      </c>
      <c r="F52" s="9">
        <v>2.9560390000000001</v>
      </c>
      <c r="I52" s="4">
        <f ca="1">goldenOTP_check!I52*I108</f>
        <v>1287.215025</v>
      </c>
      <c r="J52" s="4">
        <f ca="1">goldenOTP_check!J52*J108</f>
        <v>1287.3131289999999</v>
      </c>
      <c r="K52" s="4">
        <f ca="1">goldenOTP_check!K52*K108</f>
        <v>1249.8904020000002</v>
      </c>
      <c r="L52" s="4">
        <f ca="1">goldenOTP_check!L52*L108</f>
        <v>1211.563856</v>
      </c>
      <c r="M52" s="4">
        <f ca="1">goldenOTP_check!M52*M108</f>
        <v>1192.0186739999999</v>
      </c>
      <c r="N52" s="4">
        <f ca="1">goldenOTP_check!N52*N108</f>
        <v>1163.751422</v>
      </c>
      <c r="O52" s="4">
        <f ca="1">goldenOTP_check!O52*O108</f>
        <v>1145.4470999999999</v>
      </c>
      <c r="P52" s="4">
        <f ca="1">goldenOTP_check!P52*P108</f>
        <v>1124.1133829999999</v>
      </c>
      <c r="Q52" s="4">
        <f ca="1">goldenOTP_check!Q52*Q108</f>
        <v>1111.9200040000001</v>
      </c>
      <c r="R52" s="4">
        <f ca="1">goldenOTP_check!R52*R108</f>
        <v>1117.580013</v>
      </c>
      <c r="S52" s="4">
        <f ca="1">goldenOTP_check!S52*S108</f>
        <v>1136.7319599999998</v>
      </c>
      <c r="T52" s="4">
        <f ca="1">goldenOTP_check!T52*T108</f>
        <v>1149.59917</v>
      </c>
      <c r="U52" s="4">
        <f ca="1">goldenOTP_check!U52*U108</f>
        <v>1174.617334</v>
      </c>
      <c r="V52" s="4">
        <f ca="1">goldenOTP_check!V52*V108</f>
        <v>1197.9906960000001</v>
      </c>
      <c r="W52" s="4">
        <f ca="1">goldenOTP_check!W52*W108</f>
        <v>1211.743211</v>
      </c>
      <c r="X52" s="4">
        <f ca="1">goldenOTP_check!X52*X108</f>
        <v>1238.6805610000001</v>
      </c>
      <c r="Y52" s="4">
        <f ca="1">goldenOTP_check!Y52*Y108</f>
        <v>1245.751074</v>
      </c>
    </row>
    <row r="53" spans="2:25" x14ac:dyDescent="0.3">
      <c r="B53" s="6">
        <v>50</v>
      </c>
      <c r="C53" s="9">
        <v>3.713695</v>
      </c>
      <c r="D53" s="9">
        <v>3.2859419999999999</v>
      </c>
      <c r="E53" s="9">
        <v>3.3071640000000002</v>
      </c>
      <c r="F53" s="9">
        <v>3.3868809999999998</v>
      </c>
      <c r="I53" s="4">
        <f ca="1">goldenOTP_check!I53*I109</f>
        <v>1294.4510319999999</v>
      </c>
      <c r="J53" s="4">
        <f ca="1">goldenOTP_check!J53*J109</f>
        <v>1280.8101999999999</v>
      </c>
      <c r="K53" s="4">
        <f ca="1">goldenOTP_check!K53*K109</f>
        <v>1253.74046</v>
      </c>
      <c r="L53" s="4">
        <f ca="1">goldenOTP_check!L53*L109</f>
        <v>1232.4879719999999</v>
      </c>
      <c r="M53" s="4">
        <f ca="1">goldenOTP_check!M53*M109</f>
        <v>1204.446375</v>
      </c>
      <c r="N53" s="4">
        <f ca="1">goldenOTP_check!N53*N109</f>
        <v>1184.739065</v>
      </c>
      <c r="O53" s="4">
        <f ca="1">goldenOTP_check!O53*O109</f>
        <v>1147.8560459999999</v>
      </c>
      <c r="P53" s="4">
        <f ca="1">goldenOTP_check!P53*P109</f>
        <v>1139.0762099999999</v>
      </c>
      <c r="Q53" s="4">
        <f ca="1">goldenOTP_check!Q53*Q109</f>
        <v>1126.4466400000001</v>
      </c>
      <c r="R53" s="4">
        <f ca="1">goldenOTP_check!R53*R109</f>
        <v>1132.3006500000001</v>
      </c>
      <c r="S53" s="4">
        <f ca="1">goldenOTP_check!S53*S109</f>
        <v>1147.0616010000001</v>
      </c>
      <c r="T53" s="4">
        <f ca="1">goldenOTP_check!T53*T109</f>
        <v>1159.2069690000001</v>
      </c>
      <c r="U53" s="4">
        <f ca="1">goldenOTP_check!U53*U109</f>
        <v>1193.6405849999999</v>
      </c>
      <c r="V53" s="4">
        <f ca="1">goldenOTP_check!V53*V109</f>
        <v>1202.3193799999999</v>
      </c>
      <c r="W53" s="4">
        <f ca="1">goldenOTP_check!W53*W109</f>
        <v>1215.675328</v>
      </c>
      <c r="X53" s="4">
        <f ca="1">goldenOTP_check!X53*X109</f>
        <v>1261.0911960000001</v>
      </c>
      <c r="Y53" s="4">
        <f ca="1">goldenOTP_check!Y53*Y109</f>
        <v>1209.5951110000001</v>
      </c>
    </row>
    <row r="54" spans="2:25" x14ac:dyDescent="0.3">
      <c r="B54" s="6">
        <v>51</v>
      </c>
      <c r="C54" s="9">
        <v>3.6034290000000002</v>
      </c>
      <c r="D54" s="9">
        <v>3.1954199999999999</v>
      </c>
      <c r="E54" s="9">
        <v>3.2176439999999999</v>
      </c>
      <c r="F54" s="9">
        <v>3.3897400000000002</v>
      </c>
      <c r="I54" s="4">
        <f ca="1">goldenOTP_check!I54*I110</f>
        <v>1273.118845</v>
      </c>
      <c r="J54" s="4">
        <f ca="1">goldenOTP_check!J54*J110</f>
        <v>1294.4332999999999</v>
      </c>
      <c r="K54" s="4">
        <f ca="1">goldenOTP_check!K54*K110</f>
        <v>1286.8736100000001</v>
      </c>
      <c r="L54" s="4">
        <f ca="1">goldenOTP_check!L54*L110</f>
        <v>1249.199038</v>
      </c>
      <c r="M54" s="4">
        <f ca="1">goldenOTP_check!M54*M110</f>
        <v>1228.9767360000001</v>
      </c>
      <c r="N54" s="4">
        <f ca="1">goldenOTP_check!N54*N110</f>
        <v>1211.8732299999999</v>
      </c>
      <c r="O54" s="4">
        <f ca="1">goldenOTP_check!O54*O110</f>
        <v>1182.0919879999999</v>
      </c>
      <c r="P54" s="4">
        <f ca="1">goldenOTP_check!P54*P110</f>
        <v>1155.9993899999999</v>
      </c>
      <c r="Q54" s="4">
        <f ca="1">goldenOTP_check!Q54*Q110</f>
        <v>1161.9209719999999</v>
      </c>
      <c r="R54" s="4">
        <f ca="1">goldenOTP_check!R54*R110</f>
        <v>1148.393051</v>
      </c>
      <c r="S54" s="4">
        <f ca="1">goldenOTP_check!S54*S110</f>
        <v>1169.3087229999999</v>
      </c>
      <c r="T54" s="4">
        <f ca="1">goldenOTP_check!T54*T110</f>
        <v>1193.270685</v>
      </c>
      <c r="U54" s="4">
        <f ca="1">goldenOTP_check!U54*U110</f>
        <v>1207.122384</v>
      </c>
      <c r="V54" s="4">
        <f ca="1">goldenOTP_check!V54*V110</f>
        <v>1220.5395230000001</v>
      </c>
      <c r="W54" s="4">
        <f ca="1">goldenOTP_check!W54*W110</f>
        <v>1247.966952</v>
      </c>
      <c r="X54" s="4">
        <f ca="1">goldenOTP_check!X54*X110</f>
        <v>1249.23901</v>
      </c>
      <c r="Y54" s="4">
        <f ca="1">goldenOTP_check!Y54*Y110</f>
        <v>1203.7487239999998</v>
      </c>
    </row>
    <row r="55" spans="2:25" x14ac:dyDescent="0.3">
      <c r="B55" s="6">
        <v>52</v>
      </c>
      <c r="C55" s="9">
        <v>3.029493</v>
      </c>
      <c r="D55" s="9">
        <v>2.68</v>
      </c>
      <c r="E55" s="9">
        <v>2.6965370000000002</v>
      </c>
      <c r="F55" s="9">
        <v>2.8200280000000002</v>
      </c>
      <c r="I55" s="4">
        <f ca="1">goldenOTP_check!I55*I111</f>
        <v>1270.5777499999999</v>
      </c>
      <c r="J55" s="4">
        <f ca="1">goldenOTP_check!J55*J111</f>
        <v>1282.656313</v>
      </c>
      <c r="K55" s="4">
        <f ca="1">goldenOTP_check!K55*K111</f>
        <v>1284.7725</v>
      </c>
      <c r="L55" s="4">
        <f ca="1">goldenOTP_check!L55*L111</f>
        <v>1268.6940159999999</v>
      </c>
      <c r="M55" s="4">
        <f ca="1">goldenOTP_check!M55*M111</f>
        <v>1240.9319459999999</v>
      </c>
      <c r="N55" s="4">
        <f ca="1">goldenOTP_check!N55*N111</f>
        <v>1214.473068</v>
      </c>
      <c r="O55" s="4">
        <f ca="1">goldenOTP_check!O55*O111</f>
        <v>1201.988648</v>
      </c>
      <c r="P55" s="4">
        <f ca="1">goldenOTP_check!P55*P111</f>
        <v>1199.383875</v>
      </c>
      <c r="Q55" s="4">
        <f ca="1">goldenOTP_check!Q55*Q111</f>
        <v>1196.614855</v>
      </c>
      <c r="R55" s="4">
        <f ca="1">goldenOTP_check!R55*R111</f>
        <v>1194.318675</v>
      </c>
      <c r="S55" s="4">
        <f ca="1">goldenOTP_check!S55*S111</f>
        <v>1193.717112</v>
      </c>
      <c r="T55" s="4">
        <f ca="1">goldenOTP_check!T55*T111</f>
        <v>1202.789896</v>
      </c>
      <c r="U55" s="4">
        <f ca="1">goldenOTP_check!U55*U111</f>
        <v>1221.8304820000001</v>
      </c>
      <c r="V55" s="4">
        <f ca="1">goldenOTP_check!V55*V111</f>
        <v>1242.6649600000001</v>
      </c>
      <c r="W55" s="4">
        <f ca="1">goldenOTP_check!W55*W111</f>
        <v>1250.7484499999998</v>
      </c>
      <c r="X55" s="4">
        <f ca="1">goldenOTP_check!X55*X111</f>
        <v>1244.3020799999999</v>
      </c>
      <c r="Y55" s="4">
        <f ca="1">goldenOTP_check!Y55*Y111</f>
        <v>1209.921012</v>
      </c>
    </row>
    <row r="56" spans="2:25" x14ac:dyDescent="0.3">
      <c r="B56" s="6">
        <v>53</v>
      </c>
      <c r="C56" s="9">
        <v>2.554926</v>
      </c>
      <c r="D56" s="9">
        <v>2.2735609999999999</v>
      </c>
      <c r="E56" s="9">
        <v>2.2879710000000002</v>
      </c>
      <c r="F56" s="9">
        <v>2.3868809999999998</v>
      </c>
      <c r="I56" s="12">
        <f ca="1">goldenOTP_check!I56*I112</f>
        <v>1298.321727</v>
      </c>
      <c r="J56" s="4">
        <f ca="1">goldenOTP_check!J56*J112</f>
        <v>1283.3022000000001</v>
      </c>
      <c r="K56" s="4">
        <f ca="1">goldenOTP_check!K56*K112</f>
        <v>1287.5690520000001</v>
      </c>
      <c r="L56" s="4">
        <f ca="1">goldenOTP_check!L56*L112</f>
        <v>1308.1099450000002</v>
      </c>
      <c r="M56" s="4">
        <f ca="1">goldenOTP_check!M56*M112</f>
        <v>1259.952434</v>
      </c>
      <c r="N56" s="4">
        <f ca="1">goldenOTP_check!N56*N112</f>
        <v>1245.8544999999999</v>
      </c>
      <c r="O56" s="4">
        <f ca="1">goldenOTP_check!O56*O112</f>
        <v>1228.6692430000001</v>
      </c>
      <c r="P56" s="4">
        <f ca="1">goldenOTP_check!P56*P112</f>
        <v>1218.39904</v>
      </c>
      <c r="Q56" s="4">
        <f ca="1">goldenOTP_check!Q56*Q112</f>
        <v>1225.9533300000001</v>
      </c>
      <c r="R56" s="4">
        <f ca="1">goldenOTP_check!R56*R112</f>
        <v>1214.6209200000001</v>
      </c>
      <c r="S56" s="4">
        <f ca="1">goldenOTP_check!S56*S112</f>
        <v>1221.0011829999999</v>
      </c>
      <c r="T56" s="4">
        <f ca="1">goldenOTP_check!T56*T112</f>
        <v>1232.7919400000001</v>
      </c>
      <c r="U56" s="4">
        <f ca="1">goldenOTP_check!U56*U112</f>
        <v>1240.505136</v>
      </c>
      <c r="V56" s="4">
        <f ca="1">goldenOTP_check!V56*V112</f>
        <v>1283.2390909999999</v>
      </c>
      <c r="W56" s="4">
        <f ca="1">goldenOTP_check!W56*W112</f>
        <v>1257.0647759999999</v>
      </c>
      <c r="X56" s="4">
        <f ca="1">goldenOTP_check!X56*X112</f>
        <v>1246.15842</v>
      </c>
      <c r="Y56" s="12">
        <f ca="1">goldenOTP_check!Y56*Y112</f>
        <v>1228.7266689999999</v>
      </c>
    </row>
    <row r="57" spans="2:25" x14ac:dyDescent="0.3">
      <c r="B57" s="6">
        <v>54</v>
      </c>
      <c r="C57" s="9">
        <v>2.1826249999999998</v>
      </c>
      <c r="D57" s="9">
        <v>1.97319</v>
      </c>
      <c r="E57" s="9">
        <v>1.985449</v>
      </c>
      <c r="F57" s="9">
        <v>2.0644290000000001</v>
      </c>
    </row>
    <row r="58" spans="2:25" x14ac:dyDescent="0.3">
      <c r="B58" s="6">
        <v>55</v>
      </c>
      <c r="C58" s="9">
        <v>1.8741000000000001</v>
      </c>
      <c r="D58" s="9">
        <v>1.7333890000000001</v>
      </c>
      <c r="E58" s="9">
        <v>1.7433670000000001</v>
      </c>
      <c r="F58" s="9">
        <v>1.807471</v>
      </c>
      <c r="H58" t="s">
        <v>5</v>
      </c>
      <c r="I58" s="3">
        <f t="shared" ref="I58:I70" ca="1" si="0">INDIRECT("C"&amp;(17*ROW(1:1)+ROW($C$3)-19+IF(COLUMN(C:C)&gt;19,50000,COLUMN(C:C)-1)))</f>
        <v>4.6358100000000002</v>
      </c>
      <c r="J58" s="2">
        <f t="shared" ref="J58:J70" ca="1" si="1">INDIRECT("C"&amp;(17*ROW(1:1)+ROW($C$3)-19+IF(COLUMN(D:D)&gt;19,50000,COLUMN(D:D)-1)))</f>
        <v>3.999593</v>
      </c>
      <c r="K58" s="2">
        <f t="shared" ref="K58:K70" ca="1" si="2">INDIRECT("C"&amp;(17*ROW(1:1)+ROW($C$3)-19+IF(COLUMN(E:E)&gt;19,50000,COLUMN(E:E)-1)))</f>
        <v>3.5190549999999998</v>
      </c>
      <c r="L58" s="2">
        <f t="shared" ref="L58:L70" ca="1" si="3">INDIRECT("C"&amp;(17*ROW(1:1)+ROW($C$3)-19+IF(COLUMN(F:F)&gt;19,50000,COLUMN(F:F)-1)))</f>
        <v>3.1003699999999998</v>
      </c>
      <c r="M58" s="2">
        <f t="shared" ref="M58:M70" ca="1" si="4">INDIRECT("C"&amp;(17*ROW(1:1)+ROW($C$3)-19+IF(COLUMN(G:G)&gt;19,50000,COLUMN(G:G)-1)))</f>
        <v>2.7609859999999999</v>
      </c>
      <c r="N58" s="2">
        <f t="shared" ref="N58:N70" ca="1" si="5">INDIRECT("C"&amp;(17*ROW(1:1)+ROW($C$3)-19+IF(COLUMN(H:H)&gt;19,50000,COLUMN(H:H)-1)))</f>
        <v>2.5090539999999999</v>
      </c>
      <c r="O58" s="2">
        <f t="shared" ref="O58:O70" ca="1" si="6">INDIRECT("C"&amp;(17*ROW(1:1)+ROW($C$3)-19+IF(COLUMN(I:I)&gt;19,50000,COLUMN(I:I)-1)))</f>
        <v>2.3465039999999999</v>
      </c>
      <c r="P58" s="2">
        <f t="shared" ref="P58:P70" ca="1" si="7">INDIRECT("C"&amp;(17*ROW(1:1)+ROW($C$3)-19+IF(COLUMN(J:J)&gt;19,50000,COLUMN(J:J)-1)))</f>
        <v>2.245584</v>
      </c>
      <c r="Q58" s="2">
        <f t="shared" ref="Q58:Q70" ca="1" si="8">INDIRECT("C"&amp;(17*ROW(1:1)+ROW($C$3)-19+IF(COLUMN(K:K)&gt;19,50000,COLUMN(K:K)-1)))</f>
        <v>2.2059549999999999</v>
      </c>
      <c r="R58" s="2">
        <f t="shared" ref="R58:R70" ca="1" si="9">INDIRECT("C"&amp;(17*ROW(1:1)+ROW($C$3)-19+IF(COLUMN(L:L)&gt;19,50000,COLUMN(L:L)-1)))</f>
        <v>2.2378979999999999</v>
      </c>
      <c r="S58" s="2">
        <f t="shared" ref="S58:S70" ca="1" si="10">INDIRECT("C"&amp;(17*ROW(1:1)+ROW($C$3)-19+IF(COLUMN(M:M)&gt;19,50000,COLUMN(M:M)-1)))</f>
        <v>2.3277670000000001</v>
      </c>
      <c r="T58" s="2">
        <f t="shared" ref="T58:T70" ca="1" si="11">INDIRECT("C"&amp;(17*ROW(1:1)+ROW($C$3)-19+IF(COLUMN(N:N)&gt;19,50000,COLUMN(N:N)-1)))</f>
        <v>2.4852880000000002</v>
      </c>
      <c r="U58" s="2">
        <f t="shared" ref="U58:U70" ca="1" si="12">INDIRECT("C"&amp;(17*ROW(1:1)+ROW($C$3)-19+IF(COLUMN(O:O)&gt;19,50000,COLUMN(O:O)-1)))</f>
        <v>2.7124419999999998</v>
      </c>
      <c r="V58" s="2">
        <f t="shared" ref="V58:V70" ca="1" si="13">INDIRECT("C"&amp;(17*ROW(1:1)+ROW($C$3)-19+IF(COLUMN(P:P)&gt;19,50000,COLUMN(P:P)-1)))</f>
        <v>3.033401</v>
      </c>
      <c r="W58" s="2">
        <f t="shared" ref="W58:W70" ca="1" si="14">INDIRECT("C"&amp;(17*ROW(1:1)+ROW($C$3)-19+IF(COLUMN(Q:Q)&gt;19,50000,COLUMN(Q:Q)-1)))</f>
        <v>3.4377930000000001</v>
      </c>
      <c r="X58" s="2">
        <f t="shared" ref="X58:X70" ca="1" si="15">INDIRECT("C"&amp;(17*ROW(1:1)+ROW($C$3)-19+IF(COLUMN(R:R)&gt;19,50000,COLUMN(R:R)-1)))</f>
        <v>3.8854259999999998</v>
      </c>
      <c r="Y58" s="3">
        <f t="shared" ref="Y58:Y70" ca="1" si="16">INDIRECT("C"&amp;(17*ROW(1:1)+ROW($C$3)-19+IF(COLUMN(S:S)&gt;19,50000,COLUMN(S:S)-1)))</f>
        <v>4.3967720000000003</v>
      </c>
    </row>
    <row r="59" spans="2:25" x14ac:dyDescent="0.3">
      <c r="B59" s="6">
        <v>56</v>
      </c>
      <c r="C59" s="9">
        <v>1.6099030000000001</v>
      </c>
      <c r="D59" s="9">
        <v>1.526705</v>
      </c>
      <c r="E59" s="9">
        <v>1.532529</v>
      </c>
      <c r="F59" s="9">
        <v>1.5891010000000001</v>
      </c>
      <c r="I59" s="2">
        <f t="shared" ca="1" si="0"/>
        <v>4.1747360000000002</v>
      </c>
      <c r="J59" s="2">
        <f t="shared" ca="1" si="1"/>
        <v>3.6154820000000001</v>
      </c>
      <c r="K59" s="2">
        <f t="shared" ca="1" si="2"/>
        <v>3.1285919999999998</v>
      </c>
      <c r="L59" s="2">
        <f t="shared" ca="1" si="3"/>
        <v>2.7185199999999998</v>
      </c>
      <c r="M59" s="2">
        <f t="shared" ca="1" si="4"/>
        <v>2.4066350000000001</v>
      </c>
      <c r="N59" s="2">
        <f t="shared" ca="1" si="5"/>
        <v>2.1710769999999999</v>
      </c>
      <c r="O59" s="2">
        <f t="shared" ca="1" si="6"/>
        <v>2.0006339999999998</v>
      </c>
      <c r="P59" s="2">
        <f t="shared" ca="1" si="7"/>
        <v>1.8908910000000001</v>
      </c>
      <c r="Q59" s="2">
        <f t="shared" ca="1" si="8"/>
        <v>1.8492900000000001</v>
      </c>
      <c r="R59" s="2">
        <f t="shared" ca="1" si="9"/>
        <v>1.880266</v>
      </c>
      <c r="S59" s="2">
        <f t="shared" ca="1" si="10"/>
        <v>1.9801139999999999</v>
      </c>
      <c r="T59" s="2">
        <f t="shared" ca="1" si="11"/>
        <v>2.1409899999999999</v>
      </c>
      <c r="U59" s="2">
        <f t="shared" ca="1" si="12"/>
        <v>2.360938</v>
      </c>
      <c r="V59" s="2">
        <f t="shared" ca="1" si="13"/>
        <v>2.6549779999999998</v>
      </c>
      <c r="W59" s="2">
        <f t="shared" ca="1" si="14"/>
        <v>3.0465610000000001</v>
      </c>
      <c r="X59" s="2">
        <f t="shared" ca="1" si="15"/>
        <v>3.5113810000000001</v>
      </c>
      <c r="Y59" s="2">
        <f t="shared" ca="1" si="16"/>
        <v>4.027374</v>
      </c>
    </row>
    <row r="60" spans="2:25" x14ac:dyDescent="0.3">
      <c r="B60" s="6">
        <v>57</v>
      </c>
      <c r="C60" s="9">
        <v>1.423494</v>
      </c>
      <c r="D60" s="9">
        <v>1.37487</v>
      </c>
      <c r="E60" s="9">
        <v>1.37835</v>
      </c>
      <c r="F60" s="9">
        <v>1.429433</v>
      </c>
      <c r="I60" s="2">
        <f t="shared" ca="1" si="0"/>
        <v>3.857793</v>
      </c>
      <c r="J60" s="2">
        <f t="shared" ca="1" si="1"/>
        <v>3.293336</v>
      </c>
      <c r="K60" s="2">
        <f t="shared" ca="1" si="2"/>
        <v>2.8008090000000001</v>
      </c>
      <c r="L60" s="2">
        <f t="shared" ca="1" si="3"/>
        <v>2.412039</v>
      </c>
      <c r="M60" s="2">
        <f t="shared" ca="1" si="4"/>
        <v>2.1128049999999998</v>
      </c>
      <c r="N60" s="2">
        <f t="shared" ca="1" si="5"/>
        <v>1.8672899999999999</v>
      </c>
      <c r="O60" s="2">
        <f t="shared" ca="1" si="6"/>
        <v>1.680698</v>
      </c>
      <c r="P60" s="2">
        <f t="shared" ca="1" si="7"/>
        <v>1.5622940000000001</v>
      </c>
      <c r="Q60" s="2">
        <f t="shared" ca="1" si="8"/>
        <v>1.5195069999999999</v>
      </c>
      <c r="R60" s="2">
        <f t="shared" ca="1" si="9"/>
        <v>1.5504549999999999</v>
      </c>
      <c r="S60" s="2">
        <f t="shared" ca="1" si="10"/>
        <v>1.6545369999999999</v>
      </c>
      <c r="T60" s="2">
        <f t="shared" ca="1" si="11"/>
        <v>1.8321959999999999</v>
      </c>
      <c r="U60" s="2">
        <f t="shared" ca="1" si="12"/>
        <v>2.0657489999999998</v>
      </c>
      <c r="V60" s="2">
        <f t="shared" ca="1" si="13"/>
        <v>2.3542079999999999</v>
      </c>
      <c r="W60" s="2">
        <f t="shared" ca="1" si="14"/>
        <v>2.7175539999999998</v>
      </c>
      <c r="X60" s="2">
        <f t="shared" ca="1" si="15"/>
        <v>3.1845539999999999</v>
      </c>
      <c r="Y60" s="2">
        <f t="shared" ca="1" si="16"/>
        <v>3.713695</v>
      </c>
    </row>
    <row r="61" spans="2:25" x14ac:dyDescent="0.3">
      <c r="B61" s="6">
        <v>58</v>
      </c>
      <c r="C61" s="9">
        <v>1.3151539999999999</v>
      </c>
      <c r="D61" s="9">
        <v>1.2820659999999999</v>
      </c>
      <c r="E61" s="9">
        <v>1.286384</v>
      </c>
      <c r="F61" s="9">
        <v>1.3320650000000001</v>
      </c>
      <c r="I61" s="2">
        <f t="shared" ca="1" si="0"/>
        <v>3.6034290000000002</v>
      </c>
      <c r="J61" s="2">
        <f t="shared" ca="1" si="1"/>
        <v>3.029493</v>
      </c>
      <c r="K61" s="2">
        <f t="shared" ca="1" si="2"/>
        <v>2.554926</v>
      </c>
      <c r="L61" s="2">
        <f t="shared" ca="1" si="3"/>
        <v>2.1826249999999998</v>
      </c>
      <c r="M61" s="2">
        <f t="shared" ca="1" si="4"/>
        <v>1.8741000000000001</v>
      </c>
      <c r="N61" s="2">
        <f t="shared" ca="1" si="5"/>
        <v>1.6099030000000001</v>
      </c>
      <c r="O61" s="2">
        <f t="shared" ca="1" si="6"/>
        <v>1.423494</v>
      </c>
      <c r="P61" s="2">
        <f t="shared" ca="1" si="7"/>
        <v>1.3151539999999999</v>
      </c>
      <c r="Q61" s="2">
        <f t="shared" ca="1" si="8"/>
        <v>1.2750840000000001</v>
      </c>
      <c r="R61" s="2">
        <f t="shared" ca="1" si="9"/>
        <v>1.3027880000000001</v>
      </c>
      <c r="S61" s="2">
        <f t="shared" ca="1" si="10"/>
        <v>1.399672</v>
      </c>
      <c r="T61" s="2">
        <f t="shared" ca="1" si="11"/>
        <v>1.5698380000000001</v>
      </c>
      <c r="U61" s="2">
        <f t="shared" ca="1" si="12"/>
        <v>1.821863</v>
      </c>
      <c r="V61" s="2">
        <f t="shared" ca="1" si="13"/>
        <v>2.1236120000000001</v>
      </c>
      <c r="W61" s="2">
        <f t="shared" ca="1" si="14"/>
        <v>2.4744769999999998</v>
      </c>
      <c r="X61" s="2">
        <f t="shared" ca="1" si="15"/>
        <v>2.9189880000000001</v>
      </c>
      <c r="Y61" s="2">
        <f t="shared" ca="1" si="16"/>
        <v>3.4519959999999998</v>
      </c>
    </row>
    <row r="62" spans="2:25" x14ac:dyDescent="0.3">
      <c r="B62" s="6">
        <v>59</v>
      </c>
      <c r="C62" s="9">
        <v>1.2750840000000001</v>
      </c>
      <c r="D62" s="9">
        <v>1.2501899999999999</v>
      </c>
      <c r="E62" s="9">
        <v>1.25451</v>
      </c>
      <c r="F62" s="9">
        <v>1.298001</v>
      </c>
      <c r="I62" s="2">
        <f t="shared" ca="1" si="0"/>
        <v>3.4107820000000002</v>
      </c>
      <c r="J62" s="2">
        <f t="shared" ca="1" si="1"/>
        <v>2.8439960000000002</v>
      </c>
      <c r="K62" s="2">
        <f t="shared" ca="1" si="2"/>
        <v>2.3884539999999999</v>
      </c>
      <c r="L62" s="2">
        <f t="shared" ca="1" si="3"/>
        <v>2.0204279999999999</v>
      </c>
      <c r="M62" s="2">
        <f t="shared" ca="1" si="4"/>
        <v>1.6940740000000001</v>
      </c>
      <c r="N62" s="2">
        <f t="shared" ca="1" si="5"/>
        <v>1.4318900000000001</v>
      </c>
      <c r="O62" s="2">
        <f t="shared" ca="1" si="6"/>
        <v>1.2576689999999999</v>
      </c>
      <c r="P62" s="2">
        <f t="shared" ca="1" si="7"/>
        <v>1.1582349999999999</v>
      </c>
      <c r="Q62" s="2">
        <f t="shared" ca="1" si="8"/>
        <v>1.1206210000000001</v>
      </c>
      <c r="R62" s="2">
        <f t="shared" ca="1" si="9"/>
        <v>1.1451150000000001</v>
      </c>
      <c r="S62" s="2">
        <f t="shared" ca="1" si="10"/>
        <v>1.2326999999999999</v>
      </c>
      <c r="T62" s="2">
        <f t="shared" ca="1" si="11"/>
        <v>1.3906620000000001</v>
      </c>
      <c r="U62" s="2">
        <f t="shared" ca="1" si="12"/>
        <v>1.6367620000000001</v>
      </c>
      <c r="V62" s="2">
        <f t="shared" ca="1" si="13"/>
        <v>1.956688</v>
      </c>
      <c r="W62" s="2">
        <f t="shared" ca="1" si="14"/>
        <v>2.3060100000000001</v>
      </c>
      <c r="X62" s="2">
        <f t="shared" ca="1" si="15"/>
        <v>2.7305250000000001</v>
      </c>
      <c r="Y62" s="2">
        <f t="shared" ca="1" si="16"/>
        <v>3.2584369999999998</v>
      </c>
    </row>
    <row r="63" spans="2:25" x14ac:dyDescent="0.3">
      <c r="B63" s="6">
        <v>60</v>
      </c>
      <c r="C63" s="9">
        <v>1.3027880000000001</v>
      </c>
      <c r="D63" s="9">
        <v>1.272734</v>
      </c>
      <c r="E63" s="9">
        <v>1.278597</v>
      </c>
      <c r="F63" s="9">
        <v>1.3204</v>
      </c>
      <c r="I63" s="2">
        <f t="shared" ca="1" si="0"/>
        <v>3.2901829999999999</v>
      </c>
      <c r="J63" s="2">
        <f t="shared" ca="1" si="1"/>
        <v>2.7321430000000002</v>
      </c>
      <c r="K63" s="2">
        <f t="shared" ca="1" si="2"/>
        <v>2.2892250000000001</v>
      </c>
      <c r="L63" s="2">
        <f t="shared" ca="1" si="3"/>
        <v>1.918407</v>
      </c>
      <c r="M63" s="2">
        <f t="shared" ca="1" si="4"/>
        <v>1.5841829999999999</v>
      </c>
      <c r="N63" s="2">
        <f t="shared" ca="1" si="5"/>
        <v>1.3308500000000001</v>
      </c>
      <c r="O63" s="2">
        <f t="shared" ca="1" si="6"/>
        <v>1.1666000000000001</v>
      </c>
      <c r="P63" s="2">
        <f t="shared" ca="1" si="7"/>
        <v>1.070057</v>
      </c>
      <c r="Q63" s="2">
        <f t="shared" ca="1" si="8"/>
        <v>1.0341290000000001</v>
      </c>
      <c r="R63" s="2">
        <f t="shared" ca="1" si="9"/>
        <v>1.0573699999999999</v>
      </c>
      <c r="S63" s="2">
        <f t="shared" ca="1" si="10"/>
        <v>1.13944</v>
      </c>
      <c r="T63" s="2">
        <f t="shared" ca="1" si="11"/>
        <v>1.2891360000000001</v>
      </c>
      <c r="U63" s="2">
        <f t="shared" ca="1" si="12"/>
        <v>1.525749</v>
      </c>
      <c r="V63" s="2">
        <f t="shared" ca="1" si="13"/>
        <v>1.847</v>
      </c>
      <c r="W63" s="2">
        <f t="shared" ca="1" si="14"/>
        <v>2.2051590000000001</v>
      </c>
      <c r="X63" s="2">
        <f t="shared" ca="1" si="15"/>
        <v>2.6208079999999998</v>
      </c>
      <c r="Y63" s="2">
        <f t="shared" ca="1" si="16"/>
        <v>3.128835</v>
      </c>
    </row>
    <row r="64" spans="2:25" x14ac:dyDescent="0.3">
      <c r="B64" s="6">
        <v>61</v>
      </c>
      <c r="C64" s="9">
        <v>1.399672</v>
      </c>
      <c r="D64" s="9">
        <v>1.355585</v>
      </c>
      <c r="E64" s="9">
        <v>1.3606259999999999</v>
      </c>
      <c r="F64" s="9">
        <v>1.404177</v>
      </c>
      <c r="I64" s="2">
        <f t="shared" ca="1" si="0"/>
        <v>3.2432259999999999</v>
      </c>
      <c r="J64" s="2">
        <f t="shared" ca="1" si="1"/>
        <v>2.691649</v>
      </c>
      <c r="K64" s="2">
        <f t="shared" ca="1" si="2"/>
        <v>2.2534420000000002</v>
      </c>
      <c r="L64" s="2">
        <f t="shared" ca="1" si="3"/>
        <v>1.8797699999999999</v>
      </c>
      <c r="M64" s="2">
        <f t="shared" ca="1" si="4"/>
        <v>1.5458480000000001</v>
      </c>
      <c r="N64" s="2">
        <f t="shared" ca="1" si="5"/>
        <v>1.2954829999999999</v>
      </c>
      <c r="O64" s="2">
        <f t="shared" ca="1" si="6"/>
        <v>1.133548</v>
      </c>
      <c r="P64" s="2">
        <f t="shared" ca="1" si="7"/>
        <v>1.0385930000000001</v>
      </c>
      <c r="Q64" s="2">
        <f t="shared" ca="1" si="8"/>
        <v>1.004311</v>
      </c>
      <c r="R64" s="2">
        <f t="shared" ca="1" si="9"/>
        <v>1.0289919999999999</v>
      </c>
      <c r="S64" s="2">
        <f t="shared" ca="1" si="10"/>
        <v>1.1084689999999999</v>
      </c>
      <c r="T64" s="2">
        <f t="shared" ca="1" si="11"/>
        <v>1.2537700000000001</v>
      </c>
      <c r="U64" s="2">
        <f t="shared" ca="1" si="12"/>
        <v>1.483768</v>
      </c>
      <c r="V64" s="2">
        <f t="shared" ca="1" si="13"/>
        <v>1.8049379999999999</v>
      </c>
      <c r="W64" s="2">
        <f t="shared" ca="1" si="14"/>
        <v>2.167195</v>
      </c>
      <c r="X64" s="2">
        <f t="shared" ca="1" si="15"/>
        <v>2.577591</v>
      </c>
      <c r="Y64" s="2">
        <f t="shared" ca="1" si="16"/>
        <v>3.0830489999999999</v>
      </c>
    </row>
    <row r="65" spans="2:25" x14ac:dyDescent="0.3">
      <c r="B65" s="6">
        <v>62</v>
      </c>
      <c r="C65" s="9">
        <v>1.5698380000000001</v>
      </c>
      <c r="D65" s="9">
        <v>1.497655</v>
      </c>
      <c r="E65" s="9">
        <v>1.5046679999999999</v>
      </c>
      <c r="F65" s="9">
        <v>1.550881</v>
      </c>
      <c r="I65" s="2">
        <f t="shared" ca="1" si="0"/>
        <v>3.2767309999999998</v>
      </c>
      <c r="J65" s="2">
        <f t="shared" ca="1" si="1"/>
        <v>2.7220309999999999</v>
      </c>
      <c r="K65" s="2">
        <f t="shared" ca="1" si="2"/>
        <v>2.2819210000000001</v>
      </c>
      <c r="L65" s="2">
        <f t="shared" ca="1" si="3"/>
        <v>1.9151309999999999</v>
      </c>
      <c r="M65" s="2">
        <f t="shared" ca="1" si="4"/>
        <v>1.5806519999999999</v>
      </c>
      <c r="N65" s="2">
        <f t="shared" ca="1" si="5"/>
        <v>1.3277749999999999</v>
      </c>
      <c r="O65" s="2">
        <f t="shared" ca="1" si="6"/>
        <v>1.1639079999999999</v>
      </c>
      <c r="P65" s="2">
        <f t="shared" ca="1" si="7"/>
        <v>1.0698019999999999</v>
      </c>
      <c r="Q65" s="2">
        <f t="shared" ca="1" si="8"/>
        <v>1.0358560000000001</v>
      </c>
      <c r="R65" s="2">
        <f t="shared" ca="1" si="9"/>
        <v>1.0606960000000001</v>
      </c>
      <c r="S65" s="2">
        <f t="shared" ca="1" si="10"/>
        <v>1.1392180000000001</v>
      </c>
      <c r="T65" s="2">
        <f t="shared" ca="1" si="11"/>
        <v>1.2857430000000001</v>
      </c>
      <c r="U65" s="2">
        <f t="shared" ca="1" si="12"/>
        <v>1.5204519999999999</v>
      </c>
      <c r="V65" s="2">
        <f t="shared" ca="1" si="13"/>
        <v>1.8407290000000001</v>
      </c>
      <c r="W65" s="2">
        <f t="shared" ca="1" si="14"/>
        <v>2.1971799999999999</v>
      </c>
      <c r="X65" s="2">
        <f t="shared" ca="1" si="15"/>
        <v>2.6072280000000001</v>
      </c>
      <c r="Y65" s="2">
        <f t="shared" ca="1" si="16"/>
        <v>3.1138970000000001</v>
      </c>
    </row>
    <row r="66" spans="2:25" x14ac:dyDescent="0.3">
      <c r="B66" s="6">
        <v>63</v>
      </c>
      <c r="C66" s="9">
        <v>1.821863</v>
      </c>
      <c r="D66" s="9">
        <v>1.699225</v>
      </c>
      <c r="E66" s="9">
        <v>1.708939</v>
      </c>
      <c r="F66" s="9">
        <v>1.76423</v>
      </c>
      <c r="I66" s="2">
        <f t="shared" ca="1" si="0"/>
        <v>3.3788010000000002</v>
      </c>
      <c r="J66" s="2">
        <f t="shared" ca="1" si="1"/>
        <v>2.824964</v>
      </c>
      <c r="K66" s="2">
        <f t="shared" ca="1" si="2"/>
        <v>2.3764590000000001</v>
      </c>
      <c r="L66" s="2">
        <f t="shared" ca="1" si="3"/>
        <v>2.01383</v>
      </c>
      <c r="M66" s="2">
        <f t="shared" ca="1" si="4"/>
        <v>1.6888479999999999</v>
      </c>
      <c r="N66" s="2">
        <f t="shared" ca="1" si="5"/>
        <v>1.4271339999999999</v>
      </c>
      <c r="O66" s="2">
        <f t="shared" ca="1" si="6"/>
        <v>1.255612</v>
      </c>
      <c r="P66" s="2">
        <f t="shared" ca="1" si="7"/>
        <v>1.1557949999999999</v>
      </c>
      <c r="Q66" s="2">
        <f t="shared" ca="1" si="8"/>
        <v>1.121437</v>
      </c>
      <c r="R66" s="2">
        <f t="shared" ca="1" si="9"/>
        <v>1.1457710000000001</v>
      </c>
      <c r="S66" s="2">
        <f t="shared" ca="1" si="10"/>
        <v>1.2286010000000001</v>
      </c>
      <c r="T66" s="2">
        <f t="shared" ca="1" si="11"/>
        <v>1.3851599999999999</v>
      </c>
      <c r="U66" s="2">
        <f t="shared" ca="1" si="12"/>
        <v>1.6286510000000001</v>
      </c>
      <c r="V66" s="2">
        <f t="shared" ca="1" si="13"/>
        <v>1.944814</v>
      </c>
      <c r="W66" s="2">
        <f t="shared" ca="1" si="14"/>
        <v>2.2905890000000002</v>
      </c>
      <c r="X66" s="2">
        <f t="shared" ca="1" si="15"/>
        <v>2.7072889999999998</v>
      </c>
      <c r="Y66" s="2">
        <f t="shared" ca="1" si="16"/>
        <v>3.2245149999999998</v>
      </c>
    </row>
    <row r="67" spans="2:25" x14ac:dyDescent="0.3">
      <c r="B67" s="6">
        <v>64</v>
      </c>
      <c r="C67" s="9">
        <v>2.1236120000000001</v>
      </c>
      <c r="D67" s="9">
        <v>1.936328</v>
      </c>
      <c r="E67" s="9">
        <v>1.947646</v>
      </c>
      <c r="F67" s="9">
        <v>2.0151370000000002</v>
      </c>
      <c r="I67" s="2">
        <f t="shared" ca="1" si="0"/>
        <v>3.5506769999999999</v>
      </c>
      <c r="J67" s="2">
        <f t="shared" ca="1" si="1"/>
        <v>2.998637</v>
      </c>
      <c r="K67" s="2">
        <f t="shared" ca="1" si="2"/>
        <v>2.534729</v>
      </c>
      <c r="L67" s="2">
        <f t="shared" ca="1" si="3"/>
        <v>2.1711710000000002</v>
      </c>
      <c r="M67" s="2">
        <f t="shared" ca="1" si="4"/>
        <v>1.864141</v>
      </c>
      <c r="N67" s="2">
        <f t="shared" ca="1" si="5"/>
        <v>1.6024320000000001</v>
      </c>
      <c r="O67" s="2">
        <f t="shared" ca="1" si="6"/>
        <v>1.4190849999999999</v>
      </c>
      <c r="P67" s="2">
        <f t="shared" ca="1" si="7"/>
        <v>1.3112630000000001</v>
      </c>
      <c r="Q67" s="2">
        <f t="shared" ca="1" si="8"/>
        <v>1.2718860000000001</v>
      </c>
      <c r="R67" s="2">
        <f t="shared" ca="1" si="9"/>
        <v>1.2984549999999999</v>
      </c>
      <c r="S67" s="2">
        <f t="shared" ca="1" si="10"/>
        <v>1.390172</v>
      </c>
      <c r="T67" s="2">
        <f t="shared" ca="1" si="11"/>
        <v>1.5563020000000001</v>
      </c>
      <c r="U67" s="2">
        <f t="shared" ca="1" si="12"/>
        <v>1.8063419999999999</v>
      </c>
      <c r="V67" s="2">
        <f t="shared" ca="1" si="13"/>
        <v>2.105369</v>
      </c>
      <c r="W67" s="2">
        <f t="shared" ca="1" si="14"/>
        <v>2.4449320000000001</v>
      </c>
      <c r="X67" s="2">
        <f t="shared" ca="1" si="15"/>
        <v>2.8796240000000002</v>
      </c>
      <c r="Y67" s="2">
        <f t="shared" ca="1" si="16"/>
        <v>3.4053879999999999</v>
      </c>
    </row>
    <row r="68" spans="2:25" x14ac:dyDescent="0.3">
      <c r="B68" s="6">
        <v>65</v>
      </c>
      <c r="C68" s="9">
        <v>2.4744769999999998</v>
      </c>
      <c r="D68" s="9">
        <v>2.2198329999999999</v>
      </c>
      <c r="E68" s="9">
        <v>2.2304560000000002</v>
      </c>
      <c r="F68" s="9">
        <v>2.3174990000000002</v>
      </c>
      <c r="I68" s="2">
        <f t="shared" ca="1" si="0"/>
        <v>3.771315</v>
      </c>
      <c r="J68" s="2">
        <f t="shared" ca="1" si="1"/>
        <v>3.2450600000000001</v>
      </c>
      <c r="K68" s="2">
        <f t="shared" ca="1" si="2"/>
        <v>2.7680660000000001</v>
      </c>
      <c r="L68" s="2">
        <f t="shared" ca="1" si="3"/>
        <v>2.3925700000000001</v>
      </c>
      <c r="M68" s="2">
        <f t="shared" ca="1" si="4"/>
        <v>2.0969060000000002</v>
      </c>
      <c r="N68" s="2">
        <f t="shared" ca="1" si="5"/>
        <v>1.858697</v>
      </c>
      <c r="O68" s="2">
        <f t="shared" ca="1" si="6"/>
        <v>1.6709290000000001</v>
      </c>
      <c r="P68" s="2">
        <f t="shared" ca="1" si="7"/>
        <v>1.554324</v>
      </c>
      <c r="Q68" s="2">
        <f t="shared" ca="1" si="8"/>
        <v>1.511811</v>
      </c>
      <c r="R68" s="2">
        <f t="shared" ca="1" si="9"/>
        <v>1.539671</v>
      </c>
      <c r="S68" s="2">
        <f t="shared" ca="1" si="10"/>
        <v>1.6385689999999999</v>
      </c>
      <c r="T68" s="2">
        <f t="shared" ca="1" si="11"/>
        <v>1.8138000000000001</v>
      </c>
      <c r="U68" s="2">
        <f t="shared" ca="1" si="12"/>
        <v>2.042125</v>
      </c>
      <c r="V68" s="2">
        <f t="shared" ca="1" si="13"/>
        <v>2.3216869999999998</v>
      </c>
      <c r="W68" s="2">
        <f t="shared" ca="1" si="14"/>
        <v>2.674928</v>
      </c>
      <c r="X68" s="2">
        <f t="shared" ca="1" si="15"/>
        <v>3.1286520000000002</v>
      </c>
      <c r="Y68" s="2">
        <f t="shared" ca="1" si="16"/>
        <v>3.6454650000000002</v>
      </c>
    </row>
    <row r="69" spans="2:25" x14ac:dyDescent="0.3">
      <c r="B69" s="6">
        <v>66</v>
      </c>
      <c r="C69" s="9">
        <v>2.9189880000000001</v>
      </c>
      <c r="D69" s="9">
        <v>2.5996980000000001</v>
      </c>
      <c r="E69" s="9">
        <v>2.6105230000000001</v>
      </c>
      <c r="F69" s="9">
        <v>2.7138100000000001</v>
      </c>
      <c r="I69" s="2">
        <f t="shared" ca="1" si="0"/>
        <v>4.0500100000000003</v>
      </c>
      <c r="J69" s="2">
        <f t="shared" ca="1" si="1"/>
        <v>3.5499290000000001</v>
      </c>
      <c r="K69" s="2">
        <f t="shared" ca="1" si="2"/>
        <v>3.0832079999999999</v>
      </c>
      <c r="L69" s="2">
        <f t="shared" ca="1" si="3"/>
        <v>2.6848380000000001</v>
      </c>
      <c r="M69" s="2">
        <f t="shared" ca="1" si="4"/>
        <v>2.381767</v>
      </c>
      <c r="N69" s="2">
        <f t="shared" ca="1" si="5"/>
        <v>2.1538460000000001</v>
      </c>
      <c r="O69" s="2">
        <f t="shared" ca="1" si="6"/>
        <v>1.9894499999999999</v>
      </c>
      <c r="P69" s="2">
        <f t="shared" ca="1" si="7"/>
        <v>1.8783350000000001</v>
      </c>
      <c r="Q69" s="2">
        <f t="shared" ca="1" si="8"/>
        <v>1.8374379999999999</v>
      </c>
      <c r="R69" s="2">
        <f t="shared" ca="1" si="9"/>
        <v>1.865666</v>
      </c>
      <c r="S69" s="2">
        <f t="shared" ca="1" si="10"/>
        <v>1.960812</v>
      </c>
      <c r="T69" s="2">
        <f t="shared" ca="1" si="11"/>
        <v>2.1164399999999999</v>
      </c>
      <c r="U69" s="2">
        <f t="shared" ca="1" si="12"/>
        <v>2.3273630000000001</v>
      </c>
      <c r="V69" s="2">
        <f t="shared" ca="1" si="13"/>
        <v>2.6132949999999999</v>
      </c>
      <c r="W69" s="2">
        <f t="shared" ca="1" si="14"/>
        <v>2.9919120000000001</v>
      </c>
      <c r="X69" s="2">
        <f t="shared" ca="1" si="15"/>
        <v>3.4412020000000001</v>
      </c>
      <c r="Y69" s="2">
        <f t="shared" ca="1" si="16"/>
        <v>3.9206850000000002</v>
      </c>
    </row>
    <row r="70" spans="2:25" x14ac:dyDescent="0.3">
      <c r="B70" s="6">
        <v>67</v>
      </c>
      <c r="C70" s="9">
        <v>3.4519959999999998</v>
      </c>
      <c r="D70" s="9">
        <v>3.055393</v>
      </c>
      <c r="E70" s="9">
        <v>3.0671200000000001</v>
      </c>
      <c r="F70" s="9">
        <v>3.147338</v>
      </c>
      <c r="I70" s="3">
        <f t="shared" ca="1" si="0"/>
        <v>4.4412640000000003</v>
      </c>
      <c r="J70" s="2">
        <f t="shared" ca="1" si="1"/>
        <v>3.9124249999999998</v>
      </c>
      <c r="K70" s="2">
        <f t="shared" ca="1" si="2"/>
        <v>3.4669669999999999</v>
      </c>
      <c r="L70" s="2">
        <f t="shared" ca="1" si="3"/>
        <v>3.0699230000000002</v>
      </c>
      <c r="M70" s="2">
        <f t="shared" ca="1" si="4"/>
        <v>2.7346900000000001</v>
      </c>
      <c r="N70" s="2">
        <f t="shared" ca="1" si="5"/>
        <v>2.4982489999999999</v>
      </c>
      <c r="O70" s="2">
        <f t="shared" ca="1" si="6"/>
        <v>2.3330850000000001</v>
      </c>
      <c r="P70" s="2">
        <f t="shared" ca="1" si="7"/>
        <v>2.2352859999999999</v>
      </c>
      <c r="Q70" s="2">
        <f t="shared" ca="1" si="8"/>
        <v>2.2011539999999998</v>
      </c>
      <c r="R70" s="2">
        <f t="shared" ca="1" si="9"/>
        <v>2.227141</v>
      </c>
      <c r="S70" s="2">
        <f t="shared" ca="1" si="10"/>
        <v>2.3107660000000001</v>
      </c>
      <c r="T70" s="2">
        <f t="shared" ca="1" si="11"/>
        <v>2.4549449999999999</v>
      </c>
      <c r="U70" s="2">
        <f t="shared" ca="1" si="12"/>
        <v>2.6803430000000001</v>
      </c>
      <c r="V70" s="2">
        <f t="shared" ca="1" si="13"/>
        <v>2.9924650000000002</v>
      </c>
      <c r="W70" s="2">
        <f t="shared" ca="1" si="14"/>
        <v>3.3833880000000001</v>
      </c>
      <c r="X70" s="2">
        <f t="shared" ca="1" si="15"/>
        <v>3.8014199999999998</v>
      </c>
      <c r="Y70" s="3">
        <f t="shared" ca="1" si="16"/>
        <v>4.254867</v>
      </c>
    </row>
    <row r="71" spans="2:25" x14ac:dyDescent="0.3">
      <c r="B71" s="6">
        <v>68</v>
      </c>
      <c r="C71" s="9">
        <v>3.4107820000000002</v>
      </c>
      <c r="D71" s="9">
        <v>3.01952</v>
      </c>
      <c r="E71" s="9">
        <v>3.0332759999999999</v>
      </c>
      <c r="F71" s="9">
        <v>3.1998319999999998</v>
      </c>
    </row>
    <row r="72" spans="2:25" x14ac:dyDescent="0.3">
      <c r="B72" s="6">
        <v>69</v>
      </c>
      <c r="C72" s="9">
        <v>2.8439960000000002</v>
      </c>
      <c r="D72" s="9">
        <v>2.5143749999999998</v>
      </c>
      <c r="E72" s="9">
        <v>2.5242710000000002</v>
      </c>
      <c r="F72" s="9">
        <v>2.6456689999999998</v>
      </c>
      <c r="H72" t="s">
        <v>1</v>
      </c>
      <c r="I72" s="10">
        <f t="shared" ref="I72:I84" ca="1" si="17">INDIRECT("D"&amp;(17*ROW(1:1)+ROW($D$3)-19+IF(COLUMN(C:C)&gt;19,50000,COLUMN(C:C)-1)))</f>
        <v>4.1562780000000004</v>
      </c>
      <c r="J72" s="2">
        <f t="shared" ref="J72:J84" ca="1" si="18">INDIRECT("D"&amp;(17*ROW(1:1)+ROW($D$3)-19+IF(COLUMN(D:D)&gt;19,50000,COLUMN(D:D)-1)))</f>
        <v>3.5429560000000002</v>
      </c>
      <c r="K72" s="2">
        <f t="shared" ref="K72:K84" ca="1" si="19">INDIRECT("D"&amp;(17*ROW(1:1)+ROW($D$3)-19+IF(COLUMN(E:E)&gt;19,50000,COLUMN(E:E)-1)))</f>
        <v>3.1161919999999999</v>
      </c>
      <c r="L72" s="2">
        <f t="shared" ref="L72:L84" ca="1" si="20">INDIRECT("D"&amp;(17*ROW(1:1)+ROW($D$3)-19+IF(COLUMN(F:F)&gt;19,50000,COLUMN(F:F)-1)))</f>
        <v>2.752097</v>
      </c>
      <c r="M72" s="2">
        <f t="shared" ref="M72:M84" ca="1" si="21">INDIRECT("D"&amp;(17*ROW(1:1)+ROW($D$3)-19+IF(COLUMN(G:G)&gt;19,50000,COLUMN(G:G)-1)))</f>
        <v>2.4563549999999998</v>
      </c>
      <c r="N72" s="2">
        <f t="shared" ref="N72:N84" ca="1" si="22">INDIRECT("D"&amp;(17*ROW(1:1)+ROW($D$3)-19+IF(COLUMN(H:H)&gt;19,50000,COLUMN(H:H)-1)))</f>
        <v>2.2350919999999999</v>
      </c>
      <c r="O72" s="2">
        <f t="shared" ref="O72:O84" ca="1" si="23">INDIRECT("D"&amp;(17*ROW(1:1)+ROW($D$3)-19+IF(COLUMN(I:I)&gt;19,50000,COLUMN(I:I)-1)))</f>
        <v>2.1013169999999999</v>
      </c>
      <c r="P72" s="2">
        <f t="shared" ref="P72:P84" ca="1" si="24">INDIRECT("D"&amp;(17*ROW(1:1)+ROW($D$3)-19+IF(COLUMN(J:J)&gt;19,50000,COLUMN(J:J)-1)))</f>
        <v>2.0228969999999999</v>
      </c>
      <c r="Q72" s="2">
        <f t="shared" ref="Q72:Q84" ca="1" si="25">INDIRECT("D"&amp;(17*ROW(1:1)+ROW($D$3)-19+IF(COLUMN(K:K)&gt;19,50000,COLUMN(K:K)-1)))</f>
        <v>1.99501</v>
      </c>
      <c r="R72" s="2">
        <f t="shared" ref="R72:R84" ca="1" si="26">INDIRECT("D"&amp;(17*ROW(1:1)+ROW($D$3)-19+IF(COLUMN(L:L)&gt;19,50000,COLUMN(L:L)-1)))</f>
        <v>2.0195780000000001</v>
      </c>
      <c r="S72" s="2">
        <f t="shared" ref="S72:S84" ca="1" si="27">INDIRECT("D"&amp;(17*ROW(1:1)+ROW($D$3)-19+IF(COLUMN(M:M)&gt;19,50000,COLUMN(M:M)-1)))</f>
        <v>2.0904739999999999</v>
      </c>
      <c r="T72" s="2">
        <f t="shared" ref="T72:T84" ca="1" si="28">INDIRECT("D"&amp;(17*ROW(1:1)+ROW($D$3)-19+IF(COLUMN(N:N)&gt;19,50000,COLUMN(N:N)-1)))</f>
        <v>2.2136960000000001</v>
      </c>
      <c r="U72" s="2">
        <f t="shared" ref="U72:U84" ca="1" si="29">INDIRECT("D"&amp;(17*ROW(1:1)+ROW($D$3)-19+IF(COLUMN(O:O)&gt;19,50000,COLUMN(O:O)-1)))</f>
        <v>2.415788</v>
      </c>
      <c r="V72" s="2">
        <f t="shared" ref="V72:V84" ca="1" si="30">INDIRECT("D"&amp;(17*ROW(1:1)+ROW($D$3)-19+IF(COLUMN(P:P)&gt;19,50000,COLUMN(P:P)-1)))</f>
        <v>2.704987</v>
      </c>
      <c r="W72" s="2">
        <f t="shared" ref="W72:W84" ca="1" si="31">INDIRECT("D"&amp;(17*ROW(1:1)+ROW($D$3)-19+IF(COLUMN(Q:Q)&gt;19,50000,COLUMN(Q:Q)-1)))</f>
        <v>3.0580310000000002</v>
      </c>
      <c r="X72" s="2">
        <f t="shared" ref="X72:X84" ca="1" si="32">INDIRECT("D"&amp;(17*ROW(1:1)+ROW($D$3)-19+IF(COLUMN(R:R)&gt;19,50000,COLUMN(R:R)-1)))</f>
        <v>3.4586190000000001</v>
      </c>
      <c r="Y72" s="10">
        <f t="shared" ref="Y72:Y84" ca="1" si="33">INDIRECT("D"&amp;(17*ROW(1:1)+ROW($D$3)-19+IF(COLUMN(S:S)&gt;19,50000,COLUMN(S:S)-1)))</f>
        <v>3.9091360000000002</v>
      </c>
    </row>
    <row r="73" spans="2:25" x14ac:dyDescent="0.3">
      <c r="B73" s="6">
        <v>70</v>
      </c>
      <c r="C73" s="9">
        <v>2.3884539999999999</v>
      </c>
      <c r="D73" s="9">
        <v>2.1304989999999999</v>
      </c>
      <c r="E73" s="9">
        <v>2.140304</v>
      </c>
      <c r="F73" s="9">
        <v>2.2364139999999999</v>
      </c>
      <c r="I73" s="2">
        <f t="shared" ca="1" si="17"/>
        <v>3.728961</v>
      </c>
      <c r="J73" s="2">
        <f t="shared" ca="1" si="18"/>
        <v>3.2088190000000001</v>
      </c>
      <c r="K73" s="2">
        <f t="shared" ca="1" si="19"/>
        <v>2.7821940000000001</v>
      </c>
      <c r="L73" s="2">
        <f t="shared" ca="1" si="20"/>
        <v>2.4275769999999999</v>
      </c>
      <c r="M73" s="2">
        <f t="shared" ca="1" si="21"/>
        <v>2.1655549999999999</v>
      </c>
      <c r="N73" s="2">
        <f t="shared" ca="1" si="22"/>
        <v>1.974586</v>
      </c>
      <c r="O73" s="2">
        <f t="shared" ca="1" si="23"/>
        <v>1.8403400000000001</v>
      </c>
      <c r="P73" s="2">
        <f t="shared" ca="1" si="24"/>
        <v>1.752729</v>
      </c>
      <c r="Q73" s="2">
        <f t="shared" ca="1" si="25"/>
        <v>1.7198260000000001</v>
      </c>
      <c r="R73" s="2">
        <f t="shared" ca="1" si="26"/>
        <v>1.7454689999999999</v>
      </c>
      <c r="S73" s="2">
        <f t="shared" ca="1" si="27"/>
        <v>1.823499</v>
      </c>
      <c r="T73" s="2">
        <f t="shared" ca="1" si="28"/>
        <v>1.95455</v>
      </c>
      <c r="U73" s="2">
        <f t="shared" ca="1" si="29"/>
        <v>2.1337079999999999</v>
      </c>
      <c r="V73" s="2">
        <f t="shared" ca="1" si="30"/>
        <v>2.3835419999999998</v>
      </c>
      <c r="W73" s="2">
        <f t="shared" ca="1" si="31"/>
        <v>2.7229230000000002</v>
      </c>
      <c r="X73" s="2">
        <f t="shared" ca="1" si="32"/>
        <v>3.130865</v>
      </c>
      <c r="Y73" s="2">
        <f t="shared" ca="1" si="33"/>
        <v>3.5722649999999998</v>
      </c>
    </row>
    <row r="74" spans="2:25" x14ac:dyDescent="0.3">
      <c r="B74" s="6">
        <v>71</v>
      </c>
      <c r="C74" s="9">
        <v>2.0204279999999999</v>
      </c>
      <c r="D74" s="9">
        <v>1.8392599999999999</v>
      </c>
      <c r="E74" s="9">
        <v>1.848371</v>
      </c>
      <c r="F74" s="9">
        <v>1.925503</v>
      </c>
      <c r="I74" s="2">
        <f t="shared" ca="1" si="17"/>
        <v>3.4261210000000002</v>
      </c>
      <c r="J74" s="2">
        <f t="shared" ca="1" si="18"/>
        <v>2.9157829999999998</v>
      </c>
      <c r="K74" s="2">
        <f t="shared" ca="1" si="19"/>
        <v>2.4888840000000001</v>
      </c>
      <c r="L74" s="2">
        <f t="shared" ca="1" si="20"/>
        <v>2.1626259999999999</v>
      </c>
      <c r="M74" s="2">
        <f t="shared" ca="1" si="21"/>
        <v>1.927406</v>
      </c>
      <c r="N74" s="2">
        <f t="shared" ca="1" si="22"/>
        <v>1.734666</v>
      </c>
      <c r="O74" s="2">
        <f t="shared" ca="1" si="23"/>
        <v>1.5864940000000001</v>
      </c>
      <c r="P74" s="2">
        <f t="shared" ca="1" si="24"/>
        <v>1.48875</v>
      </c>
      <c r="Q74" s="2">
        <f t="shared" ca="1" si="25"/>
        <v>1.4547239999999999</v>
      </c>
      <c r="R74" s="2">
        <f t="shared" ca="1" si="26"/>
        <v>1.4804850000000001</v>
      </c>
      <c r="S74" s="2">
        <f t="shared" ca="1" si="27"/>
        <v>1.56589</v>
      </c>
      <c r="T74" s="2">
        <f t="shared" ca="1" si="28"/>
        <v>1.7102820000000001</v>
      </c>
      <c r="U74" s="2">
        <f t="shared" ca="1" si="29"/>
        <v>1.8948400000000001</v>
      </c>
      <c r="V74" s="2">
        <f t="shared" ca="1" si="30"/>
        <v>2.1227719999999999</v>
      </c>
      <c r="W74" s="2">
        <f t="shared" ca="1" si="31"/>
        <v>2.4287399999999999</v>
      </c>
      <c r="X74" s="2">
        <f t="shared" ca="1" si="32"/>
        <v>2.833631</v>
      </c>
      <c r="Y74" s="2">
        <f t="shared" ca="1" si="33"/>
        <v>3.2859419999999999</v>
      </c>
    </row>
    <row r="75" spans="2:25" x14ac:dyDescent="0.3">
      <c r="B75" s="6">
        <v>72</v>
      </c>
      <c r="C75" s="9">
        <v>1.6940740000000001</v>
      </c>
      <c r="D75" s="9">
        <v>1.5859490000000001</v>
      </c>
      <c r="E75" s="9">
        <v>1.5936269999999999</v>
      </c>
      <c r="F75" s="9">
        <v>1.6538600000000001</v>
      </c>
      <c r="I75" s="2">
        <f t="shared" ca="1" si="17"/>
        <v>3.1954199999999999</v>
      </c>
      <c r="J75" s="2">
        <f t="shared" ca="1" si="18"/>
        <v>2.68</v>
      </c>
      <c r="K75" s="2">
        <f t="shared" ca="1" si="19"/>
        <v>2.2735609999999999</v>
      </c>
      <c r="L75" s="2">
        <f t="shared" ca="1" si="20"/>
        <v>1.97319</v>
      </c>
      <c r="M75" s="2">
        <f t="shared" ca="1" si="21"/>
        <v>1.7333890000000001</v>
      </c>
      <c r="N75" s="2">
        <f t="shared" ca="1" si="22"/>
        <v>1.526705</v>
      </c>
      <c r="O75" s="2">
        <f t="shared" ca="1" si="23"/>
        <v>1.37487</v>
      </c>
      <c r="P75" s="2">
        <f t="shared" ca="1" si="24"/>
        <v>1.2820659999999999</v>
      </c>
      <c r="Q75" s="2">
        <f t="shared" ca="1" si="25"/>
        <v>1.2501899999999999</v>
      </c>
      <c r="R75" s="2">
        <f t="shared" ca="1" si="26"/>
        <v>1.272734</v>
      </c>
      <c r="S75" s="2">
        <f t="shared" ca="1" si="27"/>
        <v>1.355585</v>
      </c>
      <c r="T75" s="2">
        <f t="shared" ca="1" si="28"/>
        <v>1.497655</v>
      </c>
      <c r="U75" s="2">
        <f t="shared" ca="1" si="29"/>
        <v>1.699225</v>
      </c>
      <c r="V75" s="2">
        <f t="shared" ca="1" si="30"/>
        <v>1.936328</v>
      </c>
      <c r="W75" s="2">
        <f t="shared" ca="1" si="31"/>
        <v>2.2198329999999999</v>
      </c>
      <c r="X75" s="2">
        <f t="shared" ca="1" si="32"/>
        <v>2.5996980000000001</v>
      </c>
      <c r="Y75" s="2">
        <f t="shared" ca="1" si="33"/>
        <v>3.055393</v>
      </c>
    </row>
    <row r="76" spans="2:25" x14ac:dyDescent="0.3">
      <c r="B76" s="6">
        <v>73</v>
      </c>
      <c r="C76" s="9">
        <v>1.4318900000000001</v>
      </c>
      <c r="D76" s="9">
        <v>1.3776520000000001</v>
      </c>
      <c r="E76" s="9">
        <v>1.3816120000000001</v>
      </c>
      <c r="F76" s="9">
        <v>1.4356450000000001</v>
      </c>
      <c r="I76" s="2">
        <f t="shared" ca="1" si="17"/>
        <v>3.01952</v>
      </c>
      <c r="J76" s="2">
        <f t="shared" ca="1" si="18"/>
        <v>2.5143749999999998</v>
      </c>
      <c r="K76" s="2">
        <f t="shared" ca="1" si="19"/>
        <v>2.1304989999999999</v>
      </c>
      <c r="L76" s="2">
        <f t="shared" ca="1" si="20"/>
        <v>1.8392599999999999</v>
      </c>
      <c r="M76" s="2">
        <f t="shared" ca="1" si="21"/>
        <v>1.5859490000000001</v>
      </c>
      <c r="N76" s="2">
        <f t="shared" ca="1" si="22"/>
        <v>1.3776520000000001</v>
      </c>
      <c r="O76" s="2">
        <f t="shared" ca="1" si="23"/>
        <v>1.2339059999999999</v>
      </c>
      <c r="P76" s="2">
        <f t="shared" ca="1" si="24"/>
        <v>1.1459999999999999</v>
      </c>
      <c r="Q76" s="2">
        <f t="shared" ca="1" si="25"/>
        <v>1.11412</v>
      </c>
      <c r="R76" s="2">
        <f t="shared" ca="1" si="26"/>
        <v>1.136039</v>
      </c>
      <c r="S76" s="2">
        <f t="shared" ca="1" si="27"/>
        <v>1.2129270000000001</v>
      </c>
      <c r="T76" s="2">
        <f t="shared" ca="1" si="28"/>
        <v>1.3463890000000001</v>
      </c>
      <c r="U76" s="2">
        <f t="shared" ca="1" si="29"/>
        <v>1.5457780000000001</v>
      </c>
      <c r="V76" s="2">
        <f t="shared" ca="1" si="30"/>
        <v>1.7994559999999999</v>
      </c>
      <c r="W76" s="2">
        <f t="shared" ca="1" si="31"/>
        <v>2.0787</v>
      </c>
      <c r="X76" s="2">
        <f t="shared" ca="1" si="32"/>
        <v>2.4351669999999999</v>
      </c>
      <c r="Y76" s="2">
        <f t="shared" ca="1" si="33"/>
        <v>2.8818380000000001</v>
      </c>
    </row>
    <row r="77" spans="2:25" x14ac:dyDescent="0.3">
      <c r="B77" s="6">
        <v>74</v>
      </c>
      <c r="C77" s="9">
        <v>1.2576689999999999</v>
      </c>
      <c r="D77" s="9">
        <v>1.2339059999999999</v>
      </c>
      <c r="E77" s="9">
        <v>1.237144</v>
      </c>
      <c r="F77" s="9">
        <v>1.287552</v>
      </c>
      <c r="I77" s="2">
        <f t="shared" ca="1" si="17"/>
        <v>2.9042159999999999</v>
      </c>
      <c r="J77" s="2">
        <f t="shared" ca="1" si="18"/>
        <v>2.415511</v>
      </c>
      <c r="K77" s="2">
        <f t="shared" ca="1" si="19"/>
        <v>2.0481699999999998</v>
      </c>
      <c r="L77" s="2">
        <f t="shared" ca="1" si="20"/>
        <v>1.7547759999999999</v>
      </c>
      <c r="M77" s="2">
        <f t="shared" ca="1" si="21"/>
        <v>1.4931289999999999</v>
      </c>
      <c r="N77" s="2">
        <f t="shared" ca="1" si="22"/>
        <v>1.290109</v>
      </c>
      <c r="O77" s="2">
        <f t="shared" ca="1" si="23"/>
        <v>1.1519969999999999</v>
      </c>
      <c r="P77" s="2">
        <f t="shared" ca="1" si="24"/>
        <v>1.064425</v>
      </c>
      <c r="Q77" s="2">
        <f t="shared" ca="1" si="25"/>
        <v>1.0330330000000001</v>
      </c>
      <c r="R77" s="2">
        <f t="shared" ca="1" si="26"/>
        <v>1.0552010000000001</v>
      </c>
      <c r="S77" s="2">
        <f t="shared" ca="1" si="27"/>
        <v>1.129132</v>
      </c>
      <c r="T77" s="2">
        <f t="shared" ca="1" si="28"/>
        <v>1.258351</v>
      </c>
      <c r="U77" s="2">
        <f t="shared" ca="1" si="29"/>
        <v>1.454026</v>
      </c>
      <c r="V77" s="2">
        <f t="shared" ca="1" si="30"/>
        <v>1.711096</v>
      </c>
      <c r="W77" s="2">
        <f t="shared" ca="1" si="31"/>
        <v>1.9948950000000001</v>
      </c>
      <c r="X77" s="2">
        <f t="shared" ca="1" si="32"/>
        <v>2.340033</v>
      </c>
      <c r="Y77" s="2">
        <f t="shared" ca="1" si="33"/>
        <v>2.7678280000000002</v>
      </c>
    </row>
    <row r="78" spans="2:25" x14ac:dyDescent="0.3">
      <c r="B78" s="6">
        <v>75</v>
      </c>
      <c r="C78" s="9">
        <v>1.1582349999999999</v>
      </c>
      <c r="D78" s="9">
        <v>1.1459999999999999</v>
      </c>
      <c r="E78" s="9">
        <v>1.150463</v>
      </c>
      <c r="F78" s="9">
        <v>1.1942969999999999</v>
      </c>
      <c r="I78" s="2">
        <f t="shared" ca="1" si="17"/>
        <v>2.865167</v>
      </c>
      <c r="J78" s="2">
        <f t="shared" ca="1" si="18"/>
        <v>2.3816220000000001</v>
      </c>
      <c r="K78" s="2">
        <f t="shared" ca="1" si="19"/>
        <v>2.018357</v>
      </c>
      <c r="L78" s="2">
        <f t="shared" ca="1" si="20"/>
        <v>1.723624</v>
      </c>
      <c r="M78" s="2">
        <f t="shared" ca="1" si="21"/>
        <v>1.461303</v>
      </c>
      <c r="N78" s="2">
        <f t="shared" ca="1" si="22"/>
        <v>1.258262</v>
      </c>
      <c r="O78" s="2">
        <f t="shared" ca="1" si="23"/>
        <v>1.1212869999999999</v>
      </c>
      <c r="P78" s="2">
        <f t="shared" ca="1" si="24"/>
        <v>1.0349999999999999</v>
      </c>
      <c r="Q78" s="2">
        <f t="shared" ca="1" si="25"/>
        <v>1.005979</v>
      </c>
      <c r="R78" s="2">
        <f t="shared" ca="1" si="26"/>
        <v>1.0272859999999999</v>
      </c>
      <c r="S78" s="2">
        <f t="shared" ca="1" si="27"/>
        <v>1.100384</v>
      </c>
      <c r="T78" s="2">
        <f t="shared" ca="1" si="28"/>
        <v>1.226591</v>
      </c>
      <c r="U78" s="2">
        <f t="shared" ca="1" si="29"/>
        <v>1.41659</v>
      </c>
      <c r="V78" s="2">
        <f t="shared" ca="1" si="30"/>
        <v>1.674984</v>
      </c>
      <c r="W78" s="2">
        <f t="shared" ca="1" si="31"/>
        <v>1.961805</v>
      </c>
      <c r="X78" s="2">
        <f t="shared" ca="1" si="32"/>
        <v>2.300827</v>
      </c>
      <c r="Y78" s="2">
        <f t="shared" ca="1" si="33"/>
        <v>2.7279629999999999</v>
      </c>
    </row>
    <row r="79" spans="2:25" x14ac:dyDescent="0.3">
      <c r="B79" s="6">
        <v>76</v>
      </c>
      <c r="C79" s="9">
        <v>1.1206210000000001</v>
      </c>
      <c r="D79" s="9">
        <v>1.11412</v>
      </c>
      <c r="E79" s="9">
        <v>1.1193789999999999</v>
      </c>
      <c r="F79" s="9">
        <v>1.1618269999999999</v>
      </c>
      <c r="I79" s="2">
        <f t="shared" ca="1" si="17"/>
        <v>2.8898389999999998</v>
      </c>
      <c r="J79" s="2">
        <f t="shared" ca="1" si="18"/>
        <v>2.4090560000000001</v>
      </c>
      <c r="K79" s="2">
        <f t="shared" ca="1" si="19"/>
        <v>2.0425070000000001</v>
      </c>
      <c r="L79" s="2">
        <f t="shared" ca="1" si="20"/>
        <v>1.751995</v>
      </c>
      <c r="M79" s="2">
        <f t="shared" ca="1" si="21"/>
        <v>1.4897290000000001</v>
      </c>
      <c r="N79" s="2">
        <f t="shared" ca="1" si="22"/>
        <v>1.286089</v>
      </c>
      <c r="O79" s="2">
        <f t="shared" ca="1" si="23"/>
        <v>1.1482429999999999</v>
      </c>
      <c r="P79" s="2">
        <f t="shared" ca="1" si="24"/>
        <v>1.0626869999999999</v>
      </c>
      <c r="Q79" s="2">
        <f t="shared" ca="1" si="25"/>
        <v>1.03247</v>
      </c>
      <c r="R79" s="2">
        <f t="shared" ca="1" si="26"/>
        <v>1.054942</v>
      </c>
      <c r="S79" s="2">
        <f t="shared" ca="1" si="27"/>
        <v>1.126957</v>
      </c>
      <c r="T79" s="2">
        <f t="shared" ca="1" si="28"/>
        <v>1.252726</v>
      </c>
      <c r="U79" s="2">
        <f t="shared" ca="1" si="29"/>
        <v>1.444866</v>
      </c>
      <c r="V79" s="2">
        <f t="shared" ca="1" si="30"/>
        <v>1.701592</v>
      </c>
      <c r="W79" s="2">
        <f t="shared" ca="1" si="31"/>
        <v>1.9840690000000001</v>
      </c>
      <c r="X79" s="2">
        <f t="shared" ca="1" si="32"/>
        <v>2.3241269999999998</v>
      </c>
      <c r="Y79" s="2">
        <f t="shared" ca="1" si="33"/>
        <v>2.7541549999999999</v>
      </c>
    </row>
    <row r="80" spans="2:25" x14ac:dyDescent="0.3">
      <c r="B80" s="6">
        <v>77</v>
      </c>
      <c r="C80" s="9">
        <v>1.1451150000000001</v>
      </c>
      <c r="D80" s="9">
        <v>1.136039</v>
      </c>
      <c r="E80" s="9">
        <v>1.14171</v>
      </c>
      <c r="F80" s="9">
        <v>1.1805239999999999</v>
      </c>
      <c r="I80" s="2">
        <f t="shared" ca="1" si="17"/>
        <v>2.9809969999999999</v>
      </c>
      <c r="J80" s="2">
        <f t="shared" ca="1" si="18"/>
        <v>2.4983590000000002</v>
      </c>
      <c r="K80" s="2">
        <f t="shared" ca="1" si="19"/>
        <v>2.1179950000000001</v>
      </c>
      <c r="L80" s="2">
        <f t="shared" ca="1" si="20"/>
        <v>1.82985</v>
      </c>
      <c r="M80" s="2">
        <f t="shared" ca="1" si="21"/>
        <v>1.579391</v>
      </c>
      <c r="N80" s="2">
        <f t="shared" ca="1" si="22"/>
        <v>1.370139</v>
      </c>
      <c r="O80" s="2">
        <f t="shared" ca="1" si="23"/>
        <v>1.227887</v>
      </c>
      <c r="P80" s="2">
        <f t="shared" ca="1" si="24"/>
        <v>1.139832</v>
      </c>
      <c r="Q80" s="2">
        <f t="shared" ca="1" si="25"/>
        <v>1.109413</v>
      </c>
      <c r="R80" s="2">
        <f t="shared" ca="1" si="26"/>
        <v>1.131572</v>
      </c>
      <c r="S80" s="2">
        <f t="shared" ca="1" si="27"/>
        <v>1.204758</v>
      </c>
      <c r="T80" s="2">
        <f t="shared" ca="1" si="28"/>
        <v>1.336883</v>
      </c>
      <c r="U80" s="2">
        <f t="shared" ca="1" si="29"/>
        <v>1.533641</v>
      </c>
      <c r="V80" s="2">
        <f t="shared" ca="1" si="30"/>
        <v>1.7821769999999999</v>
      </c>
      <c r="W80" s="2">
        <f t="shared" ca="1" si="31"/>
        <v>2.0566170000000001</v>
      </c>
      <c r="X80" s="2">
        <f t="shared" ca="1" si="32"/>
        <v>2.408849</v>
      </c>
      <c r="Y80" s="2">
        <f t="shared" ca="1" si="33"/>
        <v>2.8480259999999999</v>
      </c>
    </row>
    <row r="81" spans="2:25" x14ac:dyDescent="0.3">
      <c r="B81" s="6">
        <v>78</v>
      </c>
      <c r="C81" s="9">
        <v>1.2326999999999999</v>
      </c>
      <c r="D81" s="9">
        <v>1.2129270000000001</v>
      </c>
      <c r="E81" s="9">
        <v>1.2174210000000001</v>
      </c>
      <c r="F81" s="9">
        <v>1.2559290000000001</v>
      </c>
      <c r="I81" s="2">
        <f t="shared" ca="1" si="17"/>
        <v>3.1320610000000002</v>
      </c>
      <c r="J81" s="2">
        <f t="shared" ca="1" si="18"/>
        <v>2.6549559999999999</v>
      </c>
      <c r="K81" s="2">
        <f t="shared" ca="1" si="19"/>
        <v>2.251023</v>
      </c>
      <c r="L81" s="2">
        <f t="shared" ca="1" si="20"/>
        <v>1.958888</v>
      </c>
      <c r="M81" s="2">
        <f t="shared" ca="1" si="21"/>
        <v>1.7215149999999999</v>
      </c>
      <c r="N81" s="2">
        <f t="shared" ca="1" si="22"/>
        <v>1.515935</v>
      </c>
      <c r="O81" s="2">
        <f t="shared" ca="1" si="23"/>
        <v>1.364547</v>
      </c>
      <c r="P81" s="2">
        <f t="shared" ca="1" si="24"/>
        <v>1.271606</v>
      </c>
      <c r="Q81" s="2">
        <f t="shared" ca="1" si="25"/>
        <v>1.239414</v>
      </c>
      <c r="R81" s="2">
        <f t="shared" ca="1" si="26"/>
        <v>1.260796</v>
      </c>
      <c r="S81" s="2">
        <f t="shared" ca="1" si="27"/>
        <v>1.3407180000000001</v>
      </c>
      <c r="T81" s="2">
        <f t="shared" ca="1" si="28"/>
        <v>1.4802759999999999</v>
      </c>
      <c r="U81" s="2">
        <f t="shared" ca="1" si="29"/>
        <v>1.6797629999999999</v>
      </c>
      <c r="V81" s="2">
        <f t="shared" ca="1" si="30"/>
        <v>1.909505</v>
      </c>
      <c r="W81" s="2">
        <f t="shared" ca="1" si="31"/>
        <v>2.183503</v>
      </c>
      <c r="X81" s="2">
        <f t="shared" ca="1" si="32"/>
        <v>2.5559059999999998</v>
      </c>
      <c r="Y81" s="2">
        <f t="shared" ca="1" si="33"/>
        <v>3.0043440000000001</v>
      </c>
    </row>
    <row r="82" spans="2:25" x14ac:dyDescent="0.3">
      <c r="B82" s="6">
        <v>79</v>
      </c>
      <c r="C82" s="9">
        <v>1.3906620000000001</v>
      </c>
      <c r="D82" s="9">
        <v>1.3463890000000001</v>
      </c>
      <c r="E82" s="9">
        <v>1.350481</v>
      </c>
      <c r="F82" s="9">
        <v>1.3940870000000001</v>
      </c>
      <c r="I82" s="2">
        <f t="shared" ca="1" si="17"/>
        <v>3.344411</v>
      </c>
      <c r="J82" s="2">
        <f t="shared" ca="1" si="18"/>
        <v>2.8778380000000001</v>
      </c>
      <c r="K82" s="2">
        <f t="shared" ca="1" si="19"/>
        <v>2.455635</v>
      </c>
      <c r="L82" s="2">
        <f t="shared" ca="1" si="20"/>
        <v>2.1398549999999998</v>
      </c>
      <c r="M82" s="2">
        <f t="shared" ca="1" si="21"/>
        <v>1.9086939999999999</v>
      </c>
      <c r="N82" s="2">
        <f t="shared" ca="1" si="22"/>
        <v>1.7209460000000001</v>
      </c>
      <c r="O82" s="2">
        <f t="shared" ca="1" si="23"/>
        <v>1.5685830000000001</v>
      </c>
      <c r="P82" s="2">
        <f t="shared" ca="1" si="24"/>
        <v>1.4720979999999999</v>
      </c>
      <c r="Q82" s="2">
        <f t="shared" ca="1" si="25"/>
        <v>1.436958</v>
      </c>
      <c r="R82" s="2">
        <f t="shared" ca="1" si="26"/>
        <v>1.4590559999999999</v>
      </c>
      <c r="S82" s="2">
        <f t="shared" ca="1" si="27"/>
        <v>1.542618</v>
      </c>
      <c r="T82" s="2">
        <f t="shared" ca="1" si="28"/>
        <v>1.684906</v>
      </c>
      <c r="U82" s="2">
        <f t="shared" ca="1" si="29"/>
        <v>1.8679829999999999</v>
      </c>
      <c r="V82" s="2">
        <f t="shared" ca="1" si="30"/>
        <v>2.0846520000000002</v>
      </c>
      <c r="W82" s="2">
        <f t="shared" ca="1" si="31"/>
        <v>2.3828900000000002</v>
      </c>
      <c r="X82" s="2">
        <f t="shared" ca="1" si="32"/>
        <v>2.7777050000000001</v>
      </c>
      <c r="Y82" s="2">
        <f t="shared" ca="1" si="33"/>
        <v>3.2188979999999998</v>
      </c>
    </row>
    <row r="83" spans="2:25" x14ac:dyDescent="0.3">
      <c r="B83" s="6">
        <v>80</v>
      </c>
      <c r="C83" s="9">
        <v>1.6367620000000001</v>
      </c>
      <c r="D83" s="9">
        <v>1.5457780000000001</v>
      </c>
      <c r="E83" s="9">
        <v>1.5531109999999999</v>
      </c>
      <c r="F83" s="9">
        <v>1.600684</v>
      </c>
      <c r="I83" s="2">
        <f t="shared" ca="1" si="17"/>
        <v>3.6059540000000001</v>
      </c>
      <c r="J83" s="2">
        <f t="shared" ca="1" si="18"/>
        <v>3.1594899999999999</v>
      </c>
      <c r="K83" s="2">
        <f t="shared" ca="1" si="19"/>
        <v>2.7396509999999998</v>
      </c>
      <c r="L83" s="2">
        <f t="shared" ca="1" si="20"/>
        <v>2.394317</v>
      </c>
      <c r="M83" s="2">
        <f t="shared" ca="1" si="21"/>
        <v>2.1384820000000002</v>
      </c>
      <c r="N83" s="2">
        <f t="shared" ca="1" si="22"/>
        <v>1.953411</v>
      </c>
      <c r="O83" s="2">
        <f t="shared" ca="1" si="23"/>
        <v>1.820638</v>
      </c>
      <c r="P83" s="2">
        <f t="shared" ca="1" si="24"/>
        <v>1.7317739999999999</v>
      </c>
      <c r="Q83" s="2">
        <f t="shared" ca="1" si="25"/>
        <v>1.699624</v>
      </c>
      <c r="R83" s="2">
        <f t="shared" ca="1" si="26"/>
        <v>1.7196009999999999</v>
      </c>
      <c r="S83" s="2">
        <f t="shared" ca="1" si="27"/>
        <v>1.7985359999999999</v>
      </c>
      <c r="T83" s="2">
        <f t="shared" ca="1" si="28"/>
        <v>1.9253210000000001</v>
      </c>
      <c r="U83" s="2">
        <f t="shared" ca="1" si="29"/>
        <v>2.0952489999999999</v>
      </c>
      <c r="V83" s="2">
        <f t="shared" ca="1" si="30"/>
        <v>2.3359260000000002</v>
      </c>
      <c r="W83" s="2">
        <f t="shared" ca="1" si="31"/>
        <v>2.665451</v>
      </c>
      <c r="X83" s="2">
        <f t="shared" ca="1" si="32"/>
        <v>3.0609199999999999</v>
      </c>
      <c r="Y83" s="2">
        <f t="shared" ca="1" si="33"/>
        <v>3.4795120000000002</v>
      </c>
    </row>
    <row r="84" spans="2:25" x14ac:dyDescent="0.3">
      <c r="B84" s="6">
        <v>81</v>
      </c>
      <c r="C84" s="9">
        <v>1.956688</v>
      </c>
      <c r="D84" s="9">
        <v>1.7994559999999999</v>
      </c>
      <c r="E84" s="9">
        <v>1.80722</v>
      </c>
      <c r="F84" s="9">
        <v>1.8725099999999999</v>
      </c>
      <c r="I84" s="10">
        <f t="shared" ca="1" si="17"/>
        <v>3.9948739999999998</v>
      </c>
      <c r="J84" s="2">
        <f t="shared" ca="1" si="18"/>
        <v>3.5070670000000002</v>
      </c>
      <c r="K84" s="2">
        <f t="shared" ca="1" si="19"/>
        <v>3.1009139999999999</v>
      </c>
      <c r="L84" s="2">
        <f t="shared" ca="1" si="20"/>
        <v>2.7418580000000001</v>
      </c>
      <c r="M84" s="2">
        <f t="shared" ca="1" si="21"/>
        <v>2.4479639999999998</v>
      </c>
      <c r="N84" s="2">
        <f t="shared" ca="1" si="22"/>
        <v>2.2366839999999999</v>
      </c>
      <c r="O84" s="2">
        <f t="shared" ca="1" si="23"/>
        <v>2.1011160000000002</v>
      </c>
      <c r="P84" s="2">
        <f t="shared" ca="1" si="24"/>
        <v>2.021169</v>
      </c>
      <c r="Q84" s="2">
        <f t="shared" ca="1" si="25"/>
        <v>1.9938670000000001</v>
      </c>
      <c r="R84" s="2">
        <f t="shared" ca="1" si="26"/>
        <v>2.010062</v>
      </c>
      <c r="S84" s="2">
        <f t="shared" ca="1" si="27"/>
        <v>2.0807760000000002</v>
      </c>
      <c r="T84" s="2">
        <f t="shared" ca="1" si="28"/>
        <v>2.2010999999999998</v>
      </c>
      <c r="U84" s="2">
        <f t="shared" ca="1" si="29"/>
        <v>2.397113</v>
      </c>
      <c r="V84" s="2">
        <f t="shared" ca="1" si="30"/>
        <v>2.6779139999999999</v>
      </c>
      <c r="W84" s="2">
        <f t="shared" ca="1" si="31"/>
        <v>3.0229279999999998</v>
      </c>
      <c r="X84" s="2">
        <f t="shared" ca="1" si="32"/>
        <v>3.402981</v>
      </c>
      <c r="Y84" s="10">
        <f t="shared" ca="1" si="33"/>
        <v>3.8095509999999999</v>
      </c>
    </row>
    <row r="85" spans="2:25" x14ac:dyDescent="0.3">
      <c r="B85" s="6">
        <v>82</v>
      </c>
      <c r="C85" s="9">
        <v>2.3060100000000001</v>
      </c>
      <c r="D85" s="9">
        <v>2.0787</v>
      </c>
      <c r="E85" s="9">
        <v>2.0845410000000002</v>
      </c>
      <c r="F85" s="9">
        <v>2.1678679999999999</v>
      </c>
    </row>
    <row r="86" spans="2:25" x14ac:dyDescent="0.3">
      <c r="B86" s="6">
        <v>83</v>
      </c>
      <c r="C86" s="9">
        <v>2.7305250000000001</v>
      </c>
      <c r="D86" s="9">
        <v>2.4351669999999999</v>
      </c>
      <c r="E86" s="9">
        <v>2.4410099999999999</v>
      </c>
      <c r="F86" s="9">
        <v>2.5395219999999998</v>
      </c>
      <c r="H86" t="s">
        <v>2</v>
      </c>
      <c r="I86" s="11">
        <f t="shared" ref="I86:I98" ca="1" si="34">INDIRECT("E"&amp;(17*ROW(1:1)+ROW($E$3)-19+IF(COLUMN(C:C)&gt;19,50000,COLUMN(C:C)-1)))</f>
        <v>4.1744620000000001</v>
      </c>
      <c r="J86" s="2">
        <f t="shared" ref="J86:J98" ca="1" si="35">INDIRECT("E"&amp;(17*ROW(1:1)+ROW($E$3)-19+IF(COLUMN(D:D)&gt;19,50000,COLUMN(D:D)-1)))</f>
        <v>3.5664060000000002</v>
      </c>
      <c r="K86" s="2">
        <f t="shared" ref="K86:K98" ca="1" si="36">INDIRECT("E"&amp;(17*ROW(1:1)+ROW($E$3)-19+IF(COLUMN(E:E)&gt;19,50000,COLUMN(E:E)-1)))</f>
        <v>3.1275439999999999</v>
      </c>
      <c r="L86" s="2">
        <f t="shared" ref="L86:L98" ca="1" si="37">INDIRECT("E"&amp;(17*ROW(1:1)+ROW($E$3)-19+IF(COLUMN(F:F)&gt;19,50000,COLUMN(F:F)-1)))</f>
        <v>2.7573180000000002</v>
      </c>
      <c r="M86" s="2">
        <f t="shared" ref="M86:M98" ca="1" si="38">INDIRECT("E"&amp;(17*ROW(1:1)+ROW($E$3)-19+IF(COLUMN(G:G)&gt;19,50000,COLUMN(G:G)-1)))</f>
        <v>2.454224</v>
      </c>
      <c r="N86" s="2">
        <f t="shared" ref="N86:N98" ca="1" si="39">INDIRECT("E"&amp;(17*ROW(1:1)+ROW($E$3)-19+IF(COLUMN(H:H)&gt;19,50000,COLUMN(H:H)-1)))</f>
        <v>2.2357089999999999</v>
      </c>
      <c r="O86" s="2">
        <f t="shared" ref="O86:O98" ca="1" si="40">INDIRECT("E"&amp;(17*ROW(1:1)+ROW($E$3)-19+IF(COLUMN(I:I)&gt;19,50000,COLUMN(I:I)-1)))</f>
        <v>2.1017649999999999</v>
      </c>
      <c r="P86" s="2">
        <f t="shared" ref="P86:P98" ca="1" si="41">INDIRECT("E"&amp;(17*ROW(1:1)+ROW($E$3)-19+IF(COLUMN(J:J)&gt;19,50000,COLUMN(J:J)-1)))</f>
        <v>2.0248560000000002</v>
      </c>
      <c r="Q86" s="2">
        <f t="shared" ref="Q86:Q98" ca="1" si="42">INDIRECT("E"&amp;(17*ROW(1:1)+ROW($E$3)-19+IF(COLUMN(K:K)&gt;19,50000,COLUMN(K:K)-1)))</f>
        <v>1.9958899999999999</v>
      </c>
      <c r="R86" s="2">
        <f t="shared" ref="R86:R98" ca="1" si="43">INDIRECT("E"&amp;(17*ROW(1:1)+ROW($E$3)-19+IF(COLUMN(L:L)&gt;19,50000,COLUMN(L:L)-1)))</f>
        <v>2.02535</v>
      </c>
      <c r="S86" s="2">
        <f t="shared" ref="S86:S98" ca="1" si="44">INDIRECT("E"&amp;(17*ROW(1:1)+ROW($E$3)-19+IF(COLUMN(M:M)&gt;19,50000,COLUMN(M:M)-1)))</f>
        <v>2.0945749999999999</v>
      </c>
      <c r="T86" s="2">
        <f t="shared" ref="T86:T98" ca="1" si="45">INDIRECT("E"&amp;(17*ROW(1:1)+ROW($E$3)-19+IF(COLUMN(N:N)&gt;19,50000,COLUMN(N:N)-1)))</f>
        <v>2.2196250000000002</v>
      </c>
      <c r="U86" s="2">
        <f t="shared" ref="U86:U98" ca="1" si="46">INDIRECT("E"&amp;(17*ROW(1:1)+ROW($E$3)-19+IF(COLUMN(O:O)&gt;19,50000,COLUMN(O:O)-1)))</f>
        <v>2.4268519999999998</v>
      </c>
      <c r="V86" s="2">
        <f t="shared" ref="V86:V98" ca="1" si="47">INDIRECT("E"&amp;(17*ROW(1:1)+ROW($E$3)-19+IF(COLUMN(P:P)&gt;19,50000,COLUMN(P:P)-1)))</f>
        <v>2.713622</v>
      </c>
      <c r="W86" s="2">
        <f t="shared" ref="W86:W98" ca="1" si="48">INDIRECT("E"&amp;(17*ROW(1:1)+ROW($E$3)-19+IF(COLUMN(Q:Q)&gt;19,50000,COLUMN(Q:Q)-1)))</f>
        <v>3.0767989999999998</v>
      </c>
      <c r="X86" s="2">
        <f t="shared" ref="X86:X98" ca="1" si="49">INDIRECT("E"&amp;(17*ROW(1:1)+ROW($E$3)-19+IF(COLUMN(R:R)&gt;19,50000,COLUMN(R:R)-1)))</f>
        <v>3.481376</v>
      </c>
      <c r="Y86" s="11">
        <f t="shared" ref="Y86:Y98" ca="1" si="50">INDIRECT("E"&amp;(17*ROW(1:1)+ROW($E$3)-19+IF(COLUMN(S:S)&gt;19,50000,COLUMN(S:S)-1)))</f>
        <v>3.9449839999999998</v>
      </c>
    </row>
    <row r="87" spans="2:25" x14ac:dyDescent="0.3">
      <c r="B87" s="6">
        <v>84</v>
      </c>
      <c r="C87" s="9">
        <v>3.2584369999999998</v>
      </c>
      <c r="D87" s="9">
        <v>2.8818380000000001</v>
      </c>
      <c r="E87" s="9">
        <v>2.8850850000000001</v>
      </c>
      <c r="F87" s="9">
        <v>2.9728089999999998</v>
      </c>
      <c r="I87" s="2">
        <f t="shared" ca="1" si="34"/>
        <v>3.756246</v>
      </c>
      <c r="J87" s="2">
        <f t="shared" ca="1" si="35"/>
        <v>3.230423</v>
      </c>
      <c r="K87" s="2">
        <f t="shared" ca="1" si="36"/>
        <v>2.7971200000000001</v>
      </c>
      <c r="L87" s="2">
        <f t="shared" ca="1" si="37"/>
        <v>2.4379420000000001</v>
      </c>
      <c r="M87" s="2">
        <f t="shared" ca="1" si="38"/>
        <v>2.1680969999999999</v>
      </c>
      <c r="N87" s="2">
        <f t="shared" ca="1" si="39"/>
        <v>1.975684</v>
      </c>
      <c r="O87" s="2">
        <f t="shared" ca="1" si="40"/>
        <v>1.8401780000000001</v>
      </c>
      <c r="P87" s="2">
        <f t="shared" ca="1" si="41"/>
        <v>1.752769</v>
      </c>
      <c r="Q87" s="2">
        <f t="shared" ca="1" si="42"/>
        <v>1.719576</v>
      </c>
      <c r="R87" s="2">
        <f t="shared" ca="1" si="43"/>
        <v>1.7478689999999999</v>
      </c>
      <c r="S87" s="2">
        <f t="shared" ca="1" si="44"/>
        <v>1.827536</v>
      </c>
      <c r="T87" s="2">
        <f t="shared" ca="1" si="45"/>
        <v>1.957627</v>
      </c>
      <c r="U87" s="2">
        <f t="shared" ca="1" si="46"/>
        <v>2.1398269999999999</v>
      </c>
      <c r="V87" s="2">
        <f t="shared" ca="1" si="47"/>
        <v>2.393939</v>
      </c>
      <c r="W87" s="2">
        <f t="shared" ca="1" si="48"/>
        <v>2.7399680000000002</v>
      </c>
      <c r="X87" s="2">
        <f t="shared" ca="1" si="49"/>
        <v>3.1521819999999998</v>
      </c>
      <c r="Y87" s="2">
        <f t="shared" ca="1" si="50"/>
        <v>3.6012810000000002</v>
      </c>
    </row>
    <row r="88" spans="2:25" x14ac:dyDescent="0.3">
      <c r="B88" s="6">
        <v>85</v>
      </c>
      <c r="C88" s="9">
        <v>3.2901829999999999</v>
      </c>
      <c r="D88" s="9">
        <v>2.9042159999999999</v>
      </c>
      <c r="E88" s="9">
        <v>2.916696</v>
      </c>
      <c r="F88" s="9">
        <v>3.0836039999999998</v>
      </c>
      <c r="I88" s="2">
        <f t="shared" ca="1" si="34"/>
        <v>3.4532980000000002</v>
      </c>
      <c r="J88" s="2">
        <f t="shared" ca="1" si="35"/>
        <v>2.9377399999999998</v>
      </c>
      <c r="K88" s="2">
        <f t="shared" ca="1" si="36"/>
        <v>2.5053649999999998</v>
      </c>
      <c r="L88" s="2">
        <f t="shared" ca="1" si="37"/>
        <v>2.1751019999999999</v>
      </c>
      <c r="M88" s="2">
        <f t="shared" ca="1" si="38"/>
        <v>1.9341539999999999</v>
      </c>
      <c r="N88" s="2">
        <f t="shared" ca="1" si="39"/>
        <v>1.737894</v>
      </c>
      <c r="O88" s="2">
        <f t="shared" ca="1" si="40"/>
        <v>1.587467</v>
      </c>
      <c r="P88" s="2">
        <f t="shared" ca="1" si="41"/>
        <v>1.490065</v>
      </c>
      <c r="Q88" s="2">
        <f t="shared" ca="1" si="42"/>
        <v>1.4565669999999999</v>
      </c>
      <c r="R88" s="2">
        <f t="shared" ca="1" si="43"/>
        <v>1.483425</v>
      </c>
      <c r="S88" s="2">
        <f t="shared" ca="1" si="44"/>
        <v>1.5698810000000001</v>
      </c>
      <c r="T88" s="2">
        <f t="shared" ca="1" si="45"/>
        <v>1.715257</v>
      </c>
      <c r="U88" s="2">
        <f t="shared" ca="1" si="46"/>
        <v>1.904285</v>
      </c>
      <c r="V88" s="2">
        <f t="shared" ca="1" si="47"/>
        <v>2.1359720000000002</v>
      </c>
      <c r="W88" s="2">
        <f t="shared" ca="1" si="48"/>
        <v>2.4460649999999999</v>
      </c>
      <c r="X88" s="2">
        <f t="shared" ca="1" si="49"/>
        <v>2.851817</v>
      </c>
      <c r="Y88" s="2">
        <f t="shared" ca="1" si="50"/>
        <v>3.3071640000000002</v>
      </c>
    </row>
    <row r="89" spans="2:25" x14ac:dyDescent="0.3">
      <c r="B89" s="6">
        <v>86</v>
      </c>
      <c r="C89" s="9">
        <v>2.7321430000000002</v>
      </c>
      <c r="D89" s="9">
        <v>2.415511</v>
      </c>
      <c r="E89" s="9">
        <v>2.4229289999999999</v>
      </c>
      <c r="F89" s="9">
        <v>2.5423770000000001</v>
      </c>
      <c r="I89" s="2">
        <f t="shared" ca="1" si="34"/>
        <v>3.2176439999999999</v>
      </c>
      <c r="J89" s="2">
        <f t="shared" ca="1" si="35"/>
        <v>2.6965370000000002</v>
      </c>
      <c r="K89" s="2">
        <f t="shared" ca="1" si="36"/>
        <v>2.2879710000000002</v>
      </c>
      <c r="L89" s="2">
        <f t="shared" ca="1" si="37"/>
        <v>1.985449</v>
      </c>
      <c r="M89" s="2">
        <f t="shared" ca="1" si="38"/>
        <v>1.7433670000000001</v>
      </c>
      <c r="N89" s="2">
        <f t="shared" ca="1" si="39"/>
        <v>1.532529</v>
      </c>
      <c r="O89" s="2">
        <f t="shared" ca="1" si="40"/>
        <v>1.37835</v>
      </c>
      <c r="P89" s="2">
        <f t="shared" ca="1" si="41"/>
        <v>1.286384</v>
      </c>
      <c r="Q89" s="2">
        <f t="shared" ca="1" si="42"/>
        <v>1.25451</v>
      </c>
      <c r="R89" s="2">
        <f t="shared" ca="1" si="43"/>
        <v>1.278597</v>
      </c>
      <c r="S89" s="2">
        <f t="shared" ca="1" si="44"/>
        <v>1.3606259999999999</v>
      </c>
      <c r="T89" s="2">
        <f t="shared" ca="1" si="45"/>
        <v>1.5046679999999999</v>
      </c>
      <c r="U89" s="2">
        <f t="shared" ca="1" si="46"/>
        <v>1.708939</v>
      </c>
      <c r="V89" s="2">
        <f t="shared" ca="1" si="47"/>
        <v>1.947646</v>
      </c>
      <c r="W89" s="2">
        <f t="shared" ca="1" si="48"/>
        <v>2.2304560000000002</v>
      </c>
      <c r="X89" s="2">
        <f t="shared" ca="1" si="49"/>
        <v>2.6105230000000001</v>
      </c>
      <c r="Y89" s="2">
        <f t="shared" ca="1" si="50"/>
        <v>3.0671200000000001</v>
      </c>
    </row>
    <row r="90" spans="2:25" x14ac:dyDescent="0.3">
      <c r="B90" s="6">
        <v>87</v>
      </c>
      <c r="C90" s="9">
        <v>2.2892250000000001</v>
      </c>
      <c r="D90" s="9">
        <v>2.0481699999999998</v>
      </c>
      <c r="E90" s="9">
        <v>2.0538150000000002</v>
      </c>
      <c r="F90" s="9">
        <v>2.150007</v>
      </c>
      <c r="I90" s="2">
        <f t="shared" ca="1" si="34"/>
        <v>3.0332759999999999</v>
      </c>
      <c r="J90" s="2">
        <f t="shared" ca="1" si="35"/>
        <v>2.5242710000000002</v>
      </c>
      <c r="K90" s="2">
        <f t="shared" ca="1" si="36"/>
        <v>2.140304</v>
      </c>
      <c r="L90" s="2">
        <f t="shared" ca="1" si="37"/>
        <v>1.848371</v>
      </c>
      <c r="M90" s="2">
        <f t="shared" ca="1" si="38"/>
        <v>1.5936269999999999</v>
      </c>
      <c r="N90" s="2">
        <f t="shared" ca="1" si="39"/>
        <v>1.3816120000000001</v>
      </c>
      <c r="O90" s="2">
        <f t="shared" ca="1" si="40"/>
        <v>1.237144</v>
      </c>
      <c r="P90" s="2">
        <f t="shared" ca="1" si="41"/>
        <v>1.150463</v>
      </c>
      <c r="Q90" s="2">
        <f t="shared" ca="1" si="42"/>
        <v>1.1193789999999999</v>
      </c>
      <c r="R90" s="2">
        <f t="shared" ca="1" si="43"/>
        <v>1.14171</v>
      </c>
      <c r="S90" s="2">
        <f t="shared" ca="1" si="44"/>
        <v>1.2174210000000001</v>
      </c>
      <c r="T90" s="2">
        <f t="shared" ca="1" si="45"/>
        <v>1.350481</v>
      </c>
      <c r="U90" s="2">
        <f t="shared" ca="1" si="46"/>
        <v>1.5531109999999999</v>
      </c>
      <c r="V90" s="2">
        <f t="shared" ca="1" si="47"/>
        <v>1.80722</v>
      </c>
      <c r="W90" s="2">
        <f t="shared" ca="1" si="48"/>
        <v>2.0845410000000002</v>
      </c>
      <c r="X90" s="2">
        <f t="shared" ca="1" si="49"/>
        <v>2.4410099999999999</v>
      </c>
      <c r="Y90" s="2">
        <f t="shared" ca="1" si="50"/>
        <v>2.8850850000000001</v>
      </c>
    </row>
    <row r="91" spans="2:25" x14ac:dyDescent="0.3">
      <c r="B91" s="6">
        <v>88</v>
      </c>
      <c r="C91" s="9">
        <v>1.918407</v>
      </c>
      <c r="D91" s="9">
        <v>1.7547759999999999</v>
      </c>
      <c r="E91" s="9">
        <v>1.7603839999999999</v>
      </c>
      <c r="F91" s="9">
        <v>1.8369979999999999</v>
      </c>
      <c r="I91" s="2">
        <f t="shared" ca="1" si="34"/>
        <v>2.916696</v>
      </c>
      <c r="J91" s="2">
        <f t="shared" ca="1" si="35"/>
        <v>2.4229289999999999</v>
      </c>
      <c r="K91" s="2">
        <f t="shared" ca="1" si="36"/>
        <v>2.0538150000000002</v>
      </c>
      <c r="L91" s="2">
        <f t="shared" ca="1" si="37"/>
        <v>1.7603839999999999</v>
      </c>
      <c r="M91" s="2">
        <f t="shared" ca="1" si="38"/>
        <v>1.4982169999999999</v>
      </c>
      <c r="N91" s="2">
        <f t="shared" ca="1" si="39"/>
        <v>1.291534</v>
      </c>
      <c r="O91" s="2">
        <f t="shared" ca="1" si="40"/>
        <v>1.152692</v>
      </c>
      <c r="P91" s="2">
        <f t="shared" ca="1" si="41"/>
        <v>1.06548</v>
      </c>
      <c r="Q91" s="2">
        <f t="shared" ca="1" si="42"/>
        <v>1.0354030000000001</v>
      </c>
      <c r="R91" s="2">
        <f t="shared" ca="1" si="43"/>
        <v>1.0572729999999999</v>
      </c>
      <c r="S91" s="2">
        <f t="shared" ca="1" si="44"/>
        <v>1.129915</v>
      </c>
      <c r="T91" s="2">
        <f t="shared" ca="1" si="45"/>
        <v>1.2593620000000001</v>
      </c>
      <c r="U91" s="2">
        <f t="shared" ca="1" si="46"/>
        <v>1.4569989999999999</v>
      </c>
      <c r="V91" s="2">
        <f t="shared" ca="1" si="47"/>
        <v>1.7147289999999999</v>
      </c>
      <c r="W91" s="2">
        <f t="shared" ca="1" si="48"/>
        <v>1.9967410000000001</v>
      </c>
      <c r="X91" s="2">
        <f t="shared" ca="1" si="49"/>
        <v>2.3413889999999999</v>
      </c>
      <c r="Y91" s="2">
        <f t="shared" ca="1" si="50"/>
        <v>2.7710720000000002</v>
      </c>
    </row>
    <row r="92" spans="2:25" x14ac:dyDescent="0.3">
      <c r="B92" s="6">
        <v>89</v>
      </c>
      <c r="C92" s="9">
        <v>1.5841829999999999</v>
      </c>
      <c r="D92" s="9">
        <v>1.4931289999999999</v>
      </c>
      <c r="E92" s="9">
        <v>1.4982169999999999</v>
      </c>
      <c r="F92" s="9">
        <v>1.556972</v>
      </c>
      <c r="I92" s="2">
        <f t="shared" ca="1" si="34"/>
        <v>2.8656069999999998</v>
      </c>
      <c r="J92" s="2">
        <f t="shared" ca="1" si="35"/>
        <v>2.3846250000000002</v>
      </c>
      <c r="K92" s="2">
        <f t="shared" ca="1" si="36"/>
        <v>2.0217649999999998</v>
      </c>
      <c r="L92" s="2">
        <f t="shared" ca="1" si="37"/>
        <v>1.7277659999999999</v>
      </c>
      <c r="M92" s="2">
        <f t="shared" ca="1" si="38"/>
        <v>1.462793</v>
      </c>
      <c r="N92" s="2">
        <f t="shared" ca="1" si="39"/>
        <v>1.2583029999999999</v>
      </c>
      <c r="O92" s="2">
        <f t="shared" ca="1" si="40"/>
        <v>1.1188659999999999</v>
      </c>
      <c r="P92" s="2">
        <f t="shared" ca="1" si="41"/>
        <v>1.0340480000000001</v>
      </c>
      <c r="Q92" s="2">
        <f t="shared" ca="1" si="42"/>
        <v>1.0055970000000001</v>
      </c>
      <c r="R92" s="2">
        <f t="shared" ca="1" si="43"/>
        <v>1.027585</v>
      </c>
      <c r="S92" s="2">
        <f t="shared" ca="1" si="44"/>
        <v>1.0990880000000001</v>
      </c>
      <c r="T92" s="2">
        <f t="shared" ca="1" si="45"/>
        <v>1.2261390000000001</v>
      </c>
      <c r="U92" s="2">
        <f t="shared" ca="1" si="46"/>
        <v>1.418282</v>
      </c>
      <c r="V92" s="2">
        <f t="shared" ca="1" si="47"/>
        <v>1.677046</v>
      </c>
      <c r="W92" s="2">
        <f t="shared" ca="1" si="48"/>
        <v>1.962825</v>
      </c>
      <c r="X92" s="2">
        <f t="shared" ca="1" si="49"/>
        <v>2.3011200000000001</v>
      </c>
      <c r="Y92" s="2">
        <f t="shared" ca="1" si="50"/>
        <v>2.7261500000000001</v>
      </c>
    </row>
    <row r="93" spans="2:25" x14ac:dyDescent="0.3">
      <c r="B93" s="6">
        <v>90</v>
      </c>
      <c r="C93" s="9">
        <v>1.3308500000000001</v>
      </c>
      <c r="D93" s="9">
        <v>1.290109</v>
      </c>
      <c r="E93" s="9">
        <v>1.291534</v>
      </c>
      <c r="F93" s="9">
        <v>1.346406</v>
      </c>
      <c r="I93" s="2">
        <f t="shared" ca="1" si="34"/>
        <v>2.8927</v>
      </c>
      <c r="J93" s="2">
        <f t="shared" ca="1" si="35"/>
        <v>2.4090129999999998</v>
      </c>
      <c r="K93" s="2">
        <f t="shared" ca="1" si="36"/>
        <v>2.0417969999999999</v>
      </c>
      <c r="L93" s="2">
        <f t="shared" ca="1" si="37"/>
        <v>1.750739</v>
      </c>
      <c r="M93" s="2">
        <f t="shared" ca="1" si="38"/>
        <v>1.4893890000000001</v>
      </c>
      <c r="N93" s="2">
        <f t="shared" ca="1" si="39"/>
        <v>1.2827550000000001</v>
      </c>
      <c r="O93" s="2">
        <f t="shared" ca="1" si="40"/>
        <v>1.1433450000000001</v>
      </c>
      <c r="P93" s="2">
        <f t="shared" ca="1" si="41"/>
        <v>1.059739</v>
      </c>
      <c r="Q93" s="2">
        <f t="shared" ca="1" si="42"/>
        <v>1.0298259999999999</v>
      </c>
      <c r="R93" s="2">
        <f t="shared" ca="1" si="43"/>
        <v>1.05237</v>
      </c>
      <c r="S93" s="2">
        <f t="shared" ca="1" si="44"/>
        <v>1.123594</v>
      </c>
      <c r="T93" s="2">
        <f t="shared" ca="1" si="45"/>
        <v>1.249452</v>
      </c>
      <c r="U93" s="2">
        <f t="shared" ca="1" si="46"/>
        <v>1.443573</v>
      </c>
      <c r="V93" s="2">
        <f t="shared" ca="1" si="47"/>
        <v>1.7003740000000001</v>
      </c>
      <c r="W93" s="2">
        <f t="shared" ca="1" si="48"/>
        <v>1.9806649999999999</v>
      </c>
      <c r="X93" s="2">
        <f t="shared" ca="1" si="49"/>
        <v>2.321644</v>
      </c>
      <c r="Y93" s="2">
        <f t="shared" ca="1" si="50"/>
        <v>2.7469290000000002</v>
      </c>
    </row>
    <row r="94" spans="2:25" x14ac:dyDescent="0.3">
      <c r="B94" s="6">
        <v>91</v>
      </c>
      <c r="C94" s="9">
        <v>1.1666000000000001</v>
      </c>
      <c r="D94" s="9">
        <v>1.1519969999999999</v>
      </c>
      <c r="E94" s="9">
        <v>1.152692</v>
      </c>
      <c r="F94" s="9">
        <v>1.2037389999999999</v>
      </c>
      <c r="I94" s="2">
        <f t="shared" ca="1" si="34"/>
        <v>2.9768020000000002</v>
      </c>
      <c r="J94" s="2">
        <f t="shared" ca="1" si="35"/>
        <v>2.4927039999999998</v>
      </c>
      <c r="K94" s="2">
        <f t="shared" ca="1" si="36"/>
        <v>2.1123769999999999</v>
      </c>
      <c r="L94" s="2">
        <f t="shared" ca="1" si="37"/>
        <v>1.8249249999999999</v>
      </c>
      <c r="M94" s="2">
        <f t="shared" ca="1" si="38"/>
        <v>1.5735129999999999</v>
      </c>
      <c r="N94" s="2">
        <f t="shared" ca="1" si="39"/>
        <v>1.361869</v>
      </c>
      <c r="O94" s="2">
        <f t="shared" ca="1" si="40"/>
        <v>1.2196880000000001</v>
      </c>
      <c r="P94" s="2">
        <f t="shared" ca="1" si="41"/>
        <v>1.1321619999999999</v>
      </c>
      <c r="Q94" s="2">
        <f t="shared" ca="1" si="42"/>
        <v>1.103399</v>
      </c>
      <c r="R94" s="2">
        <f t="shared" ca="1" si="43"/>
        <v>1.124628</v>
      </c>
      <c r="S94" s="2">
        <f t="shared" ca="1" si="44"/>
        <v>1.1972069999999999</v>
      </c>
      <c r="T94" s="2">
        <f t="shared" ca="1" si="45"/>
        <v>1.32887</v>
      </c>
      <c r="U94" s="2">
        <f t="shared" ca="1" si="46"/>
        <v>1.5279929999999999</v>
      </c>
      <c r="V94" s="2">
        <f t="shared" ca="1" si="47"/>
        <v>1.776456</v>
      </c>
      <c r="W94" s="2">
        <f t="shared" ca="1" si="48"/>
        <v>2.0499320000000001</v>
      </c>
      <c r="X94" s="2">
        <f t="shared" ca="1" si="49"/>
        <v>2.4007689999999999</v>
      </c>
      <c r="Y94" s="2">
        <f t="shared" ca="1" si="50"/>
        <v>2.8415210000000002</v>
      </c>
    </row>
    <row r="95" spans="2:25" x14ac:dyDescent="0.3">
      <c r="B95" s="6">
        <v>92</v>
      </c>
      <c r="C95" s="9">
        <v>1.070057</v>
      </c>
      <c r="D95" s="9">
        <v>1.064425</v>
      </c>
      <c r="E95" s="9">
        <v>1.06548</v>
      </c>
      <c r="F95" s="9">
        <v>1.1145510000000001</v>
      </c>
      <c r="I95" s="2">
        <f t="shared" ca="1" si="34"/>
        <v>3.1185520000000002</v>
      </c>
      <c r="J95" s="2">
        <f t="shared" ca="1" si="35"/>
        <v>2.6438359999999999</v>
      </c>
      <c r="K95" s="2">
        <f t="shared" ca="1" si="36"/>
        <v>2.2384719999999998</v>
      </c>
      <c r="L95" s="2">
        <f t="shared" ca="1" si="37"/>
        <v>1.9456789999999999</v>
      </c>
      <c r="M95" s="2">
        <f t="shared" ca="1" si="38"/>
        <v>1.707797</v>
      </c>
      <c r="N95" s="2">
        <f t="shared" ca="1" si="39"/>
        <v>1.498945</v>
      </c>
      <c r="O95" s="2">
        <f t="shared" ca="1" si="40"/>
        <v>1.3481989999999999</v>
      </c>
      <c r="P95" s="2">
        <f t="shared" ca="1" si="41"/>
        <v>1.2571300000000001</v>
      </c>
      <c r="Q95" s="2">
        <f t="shared" ca="1" si="42"/>
        <v>1.225214</v>
      </c>
      <c r="R95" s="2">
        <f t="shared" ca="1" si="43"/>
        <v>1.246491</v>
      </c>
      <c r="S95" s="2">
        <f t="shared" ca="1" si="44"/>
        <v>1.3250930000000001</v>
      </c>
      <c r="T95" s="2">
        <f t="shared" ca="1" si="45"/>
        <v>1.46526</v>
      </c>
      <c r="U95" s="2">
        <f t="shared" ca="1" si="46"/>
        <v>1.6656280000000001</v>
      </c>
      <c r="V95" s="2">
        <f t="shared" ca="1" si="47"/>
        <v>1.898531</v>
      </c>
      <c r="W95" s="2">
        <f t="shared" ca="1" si="48"/>
        <v>2.172965</v>
      </c>
      <c r="X95" s="2">
        <f t="shared" ca="1" si="49"/>
        <v>2.5461819999999999</v>
      </c>
      <c r="Y95" s="2">
        <f t="shared" ca="1" si="50"/>
        <v>2.994605</v>
      </c>
    </row>
    <row r="96" spans="2:25" x14ac:dyDescent="0.3">
      <c r="B96" s="6">
        <v>93</v>
      </c>
      <c r="C96" s="9">
        <v>1.0341290000000001</v>
      </c>
      <c r="D96" s="9">
        <v>1.0330330000000001</v>
      </c>
      <c r="E96" s="9">
        <v>1.0354030000000001</v>
      </c>
      <c r="F96" s="9">
        <v>1.083356</v>
      </c>
      <c r="I96" s="2">
        <f t="shared" ca="1" si="34"/>
        <v>3.3249610000000001</v>
      </c>
      <c r="J96" s="2">
        <f t="shared" ca="1" si="35"/>
        <v>2.858819</v>
      </c>
      <c r="K96" s="2">
        <f t="shared" ca="1" si="36"/>
        <v>2.4385400000000002</v>
      </c>
      <c r="L96" s="2">
        <f t="shared" ca="1" si="37"/>
        <v>2.1180829999999999</v>
      </c>
      <c r="M96" s="2">
        <f t="shared" ca="1" si="38"/>
        <v>1.8840330000000001</v>
      </c>
      <c r="N96" s="2">
        <f t="shared" ca="1" si="39"/>
        <v>1.6938390000000001</v>
      </c>
      <c r="O96" s="2">
        <f t="shared" ca="1" si="40"/>
        <v>1.5421469999999999</v>
      </c>
      <c r="P96" s="2">
        <f t="shared" ca="1" si="41"/>
        <v>1.448685</v>
      </c>
      <c r="Q96" s="2">
        <f t="shared" ca="1" si="42"/>
        <v>1.4131880000000001</v>
      </c>
      <c r="R96" s="2">
        <f t="shared" ca="1" si="43"/>
        <v>1.434906</v>
      </c>
      <c r="S96" s="2">
        <f t="shared" ca="1" si="44"/>
        <v>1.5180260000000001</v>
      </c>
      <c r="T96" s="2">
        <f t="shared" ca="1" si="45"/>
        <v>1.6596580000000001</v>
      </c>
      <c r="U96" s="2">
        <f t="shared" ca="1" si="46"/>
        <v>1.8432219999999999</v>
      </c>
      <c r="V96" s="2">
        <f t="shared" ca="1" si="47"/>
        <v>2.0644930000000001</v>
      </c>
      <c r="W96" s="2">
        <f t="shared" ca="1" si="48"/>
        <v>2.3637899999999998</v>
      </c>
      <c r="X96" s="2">
        <f t="shared" ca="1" si="49"/>
        <v>2.7606850000000001</v>
      </c>
      <c r="Y96" s="2">
        <f t="shared" ca="1" si="50"/>
        <v>3.2018800000000001</v>
      </c>
    </row>
    <row r="97" spans="2:25" x14ac:dyDescent="0.3">
      <c r="B97" s="6">
        <v>94</v>
      </c>
      <c r="C97" s="9">
        <v>1.0573699999999999</v>
      </c>
      <c r="D97" s="9">
        <v>1.0552010000000001</v>
      </c>
      <c r="E97" s="9">
        <v>1.0572729999999999</v>
      </c>
      <c r="F97" s="9">
        <v>1.101907</v>
      </c>
      <c r="I97" s="2">
        <f t="shared" ca="1" si="34"/>
        <v>3.5847690000000001</v>
      </c>
      <c r="J97" s="2">
        <f t="shared" ca="1" si="35"/>
        <v>3.1311550000000001</v>
      </c>
      <c r="K97" s="2">
        <f t="shared" ca="1" si="36"/>
        <v>2.7083750000000002</v>
      </c>
      <c r="L97" s="2">
        <f t="shared" ca="1" si="37"/>
        <v>2.3605360000000002</v>
      </c>
      <c r="M97" s="2">
        <f t="shared" ca="1" si="38"/>
        <v>2.1021130000000001</v>
      </c>
      <c r="N97" s="2">
        <f t="shared" ca="1" si="39"/>
        <v>1.9171769999999999</v>
      </c>
      <c r="O97" s="2">
        <f t="shared" ca="1" si="40"/>
        <v>1.785774</v>
      </c>
      <c r="P97" s="2">
        <f t="shared" ca="1" si="41"/>
        <v>1.6991529999999999</v>
      </c>
      <c r="Q97" s="2">
        <f t="shared" ca="1" si="42"/>
        <v>1.666793</v>
      </c>
      <c r="R97" s="2">
        <f t="shared" ca="1" si="43"/>
        <v>1.6872149999999999</v>
      </c>
      <c r="S97" s="2">
        <f t="shared" ca="1" si="44"/>
        <v>1.764796</v>
      </c>
      <c r="T97" s="2">
        <f t="shared" ca="1" si="45"/>
        <v>1.8899250000000001</v>
      </c>
      <c r="U97" s="2">
        <f t="shared" ca="1" si="46"/>
        <v>2.0597620000000001</v>
      </c>
      <c r="V97" s="2">
        <f t="shared" ca="1" si="47"/>
        <v>2.3041149999999999</v>
      </c>
      <c r="W97" s="2">
        <f t="shared" ca="1" si="48"/>
        <v>2.6352570000000002</v>
      </c>
      <c r="X97" s="2">
        <f t="shared" ca="1" si="49"/>
        <v>3.0353539999999999</v>
      </c>
      <c r="Y97" s="2">
        <f t="shared" ca="1" si="50"/>
        <v>3.4587530000000002</v>
      </c>
    </row>
    <row r="98" spans="2:25" x14ac:dyDescent="0.3">
      <c r="B98" s="6">
        <v>95</v>
      </c>
      <c r="C98" s="9">
        <v>1.13944</v>
      </c>
      <c r="D98" s="9">
        <v>1.129132</v>
      </c>
      <c r="E98" s="9">
        <v>1.129915</v>
      </c>
      <c r="F98" s="9">
        <v>1.1703429999999999</v>
      </c>
      <c r="I98" s="11">
        <f t="shared" ca="1" si="34"/>
        <v>3.9703059999999999</v>
      </c>
      <c r="J98" s="2">
        <f t="shared" ca="1" si="35"/>
        <v>3.4686029999999999</v>
      </c>
      <c r="K98" s="2">
        <f t="shared" ca="1" si="36"/>
        <v>3.055552</v>
      </c>
      <c r="L98" s="2">
        <f t="shared" ca="1" si="37"/>
        <v>2.6948080000000001</v>
      </c>
      <c r="M98" s="2">
        <f t="shared" ca="1" si="38"/>
        <v>2.4004949999999998</v>
      </c>
      <c r="N98" s="2">
        <f t="shared" ca="1" si="39"/>
        <v>2.1920799999999998</v>
      </c>
      <c r="O98" s="2">
        <f t="shared" ca="1" si="40"/>
        <v>2.060149</v>
      </c>
      <c r="P98" s="2">
        <f t="shared" ca="1" si="41"/>
        <v>1.982866</v>
      </c>
      <c r="Q98" s="2">
        <f t="shared" ca="1" si="42"/>
        <v>1.9506209999999999</v>
      </c>
      <c r="R98" s="2">
        <f t="shared" ca="1" si="43"/>
        <v>1.972113</v>
      </c>
      <c r="S98" s="2">
        <f t="shared" ca="1" si="44"/>
        <v>2.0378150000000002</v>
      </c>
      <c r="T98" s="2">
        <f t="shared" ca="1" si="45"/>
        <v>2.1549529999999999</v>
      </c>
      <c r="U98" s="2">
        <f t="shared" ca="1" si="46"/>
        <v>2.352306</v>
      </c>
      <c r="V98" s="2">
        <f t="shared" ca="1" si="47"/>
        <v>2.6319129999999999</v>
      </c>
      <c r="W98" s="2">
        <f t="shared" ca="1" si="48"/>
        <v>2.9814949999999998</v>
      </c>
      <c r="X98" s="2">
        <f t="shared" ca="1" si="49"/>
        <v>3.3683559999999999</v>
      </c>
      <c r="Y98" s="11">
        <f t="shared" ca="1" si="50"/>
        <v>3.785933</v>
      </c>
    </row>
    <row r="99" spans="2:25" x14ac:dyDescent="0.3">
      <c r="B99" s="6">
        <v>96</v>
      </c>
      <c r="C99" s="9">
        <v>1.2891360000000001</v>
      </c>
      <c r="D99" s="9">
        <v>1.258351</v>
      </c>
      <c r="E99" s="9">
        <v>1.2593620000000001</v>
      </c>
      <c r="F99" s="9">
        <v>1.301833</v>
      </c>
    </row>
    <row r="100" spans="2:25" x14ac:dyDescent="0.3">
      <c r="B100" s="6">
        <v>97</v>
      </c>
      <c r="C100" s="9">
        <v>1.525749</v>
      </c>
      <c r="D100" s="9">
        <v>1.454026</v>
      </c>
      <c r="E100" s="9">
        <v>1.4569989999999999</v>
      </c>
      <c r="F100" s="9">
        <v>1.504246</v>
      </c>
      <c r="H100" t="s">
        <v>3</v>
      </c>
      <c r="I100" s="13">
        <f t="shared" ref="I100:I112" ca="1" si="51">INDIRECT("F"&amp;(17*ROW(1:1)+ROW($F$3)-19+IF(COLUMN(C:C)&gt;19,50000,COLUMN(C:C)-1)))</f>
        <v>4.3833479999999998</v>
      </c>
      <c r="J100" s="2">
        <f t="shared" ref="J100:J112" ca="1" si="52">INDIRECT("F"&amp;(17*ROW(1:1)+ROW($F$3)-19+IF(COLUMN(D:D)&gt;19,50000,COLUMN(D:D)-1)))</f>
        <v>3.7017340000000001</v>
      </c>
      <c r="K100" s="2">
        <f t="shared" ref="K100:K112" ca="1" si="53">INDIRECT("F"&amp;(17*ROW(1:1)+ROW($F$3)-19+IF(COLUMN(E:E)&gt;19,50000,COLUMN(E:E)-1)))</f>
        <v>3.2333729999999998</v>
      </c>
      <c r="L100" s="2">
        <f t="shared" ref="L100:L112" ca="1" si="54">INDIRECT("F"&amp;(17*ROW(1:1)+ROW($F$3)-19+IF(COLUMN(F:F)&gt;19,50000,COLUMN(F:F)-1)))</f>
        <v>2.862727</v>
      </c>
      <c r="M100" s="2">
        <f t="shared" ref="M100:M112" ca="1" si="55">INDIRECT("F"&amp;(17*ROW(1:1)+ROW($F$3)-19+IF(COLUMN(G:G)&gt;19,50000,COLUMN(G:G)-1)))</f>
        <v>2.5584310000000001</v>
      </c>
      <c r="N100" s="2">
        <f t="shared" ref="N100:N112" ca="1" si="56">INDIRECT("F"&amp;(17*ROW(1:1)+ROW($F$3)-19+IF(COLUMN(H:H)&gt;19,50000,COLUMN(H:H)-1)))</f>
        <v>2.3277100000000002</v>
      </c>
      <c r="O100" s="2">
        <f t="shared" ref="O100:O112" ca="1" si="57">INDIRECT("F"&amp;(17*ROW(1:1)+ROW($F$3)-19+IF(COLUMN(I:I)&gt;19,50000,COLUMN(I:I)-1)))</f>
        <v>2.184653</v>
      </c>
      <c r="P100" s="2">
        <f t="shared" ref="P100:P112" ca="1" si="58">INDIRECT("F"&amp;(17*ROW(1:1)+ROW($F$3)-19+IF(COLUMN(J:J)&gt;19,50000,COLUMN(J:J)-1)))</f>
        <v>2.102989</v>
      </c>
      <c r="Q100" s="2">
        <f t="shared" ref="Q100:Q112" ca="1" si="59">INDIRECT("F"&amp;(17*ROW(1:1)+ROW($F$3)-19+IF(COLUMN(K:K)&gt;19,50000,COLUMN(K:K)-1)))</f>
        <v>2.0702970000000001</v>
      </c>
      <c r="R100" s="2">
        <f t="shared" ref="R100:R112" ca="1" si="60">INDIRECT("F"&amp;(17*ROW(1:1)+ROW($F$3)-19+IF(COLUMN(L:L)&gt;19,50000,COLUMN(L:L)-1)))</f>
        <v>2.0965500000000001</v>
      </c>
      <c r="S100" s="2">
        <f t="shared" ref="S100:S112" ca="1" si="61">INDIRECT("F"&amp;(17*ROW(1:1)+ROW($F$3)-19+IF(COLUMN(M:M)&gt;19,50000,COLUMN(M:M)-1)))</f>
        <v>2.1706599999999998</v>
      </c>
      <c r="T100" s="2">
        <f t="shared" ref="T100:T112" ca="1" si="62">INDIRECT("F"&amp;(17*ROW(1:1)+ROW($F$3)-19+IF(COLUMN(N:N)&gt;19,50000,COLUMN(N:N)-1)))</f>
        <v>2.2999649999999998</v>
      </c>
      <c r="U100" s="2">
        <f t="shared" ref="U100:U112" ca="1" si="63">INDIRECT("F"&amp;(17*ROW(1:1)+ROW($F$3)-19+IF(COLUMN(O:O)&gt;19,50000,COLUMN(O:O)-1)))</f>
        <v>2.5084390000000001</v>
      </c>
      <c r="V100" s="2">
        <f t="shared" ref="V100:V112" ca="1" si="64">INDIRECT("F"&amp;(17*ROW(1:1)+ROW($F$3)-19+IF(COLUMN(P:P)&gt;19,50000,COLUMN(P:P)-1)))</f>
        <v>2.8022360000000002</v>
      </c>
      <c r="W100" s="2">
        <f t="shared" ref="W100:W112" ca="1" si="65">INDIRECT("F"&amp;(17*ROW(1:1)+ROW($F$3)-19+IF(COLUMN(Q:Q)&gt;19,50000,COLUMN(Q:Q)-1)))</f>
        <v>3.164148</v>
      </c>
      <c r="X100" s="2">
        <f t="shared" ref="X100:X112" ca="1" si="66">INDIRECT("F"&amp;(17*ROW(1:1)+ROW($F$3)-19+IF(COLUMN(R:R)&gt;19,50000,COLUMN(R:R)-1)))</f>
        <v>3.5733139999999999</v>
      </c>
      <c r="Y100" s="13">
        <f t="shared" ref="Y100:Y112" ca="1" si="67">INDIRECT("F"&amp;(17*ROW(1:1)+ROW($F$3)-19+IF(COLUMN(S:S)&gt;19,50000,COLUMN(S:S)-1)))</f>
        <v>3.9854400000000001</v>
      </c>
    </row>
    <row r="101" spans="2:25" x14ac:dyDescent="0.3">
      <c r="B101" s="6">
        <v>98</v>
      </c>
      <c r="C101" s="9">
        <v>1.847</v>
      </c>
      <c r="D101" s="9">
        <v>1.711096</v>
      </c>
      <c r="E101" s="9">
        <v>1.7147289999999999</v>
      </c>
      <c r="F101" s="9">
        <v>1.778953</v>
      </c>
      <c r="I101" s="2">
        <f t="shared" ca="1" si="51"/>
        <v>3.9590920000000001</v>
      </c>
      <c r="J101" s="2">
        <f t="shared" ca="1" si="52"/>
        <v>3.3681269999999999</v>
      </c>
      <c r="K101" s="2">
        <f t="shared" ca="1" si="53"/>
        <v>2.9077069999999998</v>
      </c>
      <c r="L101" s="2">
        <f t="shared" ca="1" si="54"/>
        <v>2.532394</v>
      </c>
      <c r="M101" s="2">
        <f t="shared" ca="1" si="55"/>
        <v>2.252259</v>
      </c>
      <c r="N101" s="2">
        <f t="shared" ca="1" si="56"/>
        <v>2.055072</v>
      </c>
      <c r="O101" s="2">
        <f t="shared" ca="1" si="57"/>
        <v>1.913494</v>
      </c>
      <c r="P101" s="2">
        <f t="shared" ca="1" si="58"/>
        <v>1.820676</v>
      </c>
      <c r="Q101" s="2">
        <f t="shared" ca="1" si="59"/>
        <v>1.7870349999999999</v>
      </c>
      <c r="R101" s="2">
        <f t="shared" ca="1" si="60"/>
        <v>1.8125910000000001</v>
      </c>
      <c r="S101" s="2">
        <f t="shared" ca="1" si="61"/>
        <v>1.8949210000000001</v>
      </c>
      <c r="T101" s="2">
        <f t="shared" ca="1" si="62"/>
        <v>2.0298959999999999</v>
      </c>
      <c r="U101" s="2">
        <f t="shared" ca="1" si="63"/>
        <v>2.213778</v>
      </c>
      <c r="V101" s="2">
        <f t="shared" ca="1" si="64"/>
        <v>2.4765459999999999</v>
      </c>
      <c r="W101" s="2">
        <f t="shared" ca="1" si="65"/>
        <v>2.835229</v>
      </c>
      <c r="X101" s="2">
        <f t="shared" ca="1" si="66"/>
        <v>3.2548360000000001</v>
      </c>
      <c r="Y101" s="2">
        <f t="shared" ca="1" si="67"/>
        <v>3.668844</v>
      </c>
    </row>
    <row r="102" spans="2:25" x14ac:dyDescent="0.3">
      <c r="B102" s="6">
        <v>99</v>
      </c>
      <c r="C102" s="9">
        <v>2.2051590000000001</v>
      </c>
      <c r="D102" s="9">
        <v>1.9948950000000001</v>
      </c>
      <c r="E102" s="9">
        <v>1.9967410000000001</v>
      </c>
      <c r="F102" s="9">
        <v>2.081728</v>
      </c>
      <c r="I102" s="2">
        <f t="shared" ca="1" si="51"/>
        <v>3.6396999999999999</v>
      </c>
      <c r="J102" s="2">
        <f t="shared" ca="1" si="52"/>
        <v>3.0658020000000001</v>
      </c>
      <c r="K102" s="2">
        <f t="shared" ca="1" si="53"/>
        <v>2.6132680000000001</v>
      </c>
      <c r="L102" s="2">
        <f t="shared" ca="1" si="54"/>
        <v>2.2569089999999998</v>
      </c>
      <c r="M102" s="2">
        <f t="shared" ca="1" si="55"/>
        <v>2.0033750000000001</v>
      </c>
      <c r="N102" s="2">
        <f t="shared" ca="1" si="56"/>
        <v>1.802989</v>
      </c>
      <c r="O102" s="2">
        <f t="shared" ca="1" si="57"/>
        <v>1.645116</v>
      </c>
      <c r="P102" s="2">
        <f t="shared" ca="1" si="58"/>
        <v>1.5414220000000001</v>
      </c>
      <c r="Q102" s="2">
        <f t="shared" ca="1" si="59"/>
        <v>1.5038800000000001</v>
      </c>
      <c r="R102" s="2">
        <f t="shared" ca="1" si="60"/>
        <v>1.531274</v>
      </c>
      <c r="S102" s="2">
        <f t="shared" ca="1" si="61"/>
        <v>1.6203149999999999</v>
      </c>
      <c r="T102" s="2">
        <f t="shared" ca="1" si="62"/>
        <v>1.7711030000000001</v>
      </c>
      <c r="U102" s="2">
        <f t="shared" ca="1" si="63"/>
        <v>1.9648669999999999</v>
      </c>
      <c r="V102" s="2">
        <f t="shared" ca="1" si="64"/>
        <v>2.2059340000000001</v>
      </c>
      <c r="W102" s="2">
        <f t="shared" ca="1" si="65"/>
        <v>2.5365479999999998</v>
      </c>
      <c r="X102" s="2">
        <f t="shared" ca="1" si="66"/>
        <v>2.9560390000000001</v>
      </c>
      <c r="Y102" s="2">
        <f t="shared" ca="1" si="67"/>
        <v>3.3868809999999998</v>
      </c>
    </row>
    <row r="103" spans="2:25" x14ac:dyDescent="0.3">
      <c r="B103" s="6">
        <v>100</v>
      </c>
      <c r="C103" s="9">
        <v>2.6208079999999998</v>
      </c>
      <c r="D103" s="9">
        <v>2.340033</v>
      </c>
      <c r="E103" s="9">
        <v>2.3413889999999999</v>
      </c>
      <c r="F103" s="9">
        <v>2.4423819999999998</v>
      </c>
      <c r="I103" s="2">
        <f t="shared" ca="1" si="51"/>
        <v>3.3897400000000002</v>
      </c>
      <c r="J103" s="2">
        <f t="shared" ca="1" si="52"/>
        <v>2.8200280000000002</v>
      </c>
      <c r="K103" s="2">
        <f t="shared" ca="1" si="53"/>
        <v>2.3868809999999998</v>
      </c>
      <c r="L103" s="2">
        <f t="shared" ca="1" si="54"/>
        <v>2.0644290000000001</v>
      </c>
      <c r="M103" s="2">
        <f t="shared" ca="1" si="55"/>
        <v>1.807471</v>
      </c>
      <c r="N103" s="2">
        <f t="shared" ca="1" si="56"/>
        <v>1.5891010000000001</v>
      </c>
      <c r="O103" s="2">
        <f t="shared" ca="1" si="57"/>
        <v>1.429433</v>
      </c>
      <c r="P103" s="2">
        <f t="shared" ca="1" si="58"/>
        <v>1.3320650000000001</v>
      </c>
      <c r="Q103" s="2">
        <f t="shared" ca="1" si="59"/>
        <v>1.298001</v>
      </c>
      <c r="R103" s="2">
        <f t="shared" ca="1" si="60"/>
        <v>1.3204</v>
      </c>
      <c r="S103" s="2">
        <f t="shared" ca="1" si="61"/>
        <v>1.404177</v>
      </c>
      <c r="T103" s="2">
        <f t="shared" ca="1" si="62"/>
        <v>1.550881</v>
      </c>
      <c r="U103" s="2">
        <f t="shared" ca="1" si="63"/>
        <v>1.76423</v>
      </c>
      <c r="V103" s="2">
        <f t="shared" ca="1" si="64"/>
        <v>2.0151370000000002</v>
      </c>
      <c r="W103" s="2">
        <f t="shared" ca="1" si="65"/>
        <v>2.3174990000000002</v>
      </c>
      <c r="X103" s="2">
        <f t="shared" ca="1" si="66"/>
        <v>2.7138100000000001</v>
      </c>
      <c r="Y103" s="2">
        <f t="shared" ca="1" si="67"/>
        <v>3.147338</v>
      </c>
    </row>
    <row r="104" spans="2:25" x14ac:dyDescent="0.3">
      <c r="B104" s="6">
        <v>101</v>
      </c>
      <c r="C104" s="9">
        <v>3.128835</v>
      </c>
      <c r="D104" s="9">
        <v>2.7678280000000002</v>
      </c>
      <c r="E104" s="9">
        <v>2.7710720000000002</v>
      </c>
      <c r="F104" s="9">
        <v>2.862482</v>
      </c>
      <c r="I104" s="2">
        <f t="shared" ca="1" si="51"/>
        <v>3.1998319999999998</v>
      </c>
      <c r="J104" s="2">
        <f t="shared" ca="1" si="52"/>
        <v>2.6456689999999998</v>
      </c>
      <c r="K104" s="2">
        <f t="shared" ca="1" si="53"/>
        <v>2.2364139999999999</v>
      </c>
      <c r="L104" s="2">
        <f t="shared" ca="1" si="54"/>
        <v>1.925503</v>
      </c>
      <c r="M104" s="2">
        <f t="shared" ca="1" si="55"/>
        <v>1.6538600000000001</v>
      </c>
      <c r="N104" s="2">
        <f t="shared" ca="1" si="56"/>
        <v>1.4356450000000001</v>
      </c>
      <c r="O104" s="2">
        <f t="shared" ca="1" si="57"/>
        <v>1.287552</v>
      </c>
      <c r="P104" s="2">
        <f t="shared" ca="1" si="58"/>
        <v>1.1942969999999999</v>
      </c>
      <c r="Q104" s="2">
        <f t="shared" ca="1" si="59"/>
        <v>1.1618269999999999</v>
      </c>
      <c r="R104" s="2">
        <f t="shared" ca="1" si="60"/>
        <v>1.1805239999999999</v>
      </c>
      <c r="S104" s="2">
        <f t="shared" ca="1" si="61"/>
        <v>1.2559290000000001</v>
      </c>
      <c r="T104" s="2">
        <f t="shared" ca="1" si="62"/>
        <v>1.3940870000000001</v>
      </c>
      <c r="U104" s="2">
        <f t="shared" ca="1" si="63"/>
        <v>1.600684</v>
      </c>
      <c r="V104" s="2">
        <f t="shared" ca="1" si="64"/>
        <v>1.8725099999999999</v>
      </c>
      <c r="W104" s="2">
        <f t="shared" ca="1" si="65"/>
        <v>2.1678679999999999</v>
      </c>
      <c r="X104" s="2">
        <f t="shared" ca="1" si="66"/>
        <v>2.5395219999999998</v>
      </c>
      <c r="Y104" s="2">
        <f t="shared" ca="1" si="67"/>
        <v>2.9728089999999998</v>
      </c>
    </row>
    <row r="105" spans="2:25" x14ac:dyDescent="0.3">
      <c r="B105" s="6">
        <v>102</v>
      </c>
      <c r="C105" s="9">
        <v>3.2432259999999999</v>
      </c>
      <c r="D105" s="9">
        <v>2.865167</v>
      </c>
      <c r="E105" s="9">
        <v>2.8656069999999998</v>
      </c>
      <c r="F105" s="9">
        <v>3.0441289999999999</v>
      </c>
      <c r="I105" s="2">
        <f t="shared" ca="1" si="51"/>
        <v>3.0836039999999998</v>
      </c>
      <c r="J105" s="2">
        <f t="shared" ca="1" si="52"/>
        <v>2.5423770000000001</v>
      </c>
      <c r="K105" s="2">
        <f t="shared" ca="1" si="53"/>
        <v>2.150007</v>
      </c>
      <c r="L105" s="2">
        <f t="shared" ca="1" si="54"/>
        <v>1.8369979999999999</v>
      </c>
      <c r="M105" s="2">
        <f t="shared" ca="1" si="55"/>
        <v>1.556972</v>
      </c>
      <c r="N105" s="2">
        <f t="shared" ca="1" si="56"/>
        <v>1.346406</v>
      </c>
      <c r="O105" s="2">
        <f t="shared" ca="1" si="57"/>
        <v>1.2037389999999999</v>
      </c>
      <c r="P105" s="2">
        <f t="shared" ca="1" si="58"/>
        <v>1.1145510000000001</v>
      </c>
      <c r="Q105" s="2">
        <f t="shared" ca="1" si="59"/>
        <v>1.083356</v>
      </c>
      <c r="R105" s="2">
        <f t="shared" ca="1" si="60"/>
        <v>1.101907</v>
      </c>
      <c r="S105" s="2">
        <f t="shared" ca="1" si="61"/>
        <v>1.1703429999999999</v>
      </c>
      <c r="T105" s="2">
        <f t="shared" ca="1" si="62"/>
        <v>1.301833</v>
      </c>
      <c r="U105" s="2">
        <f t="shared" ca="1" si="63"/>
        <v>1.504246</v>
      </c>
      <c r="V105" s="2">
        <f t="shared" ca="1" si="64"/>
        <v>1.778953</v>
      </c>
      <c r="W105" s="2">
        <f t="shared" ca="1" si="65"/>
        <v>2.081728</v>
      </c>
      <c r="X105" s="2">
        <f t="shared" ca="1" si="66"/>
        <v>2.4423819999999998</v>
      </c>
      <c r="Y105" s="2">
        <f t="shared" ca="1" si="67"/>
        <v>2.862482</v>
      </c>
    </row>
    <row r="106" spans="2:25" x14ac:dyDescent="0.3">
      <c r="B106" s="6">
        <v>103</v>
      </c>
      <c r="C106" s="9">
        <v>2.691649</v>
      </c>
      <c r="D106" s="9">
        <v>2.3816220000000001</v>
      </c>
      <c r="E106" s="9">
        <v>2.3846250000000002</v>
      </c>
      <c r="F106" s="9">
        <v>2.5087380000000001</v>
      </c>
      <c r="I106" s="2">
        <f t="shared" ca="1" si="51"/>
        <v>3.0441289999999999</v>
      </c>
      <c r="J106" s="2">
        <f t="shared" ca="1" si="52"/>
        <v>2.5087380000000001</v>
      </c>
      <c r="K106" s="2">
        <f t="shared" ca="1" si="53"/>
        <v>2.1226829999999999</v>
      </c>
      <c r="L106" s="2">
        <f t="shared" ca="1" si="54"/>
        <v>1.808675</v>
      </c>
      <c r="M106" s="2">
        <f t="shared" ca="1" si="55"/>
        <v>1.5236559999999999</v>
      </c>
      <c r="N106" s="2">
        <f t="shared" ca="1" si="56"/>
        <v>1.314873</v>
      </c>
      <c r="O106" s="2">
        <f t="shared" ca="1" si="57"/>
        <v>1.1721379999999999</v>
      </c>
      <c r="P106" s="2">
        <f t="shared" ca="1" si="58"/>
        <v>1.0866629999999999</v>
      </c>
      <c r="Q106" s="2">
        <f t="shared" ca="1" si="59"/>
        <v>1.0582450000000001</v>
      </c>
      <c r="R106" s="2">
        <f t="shared" ca="1" si="60"/>
        <v>1.077539</v>
      </c>
      <c r="S106" s="2">
        <f t="shared" ca="1" si="61"/>
        <v>1.144074</v>
      </c>
      <c r="T106" s="2">
        <f t="shared" ca="1" si="62"/>
        <v>1.2728900000000001</v>
      </c>
      <c r="U106" s="2">
        <f t="shared" ca="1" si="63"/>
        <v>1.4709540000000001</v>
      </c>
      <c r="V106" s="2">
        <f t="shared" ca="1" si="64"/>
        <v>1.7473110000000001</v>
      </c>
      <c r="W106" s="2">
        <f t="shared" ca="1" si="65"/>
        <v>2.0534880000000002</v>
      </c>
      <c r="X106" s="2">
        <f t="shared" ca="1" si="66"/>
        <v>2.4084400000000001</v>
      </c>
      <c r="Y106" s="2">
        <f t="shared" ca="1" si="67"/>
        <v>2.8258329999999998</v>
      </c>
    </row>
    <row r="107" spans="2:25" x14ac:dyDescent="0.3">
      <c r="B107" s="6">
        <v>104</v>
      </c>
      <c r="C107" s="9">
        <v>2.2534420000000002</v>
      </c>
      <c r="D107" s="9">
        <v>2.018357</v>
      </c>
      <c r="E107" s="9">
        <v>2.0217649999999998</v>
      </c>
      <c r="F107" s="9">
        <v>2.1226829999999999</v>
      </c>
      <c r="I107" s="2">
        <f t="shared" ca="1" si="51"/>
        <v>3.0625110000000002</v>
      </c>
      <c r="J107" s="2">
        <f t="shared" ca="1" si="52"/>
        <v>2.5328059999999999</v>
      </c>
      <c r="K107" s="2">
        <f t="shared" ca="1" si="53"/>
        <v>2.1441680000000001</v>
      </c>
      <c r="L107" s="2">
        <f t="shared" ca="1" si="54"/>
        <v>1.834198</v>
      </c>
      <c r="M107" s="2">
        <f t="shared" ca="1" si="55"/>
        <v>1.5522320000000001</v>
      </c>
      <c r="N107" s="2">
        <f t="shared" ca="1" si="56"/>
        <v>1.3404450000000001</v>
      </c>
      <c r="O107" s="2">
        <f t="shared" ca="1" si="57"/>
        <v>1.1959770000000001</v>
      </c>
      <c r="P107" s="2">
        <f t="shared" ca="1" si="58"/>
        <v>1.1104050000000001</v>
      </c>
      <c r="Q107" s="2">
        <f t="shared" ca="1" si="59"/>
        <v>1.0837319999999999</v>
      </c>
      <c r="R107" s="2">
        <f t="shared" ca="1" si="60"/>
        <v>1.1028720000000001</v>
      </c>
      <c r="S107" s="2">
        <f t="shared" ca="1" si="61"/>
        <v>1.1712389999999999</v>
      </c>
      <c r="T107" s="2">
        <f t="shared" ca="1" si="62"/>
        <v>1.300011</v>
      </c>
      <c r="U107" s="2">
        <f t="shared" ca="1" si="63"/>
        <v>1.5000500000000001</v>
      </c>
      <c r="V107" s="2">
        <f t="shared" ca="1" si="64"/>
        <v>1.773655</v>
      </c>
      <c r="W107" s="2">
        <f t="shared" ca="1" si="65"/>
        <v>2.0748639999999998</v>
      </c>
      <c r="X107" s="2">
        <f t="shared" ca="1" si="66"/>
        <v>2.4320689999999998</v>
      </c>
      <c r="Y107" s="2">
        <f t="shared" ca="1" si="67"/>
        <v>2.8583910000000001</v>
      </c>
    </row>
    <row r="108" spans="2:25" x14ac:dyDescent="0.3">
      <c r="B108" s="6">
        <v>105</v>
      </c>
      <c r="C108" s="9">
        <v>1.8797699999999999</v>
      </c>
      <c r="D108" s="9">
        <v>1.723624</v>
      </c>
      <c r="E108" s="9">
        <v>1.7277659999999999</v>
      </c>
      <c r="F108" s="9">
        <v>1.808675</v>
      </c>
      <c r="I108" s="2">
        <f t="shared" ca="1" si="51"/>
        <v>3.1472250000000002</v>
      </c>
      <c r="J108" s="2">
        <f t="shared" ca="1" si="52"/>
        <v>2.6218189999999999</v>
      </c>
      <c r="K108" s="2">
        <f t="shared" ca="1" si="53"/>
        <v>2.2200540000000002</v>
      </c>
      <c r="L108" s="2">
        <f t="shared" ca="1" si="54"/>
        <v>1.910984</v>
      </c>
      <c r="M108" s="2">
        <f t="shared" ca="1" si="55"/>
        <v>1.641899</v>
      </c>
      <c r="N108" s="2">
        <f t="shared" ca="1" si="56"/>
        <v>1.422679</v>
      </c>
      <c r="O108" s="2">
        <f t="shared" ca="1" si="57"/>
        <v>1.2727189999999999</v>
      </c>
      <c r="P108" s="2">
        <f t="shared" ca="1" si="58"/>
        <v>1.1820329999999999</v>
      </c>
      <c r="Q108" s="2">
        <f t="shared" ca="1" si="59"/>
        <v>1.155842</v>
      </c>
      <c r="R108" s="2">
        <f t="shared" ca="1" si="60"/>
        <v>1.175163</v>
      </c>
      <c r="S108" s="2">
        <f t="shared" ca="1" si="61"/>
        <v>1.2491559999999999</v>
      </c>
      <c r="T108" s="2">
        <f t="shared" ca="1" si="62"/>
        <v>1.38673</v>
      </c>
      <c r="U108" s="2">
        <f t="shared" ca="1" si="63"/>
        <v>1.593782</v>
      </c>
      <c r="V108" s="2">
        <f t="shared" ca="1" si="64"/>
        <v>1.8602339999999999</v>
      </c>
      <c r="W108" s="2">
        <f t="shared" ca="1" si="65"/>
        <v>2.1522969999999999</v>
      </c>
      <c r="X108" s="2">
        <f t="shared" ca="1" si="66"/>
        <v>2.5227710000000001</v>
      </c>
      <c r="Y108" s="2">
        <f t="shared" ca="1" si="67"/>
        <v>2.9450379999999998</v>
      </c>
    </row>
    <row r="109" spans="2:25" x14ac:dyDescent="0.3">
      <c r="B109" s="6">
        <v>106</v>
      </c>
      <c r="C109" s="9">
        <v>1.5458480000000001</v>
      </c>
      <c r="D109" s="9">
        <v>1.461303</v>
      </c>
      <c r="E109" s="9">
        <v>1.462793</v>
      </c>
      <c r="F109" s="9">
        <v>1.5236559999999999</v>
      </c>
      <c r="I109" s="2">
        <f t="shared" ca="1" si="51"/>
        <v>3.302171</v>
      </c>
      <c r="J109" s="2">
        <f t="shared" ca="1" si="52"/>
        <v>2.78437</v>
      </c>
      <c r="K109" s="2">
        <f t="shared" ca="1" si="53"/>
        <v>2.3566549999999999</v>
      </c>
      <c r="L109" s="2">
        <f t="shared" ca="1" si="54"/>
        <v>2.040543</v>
      </c>
      <c r="M109" s="2">
        <f t="shared" ca="1" si="55"/>
        <v>1.784365</v>
      </c>
      <c r="N109" s="2">
        <f t="shared" ca="1" si="56"/>
        <v>1.565045</v>
      </c>
      <c r="O109" s="2">
        <f t="shared" ca="1" si="57"/>
        <v>1.4032469999999999</v>
      </c>
      <c r="P109" s="2">
        <f t="shared" ca="1" si="58"/>
        <v>1.309283</v>
      </c>
      <c r="Q109" s="2">
        <f t="shared" ca="1" si="59"/>
        <v>1.2800530000000001</v>
      </c>
      <c r="R109" s="2">
        <f t="shared" ca="1" si="60"/>
        <v>1.3014950000000001</v>
      </c>
      <c r="S109" s="2">
        <f t="shared" ca="1" si="61"/>
        <v>1.383669</v>
      </c>
      <c r="T109" s="2">
        <f t="shared" ca="1" si="62"/>
        <v>1.531317</v>
      </c>
      <c r="U109" s="2">
        <f t="shared" ca="1" si="63"/>
        <v>1.7425409999999999</v>
      </c>
      <c r="V109" s="2">
        <f t="shared" ca="1" si="64"/>
        <v>1.9905949999999999</v>
      </c>
      <c r="W109" s="2">
        <f t="shared" ca="1" si="65"/>
        <v>2.285104</v>
      </c>
      <c r="X109" s="2">
        <f t="shared" ca="1" si="66"/>
        <v>2.677476</v>
      </c>
      <c r="Y109" s="2">
        <f t="shared" ca="1" si="67"/>
        <v>3.109499</v>
      </c>
    </row>
    <row r="110" spans="2:25" x14ac:dyDescent="0.3">
      <c r="B110" s="6">
        <v>107</v>
      </c>
      <c r="C110" s="9">
        <v>1.2954829999999999</v>
      </c>
      <c r="D110" s="9">
        <v>1.258262</v>
      </c>
      <c r="E110" s="9">
        <v>1.2583029999999999</v>
      </c>
      <c r="F110" s="9">
        <v>1.314873</v>
      </c>
      <c r="I110" s="2">
        <f t="shared" ca="1" si="51"/>
        <v>3.5266449999999998</v>
      </c>
      <c r="J110" s="2">
        <f t="shared" ca="1" si="52"/>
        <v>3.01031</v>
      </c>
      <c r="K110" s="2">
        <f t="shared" ca="1" si="53"/>
        <v>2.5686100000000001</v>
      </c>
      <c r="L110" s="2">
        <f t="shared" ca="1" si="54"/>
        <v>2.218826</v>
      </c>
      <c r="M110" s="2">
        <f t="shared" ca="1" si="55"/>
        <v>1.969514</v>
      </c>
      <c r="N110" s="2">
        <f t="shared" ca="1" si="56"/>
        <v>1.769158</v>
      </c>
      <c r="O110" s="2">
        <f t="shared" ca="1" si="57"/>
        <v>1.6039239999999999</v>
      </c>
      <c r="P110" s="2">
        <f t="shared" ca="1" si="58"/>
        <v>1.5071699999999999</v>
      </c>
      <c r="Q110" s="2">
        <f t="shared" ca="1" si="59"/>
        <v>1.4745189999999999</v>
      </c>
      <c r="R110" s="2">
        <f t="shared" ca="1" si="60"/>
        <v>1.4972529999999999</v>
      </c>
      <c r="S110" s="2">
        <f t="shared" ca="1" si="61"/>
        <v>1.586579</v>
      </c>
      <c r="T110" s="2">
        <f t="shared" ca="1" si="62"/>
        <v>1.7420009999999999</v>
      </c>
      <c r="U110" s="2">
        <f t="shared" ca="1" si="63"/>
        <v>1.934491</v>
      </c>
      <c r="V110" s="2">
        <f t="shared" ca="1" si="64"/>
        <v>2.1679210000000002</v>
      </c>
      <c r="W110" s="2">
        <f t="shared" ca="1" si="65"/>
        <v>2.4909520000000001</v>
      </c>
      <c r="X110" s="2">
        <f t="shared" ca="1" si="66"/>
        <v>2.9052069999999999</v>
      </c>
      <c r="Y110" s="2">
        <f t="shared" ca="1" si="67"/>
        <v>3.3344839999999998</v>
      </c>
    </row>
    <row r="111" spans="2:25" x14ac:dyDescent="0.3">
      <c r="B111" s="6">
        <v>108</v>
      </c>
      <c r="C111" s="9">
        <v>1.133548</v>
      </c>
      <c r="D111" s="9">
        <v>1.1212869999999999</v>
      </c>
      <c r="E111" s="9">
        <v>1.1188659999999999</v>
      </c>
      <c r="F111" s="9">
        <v>1.1721379999999999</v>
      </c>
      <c r="I111" s="2">
        <f t="shared" ca="1" si="51"/>
        <v>3.804125</v>
      </c>
      <c r="J111" s="2">
        <f t="shared" ca="1" si="52"/>
        <v>3.2973170000000001</v>
      </c>
      <c r="K111" s="2">
        <f t="shared" ca="1" si="53"/>
        <v>2.8550499999999999</v>
      </c>
      <c r="L111" s="2">
        <f t="shared" ca="1" si="54"/>
        <v>2.4779179999999998</v>
      </c>
      <c r="M111" s="2">
        <f t="shared" ca="1" si="55"/>
        <v>2.204142</v>
      </c>
      <c r="N111" s="2">
        <f t="shared" ca="1" si="56"/>
        <v>2.0107170000000001</v>
      </c>
      <c r="O111" s="2">
        <f t="shared" ca="1" si="57"/>
        <v>1.8664419999999999</v>
      </c>
      <c r="P111" s="2">
        <f t="shared" ca="1" si="58"/>
        <v>1.7768649999999999</v>
      </c>
      <c r="Q111" s="2">
        <f t="shared" ca="1" si="59"/>
        <v>1.746883</v>
      </c>
      <c r="R111" s="2">
        <f t="shared" ca="1" si="60"/>
        <v>1.769361</v>
      </c>
      <c r="S111" s="2">
        <f t="shared" ca="1" si="61"/>
        <v>1.8535980000000001</v>
      </c>
      <c r="T111" s="2">
        <f t="shared" ca="1" si="62"/>
        <v>1.991374</v>
      </c>
      <c r="U111" s="2">
        <f t="shared" ca="1" si="63"/>
        <v>2.1702140000000001</v>
      </c>
      <c r="V111" s="2">
        <f t="shared" ca="1" si="64"/>
        <v>2.4270800000000001</v>
      </c>
      <c r="W111" s="2">
        <f t="shared" ca="1" si="65"/>
        <v>2.7794409999999998</v>
      </c>
      <c r="X111" s="2">
        <f t="shared" ca="1" si="66"/>
        <v>3.1987199999999998</v>
      </c>
      <c r="Y111" s="2">
        <f t="shared" ca="1" si="67"/>
        <v>3.6225179999999999</v>
      </c>
    </row>
    <row r="112" spans="2:25" x14ac:dyDescent="0.3">
      <c r="B112" s="6">
        <v>109</v>
      </c>
      <c r="C112" s="9">
        <v>1.0385930000000001</v>
      </c>
      <c r="D112" s="9">
        <v>1.0349999999999999</v>
      </c>
      <c r="E112" s="9">
        <v>1.0340480000000001</v>
      </c>
      <c r="F112" s="9">
        <v>1.0866629999999999</v>
      </c>
      <c r="I112" s="13">
        <f t="shared" ca="1" si="51"/>
        <v>4.2290609999999997</v>
      </c>
      <c r="J112" s="2">
        <f t="shared" ca="1" si="52"/>
        <v>3.6876500000000001</v>
      </c>
      <c r="K112" s="2">
        <f t="shared" ca="1" si="53"/>
        <v>3.2514370000000001</v>
      </c>
      <c r="L112" s="2">
        <f t="shared" ca="1" si="54"/>
        <v>2.8623850000000002</v>
      </c>
      <c r="M112" s="2">
        <f t="shared" ca="1" si="55"/>
        <v>2.5505110000000002</v>
      </c>
      <c r="N112" s="2">
        <f t="shared" ca="1" si="56"/>
        <v>2.3287</v>
      </c>
      <c r="O112" s="2">
        <f t="shared" ca="1" si="57"/>
        <v>2.1823610000000002</v>
      </c>
      <c r="P112" s="2">
        <f t="shared" ca="1" si="58"/>
        <v>2.1006879999999999</v>
      </c>
      <c r="Q112" s="2">
        <f t="shared" ca="1" si="59"/>
        <v>2.077887</v>
      </c>
      <c r="R112" s="2">
        <f t="shared" ca="1" si="60"/>
        <v>2.0941740000000002</v>
      </c>
      <c r="S112" s="2">
        <f t="shared" ca="1" si="61"/>
        <v>2.1687409999999998</v>
      </c>
      <c r="T112" s="2">
        <f t="shared" ca="1" si="62"/>
        <v>2.304284</v>
      </c>
      <c r="U112" s="2">
        <f t="shared" ca="1" si="63"/>
        <v>2.5111439999999998</v>
      </c>
      <c r="V112" s="2">
        <f t="shared" ca="1" si="64"/>
        <v>2.807963</v>
      </c>
      <c r="W112" s="2">
        <f t="shared" ca="1" si="65"/>
        <v>3.1744059999999998</v>
      </c>
      <c r="X112" s="2">
        <f t="shared" ca="1" si="66"/>
        <v>3.5809150000000001</v>
      </c>
      <c r="Y112" s="13">
        <f t="shared" ca="1" si="67"/>
        <v>4.0023669999999996</v>
      </c>
    </row>
    <row r="113" spans="2:6" x14ac:dyDescent="0.3">
      <c r="B113" s="6">
        <v>110</v>
      </c>
      <c r="C113" s="9">
        <v>1.004311</v>
      </c>
      <c r="D113" s="9">
        <v>1.005979</v>
      </c>
      <c r="E113" s="9">
        <v>1.0055970000000001</v>
      </c>
      <c r="F113" s="9">
        <v>1.0582450000000001</v>
      </c>
    </row>
    <row r="114" spans="2:6" x14ac:dyDescent="0.3">
      <c r="B114" s="6">
        <v>111</v>
      </c>
      <c r="C114" s="9">
        <v>1.0289919999999999</v>
      </c>
      <c r="D114" s="9">
        <v>1.0272859999999999</v>
      </c>
      <c r="E114" s="9">
        <v>1.027585</v>
      </c>
      <c r="F114" s="9">
        <v>1.077539</v>
      </c>
    </row>
    <row r="115" spans="2:6" x14ac:dyDescent="0.3">
      <c r="B115" s="6">
        <v>112</v>
      </c>
      <c r="C115" s="9">
        <v>1.1084689999999999</v>
      </c>
      <c r="D115" s="9">
        <v>1.100384</v>
      </c>
      <c r="E115" s="9">
        <v>1.0990880000000001</v>
      </c>
      <c r="F115" s="9">
        <v>1.144074</v>
      </c>
    </row>
    <row r="116" spans="2:6" x14ac:dyDescent="0.3">
      <c r="B116" s="6">
        <v>113</v>
      </c>
      <c r="C116" s="9">
        <v>1.2537700000000001</v>
      </c>
      <c r="D116" s="9">
        <v>1.226591</v>
      </c>
      <c r="E116" s="9">
        <v>1.2261390000000001</v>
      </c>
      <c r="F116" s="9">
        <v>1.2728900000000001</v>
      </c>
    </row>
    <row r="117" spans="2:6" x14ac:dyDescent="0.3">
      <c r="B117" s="6">
        <v>114</v>
      </c>
      <c r="C117" s="9">
        <v>1.483768</v>
      </c>
      <c r="D117" s="9">
        <v>1.41659</v>
      </c>
      <c r="E117" s="9">
        <v>1.418282</v>
      </c>
      <c r="F117" s="9">
        <v>1.4709540000000001</v>
      </c>
    </row>
    <row r="118" spans="2:6" x14ac:dyDescent="0.3">
      <c r="B118" s="6">
        <v>115</v>
      </c>
      <c r="C118" s="9">
        <v>1.8049379999999999</v>
      </c>
      <c r="D118" s="9">
        <v>1.674984</v>
      </c>
      <c r="E118" s="9">
        <v>1.677046</v>
      </c>
      <c r="F118" s="9">
        <v>1.7473110000000001</v>
      </c>
    </row>
    <row r="119" spans="2:6" x14ac:dyDescent="0.3">
      <c r="B119" s="6">
        <v>116</v>
      </c>
      <c r="C119" s="9">
        <v>2.167195</v>
      </c>
      <c r="D119" s="9">
        <v>1.961805</v>
      </c>
      <c r="E119" s="9">
        <v>1.962825</v>
      </c>
      <c r="F119" s="9">
        <v>2.0534880000000002</v>
      </c>
    </row>
    <row r="120" spans="2:6" x14ac:dyDescent="0.3">
      <c r="B120" s="6">
        <v>117</v>
      </c>
      <c r="C120" s="9">
        <v>2.577591</v>
      </c>
      <c r="D120" s="9">
        <v>2.300827</v>
      </c>
      <c r="E120" s="9">
        <v>2.3011200000000001</v>
      </c>
      <c r="F120" s="9">
        <v>2.4084400000000001</v>
      </c>
    </row>
    <row r="121" spans="2:6" x14ac:dyDescent="0.3">
      <c r="B121" s="6">
        <v>118</v>
      </c>
      <c r="C121" s="9">
        <v>3.0830489999999999</v>
      </c>
      <c r="D121" s="9">
        <v>2.7279629999999999</v>
      </c>
      <c r="E121" s="9">
        <v>2.7261500000000001</v>
      </c>
      <c r="F121" s="9">
        <v>2.8258329999999998</v>
      </c>
    </row>
    <row r="122" spans="2:6" x14ac:dyDescent="0.3">
      <c r="B122" s="6">
        <v>119</v>
      </c>
      <c r="C122" s="9">
        <v>3.2767309999999998</v>
      </c>
      <c r="D122" s="9">
        <v>2.8898389999999998</v>
      </c>
      <c r="E122" s="9">
        <v>2.8927</v>
      </c>
      <c r="F122" s="9">
        <v>3.0625110000000002</v>
      </c>
    </row>
    <row r="123" spans="2:6" x14ac:dyDescent="0.3">
      <c r="B123" s="6">
        <v>120</v>
      </c>
      <c r="C123" s="9">
        <v>2.7220309999999999</v>
      </c>
      <c r="D123" s="9">
        <v>2.4090560000000001</v>
      </c>
      <c r="E123" s="9">
        <v>2.4090129999999998</v>
      </c>
      <c r="F123" s="9">
        <v>2.5328059999999999</v>
      </c>
    </row>
    <row r="124" spans="2:6" x14ac:dyDescent="0.3">
      <c r="B124" s="6">
        <v>121</v>
      </c>
      <c r="C124" s="9">
        <v>2.2819210000000001</v>
      </c>
      <c r="D124" s="9">
        <v>2.0425070000000001</v>
      </c>
      <c r="E124" s="9">
        <v>2.0417969999999999</v>
      </c>
      <c r="F124" s="9">
        <v>2.1441680000000001</v>
      </c>
    </row>
    <row r="125" spans="2:6" x14ac:dyDescent="0.3">
      <c r="B125" s="6">
        <v>122</v>
      </c>
      <c r="C125" s="9">
        <v>1.9151309999999999</v>
      </c>
      <c r="D125" s="9">
        <v>1.751995</v>
      </c>
      <c r="E125" s="9">
        <v>1.750739</v>
      </c>
      <c r="F125" s="9">
        <v>1.834198</v>
      </c>
    </row>
    <row r="126" spans="2:6" x14ac:dyDescent="0.3">
      <c r="B126" s="6">
        <v>123</v>
      </c>
      <c r="C126" s="9">
        <v>1.5806519999999999</v>
      </c>
      <c r="D126" s="9">
        <v>1.4897290000000001</v>
      </c>
      <c r="E126" s="9">
        <v>1.4893890000000001</v>
      </c>
      <c r="F126" s="9">
        <v>1.5522320000000001</v>
      </c>
    </row>
    <row r="127" spans="2:6" x14ac:dyDescent="0.3">
      <c r="B127" s="6">
        <v>124</v>
      </c>
      <c r="C127" s="9">
        <v>1.3277749999999999</v>
      </c>
      <c r="D127" s="9">
        <v>1.286089</v>
      </c>
      <c r="E127" s="9">
        <v>1.2827550000000001</v>
      </c>
      <c r="F127" s="9">
        <v>1.3404450000000001</v>
      </c>
    </row>
    <row r="128" spans="2:6" x14ac:dyDescent="0.3">
      <c r="B128" s="6">
        <v>125</v>
      </c>
      <c r="C128" s="9">
        <v>1.1639079999999999</v>
      </c>
      <c r="D128" s="9">
        <v>1.1482429999999999</v>
      </c>
      <c r="E128" s="9">
        <v>1.1433450000000001</v>
      </c>
      <c r="F128" s="9">
        <v>1.1959770000000001</v>
      </c>
    </row>
    <row r="129" spans="2:6" x14ac:dyDescent="0.3">
      <c r="B129" s="6">
        <v>126</v>
      </c>
      <c r="C129" s="9">
        <v>1.0698019999999999</v>
      </c>
      <c r="D129" s="9">
        <v>1.0626869999999999</v>
      </c>
      <c r="E129" s="9">
        <v>1.059739</v>
      </c>
      <c r="F129" s="9">
        <v>1.1104050000000001</v>
      </c>
    </row>
    <row r="130" spans="2:6" x14ac:dyDescent="0.3">
      <c r="B130" s="6">
        <v>127</v>
      </c>
      <c r="C130" s="9">
        <v>1.0358560000000001</v>
      </c>
      <c r="D130" s="9">
        <v>1.03247</v>
      </c>
      <c r="E130" s="9">
        <v>1.0298259999999999</v>
      </c>
      <c r="F130" s="9">
        <v>1.0837319999999999</v>
      </c>
    </row>
    <row r="131" spans="2:6" x14ac:dyDescent="0.3">
      <c r="B131" s="6">
        <v>128</v>
      </c>
      <c r="C131" s="9">
        <v>1.0606960000000001</v>
      </c>
      <c r="D131" s="9">
        <v>1.054942</v>
      </c>
      <c r="E131" s="9">
        <v>1.05237</v>
      </c>
      <c r="F131" s="9">
        <v>1.1028720000000001</v>
      </c>
    </row>
    <row r="132" spans="2:6" x14ac:dyDescent="0.3">
      <c r="B132" s="6">
        <v>129</v>
      </c>
      <c r="C132" s="9">
        <v>1.1392180000000001</v>
      </c>
      <c r="D132" s="9">
        <v>1.126957</v>
      </c>
      <c r="E132" s="9">
        <v>1.123594</v>
      </c>
      <c r="F132" s="9">
        <v>1.1712389999999999</v>
      </c>
    </row>
    <row r="133" spans="2:6" x14ac:dyDescent="0.3">
      <c r="B133" s="6">
        <v>130</v>
      </c>
      <c r="C133" s="9">
        <v>1.2857430000000001</v>
      </c>
      <c r="D133" s="9">
        <v>1.252726</v>
      </c>
      <c r="E133" s="9">
        <v>1.249452</v>
      </c>
      <c r="F133" s="9">
        <v>1.300011</v>
      </c>
    </row>
    <row r="134" spans="2:6" x14ac:dyDescent="0.3">
      <c r="B134" s="6">
        <v>131</v>
      </c>
      <c r="C134" s="9">
        <v>1.5204519999999999</v>
      </c>
      <c r="D134" s="9">
        <v>1.444866</v>
      </c>
      <c r="E134" s="9">
        <v>1.443573</v>
      </c>
      <c r="F134" s="9">
        <v>1.5000500000000001</v>
      </c>
    </row>
    <row r="135" spans="2:6" x14ac:dyDescent="0.3">
      <c r="B135" s="6">
        <v>132</v>
      </c>
      <c r="C135" s="9">
        <v>1.8407290000000001</v>
      </c>
      <c r="D135" s="9">
        <v>1.701592</v>
      </c>
      <c r="E135" s="9">
        <v>1.7003740000000001</v>
      </c>
      <c r="F135" s="9">
        <v>1.773655</v>
      </c>
    </row>
    <row r="136" spans="2:6" x14ac:dyDescent="0.3">
      <c r="B136" s="6">
        <v>133</v>
      </c>
      <c r="C136" s="9">
        <v>2.1971799999999999</v>
      </c>
      <c r="D136" s="9">
        <v>1.9840690000000001</v>
      </c>
      <c r="E136" s="9">
        <v>1.9806649999999999</v>
      </c>
      <c r="F136" s="9">
        <v>2.0748639999999998</v>
      </c>
    </row>
    <row r="137" spans="2:6" x14ac:dyDescent="0.3">
      <c r="B137" s="6">
        <v>134</v>
      </c>
      <c r="C137" s="9">
        <v>2.6072280000000001</v>
      </c>
      <c r="D137" s="9">
        <v>2.3241269999999998</v>
      </c>
      <c r="E137" s="9">
        <v>2.321644</v>
      </c>
      <c r="F137" s="9">
        <v>2.4320689999999998</v>
      </c>
    </row>
    <row r="138" spans="2:6" x14ac:dyDescent="0.3">
      <c r="B138" s="6">
        <v>135</v>
      </c>
      <c r="C138" s="9">
        <v>3.1138970000000001</v>
      </c>
      <c r="D138" s="9">
        <v>2.7541549999999999</v>
      </c>
      <c r="E138" s="9">
        <v>2.7469290000000002</v>
      </c>
      <c r="F138" s="9">
        <v>2.8583910000000001</v>
      </c>
    </row>
    <row r="139" spans="2:6" x14ac:dyDescent="0.3">
      <c r="B139" s="6">
        <v>136</v>
      </c>
      <c r="C139" s="9">
        <v>3.3788010000000002</v>
      </c>
      <c r="D139" s="9">
        <v>2.9809969999999999</v>
      </c>
      <c r="E139" s="9">
        <v>2.9768020000000002</v>
      </c>
      <c r="F139" s="9">
        <v>3.1472250000000002</v>
      </c>
    </row>
    <row r="140" spans="2:6" x14ac:dyDescent="0.3">
      <c r="B140" s="6">
        <v>137</v>
      </c>
      <c r="C140" s="9">
        <v>2.824964</v>
      </c>
      <c r="D140" s="9">
        <v>2.4983590000000002</v>
      </c>
      <c r="E140" s="9">
        <v>2.4927039999999998</v>
      </c>
      <c r="F140" s="9">
        <v>2.6218189999999999</v>
      </c>
    </row>
    <row r="141" spans="2:6" x14ac:dyDescent="0.3">
      <c r="B141" s="6">
        <v>138</v>
      </c>
      <c r="C141" s="9">
        <v>2.3764590000000001</v>
      </c>
      <c r="D141" s="9">
        <v>2.1179950000000001</v>
      </c>
      <c r="E141" s="9">
        <v>2.1123769999999999</v>
      </c>
      <c r="F141" s="9">
        <v>2.2200540000000002</v>
      </c>
    </row>
    <row r="142" spans="2:6" x14ac:dyDescent="0.3">
      <c r="B142" s="6">
        <v>139</v>
      </c>
      <c r="C142" s="9">
        <v>2.01383</v>
      </c>
      <c r="D142" s="9">
        <v>1.82985</v>
      </c>
      <c r="E142" s="9">
        <v>1.8249249999999999</v>
      </c>
      <c r="F142" s="9">
        <v>1.910984</v>
      </c>
    </row>
    <row r="143" spans="2:6" x14ac:dyDescent="0.3">
      <c r="B143" s="6">
        <v>140</v>
      </c>
      <c r="C143" s="9">
        <v>1.6888479999999999</v>
      </c>
      <c r="D143" s="9">
        <v>1.579391</v>
      </c>
      <c r="E143" s="9">
        <v>1.5735129999999999</v>
      </c>
      <c r="F143" s="9">
        <v>1.641899</v>
      </c>
    </row>
    <row r="144" spans="2:6" x14ac:dyDescent="0.3">
      <c r="B144" s="6">
        <v>141</v>
      </c>
      <c r="C144" s="9">
        <v>1.4271339999999999</v>
      </c>
      <c r="D144" s="9">
        <v>1.370139</v>
      </c>
      <c r="E144" s="9">
        <v>1.361869</v>
      </c>
      <c r="F144" s="9">
        <v>1.422679</v>
      </c>
    </row>
    <row r="145" spans="2:6" x14ac:dyDescent="0.3">
      <c r="B145" s="6">
        <v>142</v>
      </c>
      <c r="C145" s="9">
        <v>1.255612</v>
      </c>
      <c r="D145" s="9">
        <v>1.227887</v>
      </c>
      <c r="E145" s="9">
        <v>1.2196880000000001</v>
      </c>
      <c r="F145" s="9">
        <v>1.2727189999999999</v>
      </c>
    </row>
    <row r="146" spans="2:6" x14ac:dyDescent="0.3">
      <c r="B146" s="6">
        <v>143</v>
      </c>
      <c r="C146" s="9">
        <v>1.1557949999999999</v>
      </c>
      <c r="D146" s="9">
        <v>1.139832</v>
      </c>
      <c r="E146" s="9">
        <v>1.1321619999999999</v>
      </c>
      <c r="F146" s="9">
        <v>1.1820329999999999</v>
      </c>
    </row>
    <row r="147" spans="2:6" x14ac:dyDescent="0.3">
      <c r="B147" s="6">
        <v>144</v>
      </c>
      <c r="C147" s="9">
        <v>1.121437</v>
      </c>
      <c r="D147" s="9">
        <v>1.109413</v>
      </c>
      <c r="E147" s="9">
        <v>1.103399</v>
      </c>
      <c r="F147" s="9">
        <v>1.155842</v>
      </c>
    </row>
    <row r="148" spans="2:6" x14ac:dyDescent="0.3">
      <c r="B148" s="6">
        <v>145</v>
      </c>
      <c r="C148" s="9">
        <v>1.1457710000000001</v>
      </c>
      <c r="D148" s="9">
        <v>1.131572</v>
      </c>
      <c r="E148" s="9">
        <v>1.124628</v>
      </c>
      <c r="F148" s="9">
        <v>1.175163</v>
      </c>
    </row>
    <row r="149" spans="2:6" x14ac:dyDescent="0.3">
      <c r="B149" s="6">
        <v>146</v>
      </c>
      <c r="C149" s="9">
        <v>1.2286010000000001</v>
      </c>
      <c r="D149" s="9">
        <v>1.204758</v>
      </c>
      <c r="E149" s="9">
        <v>1.1972069999999999</v>
      </c>
      <c r="F149" s="9">
        <v>1.2491559999999999</v>
      </c>
    </row>
    <row r="150" spans="2:6" x14ac:dyDescent="0.3">
      <c r="B150" s="6">
        <v>147</v>
      </c>
      <c r="C150" s="9">
        <v>1.3851599999999999</v>
      </c>
      <c r="D150" s="9">
        <v>1.336883</v>
      </c>
      <c r="E150" s="9">
        <v>1.32887</v>
      </c>
      <c r="F150" s="9">
        <v>1.38673</v>
      </c>
    </row>
    <row r="151" spans="2:6" x14ac:dyDescent="0.3">
      <c r="B151" s="6">
        <v>148</v>
      </c>
      <c r="C151" s="9">
        <v>1.6286510000000001</v>
      </c>
      <c r="D151" s="9">
        <v>1.533641</v>
      </c>
      <c r="E151" s="9">
        <v>1.5279929999999999</v>
      </c>
      <c r="F151" s="9">
        <v>1.593782</v>
      </c>
    </row>
    <row r="152" spans="2:6" x14ac:dyDescent="0.3">
      <c r="B152" s="6">
        <v>149</v>
      </c>
      <c r="C152" s="9">
        <v>1.944814</v>
      </c>
      <c r="D152" s="9">
        <v>1.7821769999999999</v>
      </c>
      <c r="E152" s="9">
        <v>1.776456</v>
      </c>
      <c r="F152" s="9">
        <v>1.8602339999999999</v>
      </c>
    </row>
    <row r="153" spans="2:6" x14ac:dyDescent="0.3">
      <c r="B153" s="6">
        <v>150</v>
      </c>
      <c r="C153" s="9">
        <v>2.2905890000000002</v>
      </c>
      <c r="D153" s="9">
        <v>2.0566170000000001</v>
      </c>
      <c r="E153" s="9">
        <v>2.0499320000000001</v>
      </c>
      <c r="F153" s="9">
        <v>2.1522969999999999</v>
      </c>
    </row>
    <row r="154" spans="2:6" x14ac:dyDescent="0.3">
      <c r="B154" s="6">
        <v>151</v>
      </c>
      <c r="C154" s="9">
        <v>2.7072889999999998</v>
      </c>
      <c r="D154" s="9">
        <v>2.408849</v>
      </c>
      <c r="E154" s="9">
        <v>2.4007689999999999</v>
      </c>
      <c r="F154" s="9">
        <v>2.5227710000000001</v>
      </c>
    </row>
    <row r="155" spans="2:6" x14ac:dyDescent="0.3">
      <c r="B155" s="6">
        <v>152</v>
      </c>
      <c r="C155" s="9">
        <v>3.2245149999999998</v>
      </c>
      <c r="D155" s="9">
        <v>2.8480259999999999</v>
      </c>
      <c r="E155" s="9">
        <v>2.8415210000000002</v>
      </c>
      <c r="F155" s="9">
        <v>2.9450379999999998</v>
      </c>
    </row>
    <row r="156" spans="2:6" x14ac:dyDescent="0.3">
      <c r="B156" s="6">
        <v>153</v>
      </c>
      <c r="C156" s="9">
        <v>3.5506769999999999</v>
      </c>
      <c r="D156" s="9">
        <v>3.1320610000000002</v>
      </c>
      <c r="E156" s="9">
        <v>3.1185520000000002</v>
      </c>
      <c r="F156" s="9">
        <v>3.302171</v>
      </c>
    </row>
    <row r="157" spans="2:6" x14ac:dyDescent="0.3">
      <c r="B157" s="6">
        <v>154</v>
      </c>
      <c r="C157" s="9">
        <v>2.998637</v>
      </c>
      <c r="D157" s="9">
        <v>2.6549559999999999</v>
      </c>
      <c r="E157" s="9">
        <v>2.6438359999999999</v>
      </c>
      <c r="F157" s="9">
        <v>2.78437</v>
      </c>
    </row>
    <row r="158" spans="2:6" x14ac:dyDescent="0.3">
      <c r="B158" s="6">
        <v>155</v>
      </c>
      <c r="C158" s="9">
        <v>2.534729</v>
      </c>
      <c r="D158" s="9">
        <v>2.251023</v>
      </c>
      <c r="E158" s="9">
        <v>2.2384719999999998</v>
      </c>
      <c r="F158" s="9">
        <v>2.3566549999999999</v>
      </c>
    </row>
    <row r="159" spans="2:6" x14ac:dyDescent="0.3">
      <c r="B159" s="6">
        <v>156</v>
      </c>
      <c r="C159" s="9">
        <v>2.1711710000000002</v>
      </c>
      <c r="D159" s="9">
        <v>1.958888</v>
      </c>
      <c r="E159" s="9">
        <v>1.9456789999999999</v>
      </c>
      <c r="F159" s="9">
        <v>2.040543</v>
      </c>
    </row>
    <row r="160" spans="2:6" x14ac:dyDescent="0.3">
      <c r="B160" s="6">
        <v>157</v>
      </c>
      <c r="C160" s="9">
        <v>1.864141</v>
      </c>
      <c r="D160" s="9">
        <v>1.7215149999999999</v>
      </c>
      <c r="E160" s="9">
        <v>1.707797</v>
      </c>
      <c r="F160" s="9">
        <v>1.784365</v>
      </c>
    </row>
    <row r="161" spans="2:6" x14ac:dyDescent="0.3">
      <c r="B161" s="6">
        <v>158</v>
      </c>
      <c r="C161" s="9">
        <v>1.6024320000000001</v>
      </c>
      <c r="D161" s="9">
        <v>1.515935</v>
      </c>
      <c r="E161" s="9">
        <v>1.498945</v>
      </c>
      <c r="F161" s="9">
        <v>1.565045</v>
      </c>
    </row>
    <row r="162" spans="2:6" x14ac:dyDescent="0.3">
      <c r="B162" s="6">
        <v>159</v>
      </c>
      <c r="C162" s="9">
        <v>1.4190849999999999</v>
      </c>
      <c r="D162" s="9">
        <v>1.364547</v>
      </c>
      <c r="E162" s="9">
        <v>1.3481989999999999</v>
      </c>
      <c r="F162" s="9">
        <v>1.4032469999999999</v>
      </c>
    </row>
    <row r="163" spans="2:6" x14ac:dyDescent="0.3">
      <c r="B163" s="6">
        <v>160</v>
      </c>
      <c r="C163" s="9">
        <v>1.3112630000000001</v>
      </c>
      <c r="D163" s="9">
        <v>1.271606</v>
      </c>
      <c r="E163" s="9">
        <v>1.2571300000000001</v>
      </c>
      <c r="F163" s="9">
        <v>1.309283</v>
      </c>
    </row>
    <row r="164" spans="2:6" x14ac:dyDescent="0.3">
      <c r="B164" s="6">
        <v>161</v>
      </c>
      <c r="C164" s="9">
        <v>1.2718860000000001</v>
      </c>
      <c r="D164" s="9">
        <v>1.239414</v>
      </c>
      <c r="E164" s="9">
        <v>1.225214</v>
      </c>
      <c r="F164" s="9">
        <v>1.2800530000000001</v>
      </c>
    </row>
    <row r="165" spans="2:6" x14ac:dyDescent="0.3">
      <c r="B165" s="6">
        <v>162</v>
      </c>
      <c r="C165" s="9">
        <v>1.2984549999999999</v>
      </c>
      <c r="D165" s="9">
        <v>1.260796</v>
      </c>
      <c r="E165" s="9">
        <v>1.246491</v>
      </c>
      <c r="F165" s="9">
        <v>1.3014950000000001</v>
      </c>
    </row>
    <row r="166" spans="2:6" x14ac:dyDescent="0.3">
      <c r="B166" s="6">
        <v>163</v>
      </c>
      <c r="C166" s="9">
        <v>1.390172</v>
      </c>
      <c r="D166" s="9">
        <v>1.3407180000000001</v>
      </c>
      <c r="E166" s="9">
        <v>1.3250930000000001</v>
      </c>
      <c r="F166" s="9">
        <v>1.383669</v>
      </c>
    </row>
    <row r="167" spans="2:6" x14ac:dyDescent="0.3">
      <c r="B167" s="6">
        <v>164</v>
      </c>
      <c r="C167" s="9">
        <v>1.5563020000000001</v>
      </c>
      <c r="D167" s="9">
        <v>1.4802759999999999</v>
      </c>
      <c r="E167" s="9">
        <v>1.46526</v>
      </c>
      <c r="F167" s="9">
        <v>1.531317</v>
      </c>
    </row>
    <row r="168" spans="2:6" x14ac:dyDescent="0.3">
      <c r="B168" s="6">
        <v>165</v>
      </c>
      <c r="C168" s="9">
        <v>1.8063419999999999</v>
      </c>
      <c r="D168" s="9">
        <v>1.6797629999999999</v>
      </c>
      <c r="E168" s="9">
        <v>1.6656280000000001</v>
      </c>
      <c r="F168" s="9">
        <v>1.7425409999999999</v>
      </c>
    </row>
    <row r="169" spans="2:6" x14ac:dyDescent="0.3">
      <c r="B169" s="6">
        <v>166</v>
      </c>
      <c r="C169" s="9">
        <v>2.105369</v>
      </c>
      <c r="D169" s="9">
        <v>1.909505</v>
      </c>
      <c r="E169" s="9">
        <v>1.898531</v>
      </c>
      <c r="F169" s="9">
        <v>1.9905949999999999</v>
      </c>
    </row>
    <row r="170" spans="2:6" x14ac:dyDescent="0.3">
      <c r="B170" s="6">
        <v>167</v>
      </c>
      <c r="C170" s="9">
        <v>2.4449320000000001</v>
      </c>
      <c r="D170" s="9">
        <v>2.183503</v>
      </c>
      <c r="E170" s="9">
        <v>2.172965</v>
      </c>
      <c r="F170" s="9">
        <v>2.285104</v>
      </c>
    </row>
    <row r="171" spans="2:6" x14ac:dyDescent="0.3">
      <c r="B171" s="6">
        <v>168</v>
      </c>
      <c r="C171" s="9">
        <v>2.8796240000000002</v>
      </c>
      <c r="D171" s="9">
        <v>2.5559059999999998</v>
      </c>
      <c r="E171" s="9">
        <v>2.5461819999999999</v>
      </c>
      <c r="F171" s="9">
        <v>2.677476</v>
      </c>
    </row>
    <row r="172" spans="2:6" x14ac:dyDescent="0.3">
      <c r="B172" s="6">
        <v>169</v>
      </c>
      <c r="C172" s="9">
        <v>3.4053879999999999</v>
      </c>
      <c r="D172" s="9">
        <v>3.0043440000000001</v>
      </c>
      <c r="E172" s="9">
        <v>2.994605</v>
      </c>
      <c r="F172" s="9">
        <v>3.109499</v>
      </c>
    </row>
    <row r="173" spans="2:6" x14ac:dyDescent="0.3">
      <c r="B173" s="6">
        <v>170</v>
      </c>
      <c r="C173" s="9">
        <v>3.771315</v>
      </c>
      <c r="D173" s="9">
        <v>3.344411</v>
      </c>
      <c r="E173" s="9">
        <v>3.3249610000000001</v>
      </c>
      <c r="F173" s="9">
        <v>3.5266449999999998</v>
      </c>
    </row>
    <row r="174" spans="2:6" x14ac:dyDescent="0.3">
      <c r="B174" s="6">
        <v>171</v>
      </c>
      <c r="C174" s="9">
        <v>3.2450600000000001</v>
      </c>
      <c r="D174" s="9">
        <v>2.8778380000000001</v>
      </c>
      <c r="E174" s="9">
        <v>2.858819</v>
      </c>
      <c r="F174" s="9">
        <v>3.01031</v>
      </c>
    </row>
    <row r="175" spans="2:6" x14ac:dyDescent="0.3">
      <c r="B175" s="6">
        <v>172</v>
      </c>
      <c r="C175" s="9">
        <v>2.7680660000000001</v>
      </c>
      <c r="D175" s="9">
        <v>2.455635</v>
      </c>
      <c r="E175" s="9">
        <v>2.4385400000000002</v>
      </c>
      <c r="F175" s="9">
        <v>2.5686100000000001</v>
      </c>
    </row>
    <row r="176" spans="2:6" x14ac:dyDescent="0.3">
      <c r="B176" s="6">
        <v>173</v>
      </c>
      <c r="C176" s="9">
        <v>2.3925700000000001</v>
      </c>
      <c r="D176" s="9">
        <v>2.1398549999999998</v>
      </c>
      <c r="E176" s="9">
        <v>2.1180829999999999</v>
      </c>
      <c r="F176" s="9">
        <v>2.218826</v>
      </c>
    </row>
    <row r="177" spans="2:6" x14ac:dyDescent="0.3">
      <c r="B177" s="6">
        <v>174</v>
      </c>
      <c r="C177" s="9">
        <v>2.0969060000000002</v>
      </c>
      <c r="D177" s="9">
        <v>1.9086939999999999</v>
      </c>
      <c r="E177" s="9">
        <v>1.8840330000000001</v>
      </c>
      <c r="F177" s="9">
        <v>1.969514</v>
      </c>
    </row>
    <row r="178" spans="2:6" x14ac:dyDescent="0.3">
      <c r="B178" s="6">
        <v>175</v>
      </c>
      <c r="C178" s="9">
        <v>1.858697</v>
      </c>
      <c r="D178" s="9">
        <v>1.7209460000000001</v>
      </c>
      <c r="E178" s="9">
        <v>1.6938390000000001</v>
      </c>
      <c r="F178" s="9">
        <v>1.769158</v>
      </c>
    </row>
    <row r="179" spans="2:6" x14ac:dyDescent="0.3">
      <c r="B179" s="6">
        <v>176</v>
      </c>
      <c r="C179" s="9">
        <v>1.6709290000000001</v>
      </c>
      <c r="D179" s="9">
        <v>1.5685830000000001</v>
      </c>
      <c r="E179" s="9">
        <v>1.5421469999999999</v>
      </c>
      <c r="F179" s="9">
        <v>1.6039239999999999</v>
      </c>
    </row>
    <row r="180" spans="2:6" x14ac:dyDescent="0.3">
      <c r="B180" s="6">
        <v>177</v>
      </c>
      <c r="C180" s="9">
        <v>1.554324</v>
      </c>
      <c r="D180" s="9">
        <v>1.4720979999999999</v>
      </c>
      <c r="E180" s="9">
        <v>1.448685</v>
      </c>
      <c r="F180" s="9">
        <v>1.5071699999999999</v>
      </c>
    </row>
    <row r="181" spans="2:6" x14ac:dyDescent="0.3">
      <c r="B181" s="6">
        <v>178</v>
      </c>
      <c r="C181" s="9">
        <v>1.511811</v>
      </c>
      <c r="D181" s="9">
        <v>1.436958</v>
      </c>
      <c r="E181" s="9">
        <v>1.4131880000000001</v>
      </c>
      <c r="F181" s="9">
        <v>1.4745189999999999</v>
      </c>
    </row>
    <row r="182" spans="2:6" x14ac:dyDescent="0.3">
      <c r="B182" s="6">
        <v>179</v>
      </c>
      <c r="C182" s="9">
        <v>1.539671</v>
      </c>
      <c r="D182" s="9">
        <v>1.4590559999999999</v>
      </c>
      <c r="E182" s="9">
        <v>1.434906</v>
      </c>
      <c r="F182" s="9">
        <v>1.4972529999999999</v>
      </c>
    </row>
    <row r="183" spans="2:6" x14ac:dyDescent="0.3">
      <c r="B183" s="6">
        <v>180</v>
      </c>
      <c r="C183" s="9">
        <v>1.6385689999999999</v>
      </c>
      <c r="D183" s="9">
        <v>1.542618</v>
      </c>
      <c r="E183" s="9">
        <v>1.5180260000000001</v>
      </c>
      <c r="F183" s="9">
        <v>1.586579</v>
      </c>
    </row>
    <row r="184" spans="2:6" x14ac:dyDescent="0.3">
      <c r="B184" s="6">
        <v>181</v>
      </c>
      <c r="C184" s="9">
        <v>1.8138000000000001</v>
      </c>
      <c r="D184" s="9">
        <v>1.684906</v>
      </c>
      <c r="E184" s="9">
        <v>1.6596580000000001</v>
      </c>
      <c r="F184" s="9">
        <v>1.7420009999999999</v>
      </c>
    </row>
    <row r="185" spans="2:6" x14ac:dyDescent="0.3">
      <c r="B185" s="6">
        <v>182</v>
      </c>
      <c r="C185" s="9">
        <v>2.042125</v>
      </c>
      <c r="D185" s="9">
        <v>1.8679829999999999</v>
      </c>
      <c r="E185" s="9">
        <v>1.8432219999999999</v>
      </c>
      <c r="F185" s="9">
        <v>1.934491</v>
      </c>
    </row>
    <row r="186" spans="2:6" x14ac:dyDescent="0.3">
      <c r="B186" s="6">
        <v>183</v>
      </c>
      <c r="C186" s="9">
        <v>2.3216869999999998</v>
      </c>
      <c r="D186" s="9">
        <v>2.0846520000000002</v>
      </c>
      <c r="E186" s="9">
        <v>2.0644930000000001</v>
      </c>
      <c r="F186" s="9">
        <v>2.1679210000000002</v>
      </c>
    </row>
    <row r="187" spans="2:6" x14ac:dyDescent="0.3">
      <c r="B187" s="6">
        <v>184</v>
      </c>
      <c r="C187" s="9">
        <v>2.674928</v>
      </c>
      <c r="D187" s="9">
        <v>2.3828900000000002</v>
      </c>
      <c r="E187" s="9">
        <v>2.3637899999999998</v>
      </c>
      <c r="F187" s="9">
        <v>2.4909520000000001</v>
      </c>
    </row>
    <row r="188" spans="2:6" x14ac:dyDescent="0.3">
      <c r="B188" s="6">
        <v>185</v>
      </c>
      <c r="C188" s="9">
        <v>3.1286520000000002</v>
      </c>
      <c r="D188" s="9">
        <v>2.7777050000000001</v>
      </c>
      <c r="E188" s="9">
        <v>2.7606850000000001</v>
      </c>
      <c r="F188" s="9">
        <v>2.9052069999999999</v>
      </c>
    </row>
    <row r="189" spans="2:6" x14ac:dyDescent="0.3">
      <c r="B189" s="6">
        <v>186</v>
      </c>
      <c r="C189" s="9">
        <v>3.6454650000000002</v>
      </c>
      <c r="D189" s="9">
        <v>3.2188979999999998</v>
      </c>
      <c r="E189" s="9">
        <v>3.2018800000000001</v>
      </c>
      <c r="F189" s="9">
        <v>3.3344839999999998</v>
      </c>
    </row>
    <row r="190" spans="2:6" x14ac:dyDescent="0.3">
      <c r="B190" s="6">
        <v>187</v>
      </c>
      <c r="C190" s="9">
        <v>4.0500100000000003</v>
      </c>
      <c r="D190" s="9">
        <v>3.6059540000000001</v>
      </c>
      <c r="E190" s="9">
        <v>3.5847690000000001</v>
      </c>
      <c r="F190" s="9">
        <v>3.804125</v>
      </c>
    </row>
    <row r="191" spans="2:6" x14ac:dyDescent="0.3">
      <c r="B191" s="6">
        <v>188</v>
      </c>
      <c r="C191" s="9">
        <v>3.5499290000000001</v>
      </c>
      <c r="D191" s="9">
        <v>3.1594899999999999</v>
      </c>
      <c r="E191" s="9">
        <v>3.1311550000000001</v>
      </c>
      <c r="F191" s="9">
        <v>3.2973170000000001</v>
      </c>
    </row>
    <row r="192" spans="2:6" x14ac:dyDescent="0.3">
      <c r="B192" s="6">
        <v>189</v>
      </c>
      <c r="C192" s="9">
        <v>3.0832079999999999</v>
      </c>
      <c r="D192" s="9">
        <v>2.7396509999999998</v>
      </c>
      <c r="E192" s="9">
        <v>2.7083750000000002</v>
      </c>
      <c r="F192" s="9">
        <v>2.8550499999999999</v>
      </c>
    </row>
    <row r="193" spans="2:6" x14ac:dyDescent="0.3">
      <c r="B193" s="6">
        <v>190</v>
      </c>
      <c r="C193" s="9">
        <v>2.6848380000000001</v>
      </c>
      <c r="D193" s="9">
        <v>2.394317</v>
      </c>
      <c r="E193" s="9">
        <v>2.3605360000000002</v>
      </c>
      <c r="F193" s="9">
        <v>2.4779179999999998</v>
      </c>
    </row>
    <row r="194" spans="2:6" x14ac:dyDescent="0.3">
      <c r="B194" s="6">
        <v>191</v>
      </c>
      <c r="C194" s="9">
        <v>2.381767</v>
      </c>
      <c r="D194" s="9">
        <v>2.1384820000000002</v>
      </c>
      <c r="E194" s="9">
        <v>2.1021130000000001</v>
      </c>
      <c r="F194" s="9">
        <v>2.204142</v>
      </c>
    </row>
    <row r="195" spans="2:6" x14ac:dyDescent="0.3">
      <c r="B195" s="6">
        <v>192</v>
      </c>
      <c r="C195" s="9">
        <v>2.1538460000000001</v>
      </c>
      <c r="D195" s="9">
        <v>1.953411</v>
      </c>
      <c r="E195" s="9">
        <v>1.9171769999999999</v>
      </c>
      <c r="F195" s="9">
        <v>2.0107170000000001</v>
      </c>
    </row>
    <row r="196" spans="2:6" x14ac:dyDescent="0.3">
      <c r="B196" s="6">
        <v>193</v>
      </c>
      <c r="C196" s="9">
        <v>1.9894499999999999</v>
      </c>
      <c r="D196" s="9">
        <v>1.820638</v>
      </c>
      <c r="E196" s="9">
        <v>1.785774</v>
      </c>
      <c r="F196" s="9">
        <v>1.8664419999999999</v>
      </c>
    </row>
    <row r="197" spans="2:6" x14ac:dyDescent="0.3">
      <c r="B197" s="6">
        <v>194</v>
      </c>
      <c r="C197" s="9">
        <v>1.8783350000000001</v>
      </c>
      <c r="D197" s="9">
        <v>1.7317739999999999</v>
      </c>
      <c r="E197" s="9">
        <v>1.6991529999999999</v>
      </c>
      <c r="F197" s="9">
        <v>1.7768649999999999</v>
      </c>
    </row>
    <row r="198" spans="2:6" x14ac:dyDescent="0.3">
      <c r="B198" s="6">
        <v>195</v>
      </c>
      <c r="C198" s="9">
        <v>1.8374379999999999</v>
      </c>
      <c r="D198" s="9">
        <v>1.699624</v>
      </c>
      <c r="E198" s="9">
        <v>1.666793</v>
      </c>
      <c r="F198" s="9">
        <v>1.746883</v>
      </c>
    </row>
    <row r="199" spans="2:6" x14ac:dyDescent="0.3">
      <c r="B199" s="6">
        <v>196</v>
      </c>
      <c r="C199" s="9">
        <v>1.865666</v>
      </c>
      <c r="D199" s="9">
        <v>1.7196009999999999</v>
      </c>
      <c r="E199" s="9">
        <v>1.6872149999999999</v>
      </c>
      <c r="F199" s="9">
        <v>1.769361</v>
      </c>
    </row>
    <row r="200" spans="2:6" x14ac:dyDescent="0.3">
      <c r="B200" s="6">
        <v>197</v>
      </c>
      <c r="C200" s="9">
        <v>1.960812</v>
      </c>
      <c r="D200" s="9">
        <v>1.7985359999999999</v>
      </c>
      <c r="E200" s="9">
        <v>1.764796</v>
      </c>
      <c r="F200" s="9">
        <v>1.8535980000000001</v>
      </c>
    </row>
    <row r="201" spans="2:6" x14ac:dyDescent="0.3">
      <c r="B201" s="6">
        <v>198</v>
      </c>
      <c r="C201" s="9">
        <v>2.1164399999999999</v>
      </c>
      <c r="D201" s="9">
        <v>1.9253210000000001</v>
      </c>
      <c r="E201" s="9">
        <v>1.8899250000000001</v>
      </c>
      <c r="F201" s="9">
        <v>1.991374</v>
      </c>
    </row>
    <row r="202" spans="2:6" x14ac:dyDescent="0.3">
      <c r="B202" s="6">
        <v>199</v>
      </c>
      <c r="C202" s="9">
        <v>2.3273630000000001</v>
      </c>
      <c r="D202" s="9">
        <v>2.0952489999999999</v>
      </c>
      <c r="E202" s="9">
        <v>2.0597620000000001</v>
      </c>
      <c r="F202" s="9">
        <v>2.1702140000000001</v>
      </c>
    </row>
    <row r="203" spans="2:6" x14ac:dyDescent="0.3">
      <c r="B203" s="6">
        <v>200</v>
      </c>
      <c r="C203" s="9">
        <v>2.6132949999999999</v>
      </c>
      <c r="D203" s="9">
        <v>2.3359260000000002</v>
      </c>
      <c r="E203" s="9">
        <v>2.3041149999999999</v>
      </c>
      <c r="F203" s="9">
        <v>2.4270800000000001</v>
      </c>
    </row>
    <row r="204" spans="2:6" x14ac:dyDescent="0.3">
      <c r="B204" s="6">
        <v>201</v>
      </c>
      <c r="C204" s="9">
        <v>2.9919120000000001</v>
      </c>
      <c r="D204" s="9">
        <v>2.665451</v>
      </c>
      <c r="E204" s="9">
        <v>2.6352570000000002</v>
      </c>
      <c r="F204" s="9">
        <v>2.7794409999999998</v>
      </c>
    </row>
    <row r="205" spans="2:6" x14ac:dyDescent="0.3">
      <c r="B205" s="6">
        <v>202</v>
      </c>
      <c r="C205" s="9">
        <v>3.4412020000000001</v>
      </c>
      <c r="D205" s="9">
        <v>3.0609199999999999</v>
      </c>
      <c r="E205" s="9">
        <v>3.0353539999999999</v>
      </c>
      <c r="F205" s="9">
        <v>3.1987199999999998</v>
      </c>
    </row>
    <row r="206" spans="2:6" x14ac:dyDescent="0.3">
      <c r="B206" s="6">
        <v>203</v>
      </c>
      <c r="C206" s="9">
        <v>3.9206850000000002</v>
      </c>
      <c r="D206" s="9">
        <v>3.4795120000000002</v>
      </c>
      <c r="E206" s="9">
        <v>3.4587530000000002</v>
      </c>
      <c r="F206" s="9">
        <v>3.6225179999999999</v>
      </c>
    </row>
    <row r="207" spans="2:6" x14ac:dyDescent="0.3">
      <c r="B207" s="6">
        <v>204</v>
      </c>
      <c r="C207" s="9">
        <v>4.4412640000000003</v>
      </c>
      <c r="D207" s="9">
        <v>3.9948739999999998</v>
      </c>
      <c r="E207" s="9">
        <v>3.9703059999999999</v>
      </c>
      <c r="F207" s="9">
        <v>4.2290609999999997</v>
      </c>
    </row>
    <row r="208" spans="2:6" x14ac:dyDescent="0.3">
      <c r="B208" s="6">
        <v>205</v>
      </c>
      <c r="C208" s="9">
        <v>3.9124249999999998</v>
      </c>
      <c r="D208" s="9">
        <v>3.5070670000000002</v>
      </c>
      <c r="E208" s="9">
        <v>3.4686029999999999</v>
      </c>
      <c r="F208" s="9">
        <v>3.6876500000000001</v>
      </c>
    </row>
    <row r="209" spans="1:89" x14ac:dyDescent="0.3">
      <c r="B209" s="6">
        <v>206</v>
      </c>
      <c r="C209" s="9">
        <v>3.4669669999999999</v>
      </c>
      <c r="D209" s="9">
        <v>3.1009139999999999</v>
      </c>
      <c r="E209" s="9">
        <v>3.055552</v>
      </c>
      <c r="F209" s="9">
        <v>3.2514370000000001</v>
      </c>
    </row>
    <row r="210" spans="1:89" x14ac:dyDescent="0.3">
      <c r="B210" s="6">
        <v>207</v>
      </c>
      <c r="C210" s="9">
        <v>3.0699230000000002</v>
      </c>
      <c r="D210" s="9">
        <v>2.7418580000000001</v>
      </c>
      <c r="E210" s="9">
        <v>2.6948080000000001</v>
      </c>
      <c r="F210" s="9">
        <v>2.8623850000000002</v>
      </c>
    </row>
    <row r="211" spans="1:89" x14ac:dyDescent="0.3">
      <c r="B211" s="6">
        <v>208</v>
      </c>
      <c r="C211" s="9">
        <v>2.7346900000000001</v>
      </c>
      <c r="D211" s="9">
        <v>2.4479639999999998</v>
      </c>
      <c r="E211" s="9">
        <v>2.4004949999999998</v>
      </c>
      <c r="F211" s="9">
        <v>2.5505110000000002</v>
      </c>
    </row>
    <row r="212" spans="1:89" x14ac:dyDescent="0.3">
      <c r="B212" s="6">
        <v>209</v>
      </c>
      <c r="C212" s="9">
        <v>2.4982489999999999</v>
      </c>
      <c r="D212" s="9">
        <v>2.2366839999999999</v>
      </c>
      <c r="E212" s="9">
        <v>2.1920799999999998</v>
      </c>
      <c r="F212" s="9">
        <v>2.3287</v>
      </c>
    </row>
    <row r="213" spans="1:89" x14ac:dyDescent="0.3">
      <c r="B213" s="6">
        <v>210</v>
      </c>
      <c r="C213" s="9">
        <v>2.3330850000000001</v>
      </c>
      <c r="D213" s="9">
        <v>2.1011160000000002</v>
      </c>
      <c r="E213" s="9">
        <v>2.060149</v>
      </c>
      <c r="F213" s="9">
        <v>2.1823610000000002</v>
      </c>
    </row>
    <row r="214" spans="1:89" x14ac:dyDescent="0.3">
      <c r="B214" s="6">
        <v>211</v>
      </c>
      <c r="C214" s="9">
        <v>2.2352859999999999</v>
      </c>
      <c r="D214" s="9">
        <v>2.021169</v>
      </c>
      <c r="E214" s="9">
        <v>1.982866</v>
      </c>
      <c r="F214" s="9">
        <v>2.1006879999999999</v>
      </c>
    </row>
    <row r="215" spans="1:89" x14ac:dyDescent="0.3">
      <c r="B215" s="6">
        <v>212</v>
      </c>
      <c r="C215" s="9">
        <v>2.2011539999999998</v>
      </c>
      <c r="D215" s="9">
        <v>1.9938670000000001</v>
      </c>
      <c r="E215" s="9">
        <v>1.9506209999999999</v>
      </c>
      <c r="F215" s="9">
        <v>2.077887</v>
      </c>
    </row>
    <row r="216" spans="1:89" x14ac:dyDescent="0.3">
      <c r="B216" s="6">
        <v>213</v>
      </c>
      <c r="C216" s="9">
        <v>2.227141</v>
      </c>
      <c r="D216" s="9">
        <v>2.010062</v>
      </c>
      <c r="E216" s="9">
        <v>1.972113</v>
      </c>
      <c r="F216" s="9">
        <v>2.0941740000000002</v>
      </c>
    </row>
    <row r="217" spans="1:89" x14ac:dyDescent="0.3">
      <c r="B217" s="6">
        <v>214</v>
      </c>
      <c r="C217" s="9">
        <v>2.3107660000000001</v>
      </c>
      <c r="D217" s="9">
        <v>2.0807760000000002</v>
      </c>
      <c r="E217" s="9">
        <v>2.0378150000000002</v>
      </c>
      <c r="F217" s="9">
        <v>2.1687409999999998</v>
      </c>
    </row>
    <row r="218" spans="1:89" x14ac:dyDescent="0.3">
      <c r="B218" s="6">
        <v>215</v>
      </c>
      <c r="C218" s="9">
        <v>2.4549449999999999</v>
      </c>
      <c r="D218" s="9">
        <v>2.2010999999999998</v>
      </c>
      <c r="E218" s="9">
        <v>2.1549529999999999</v>
      </c>
      <c r="F218" s="9">
        <v>2.304284</v>
      </c>
    </row>
    <row r="219" spans="1:89" x14ac:dyDescent="0.3">
      <c r="B219" s="6">
        <v>216</v>
      </c>
      <c r="C219" s="9">
        <v>2.6803430000000001</v>
      </c>
      <c r="D219" s="9">
        <v>2.397113</v>
      </c>
      <c r="E219" s="9">
        <v>2.352306</v>
      </c>
      <c r="F219" s="9">
        <v>2.5111439999999998</v>
      </c>
    </row>
    <row r="220" spans="1:89" x14ac:dyDescent="0.3">
      <c r="B220" s="6">
        <v>217</v>
      </c>
      <c r="C220" s="9">
        <v>2.9924650000000002</v>
      </c>
      <c r="D220" s="9">
        <v>2.6779139999999999</v>
      </c>
      <c r="E220" s="9">
        <v>2.6319129999999999</v>
      </c>
      <c r="F220" s="9">
        <v>2.807963</v>
      </c>
    </row>
    <row r="221" spans="1:89" x14ac:dyDescent="0.3">
      <c r="B221" s="6">
        <v>218</v>
      </c>
      <c r="C221" s="9">
        <v>3.3833880000000001</v>
      </c>
      <c r="D221" s="9">
        <v>3.0229279999999998</v>
      </c>
      <c r="E221" s="9">
        <v>2.9814949999999998</v>
      </c>
      <c r="F221" s="9">
        <v>3.1744059999999998</v>
      </c>
    </row>
    <row r="222" spans="1:89" x14ac:dyDescent="0.3">
      <c r="B222" s="6">
        <v>219</v>
      </c>
      <c r="C222" s="9">
        <v>3.8014199999999998</v>
      </c>
      <c r="D222" s="9">
        <v>3.402981</v>
      </c>
      <c r="E222" s="9">
        <v>3.3683559999999999</v>
      </c>
      <c r="F222" s="9">
        <v>3.5809150000000001</v>
      </c>
    </row>
    <row r="223" spans="1:89" x14ac:dyDescent="0.3">
      <c r="B223" s="6">
        <v>220</v>
      </c>
      <c r="C223" s="9">
        <v>4.254867</v>
      </c>
      <c r="D223" s="9">
        <v>3.8095509999999999</v>
      </c>
      <c r="E223" s="9">
        <v>3.785933</v>
      </c>
      <c r="F223" s="9">
        <v>4.0023669999999996</v>
      </c>
    </row>
    <row r="224" spans="1:89" s="2" customFormat="1" x14ac:dyDescent="0.3">
      <c r="A224"/>
      <c r="G224"/>
      <c r="H224"/>
      <c r="Z224"/>
      <c r="AR224"/>
      <c r="AS224"/>
      <c r="AT224"/>
      <c r="AU224"/>
      <c r="AV224"/>
      <c r="AW224"/>
      <c r="AX224"/>
      <c r="AY224"/>
      <c r="AZ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</row>
    <row r="225" spans="1:89" s="2" customFormat="1" x14ac:dyDescent="0.3">
      <c r="A225"/>
      <c r="G225"/>
      <c r="H225"/>
      <c r="Z225"/>
      <c r="AR225"/>
      <c r="AS225"/>
      <c r="AT225"/>
      <c r="AU225"/>
      <c r="AV225"/>
      <c r="AW225"/>
      <c r="AX225"/>
      <c r="AY225"/>
      <c r="AZ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</row>
    <row r="226" spans="1:89" s="2" customFormat="1" x14ac:dyDescent="0.3">
      <c r="A226"/>
      <c r="G226"/>
      <c r="H226"/>
      <c r="Z226"/>
      <c r="AR226"/>
      <c r="AS226"/>
      <c r="AT226"/>
      <c r="AU226"/>
      <c r="AV226"/>
      <c r="AW226"/>
      <c r="AX226"/>
      <c r="AY226"/>
      <c r="AZ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</row>
    <row r="227" spans="1:89" s="2" customFormat="1" x14ac:dyDescent="0.3">
      <c r="A227"/>
      <c r="G227"/>
      <c r="H227"/>
      <c r="Z227"/>
      <c r="AR227"/>
      <c r="AS227"/>
      <c r="AT227"/>
      <c r="AU227"/>
      <c r="AV227"/>
      <c r="AW227"/>
      <c r="AX227"/>
      <c r="AY227"/>
      <c r="AZ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</row>
    <row r="228" spans="1:89" s="2" customFormat="1" x14ac:dyDescent="0.3">
      <c r="A228"/>
      <c r="G228"/>
      <c r="H228"/>
      <c r="Z228"/>
      <c r="AR228"/>
      <c r="AS228"/>
      <c r="AT228"/>
      <c r="AU228"/>
      <c r="AV228"/>
      <c r="AW228"/>
      <c r="AX228"/>
      <c r="AY228"/>
      <c r="AZ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</row>
    <row r="229" spans="1:89" s="2" customFormat="1" x14ac:dyDescent="0.3">
      <c r="A229"/>
      <c r="G229"/>
      <c r="H229"/>
      <c r="Z229"/>
      <c r="AR229"/>
      <c r="AS229"/>
      <c r="AT229"/>
      <c r="AU229"/>
      <c r="AV229"/>
      <c r="AW229"/>
      <c r="AX229"/>
      <c r="AY229"/>
      <c r="AZ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</row>
    <row r="230" spans="1:89" s="2" customFormat="1" x14ac:dyDescent="0.3">
      <c r="A230"/>
      <c r="G230"/>
      <c r="H230"/>
      <c r="Z230"/>
      <c r="AR230"/>
      <c r="AS230"/>
      <c r="AT230"/>
      <c r="AU230"/>
      <c r="AV230"/>
      <c r="AW230"/>
      <c r="AX230"/>
      <c r="AY230"/>
      <c r="AZ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</row>
    <row r="231" spans="1:89" s="2" customFormat="1" x14ac:dyDescent="0.3">
      <c r="A231"/>
      <c r="G231"/>
      <c r="H231"/>
      <c r="Z231"/>
      <c r="AR231"/>
      <c r="AS231"/>
      <c r="AT231"/>
      <c r="AU231"/>
      <c r="AV231"/>
      <c r="AW231"/>
      <c r="AX231"/>
      <c r="AY231"/>
      <c r="AZ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</row>
    <row r="232" spans="1:89" s="2" customFormat="1" x14ac:dyDescent="0.3">
      <c r="A232"/>
      <c r="G232"/>
      <c r="H232"/>
      <c r="Z232"/>
      <c r="AR232"/>
      <c r="AS232"/>
      <c r="AT232"/>
      <c r="AU232"/>
      <c r="AV232"/>
      <c r="AW232"/>
      <c r="AX232"/>
      <c r="AY232"/>
      <c r="AZ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</row>
    <row r="233" spans="1:89" s="2" customFormat="1" x14ac:dyDescent="0.3">
      <c r="A233"/>
      <c r="G233"/>
      <c r="H233"/>
      <c r="Z233"/>
      <c r="AR233"/>
      <c r="AS233"/>
      <c r="AT233"/>
      <c r="AU233"/>
      <c r="AV233"/>
      <c r="AW233"/>
      <c r="AX233"/>
      <c r="AY233"/>
      <c r="AZ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</row>
    <row r="234" spans="1:89" s="2" customFormat="1" x14ac:dyDescent="0.3">
      <c r="A234"/>
      <c r="G234"/>
      <c r="H234"/>
      <c r="Z234"/>
      <c r="AR234"/>
      <c r="AS234"/>
      <c r="AT234"/>
      <c r="AU234"/>
      <c r="AV234"/>
      <c r="AW234"/>
      <c r="AX234"/>
      <c r="AY234"/>
      <c r="AZ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</row>
    <row r="235" spans="1:89" s="2" customFormat="1" x14ac:dyDescent="0.3">
      <c r="A235"/>
      <c r="G235"/>
      <c r="H235"/>
      <c r="Z235"/>
      <c r="AR235"/>
      <c r="AS235"/>
      <c r="AT235"/>
      <c r="AU235"/>
      <c r="AV235"/>
      <c r="AW235"/>
      <c r="AX235"/>
      <c r="AY235"/>
      <c r="AZ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</row>
    <row r="236" spans="1:89" s="2" customFormat="1" x14ac:dyDescent="0.3">
      <c r="A236"/>
      <c r="G236"/>
      <c r="H236"/>
      <c r="Z236"/>
      <c r="AR236"/>
      <c r="AS236"/>
      <c r="AT236"/>
      <c r="AU236"/>
      <c r="AV236"/>
      <c r="AW236"/>
      <c r="AX236"/>
      <c r="AY236"/>
      <c r="AZ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</row>
    <row r="237" spans="1:89" s="2" customFormat="1" x14ac:dyDescent="0.3">
      <c r="A237"/>
      <c r="G237"/>
      <c r="H237"/>
      <c r="Z237"/>
      <c r="AR237"/>
      <c r="AS237"/>
      <c r="AT237"/>
      <c r="AU237"/>
      <c r="AV237"/>
      <c r="AW237"/>
      <c r="AX237"/>
      <c r="AY237"/>
      <c r="AZ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</row>
    <row r="238" spans="1:89" s="2" customFormat="1" x14ac:dyDescent="0.3">
      <c r="A238"/>
      <c r="G238"/>
      <c r="H238"/>
      <c r="Z238"/>
      <c r="AR238"/>
      <c r="AS238"/>
      <c r="AT238"/>
      <c r="AU238"/>
      <c r="AV238"/>
      <c r="AW238"/>
      <c r="AX238"/>
      <c r="AY238"/>
      <c r="AZ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</row>
    <row r="239" spans="1:89" s="2" customFormat="1" x14ac:dyDescent="0.3">
      <c r="A239"/>
      <c r="G239"/>
      <c r="H239"/>
      <c r="Z239"/>
      <c r="AR239"/>
      <c r="AS239"/>
      <c r="AT239"/>
      <c r="AU239"/>
      <c r="AV239"/>
      <c r="AW239"/>
      <c r="AX239"/>
      <c r="AY239"/>
      <c r="AZ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</row>
    <row r="240" spans="1:89" s="2" customFormat="1" x14ac:dyDescent="0.3">
      <c r="A240"/>
      <c r="G240"/>
      <c r="H240"/>
      <c r="Z240"/>
      <c r="AR240"/>
      <c r="AS240"/>
      <c r="AT240"/>
      <c r="AU240"/>
      <c r="AV240"/>
      <c r="AW240"/>
      <c r="AX240"/>
      <c r="AY240"/>
      <c r="AZ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</row>
    <row r="241" spans="1:89" s="2" customFormat="1" x14ac:dyDescent="0.3">
      <c r="A241"/>
      <c r="G241"/>
      <c r="H241"/>
      <c r="Z241"/>
      <c r="AR241"/>
      <c r="AS241"/>
      <c r="AT241"/>
      <c r="AU241"/>
      <c r="AV241"/>
      <c r="AW241"/>
      <c r="AX241"/>
      <c r="AY241"/>
      <c r="AZ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</row>
    <row r="242" spans="1:89" s="2" customFormat="1" x14ac:dyDescent="0.3">
      <c r="A242"/>
      <c r="G242"/>
      <c r="H242"/>
      <c r="Z242"/>
      <c r="AR242"/>
      <c r="AS242"/>
      <c r="AT242"/>
      <c r="AU242"/>
      <c r="AV242"/>
      <c r="AW242"/>
      <c r="AX242"/>
      <c r="AY242"/>
      <c r="AZ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</row>
    <row r="243" spans="1:89" s="2" customFormat="1" x14ac:dyDescent="0.3">
      <c r="A243"/>
      <c r="G243"/>
      <c r="H243"/>
      <c r="Z243"/>
      <c r="AR243"/>
      <c r="AS243"/>
      <c r="AT243"/>
      <c r="AU243"/>
      <c r="AV243"/>
      <c r="AW243"/>
      <c r="AX243"/>
      <c r="AY243"/>
      <c r="AZ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</row>
    <row r="244" spans="1:89" s="2" customFormat="1" x14ac:dyDescent="0.3">
      <c r="A244"/>
      <c r="G244"/>
      <c r="H244"/>
      <c r="Z244"/>
      <c r="AR244"/>
      <c r="AS244"/>
      <c r="AT244"/>
      <c r="AU244"/>
      <c r="AV244"/>
      <c r="AW244"/>
      <c r="AX244"/>
      <c r="AY244"/>
      <c r="AZ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</row>
    <row r="245" spans="1:89" s="2" customFormat="1" x14ac:dyDescent="0.3">
      <c r="A245"/>
      <c r="G245"/>
      <c r="H245"/>
      <c r="Z245"/>
      <c r="AR245"/>
      <c r="AS245"/>
      <c r="AT245"/>
      <c r="AU245"/>
      <c r="AV245"/>
      <c r="AW245"/>
      <c r="AX245"/>
      <c r="AY245"/>
      <c r="AZ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</row>
    <row r="246" spans="1:89" s="2" customFormat="1" x14ac:dyDescent="0.3">
      <c r="A246"/>
      <c r="G246"/>
      <c r="H246"/>
      <c r="Z246"/>
      <c r="AR246"/>
      <c r="AS246"/>
      <c r="AT246"/>
      <c r="AU246"/>
      <c r="AV246"/>
      <c r="AW246"/>
      <c r="AX246"/>
      <c r="AY246"/>
      <c r="AZ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</row>
    <row r="247" spans="1:89" s="2" customFormat="1" x14ac:dyDescent="0.3">
      <c r="A247"/>
      <c r="G247"/>
      <c r="H247"/>
      <c r="Z247"/>
      <c r="AR247"/>
      <c r="AS247"/>
      <c r="AT247"/>
      <c r="AU247"/>
      <c r="AV247"/>
      <c r="AW247"/>
      <c r="AX247"/>
      <c r="AY247"/>
      <c r="AZ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</row>
    <row r="248" spans="1:89" s="2" customFormat="1" x14ac:dyDescent="0.3">
      <c r="A248"/>
      <c r="G248"/>
      <c r="H248"/>
      <c r="Z248"/>
      <c r="AR248"/>
      <c r="AS248"/>
      <c r="AT248"/>
      <c r="AU248"/>
      <c r="AV248"/>
      <c r="AW248"/>
      <c r="AX248"/>
      <c r="AY248"/>
      <c r="AZ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</row>
    <row r="249" spans="1:89" s="2" customFormat="1" x14ac:dyDescent="0.3">
      <c r="A249"/>
      <c r="G249"/>
      <c r="H249"/>
      <c r="Z249"/>
      <c r="AR249"/>
      <c r="AS249"/>
      <c r="AT249"/>
      <c r="AU249"/>
      <c r="AV249"/>
      <c r="AW249"/>
      <c r="AX249"/>
      <c r="AY249"/>
      <c r="AZ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</row>
    <row r="250" spans="1:89" s="2" customFormat="1" x14ac:dyDescent="0.3">
      <c r="A250"/>
      <c r="G250"/>
      <c r="H250"/>
      <c r="Z250"/>
      <c r="AR250"/>
      <c r="AS250"/>
      <c r="AT250"/>
      <c r="AU250"/>
      <c r="AV250"/>
      <c r="AW250"/>
      <c r="AX250"/>
      <c r="AY250"/>
      <c r="AZ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</row>
    <row r="251" spans="1:89" s="2" customFormat="1" x14ac:dyDescent="0.3">
      <c r="A251"/>
      <c r="G251"/>
      <c r="H251"/>
      <c r="Z251"/>
      <c r="AR251"/>
      <c r="AS251"/>
      <c r="AT251"/>
      <c r="AU251"/>
      <c r="AV251"/>
      <c r="AW251"/>
      <c r="AX251"/>
      <c r="AY251"/>
      <c r="AZ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</row>
    <row r="252" spans="1:89" s="2" customFormat="1" x14ac:dyDescent="0.3">
      <c r="A252"/>
      <c r="G252"/>
      <c r="H252"/>
      <c r="Z252"/>
      <c r="AR252"/>
      <c r="AS252"/>
      <c r="AT252"/>
      <c r="AU252"/>
      <c r="AV252"/>
      <c r="AW252"/>
      <c r="AX252"/>
      <c r="AY252"/>
      <c r="AZ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</row>
    <row r="253" spans="1:89" s="2" customFormat="1" x14ac:dyDescent="0.3">
      <c r="A253"/>
      <c r="G253"/>
      <c r="H253"/>
      <c r="Z253"/>
      <c r="AR253"/>
      <c r="AS253"/>
      <c r="AT253"/>
      <c r="AU253"/>
      <c r="AV253"/>
      <c r="AW253"/>
      <c r="AX253"/>
      <c r="AY253"/>
      <c r="AZ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</row>
    <row r="254" spans="1:89" s="2" customFormat="1" x14ac:dyDescent="0.3">
      <c r="A254"/>
      <c r="G254"/>
      <c r="H254"/>
      <c r="Z254"/>
      <c r="AR254"/>
      <c r="AS254"/>
      <c r="AT254"/>
      <c r="AU254"/>
      <c r="AV254"/>
      <c r="AW254"/>
      <c r="AX254"/>
      <c r="AY254"/>
      <c r="AZ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</row>
    <row r="255" spans="1:89" s="2" customFormat="1" x14ac:dyDescent="0.3">
      <c r="A255"/>
      <c r="G255"/>
      <c r="H255"/>
      <c r="Z255"/>
      <c r="AR255"/>
      <c r="AS255"/>
      <c r="AT255"/>
      <c r="AU255"/>
      <c r="AV255"/>
      <c r="AW255"/>
      <c r="AX255"/>
      <c r="AY255"/>
      <c r="AZ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</row>
    <row r="256" spans="1:89" s="2" customFormat="1" x14ac:dyDescent="0.3">
      <c r="A256"/>
      <c r="G256"/>
      <c r="H256"/>
      <c r="Z256"/>
      <c r="AR256"/>
      <c r="AS256"/>
      <c r="AT256"/>
      <c r="AU256"/>
      <c r="AV256"/>
      <c r="AW256"/>
      <c r="AX256"/>
      <c r="AY256"/>
      <c r="AZ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</row>
    <row r="257" spans="1:89" s="2" customFormat="1" x14ac:dyDescent="0.3">
      <c r="A257"/>
      <c r="G257"/>
      <c r="H257"/>
      <c r="Z257"/>
      <c r="AR257"/>
      <c r="AS257"/>
      <c r="AT257"/>
      <c r="AU257"/>
      <c r="AV257"/>
      <c r="AW257"/>
      <c r="AX257"/>
      <c r="AY257"/>
      <c r="AZ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</row>
    <row r="258" spans="1:89" s="2" customFormat="1" x14ac:dyDescent="0.3">
      <c r="A258"/>
      <c r="G258"/>
      <c r="H258"/>
      <c r="Z258"/>
      <c r="AR258"/>
      <c r="AS258"/>
      <c r="AT258"/>
      <c r="AU258"/>
      <c r="AV258"/>
      <c r="AW258"/>
      <c r="AX258"/>
      <c r="AY258"/>
      <c r="AZ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</row>
    <row r="259" spans="1:89" s="2" customFormat="1" x14ac:dyDescent="0.3">
      <c r="A259"/>
      <c r="G259"/>
      <c r="H259"/>
      <c r="Z259"/>
      <c r="AR259"/>
      <c r="AS259"/>
      <c r="AT259"/>
      <c r="AU259"/>
      <c r="AV259"/>
      <c r="AW259"/>
      <c r="AX259"/>
      <c r="AY259"/>
      <c r="AZ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</row>
    <row r="260" spans="1:89" s="2" customFormat="1" x14ac:dyDescent="0.3">
      <c r="A260"/>
      <c r="G260"/>
      <c r="H260"/>
      <c r="Z260"/>
      <c r="AR260"/>
      <c r="AS260"/>
      <c r="AT260"/>
      <c r="AU260"/>
      <c r="AV260"/>
      <c r="AW260"/>
      <c r="AX260"/>
      <c r="AY260"/>
      <c r="AZ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</row>
    <row r="261" spans="1:89" s="2" customFormat="1" x14ac:dyDescent="0.3">
      <c r="A261"/>
      <c r="G261"/>
      <c r="H261"/>
      <c r="Z261"/>
      <c r="AR261"/>
      <c r="AS261"/>
      <c r="AT261"/>
      <c r="AU261"/>
      <c r="AV261"/>
      <c r="AW261"/>
      <c r="AX261"/>
      <c r="AY261"/>
      <c r="AZ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</row>
    <row r="262" spans="1:89" s="2" customFormat="1" x14ac:dyDescent="0.3">
      <c r="A262"/>
      <c r="G262"/>
      <c r="H262"/>
      <c r="Z262"/>
      <c r="AR262"/>
      <c r="AS262"/>
      <c r="AT262"/>
      <c r="AU262"/>
      <c r="AV262"/>
      <c r="AW262"/>
      <c r="AX262"/>
      <c r="AY262"/>
      <c r="AZ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</row>
    <row r="263" spans="1:89" s="2" customFormat="1" x14ac:dyDescent="0.3">
      <c r="A263"/>
      <c r="G263"/>
      <c r="H263"/>
      <c r="Z263"/>
      <c r="AR263"/>
      <c r="AS263"/>
      <c r="AT263"/>
      <c r="AU263"/>
      <c r="AV263"/>
      <c r="AW263"/>
      <c r="AX263"/>
      <c r="AY263"/>
      <c r="AZ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</row>
    <row r="264" spans="1:89" s="2" customFormat="1" x14ac:dyDescent="0.3">
      <c r="A264"/>
      <c r="G264"/>
      <c r="H264"/>
      <c r="Z264"/>
      <c r="AR264"/>
      <c r="AS264"/>
      <c r="AT264"/>
      <c r="AU264"/>
      <c r="AV264"/>
      <c r="AW264"/>
      <c r="AX264"/>
      <c r="AY264"/>
      <c r="AZ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</row>
    <row r="265" spans="1:89" s="2" customFormat="1" x14ac:dyDescent="0.3">
      <c r="A265"/>
      <c r="G265"/>
      <c r="H265"/>
      <c r="Z265"/>
      <c r="AR265"/>
      <c r="AS265"/>
      <c r="AT265"/>
      <c r="AU265"/>
      <c r="AV265"/>
      <c r="AW265"/>
      <c r="AX265"/>
      <c r="AY265"/>
      <c r="AZ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</row>
    <row r="266" spans="1:89" s="2" customFormat="1" x14ac:dyDescent="0.3">
      <c r="A266"/>
      <c r="G266"/>
      <c r="H266"/>
      <c r="Z266"/>
      <c r="AR266"/>
      <c r="AS266"/>
      <c r="AT266"/>
      <c r="AU266"/>
      <c r="AV266"/>
      <c r="AW266"/>
      <c r="AX266"/>
      <c r="AY266"/>
      <c r="AZ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</row>
    <row r="267" spans="1:89" s="2" customFormat="1" x14ac:dyDescent="0.3">
      <c r="A267"/>
      <c r="G267"/>
      <c r="H267"/>
      <c r="Z267"/>
      <c r="AR267"/>
      <c r="AS267"/>
      <c r="AT267"/>
      <c r="AU267"/>
      <c r="AV267"/>
      <c r="AW267"/>
      <c r="AX267"/>
      <c r="AY267"/>
      <c r="AZ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</row>
    <row r="268" spans="1:89" s="2" customFormat="1" x14ac:dyDescent="0.3">
      <c r="A268"/>
      <c r="G268"/>
      <c r="H268"/>
      <c r="Z268"/>
      <c r="AR268"/>
      <c r="AS268"/>
      <c r="AT268"/>
      <c r="AU268"/>
      <c r="AV268"/>
      <c r="AW268"/>
      <c r="AX268"/>
      <c r="AY268"/>
      <c r="AZ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</row>
    <row r="269" spans="1:89" s="2" customFormat="1" x14ac:dyDescent="0.3">
      <c r="A269"/>
      <c r="G269"/>
      <c r="H269"/>
      <c r="Z269"/>
      <c r="AR269"/>
      <c r="AS269"/>
      <c r="AT269"/>
      <c r="AU269"/>
      <c r="AV269"/>
      <c r="AW269"/>
      <c r="AX269"/>
      <c r="AY269"/>
      <c r="AZ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</row>
    <row r="270" spans="1:89" s="2" customFormat="1" x14ac:dyDescent="0.3">
      <c r="A270"/>
      <c r="G270"/>
      <c r="H270"/>
      <c r="Z270"/>
      <c r="AR270"/>
      <c r="AS270"/>
      <c r="AT270"/>
      <c r="AU270"/>
      <c r="AV270"/>
      <c r="AW270"/>
      <c r="AX270"/>
      <c r="AY270"/>
      <c r="AZ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</row>
    <row r="271" spans="1:89" s="2" customFormat="1" x14ac:dyDescent="0.3">
      <c r="A271"/>
      <c r="G271"/>
      <c r="H271"/>
      <c r="Z271"/>
      <c r="AR271"/>
      <c r="AS271"/>
      <c r="AT271"/>
      <c r="AU271"/>
      <c r="AV271"/>
      <c r="AW271"/>
      <c r="AX271"/>
      <c r="AY271"/>
      <c r="AZ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</row>
    <row r="272" spans="1:89" s="2" customFormat="1" x14ac:dyDescent="0.3">
      <c r="A272"/>
      <c r="G272"/>
      <c r="H272"/>
      <c r="Z272"/>
      <c r="AR272"/>
      <c r="AS272"/>
      <c r="AT272"/>
      <c r="AU272"/>
      <c r="AV272"/>
      <c r="AW272"/>
      <c r="AX272"/>
      <c r="AY272"/>
      <c r="AZ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</row>
    <row r="273" spans="1:89" s="2" customFormat="1" x14ac:dyDescent="0.3">
      <c r="A273"/>
      <c r="G273"/>
      <c r="H273"/>
      <c r="Z273"/>
      <c r="AR273"/>
      <c r="AS273"/>
      <c r="AT273"/>
      <c r="AU273"/>
      <c r="AV273"/>
      <c r="AW273"/>
      <c r="AX273"/>
      <c r="AY273"/>
      <c r="AZ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</row>
    <row r="274" spans="1:89" s="2" customFormat="1" x14ac:dyDescent="0.3">
      <c r="A274"/>
      <c r="G274"/>
      <c r="H274"/>
      <c r="Z274"/>
      <c r="AR274"/>
      <c r="AS274"/>
      <c r="AT274"/>
      <c r="AU274"/>
      <c r="AV274"/>
      <c r="AW274"/>
      <c r="AX274"/>
      <c r="AY274"/>
      <c r="AZ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</row>
    <row r="275" spans="1:89" s="2" customFormat="1" x14ac:dyDescent="0.3">
      <c r="A275"/>
      <c r="G275"/>
      <c r="H275"/>
      <c r="Z275"/>
      <c r="AR275"/>
      <c r="AS275"/>
      <c r="AT275"/>
      <c r="AU275"/>
      <c r="AV275"/>
      <c r="AW275"/>
      <c r="AX275"/>
      <c r="AY275"/>
      <c r="AZ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</row>
    <row r="276" spans="1:89" s="2" customFormat="1" x14ac:dyDescent="0.3">
      <c r="A276"/>
      <c r="G276"/>
      <c r="H276"/>
      <c r="Z276"/>
      <c r="AR276"/>
      <c r="AS276"/>
      <c r="AT276"/>
      <c r="AU276"/>
      <c r="AV276"/>
      <c r="AW276"/>
      <c r="AX276"/>
      <c r="AY276"/>
      <c r="AZ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</row>
    <row r="277" spans="1:89" s="2" customFormat="1" x14ac:dyDescent="0.3">
      <c r="A277"/>
      <c r="G277"/>
      <c r="H277"/>
      <c r="Z277"/>
      <c r="AR277"/>
      <c r="AS277"/>
      <c r="AT277"/>
      <c r="AU277"/>
      <c r="AV277"/>
      <c r="AW277"/>
      <c r="AX277"/>
      <c r="AY277"/>
      <c r="AZ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</row>
    <row r="278" spans="1:89" s="2" customFormat="1" x14ac:dyDescent="0.3">
      <c r="A278"/>
      <c r="G278"/>
      <c r="H278"/>
      <c r="Z278"/>
      <c r="AR278"/>
      <c r="AS278"/>
      <c r="AT278"/>
      <c r="AU278"/>
      <c r="AV278"/>
      <c r="AW278"/>
      <c r="AX278"/>
      <c r="AY278"/>
      <c r="AZ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</row>
    <row r="279" spans="1:89" s="2" customFormat="1" x14ac:dyDescent="0.3">
      <c r="A279"/>
      <c r="G279"/>
      <c r="H279"/>
      <c r="Z279"/>
      <c r="AR279"/>
      <c r="AS279"/>
      <c r="AT279"/>
      <c r="AU279"/>
      <c r="AV279"/>
      <c r="AW279"/>
      <c r="AX279"/>
      <c r="AY279"/>
      <c r="AZ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</row>
    <row r="280" spans="1:89" s="2" customFormat="1" x14ac:dyDescent="0.3">
      <c r="A280"/>
      <c r="G280"/>
      <c r="H280"/>
      <c r="Z280"/>
      <c r="AR280"/>
      <c r="AS280"/>
      <c r="AT280"/>
      <c r="AU280"/>
      <c r="AV280"/>
      <c r="AW280"/>
      <c r="AX280"/>
      <c r="AY280"/>
      <c r="AZ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43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goldenOTP_check</vt:lpstr>
      <vt:lpstr>(default)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SKYLYYen(顏良祐)</dc:creator>
  <dc:description/>
  <cp:lastModifiedBy>大瘋狗</cp:lastModifiedBy>
  <cp:revision>4</cp:revision>
  <dcterms:created xsi:type="dcterms:W3CDTF">2020-04-30T02:00:20Z</dcterms:created>
  <dcterms:modified xsi:type="dcterms:W3CDTF">2023-07-07T08:02:40Z</dcterms:modified>
  <dc:language>zh-TW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