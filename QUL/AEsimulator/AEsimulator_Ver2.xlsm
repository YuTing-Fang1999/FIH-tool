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D:\github\FIH tool 整合\QUL\AEsimulator\"/>
    </mc:Choice>
  </mc:AlternateContent>
  <xr:revisionPtr revIDLastSave="0" documentId="13_ncr:1_{55D7CF1A-D951-432B-8D22-5699659A4FA9}" xr6:coauthVersionLast="47" xr6:coauthVersionMax="47" xr10:uidLastSave="{00000000-0000-0000-0000-000000000000}"/>
  <bookViews>
    <workbookView xWindow="2688" yWindow="2688" windowWidth="17280" windowHeight="8880"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stepChart!$N$15:$N$19</definedName>
    <definedName name="solver_lhs4" localSheetId="2" hidden="1">stepChart!$N$21:$N$31</definedName>
    <definedName name="solver_lhs5" localSheetId="2" hidden="1">stepChart!$N$20</definedName>
    <definedName name="solver_lhs6" localSheetId="2" hidden="1">stepChart!$U$36:$U$235</definedName>
    <definedName name="solver_lhs7" localSheetId="2" hidden="1">stepChart!$U$36:$U$235</definedName>
    <definedName name="solver_lhs8" localSheetId="2" hidden="1">stepChart!$U$36:$U$235</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7</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3</definedName>
    <definedName name="solver_rel8" localSheetId="2" hidden="1">3</definedName>
    <definedName name="solver_rhs0" localSheetId="2" hidden="1">0.25</definedName>
    <definedName name="solver_rhs1" localSheetId="2" hidden="1">2</definedName>
    <definedName name="solver_rhs2" localSheetId="2" hidden="1">7</definedName>
    <definedName name="solver_rhs3" localSheetId="2" hidden="1">10</definedName>
    <definedName name="solver_rhs4" localSheetId="2" hidden="1">5</definedName>
    <definedName name="solver_rhs5" localSheetId="2" hidden="1">7</definedName>
    <definedName name="solver_rhs6" localSheetId="2" hidden="1">5</definedName>
    <definedName name="solver_rhs7" localSheetId="2" hidden="1">0.25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 i="6" l="1"/>
  <c r="V35" i="6" l="1"/>
  <c r="S36" i="6"/>
  <c r="V36" i="6" s="1"/>
  <c r="O13" i="6"/>
  <c r="O14" i="6"/>
  <c r="O15" i="6"/>
  <c r="O16" i="6"/>
  <c r="O17" i="6"/>
  <c r="O18" i="6"/>
  <c r="O19" i="6"/>
  <c r="O20" i="6"/>
  <c r="O21" i="6"/>
  <c r="O22" i="6"/>
  <c r="O23" i="6"/>
  <c r="O24" i="6"/>
  <c r="O25" i="6"/>
  <c r="O26" i="6"/>
  <c r="O27" i="6"/>
  <c r="O28" i="6"/>
  <c r="O29" i="6"/>
  <c r="O30" i="6"/>
  <c r="O31" i="6"/>
  <c r="O12" i="6"/>
  <c r="F26" i="3"/>
  <c r="F27" i="3"/>
  <c r="M40" i="4"/>
  <c r="F40" i="4"/>
  <c r="F35" i="4"/>
  <c r="F30" i="4"/>
  <c r="O291" i="6"/>
  <c r="O290" i="6"/>
  <c r="M290" i="6" s="1"/>
  <c r="O289" i="6"/>
  <c r="O288" i="6"/>
  <c r="O287" i="6"/>
  <c r="M287" i="6" s="1"/>
  <c r="O286" i="6"/>
  <c r="M286" i="6" s="1"/>
  <c r="O285" i="6"/>
  <c r="O284" i="6"/>
  <c r="O283" i="6"/>
  <c r="M283" i="6" s="1"/>
  <c r="O282" i="6"/>
  <c r="M282" i="6" s="1"/>
  <c r="O281" i="6"/>
  <c r="O280" i="6"/>
  <c r="O279" i="6"/>
  <c r="M279" i="6" s="1"/>
  <c r="O278" i="6"/>
  <c r="M278" i="6" s="1"/>
  <c r="O277" i="6"/>
  <c r="M277" i="6" s="1"/>
  <c r="O276" i="6"/>
  <c r="O275" i="6"/>
  <c r="M275" i="6" s="1"/>
  <c r="O274" i="6"/>
  <c r="M274" i="6" s="1"/>
  <c r="O273" i="6"/>
  <c r="O272" i="6"/>
  <c r="O271" i="6"/>
  <c r="M271" i="6" s="1"/>
  <c r="O270" i="6"/>
  <c r="O269" i="6"/>
  <c r="M269" i="6" s="1"/>
  <c r="O268" i="6"/>
  <c r="M268" i="6" s="1"/>
  <c r="O267" i="6"/>
  <c r="M267" i="6" s="1"/>
  <c r="O266" i="6"/>
  <c r="M266" i="6" s="1"/>
  <c r="O265" i="6"/>
  <c r="O264" i="6"/>
  <c r="O263" i="6"/>
  <c r="M263" i="6" s="1"/>
  <c r="O262" i="6"/>
  <c r="O261" i="6"/>
  <c r="O260" i="6"/>
  <c r="M260" i="6" s="1"/>
  <c r="O259" i="6"/>
  <c r="M259" i="6" s="1"/>
  <c r="O258" i="6"/>
  <c r="O257" i="6"/>
  <c r="O256" i="6"/>
  <c r="O255" i="6"/>
  <c r="M255" i="6" s="1"/>
  <c r="O254" i="6"/>
  <c r="M254" i="6" s="1"/>
  <c r="O253" i="6"/>
  <c r="M253" i="6" s="1"/>
  <c r="O252" i="6"/>
  <c r="M252" i="6" s="1"/>
  <c r="O251" i="6"/>
  <c r="M251" i="6" s="1"/>
  <c r="O250" i="6"/>
  <c r="O249" i="6"/>
  <c r="O248" i="6"/>
  <c r="O247" i="6"/>
  <c r="M247" i="6" s="1"/>
  <c r="O246" i="6"/>
  <c r="M246" i="6" s="1"/>
  <c r="O245" i="6"/>
  <c r="M245" i="6" s="1"/>
  <c r="O244" i="6"/>
  <c r="M244" i="6" s="1"/>
  <c r="O243" i="6"/>
  <c r="M243" i="6" s="1"/>
  <c r="O242" i="6"/>
  <c r="M242" i="6" s="1"/>
  <c r="O241" i="6"/>
  <c r="O240" i="6"/>
  <c r="O239" i="6"/>
  <c r="O238" i="6"/>
  <c r="M238" i="6" s="1"/>
  <c r="O237" i="6"/>
  <c r="M237" i="6" s="1"/>
  <c r="O236" i="6"/>
  <c r="M236" i="6" s="1"/>
  <c r="O235" i="6"/>
  <c r="M235" i="6" s="1"/>
  <c r="O234" i="6"/>
  <c r="O233" i="6"/>
  <c r="O232" i="6"/>
  <c r="O231" i="6"/>
  <c r="O230" i="6"/>
  <c r="M230" i="6" s="1"/>
  <c r="O229" i="6"/>
  <c r="O228" i="6"/>
  <c r="M228" i="6" s="1"/>
  <c r="O227" i="6"/>
  <c r="M227" i="6" s="1"/>
  <c r="O226" i="6"/>
  <c r="M226" i="6" s="1"/>
  <c r="O225" i="6"/>
  <c r="O224" i="6"/>
  <c r="O223" i="6"/>
  <c r="M223" i="6" s="1"/>
  <c r="O222" i="6"/>
  <c r="M222" i="6" s="1"/>
  <c r="O221" i="6"/>
  <c r="O220" i="6"/>
  <c r="O219" i="6"/>
  <c r="M219" i="6" s="1"/>
  <c r="O218" i="6"/>
  <c r="M218" i="6" s="1"/>
  <c r="O217" i="6"/>
  <c r="O216" i="6"/>
  <c r="O215" i="6"/>
  <c r="M215" i="6" s="1"/>
  <c r="O214" i="6"/>
  <c r="M214" i="6" s="1"/>
  <c r="O213" i="6"/>
  <c r="M213" i="6" s="1"/>
  <c r="O212" i="6"/>
  <c r="O211" i="6"/>
  <c r="M211" i="6" s="1"/>
  <c r="O210" i="6"/>
  <c r="M210" i="6" s="1"/>
  <c r="O209" i="6"/>
  <c r="O208" i="6"/>
  <c r="O207" i="6"/>
  <c r="M207" i="6" s="1"/>
  <c r="O206" i="6"/>
  <c r="O205" i="6"/>
  <c r="M205" i="6" s="1"/>
  <c r="O204" i="6"/>
  <c r="M204" i="6" s="1"/>
  <c r="O203" i="6"/>
  <c r="M203" i="6" s="1"/>
  <c r="O202" i="6"/>
  <c r="M202" i="6" s="1"/>
  <c r="O201" i="6"/>
  <c r="O200" i="6"/>
  <c r="O199" i="6"/>
  <c r="M199" i="6" s="1"/>
  <c r="O198" i="6"/>
  <c r="O197" i="6"/>
  <c r="O196" i="6"/>
  <c r="M196" i="6" s="1"/>
  <c r="O195" i="6"/>
  <c r="M195" i="6" s="1"/>
  <c r="O194" i="6"/>
  <c r="O193" i="6"/>
  <c r="O192" i="6"/>
  <c r="O191" i="6"/>
  <c r="M191" i="6" s="1"/>
  <c r="O190" i="6"/>
  <c r="M190" i="6" s="1"/>
  <c r="O189" i="6"/>
  <c r="M189" i="6" s="1"/>
  <c r="O188" i="6"/>
  <c r="M188" i="6" s="1"/>
  <c r="O187" i="6"/>
  <c r="M187" i="6" s="1"/>
  <c r="O186" i="6"/>
  <c r="O185" i="6"/>
  <c r="O184" i="6"/>
  <c r="O183" i="6"/>
  <c r="M183" i="6" s="1"/>
  <c r="O182" i="6"/>
  <c r="M182" i="6" s="1"/>
  <c r="O181" i="6"/>
  <c r="M181" i="6" s="1"/>
  <c r="O180" i="6"/>
  <c r="M180" i="6" s="1"/>
  <c r="O179" i="6"/>
  <c r="M179" i="6" s="1"/>
  <c r="O178" i="6"/>
  <c r="M178" i="6" s="1"/>
  <c r="O177" i="6"/>
  <c r="O176" i="6"/>
  <c r="M176" i="6" s="1"/>
  <c r="O175" i="6"/>
  <c r="O174" i="6"/>
  <c r="M174" i="6" s="1"/>
  <c r="O173" i="6"/>
  <c r="O172" i="6"/>
  <c r="M172" i="6" s="1"/>
  <c r="O171" i="6"/>
  <c r="M171" i="6" s="1"/>
  <c r="O170" i="6"/>
  <c r="M170" i="6" s="1"/>
  <c r="O169" i="6"/>
  <c r="O168" i="6"/>
  <c r="M168" i="6" s="1"/>
  <c r="O167" i="6"/>
  <c r="M167" i="6" s="1"/>
  <c r="O166" i="6"/>
  <c r="M166" i="6" s="1"/>
  <c r="O165" i="6"/>
  <c r="O164" i="6"/>
  <c r="O163" i="6"/>
  <c r="M163" i="6" s="1"/>
  <c r="O162" i="6"/>
  <c r="M162" i="6" s="1"/>
  <c r="O161" i="6"/>
  <c r="O160" i="6"/>
  <c r="M160" i="6" s="1"/>
  <c r="O159" i="6"/>
  <c r="M159" i="6" s="1"/>
  <c r="O158" i="6"/>
  <c r="M158" i="6" s="1"/>
  <c r="O157" i="6"/>
  <c r="O156" i="6"/>
  <c r="M156" i="6" s="1"/>
  <c r="O155" i="6"/>
  <c r="M155" i="6" s="1"/>
  <c r="O154" i="6"/>
  <c r="M154" i="6" s="1"/>
  <c r="O153" i="6"/>
  <c r="O152" i="6"/>
  <c r="M152" i="6" s="1"/>
  <c r="O151" i="6"/>
  <c r="M151" i="6" s="1"/>
  <c r="O150" i="6"/>
  <c r="M150" i="6" s="1"/>
  <c r="O149" i="6"/>
  <c r="M149" i="6" s="1"/>
  <c r="O148" i="6"/>
  <c r="M148" i="6" s="1"/>
  <c r="O147" i="6"/>
  <c r="M147" i="6" s="1"/>
  <c r="O146" i="6"/>
  <c r="M146" i="6" s="1"/>
  <c r="O145" i="6"/>
  <c r="O144" i="6"/>
  <c r="M144" i="6" s="1"/>
  <c r="O143" i="6"/>
  <c r="M143" i="6" s="1"/>
  <c r="O142" i="6"/>
  <c r="M142" i="6" s="1"/>
  <c r="O141" i="6"/>
  <c r="M141" i="6" s="1"/>
  <c r="O140" i="6"/>
  <c r="M140" i="6" s="1"/>
  <c r="O139" i="6"/>
  <c r="M139" i="6" s="1"/>
  <c r="O138" i="6"/>
  <c r="M138" i="6" s="1"/>
  <c r="O137" i="6"/>
  <c r="O136" i="6"/>
  <c r="M136" i="6" s="1"/>
  <c r="O135" i="6"/>
  <c r="O134" i="6"/>
  <c r="M134" i="6" s="1"/>
  <c r="O133" i="6"/>
  <c r="M133" i="6" s="1"/>
  <c r="O132" i="6"/>
  <c r="O131" i="6"/>
  <c r="M131" i="6" s="1"/>
  <c r="O130" i="6"/>
  <c r="M130" i="6" s="1"/>
  <c r="O129" i="6"/>
  <c r="O128" i="6"/>
  <c r="M128" i="6" s="1"/>
  <c r="O127" i="6"/>
  <c r="O126" i="6"/>
  <c r="M126" i="6" s="1"/>
  <c r="O125" i="6"/>
  <c r="O124" i="6"/>
  <c r="M124" i="6" s="1"/>
  <c r="O123" i="6"/>
  <c r="M123" i="6" s="1"/>
  <c r="O122" i="6"/>
  <c r="M122" i="6" s="1"/>
  <c r="O121" i="6"/>
  <c r="O120" i="6"/>
  <c r="M120" i="6" s="1"/>
  <c r="O119" i="6"/>
  <c r="M119" i="6" s="1"/>
  <c r="O118" i="6"/>
  <c r="M118" i="6" s="1"/>
  <c r="O117" i="6"/>
  <c r="M117" i="6" s="1"/>
  <c r="O116" i="6"/>
  <c r="M116" i="6" s="1"/>
  <c r="O115" i="6"/>
  <c r="M115" i="6" s="1"/>
  <c r="O114" i="6"/>
  <c r="M114" i="6" s="1"/>
  <c r="O113" i="6"/>
  <c r="O112" i="6"/>
  <c r="M112" i="6" s="1"/>
  <c r="O111" i="6"/>
  <c r="O110" i="6"/>
  <c r="M110" i="6" s="1"/>
  <c r="O109" i="6"/>
  <c r="O108" i="6"/>
  <c r="O107" i="6"/>
  <c r="M107" i="6" s="1"/>
  <c r="O106" i="6"/>
  <c r="M106" i="6" s="1"/>
  <c r="O105" i="6"/>
  <c r="O104" i="6"/>
  <c r="M104" i="6" s="1"/>
  <c r="O103" i="6"/>
  <c r="M103" i="6" s="1"/>
  <c r="O102" i="6"/>
  <c r="M102" i="6" s="1"/>
  <c r="O101" i="6"/>
  <c r="O100" i="6"/>
  <c r="M100" i="6" s="1"/>
  <c r="O99" i="6"/>
  <c r="M99" i="6" s="1"/>
  <c r="O98" i="6"/>
  <c r="M98" i="6" s="1"/>
  <c r="O97" i="6"/>
  <c r="O96" i="6"/>
  <c r="M96" i="6" s="1"/>
  <c r="O95" i="6"/>
  <c r="M95" i="6" s="1"/>
  <c r="O94" i="6"/>
  <c r="M94" i="6" s="1"/>
  <c r="O93" i="6"/>
  <c r="M93" i="6" s="1"/>
  <c r="O92" i="6"/>
  <c r="M92" i="6" s="1"/>
  <c r="O91" i="6"/>
  <c r="M91" i="6" s="1"/>
  <c r="O90" i="6"/>
  <c r="M90" i="6" s="1"/>
  <c r="O89" i="6"/>
  <c r="O88" i="6"/>
  <c r="M88" i="6" s="1"/>
  <c r="O87" i="6"/>
  <c r="M87" i="6" s="1"/>
  <c r="O86" i="6"/>
  <c r="M86" i="6" s="1"/>
  <c r="O85" i="6"/>
  <c r="M85" i="6" s="1"/>
  <c r="O84" i="6"/>
  <c r="O83" i="6"/>
  <c r="M83" i="6" s="1"/>
  <c r="O82" i="6"/>
  <c r="M82" i="6" s="1"/>
  <c r="O81" i="6"/>
  <c r="M81" i="6" s="1"/>
  <c r="O80" i="6"/>
  <c r="M80" i="6" s="1"/>
  <c r="O79" i="6"/>
  <c r="O78" i="6"/>
  <c r="M78" i="6" s="1"/>
  <c r="O77" i="6"/>
  <c r="M77" i="6" s="1"/>
  <c r="O76" i="6"/>
  <c r="O75" i="6"/>
  <c r="M75" i="6" s="1"/>
  <c r="O74" i="6"/>
  <c r="O73" i="6"/>
  <c r="O72" i="6"/>
  <c r="M72" i="6" s="1"/>
  <c r="O71" i="6"/>
  <c r="M71" i="6" s="1"/>
  <c r="O70" i="6"/>
  <c r="M70" i="6" s="1"/>
  <c r="O69" i="6"/>
  <c r="M69" i="6" s="1"/>
  <c r="O68" i="6"/>
  <c r="O67" i="6"/>
  <c r="M67" i="6" s="1"/>
  <c r="O66" i="6"/>
  <c r="O65" i="6"/>
  <c r="M65" i="6" s="1"/>
  <c r="O64" i="6"/>
  <c r="M64" i="6" s="1"/>
  <c r="O63" i="6"/>
  <c r="M63" i="6" s="1"/>
  <c r="O62" i="6"/>
  <c r="M62" i="6" s="1"/>
  <c r="O61" i="6"/>
  <c r="M61" i="6" s="1"/>
  <c r="O60" i="6"/>
  <c r="O59" i="6"/>
  <c r="O58" i="6"/>
  <c r="M58" i="6" s="1"/>
  <c r="O57" i="6"/>
  <c r="M57" i="6" s="1"/>
  <c r="O56" i="6"/>
  <c r="M56" i="6" s="1"/>
  <c r="O55" i="6"/>
  <c r="M55" i="6" s="1"/>
  <c r="O54" i="6"/>
  <c r="M54" i="6" s="1"/>
  <c r="O53" i="6"/>
  <c r="M53" i="6" s="1"/>
  <c r="O52" i="6"/>
  <c r="O51" i="6"/>
  <c r="M51" i="6" s="1"/>
  <c r="O50" i="6"/>
  <c r="O49" i="6"/>
  <c r="M49" i="6" s="1"/>
  <c r="O48" i="6"/>
  <c r="M48" i="6" s="1"/>
  <c r="O47" i="6"/>
  <c r="M47" i="6" s="1"/>
  <c r="O46" i="6"/>
  <c r="M46" i="6" s="1"/>
  <c r="O45" i="6"/>
  <c r="M45" i="6" s="1"/>
  <c r="O44" i="6"/>
  <c r="M44" i="6" s="1"/>
  <c r="O43" i="6"/>
  <c r="M43" i="6" s="1"/>
  <c r="O42" i="6"/>
  <c r="O41" i="6"/>
  <c r="M41" i="6" s="1"/>
  <c r="O40" i="6"/>
  <c r="M40" i="6" s="1"/>
  <c r="O39" i="6"/>
  <c r="O38" i="6"/>
  <c r="M38" i="6" s="1"/>
  <c r="O37" i="6"/>
  <c r="O36" i="6"/>
  <c r="M36" i="6" s="1"/>
  <c r="O35" i="6"/>
  <c r="M35" i="6" s="1"/>
  <c r="M29" i="6"/>
  <c r="M27" i="6"/>
  <c r="M25" i="6"/>
  <c r="M23" i="6"/>
  <c r="M22" i="6"/>
  <c r="M21" i="6"/>
  <c r="M17" i="6"/>
  <c r="M16" i="6"/>
  <c r="M15" i="6"/>
  <c r="M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15" i="4"/>
  <c r="L20" i="4"/>
  <c r="M15" i="4"/>
  <c r="M20" i="4"/>
  <c r="M25" i="4"/>
  <c r="N20" i="4"/>
  <c r="N19" i="4"/>
  <c r="N15" i="4"/>
  <c r="J20" i="4"/>
  <c r="J19" i="4"/>
  <c r="J15" i="4"/>
  <c r="J14"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37" i="6" l="1"/>
  <c r="P212" i="6"/>
  <c r="P234" i="6"/>
  <c r="P250" i="6"/>
  <c r="P59" i="6"/>
  <c r="P111"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1" i="6"/>
  <c r="P194" i="6"/>
  <c r="P227" i="6"/>
  <c r="P242" i="6"/>
  <c r="P66" i="6"/>
  <c r="P79" i="6"/>
  <c r="P84" i="6"/>
  <c r="P109" i="6"/>
  <c r="P125" i="6"/>
  <c r="P175" i="6"/>
  <c r="P197" i="6"/>
  <c r="P262" i="6"/>
  <c r="P61" i="6"/>
  <c r="P173" i="6"/>
  <c r="P180" i="6"/>
  <c r="P182" i="6"/>
  <c r="P223" i="6"/>
  <c r="P270" i="6"/>
  <c r="P92" i="6"/>
  <c r="P179" i="6"/>
  <c r="P57" i="6"/>
  <c r="P164" i="6"/>
  <c r="P206" i="6"/>
  <c r="P116" i="6"/>
  <c r="P171" i="6"/>
  <c r="M221" i="6"/>
  <c r="M285" i="6"/>
  <c r="P287" i="6"/>
  <c r="P76" i="6"/>
  <c r="P74" i="6"/>
  <c r="P123" i="6"/>
  <c r="P135" i="6"/>
  <c r="P39" i="6"/>
  <c r="P62" i="6"/>
  <c r="M79" i="6"/>
  <c r="P140" i="6"/>
  <c r="P167" i="6"/>
  <c r="P190" i="6"/>
  <c r="P219" i="6"/>
  <c r="P233" i="6"/>
  <c r="P254" i="6"/>
  <c r="P283" i="6"/>
  <c r="P37" i="6"/>
  <c r="P72" i="6"/>
  <c r="P108" i="6"/>
  <c r="P119" i="6"/>
  <c r="P139" i="6"/>
  <c r="P165" i="6"/>
  <c r="P198" i="6"/>
  <c r="P217" i="6"/>
  <c r="P228" i="6"/>
  <c r="P70" i="6"/>
  <c r="M84" i="6"/>
  <c r="M101" i="6"/>
  <c r="P115" i="6"/>
  <c r="P117" i="6"/>
  <c r="P231" i="6"/>
  <c r="P124" i="6"/>
  <c r="P172" i="6"/>
  <c r="P196" i="6"/>
  <c r="P213" i="6"/>
  <c r="P215" i="6"/>
  <c r="P220" i="6"/>
  <c r="M234" i="6"/>
  <c r="P236" i="6"/>
  <c r="P260" i="6"/>
  <c r="P279" i="6"/>
  <c r="P284" i="6"/>
  <c r="M59" i="6"/>
  <c r="M109" i="6"/>
  <c r="M111" i="6"/>
  <c r="M132" i="6"/>
  <c r="P258" i="6"/>
  <c r="P188" i="6"/>
  <c r="P55" i="6"/>
  <c r="P99" i="6"/>
  <c r="P267" i="6"/>
  <c r="P277" i="6"/>
  <c r="P203" i="6"/>
  <c r="P42" i="6"/>
  <c r="P73" i="6"/>
  <c r="P80" i="6"/>
  <c r="P91" i="6"/>
  <c r="P103" i="6"/>
  <c r="P155" i="6"/>
  <c r="P157" i="6"/>
  <c r="P159" i="6"/>
  <c r="P195" i="6"/>
  <c r="M197" i="6"/>
  <c r="P205" i="6"/>
  <c r="P207" i="6"/>
  <c r="M220" i="6"/>
  <c r="P226" i="6"/>
  <c r="P238" i="6"/>
  <c r="P259" i="6"/>
  <c r="M261" i="6"/>
  <c r="P269" i="6"/>
  <c r="P271" i="6"/>
  <c r="M284" i="6"/>
  <c r="P252" i="6"/>
  <c r="P38" i="6"/>
  <c r="P41" i="6"/>
  <c r="P63" i="6"/>
  <c r="P75" i="6"/>
  <c r="P93" i="6"/>
  <c r="P95" i="6"/>
  <c r="M108" i="6"/>
  <c r="P147" i="6"/>
  <c r="M164" i="6"/>
  <c r="P187" i="6"/>
  <c r="P199" i="6"/>
  <c r="M212" i="6"/>
  <c r="P218" i="6"/>
  <c r="P230" i="6"/>
  <c r="P251" i="6"/>
  <c r="P263" i="6"/>
  <c r="M276" i="6"/>
  <c r="P282" i="6"/>
  <c r="P288" i="6"/>
  <c r="P163" i="6"/>
  <c r="P275" i="6"/>
  <c r="P85" i="6"/>
  <c r="P149" i="6"/>
  <c r="P151" i="6"/>
  <c r="P189" i="6"/>
  <c r="P191" i="6"/>
  <c r="P210" i="6"/>
  <c r="P222" i="6"/>
  <c r="P241" i="6"/>
  <c r="P243" i="6"/>
  <c r="P253" i="6"/>
  <c r="P255" i="6"/>
  <c r="P274" i="6"/>
  <c r="P286" i="6"/>
  <c r="P291" i="6"/>
  <c r="P107" i="6"/>
  <c r="P148" i="6"/>
  <c r="P46" i="6"/>
  <c r="P67" i="6"/>
  <c r="P81" i="6"/>
  <c r="P87" i="6"/>
  <c r="P47" i="6"/>
  <c r="P54" i="6"/>
  <c r="M74" i="6"/>
  <c r="P131" i="6"/>
  <c r="M135" i="6"/>
  <c r="P141" i="6"/>
  <c r="P143" i="6"/>
  <c r="M175" i="6"/>
  <c r="P181" i="6"/>
  <c r="P183" i="6"/>
  <c r="M194" i="6"/>
  <c r="P202" i="6"/>
  <c r="M206" i="6"/>
  <c r="P214" i="6"/>
  <c r="P235" i="6"/>
  <c r="M239" i="6"/>
  <c r="P245" i="6"/>
  <c r="P247" i="6"/>
  <c r="M258" i="6"/>
  <c r="P266" i="6"/>
  <c r="M270" i="6"/>
  <c r="P278" i="6"/>
  <c r="P211" i="6"/>
  <c r="M37" i="6"/>
  <c r="M39" i="6"/>
  <c r="M66" i="6"/>
  <c r="P78" i="6"/>
  <c r="P100" i="6"/>
  <c r="M125" i="6"/>
  <c r="M127" i="6"/>
  <c r="P133" i="6"/>
  <c r="M186" i="6"/>
  <c r="M198" i="6"/>
  <c r="P204" i="6"/>
  <c r="P225" i="6"/>
  <c r="M229" i="6"/>
  <c r="M231" i="6"/>
  <c r="P237" i="6"/>
  <c r="M250" i="6"/>
  <c r="M262" i="6"/>
  <c r="P268" i="6"/>
  <c r="P289" i="6"/>
  <c r="P89" i="6"/>
  <c r="M89" i="6"/>
  <c r="P50" i="6"/>
  <c r="P52" i="6"/>
  <c r="M52" i="6"/>
  <c r="P53" i="6"/>
  <c r="P56" i="6"/>
  <c r="P64" i="6"/>
  <c r="P192" i="6"/>
  <c r="M192" i="6"/>
  <c r="P256" i="6"/>
  <c r="M256" i="6"/>
  <c r="P281" i="6"/>
  <c r="P68" i="6"/>
  <c r="M68" i="6"/>
  <c r="P106" i="6"/>
  <c r="P114" i="6"/>
  <c r="P138" i="6"/>
  <c r="P146" i="6"/>
  <c r="P162" i="6"/>
  <c r="P170" i="6"/>
  <c r="P178" i="6"/>
  <c r="P184" i="6"/>
  <c r="M184" i="6"/>
  <c r="P209" i="6"/>
  <c r="P248" i="6"/>
  <c r="M248" i="6"/>
  <c r="P273" i="6"/>
  <c r="P97" i="6"/>
  <c r="M97" i="6"/>
  <c r="M28" i="6"/>
  <c r="P48" i="6"/>
  <c r="P51" i="6"/>
  <c r="P154" i="6"/>
  <c r="O9" i="6"/>
  <c r="M19" i="6"/>
  <c r="P36" i="6"/>
  <c r="P40" i="6"/>
  <c r="M42" i="6"/>
  <c r="M73" i="6"/>
  <c r="P82" i="6"/>
  <c r="P83" i="6"/>
  <c r="P86" i="6"/>
  <c r="P88" i="6"/>
  <c r="P94" i="6"/>
  <c r="P96" i="6"/>
  <c r="P102" i="6"/>
  <c r="P104" i="6"/>
  <c r="P110" i="6"/>
  <c r="P112" i="6"/>
  <c r="P118" i="6"/>
  <c r="P120" i="6"/>
  <c r="P126" i="6"/>
  <c r="P128" i="6"/>
  <c r="P134" i="6"/>
  <c r="P136" i="6"/>
  <c r="P142" i="6"/>
  <c r="P144" i="6"/>
  <c r="P150" i="6"/>
  <c r="P152" i="6"/>
  <c r="P158" i="6"/>
  <c r="P160" i="6"/>
  <c r="P166" i="6"/>
  <c r="P168" i="6"/>
  <c r="P174" i="6"/>
  <c r="P176" i="6"/>
  <c r="P201" i="6"/>
  <c r="P240" i="6"/>
  <c r="M240" i="6"/>
  <c r="P265" i="6"/>
  <c r="P113" i="6"/>
  <c r="M113" i="6"/>
  <c r="P90" i="6"/>
  <c r="P77" i="6"/>
  <c r="P193" i="6"/>
  <c r="P232" i="6"/>
  <c r="M232" i="6"/>
  <c r="P257" i="6"/>
  <c r="P105" i="6"/>
  <c r="M105" i="6"/>
  <c r="M20" i="6"/>
  <c r="M24" i="6"/>
  <c r="M30" i="6"/>
  <c r="M31" i="6"/>
  <c r="P49" i="6"/>
  <c r="P98" i="6"/>
  <c r="P122" i="6"/>
  <c r="P130" i="6"/>
  <c r="M14" i="6"/>
  <c r="M18" i="6"/>
  <c r="M26" i="6"/>
  <c r="P43" i="6"/>
  <c r="P44" i="6"/>
  <c r="P45" i="6"/>
  <c r="P69" i="6"/>
  <c r="M7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121" i="6"/>
  <c r="M121" i="6"/>
  <c r="M50" i="6"/>
  <c r="P58" i="6"/>
  <c r="P65" i="6"/>
  <c r="P71" i="6"/>
  <c r="P200" i="6"/>
  <c r="M200" i="6"/>
  <c r="P264" i="6"/>
  <c r="M264" i="6"/>
  <c r="P290" i="6"/>
  <c r="M185" i="6"/>
  <c r="M193" i="6"/>
  <c r="M201" i="6"/>
  <c r="M209" i="6"/>
  <c r="M217" i="6"/>
  <c r="M225" i="6"/>
  <c r="M233" i="6"/>
  <c r="M241" i="6"/>
  <c r="M249" i="6"/>
  <c r="M257" i="6"/>
  <c r="M265" i="6"/>
  <c r="M273" i="6"/>
  <c r="M281" i="6"/>
  <c r="M289" i="6"/>
  <c r="M291" i="6"/>
  <c r="M288"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S38" i="6" l="1"/>
  <c r="V37" i="6"/>
  <c r="K58" i="6"/>
  <c r="I58" i="6" s="1"/>
  <c r="J56" i="6"/>
  <c r="C56" i="6" s="1"/>
  <c r="J37" i="6"/>
  <c r="C37" i="6" s="1"/>
  <c r="J38" i="6"/>
  <c r="C38" i="6" s="1"/>
  <c r="J39" i="6"/>
  <c r="C39" i="6" s="1"/>
  <c r="K56" i="6"/>
  <c r="I56" i="6" s="1"/>
  <c r="K57" i="6"/>
  <c r="I57" i="6" s="1"/>
  <c r="K61" i="6"/>
  <c r="I61" i="6" s="1"/>
  <c r="K59" i="6"/>
  <c r="I59" i="6" s="1"/>
  <c r="K62" i="6"/>
  <c r="I62" i="6" s="1"/>
  <c r="J60" i="6"/>
  <c r="C60"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61" i="6"/>
  <c r="C61" i="6" s="1"/>
  <c r="K64" i="6"/>
  <c r="J74" i="6"/>
  <c r="C74" i="6" s="1"/>
  <c r="J65" i="6"/>
  <c r="C65" i="6" s="1"/>
  <c r="K60" i="6"/>
  <c r="K67" i="6"/>
  <c r="J75" i="6"/>
  <c r="C75" i="6" s="1"/>
  <c r="J66" i="6"/>
  <c r="C66" i="6" s="1"/>
  <c r="J57" i="6"/>
  <c r="C57" i="6" s="1"/>
  <c r="J71" i="6"/>
  <c r="C71" i="6" s="1"/>
  <c r="K73" i="6"/>
  <c r="J67" i="6"/>
  <c r="C67" i="6" s="1"/>
  <c r="J58" i="6"/>
  <c r="C58" i="6" s="1"/>
  <c r="K69" i="6"/>
  <c r="J63" i="6"/>
  <c r="C63" i="6" s="1"/>
  <c r="J70" i="6"/>
  <c r="C70" i="6" s="1"/>
  <c r="K65" i="6"/>
  <c r="J59" i="6"/>
  <c r="C59" i="6" s="1"/>
  <c r="J62" i="6"/>
  <c r="C62" i="6" s="1"/>
  <c r="K74" i="6"/>
  <c r="K75" i="6"/>
  <c r="J72" i="6"/>
  <c r="C72" i="6" s="1"/>
  <c r="K42" i="6"/>
  <c r="I42" i="6" s="1"/>
  <c r="K66" i="6"/>
  <c r="J68" i="6"/>
  <c r="C68" i="6" s="1"/>
  <c r="K70" i="6"/>
  <c r="J64" i="6"/>
  <c r="C64" i="6" s="1"/>
  <c r="K71" i="6"/>
  <c r="K43" i="6"/>
  <c r="I43" i="6" s="1"/>
  <c r="J69" i="6"/>
  <c r="C69" i="6" s="1"/>
  <c r="K72" i="6"/>
  <c r="K63" i="6"/>
  <c r="J73" i="6"/>
  <c r="C73" i="6" s="1"/>
  <c r="K68" i="6"/>
  <c r="K44" i="6"/>
  <c r="I44" i="6" s="1"/>
  <c r="J52" i="6"/>
  <c r="C52" i="6" s="1"/>
  <c r="K45" i="6"/>
  <c r="I45" i="6" s="1"/>
  <c r="J50" i="6"/>
  <c r="C50" i="6" s="1"/>
  <c r="J45" i="6"/>
  <c r="C45" i="6" s="1"/>
  <c r="O8" i="6"/>
  <c r="K52" i="6"/>
  <c r="J40" i="6"/>
  <c r="C40" i="6" s="1"/>
  <c r="K36" i="6"/>
  <c r="K39" i="6"/>
  <c r="J49" i="6"/>
  <c r="C49" i="6" s="1"/>
  <c r="J53" i="6"/>
  <c r="C53" i="6" s="1"/>
  <c r="J51" i="6"/>
  <c r="C51" i="6" s="1"/>
  <c r="K47" i="6"/>
  <c r="K35" i="6"/>
  <c r="J41" i="6"/>
  <c r="C41" i="6" s="1"/>
  <c r="J47" i="6"/>
  <c r="C47" i="6" s="1"/>
  <c r="J42" i="6"/>
  <c r="C42" i="6" s="1"/>
  <c r="J43" i="6"/>
  <c r="C43" i="6" s="1"/>
  <c r="K49" i="6"/>
  <c r="J34" i="6"/>
  <c r="C34" i="6" s="1"/>
  <c r="K38" i="6"/>
  <c r="J35" i="6"/>
  <c r="C35" i="6" s="1"/>
  <c r="K53" i="6"/>
  <c r="K51" i="6"/>
  <c r="O7" i="6"/>
  <c r="O6" i="6"/>
  <c r="K40" i="6"/>
  <c r="K37" i="6"/>
  <c r="K46" i="6"/>
  <c r="K50" i="6"/>
  <c r="J48" i="6"/>
  <c r="C48" i="6" s="1"/>
  <c r="K34" i="6"/>
  <c r="J44" i="6"/>
  <c r="C44" i="6" s="1"/>
  <c r="K48" i="6"/>
  <c r="K41" i="6"/>
  <c r="J46" i="6"/>
  <c r="C46" i="6" s="1"/>
  <c r="J36" i="6"/>
  <c r="C36" i="6" s="1"/>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S39" i="6" l="1"/>
  <c r="V38" i="6"/>
  <c r="D12" i="6"/>
  <c r="D18" i="6"/>
  <c r="D16" i="5"/>
  <c r="N13" i="1" s="1"/>
  <c r="D20" i="5"/>
  <c r="N17" i="1" s="1"/>
  <c r="D22" i="5"/>
  <c r="N19" i="1" s="1"/>
  <c r="F22" i="5"/>
  <c r="J19" i="1" s="1"/>
  <c r="D21" i="5"/>
  <c r="N18" i="1" s="1"/>
  <c r="D24" i="5"/>
  <c r="N21" i="1" s="1"/>
  <c r="D25" i="5"/>
  <c r="N22" i="1" s="1"/>
  <c r="D26" i="5"/>
  <c r="N23" i="1" s="1"/>
  <c r="F20" i="5"/>
  <c r="J17" i="1" s="1"/>
  <c r="F24" i="5"/>
  <c r="J21" i="1" s="1"/>
  <c r="J23" i="6"/>
  <c r="I67" i="6"/>
  <c r="D23" i="6" s="1"/>
  <c r="I75" i="6"/>
  <c r="D31" i="6" s="1"/>
  <c r="I60" i="6"/>
  <c r="D16" i="6" s="1"/>
  <c r="I68" i="6"/>
  <c r="D24" i="6" s="1"/>
  <c r="I70" i="6"/>
  <c r="D26" i="6" s="1"/>
  <c r="I74" i="6"/>
  <c r="D30" i="6" s="1"/>
  <c r="D15" i="6"/>
  <c r="I73" i="6"/>
  <c r="D29" i="6" s="1"/>
  <c r="I69" i="6"/>
  <c r="D25" i="6" s="1"/>
  <c r="I63" i="6"/>
  <c r="D19" i="6" s="1"/>
  <c r="I64" i="6"/>
  <c r="D20" i="6" s="1"/>
  <c r="D17" i="6"/>
  <c r="I72" i="6"/>
  <c r="D28" i="6" s="1"/>
  <c r="I65" i="6"/>
  <c r="D21" i="6" s="1"/>
  <c r="I71" i="6"/>
  <c r="D27" i="6" s="1"/>
  <c r="I66" i="6"/>
  <c r="D22" i="6" s="1"/>
  <c r="D14" i="6"/>
  <c r="D13" i="6"/>
  <c r="J22" i="6"/>
  <c r="I50" i="6"/>
  <c r="J28" i="6" s="1"/>
  <c r="I46" i="6"/>
  <c r="J24" i="6" s="1"/>
  <c r="I53" i="6"/>
  <c r="J31" i="6" s="1"/>
  <c r="J21" i="6"/>
  <c r="I51" i="6"/>
  <c r="J29" i="6" s="1"/>
  <c r="I37" i="6"/>
  <c r="J15" i="6" s="1"/>
  <c r="I48" i="6"/>
  <c r="J26" i="6" s="1"/>
  <c r="I41" i="6"/>
  <c r="J19" i="6" s="1"/>
  <c r="I38" i="6"/>
  <c r="J16" i="6" s="1"/>
  <c r="I39" i="6"/>
  <c r="J17" i="6" s="1"/>
  <c r="I36" i="6"/>
  <c r="J14" i="6" s="1"/>
  <c r="I40" i="6"/>
  <c r="J18" i="6" s="1"/>
  <c r="I49" i="6"/>
  <c r="J27" i="6" s="1"/>
  <c r="I34" i="6"/>
  <c r="J12" i="6" s="1"/>
  <c r="I35" i="6"/>
  <c r="J13" i="6" s="1"/>
  <c r="I52" i="6"/>
  <c r="J30" i="6" s="1"/>
  <c r="I47" i="6"/>
  <c r="J25" i="6" s="1"/>
  <c r="J20" i="6"/>
  <c r="D32" i="5"/>
  <c r="D19" i="5" s="1"/>
  <c r="N16" i="1" s="1"/>
  <c r="D45" i="5"/>
  <c r="F19" i="5" s="1"/>
  <c r="J16" i="1" s="1"/>
  <c r="F20" i="3"/>
  <c r="J24" i="4" s="1"/>
  <c r="F16" i="3"/>
  <c r="E30" i="3"/>
  <c r="C30" i="3" s="1"/>
  <c r="E33" i="3"/>
  <c r="C33" i="3" s="1"/>
  <c r="E31" i="3"/>
  <c r="C31" i="3" s="1"/>
  <c r="E34" i="3"/>
  <c r="C34" i="3" s="1"/>
  <c r="E35" i="3"/>
  <c r="C35" i="3" s="1"/>
  <c r="E32" i="3"/>
  <c r="C32" i="3" s="1"/>
  <c r="F31" i="3"/>
  <c r="D31" i="3" s="1"/>
  <c r="F33" i="3"/>
  <c r="F34" i="3"/>
  <c r="F35" i="3"/>
  <c r="F30" i="3"/>
  <c r="F32" i="3"/>
  <c r="C81" i="6" l="1"/>
  <c r="I81" i="6"/>
  <c r="C89" i="6"/>
  <c r="I89" i="6"/>
  <c r="C84" i="6"/>
  <c r="I84" i="6"/>
  <c r="I87" i="6"/>
  <c r="C87" i="6"/>
  <c r="I93" i="6"/>
  <c r="C93" i="6"/>
  <c r="C97" i="6"/>
  <c r="I97" i="6"/>
  <c r="C95" i="6"/>
  <c r="I95" i="6"/>
  <c r="C86" i="6"/>
  <c r="I86" i="6"/>
  <c r="I83" i="6"/>
  <c r="C83" i="6"/>
  <c r="C90" i="6"/>
  <c r="I90" i="6"/>
  <c r="C91" i="6"/>
  <c r="I91" i="6"/>
  <c r="C82" i="6"/>
  <c r="I82" i="6"/>
  <c r="C94" i="6"/>
  <c r="I94" i="6"/>
  <c r="C78" i="6"/>
  <c r="J78" i="6" s="1"/>
  <c r="I78" i="6"/>
  <c r="K78" i="6" s="1"/>
  <c r="I85" i="6"/>
  <c r="C85" i="6"/>
  <c r="C88" i="6"/>
  <c r="I88" i="6"/>
  <c r="C80" i="6"/>
  <c r="I80" i="6"/>
  <c r="C96" i="6"/>
  <c r="I96" i="6"/>
  <c r="C79" i="6"/>
  <c r="I79" i="6"/>
  <c r="C92" i="6"/>
  <c r="I92" i="6"/>
  <c r="S40" i="6"/>
  <c r="V39" i="6"/>
  <c r="D30" i="3"/>
  <c r="L23" i="1"/>
  <c r="L20" i="1"/>
  <c r="D32" i="3"/>
  <c r="D18" i="3" s="1"/>
  <c r="D34" i="3"/>
  <c r="L19" i="1"/>
  <c r="L21" i="1"/>
  <c r="D33" i="3"/>
  <c r="D19" i="3" s="1"/>
  <c r="L29" i="4" s="1"/>
  <c r="L22" i="1"/>
  <c r="D35" i="3"/>
  <c r="D21" i="3" s="1"/>
  <c r="N25" i="4" s="1"/>
  <c r="L25" i="4" s="1"/>
  <c r="D17" i="3"/>
  <c r="L19" i="4" s="1"/>
  <c r="S41" i="6" l="1"/>
  <c r="V40" i="6"/>
  <c r="L34" i="4"/>
  <c r="D16" i="3"/>
  <c r="N14" i="4" s="1"/>
  <c r="L14" i="4" s="1"/>
  <c r="D20" i="3"/>
  <c r="N24" i="4" s="1"/>
  <c r="L24" i="4" s="1"/>
  <c r="L16" i="1"/>
  <c r="L18" i="1"/>
  <c r="L14" i="1"/>
  <c r="L15" i="1"/>
  <c r="K96" i="6" l="1"/>
  <c r="K97" i="6"/>
  <c r="K94" i="6"/>
  <c r="S42" i="6"/>
  <c r="V41" i="6"/>
  <c r="L13" i="1"/>
  <c r="L17" i="1"/>
  <c r="J93" i="6" l="1"/>
  <c r="K95" i="6"/>
  <c r="S43" i="6"/>
  <c r="V42" i="6"/>
  <c r="J92" i="6"/>
  <c r="N12" i="6" l="1"/>
  <c r="J96" i="6"/>
  <c r="N30" i="6" s="1"/>
  <c r="J97" i="6"/>
  <c r="N31" i="6" s="1"/>
  <c r="J94" i="6"/>
  <c r="N28" i="6" s="1"/>
  <c r="S44" i="6"/>
  <c r="V43" i="6"/>
  <c r="J95" i="6"/>
  <c r="N29" i="6" s="1"/>
  <c r="K93" i="6"/>
  <c r="N27" i="6" l="1"/>
  <c r="S45" i="6"/>
  <c r="V44" i="6"/>
  <c r="K92" i="6"/>
  <c r="N26" i="6" l="1"/>
  <c r="S46" i="6"/>
  <c r="V45" i="6"/>
  <c r="J91" i="6"/>
  <c r="S47" i="6" l="1"/>
  <c r="V46" i="6"/>
  <c r="K91" i="6"/>
  <c r="N25" i="6" l="1"/>
  <c r="S48" i="6"/>
  <c r="V47" i="6"/>
  <c r="J90" i="6"/>
  <c r="S49" i="6" l="1"/>
  <c r="V48" i="6"/>
  <c r="K90" i="6"/>
  <c r="N24" i="6" l="1"/>
  <c r="S50" i="6"/>
  <c r="V49" i="6"/>
  <c r="J89" i="6"/>
  <c r="S51" i="6" l="1"/>
  <c r="V50" i="6"/>
  <c r="K89" i="6"/>
  <c r="N23" i="6" l="1"/>
  <c r="S52" i="6"/>
  <c r="V51" i="6"/>
  <c r="J88" i="6"/>
  <c r="S53" i="6" l="1"/>
  <c r="V52" i="6"/>
  <c r="K88" i="6"/>
  <c r="N22" i="6" l="1"/>
  <c r="S54" i="6"/>
  <c r="V53" i="6"/>
  <c r="J87" i="6"/>
  <c r="S55" i="6" l="1"/>
  <c r="V54" i="6"/>
  <c r="K87" i="6"/>
  <c r="N21" i="6" l="1"/>
  <c r="S56" i="6"/>
  <c r="V55" i="6"/>
  <c r="J86" i="6"/>
  <c r="S57" i="6" l="1"/>
  <c r="V56" i="6"/>
  <c r="K86" i="6"/>
  <c r="N20" i="6" l="1"/>
  <c r="S58" i="6"/>
  <c r="V57" i="6"/>
  <c r="J85" i="6"/>
  <c r="S59" i="6" l="1"/>
  <c r="V58" i="6"/>
  <c r="K85" i="6"/>
  <c r="N19" i="6" l="1"/>
  <c r="S60" i="6"/>
  <c r="V59" i="6"/>
  <c r="J84" i="6"/>
  <c r="S61" i="6" l="1"/>
  <c r="V60" i="6"/>
  <c r="K84" i="6"/>
  <c r="N18" i="6" l="1"/>
  <c r="S62" i="6"/>
  <c r="V61" i="6"/>
  <c r="J83" i="6"/>
  <c r="S63" i="6" l="1"/>
  <c r="V62" i="6"/>
  <c r="K83" i="6"/>
  <c r="N17" i="6" l="1"/>
  <c r="S64" i="6"/>
  <c r="V63" i="6"/>
  <c r="J82" i="6"/>
  <c r="S65" i="6" l="1"/>
  <c r="V64" i="6"/>
  <c r="K82" i="6"/>
  <c r="N16" i="6" l="1"/>
  <c r="P8" i="6" s="1"/>
  <c r="S66" i="6"/>
  <c r="V65" i="6"/>
  <c r="J81" i="6"/>
  <c r="S67" i="6" l="1"/>
  <c r="V66" i="6"/>
  <c r="K81" i="6"/>
  <c r="N15" i="6" l="1"/>
  <c r="S68" i="6"/>
  <c r="V67" i="6"/>
  <c r="S69" i="6" l="1"/>
  <c r="V68" i="6"/>
  <c r="J80" i="6"/>
  <c r="S70" i="6" l="1"/>
  <c r="V69" i="6"/>
  <c r="K80" i="6"/>
  <c r="N14" i="6" l="1"/>
  <c r="S71" i="6"/>
  <c r="V70" i="6"/>
  <c r="J79" i="6"/>
  <c r="S72" i="6" l="1"/>
  <c r="V71" i="6"/>
  <c r="K79" i="6"/>
  <c r="N13" i="6" l="1"/>
  <c r="S73" i="6"/>
  <c r="V72" i="6"/>
  <c r="S74" i="6" l="1"/>
  <c r="V73" i="6"/>
  <c r="S75" i="6" l="1"/>
  <c r="V74" i="6"/>
  <c r="S76" i="6" l="1"/>
  <c r="V75" i="6"/>
  <c r="P6" i="6" l="1"/>
  <c r="P7" i="6"/>
  <c r="P9" i="6"/>
  <c r="S77" i="6"/>
  <c r="V76" i="6"/>
  <c r="S78" i="6" l="1"/>
  <c r="V77" i="6"/>
  <c r="S79" i="6" l="1"/>
  <c r="V78" i="6"/>
  <c r="S80" i="6" l="1"/>
  <c r="V79" i="6"/>
  <c r="S81" i="6" l="1"/>
  <c r="V80" i="6"/>
  <c r="S82" i="6" l="1"/>
  <c r="V81" i="6"/>
  <c r="S83" i="6" l="1"/>
  <c r="V82" i="6"/>
  <c r="S84" i="6" l="1"/>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B99" i="6" l="1"/>
  <c r="S162" i="6"/>
  <c r="V161" i="6"/>
  <c r="S163" i="6" l="1"/>
  <c r="V162" i="6"/>
  <c r="S164" i="6" l="1"/>
  <c r="V163" i="6"/>
  <c r="S165" i="6" l="1"/>
  <c r="V164" i="6"/>
  <c r="S166" i="6" l="1"/>
  <c r="V165" i="6"/>
  <c r="S167" i="6" l="1"/>
  <c r="V166" i="6"/>
  <c r="S168" i="6" l="1"/>
  <c r="V167" i="6"/>
  <c r="S169" i="6" l="1"/>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B103" i="6" l="1"/>
  <c r="S232" i="6"/>
  <c r="V231" i="6"/>
  <c r="S233" i="6" l="1"/>
  <c r="V232" i="6"/>
  <c r="S234" i="6" l="1"/>
  <c r="V233" i="6"/>
  <c r="S235" i="6" l="1"/>
  <c r="V234" i="6"/>
  <c r="S236" i="6" l="1"/>
  <c r="V235" i="6"/>
  <c r="S237" i="6" l="1"/>
  <c r="V236" i="6"/>
  <c r="S238" i="6" l="1"/>
  <c r="V237" i="6"/>
  <c r="S239" i="6" l="1"/>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1" i="6" s="1"/>
  <c r="V290" i="6"/>
  <c r="B107" i="6" s="1"/>
  <c r="Y2" i="6" s="1"/>
</calcChain>
</file>

<file path=xl/sharedStrings.xml><?xml version="1.0" encoding="utf-8"?>
<sst xmlns="http://schemas.openxmlformats.org/spreadsheetml/2006/main" count="220" uniqueCount="63">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</sst>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0" xfId="0" applyBorder="1" applyAlignment="1">
      <alignment horizontal="center"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177" fontId="0" fillId="60" borderId="1" xfId="0" applyNumberFormat="1" applyFill="1" applyBorder="1" applyAlignment="1">
      <alignment vertical="center" wrapText="1"/>
    </xf>
    <xf numFmtId="0" fontId="0" fillId="60" borderId="1" xfId="0" applyFill="1" applyBorder="1">
      <alignment vertical="center"/>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zoomScaleNormal="100" workbookViewId="0">
      <selection activeCell="S21" sqref="S21"/>
    </sheetView>
  </sheetViews>
  <sheetFormatPr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101" t="s">
        <v>24</v>
      </c>
      <c r="C2" s="101"/>
      <c r="D2" s="101"/>
      <c r="E2" s="101"/>
      <c r="F2" s="101"/>
      <c r="G2" s="101"/>
      <c r="H2" s="101"/>
      <c r="I2" s="101"/>
      <c r="J2" s="101"/>
      <c r="K2" s="101"/>
      <c r="L2" s="101"/>
      <c r="M2" s="101"/>
      <c r="N2" s="101"/>
    </row>
    <row r="3" spans="1:14" ht="16.5" customHeight="1" x14ac:dyDescent="0.3">
      <c r="A3" s="1"/>
      <c r="B3" s="101"/>
      <c r="C3" s="101"/>
      <c r="D3" s="101"/>
      <c r="E3" s="101"/>
      <c r="F3" s="101"/>
      <c r="G3" s="101"/>
      <c r="H3" s="101"/>
      <c r="I3" s="101"/>
      <c r="J3" s="101"/>
      <c r="K3" s="101"/>
      <c r="L3" s="101"/>
      <c r="M3" s="101"/>
      <c r="N3" s="101"/>
    </row>
    <row r="4" spans="1:14" ht="16.5" customHeight="1" x14ac:dyDescent="0.3">
      <c r="A4" s="1"/>
      <c r="B4" s="101"/>
      <c r="C4" s="101"/>
      <c r="D4" s="101"/>
      <c r="E4" s="101"/>
      <c r="F4" s="101"/>
      <c r="G4" s="101"/>
      <c r="H4" s="101"/>
      <c r="I4" s="101"/>
      <c r="J4" s="101"/>
      <c r="K4" s="101"/>
      <c r="L4" s="101"/>
      <c r="M4" s="101"/>
      <c r="N4" s="101"/>
    </row>
    <row r="5" spans="1:14" ht="16.5" customHeight="1" x14ac:dyDescent="0.3">
      <c r="A5" s="1"/>
      <c r="B5" s="101"/>
      <c r="C5" s="101"/>
      <c r="D5" s="101"/>
      <c r="E5" s="101"/>
      <c r="F5" s="101"/>
      <c r="G5" s="101"/>
      <c r="H5" s="101"/>
      <c r="I5" s="101"/>
      <c r="J5" s="101"/>
      <c r="K5" s="101"/>
      <c r="L5" s="101"/>
      <c r="M5" s="101"/>
      <c r="N5" s="101"/>
    </row>
    <row r="6" spans="1:14" ht="16.5" customHeight="1" x14ac:dyDescent="0.3">
      <c r="A6" s="1"/>
      <c r="B6" s="101"/>
      <c r="C6" s="101"/>
      <c r="D6" s="101"/>
      <c r="E6" s="101"/>
      <c r="F6" s="101"/>
      <c r="G6" s="101"/>
      <c r="H6" s="101"/>
      <c r="I6" s="101"/>
      <c r="J6" s="101"/>
      <c r="K6" s="101"/>
      <c r="L6" s="101"/>
      <c r="M6" s="101"/>
      <c r="N6" s="101"/>
    </row>
    <row r="7" spans="1:14" x14ac:dyDescent="0.3">
      <c r="A7" s="1"/>
      <c r="E7"/>
      <c r="F7"/>
      <c r="G7"/>
      <c r="H7"/>
      <c r="I7"/>
      <c r="K7" s="1"/>
    </row>
    <row r="8" spans="1:14" ht="16.5" customHeight="1" x14ac:dyDescent="0.3">
      <c r="A8" s="1"/>
      <c r="B8" s="102" t="s">
        <v>25</v>
      </c>
      <c r="C8" s="102"/>
      <c r="D8" s="102"/>
      <c r="E8" s="102"/>
      <c r="F8" s="102"/>
      <c r="G8" s="102"/>
      <c r="H8" s="102"/>
      <c r="I8" s="102"/>
      <c r="J8" s="102"/>
      <c r="K8" s="102"/>
      <c r="L8" s="102"/>
      <c r="M8" s="102"/>
      <c r="N8" s="102"/>
    </row>
    <row r="9" spans="1:14" ht="16.5" customHeight="1" x14ac:dyDescent="0.3">
      <c r="A9" s="1"/>
      <c r="B9" s="102"/>
      <c r="C9" s="102"/>
      <c r="D9" s="102"/>
      <c r="E9" s="102"/>
      <c r="F9" s="102"/>
      <c r="G9" s="102"/>
      <c r="H9" s="102"/>
      <c r="I9" s="102"/>
      <c r="J9" s="102"/>
      <c r="K9" s="102"/>
      <c r="L9" s="102"/>
      <c r="M9" s="102"/>
      <c r="N9" s="102"/>
    </row>
    <row r="10" spans="1:14" ht="18.75" customHeight="1" x14ac:dyDescent="0.3">
      <c r="A10" s="1"/>
      <c r="B10" s="102"/>
      <c r="C10" s="102"/>
      <c r="D10" s="102"/>
      <c r="E10" s="102"/>
      <c r="F10" s="102"/>
      <c r="G10" s="102"/>
      <c r="H10" s="102"/>
      <c r="I10" s="102"/>
      <c r="J10" s="102"/>
      <c r="K10" s="102"/>
      <c r="L10" s="102"/>
      <c r="M10" s="102"/>
      <c r="N10" s="102"/>
    </row>
    <row r="11" spans="1:14" ht="18.75" customHeight="1" x14ac:dyDescent="0.3">
      <c r="A11" s="1"/>
      <c r="B11" s="17"/>
      <c r="C11" s="17"/>
      <c r="D11" s="4"/>
      <c r="E11" s="4"/>
      <c r="F11" s="4"/>
      <c r="G11" s="4"/>
      <c r="H11" s="4"/>
      <c r="I11" s="4"/>
      <c r="J11" s="4"/>
      <c r="K11" s="4"/>
      <c r="L11" s="4"/>
      <c r="M11" s="4"/>
      <c r="N11" s="4"/>
    </row>
    <row r="12" spans="1:14" x14ac:dyDescent="0.3">
      <c r="H12" s="100" t="s">
        <v>3</v>
      </c>
      <c r="I12" s="100"/>
      <c r="J12" s="100"/>
      <c r="K12" s="1"/>
      <c r="L12" s="100" t="s">
        <v>19</v>
      </c>
      <c r="M12" s="100"/>
      <c r="N12" s="100"/>
    </row>
    <row r="13" spans="1:14" x14ac:dyDescent="0.3">
      <c r="B13" s="18" t="s">
        <v>22</v>
      </c>
      <c r="C13" s="18" t="s">
        <v>21</v>
      </c>
      <c r="D13" s="13" t="s">
        <v>20</v>
      </c>
      <c r="E13" s="13" t="s">
        <v>2</v>
      </c>
      <c r="F13" s="1" t="s">
        <v>16</v>
      </c>
      <c r="G13"/>
      <c r="H13" s="14" t="s">
        <v>4</v>
      </c>
      <c r="I13" s="13" t="s">
        <v>5</v>
      </c>
      <c r="J13" s="1" t="s">
        <v>18</v>
      </c>
      <c r="K13" s="1"/>
      <c r="L13" s="15" t="s">
        <v>4</v>
      </c>
      <c r="M13" s="1" t="s">
        <v>5</v>
      </c>
      <c r="N13" s="1" t="s">
        <v>18</v>
      </c>
    </row>
    <row r="14" spans="1:14" x14ac:dyDescent="0.3">
      <c r="B14" s="100"/>
      <c r="C14" s="100"/>
      <c r="D14" s="1"/>
      <c r="F14" s="1">
        <f>D14-E14</f>
        <v>0</v>
      </c>
      <c r="G14"/>
      <c r="H14" s="100"/>
      <c r="J14" s="1">
        <f>'(gamma)'!F16</f>
        <v>0</v>
      </c>
      <c r="K14" s="1"/>
      <c r="L14" s="64" t="e">
        <f>H14*N14/J14</f>
        <v>#DIV/0!</v>
      </c>
      <c r="M14" s="1">
        <f>E14</f>
        <v>0</v>
      </c>
      <c r="N14" s="1">
        <f>'(gamma)'!D16</f>
        <v>0</v>
      </c>
    </row>
    <row r="15" spans="1:14" x14ac:dyDescent="0.3">
      <c r="B15" s="100"/>
      <c r="C15" s="100"/>
      <c r="D15" s="1"/>
      <c r="F15" s="1">
        <f>D15-E15</f>
        <v>0</v>
      </c>
      <c r="G15"/>
      <c r="H15" s="100"/>
      <c r="J15" s="1">
        <f>'(gamma)'!F17</f>
        <v>0</v>
      </c>
      <c r="K15" s="1"/>
      <c r="L15" s="64" t="e">
        <f>H14*N15/J15</f>
        <v>#DIV/0!</v>
      </c>
      <c r="M15" s="1">
        <f>E15</f>
        <v>0</v>
      </c>
      <c r="N15" s="1">
        <f>'(gamma)'!D17</f>
        <v>0</v>
      </c>
    </row>
    <row r="16" spans="1:14" x14ac:dyDescent="0.3">
      <c r="B16" s="1"/>
      <c r="C16" s="1"/>
      <c r="D16" s="1"/>
      <c r="G16"/>
      <c r="H16"/>
      <c r="I16"/>
      <c r="J16"/>
      <c r="N16"/>
    </row>
    <row r="17" spans="2:14" x14ac:dyDescent="0.3">
      <c r="H17" s="100" t="s">
        <v>3</v>
      </c>
      <c r="I17" s="100"/>
      <c r="J17" s="100"/>
      <c r="K17" s="1"/>
      <c r="L17" s="100" t="s">
        <v>19</v>
      </c>
      <c r="M17" s="100"/>
      <c r="N17" s="100"/>
    </row>
    <row r="18" spans="2:14" x14ac:dyDescent="0.3">
      <c r="B18" s="18" t="s">
        <v>22</v>
      </c>
      <c r="C18" s="18" t="s">
        <v>21</v>
      </c>
      <c r="D18" s="13" t="s">
        <v>20</v>
      </c>
      <c r="E18" s="13" t="s">
        <v>2</v>
      </c>
      <c r="F18" s="1" t="s">
        <v>16</v>
      </c>
      <c r="G18"/>
      <c r="H18" s="14" t="s">
        <v>4</v>
      </c>
      <c r="I18" s="13" t="s">
        <v>5</v>
      </c>
      <c r="J18" s="1" t="s">
        <v>18</v>
      </c>
      <c r="K18" s="1"/>
      <c r="L18" s="15" t="s">
        <v>4</v>
      </c>
      <c r="M18" s="1" t="s">
        <v>5</v>
      </c>
      <c r="N18" s="1" t="s">
        <v>18</v>
      </c>
    </row>
    <row r="19" spans="2:14" x14ac:dyDescent="0.3">
      <c r="B19" s="100"/>
      <c r="C19" s="100"/>
      <c r="D19" s="1"/>
      <c r="F19" s="1">
        <f>D19-E19</f>
        <v>0</v>
      </c>
      <c r="G19"/>
      <c r="H19" s="100"/>
      <c r="J19" s="1">
        <f>'(gamma)'!F18</f>
        <v>0</v>
      </c>
      <c r="K19" s="1"/>
      <c r="L19" s="64" t="e">
        <f>H19*N19/J19</f>
        <v>#DIV/0!</v>
      </c>
      <c r="M19" s="1">
        <f>E19</f>
        <v>0</v>
      </c>
      <c r="N19" s="1">
        <f>'(gamma)'!D18</f>
        <v>0</v>
      </c>
    </row>
    <row r="20" spans="2:14" x14ac:dyDescent="0.3">
      <c r="B20" s="100"/>
      <c r="C20" s="100"/>
      <c r="D20" s="1"/>
      <c r="F20" s="1">
        <f>D20-E20</f>
        <v>0</v>
      </c>
      <c r="G20"/>
      <c r="H20" s="100"/>
      <c r="J20" s="1">
        <f>'(gamma)'!F19</f>
        <v>0</v>
      </c>
      <c r="K20" s="1"/>
      <c r="L20" s="64" t="e">
        <f>H19*N20/J20</f>
        <v>#DIV/0!</v>
      </c>
      <c r="M20" s="1">
        <f>E20</f>
        <v>0</v>
      </c>
      <c r="N20" s="1">
        <f>'(gamma)'!D19</f>
        <v>0</v>
      </c>
    </row>
    <row r="21" spans="2:14" x14ac:dyDescent="0.3">
      <c r="B21" s="1"/>
      <c r="C21" s="1"/>
      <c r="D21" s="1"/>
      <c r="G21"/>
      <c r="H21"/>
      <c r="I21"/>
      <c r="J21"/>
      <c r="N21"/>
    </row>
    <row r="22" spans="2:14" x14ac:dyDescent="0.3">
      <c r="C22" s="19"/>
      <c r="E22"/>
      <c r="H22" s="100" t="s">
        <v>3</v>
      </c>
      <c r="I22" s="100"/>
      <c r="J22" s="100"/>
      <c r="K22" s="1"/>
      <c r="L22" s="100" t="s">
        <v>19</v>
      </c>
      <c r="M22" s="100"/>
      <c r="N22" s="100"/>
    </row>
    <row r="23" spans="2:14" x14ac:dyDescent="0.3">
      <c r="B23" s="18" t="s">
        <v>22</v>
      </c>
      <c r="C23" s="18" t="s">
        <v>1</v>
      </c>
      <c r="D23" s="13" t="s">
        <v>20</v>
      </c>
      <c r="E23" s="13" t="s">
        <v>2</v>
      </c>
      <c r="F23" s="1" t="s">
        <v>16</v>
      </c>
      <c r="G23"/>
      <c r="H23" s="14" t="s">
        <v>4</v>
      </c>
      <c r="I23" s="13" t="s">
        <v>5</v>
      </c>
      <c r="J23" s="1" t="s">
        <v>18</v>
      </c>
      <c r="K23" s="1"/>
      <c r="L23" s="15" t="s">
        <v>4</v>
      </c>
      <c r="M23" s="1" t="s">
        <v>5</v>
      </c>
      <c r="N23" s="1" t="s">
        <v>18</v>
      </c>
    </row>
    <row r="24" spans="2:14" x14ac:dyDescent="0.3">
      <c r="B24" s="100"/>
      <c r="C24" s="100"/>
      <c r="D24" s="1"/>
      <c r="F24" s="1">
        <f>D24-E24</f>
        <v>0</v>
      </c>
      <c r="G24"/>
      <c r="H24" s="100"/>
      <c r="J24" s="1">
        <f>'(gamma)'!F20</f>
        <v>0</v>
      </c>
      <c r="K24" s="1"/>
      <c r="L24" s="64" t="e">
        <f>H24*N24/J24</f>
        <v>#DIV/0!</v>
      </c>
      <c r="M24" s="1">
        <f>E24</f>
        <v>0</v>
      </c>
      <c r="N24" s="1">
        <f>'(gamma)'!D20</f>
        <v>0</v>
      </c>
    </row>
    <row r="25" spans="2:14" x14ac:dyDescent="0.3">
      <c r="B25" s="100"/>
      <c r="C25" s="100"/>
      <c r="D25" s="1"/>
      <c r="F25" s="1">
        <f>D25-E25</f>
        <v>0</v>
      </c>
      <c r="G25"/>
      <c r="H25" s="100"/>
      <c r="J25" s="1">
        <f>'(gamma)'!F21</f>
        <v>0</v>
      </c>
      <c r="K25" s="1"/>
      <c r="L25" s="64" t="e">
        <f>H24*N25/J25</f>
        <v>#DIV/0!</v>
      </c>
      <c r="M25" s="1">
        <f>E25</f>
        <v>0</v>
      </c>
      <c r="N25" s="1">
        <f>'(gamma)'!D21</f>
        <v>0</v>
      </c>
    </row>
    <row r="27" spans="2:14" x14ac:dyDescent="0.3">
      <c r="C27" s="19"/>
      <c r="E27"/>
      <c r="H27" s="100" t="s">
        <v>3</v>
      </c>
      <c r="I27" s="100"/>
      <c r="J27" s="100"/>
      <c r="K27" s="1"/>
      <c r="L27" s="100" t="s">
        <v>19</v>
      </c>
      <c r="M27" s="100"/>
      <c r="N27" s="100"/>
    </row>
    <row r="28" spans="2:14" x14ac:dyDescent="0.3">
      <c r="B28" s="18" t="s">
        <v>22</v>
      </c>
      <c r="C28" s="18" t="s">
        <v>21</v>
      </c>
      <c r="D28" s="13" t="s">
        <v>20</v>
      </c>
      <c r="E28" s="13" t="s">
        <v>2</v>
      </c>
      <c r="F28" s="1" t="s">
        <v>16</v>
      </c>
      <c r="G28"/>
      <c r="H28" s="14" t="s">
        <v>4</v>
      </c>
      <c r="I28" s="13" t="s">
        <v>5</v>
      </c>
      <c r="J28" s="1" t="s">
        <v>18</v>
      </c>
      <c r="K28" s="1"/>
      <c r="L28" s="15" t="s">
        <v>4</v>
      </c>
      <c r="M28" s="1" t="s">
        <v>5</v>
      </c>
      <c r="N28" s="1" t="s">
        <v>18</v>
      </c>
    </row>
    <row r="29" spans="2:14" x14ac:dyDescent="0.3">
      <c r="B29" s="100"/>
      <c r="C29" s="100"/>
      <c r="D29" s="1"/>
      <c r="F29" s="1">
        <f>D29-E29</f>
        <v>0</v>
      </c>
      <c r="G29"/>
      <c r="H29" s="100"/>
      <c r="J29" s="1">
        <f>'(gamma)'!F22</f>
        <v>0</v>
      </c>
      <c r="K29" s="1"/>
      <c r="L29" s="64" t="e">
        <f>H29*N29/J29</f>
        <v>#DIV/0!</v>
      </c>
      <c r="M29" s="1">
        <f>E29</f>
        <v>0</v>
      </c>
      <c r="N29" s="1">
        <f>'(gamma)'!D22</f>
        <v>0</v>
      </c>
    </row>
    <row r="30" spans="2:14" x14ac:dyDescent="0.3">
      <c r="B30" s="100"/>
      <c r="C30" s="100"/>
      <c r="D30" s="1"/>
      <c r="F30" s="1">
        <f>D30-E30</f>
        <v>0</v>
      </c>
      <c r="G30"/>
      <c r="H30" s="100"/>
      <c r="J30" s="1">
        <f>'(gamma)'!F23</f>
        <v>0</v>
      </c>
      <c r="K30" s="1"/>
      <c r="L30" s="64" t="e">
        <f>H29*N30/J30</f>
        <v>#DIV/0!</v>
      </c>
      <c r="M30" s="1">
        <f>E30</f>
        <v>0</v>
      </c>
      <c r="N30" s="1">
        <f>'(gamma)'!D23</f>
        <v>0</v>
      </c>
    </row>
    <row r="32" spans="2:14" x14ac:dyDescent="0.3">
      <c r="C32" s="19"/>
      <c r="E32"/>
      <c r="H32" s="100" t="s">
        <v>3</v>
      </c>
      <c r="I32" s="100"/>
      <c r="J32" s="100"/>
      <c r="K32" s="1"/>
      <c r="L32" s="100" t="s">
        <v>19</v>
      </c>
      <c r="M32" s="100"/>
      <c r="N32" s="100"/>
    </row>
    <row r="33" spans="2:14" x14ac:dyDescent="0.3">
      <c r="B33" s="18" t="s">
        <v>22</v>
      </c>
      <c r="C33" s="18" t="s">
        <v>21</v>
      </c>
      <c r="D33" s="13" t="s">
        <v>20</v>
      </c>
      <c r="E33" s="13" t="s">
        <v>2</v>
      </c>
      <c r="F33" s="1" t="s">
        <v>16</v>
      </c>
      <c r="G33"/>
      <c r="H33" s="14" t="s">
        <v>4</v>
      </c>
      <c r="I33" s="13" t="s">
        <v>5</v>
      </c>
      <c r="J33" s="1" t="s">
        <v>18</v>
      </c>
      <c r="K33" s="1"/>
      <c r="L33" s="15" t="s">
        <v>4</v>
      </c>
      <c r="M33" s="1" t="s">
        <v>5</v>
      </c>
      <c r="N33" s="1" t="s">
        <v>18</v>
      </c>
    </row>
    <row r="34" spans="2:14" x14ac:dyDescent="0.3">
      <c r="B34" s="100"/>
      <c r="C34" s="100"/>
      <c r="D34" s="1"/>
      <c r="F34" s="1">
        <f>D34-E34</f>
        <v>0</v>
      </c>
      <c r="G34"/>
      <c r="H34" s="100"/>
      <c r="J34" s="1">
        <f>'(gamma)'!F24</f>
        <v>0</v>
      </c>
      <c r="K34" s="1"/>
      <c r="L34" s="64" t="e">
        <f>H34*N34/J34</f>
        <v>#DIV/0!</v>
      </c>
      <c r="M34" s="1">
        <f>E34</f>
        <v>0</v>
      </c>
      <c r="N34" s="1">
        <f>'(gamma)'!D24</f>
        <v>0</v>
      </c>
    </row>
    <row r="35" spans="2:14" x14ac:dyDescent="0.3">
      <c r="B35" s="100"/>
      <c r="C35" s="100"/>
      <c r="D35" s="1"/>
      <c r="F35" s="1">
        <f>D35-E35</f>
        <v>0</v>
      </c>
      <c r="G35"/>
      <c r="H35" s="100"/>
      <c r="J35" s="1">
        <f>'(gamma)'!F25</f>
        <v>0</v>
      </c>
      <c r="K35" s="1"/>
      <c r="L35" s="64" t="e">
        <f>H35*N35/J35</f>
        <v>#DIV/0!</v>
      </c>
      <c r="M35" s="1">
        <f>E35</f>
        <v>0</v>
      </c>
      <c r="N35" s="1">
        <f>'(gamma)'!D25</f>
        <v>0</v>
      </c>
    </row>
    <row r="37" spans="2:14" x14ac:dyDescent="0.3">
      <c r="C37" s="19"/>
      <c r="E37"/>
      <c r="H37" s="100" t="s">
        <v>3</v>
      </c>
      <c r="I37" s="100"/>
      <c r="J37" s="100"/>
      <c r="K37" s="1"/>
      <c r="L37" s="100" t="s">
        <v>19</v>
      </c>
      <c r="M37" s="100"/>
      <c r="N37" s="100"/>
    </row>
    <row r="38" spans="2:14" x14ac:dyDescent="0.3">
      <c r="B38" s="18" t="s">
        <v>22</v>
      </c>
      <c r="C38" s="18" t="s">
        <v>21</v>
      </c>
      <c r="D38" s="13" t="s">
        <v>20</v>
      </c>
      <c r="E38" s="13" t="s">
        <v>2</v>
      </c>
      <c r="F38" s="1" t="s">
        <v>16</v>
      </c>
      <c r="G38"/>
      <c r="H38" s="14" t="s">
        <v>4</v>
      </c>
      <c r="I38" s="13" t="s">
        <v>5</v>
      </c>
      <c r="J38" s="1" t="s">
        <v>18</v>
      </c>
      <c r="K38" s="1"/>
      <c r="L38" s="15" t="s">
        <v>4</v>
      </c>
      <c r="M38" s="1" t="s">
        <v>5</v>
      </c>
      <c r="N38" s="1" t="s">
        <v>18</v>
      </c>
    </row>
    <row r="39" spans="2:14" x14ac:dyDescent="0.3">
      <c r="B39" s="100"/>
      <c r="C39" s="100"/>
      <c r="D39" s="1"/>
      <c r="F39" s="1">
        <f>D39-E39</f>
        <v>0</v>
      </c>
      <c r="G39"/>
      <c r="H39" s="100"/>
      <c r="J39" s="1">
        <f>'(gamma)'!F26</f>
        <v>0</v>
      </c>
      <c r="K39" s="1"/>
      <c r="L39" s="64" t="e">
        <f>H39*N39/J39</f>
        <v>#DIV/0!</v>
      </c>
      <c r="M39" s="1">
        <f>E39</f>
        <v>0</v>
      </c>
      <c r="N39" s="1">
        <f>'(gamma)'!D26</f>
        <v>0</v>
      </c>
    </row>
    <row r="40" spans="2:14" x14ac:dyDescent="0.3">
      <c r="B40" s="100"/>
      <c r="C40" s="100"/>
      <c r="F40" s="1">
        <f>D40-E40</f>
        <v>0</v>
      </c>
      <c r="H40" s="100"/>
      <c r="J40" s="1">
        <f>'(gamma)'!F27</f>
        <v>0</v>
      </c>
      <c r="L40" s="64"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1" t="s">
        <v>6</v>
      </c>
      <c r="C2" s="101"/>
      <c r="D2" s="101"/>
      <c r="E2" s="101"/>
      <c r="F2" s="101"/>
      <c r="H2" s="114" t="s">
        <v>13</v>
      </c>
      <c r="I2" s="114"/>
      <c r="J2" s="100"/>
      <c r="K2" s="100"/>
      <c r="M2" s="115" t="s">
        <v>7</v>
      </c>
      <c r="N2" s="116"/>
      <c r="O2" s="105" t="s">
        <v>17</v>
      </c>
      <c r="P2" s="106"/>
      <c r="Q2" s="106"/>
      <c r="R2" s="106"/>
      <c r="S2" s="107"/>
      <c r="T2" s="10"/>
      <c r="Y2"/>
      <c r="AA2" s="2"/>
    </row>
    <row r="3" spans="2:27" ht="16.5" customHeight="1" x14ac:dyDescent="0.3">
      <c r="B3" s="101"/>
      <c r="C3" s="101"/>
      <c r="D3" s="101"/>
      <c r="E3" s="101"/>
      <c r="F3" s="101"/>
      <c r="H3" s="7" t="s">
        <v>14</v>
      </c>
      <c r="I3" s="1" t="s">
        <v>15</v>
      </c>
      <c r="J3" s="1" t="s">
        <v>14</v>
      </c>
      <c r="K3" s="1" t="s">
        <v>16</v>
      </c>
      <c r="M3" s="117"/>
      <c r="N3" s="116"/>
      <c r="O3" s="108"/>
      <c r="P3" s="109"/>
      <c r="Q3" s="109"/>
      <c r="R3" s="109"/>
      <c r="S3" s="110"/>
      <c r="T3"/>
      <c r="Y3"/>
    </row>
    <row r="4" spans="2:27" ht="16.5" customHeight="1" x14ac:dyDescent="0.3">
      <c r="B4" s="101"/>
      <c r="C4" s="101"/>
      <c r="D4" s="101"/>
      <c r="E4" s="101"/>
      <c r="F4" s="101"/>
      <c r="H4" s="8">
        <f>J4</f>
        <v>0</v>
      </c>
      <c r="I4" s="1">
        <v>0</v>
      </c>
      <c r="J4" s="1">
        <f>VALUE(MID(O2,1,SEARCH(" ",O2,1)-1))/4</f>
        <v>0</v>
      </c>
      <c r="K4" s="1">
        <v>0</v>
      </c>
      <c r="L4" s="3"/>
      <c r="M4" s="117"/>
      <c r="N4" s="116"/>
      <c r="O4" s="108"/>
      <c r="P4" s="109"/>
      <c r="Q4" s="109"/>
      <c r="R4" s="109"/>
      <c r="S4" s="110"/>
      <c r="T4"/>
      <c r="Y4"/>
    </row>
    <row r="5" spans="2:27" ht="16.5" customHeight="1" x14ac:dyDescent="0.3">
      <c r="B5" s="101"/>
      <c r="C5" s="101"/>
      <c r="D5" s="101"/>
      <c r="E5" s="101"/>
      <c r="F5" s="101"/>
      <c r="H5" s="8">
        <f t="shared" ref="H5:H68" si="0">J5</f>
        <v>4.5</v>
      </c>
      <c r="I5" s="1">
        <v>1</v>
      </c>
      <c r="J5" s="1">
        <f>VALUE(MID($O$2,FIND("*",SUBSTITUTE($O$2," ","*",I5),1)+1,FIND("*",SUBSTITUTE($O$2," ","*",I6),1)-FIND("*",SUBSTITUTE($O$2," ","*",I5),1)-1))/4</f>
        <v>4.5</v>
      </c>
      <c r="K5" s="1">
        <f>J5-J4</f>
        <v>4.5</v>
      </c>
      <c r="L5" s="3"/>
      <c r="M5" s="117"/>
      <c r="N5" s="116"/>
      <c r="O5" s="111"/>
      <c r="P5" s="112"/>
      <c r="Q5" s="112"/>
      <c r="R5" s="112"/>
      <c r="S5" s="113"/>
      <c r="T5"/>
      <c r="Y5"/>
    </row>
    <row r="6" spans="2:27" ht="16.5" customHeight="1" x14ac:dyDescent="0.3">
      <c r="B6" s="101"/>
      <c r="C6" s="101"/>
      <c r="D6" s="101"/>
      <c r="E6" s="101"/>
      <c r="F6" s="101"/>
      <c r="H6" s="8">
        <f t="shared" si="0"/>
        <v>7.5</v>
      </c>
      <c r="I6" s="1">
        <v>2</v>
      </c>
      <c r="J6" s="1">
        <f t="shared" ref="J6:J69" si="1">VALUE(MID($O$2,FIND("*",SUBSTITUTE($O$2," ","*",I6),1)+1,FIND("*",SUBSTITUTE($O$2," ","*",I7),1)-FIND("*",SUBSTITUTE($O$2," ","*",I6),1)-1))/4</f>
        <v>7.5</v>
      </c>
      <c r="K6" s="1">
        <f t="shared" ref="K6:K69" si="2">J6-J5</f>
        <v>3</v>
      </c>
      <c r="L6" s="3"/>
    </row>
    <row r="7" spans="2:27" x14ac:dyDescent="0.3">
      <c r="B7" s="101"/>
      <c r="C7" s="101"/>
      <c r="D7" s="101"/>
      <c r="E7" s="101"/>
      <c r="F7" s="101"/>
      <c r="H7" s="8">
        <f t="shared" si="0"/>
        <v>10.5</v>
      </c>
      <c r="I7" s="1">
        <v>3</v>
      </c>
      <c r="J7" s="1">
        <f t="shared" si="1"/>
        <v>10.5</v>
      </c>
      <c r="K7" s="1">
        <f t="shared" si="2"/>
        <v>3</v>
      </c>
      <c r="L7" s="3"/>
    </row>
    <row r="8" spans="2:27" x14ac:dyDescent="0.3">
      <c r="B8" s="101"/>
      <c r="C8" s="101"/>
      <c r="D8" s="101"/>
      <c r="E8" s="101"/>
      <c r="F8" s="101"/>
      <c r="G8"/>
      <c r="H8" s="8">
        <f t="shared" si="0"/>
        <v>13.5</v>
      </c>
      <c r="I8" s="1">
        <v>4</v>
      </c>
      <c r="J8" s="1">
        <f t="shared" si="1"/>
        <v>13.5</v>
      </c>
      <c r="K8" s="1">
        <f t="shared" si="2"/>
        <v>3</v>
      </c>
      <c r="L8" s="5"/>
    </row>
    <row r="9" spans="2:27" x14ac:dyDescent="0.3">
      <c r="B9" s="101"/>
      <c r="C9" s="101"/>
      <c r="D9" s="101"/>
      <c r="E9" s="101"/>
      <c r="F9" s="10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3" t="s">
        <v>23</v>
      </c>
      <c r="C11" s="104"/>
      <c r="D11" s="104"/>
      <c r="E11" s="104"/>
      <c r="F11" s="104"/>
      <c r="H11" s="8">
        <f t="shared" si="0"/>
        <v>23</v>
      </c>
      <c r="I11" s="1">
        <v>7</v>
      </c>
      <c r="J11" s="1">
        <f t="shared" si="1"/>
        <v>23</v>
      </c>
      <c r="K11" s="1">
        <f t="shared" si="2"/>
        <v>3.5</v>
      </c>
    </row>
    <row r="12" spans="2:27" x14ac:dyDescent="0.3">
      <c r="B12" s="104"/>
      <c r="C12" s="104"/>
      <c r="D12" s="104"/>
      <c r="E12" s="104"/>
      <c r="F12" s="104"/>
      <c r="H12" s="8">
        <f t="shared" si="0"/>
        <v>26.5</v>
      </c>
      <c r="I12" s="1">
        <v>8</v>
      </c>
      <c r="J12" s="1">
        <f t="shared" si="1"/>
        <v>26.5</v>
      </c>
      <c r="K12" s="1">
        <f t="shared" si="2"/>
        <v>3.5</v>
      </c>
    </row>
    <row r="13" spans="2:27" x14ac:dyDescent="0.3">
      <c r="B13" s="104"/>
      <c r="C13" s="104"/>
      <c r="D13" s="104"/>
      <c r="E13" s="104"/>
      <c r="F13" s="10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00">
        <f>colorChecker!B14</f>
        <v>0</v>
      </c>
      <c r="C16" s="1">
        <f>colorChecker!E14</f>
        <v>0</v>
      </c>
      <c r="D16" s="6">
        <f t="shared" ref="D16:D25" si="3">((F30-E30)*C16)/(D30-C30)+E30-(C30*((F30-E30)/(D30-C30)))</f>
        <v>0</v>
      </c>
      <c r="E16" s="1">
        <f>colorChecker!I14</f>
        <v>0</v>
      </c>
      <c r="F16" s="16">
        <f t="shared" ref="F16:F27" si="4">((F44-E44)*E16)/(D44-C44)+E44-(C44*((F44-E44)/(D44-C44)))</f>
        <v>0</v>
      </c>
      <c r="H16" s="8">
        <f t="shared" si="0"/>
        <v>39.75</v>
      </c>
      <c r="I16" s="1">
        <v>12</v>
      </c>
      <c r="J16" s="1">
        <f t="shared" si="1"/>
        <v>39.75</v>
      </c>
      <c r="K16" s="1">
        <f t="shared" si="2"/>
        <v>3</v>
      </c>
    </row>
    <row r="17" spans="2:18" x14ac:dyDescent="0.3">
      <c r="B17" s="100"/>
      <c r="C17" s="1">
        <f>colorChecker!E15</f>
        <v>0</v>
      </c>
      <c r="D17" s="6">
        <f t="shared" si="3"/>
        <v>0</v>
      </c>
      <c r="E17" s="1">
        <f>colorChecker!I15</f>
        <v>0</v>
      </c>
      <c r="F17" s="16">
        <f t="shared" si="4"/>
        <v>0</v>
      </c>
      <c r="H17" s="8">
        <f t="shared" si="0"/>
        <v>42.75</v>
      </c>
      <c r="I17" s="1">
        <v>13</v>
      </c>
      <c r="J17" s="1">
        <f t="shared" si="1"/>
        <v>42.75</v>
      </c>
      <c r="K17" s="1">
        <f t="shared" si="2"/>
        <v>3</v>
      </c>
    </row>
    <row r="18" spans="2:18" x14ac:dyDescent="0.3">
      <c r="B18" s="100">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3">
      <c r="B19" s="100"/>
      <c r="C19" s="1">
        <f>colorChecker!E20</f>
        <v>0</v>
      </c>
      <c r="D19" s="6">
        <f t="shared" si="3"/>
        <v>0</v>
      </c>
      <c r="E19" s="1">
        <f>colorChecker!I20</f>
        <v>0</v>
      </c>
      <c r="F19" s="16">
        <f t="shared" si="4"/>
        <v>0</v>
      </c>
      <c r="H19" s="8">
        <f t="shared" si="0"/>
        <v>48.75</v>
      </c>
      <c r="I19" s="1">
        <v>15</v>
      </c>
      <c r="J19" s="1">
        <f t="shared" si="1"/>
        <v>48.75</v>
      </c>
      <c r="K19" s="1">
        <f t="shared" si="2"/>
        <v>3</v>
      </c>
    </row>
    <row r="20" spans="2:18" x14ac:dyDescent="0.3">
      <c r="B20" s="100">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3">
      <c r="B21" s="100"/>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3">
      <c r="B22" s="100">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3">
      <c r="B23" s="100"/>
      <c r="C23" s="1">
        <f>colorChecker!E30</f>
        <v>0</v>
      </c>
      <c r="D23" s="6">
        <f t="shared" si="3"/>
        <v>0</v>
      </c>
      <c r="E23" s="1">
        <f>colorChecker!I30</f>
        <v>0</v>
      </c>
      <c r="F23" s="16">
        <f t="shared" si="4"/>
        <v>0</v>
      </c>
      <c r="H23" s="8">
        <f t="shared" si="0"/>
        <v>59.75</v>
      </c>
      <c r="I23" s="1">
        <v>19</v>
      </c>
      <c r="J23" s="1">
        <f t="shared" si="1"/>
        <v>59.75</v>
      </c>
      <c r="K23" s="1">
        <f t="shared" si="2"/>
        <v>3</v>
      </c>
    </row>
    <row r="24" spans="2:18" x14ac:dyDescent="0.3">
      <c r="B24" s="100">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3">
      <c r="B25" s="100"/>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3">
      <c r="B26" s="100">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3">
      <c r="B27" s="100"/>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0</v>
      </c>
      <c r="D30" s="1">
        <f t="shared" si="5"/>
        <v>4.5</v>
      </c>
      <c r="E30" s="1">
        <f t="shared" ref="E30:E39" si="6">VLOOKUP(ROUNDUP(C16,1),$H$4:$I$260,2,TRUE)</f>
        <v>0</v>
      </c>
      <c r="F30" s="1">
        <f t="shared" ref="F30:F39" si="7">VLOOKUP(ROUNDUP(C16,1),$H$4:$I$260,2,TRUE)+1</f>
        <v>1</v>
      </c>
      <c r="H30" s="8">
        <f t="shared" si="0"/>
        <v>76.25</v>
      </c>
      <c r="I30" s="1">
        <v>26</v>
      </c>
      <c r="J30" s="1">
        <f t="shared" si="1"/>
        <v>76.25</v>
      </c>
      <c r="K30" s="1">
        <f t="shared" si="2"/>
        <v>2</v>
      </c>
      <c r="M30"/>
      <c r="N30"/>
      <c r="O30"/>
      <c r="P30"/>
      <c r="Q30"/>
      <c r="R30"/>
    </row>
    <row r="31" spans="2:18" x14ac:dyDescent="0.3">
      <c r="B31" s="1">
        <v>2</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0</v>
      </c>
      <c r="D44" s="9">
        <f t="shared" si="9"/>
        <v>4.5</v>
      </c>
      <c r="E44" s="9">
        <f t="shared" ref="E44:E49" si="10">VLOOKUP(ROUNDUP(E16,1),$H$4:$I$260,2,TRUE)</f>
        <v>0</v>
      </c>
      <c r="F44" s="9">
        <f t="shared" ref="F44:F49" si="11">VLOOKUP(ROUNDUP(E16,1),$H$4:$I$260,2,TRUE)+1</f>
        <v>1</v>
      </c>
      <c r="H44" s="8">
        <f t="shared" si="0"/>
        <v>101.5</v>
      </c>
      <c r="I44" s="1">
        <v>40</v>
      </c>
      <c r="J44" s="1">
        <f t="shared" si="1"/>
        <v>101.5</v>
      </c>
      <c r="K44" s="1">
        <f t="shared" si="2"/>
        <v>1.5</v>
      </c>
      <c r="M44"/>
      <c r="N44"/>
      <c r="O44"/>
      <c r="P44"/>
      <c r="Q44"/>
      <c r="R44"/>
    </row>
    <row r="45" spans="2:18" x14ac:dyDescent="0.3">
      <c r="B45" s="1">
        <v>2</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298"/>
  <sheetViews>
    <sheetView tabSelected="1" zoomScale="55" zoomScaleNormal="55" workbookViewId="0">
      <selection activeCell="K13" sqref="K13"/>
    </sheetView>
  </sheetViews>
  <sheetFormatPr defaultColWidth="9" defaultRowHeight="16.2" x14ac:dyDescent="0.3"/>
  <cols>
    <col min="1" max="1" width="3.33203125" style="1" customWidth="1"/>
    <col min="2" max="4" width="10.88671875" style="1" customWidth="1"/>
    <col min="5" max="8" width="3.33203125" style="1" customWidth="1"/>
    <col min="9" max="11" width="10.88671875" style="1" customWidth="1"/>
    <col min="12" max="12" width="3.33203125" style="1" customWidth="1"/>
    <col min="13" max="16" width="10.88671875" style="1" customWidth="1"/>
    <col min="17" max="17" width="3.33203125" style="1" customWidth="1"/>
    <col min="18" max="20" width="10.88671875" style="1" customWidth="1"/>
    <col min="21" max="21" width="10.88671875" style="78"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101" t="s">
        <v>42</v>
      </c>
      <c r="C2" s="116"/>
      <c r="D2" s="116"/>
      <c r="E2" s="116"/>
      <c r="F2" s="116"/>
      <c r="G2" s="116"/>
      <c r="H2" s="116"/>
      <c r="I2" s="116"/>
      <c r="J2" s="116"/>
      <c r="K2" s="117" t="s">
        <v>1</v>
      </c>
      <c r="M2" s="125" t="s">
        <v>26</v>
      </c>
      <c r="N2" s="116"/>
      <c r="O2" s="116"/>
      <c r="P2" s="131" t="s">
        <v>27</v>
      </c>
      <c r="Q2"/>
      <c r="R2" s="115" t="s">
        <v>7</v>
      </c>
      <c r="S2" s="116"/>
      <c r="T2" s="132" t="s">
        <v>17</v>
      </c>
      <c r="U2" s="133"/>
      <c r="V2" s="133"/>
      <c r="W2" s="133"/>
      <c r="X2" s="134"/>
      <c r="Y2" s="127"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8"/>
      <c r="AA2" s="128"/>
      <c r="AB2" s="128"/>
      <c r="AC2" s="128"/>
      <c r="AE2"/>
    </row>
    <row r="3" spans="1:31" x14ac:dyDescent="0.3">
      <c r="B3" s="116"/>
      <c r="C3" s="116"/>
      <c r="D3" s="116"/>
      <c r="E3" s="116"/>
      <c r="F3" s="116"/>
      <c r="G3" s="116"/>
      <c r="H3" s="116"/>
      <c r="I3" s="116"/>
      <c r="J3" s="116"/>
      <c r="K3" s="124"/>
      <c r="M3" s="116"/>
      <c r="N3" s="116"/>
      <c r="O3" s="116"/>
      <c r="P3" s="131"/>
      <c r="Q3"/>
      <c r="R3" s="117"/>
      <c r="S3" s="116"/>
      <c r="T3" s="135"/>
      <c r="U3" s="136"/>
      <c r="V3" s="136"/>
      <c r="W3" s="136"/>
      <c r="X3" s="137"/>
      <c r="Y3" s="128"/>
      <c r="Z3" s="128"/>
      <c r="AA3" s="128"/>
      <c r="AB3" s="128"/>
      <c r="AC3" s="128"/>
      <c r="AE3"/>
    </row>
    <row r="4" spans="1:31" x14ac:dyDescent="0.3">
      <c r="B4" s="116"/>
      <c r="C4" s="116"/>
      <c r="D4" s="116"/>
      <c r="E4" s="116"/>
      <c r="F4" s="116"/>
      <c r="G4" s="116"/>
      <c r="H4" s="116"/>
      <c r="I4" s="116"/>
      <c r="J4" s="116"/>
      <c r="K4" s="124"/>
      <c r="M4" s="116"/>
      <c r="N4" s="116"/>
      <c r="O4" s="116"/>
      <c r="P4" s="131"/>
      <c r="Q4"/>
      <c r="R4" s="117"/>
      <c r="S4" s="116"/>
      <c r="T4" s="135"/>
      <c r="U4" s="136"/>
      <c r="V4" s="136"/>
      <c r="W4" s="136"/>
      <c r="X4" s="137"/>
      <c r="Y4" s="128"/>
      <c r="Z4" s="128"/>
      <c r="AA4" s="128"/>
      <c r="AB4" s="128"/>
      <c r="AC4" s="128"/>
      <c r="AE4"/>
    </row>
    <row r="5" spans="1:31" x14ac:dyDescent="0.3">
      <c r="B5" s="116"/>
      <c r="C5" s="116"/>
      <c r="D5" s="116"/>
      <c r="E5" s="116"/>
      <c r="F5" s="116"/>
      <c r="G5" s="116"/>
      <c r="H5" s="116"/>
      <c r="I5" s="116"/>
      <c r="J5" s="116"/>
      <c r="K5" s="124"/>
      <c r="M5" s="116"/>
      <c r="N5" s="116"/>
      <c r="O5" s="116"/>
      <c r="P5" s="131"/>
      <c r="Q5"/>
      <c r="R5" s="117"/>
      <c r="S5" s="116"/>
      <c r="T5" s="138"/>
      <c r="U5" s="139"/>
      <c r="V5" s="139"/>
      <c r="W5" s="139"/>
      <c r="X5" s="140"/>
      <c r="Y5" s="128"/>
      <c r="Z5" s="128"/>
      <c r="AA5" s="128"/>
      <c r="AB5" s="128"/>
      <c r="AC5" s="128"/>
      <c r="AE5"/>
    </row>
    <row r="6" spans="1:31" x14ac:dyDescent="0.3">
      <c r="B6" s="116"/>
      <c r="C6" s="116"/>
      <c r="D6" s="116"/>
      <c r="E6" s="116"/>
      <c r="F6" s="116"/>
      <c r="G6" s="116"/>
      <c r="H6" s="116"/>
      <c r="I6" s="116"/>
      <c r="J6" s="116"/>
      <c r="K6" s="124"/>
      <c r="M6" s="129" t="s">
        <v>28</v>
      </c>
      <c r="N6" s="130"/>
      <c r="O6" s="81">
        <f>AVERAGE(M12:M31)</f>
        <v>0</v>
      </c>
      <c r="P6" s="82">
        <f>AVERAGE(N12:N31)</f>
        <v>0</v>
      </c>
      <c r="Q6"/>
      <c r="R6"/>
    </row>
    <row r="7" spans="1:31" x14ac:dyDescent="0.3">
      <c r="B7"/>
      <c r="C7"/>
      <c r="D7"/>
      <c r="E7"/>
      <c r="F7"/>
      <c r="G7"/>
      <c r="H7"/>
      <c r="I7"/>
      <c r="J7"/>
      <c r="K7"/>
      <c r="M7" s="120" t="s">
        <v>29</v>
      </c>
      <c r="N7" s="121"/>
      <c r="O7" s="81">
        <f>AVERAGE(M12:M15)</f>
        <v>0</v>
      </c>
      <c r="P7" s="81">
        <f>AVERAGE(N12:N15)</f>
        <v>0</v>
      </c>
      <c r="Q7"/>
      <c r="R7"/>
    </row>
    <row r="8" spans="1:31" ht="16.5" customHeight="1" x14ac:dyDescent="0.3">
      <c r="B8" s="118" t="s">
        <v>30</v>
      </c>
      <c r="C8" s="126" t="s">
        <v>44</v>
      </c>
      <c r="D8" s="126"/>
      <c r="E8" s="126"/>
      <c r="F8" s="126"/>
      <c r="G8" s="126"/>
      <c r="H8" s="126"/>
      <c r="I8" s="126"/>
      <c r="J8" s="14"/>
      <c r="M8" s="120" t="s">
        <v>31</v>
      </c>
      <c r="N8" s="121"/>
      <c r="O8" s="81">
        <f>AVERAGE(M16:M31)</f>
        <v>0</v>
      </c>
      <c r="P8" s="81">
        <f>AVERAGE(N16:N31)</f>
        <v>0</v>
      </c>
      <c r="Q8"/>
      <c r="R8"/>
    </row>
    <row r="9" spans="1:31" x14ac:dyDescent="0.3">
      <c r="B9" s="119"/>
      <c r="C9" s="126"/>
      <c r="D9" s="126"/>
      <c r="E9" s="126"/>
      <c r="F9" s="126"/>
      <c r="G9" s="126"/>
      <c r="H9" s="126"/>
      <c r="I9" s="126"/>
      <c r="K9" s="3"/>
      <c r="M9" s="122" t="s">
        <v>32</v>
      </c>
      <c r="N9" s="123"/>
      <c r="O9" s="83">
        <f>((I12-I31)/(I12+I31))/((C12-C31)/(C12+C31))</f>
        <v>1</v>
      </c>
      <c r="P9" s="83">
        <f>((K12-K31)/(K12+K31))/((C12-C31)/(C12+C31))</f>
        <v>1</v>
      </c>
      <c r="Q9"/>
      <c r="R9"/>
    </row>
    <row r="10" spans="1:31" x14ac:dyDescent="0.3">
      <c r="M10" s="77" t="s">
        <v>55</v>
      </c>
      <c r="N10" s="1" t="s">
        <v>53</v>
      </c>
      <c r="O10" s="1" t="s">
        <v>54</v>
      </c>
    </row>
    <row r="11" spans="1:31" x14ac:dyDescent="0.3">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3">
      <c r="A12" s="1" t="s">
        <v>49</v>
      </c>
      <c r="B12" s="79">
        <v>226.4692</v>
      </c>
      <c r="C12" s="79">
        <v>226.4692</v>
      </c>
      <c r="D12" s="16">
        <f t="shared" ref="D12:D31" si="0">((K56-J56)*I56)/(I56-C56)+J56-(C56*((K56-J56)/(I56-C56)))</f>
        <v>187</v>
      </c>
      <c r="E12" s="35"/>
      <c r="F12" s="51"/>
      <c r="G12" s="66"/>
      <c r="H12" s="35"/>
      <c r="I12" s="79">
        <v>226.4692</v>
      </c>
      <c r="J12" s="6">
        <f t="shared" ref="J12:J31" si="1">((K34-J34)*I12)/(I34-C34)+J34-(C34*((K34-J34)/(I34-C34)))</f>
        <v>186.4384</v>
      </c>
      <c r="K12" s="84">
        <v>226.4692</v>
      </c>
      <c r="L12" s="3"/>
      <c r="M12" s="21">
        <f t="shared" ref="M12:M31" si="2">ABS(I12-C12)</f>
        <v>0</v>
      </c>
      <c r="N12" s="80">
        <f t="shared" ref="N12:N31" si="3">ABS(K12-C12)</f>
        <v>0</v>
      </c>
      <c r="O12" s="79">
        <f t="shared" ref="O12:O31" si="4">ABS(B12-C12)</f>
        <v>0</v>
      </c>
      <c r="P12" s="80" t="s">
        <v>46</v>
      </c>
    </row>
    <row r="13" spans="1:31" x14ac:dyDescent="0.3">
      <c r="A13" s="1">
        <v>1</v>
      </c>
      <c r="B13" s="79">
        <v>205.97059999999999</v>
      </c>
      <c r="C13" s="79">
        <v>205.97059999999999</v>
      </c>
      <c r="D13" s="16">
        <f t="shared" si="0"/>
        <v>149</v>
      </c>
      <c r="E13" s="36"/>
      <c r="F13" s="52"/>
      <c r="G13" s="67"/>
      <c r="H13" s="36"/>
      <c r="I13" s="79">
        <v>205.97059999999999</v>
      </c>
      <c r="J13" s="6">
        <f t="shared" si="1"/>
        <v>148.44119999999998</v>
      </c>
      <c r="K13" s="84">
        <v>205.97059999999999</v>
      </c>
      <c r="L13" s="3"/>
      <c r="M13" s="21">
        <f t="shared" si="2"/>
        <v>0</v>
      </c>
      <c r="N13" s="80">
        <f t="shared" si="3"/>
        <v>0</v>
      </c>
      <c r="O13" s="79">
        <f t="shared" si="4"/>
        <v>0</v>
      </c>
      <c r="P13" s="80" t="s">
        <v>46</v>
      </c>
    </row>
    <row r="14" spans="1:31" x14ac:dyDescent="0.3">
      <c r="A14" s="1">
        <v>2</v>
      </c>
      <c r="B14" s="79">
        <v>182.9263</v>
      </c>
      <c r="C14" s="79">
        <v>182.9263</v>
      </c>
      <c r="D14" s="16">
        <f t="shared" si="0"/>
        <v>115</v>
      </c>
      <c r="E14" s="37"/>
      <c r="F14" s="53"/>
      <c r="G14" s="68"/>
      <c r="H14" s="37"/>
      <c r="I14" s="79">
        <v>182.9263</v>
      </c>
      <c r="J14" s="6">
        <f t="shared" si="1"/>
        <v>114.17629999999997</v>
      </c>
      <c r="K14" s="84">
        <v>182.9263</v>
      </c>
      <c r="L14" s="3"/>
      <c r="M14" s="21">
        <f t="shared" si="2"/>
        <v>0</v>
      </c>
      <c r="N14" s="80">
        <f t="shared" si="3"/>
        <v>0</v>
      </c>
      <c r="O14" s="79">
        <f t="shared" si="4"/>
        <v>0</v>
      </c>
      <c r="P14" s="80" t="s">
        <v>47</v>
      </c>
    </row>
    <row r="15" spans="1:31" x14ac:dyDescent="0.3">
      <c r="A15" s="1">
        <v>3</v>
      </c>
      <c r="B15" s="79">
        <v>164.08369999999999</v>
      </c>
      <c r="C15" s="79">
        <v>164.08369999999999</v>
      </c>
      <c r="D15" s="16">
        <f t="shared" si="0"/>
        <v>91</v>
      </c>
      <c r="E15" s="38"/>
      <c r="F15" s="54"/>
      <c r="G15" s="69"/>
      <c r="H15" s="38"/>
      <c r="I15" s="79">
        <v>164.08369999999999</v>
      </c>
      <c r="J15" s="6">
        <f t="shared" si="1"/>
        <v>90.833699999999993</v>
      </c>
      <c r="K15" s="84">
        <v>164.08369999999999</v>
      </c>
      <c r="L15" s="3"/>
      <c r="M15" s="21">
        <f t="shared" si="2"/>
        <v>0</v>
      </c>
      <c r="N15" s="80">
        <f t="shared" si="3"/>
        <v>0</v>
      </c>
      <c r="O15" s="79">
        <f t="shared" si="4"/>
        <v>0</v>
      </c>
      <c r="P15" s="80" t="s">
        <v>48</v>
      </c>
    </row>
    <row r="16" spans="1:31" x14ac:dyDescent="0.3">
      <c r="A16" s="1">
        <v>4</v>
      </c>
      <c r="B16" s="79">
        <v>142.13130000000001</v>
      </c>
      <c r="C16" s="79">
        <v>142.13130000000001</v>
      </c>
      <c r="D16" s="16">
        <f t="shared" si="0"/>
        <v>70</v>
      </c>
      <c r="E16" s="39"/>
      <c r="F16" s="55"/>
      <c r="G16" s="24"/>
      <c r="H16" s="39"/>
      <c r="I16" s="79">
        <v>142.13130000000001</v>
      </c>
      <c r="J16" s="6">
        <f t="shared" si="1"/>
        <v>69.13130000000001</v>
      </c>
      <c r="K16" s="84">
        <v>142.13130000000001</v>
      </c>
      <c r="L16" s="3"/>
      <c r="M16" s="21">
        <f t="shared" si="2"/>
        <v>0</v>
      </c>
      <c r="N16" s="80">
        <f t="shared" si="3"/>
        <v>0</v>
      </c>
      <c r="O16" s="79">
        <f t="shared" si="4"/>
        <v>0</v>
      </c>
      <c r="P16" s="80" t="s">
        <v>48</v>
      </c>
    </row>
    <row r="17" spans="1:16" x14ac:dyDescent="0.3">
      <c r="A17" s="1">
        <v>5</v>
      </c>
      <c r="B17" s="79">
        <v>123.1536</v>
      </c>
      <c r="C17" s="79">
        <v>123.1536</v>
      </c>
      <c r="D17" s="16">
        <f t="shared" si="0"/>
        <v>55</v>
      </c>
      <c r="E17" s="40"/>
      <c r="F17" s="56"/>
      <c r="G17" s="65"/>
      <c r="H17" s="40"/>
      <c r="I17" s="79">
        <v>123.1536</v>
      </c>
      <c r="J17" s="6">
        <f t="shared" si="1"/>
        <v>54.153599999999983</v>
      </c>
      <c r="K17" s="84">
        <v>123.1536</v>
      </c>
      <c r="L17" s="3"/>
      <c r="M17" s="21">
        <f t="shared" si="2"/>
        <v>0</v>
      </c>
      <c r="N17" s="80">
        <f t="shared" si="3"/>
        <v>0</v>
      </c>
      <c r="O17" s="79">
        <f t="shared" si="4"/>
        <v>0</v>
      </c>
      <c r="P17" s="80" t="s">
        <v>48</v>
      </c>
    </row>
    <row r="18" spans="1:16" x14ac:dyDescent="0.3">
      <c r="A18" s="1">
        <v>6</v>
      </c>
      <c r="B18" s="79">
        <v>105.1178</v>
      </c>
      <c r="C18" s="79">
        <v>105.1178</v>
      </c>
      <c r="D18" s="16">
        <f t="shared" si="0"/>
        <v>43</v>
      </c>
      <c r="E18" s="41"/>
      <c r="F18" s="22"/>
      <c r="G18" s="70"/>
      <c r="H18" s="41"/>
      <c r="I18" s="79">
        <v>105.1178</v>
      </c>
      <c r="J18" s="6">
        <f t="shared" si="1"/>
        <v>42.07853333333334</v>
      </c>
      <c r="K18" s="84">
        <v>105.1178</v>
      </c>
      <c r="L18" s="3"/>
      <c r="M18" s="21">
        <f t="shared" si="2"/>
        <v>0</v>
      </c>
      <c r="N18" s="80">
        <f t="shared" si="3"/>
        <v>0</v>
      </c>
      <c r="O18" s="79">
        <f t="shared" si="4"/>
        <v>0</v>
      </c>
      <c r="P18" s="80" t="s">
        <v>48</v>
      </c>
    </row>
    <row r="19" spans="1:16" x14ac:dyDescent="0.3">
      <c r="A19" s="1" t="s">
        <v>50</v>
      </c>
      <c r="B19" s="79">
        <v>90.868700000000004</v>
      </c>
      <c r="C19" s="79">
        <v>90.868700000000004</v>
      </c>
      <c r="D19" s="16">
        <f t="shared" si="0"/>
        <v>34</v>
      </c>
      <c r="E19" s="42"/>
      <c r="F19" s="23"/>
      <c r="G19" s="71"/>
      <c r="H19" s="42"/>
      <c r="I19" s="79">
        <v>90.868700000000004</v>
      </c>
      <c r="J19" s="6">
        <f t="shared" si="1"/>
        <v>33.809349999999995</v>
      </c>
      <c r="K19" s="84">
        <v>90.868700000000004</v>
      </c>
      <c r="L19" s="3"/>
      <c r="M19" s="21">
        <f t="shared" si="2"/>
        <v>0</v>
      </c>
      <c r="N19" s="80">
        <f t="shared" si="3"/>
        <v>0</v>
      </c>
      <c r="O19" s="79">
        <f t="shared" si="4"/>
        <v>0</v>
      </c>
      <c r="P19" s="80" t="s">
        <v>48</v>
      </c>
    </row>
    <row r="20" spans="1:16" x14ac:dyDescent="0.3">
      <c r="A20" s="1">
        <v>8</v>
      </c>
      <c r="B20" s="79">
        <v>77.372500000000002</v>
      </c>
      <c r="C20" s="79">
        <v>77.372500000000002</v>
      </c>
      <c r="D20" s="16">
        <f t="shared" si="0"/>
        <v>27</v>
      </c>
      <c r="E20" s="43"/>
      <c r="F20" s="57"/>
      <c r="G20" s="72"/>
      <c r="H20" s="43"/>
      <c r="I20" s="79">
        <v>77.372500000000002</v>
      </c>
      <c r="J20" s="6">
        <f t="shared" si="1"/>
        <v>26.561250000000001</v>
      </c>
      <c r="K20" s="84">
        <v>77.372500000000002</v>
      </c>
      <c r="L20" s="3"/>
      <c r="M20" s="21">
        <f t="shared" si="2"/>
        <v>0</v>
      </c>
      <c r="N20" s="80">
        <f t="shared" si="3"/>
        <v>0</v>
      </c>
      <c r="O20" s="79">
        <f t="shared" si="4"/>
        <v>0</v>
      </c>
      <c r="P20" s="80" t="s">
        <v>47</v>
      </c>
    </row>
    <row r="21" spans="1:16" x14ac:dyDescent="0.3">
      <c r="A21" s="1">
        <v>9</v>
      </c>
      <c r="B21" s="79">
        <v>66.584900000000005</v>
      </c>
      <c r="C21" s="79">
        <v>66.584900000000005</v>
      </c>
      <c r="D21" s="16">
        <f t="shared" si="0"/>
        <v>21.999999999999996</v>
      </c>
      <c r="E21" s="44"/>
      <c r="F21" s="25"/>
      <c r="G21" s="73"/>
      <c r="H21" s="44"/>
      <c r="I21" s="79">
        <v>66.584900000000005</v>
      </c>
      <c r="J21" s="6">
        <f t="shared" si="1"/>
        <v>21.73396</v>
      </c>
      <c r="K21" s="84">
        <v>66.584900000000005</v>
      </c>
      <c r="L21" s="3"/>
      <c r="M21" s="21">
        <f t="shared" si="2"/>
        <v>0</v>
      </c>
      <c r="N21" s="80">
        <f t="shared" si="3"/>
        <v>0</v>
      </c>
      <c r="O21" s="79">
        <f t="shared" si="4"/>
        <v>0</v>
      </c>
      <c r="P21" s="80" t="s">
        <v>46</v>
      </c>
    </row>
    <row r="22" spans="1:16" x14ac:dyDescent="0.3">
      <c r="A22" s="1">
        <v>10</v>
      </c>
      <c r="B22" s="79">
        <v>55.643000000000001</v>
      </c>
      <c r="C22" s="79">
        <v>55.643000000000001</v>
      </c>
      <c r="D22" s="16">
        <f t="shared" si="0"/>
        <v>18</v>
      </c>
      <c r="E22" s="45"/>
      <c r="F22" s="26"/>
      <c r="G22" s="74"/>
      <c r="H22" s="45"/>
      <c r="I22" s="79">
        <v>55.643000000000001</v>
      </c>
      <c r="J22" s="6">
        <f t="shared" si="1"/>
        <v>17.557199999999995</v>
      </c>
      <c r="K22" s="84">
        <v>55.643000000000001</v>
      </c>
      <c r="L22" s="3"/>
      <c r="M22" s="21">
        <f t="shared" si="2"/>
        <v>0</v>
      </c>
      <c r="N22" s="80">
        <f t="shared" si="3"/>
        <v>0</v>
      </c>
      <c r="O22" s="79">
        <f t="shared" si="4"/>
        <v>0</v>
      </c>
      <c r="P22" s="80" t="s">
        <v>46</v>
      </c>
    </row>
    <row r="23" spans="1:16" x14ac:dyDescent="0.3">
      <c r="A23" s="1">
        <v>11</v>
      </c>
      <c r="B23" s="79">
        <v>47.012700000000002</v>
      </c>
      <c r="C23" s="79">
        <v>47.012700000000002</v>
      </c>
      <c r="D23" s="16">
        <f t="shared" si="0"/>
        <v>15</v>
      </c>
      <c r="E23" s="46"/>
      <c r="F23" s="58"/>
      <c r="G23" s="26"/>
      <c r="H23" s="46"/>
      <c r="I23" s="79">
        <v>47.012700000000002</v>
      </c>
      <c r="J23" s="6">
        <f t="shared" si="1"/>
        <v>14.420900000000003</v>
      </c>
      <c r="K23" s="84">
        <v>47.012700000000002</v>
      </c>
      <c r="L23" s="3"/>
      <c r="M23" s="21">
        <f t="shared" si="2"/>
        <v>0</v>
      </c>
      <c r="N23" s="80">
        <f t="shared" si="3"/>
        <v>0</v>
      </c>
      <c r="O23" s="79">
        <f t="shared" si="4"/>
        <v>0</v>
      </c>
      <c r="P23" s="80" t="s">
        <v>46</v>
      </c>
    </row>
    <row r="24" spans="1:16" x14ac:dyDescent="0.3">
      <c r="A24" s="1">
        <v>12</v>
      </c>
      <c r="B24" s="79">
        <v>39.938699999999997</v>
      </c>
      <c r="C24" s="79">
        <v>39.938699999999997</v>
      </c>
      <c r="D24" s="16">
        <f t="shared" si="0"/>
        <v>13</v>
      </c>
      <c r="E24" s="32"/>
      <c r="F24" s="27"/>
      <c r="G24" s="28"/>
      <c r="H24" s="32"/>
      <c r="I24" s="79">
        <v>39.938699999999997</v>
      </c>
      <c r="J24" s="6">
        <f t="shared" si="1"/>
        <v>12.062899999999999</v>
      </c>
      <c r="K24" s="84">
        <v>39.938699999999997</v>
      </c>
      <c r="L24" s="3"/>
      <c r="M24" s="21">
        <f t="shared" si="2"/>
        <v>0</v>
      </c>
      <c r="N24" s="80">
        <f t="shared" si="3"/>
        <v>0</v>
      </c>
      <c r="O24" s="79">
        <f t="shared" si="4"/>
        <v>0</v>
      </c>
      <c r="P24" s="80" t="s">
        <v>46</v>
      </c>
    </row>
    <row r="25" spans="1:16" x14ac:dyDescent="0.3">
      <c r="A25" s="1">
        <v>13</v>
      </c>
      <c r="B25" s="79">
        <v>35.489400000000003</v>
      </c>
      <c r="C25" s="79">
        <v>35.489400000000003</v>
      </c>
      <c r="D25" s="16">
        <f t="shared" si="0"/>
        <v>11</v>
      </c>
      <c r="E25" s="47"/>
      <c r="F25" s="59"/>
      <c r="G25" s="63"/>
      <c r="H25" s="47"/>
      <c r="I25" s="79">
        <v>35.489400000000003</v>
      </c>
      <c r="J25" s="6">
        <f t="shared" si="1"/>
        <v>10.639828571428573</v>
      </c>
      <c r="K25" s="84">
        <v>35.489400000000003</v>
      </c>
      <c r="L25" s="3"/>
      <c r="M25" s="21">
        <f t="shared" si="2"/>
        <v>0</v>
      </c>
      <c r="N25" s="80">
        <f t="shared" si="3"/>
        <v>0</v>
      </c>
      <c r="O25" s="79">
        <f t="shared" si="4"/>
        <v>0</v>
      </c>
      <c r="P25" s="80" t="s">
        <v>46</v>
      </c>
    </row>
    <row r="26" spans="1:16" x14ac:dyDescent="0.3">
      <c r="A26" s="1">
        <v>14</v>
      </c>
      <c r="B26" s="79">
        <v>30.1858</v>
      </c>
      <c r="C26" s="79">
        <v>30.1858</v>
      </c>
      <c r="D26" s="16">
        <f t="shared" si="0"/>
        <v>10</v>
      </c>
      <c r="E26" s="48"/>
      <c r="F26" s="31"/>
      <c r="G26" s="75"/>
      <c r="H26" s="48"/>
      <c r="I26" s="79">
        <v>30.1858</v>
      </c>
      <c r="J26" s="6">
        <f t="shared" si="1"/>
        <v>9.1828799999999973</v>
      </c>
      <c r="K26" s="84">
        <v>30.1858</v>
      </c>
      <c r="L26" s="3"/>
      <c r="M26" s="21">
        <f t="shared" si="2"/>
        <v>0</v>
      </c>
      <c r="N26" s="80">
        <f t="shared" si="3"/>
        <v>0</v>
      </c>
      <c r="O26" s="79">
        <f t="shared" si="4"/>
        <v>0</v>
      </c>
      <c r="P26" s="80" t="s">
        <v>46</v>
      </c>
    </row>
    <row r="27" spans="1:16" x14ac:dyDescent="0.3">
      <c r="A27" s="1">
        <v>15</v>
      </c>
      <c r="B27" s="79">
        <v>26.481999999999999</v>
      </c>
      <c r="C27" s="79">
        <v>26.481999999999999</v>
      </c>
      <c r="D27" s="16">
        <f t="shared" si="0"/>
        <v>9.0000000000000036</v>
      </c>
      <c r="E27" s="29"/>
      <c r="F27" s="60"/>
      <c r="G27" s="29"/>
      <c r="H27" s="29"/>
      <c r="I27" s="79">
        <v>26.481999999999999</v>
      </c>
      <c r="J27" s="6">
        <f t="shared" si="1"/>
        <v>7.9940000000000033</v>
      </c>
      <c r="K27" s="84">
        <v>26.481999999999999</v>
      </c>
      <c r="L27" s="3"/>
      <c r="M27" s="21">
        <f t="shared" si="2"/>
        <v>0</v>
      </c>
      <c r="N27" s="80">
        <f t="shared" si="3"/>
        <v>0</v>
      </c>
      <c r="O27" s="79">
        <f t="shared" si="4"/>
        <v>0</v>
      </c>
      <c r="P27" s="80" t="s">
        <v>46</v>
      </c>
    </row>
    <row r="28" spans="1:16" x14ac:dyDescent="0.3">
      <c r="A28" s="1" t="s">
        <v>51</v>
      </c>
      <c r="B28" s="79">
        <v>22.506900000000002</v>
      </c>
      <c r="C28" s="79">
        <v>22.506900000000002</v>
      </c>
      <c r="D28" s="16">
        <f t="shared" si="0"/>
        <v>7</v>
      </c>
      <c r="E28" s="30"/>
      <c r="F28" s="61"/>
      <c r="G28" s="60"/>
      <c r="H28" s="30"/>
      <c r="I28" s="79">
        <v>22.506900000000002</v>
      </c>
      <c r="J28" s="6">
        <f t="shared" si="1"/>
        <v>6.8591142857142859</v>
      </c>
      <c r="K28" s="84">
        <v>22.506900000000002</v>
      </c>
      <c r="L28" s="3"/>
      <c r="M28" s="21">
        <f t="shared" si="2"/>
        <v>0</v>
      </c>
      <c r="N28" s="80">
        <f t="shared" si="3"/>
        <v>0</v>
      </c>
      <c r="O28" s="79">
        <f t="shared" si="4"/>
        <v>0</v>
      </c>
      <c r="P28" s="80" t="s">
        <v>46</v>
      </c>
    </row>
    <row r="29" spans="1:16" x14ac:dyDescent="0.3">
      <c r="A29" s="1">
        <v>17</v>
      </c>
      <c r="B29" s="79">
        <v>19.608599999999999</v>
      </c>
      <c r="C29" s="79">
        <v>19.608599999999999</v>
      </c>
      <c r="D29" s="16">
        <f t="shared" si="0"/>
        <v>7</v>
      </c>
      <c r="E29" s="49"/>
      <c r="F29" s="50"/>
      <c r="G29" s="76"/>
      <c r="H29" s="49"/>
      <c r="I29" s="79">
        <v>19.608599999999999</v>
      </c>
      <c r="J29" s="6">
        <f t="shared" si="1"/>
        <v>6.0310285714285712</v>
      </c>
      <c r="K29" s="84">
        <v>19.608599999999999</v>
      </c>
      <c r="L29" s="3"/>
      <c r="M29" s="21">
        <f t="shared" si="2"/>
        <v>0</v>
      </c>
      <c r="N29" s="80">
        <f t="shared" si="3"/>
        <v>0</v>
      </c>
      <c r="O29" s="79">
        <f t="shared" si="4"/>
        <v>0</v>
      </c>
      <c r="P29" s="80" t="s">
        <v>46</v>
      </c>
    </row>
    <row r="30" spans="1:16" x14ac:dyDescent="0.3">
      <c r="A30" s="1">
        <v>18</v>
      </c>
      <c r="B30" s="79">
        <v>18.174099999999999</v>
      </c>
      <c r="C30" s="79">
        <v>18.174099999999999</v>
      </c>
      <c r="D30" s="16">
        <f t="shared" si="0"/>
        <v>6</v>
      </c>
      <c r="E30" s="50"/>
      <c r="F30" s="34"/>
      <c r="G30" s="49"/>
      <c r="H30" s="50"/>
      <c r="I30" s="79">
        <v>18.174099999999999</v>
      </c>
      <c r="J30" s="6">
        <f t="shared" si="1"/>
        <v>5.5580333333333343</v>
      </c>
      <c r="K30" s="84">
        <v>18.174099999999999</v>
      </c>
      <c r="L30" s="3"/>
      <c r="M30" s="21">
        <f t="shared" si="2"/>
        <v>0</v>
      </c>
      <c r="N30" s="80">
        <f t="shared" si="3"/>
        <v>0</v>
      </c>
      <c r="O30" s="79">
        <f t="shared" si="4"/>
        <v>0</v>
      </c>
      <c r="P30" s="80" t="s">
        <v>46</v>
      </c>
    </row>
    <row r="31" spans="1:16" x14ac:dyDescent="0.3">
      <c r="A31" s="1">
        <v>19</v>
      </c>
      <c r="B31" s="79">
        <v>16.7606</v>
      </c>
      <c r="C31" s="79">
        <v>16.7606</v>
      </c>
      <c r="D31" s="16">
        <f t="shared" si="0"/>
        <v>6</v>
      </c>
      <c r="E31" s="33"/>
      <c r="F31" s="62"/>
      <c r="G31" s="34"/>
      <c r="H31" s="33"/>
      <c r="I31" s="79">
        <v>16.7606</v>
      </c>
      <c r="J31" s="6">
        <f t="shared" si="1"/>
        <v>5.0868666666666655</v>
      </c>
      <c r="K31" s="84">
        <v>16.7606</v>
      </c>
      <c r="L31" s="3"/>
      <c r="M31" s="21">
        <f t="shared" si="2"/>
        <v>0</v>
      </c>
      <c r="N31" s="80">
        <f t="shared" si="3"/>
        <v>0</v>
      </c>
      <c r="O31" s="79">
        <f t="shared" si="4"/>
        <v>0</v>
      </c>
      <c r="P31" s="80" t="s">
        <v>46</v>
      </c>
    </row>
    <row r="33" spans="2:26" ht="16.8" thickBot="1" x14ac:dyDescent="0.35">
      <c r="C33" s="1" t="s">
        <v>9</v>
      </c>
      <c r="I33" s="1" t="s">
        <v>10</v>
      </c>
      <c r="J33" s="1" t="s">
        <v>11</v>
      </c>
      <c r="K33" s="1" t="s">
        <v>12</v>
      </c>
      <c r="M33" s="114" t="s">
        <v>13</v>
      </c>
      <c r="N33" s="114"/>
      <c r="O33" s="100"/>
      <c r="P33" s="100"/>
      <c r="R33" s="114" t="s">
        <v>40</v>
      </c>
      <c r="S33" s="100"/>
      <c r="T33" s="100"/>
      <c r="U33" s="100"/>
    </row>
    <row r="34" spans="2:26" x14ac:dyDescent="0.3">
      <c r="B34" s="1">
        <v>1</v>
      </c>
      <c r="C34" s="1">
        <f t="shared" ref="C34:C53" si="5">VLOOKUP(J34,$N$35:$O$298,2,TRUE)</f>
        <v>226.25</v>
      </c>
      <c r="I34" s="1">
        <f t="shared" ref="I34:I53" si="6">VLOOKUP(K34,$N$35:$O$298,2,TRUE)</f>
        <v>226.75</v>
      </c>
      <c r="J34" s="1">
        <f t="shared" ref="J34:J53" si="7">VLOOKUP(ROUNDUP(I12,1),$M$35:$N$298,2,TRUE)</f>
        <v>186</v>
      </c>
      <c r="K34" s="1">
        <f t="shared" ref="K34:K53" si="8">VLOOKUP(ROUNDUP(I12,1),$M$35:$N$298,2,TRUE)+1</f>
        <v>187</v>
      </c>
      <c r="M34" s="7" t="s">
        <v>14</v>
      </c>
      <c r="N34" s="1" t="s">
        <v>15</v>
      </c>
      <c r="O34" s="1" t="s">
        <v>14</v>
      </c>
      <c r="P34" s="1" t="s">
        <v>16</v>
      </c>
      <c r="R34" s="95" t="s">
        <v>15</v>
      </c>
      <c r="S34" s="87" t="s">
        <v>14</v>
      </c>
      <c r="T34" s="7" t="s">
        <v>15</v>
      </c>
      <c r="U34" s="99" t="s">
        <v>16</v>
      </c>
      <c r="W34" s="98"/>
      <c r="X34" s="98" t="s">
        <v>60</v>
      </c>
      <c r="Y34" s="98"/>
    </row>
    <row r="35" spans="2:26" x14ac:dyDescent="0.3">
      <c r="B35" s="1">
        <v>2</v>
      </c>
      <c r="C35" s="1">
        <f t="shared" si="5"/>
        <v>205.75</v>
      </c>
      <c r="I35" s="1">
        <f t="shared" si="6"/>
        <v>206.25</v>
      </c>
      <c r="J35" s="1">
        <f t="shared" si="7"/>
        <v>148</v>
      </c>
      <c r="K35" s="1">
        <f t="shared" si="8"/>
        <v>149</v>
      </c>
      <c r="M35" s="8">
        <f>O35</f>
        <v>0</v>
      </c>
      <c r="N35" s="1">
        <v>0</v>
      </c>
      <c r="O35" s="1">
        <f>VALUE(MID(T2,1,SEARCH(" ",T2,1)-1))/4</f>
        <v>0</v>
      </c>
      <c r="P35" s="1">
        <v>0</v>
      </c>
      <c r="R35" s="96">
        <v>0</v>
      </c>
      <c r="S35" s="90">
        <v>0</v>
      </c>
      <c r="T35" s="7">
        <v>0</v>
      </c>
      <c r="U35" s="99">
        <v>0</v>
      </c>
      <c r="V35" s="7">
        <f>ROUND(S35*4,0)</f>
        <v>0</v>
      </c>
      <c r="W35" s="98"/>
      <c r="X35" s="98" t="s">
        <v>61</v>
      </c>
      <c r="Y35" s="98"/>
    </row>
    <row r="36" spans="2:26" x14ac:dyDescent="0.3">
      <c r="B36" s="1">
        <v>3</v>
      </c>
      <c r="C36" s="1">
        <f t="shared" si="5"/>
        <v>182.75</v>
      </c>
      <c r="I36" s="1">
        <f t="shared" si="6"/>
        <v>183.75</v>
      </c>
      <c r="J36" s="1">
        <f t="shared" si="7"/>
        <v>114</v>
      </c>
      <c r="K36" s="1">
        <f t="shared" si="8"/>
        <v>115</v>
      </c>
      <c r="M36" s="8">
        <f t="shared" ref="M36:M53" si="9">O36</f>
        <v>4.5</v>
      </c>
      <c r="N36" s="1">
        <v>1</v>
      </c>
      <c r="O36" s="1">
        <f t="shared" ref="O36:O52" si="10">VALUE(MID($T$2,FIND("*",SUBSTITUTE($T$2," ","*",N36),1)+1,FIND("*",SUBSTITUTE($T$2," ","*",N37),1)-FIND("*",SUBSTITUTE($T$2," ","*",N36),1)-1))/4</f>
        <v>4.5</v>
      </c>
      <c r="P36" s="1">
        <f>O36-O35</f>
        <v>4.5</v>
      </c>
      <c r="R36" s="96">
        <v>1</v>
      </c>
      <c r="S36" s="90">
        <f>S35+U36</f>
        <v>4.5</v>
      </c>
      <c r="T36" s="7">
        <v>4.5</v>
      </c>
      <c r="U36" s="99">
        <v>4.5</v>
      </c>
      <c r="V36" s="7">
        <f t="shared" ref="V36:V53" si="11">ROUND(S36*4,0)</f>
        <v>18</v>
      </c>
      <c r="W36" s="98"/>
      <c r="X36" s="98" t="s">
        <v>62</v>
      </c>
      <c r="Y36" s="98"/>
    </row>
    <row r="37" spans="2:26" x14ac:dyDescent="0.3">
      <c r="B37" s="1">
        <v>4</v>
      </c>
      <c r="C37" s="1">
        <f t="shared" si="5"/>
        <v>163.25</v>
      </c>
      <c r="I37" s="1">
        <f t="shared" si="6"/>
        <v>164.25</v>
      </c>
      <c r="J37" s="1">
        <f t="shared" si="7"/>
        <v>90</v>
      </c>
      <c r="K37" s="1">
        <f t="shared" si="8"/>
        <v>91</v>
      </c>
      <c r="M37" s="8">
        <f t="shared" si="9"/>
        <v>7.5</v>
      </c>
      <c r="N37" s="1">
        <v>2</v>
      </c>
      <c r="O37" s="1">
        <f t="shared" si="10"/>
        <v>7.5</v>
      </c>
      <c r="P37" s="1">
        <f t="shared" ref="P37:P53" si="12">O37-O36</f>
        <v>3</v>
      </c>
      <c r="R37" s="96">
        <v>2</v>
      </c>
      <c r="S37" s="90">
        <f t="shared" ref="S37:S53" si="13">S36+U37</f>
        <v>7.5</v>
      </c>
      <c r="T37" s="7">
        <v>7.5</v>
      </c>
      <c r="U37" s="99">
        <v>3</v>
      </c>
      <c r="V37" s="7">
        <f t="shared" si="11"/>
        <v>30</v>
      </c>
    </row>
    <row r="38" spans="2:26" x14ac:dyDescent="0.3">
      <c r="B38" s="1">
        <v>5</v>
      </c>
      <c r="C38" s="1">
        <f t="shared" si="5"/>
        <v>142</v>
      </c>
      <c r="I38" s="1">
        <f t="shared" si="6"/>
        <v>143</v>
      </c>
      <c r="J38" s="1">
        <f t="shared" si="7"/>
        <v>69</v>
      </c>
      <c r="K38" s="1">
        <f t="shared" si="8"/>
        <v>70</v>
      </c>
      <c r="M38" s="8">
        <f t="shared" si="9"/>
        <v>10.5</v>
      </c>
      <c r="N38" s="1">
        <v>3</v>
      </c>
      <c r="O38" s="1">
        <f t="shared" si="10"/>
        <v>10.5</v>
      </c>
      <c r="P38" s="1">
        <f t="shared" si="12"/>
        <v>3</v>
      </c>
      <c r="R38" s="96">
        <v>3</v>
      </c>
      <c r="S38" s="90">
        <f t="shared" si="13"/>
        <v>10.5</v>
      </c>
      <c r="T38" s="7">
        <v>10.5</v>
      </c>
      <c r="U38" s="99">
        <v>3</v>
      </c>
      <c r="V38" s="7">
        <f t="shared" si="11"/>
        <v>42</v>
      </c>
    </row>
    <row r="39" spans="2:26" x14ac:dyDescent="0.3">
      <c r="B39" s="1">
        <v>6</v>
      </c>
      <c r="C39" s="1">
        <f t="shared" si="5"/>
        <v>123</v>
      </c>
      <c r="I39" s="1">
        <f t="shared" si="6"/>
        <v>124</v>
      </c>
      <c r="J39" s="1">
        <f t="shared" si="7"/>
        <v>54</v>
      </c>
      <c r="K39" s="1">
        <f t="shared" si="8"/>
        <v>55</v>
      </c>
      <c r="M39" s="8">
        <f t="shared" si="9"/>
        <v>13.5</v>
      </c>
      <c r="N39" s="1">
        <v>4</v>
      </c>
      <c r="O39" s="1">
        <f t="shared" si="10"/>
        <v>13.5</v>
      </c>
      <c r="P39" s="1">
        <f t="shared" si="12"/>
        <v>3</v>
      </c>
      <c r="R39" s="96">
        <v>4</v>
      </c>
      <c r="S39" s="90">
        <f t="shared" si="13"/>
        <v>13.5</v>
      </c>
      <c r="T39" s="7">
        <v>13.5</v>
      </c>
      <c r="U39" s="99">
        <v>3</v>
      </c>
      <c r="V39" s="7">
        <f t="shared" si="11"/>
        <v>54</v>
      </c>
    </row>
    <row r="40" spans="2:26" ht="16.8" thickBot="1" x14ac:dyDescent="0.35">
      <c r="B40" s="1">
        <v>7</v>
      </c>
      <c r="C40" s="1">
        <f t="shared" si="5"/>
        <v>105</v>
      </c>
      <c r="I40" s="1">
        <f t="shared" si="6"/>
        <v>106.5</v>
      </c>
      <c r="J40" s="1">
        <f t="shared" si="7"/>
        <v>42</v>
      </c>
      <c r="K40" s="1">
        <f t="shared" si="8"/>
        <v>43</v>
      </c>
      <c r="M40" s="8">
        <f t="shared" si="9"/>
        <v>16.5</v>
      </c>
      <c r="N40" s="1">
        <v>5</v>
      </c>
      <c r="O40" s="1">
        <f t="shared" si="10"/>
        <v>16.5</v>
      </c>
      <c r="P40" s="1">
        <f t="shared" si="12"/>
        <v>3</v>
      </c>
      <c r="R40" s="96">
        <v>5</v>
      </c>
      <c r="S40" s="90">
        <f t="shared" si="13"/>
        <v>16.5</v>
      </c>
      <c r="T40" s="7">
        <v>16.5</v>
      </c>
      <c r="U40" s="99">
        <v>3</v>
      </c>
      <c r="V40" s="7">
        <f t="shared" si="11"/>
        <v>66</v>
      </c>
    </row>
    <row r="41" spans="2:26" x14ac:dyDescent="0.3">
      <c r="B41" s="1">
        <v>8</v>
      </c>
      <c r="C41" s="1">
        <f t="shared" si="5"/>
        <v>89.25</v>
      </c>
      <c r="I41" s="1">
        <f t="shared" si="6"/>
        <v>91.25</v>
      </c>
      <c r="J41" s="1">
        <f t="shared" si="7"/>
        <v>33</v>
      </c>
      <c r="K41" s="1">
        <f t="shared" si="8"/>
        <v>34</v>
      </c>
      <c r="M41" s="8">
        <f t="shared" si="9"/>
        <v>19.5</v>
      </c>
      <c r="N41" s="1">
        <v>6</v>
      </c>
      <c r="O41" s="1">
        <f t="shared" si="10"/>
        <v>19.5</v>
      </c>
      <c r="P41" s="1">
        <f t="shared" si="12"/>
        <v>3</v>
      </c>
      <c r="R41" s="96">
        <v>6</v>
      </c>
      <c r="S41" s="90">
        <f t="shared" si="13"/>
        <v>19.5</v>
      </c>
      <c r="T41" s="7">
        <v>19.5</v>
      </c>
      <c r="U41" s="99">
        <v>3</v>
      </c>
      <c r="V41" s="7">
        <f t="shared" si="11"/>
        <v>78</v>
      </c>
      <c r="W41" s="85" t="s">
        <v>56</v>
      </c>
      <c r="X41" s="86"/>
      <c r="Y41" s="86"/>
      <c r="Z41" s="87"/>
    </row>
    <row r="42" spans="2:26" x14ac:dyDescent="0.3">
      <c r="B42" s="1">
        <v>9</v>
      </c>
      <c r="C42" s="1">
        <f t="shared" si="5"/>
        <v>76.25</v>
      </c>
      <c r="I42" s="1">
        <f t="shared" si="6"/>
        <v>78.25</v>
      </c>
      <c r="J42" s="1">
        <f t="shared" si="7"/>
        <v>26</v>
      </c>
      <c r="K42" s="1">
        <f t="shared" si="8"/>
        <v>27</v>
      </c>
      <c r="M42" s="8">
        <f t="shared" si="9"/>
        <v>23</v>
      </c>
      <c r="N42" s="1">
        <v>7</v>
      </c>
      <c r="O42" s="1">
        <f t="shared" si="10"/>
        <v>23</v>
      </c>
      <c r="P42" s="1">
        <f t="shared" si="12"/>
        <v>3.5</v>
      </c>
      <c r="R42" s="96">
        <v>7</v>
      </c>
      <c r="S42" s="90">
        <f t="shared" si="13"/>
        <v>23</v>
      </c>
      <c r="T42" s="7">
        <v>23</v>
      </c>
      <c r="U42" s="99">
        <v>3.5</v>
      </c>
      <c r="V42" s="7">
        <f t="shared" si="11"/>
        <v>92</v>
      </c>
      <c r="W42" s="88" t="s">
        <v>57</v>
      </c>
      <c r="X42" s="89"/>
      <c r="Y42" s="89"/>
      <c r="Z42" s="90"/>
    </row>
    <row r="43" spans="2:26" x14ac:dyDescent="0.3">
      <c r="B43" s="1">
        <v>10</v>
      </c>
      <c r="C43" s="1">
        <f t="shared" si="5"/>
        <v>64.75</v>
      </c>
      <c r="I43" s="1">
        <f t="shared" si="6"/>
        <v>67.25</v>
      </c>
      <c r="J43" s="1">
        <f t="shared" si="7"/>
        <v>21</v>
      </c>
      <c r="K43" s="1">
        <f t="shared" si="8"/>
        <v>22</v>
      </c>
      <c r="M43" s="8">
        <f t="shared" si="9"/>
        <v>26.5</v>
      </c>
      <c r="N43" s="1">
        <v>8</v>
      </c>
      <c r="O43" s="1">
        <f t="shared" si="10"/>
        <v>26.5</v>
      </c>
      <c r="P43" s="1">
        <f t="shared" si="12"/>
        <v>3.5</v>
      </c>
      <c r="R43" s="96">
        <v>8</v>
      </c>
      <c r="S43" s="90">
        <f t="shared" si="13"/>
        <v>26.5</v>
      </c>
      <c r="T43" s="7">
        <v>26.5</v>
      </c>
      <c r="U43" s="99">
        <v>3.5</v>
      </c>
      <c r="V43" s="7">
        <f t="shared" si="11"/>
        <v>106</v>
      </c>
      <c r="W43" s="91" t="s">
        <v>58</v>
      </c>
      <c r="X43" s="89"/>
      <c r="Y43" s="89"/>
      <c r="Z43" s="90"/>
    </row>
    <row r="44" spans="2:26" ht="16.8" thickBot="1" x14ac:dyDescent="0.35">
      <c r="B44" s="1">
        <v>11</v>
      </c>
      <c r="C44" s="1">
        <f t="shared" si="5"/>
        <v>54.25</v>
      </c>
      <c r="I44" s="1">
        <f t="shared" si="6"/>
        <v>56.75</v>
      </c>
      <c r="J44" s="1">
        <f t="shared" si="7"/>
        <v>17</v>
      </c>
      <c r="K44" s="1">
        <f t="shared" si="8"/>
        <v>18</v>
      </c>
      <c r="M44" s="8">
        <f t="shared" si="9"/>
        <v>29.5</v>
      </c>
      <c r="N44" s="1">
        <v>9</v>
      </c>
      <c r="O44" s="1">
        <f t="shared" si="10"/>
        <v>29.5</v>
      </c>
      <c r="P44" s="1">
        <f t="shared" si="12"/>
        <v>3</v>
      </c>
      <c r="R44" s="96">
        <v>9</v>
      </c>
      <c r="S44" s="90">
        <f t="shared" si="13"/>
        <v>29.5</v>
      </c>
      <c r="T44" s="7">
        <v>29.5</v>
      </c>
      <c r="U44" s="99">
        <v>3</v>
      </c>
      <c r="V44" s="7">
        <f t="shared" si="11"/>
        <v>118</v>
      </c>
      <c r="W44" s="92" t="s">
        <v>59</v>
      </c>
      <c r="X44" s="93"/>
      <c r="Y44" s="93"/>
      <c r="Z44" s="94"/>
    </row>
    <row r="45" spans="2:26" x14ac:dyDescent="0.3">
      <c r="B45" s="1">
        <v>12</v>
      </c>
      <c r="C45" s="1">
        <f t="shared" si="5"/>
        <v>45.75</v>
      </c>
      <c r="I45" s="1">
        <f t="shared" si="6"/>
        <v>48.75</v>
      </c>
      <c r="J45" s="1">
        <f t="shared" si="7"/>
        <v>14</v>
      </c>
      <c r="K45" s="1">
        <f t="shared" si="8"/>
        <v>15</v>
      </c>
      <c r="M45" s="8">
        <f t="shared" si="9"/>
        <v>33.25</v>
      </c>
      <c r="N45" s="1">
        <v>10</v>
      </c>
      <c r="O45" s="1">
        <f t="shared" si="10"/>
        <v>33.25</v>
      </c>
      <c r="P45" s="1">
        <f t="shared" si="12"/>
        <v>3.75</v>
      </c>
      <c r="R45" s="96">
        <v>10</v>
      </c>
      <c r="S45" s="90">
        <f t="shared" si="13"/>
        <v>33.25</v>
      </c>
      <c r="T45" s="7">
        <v>33.25</v>
      </c>
      <c r="U45" s="99">
        <v>3.75</v>
      </c>
      <c r="V45" s="7">
        <f t="shared" si="11"/>
        <v>133</v>
      </c>
    </row>
    <row r="46" spans="2:26" x14ac:dyDescent="0.3">
      <c r="B46" s="1">
        <v>13</v>
      </c>
      <c r="C46" s="1">
        <f t="shared" si="5"/>
        <v>39.75</v>
      </c>
      <c r="I46" s="1">
        <f t="shared" si="6"/>
        <v>42.75</v>
      </c>
      <c r="J46" s="1">
        <f t="shared" si="7"/>
        <v>12</v>
      </c>
      <c r="K46" s="1">
        <f t="shared" si="8"/>
        <v>13</v>
      </c>
      <c r="M46" s="8">
        <f t="shared" si="9"/>
        <v>36.75</v>
      </c>
      <c r="N46" s="1">
        <v>11</v>
      </c>
      <c r="O46" s="1">
        <f t="shared" si="10"/>
        <v>36.75</v>
      </c>
      <c r="P46" s="1">
        <f t="shared" si="12"/>
        <v>3.5</v>
      </c>
      <c r="R46" s="96">
        <v>11</v>
      </c>
      <c r="S46" s="90">
        <f t="shared" si="13"/>
        <v>36.75</v>
      </c>
      <c r="T46" s="7">
        <v>36.75</v>
      </c>
      <c r="U46" s="99">
        <v>3.5</v>
      </c>
      <c r="V46" s="7">
        <f t="shared" si="11"/>
        <v>147</v>
      </c>
    </row>
    <row r="47" spans="2:26" x14ac:dyDescent="0.3">
      <c r="B47" s="1">
        <v>14</v>
      </c>
      <c r="C47" s="1">
        <f t="shared" si="5"/>
        <v>33.25</v>
      </c>
      <c r="I47" s="1">
        <f t="shared" si="6"/>
        <v>36.75</v>
      </c>
      <c r="J47" s="1">
        <f t="shared" si="7"/>
        <v>10</v>
      </c>
      <c r="K47" s="1">
        <f t="shared" si="8"/>
        <v>11</v>
      </c>
      <c r="M47" s="8">
        <f t="shared" si="9"/>
        <v>39.75</v>
      </c>
      <c r="N47" s="1">
        <v>12</v>
      </c>
      <c r="O47" s="1">
        <f t="shared" si="10"/>
        <v>39.75</v>
      </c>
      <c r="P47" s="1">
        <f t="shared" si="12"/>
        <v>3</v>
      </c>
      <c r="R47" s="96">
        <v>12</v>
      </c>
      <c r="S47" s="90">
        <f t="shared" si="13"/>
        <v>39.75</v>
      </c>
      <c r="T47" s="7">
        <v>39.75</v>
      </c>
      <c r="U47" s="99">
        <v>3</v>
      </c>
      <c r="V47" s="7">
        <f t="shared" si="11"/>
        <v>159</v>
      </c>
    </row>
    <row r="48" spans="2:26" x14ac:dyDescent="0.3">
      <c r="B48" s="1">
        <v>15</v>
      </c>
      <c r="C48" s="1">
        <f t="shared" si="5"/>
        <v>29.5</v>
      </c>
      <c r="I48" s="1">
        <f t="shared" si="6"/>
        <v>33.25</v>
      </c>
      <c r="J48" s="1">
        <f t="shared" si="7"/>
        <v>9</v>
      </c>
      <c r="K48" s="1">
        <f t="shared" si="8"/>
        <v>10</v>
      </c>
      <c r="M48" s="8">
        <f t="shared" si="9"/>
        <v>42.75</v>
      </c>
      <c r="N48" s="1">
        <v>13</v>
      </c>
      <c r="O48" s="1">
        <f t="shared" si="10"/>
        <v>42.75</v>
      </c>
      <c r="P48" s="1">
        <f t="shared" si="12"/>
        <v>3</v>
      </c>
      <c r="R48" s="96">
        <v>13</v>
      </c>
      <c r="S48" s="90">
        <f t="shared" si="13"/>
        <v>42.75</v>
      </c>
      <c r="T48" s="7">
        <v>42.75</v>
      </c>
      <c r="U48" s="99">
        <v>3</v>
      </c>
      <c r="V48" s="7">
        <f t="shared" si="11"/>
        <v>171</v>
      </c>
    </row>
    <row r="49" spans="2:22" x14ac:dyDescent="0.3">
      <c r="B49" s="1">
        <v>16</v>
      </c>
      <c r="C49" s="1">
        <f t="shared" si="5"/>
        <v>26.5</v>
      </c>
      <c r="I49" s="1">
        <f t="shared" si="6"/>
        <v>29.5</v>
      </c>
      <c r="J49" s="1">
        <f t="shared" si="7"/>
        <v>8</v>
      </c>
      <c r="K49" s="1">
        <f t="shared" si="8"/>
        <v>9</v>
      </c>
      <c r="M49" s="8">
        <f t="shared" si="9"/>
        <v>45.75</v>
      </c>
      <c r="N49" s="1">
        <v>14</v>
      </c>
      <c r="O49" s="1">
        <f t="shared" si="10"/>
        <v>45.75</v>
      </c>
      <c r="P49" s="1">
        <f t="shared" si="12"/>
        <v>3</v>
      </c>
      <c r="R49" s="96">
        <v>14</v>
      </c>
      <c r="S49" s="90">
        <f t="shared" si="13"/>
        <v>45.75</v>
      </c>
      <c r="T49" s="7">
        <v>45.75</v>
      </c>
      <c r="U49" s="99">
        <v>3</v>
      </c>
      <c r="V49" s="7">
        <f t="shared" si="11"/>
        <v>183</v>
      </c>
    </row>
    <row r="50" spans="2:22" x14ac:dyDescent="0.3">
      <c r="B50" s="1">
        <v>17</v>
      </c>
      <c r="C50" s="1">
        <f t="shared" si="5"/>
        <v>19.5</v>
      </c>
      <c r="I50" s="1">
        <f t="shared" si="6"/>
        <v>23</v>
      </c>
      <c r="J50" s="1">
        <f t="shared" si="7"/>
        <v>6</v>
      </c>
      <c r="K50" s="1">
        <f t="shared" si="8"/>
        <v>7</v>
      </c>
      <c r="M50" s="8">
        <f t="shared" si="9"/>
        <v>48.75</v>
      </c>
      <c r="N50" s="1">
        <v>15</v>
      </c>
      <c r="O50" s="1">
        <f t="shared" si="10"/>
        <v>48.75</v>
      </c>
      <c r="P50" s="1">
        <f t="shared" si="12"/>
        <v>3</v>
      </c>
      <c r="R50" s="96">
        <v>15</v>
      </c>
      <c r="S50" s="90">
        <f t="shared" si="13"/>
        <v>48.75</v>
      </c>
      <c r="T50" s="7">
        <v>48.75</v>
      </c>
      <c r="U50" s="99">
        <v>3</v>
      </c>
      <c r="V50" s="7">
        <f t="shared" si="11"/>
        <v>195</v>
      </c>
    </row>
    <row r="51" spans="2:22" x14ac:dyDescent="0.3">
      <c r="B51" s="1">
        <v>18</v>
      </c>
      <c r="C51" s="1">
        <f t="shared" si="5"/>
        <v>19.5</v>
      </c>
      <c r="I51" s="1">
        <f t="shared" si="6"/>
        <v>23</v>
      </c>
      <c r="J51" s="1">
        <f t="shared" si="7"/>
        <v>6</v>
      </c>
      <c r="K51" s="1">
        <f t="shared" si="8"/>
        <v>7</v>
      </c>
      <c r="M51" s="8">
        <f t="shared" si="9"/>
        <v>51.75</v>
      </c>
      <c r="N51" s="1">
        <v>16</v>
      </c>
      <c r="O51" s="1">
        <f t="shared" si="10"/>
        <v>51.75</v>
      </c>
      <c r="P51" s="1">
        <f t="shared" si="12"/>
        <v>3</v>
      </c>
      <c r="R51" s="96">
        <v>16</v>
      </c>
      <c r="S51" s="90">
        <f t="shared" si="13"/>
        <v>51.75</v>
      </c>
      <c r="T51" s="7">
        <v>51.75</v>
      </c>
      <c r="U51" s="99">
        <v>3</v>
      </c>
      <c r="V51" s="7">
        <f t="shared" si="11"/>
        <v>207</v>
      </c>
    </row>
    <row r="52" spans="2:22" x14ac:dyDescent="0.3">
      <c r="B52" s="1">
        <v>19</v>
      </c>
      <c r="C52" s="1">
        <f t="shared" si="5"/>
        <v>16.5</v>
      </c>
      <c r="I52" s="1">
        <f t="shared" si="6"/>
        <v>19.5</v>
      </c>
      <c r="J52" s="1">
        <f t="shared" si="7"/>
        <v>5</v>
      </c>
      <c r="K52" s="1">
        <f t="shared" si="8"/>
        <v>6</v>
      </c>
      <c r="M52" s="8">
        <f t="shared" si="9"/>
        <v>54.25</v>
      </c>
      <c r="N52" s="1">
        <v>17</v>
      </c>
      <c r="O52" s="1">
        <f t="shared" si="10"/>
        <v>54.25</v>
      </c>
      <c r="P52" s="1">
        <f t="shared" si="12"/>
        <v>2.5</v>
      </c>
      <c r="R52" s="96">
        <v>17</v>
      </c>
      <c r="S52" s="90">
        <f t="shared" si="13"/>
        <v>54.25</v>
      </c>
      <c r="T52" s="7">
        <v>54.25</v>
      </c>
      <c r="U52" s="99">
        <v>2.5</v>
      </c>
      <c r="V52" s="7">
        <f t="shared" si="11"/>
        <v>217</v>
      </c>
    </row>
    <row r="53" spans="2:22" x14ac:dyDescent="0.3">
      <c r="B53" s="1">
        <v>20</v>
      </c>
      <c r="C53" s="1">
        <f t="shared" si="5"/>
        <v>16.5</v>
      </c>
      <c r="I53" s="1">
        <f t="shared" si="6"/>
        <v>19.5</v>
      </c>
      <c r="J53" s="1">
        <f t="shared" si="7"/>
        <v>5</v>
      </c>
      <c r="K53" s="1">
        <f t="shared" si="8"/>
        <v>6</v>
      </c>
      <c r="M53" s="8">
        <f t="shared" si="9"/>
        <v>56.75</v>
      </c>
      <c r="N53" s="1">
        <v>18</v>
      </c>
      <c r="O53" s="1">
        <f t="shared" ref="O53:O99" si="14">VALUE(MID($T$2,FIND("*",SUBSTITUTE($T$2," ","*",N53),1)+1,FIND("*",SUBSTITUTE($T$2," ","*",N54),1)-FIND("*",SUBSTITUTE($T$2," ","*",N53),1)-1))/4</f>
        <v>56.75</v>
      </c>
      <c r="P53" s="1">
        <f t="shared" si="12"/>
        <v>2.5</v>
      </c>
      <c r="R53" s="96">
        <v>18</v>
      </c>
      <c r="S53" s="90">
        <f t="shared" si="13"/>
        <v>56.75</v>
      </c>
      <c r="T53" s="7">
        <v>56.75</v>
      </c>
      <c r="U53" s="99">
        <v>2.5</v>
      </c>
      <c r="V53" s="7">
        <f t="shared" si="11"/>
        <v>227</v>
      </c>
    </row>
    <row r="54" spans="2:22" x14ac:dyDescent="0.3">
      <c r="M54" s="8">
        <f t="shared" ref="M54:M99" si="15">O54</f>
        <v>59.75</v>
      </c>
      <c r="N54" s="1">
        <v>19</v>
      </c>
      <c r="O54" s="1">
        <f t="shared" si="14"/>
        <v>59.75</v>
      </c>
      <c r="P54" s="1">
        <f t="shared" ref="P54:P100" si="16">O54-O53</f>
        <v>3</v>
      </c>
      <c r="R54" s="96">
        <v>19</v>
      </c>
      <c r="S54" s="90">
        <f t="shared" ref="S54:S100" si="17">S53+U54</f>
        <v>59.75</v>
      </c>
      <c r="T54" s="7">
        <v>59.75</v>
      </c>
      <c r="U54" s="99">
        <v>3</v>
      </c>
      <c r="V54" s="7">
        <f t="shared" ref="V54:V99" si="18">ROUND(S54*4,0)</f>
        <v>239</v>
      </c>
    </row>
    <row r="55" spans="2:22" x14ac:dyDescent="0.3">
      <c r="C55" s="1" t="s">
        <v>9</v>
      </c>
      <c r="I55" s="1" t="s">
        <v>10</v>
      </c>
      <c r="J55" s="1" t="s">
        <v>11</v>
      </c>
      <c r="K55" s="1" t="s">
        <v>12</v>
      </c>
      <c r="M55" s="8">
        <f t="shared" si="15"/>
        <v>62.25</v>
      </c>
      <c r="N55" s="1">
        <v>20</v>
      </c>
      <c r="O55" s="1">
        <f t="shared" si="14"/>
        <v>62.25</v>
      </c>
      <c r="P55" s="1">
        <f t="shared" si="16"/>
        <v>2.5</v>
      </c>
      <c r="R55" s="96">
        <v>20</v>
      </c>
      <c r="S55" s="90">
        <f t="shared" si="17"/>
        <v>62.25</v>
      </c>
      <c r="T55" s="7">
        <v>62.25</v>
      </c>
      <c r="U55" s="99">
        <v>2.5</v>
      </c>
      <c r="V55" s="7">
        <f t="shared" si="18"/>
        <v>249</v>
      </c>
    </row>
    <row r="56" spans="2:22" x14ac:dyDescent="0.3">
      <c r="B56" s="1">
        <v>1</v>
      </c>
      <c r="C56" s="9">
        <f t="shared" ref="C56:C75" si="19">VLOOKUP(J56,$N$35:$O$298,2,TRUE)</f>
        <v>226.25</v>
      </c>
      <c r="D56" s="9"/>
      <c r="E56" s="9"/>
      <c r="F56" s="9"/>
      <c r="G56" s="9"/>
      <c r="H56" s="9"/>
      <c r="I56" s="9">
        <f t="shared" ref="I56:I75" si="20">VLOOKUP(K56,$N$35:$O$298,2,TRUE)</f>
        <v>226.75</v>
      </c>
      <c r="J56" s="9">
        <f t="shared" ref="J56:J75" si="21">VLOOKUP(ROUNDUP(C12,1),$M$35:$N$298,2,TRUE)</f>
        <v>186</v>
      </c>
      <c r="K56" s="9">
        <f t="shared" ref="K56:K75" si="22">VLOOKUP(ROUNDUP(C12,1),$M$35:$N$298,2,TRUE)+1</f>
        <v>187</v>
      </c>
      <c r="M56" s="8">
        <f t="shared" si="15"/>
        <v>64.75</v>
      </c>
      <c r="N56" s="1">
        <v>21</v>
      </c>
      <c r="O56" s="1">
        <f t="shared" si="14"/>
        <v>64.75</v>
      </c>
      <c r="P56" s="1">
        <f t="shared" si="16"/>
        <v>2.5</v>
      </c>
      <c r="R56" s="96">
        <v>21</v>
      </c>
      <c r="S56" s="90">
        <f t="shared" si="17"/>
        <v>64.75</v>
      </c>
      <c r="T56" s="7">
        <v>64.75</v>
      </c>
      <c r="U56" s="99">
        <v>2.5</v>
      </c>
      <c r="V56" s="7">
        <f t="shared" si="18"/>
        <v>259</v>
      </c>
    </row>
    <row r="57" spans="2:22" x14ac:dyDescent="0.3">
      <c r="B57" s="1">
        <v>2</v>
      </c>
      <c r="C57" s="9">
        <f t="shared" si="19"/>
        <v>205.75</v>
      </c>
      <c r="D57" s="9"/>
      <c r="E57" s="9"/>
      <c r="F57" s="9"/>
      <c r="G57" s="9"/>
      <c r="H57" s="9"/>
      <c r="I57" s="9">
        <f t="shared" si="20"/>
        <v>206.25</v>
      </c>
      <c r="J57" s="9">
        <f t="shared" si="21"/>
        <v>148</v>
      </c>
      <c r="K57" s="9">
        <f t="shared" si="22"/>
        <v>149</v>
      </c>
      <c r="M57" s="8">
        <f t="shared" si="15"/>
        <v>67.25</v>
      </c>
      <c r="N57" s="1">
        <v>22</v>
      </c>
      <c r="O57" s="1">
        <f t="shared" si="14"/>
        <v>67.25</v>
      </c>
      <c r="P57" s="1">
        <f t="shared" si="16"/>
        <v>2.5</v>
      </c>
      <c r="R57" s="96">
        <v>22</v>
      </c>
      <c r="S57" s="90">
        <f t="shared" si="17"/>
        <v>67.25</v>
      </c>
      <c r="T57" s="7">
        <v>67.25</v>
      </c>
      <c r="U57" s="99">
        <v>2.5</v>
      </c>
      <c r="V57" s="7">
        <f t="shared" si="18"/>
        <v>269</v>
      </c>
    </row>
    <row r="58" spans="2:22" x14ac:dyDescent="0.3">
      <c r="B58" s="1">
        <v>3</v>
      </c>
      <c r="C58" s="9">
        <f t="shared" si="19"/>
        <v>182.75</v>
      </c>
      <c r="D58" s="9"/>
      <c r="E58" s="9"/>
      <c r="F58" s="9"/>
      <c r="G58" s="9"/>
      <c r="H58" s="9"/>
      <c r="I58" s="9">
        <f t="shared" si="20"/>
        <v>183.75</v>
      </c>
      <c r="J58" s="9">
        <f t="shared" si="21"/>
        <v>114</v>
      </c>
      <c r="K58" s="9">
        <f t="shared" si="22"/>
        <v>115</v>
      </c>
      <c r="M58" s="8">
        <f t="shared" si="15"/>
        <v>69.25</v>
      </c>
      <c r="N58" s="1">
        <v>23</v>
      </c>
      <c r="O58" s="1">
        <f t="shared" si="14"/>
        <v>69.25</v>
      </c>
      <c r="P58" s="1">
        <f t="shared" si="16"/>
        <v>2</v>
      </c>
      <c r="R58" s="96">
        <v>23</v>
      </c>
      <c r="S58" s="90">
        <f t="shared" si="17"/>
        <v>69.25</v>
      </c>
      <c r="T58" s="7">
        <v>69.25</v>
      </c>
      <c r="U58" s="99">
        <v>2</v>
      </c>
      <c r="V58" s="7">
        <f t="shared" si="18"/>
        <v>277</v>
      </c>
    </row>
    <row r="59" spans="2:22" x14ac:dyDescent="0.3">
      <c r="B59" s="1">
        <v>4</v>
      </c>
      <c r="C59" s="9">
        <f t="shared" si="19"/>
        <v>163.25</v>
      </c>
      <c r="D59" s="9"/>
      <c r="E59" s="9"/>
      <c r="F59" s="9"/>
      <c r="G59" s="9"/>
      <c r="H59" s="9"/>
      <c r="I59" s="9">
        <f t="shared" si="20"/>
        <v>164.25</v>
      </c>
      <c r="J59" s="9">
        <f t="shared" si="21"/>
        <v>90</v>
      </c>
      <c r="K59" s="9">
        <f t="shared" si="22"/>
        <v>91</v>
      </c>
      <c r="M59" s="8">
        <f t="shared" si="15"/>
        <v>71.75</v>
      </c>
      <c r="N59" s="1">
        <v>24</v>
      </c>
      <c r="O59" s="1">
        <f t="shared" si="14"/>
        <v>71.75</v>
      </c>
      <c r="P59" s="1">
        <f t="shared" si="16"/>
        <v>2.5</v>
      </c>
      <c r="R59" s="96">
        <v>24</v>
      </c>
      <c r="S59" s="90">
        <f t="shared" si="17"/>
        <v>71.75</v>
      </c>
      <c r="T59" s="7">
        <v>71.75</v>
      </c>
      <c r="U59" s="99">
        <v>2.5</v>
      </c>
      <c r="V59" s="7">
        <f t="shared" si="18"/>
        <v>287</v>
      </c>
    </row>
    <row r="60" spans="2:22" x14ac:dyDescent="0.3">
      <c r="B60" s="1">
        <v>5</v>
      </c>
      <c r="C60" s="9">
        <f t="shared" si="19"/>
        <v>142</v>
      </c>
      <c r="D60" s="9"/>
      <c r="E60" s="9"/>
      <c r="F60" s="9"/>
      <c r="G60" s="9"/>
      <c r="H60" s="9"/>
      <c r="I60" s="9">
        <f t="shared" si="20"/>
        <v>143</v>
      </c>
      <c r="J60" s="9">
        <f t="shared" si="21"/>
        <v>69</v>
      </c>
      <c r="K60" s="9">
        <f t="shared" si="22"/>
        <v>70</v>
      </c>
      <c r="M60" s="8">
        <f t="shared" si="15"/>
        <v>74.25</v>
      </c>
      <c r="N60" s="1">
        <v>25</v>
      </c>
      <c r="O60" s="1">
        <f t="shared" si="14"/>
        <v>74.25</v>
      </c>
      <c r="P60" s="1">
        <f t="shared" si="16"/>
        <v>2.5</v>
      </c>
      <c r="R60" s="96">
        <v>25</v>
      </c>
      <c r="S60" s="90">
        <f t="shared" si="17"/>
        <v>74.25</v>
      </c>
      <c r="T60" s="7">
        <v>74.25</v>
      </c>
      <c r="U60" s="99">
        <v>2.5</v>
      </c>
      <c r="V60" s="7">
        <f t="shared" si="18"/>
        <v>297</v>
      </c>
    </row>
    <row r="61" spans="2:22" x14ac:dyDescent="0.3">
      <c r="B61" s="1">
        <v>6</v>
      </c>
      <c r="C61" s="9">
        <f t="shared" si="19"/>
        <v>123</v>
      </c>
      <c r="D61" s="9"/>
      <c r="E61" s="9"/>
      <c r="F61" s="9"/>
      <c r="G61" s="9"/>
      <c r="H61" s="9"/>
      <c r="I61" s="9">
        <f t="shared" si="20"/>
        <v>124</v>
      </c>
      <c r="J61" s="9">
        <f t="shared" si="21"/>
        <v>54</v>
      </c>
      <c r="K61" s="9">
        <f t="shared" si="22"/>
        <v>55</v>
      </c>
      <c r="M61" s="8">
        <f t="shared" si="15"/>
        <v>76.25</v>
      </c>
      <c r="N61" s="1">
        <v>26</v>
      </c>
      <c r="O61" s="1">
        <f t="shared" si="14"/>
        <v>76.25</v>
      </c>
      <c r="P61" s="1">
        <f t="shared" si="16"/>
        <v>2</v>
      </c>
      <c r="R61" s="96">
        <v>26</v>
      </c>
      <c r="S61" s="90">
        <f t="shared" si="17"/>
        <v>76.25</v>
      </c>
      <c r="T61" s="7">
        <v>76.25</v>
      </c>
      <c r="U61" s="99">
        <v>2</v>
      </c>
      <c r="V61" s="7">
        <f t="shared" si="18"/>
        <v>305</v>
      </c>
    </row>
    <row r="62" spans="2:22" x14ac:dyDescent="0.3">
      <c r="B62" s="1">
        <v>7</v>
      </c>
      <c r="C62" s="9">
        <f t="shared" si="19"/>
        <v>105</v>
      </c>
      <c r="D62" s="9"/>
      <c r="E62" s="9"/>
      <c r="F62" s="9"/>
      <c r="G62" s="9"/>
      <c r="H62" s="9"/>
      <c r="I62" s="9">
        <f t="shared" si="20"/>
        <v>106.5</v>
      </c>
      <c r="J62" s="9">
        <f t="shared" si="21"/>
        <v>42</v>
      </c>
      <c r="K62" s="9">
        <f t="shared" si="22"/>
        <v>43</v>
      </c>
      <c r="M62" s="8">
        <f t="shared" si="15"/>
        <v>78.25</v>
      </c>
      <c r="N62" s="1">
        <v>27</v>
      </c>
      <c r="O62" s="1">
        <f t="shared" si="14"/>
        <v>78.25</v>
      </c>
      <c r="P62" s="1">
        <f t="shared" si="16"/>
        <v>2</v>
      </c>
      <c r="R62" s="96">
        <v>27</v>
      </c>
      <c r="S62" s="90">
        <f t="shared" si="17"/>
        <v>78.25</v>
      </c>
      <c r="T62" s="7">
        <v>78.25</v>
      </c>
      <c r="U62" s="99">
        <v>2</v>
      </c>
      <c r="V62" s="7">
        <f t="shared" si="18"/>
        <v>313</v>
      </c>
    </row>
    <row r="63" spans="2:22" x14ac:dyDescent="0.3">
      <c r="B63" s="1">
        <v>8</v>
      </c>
      <c r="C63" s="9">
        <f t="shared" si="19"/>
        <v>89.25</v>
      </c>
      <c r="D63" s="9"/>
      <c r="E63" s="9"/>
      <c r="F63" s="9"/>
      <c r="G63" s="9"/>
      <c r="H63" s="9"/>
      <c r="I63" s="9">
        <f t="shared" si="20"/>
        <v>91.25</v>
      </c>
      <c r="J63" s="9">
        <f t="shared" si="21"/>
        <v>33</v>
      </c>
      <c r="K63" s="9">
        <f t="shared" si="22"/>
        <v>34</v>
      </c>
      <c r="M63" s="8">
        <f t="shared" si="15"/>
        <v>80.25</v>
      </c>
      <c r="N63" s="1">
        <v>28</v>
      </c>
      <c r="O63" s="1">
        <f t="shared" si="14"/>
        <v>80.25</v>
      </c>
      <c r="P63" s="1">
        <f t="shared" si="16"/>
        <v>2</v>
      </c>
      <c r="R63" s="96">
        <v>28</v>
      </c>
      <c r="S63" s="90">
        <f t="shared" si="17"/>
        <v>80.25</v>
      </c>
      <c r="T63" s="7">
        <v>80.25</v>
      </c>
      <c r="U63" s="99">
        <v>2</v>
      </c>
      <c r="V63" s="7">
        <f t="shared" si="18"/>
        <v>321</v>
      </c>
    </row>
    <row r="64" spans="2:22" x14ac:dyDescent="0.3">
      <c r="B64" s="1">
        <v>9</v>
      </c>
      <c r="C64" s="9">
        <f t="shared" si="19"/>
        <v>76.25</v>
      </c>
      <c r="D64" s="9"/>
      <c r="E64" s="9"/>
      <c r="F64" s="9"/>
      <c r="G64" s="9"/>
      <c r="H64" s="9"/>
      <c r="I64" s="9">
        <f t="shared" si="20"/>
        <v>78.25</v>
      </c>
      <c r="J64" s="9">
        <f t="shared" si="21"/>
        <v>26</v>
      </c>
      <c r="K64" s="9">
        <f t="shared" si="22"/>
        <v>27</v>
      </c>
      <c r="M64" s="8">
        <f t="shared" si="15"/>
        <v>82.25</v>
      </c>
      <c r="N64" s="1">
        <v>29</v>
      </c>
      <c r="O64" s="1">
        <f t="shared" si="14"/>
        <v>82.25</v>
      </c>
      <c r="P64" s="1">
        <f t="shared" si="16"/>
        <v>2</v>
      </c>
      <c r="R64" s="96">
        <v>29</v>
      </c>
      <c r="S64" s="90">
        <f t="shared" si="17"/>
        <v>82.25</v>
      </c>
      <c r="T64" s="7">
        <v>82.25</v>
      </c>
      <c r="U64" s="99">
        <v>2</v>
      </c>
      <c r="V64" s="7">
        <f t="shared" si="18"/>
        <v>329</v>
      </c>
    </row>
    <row r="65" spans="2:22" x14ac:dyDescent="0.3">
      <c r="B65" s="1">
        <v>10</v>
      </c>
      <c r="C65" s="9">
        <f t="shared" si="19"/>
        <v>64.75</v>
      </c>
      <c r="D65" s="9"/>
      <c r="E65" s="9"/>
      <c r="F65" s="9"/>
      <c r="G65" s="9"/>
      <c r="H65" s="9"/>
      <c r="I65" s="9">
        <f t="shared" si="20"/>
        <v>67.25</v>
      </c>
      <c r="J65" s="9">
        <f t="shared" si="21"/>
        <v>21</v>
      </c>
      <c r="K65" s="9">
        <f t="shared" si="22"/>
        <v>22</v>
      </c>
      <c r="M65" s="8">
        <f t="shared" si="15"/>
        <v>84.25</v>
      </c>
      <c r="N65" s="1">
        <v>30</v>
      </c>
      <c r="O65" s="1">
        <f t="shared" si="14"/>
        <v>84.25</v>
      </c>
      <c r="P65" s="1">
        <f t="shared" si="16"/>
        <v>2</v>
      </c>
      <c r="R65" s="96">
        <v>30</v>
      </c>
      <c r="S65" s="90">
        <f t="shared" si="17"/>
        <v>84.25</v>
      </c>
      <c r="T65" s="7">
        <v>84.25</v>
      </c>
      <c r="U65" s="99">
        <v>2</v>
      </c>
      <c r="V65" s="7">
        <f t="shared" si="18"/>
        <v>337</v>
      </c>
    </row>
    <row r="66" spans="2:22" x14ac:dyDescent="0.3">
      <c r="B66" s="1">
        <v>11</v>
      </c>
      <c r="C66" s="9">
        <f t="shared" si="19"/>
        <v>54.25</v>
      </c>
      <c r="D66" s="9"/>
      <c r="E66" s="9"/>
      <c r="F66" s="9"/>
      <c r="G66" s="9"/>
      <c r="H66" s="9"/>
      <c r="I66" s="9">
        <f t="shared" si="20"/>
        <v>56.75</v>
      </c>
      <c r="J66" s="9">
        <f t="shared" si="21"/>
        <v>17</v>
      </c>
      <c r="K66" s="9">
        <f t="shared" si="22"/>
        <v>18</v>
      </c>
      <c r="M66" s="8">
        <f t="shared" si="15"/>
        <v>86.25</v>
      </c>
      <c r="N66" s="1">
        <v>31</v>
      </c>
      <c r="O66" s="1">
        <f t="shared" si="14"/>
        <v>86.25</v>
      </c>
      <c r="P66" s="1">
        <f t="shared" si="16"/>
        <v>2</v>
      </c>
      <c r="R66" s="96">
        <v>31</v>
      </c>
      <c r="S66" s="90">
        <f t="shared" si="17"/>
        <v>86.25</v>
      </c>
      <c r="T66" s="7">
        <v>86.25</v>
      </c>
      <c r="U66" s="99">
        <v>2</v>
      </c>
      <c r="V66" s="7">
        <f t="shared" si="18"/>
        <v>345</v>
      </c>
    </row>
    <row r="67" spans="2:22" x14ac:dyDescent="0.3">
      <c r="B67" s="1">
        <v>12</v>
      </c>
      <c r="C67" s="9">
        <f t="shared" si="19"/>
        <v>45.75</v>
      </c>
      <c r="D67" s="9"/>
      <c r="E67" s="9"/>
      <c r="F67" s="9"/>
      <c r="G67" s="9"/>
      <c r="H67" s="9"/>
      <c r="I67" s="9">
        <f t="shared" si="20"/>
        <v>48.75</v>
      </c>
      <c r="J67" s="9">
        <f t="shared" si="21"/>
        <v>14</v>
      </c>
      <c r="K67" s="9">
        <f t="shared" si="22"/>
        <v>15</v>
      </c>
      <c r="M67" s="8">
        <f t="shared" si="15"/>
        <v>87.75</v>
      </c>
      <c r="N67" s="1">
        <v>32</v>
      </c>
      <c r="O67" s="1">
        <f t="shared" si="14"/>
        <v>87.75</v>
      </c>
      <c r="P67" s="1">
        <f t="shared" si="16"/>
        <v>1.5</v>
      </c>
      <c r="R67" s="96">
        <v>32</v>
      </c>
      <c r="S67" s="90">
        <f t="shared" si="17"/>
        <v>87.75</v>
      </c>
      <c r="T67" s="7">
        <v>87.75</v>
      </c>
      <c r="U67" s="99">
        <v>1.5</v>
      </c>
      <c r="V67" s="7">
        <f t="shared" si="18"/>
        <v>351</v>
      </c>
    </row>
    <row r="68" spans="2:22" x14ac:dyDescent="0.3">
      <c r="B68" s="1">
        <v>13</v>
      </c>
      <c r="C68" s="9">
        <f t="shared" si="19"/>
        <v>39.75</v>
      </c>
      <c r="D68" s="9"/>
      <c r="E68" s="9"/>
      <c r="F68" s="9"/>
      <c r="G68" s="9"/>
      <c r="H68" s="9"/>
      <c r="I68" s="9">
        <f t="shared" si="20"/>
        <v>42.75</v>
      </c>
      <c r="J68" s="9">
        <f t="shared" si="21"/>
        <v>12</v>
      </c>
      <c r="K68" s="9">
        <f t="shared" si="22"/>
        <v>13</v>
      </c>
      <c r="M68" s="8">
        <f t="shared" si="15"/>
        <v>89.25</v>
      </c>
      <c r="N68" s="1">
        <v>33</v>
      </c>
      <c r="O68" s="1">
        <f t="shared" si="14"/>
        <v>89.25</v>
      </c>
      <c r="P68" s="1">
        <f t="shared" si="16"/>
        <v>1.5</v>
      </c>
      <c r="R68" s="96">
        <v>33</v>
      </c>
      <c r="S68" s="90">
        <f t="shared" si="17"/>
        <v>89.25</v>
      </c>
      <c r="T68" s="7">
        <v>89.25</v>
      </c>
      <c r="U68" s="99">
        <v>1.5</v>
      </c>
      <c r="V68" s="7">
        <f t="shared" si="18"/>
        <v>357</v>
      </c>
    </row>
    <row r="69" spans="2:22" x14ac:dyDescent="0.3">
      <c r="B69" s="1">
        <v>14</v>
      </c>
      <c r="C69" s="9">
        <f t="shared" si="19"/>
        <v>33.25</v>
      </c>
      <c r="D69" s="9"/>
      <c r="E69" s="9"/>
      <c r="F69" s="9"/>
      <c r="G69" s="9"/>
      <c r="H69" s="9"/>
      <c r="I69" s="9">
        <f t="shared" si="20"/>
        <v>36.75</v>
      </c>
      <c r="J69" s="9">
        <f t="shared" si="21"/>
        <v>10</v>
      </c>
      <c r="K69" s="9">
        <f t="shared" si="22"/>
        <v>11</v>
      </c>
      <c r="M69" s="8">
        <f t="shared" si="15"/>
        <v>91.25</v>
      </c>
      <c r="N69" s="1">
        <v>34</v>
      </c>
      <c r="O69" s="1">
        <f t="shared" si="14"/>
        <v>91.25</v>
      </c>
      <c r="P69" s="1">
        <f t="shared" si="16"/>
        <v>2</v>
      </c>
      <c r="R69" s="96">
        <v>34</v>
      </c>
      <c r="S69" s="90">
        <f t="shared" si="17"/>
        <v>91.25</v>
      </c>
      <c r="T69" s="7">
        <v>91.25</v>
      </c>
      <c r="U69" s="99">
        <v>2</v>
      </c>
      <c r="V69" s="7">
        <f t="shared" si="18"/>
        <v>365</v>
      </c>
    </row>
    <row r="70" spans="2:22" x14ac:dyDescent="0.3">
      <c r="B70" s="1">
        <v>15</v>
      </c>
      <c r="C70" s="9">
        <f t="shared" si="19"/>
        <v>29.5</v>
      </c>
      <c r="D70" s="9"/>
      <c r="E70" s="9"/>
      <c r="F70" s="9"/>
      <c r="G70" s="9"/>
      <c r="H70" s="9"/>
      <c r="I70" s="9">
        <f t="shared" si="20"/>
        <v>33.25</v>
      </c>
      <c r="J70" s="9">
        <f t="shared" si="21"/>
        <v>9</v>
      </c>
      <c r="K70" s="9">
        <f t="shared" si="22"/>
        <v>10</v>
      </c>
      <c r="M70" s="8">
        <f t="shared" si="15"/>
        <v>93.25</v>
      </c>
      <c r="N70" s="1">
        <v>35</v>
      </c>
      <c r="O70" s="1">
        <f t="shared" si="14"/>
        <v>93.25</v>
      </c>
      <c r="P70" s="1">
        <f t="shared" si="16"/>
        <v>2</v>
      </c>
      <c r="R70" s="96">
        <v>35</v>
      </c>
      <c r="S70" s="90">
        <f t="shared" si="17"/>
        <v>93.25</v>
      </c>
      <c r="T70" s="7">
        <v>93.25</v>
      </c>
      <c r="U70" s="99">
        <v>2</v>
      </c>
      <c r="V70" s="7">
        <f t="shared" si="18"/>
        <v>373</v>
      </c>
    </row>
    <row r="71" spans="2:22" x14ac:dyDescent="0.3">
      <c r="B71" s="1">
        <v>16</v>
      </c>
      <c r="C71" s="9">
        <f t="shared" si="19"/>
        <v>26.5</v>
      </c>
      <c r="D71" s="9"/>
      <c r="E71" s="9"/>
      <c r="F71" s="9"/>
      <c r="G71" s="9"/>
      <c r="H71" s="9"/>
      <c r="I71" s="9">
        <f t="shared" si="20"/>
        <v>29.5</v>
      </c>
      <c r="J71" s="9">
        <f t="shared" si="21"/>
        <v>8</v>
      </c>
      <c r="K71" s="9">
        <f t="shared" si="22"/>
        <v>9</v>
      </c>
      <c r="M71" s="8">
        <f t="shared" si="15"/>
        <v>95.25</v>
      </c>
      <c r="N71" s="1">
        <v>36</v>
      </c>
      <c r="O71" s="1">
        <f t="shared" si="14"/>
        <v>95.25</v>
      </c>
      <c r="P71" s="1">
        <f t="shared" si="16"/>
        <v>2</v>
      </c>
      <c r="R71" s="96">
        <v>36</v>
      </c>
      <c r="S71" s="90">
        <f t="shared" si="17"/>
        <v>95.25</v>
      </c>
      <c r="T71" s="7">
        <v>95.25</v>
      </c>
      <c r="U71" s="99">
        <v>2</v>
      </c>
      <c r="V71" s="7">
        <f t="shared" si="18"/>
        <v>381</v>
      </c>
    </row>
    <row r="72" spans="2:22" x14ac:dyDescent="0.3">
      <c r="B72" s="1">
        <v>17</v>
      </c>
      <c r="C72" s="9">
        <f t="shared" si="19"/>
        <v>19.5</v>
      </c>
      <c r="D72" s="9"/>
      <c r="E72" s="9"/>
      <c r="F72" s="9"/>
      <c r="G72" s="9"/>
      <c r="H72" s="9"/>
      <c r="I72" s="9">
        <f t="shared" si="20"/>
        <v>23</v>
      </c>
      <c r="J72" s="9">
        <f t="shared" si="21"/>
        <v>6</v>
      </c>
      <c r="K72" s="9">
        <f t="shared" si="22"/>
        <v>7</v>
      </c>
      <c r="M72" s="8">
        <f t="shared" si="15"/>
        <v>97</v>
      </c>
      <c r="N72" s="1">
        <v>37</v>
      </c>
      <c r="O72" s="1">
        <f t="shared" si="14"/>
        <v>97</v>
      </c>
      <c r="P72" s="1">
        <f t="shared" si="16"/>
        <v>1.75</v>
      </c>
      <c r="R72" s="96">
        <v>37</v>
      </c>
      <c r="S72" s="90">
        <f t="shared" si="17"/>
        <v>97</v>
      </c>
      <c r="T72" s="7">
        <v>97</v>
      </c>
      <c r="U72" s="99">
        <v>1.75</v>
      </c>
      <c r="V72" s="7">
        <f t="shared" si="18"/>
        <v>388</v>
      </c>
    </row>
    <row r="73" spans="2:22" x14ac:dyDescent="0.3">
      <c r="B73" s="1">
        <v>18</v>
      </c>
      <c r="C73" s="9">
        <f t="shared" si="19"/>
        <v>19.5</v>
      </c>
      <c r="D73" s="9"/>
      <c r="E73" s="9"/>
      <c r="F73" s="9"/>
      <c r="G73" s="9"/>
      <c r="H73" s="9"/>
      <c r="I73" s="9">
        <f t="shared" si="20"/>
        <v>23</v>
      </c>
      <c r="J73" s="9">
        <f t="shared" si="21"/>
        <v>6</v>
      </c>
      <c r="K73" s="9">
        <f t="shared" si="22"/>
        <v>7</v>
      </c>
      <c r="M73" s="8">
        <f t="shared" si="15"/>
        <v>98.5</v>
      </c>
      <c r="N73" s="1">
        <v>38</v>
      </c>
      <c r="O73" s="1">
        <f t="shared" si="14"/>
        <v>98.5</v>
      </c>
      <c r="P73" s="1">
        <f t="shared" si="16"/>
        <v>1.5</v>
      </c>
      <c r="R73" s="96">
        <v>38</v>
      </c>
      <c r="S73" s="90">
        <f t="shared" si="17"/>
        <v>98.5</v>
      </c>
      <c r="T73" s="7">
        <v>98.5</v>
      </c>
      <c r="U73" s="99">
        <v>1.5</v>
      </c>
      <c r="V73" s="7">
        <f t="shared" si="18"/>
        <v>394</v>
      </c>
    </row>
    <row r="74" spans="2:22" x14ac:dyDescent="0.3">
      <c r="B74" s="1">
        <v>19</v>
      </c>
      <c r="C74" s="9">
        <f t="shared" si="19"/>
        <v>16.5</v>
      </c>
      <c r="D74" s="9"/>
      <c r="E74" s="9"/>
      <c r="F74" s="9"/>
      <c r="G74" s="9"/>
      <c r="H74" s="9"/>
      <c r="I74" s="9">
        <f t="shared" si="20"/>
        <v>19.5</v>
      </c>
      <c r="J74" s="9">
        <f t="shared" si="21"/>
        <v>5</v>
      </c>
      <c r="K74" s="9">
        <f t="shared" si="22"/>
        <v>6</v>
      </c>
      <c r="M74" s="8">
        <f t="shared" si="15"/>
        <v>100</v>
      </c>
      <c r="N74" s="1">
        <v>39</v>
      </c>
      <c r="O74" s="1">
        <f t="shared" si="14"/>
        <v>100</v>
      </c>
      <c r="P74" s="1">
        <f t="shared" si="16"/>
        <v>1.5</v>
      </c>
      <c r="R74" s="96">
        <v>39</v>
      </c>
      <c r="S74" s="90">
        <f t="shared" si="17"/>
        <v>100</v>
      </c>
      <c r="T74" s="7">
        <v>100</v>
      </c>
      <c r="U74" s="99">
        <v>1.5</v>
      </c>
      <c r="V74" s="7">
        <f t="shared" si="18"/>
        <v>400</v>
      </c>
    </row>
    <row r="75" spans="2:22" x14ac:dyDescent="0.3">
      <c r="B75" s="1">
        <v>20</v>
      </c>
      <c r="C75" s="9">
        <f t="shared" si="19"/>
        <v>16.5</v>
      </c>
      <c r="D75" s="9"/>
      <c r="E75" s="9"/>
      <c r="F75" s="9"/>
      <c r="G75" s="9"/>
      <c r="H75" s="9"/>
      <c r="I75" s="9">
        <f t="shared" si="20"/>
        <v>19.5</v>
      </c>
      <c r="J75" s="9">
        <f t="shared" si="21"/>
        <v>5</v>
      </c>
      <c r="K75" s="9">
        <f t="shared" si="22"/>
        <v>6</v>
      </c>
      <c r="M75" s="8">
        <f t="shared" si="15"/>
        <v>101.5</v>
      </c>
      <c r="N75" s="1">
        <v>40</v>
      </c>
      <c r="O75" s="1">
        <f t="shared" si="14"/>
        <v>101.5</v>
      </c>
      <c r="P75" s="1">
        <f t="shared" si="16"/>
        <v>1.5</v>
      </c>
      <c r="R75" s="96">
        <v>40</v>
      </c>
      <c r="S75" s="90">
        <f t="shared" si="17"/>
        <v>101.5</v>
      </c>
      <c r="T75" s="7">
        <v>101.5</v>
      </c>
      <c r="U75" s="99">
        <v>1.5</v>
      </c>
      <c r="V75" s="7">
        <f t="shared" si="18"/>
        <v>406</v>
      </c>
    </row>
    <row r="76" spans="2:22" x14ac:dyDescent="0.3">
      <c r="M76" s="8">
        <f t="shared" si="15"/>
        <v>103.5</v>
      </c>
      <c r="N76" s="1">
        <v>41</v>
      </c>
      <c r="O76" s="1">
        <f t="shared" si="14"/>
        <v>103.5</v>
      </c>
      <c r="P76" s="1">
        <f t="shared" si="16"/>
        <v>2</v>
      </c>
      <c r="R76" s="96">
        <v>41</v>
      </c>
      <c r="S76" s="90">
        <f t="shared" si="17"/>
        <v>103.5</v>
      </c>
      <c r="T76" s="7">
        <v>103.5</v>
      </c>
      <c r="U76" s="99">
        <v>2</v>
      </c>
      <c r="V76" s="7">
        <f t="shared" si="18"/>
        <v>414</v>
      </c>
    </row>
    <row r="77" spans="2:22" x14ac:dyDescent="0.3">
      <c r="C77" s="1" t="s">
        <v>9</v>
      </c>
      <c r="I77" s="1" t="s">
        <v>10</v>
      </c>
      <c r="J77" s="1" t="s">
        <v>11</v>
      </c>
      <c r="K77" s="1" t="s">
        <v>12</v>
      </c>
      <c r="M77" s="8">
        <f t="shared" si="15"/>
        <v>105</v>
      </c>
      <c r="N77" s="1">
        <v>42</v>
      </c>
      <c r="O77" s="1">
        <f t="shared" si="14"/>
        <v>105</v>
      </c>
      <c r="P77" s="1">
        <f t="shared" si="16"/>
        <v>1.5</v>
      </c>
      <c r="R77" s="96">
        <v>42</v>
      </c>
      <c r="S77" s="90">
        <f t="shared" si="17"/>
        <v>105</v>
      </c>
      <c r="T77" s="7">
        <v>105</v>
      </c>
      <c r="U77" s="99">
        <v>1.5</v>
      </c>
      <c r="V77" s="7">
        <f t="shared" si="18"/>
        <v>420</v>
      </c>
    </row>
    <row r="78" spans="2:22" x14ac:dyDescent="0.3">
      <c r="B78" s="1">
        <v>1</v>
      </c>
      <c r="C78" s="9">
        <f t="shared" ref="C78:C97" si="23">ROUNDDOWN(J12,0)</f>
        <v>186</v>
      </c>
      <c r="D78" s="9"/>
      <c r="E78" s="9"/>
      <c r="F78" s="9"/>
      <c r="G78" s="9"/>
      <c r="H78" s="9"/>
      <c r="I78" s="9">
        <f t="shared" ref="I78:I97" si="24">ROUNDUP(J12,0)</f>
        <v>187</v>
      </c>
      <c r="J78" s="9">
        <f>VLOOKUP(C78,$R$35:$S$298,2,TRUE)</f>
        <v>226.25</v>
      </c>
      <c r="K78" s="9">
        <f>VLOOKUP(I78,$R$35:$S$298,2,TRUE)</f>
        <v>226.75</v>
      </c>
      <c r="M78" s="8">
        <f t="shared" si="15"/>
        <v>106.5</v>
      </c>
      <c r="N78" s="1">
        <v>43</v>
      </c>
      <c r="O78" s="1">
        <f t="shared" si="14"/>
        <v>106.5</v>
      </c>
      <c r="P78" s="1">
        <f t="shared" si="16"/>
        <v>1.5</v>
      </c>
      <c r="R78" s="96">
        <v>43</v>
      </c>
      <c r="S78" s="90">
        <f t="shared" si="17"/>
        <v>106.5</v>
      </c>
      <c r="T78" s="7">
        <v>106.5</v>
      </c>
      <c r="U78" s="99">
        <v>1.5</v>
      </c>
      <c r="V78" s="7">
        <f t="shared" si="18"/>
        <v>426</v>
      </c>
    </row>
    <row r="79" spans="2:22" x14ac:dyDescent="0.3">
      <c r="B79" s="1">
        <v>2</v>
      </c>
      <c r="C79" s="9">
        <f t="shared" si="23"/>
        <v>148</v>
      </c>
      <c r="D79" s="9"/>
      <c r="E79" s="9"/>
      <c r="F79" s="9"/>
      <c r="G79" s="9"/>
      <c r="H79" s="9"/>
      <c r="I79" s="9">
        <f t="shared" si="24"/>
        <v>149</v>
      </c>
      <c r="J79" s="9">
        <f t="shared" ref="J79:J97" si="25">VLOOKUP(C79,$R$35:$S$298,2,TRUE)</f>
        <v>205.75</v>
      </c>
      <c r="K79" s="9">
        <f t="shared" ref="K79:K97" si="26">VLOOKUP(I79,$R$35:$S$298,2,TRUE)</f>
        <v>206.25</v>
      </c>
      <c r="M79" s="8">
        <f t="shared" si="15"/>
        <v>108.5</v>
      </c>
      <c r="N79" s="1">
        <v>44</v>
      </c>
      <c r="O79" s="1">
        <f t="shared" si="14"/>
        <v>108.5</v>
      </c>
      <c r="P79" s="1">
        <f t="shared" si="16"/>
        <v>2</v>
      </c>
      <c r="R79" s="96">
        <v>44</v>
      </c>
      <c r="S79" s="90">
        <f t="shared" si="17"/>
        <v>108.5</v>
      </c>
      <c r="T79" s="7">
        <v>108.5</v>
      </c>
      <c r="U79" s="99">
        <v>2</v>
      </c>
      <c r="V79" s="7">
        <f t="shared" si="18"/>
        <v>434</v>
      </c>
    </row>
    <row r="80" spans="2:22" x14ac:dyDescent="0.3">
      <c r="B80" s="1">
        <v>3</v>
      </c>
      <c r="C80" s="9">
        <f t="shared" si="23"/>
        <v>114</v>
      </c>
      <c r="D80" s="9"/>
      <c r="E80" s="9"/>
      <c r="F80" s="9"/>
      <c r="G80" s="9"/>
      <c r="H80" s="9"/>
      <c r="I80" s="9">
        <f t="shared" si="24"/>
        <v>115</v>
      </c>
      <c r="J80" s="9">
        <f t="shared" si="25"/>
        <v>182.75</v>
      </c>
      <c r="K80" s="9">
        <f t="shared" si="26"/>
        <v>183.75</v>
      </c>
      <c r="M80" s="8">
        <f t="shared" si="15"/>
        <v>110</v>
      </c>
      <c r="N80" s="1">
        <v>45</v>
      </c>
      <c r="O80" s="1">
        <f t="shared" si="14"/>
        <v>110</v>
      </c>
      <c r="P80" s="1">
        <f t="shared" si="16"/>
        <v>1.5</v>
      </c>
      <c r="R80" s="96">
        <v>45</v>
      </c>
      <c r="S80" s="90">
        <f t="shared" si="17"/>
        <v>110</v>
      </c>
      <c r="T80" s="7">
        <v>110</v>
      </c>
      <c r="U80" s="99">
        <v>1.5</v>
      </c>
      <c r="V80" s="7">
        <f t="shared" si="18"/>
        <v>440</v>
      </c>
    </row>
    <row r="81" spans="2:22" x14ac:dyDescent="0.3">
      <c r="B81" s="1">
        <v>4</v>
      </c>
      <c r="C81" s="9">
        <f t="shared" si="23"/>
        <v>90</v>
      </c>
      <c r="D81" s="9"/>
      <c r="E81" s="9"/>
      <c r="F81" s="9"/>
      <c r="G81" s="9"/>
      <c r="H81" s="9"/>
      <c r="I81" s="9">
        <f t="shared" si="24"/>
        <v>91</v>
      </c>
      <c r="J81" s="9">
        <f t="shared" si="25"/>
        <v>163.25</v>
      </c>
      <c r="K81" s="9">
        <f t="shared" si="26"/>
        <v>164.25</v>
      </c>
      <c r="M81" s="8">
        <f t="shared" si="15"/>
        <v>111</v>
      </c>
      <c r="N81" s="1">
        <v>46</v>
      </c>
      <c r="O81" s="1">
        <f t="shared" si="14"/>
        <v>111</v>
      </c>
      <c r="P81" s="1">
        <f t="shared" si="16"/>
        <v>1</v>
      </c>
      <c r="R81" s="96">
        <v>46</v>
      </c>
      <c r="S81" s="90">
        <f t="shared" si="17"/>
        <v>111</v>
      </c>
      <c r="T81" s="7">
        <v>111</v>
      </c>
      <c r="U81" s="99">
        <v>1</v>
      </c>
      <c r="V81" s="7">
        <f t="shared" si="18"/>
        <v>444</v>
      </c>
    </row>
    <row r="82" spans="2:22" x14ac:dyDescent="0.3">
      <c r="B82" s="1">
        <v>5</v>
      </c>
      <c r="C82" s="9">
        <f t="shared" si="23"/>
        <v>69</v>
      </c>
      <c r="D82" s="9"/>
      <c r="E82" s="9"/>
      <c r="F82" s="9"/>
      <c r="G82" s="9"/>
      <c r="H82" s="9"/>
      <c r="I82" s="9">
        <f t="shared" si="24"/>
        <v>70</v>
      </c>
      <c r="J82" s="9">
        <f t="shared" si="25"/>
        <v>142</v>
      </c>
      <c r="K82" s="9">
        <f t="shared" si="26"/>
        <v>143</v>
      </c>
      <c r="M82" s="8">
        <f t="shared" si="15"/>
        <v>112.5</v>
      </c>
      <c r="N82" s="1">
        <v>47</v>
      </c>
      <c r="O82" s="1">
        <f t="shared" si="14"/>
        <v>112.5</v>
      </c>
      <c r="P82" s="1">
        <f t="shared" si="16"/>
        <v>1.5</v>
      </c>
      <c r="R82" s="96">
        <v>47</v>
      </c>
      <c r="S82" s="90">
        <f t="shared" si="17"/>
        <v>112.5</v>
      </c>
      <c r="T82" s="7">
        <v>112.5</v>
      </c>
      <c r="U82" s="99">
        <v>1.5</v>
      </c>
      <c r="V82" s="7">
        <f t="shared" si="18"/>
        <v>450</v>
      </c>
    </row>
    <row r="83" spans="2:22" x14ac:dyDescent="0.3">
      <c r="B83" s="1">
        <v>6</v>
      </c>
      <c r="C83" s="9">
        <f t="shared" si="23"/>
        <v>54</v>
      </c>
      <c r="D83" s="9"/>
      <c r="E83" s="9"/>
      <c r="F83" s="9"/>
      <c r="G83" s="9"/>
      <c r="H83" s="9"/>
      <c r="I83" s="9">
        <f t="shared" si="24"/>
        <v>55</v>
      </c>
      <c r="J83" s="9">
        <f t="shared" si="25"/>
        <v>123</v>
      </c>
      <c r="K83" s="9">
        <f t="shared" si="26"/>
        <v>124</v>
      </c>
      <c r="M83" s="8">
        <f t="shared" si="15"/>
        <v>114.5</v>
      </c>
      <c r="N83" s="1">
        <v>48</v>
      </c>
      <c r="O83" s="1">
        <f t="shared" si="14"/>
        <v>114.5</v>
      </c>
      <c r="P83" s="1">
        <f t="shared" si="16"/>
        <v>2</v>
      </c>
      <c r="R83" s="96">
        <v>48</v>
      </c>
      <c r="S83" s="90">
        <f t="shared" si="17"/>
        <v>114.5</v>
      </c>
      <c r="T83" s="7">
        <v>114.5</v>
      </c>
      <c r="U83" s="99">
        <v>2</v>
      </c>
      <c r="V83" s="7">
        <f t="shared" si="18"/>
        <v>458</v>
      </c>
    </row>
    <row r="84" spans="2:22" x14ac:dyDescent="0.3">
      <c r="B84" s="1">
        <v>7</v>
      </c>
      <c r="C84" s="9">
        <f t="shared" si="23"/>
        <v>42</v>
      </c>
      <c r="D84" s="9"/>
      <c r="E84" s="9"/>
      <c r="F84" s="9"/>
      <c r="G84" s="9"/>
      <c r="H84" s="9"/>
      <c r="I84" s="9">
        <f t="shared" si="24"/>
        <v>43</v>
      </c>
      <c r="J84" s="9">
        <f t="shared" si="25"/>
        <v>105</v>
      </c>
      <c r="K84" s="9">
        <f t="shared" si="26"/>
        <v>106.5</v>
      </c>
      <c r="M84" s="8">
        <f t="shared" si="15"/>
        <v>116</v>
      </c>
      <c r="N84" s="1">
        <v>49</v>
      </c>
      <c r="O84" s="1">
        <f t="shared" si="14"/>
        <v>116</v>
      </c>
      <c r="P84" s="1">
        <f t="shared" si="16"/>
        <v>1.5</v>
      </c>
      <c r="R84" s="96">
        <v>49</v>
      </c>
      <c r="S84" s="90">
        <f t="shared" si="17"/>
        <v>116</v>
      </c>
      <c r="T84" s="7">
        <v>116</v>
      </c>
      <c r="U84" s="99">
        <v>1.5</v>
      </c>
      <c r="V84" s="7">
        <f t="shared" si="18"/>
        <v>464</v>
      </c>
    </row>
    <row r="85" spans="2:22" x14ac:dyDescent="0.3">
      <c r="B85" s="1">
        <v>8</v>
      </c>
      <c r="C85" s="9">
        <f t="shared" si="23"/>
        <v>33</v>
      </c>
      <c r="D85" s="9"/>
      <c r="E85" s="9"/>
      <c r="F85" s="9"/>
      <c r="G85" s="9"/>
      <c r="H85" s="9"/>
      <c r="I85" s="9">
        <f t="shared" si="24"/>
        <v>34</v>
      </c>
      <c r="J85" s="9">
        <f t="shared" si="25"/>
        <v>89.25</v>
      </c>
      <c r="K85" s="9">
        <f t="shared" si="26"/>
        <v>91.25</v>
      </c>
      <c r="M85" s="8">
        <f t="shared" si="15"/>
        <v>117</v>
      </c>
      <c r="N85" s="1">
        <v>50</v>
      </c>
      <c r="O85" s="1">
        <f t="shared" si="14"/>
        <v>117</v>
      </c>
      <c r="P85" s="1">
        <f t="shared" si="16"/>
        <v>1</v>
      </c>
      <c r="R85" s="96">
        <v>50</v>
      </c>
      <c r="S85" s="90">
        <f t="shared" si="17"/>
        <v>117</v>
      </c>
      <c r="T85" s="7">
        <v>117</v>
      </c>
      <c r="U85" s="99">
        <v>1</v>
      </c>
      <c r="V85" s="7">
        <f t="shared" si="18"/>
        <v>468</v>
      </c>
    </row>
    <row r="86" spans="2:22" x14ac:dyDescent="0.3">
      <c r="B86" s="1">
        <v>9</v>
      </c>
      <c r="C86" s="9">
        <f t="shared" si="23"/>
        <v>26</v>
      </c>
      <c r="D86" s="9"/>
      <c r="E86" s="9"/>
      <c r="F86" s="9"/>
      <c r="G86" s="9"/>
      <c r="H86" s="9"/>
      <c r="I86" s="9">
        <f t="shared" si="24"/>
        <v>27</v>
      </c>
      <c r="J86" s="9">
        <f t="shared" si="25"/>
        <v>76.25</v>
      </c>
      <c r="K86" s="9">
        <f t="shared" si="26"/>
        <v>78.25</v>
      </c>
      <c r="M86" s="8">
        <f t="shared" si="15"/>
        <v>118.5</v>
      </c>
      <c r="N86" s="1">
        <v>51</v>
      </c>
      <c r="O86" s="1">
        <f t="shared" si="14"/>
        <v>118.5</v>
      </c>
      <c r="P86" s="1">
        <f t="shared" si="16"/>
        <v>1.5</v>
      </c>
      <c r="R86" s="96">
        <v>51</v>
      </c>
      <c r="S86" s="90">
        <f t="shared" si="17"/>
        <v>118.5</v>
      </c>
      <c r="T86" s="7">
        <v>118.5</v>
      </c>
      <c r="U86" s="99">
        <v>1.5</v>
      </c>
      <c r="V86" s="7">
        <f t="shared" si="18"/>
        <v>474</v>
      </c>
    </row>
    <row r="87" spans="2:22" x14ac:dyDescent="0.3">
      <c r="B87" s="1">
        <v>10</v>
      </c>
      <c r="C87" s="9">
        <f t="shared" si="23"/>
        <v>21</v>
      </c>
      <c r="D87" s="9"/>
      <c r="E87" s="9"/>
      <c r="F87" s="9"/>
      <c r="G87" s="9"/>
      <c r="H87" s="9"/>
      <c r="I87" s="9">
        <f t="shared" si="24"/>
        <v>22</v>
      </c>
      <c r="J87" s="9">
        <f t="shared" si="25"/>
        <v>64.75</v>
      </c>
      <c r="K87" s="9">
        <f t="shared" si="26"/>
        <v>67.25</v>
      </c>
      <c r="M87" s="8">
        <f t="shared" si="15"/>
        <v>120</v>
      </c>
      <c r="N87" s="1">
        <v>52</v>
      </c>
      <c r="O87" s="1">
        <f t="shared" si="14"/>
        <v>120</v>
      </c>
      <c r="P87" s="1">
        <f t="shared" si="16"/>
        <v>1.5</v>
      </c>
      <c r="R87" s="96">
        <v>52</v>
      </c>
      <c r="S87" s="90">
        <f t="shared" si="17"/>
        <v>120</v>
      </c>
      <c r="T87" s="7">
        <v>120</v>
      </c>
      <c r="U87" s="99">
        <v>1.5</v>
      </c>
      <c r="V87" s="7">
        <f t="shared" si="18"/>
        <v>480</v>
      </c>
    </row>
    <row r="88" spans="2:22" x14ac:dyDescent="0.3">
      <c r="B88" s="1">
        <v>11</v>
      </c>
      <c r="C88" s="9">
        <f t="shared" si="23"/>
        <v>17</v>
      </c>
      <c r="D88" s="9"/>
      <c r="E88" s="9"/>
      <c r="F88" s="9"/>
      <c r="G88" s="9"/>
      <c r="H88" s="9"/>
      <c r="I88" s="9">
        <f t="shared" si="24"/>
        <v>18</v>
      </c>
      <c r="J88" s="9">
        <f t="shared" si="25"/>
        <v>54.25</v>
      </c>
      <c r="K88" s="9">
        <f t="shared" si="26"/>
        <v>56.75</v>
      </c>
      <c r="M88" s="8">
        <f t="shared" si="15"/>
        <v>121.5</v>
      </c>
      <c r="N88" s="1">
        <v>53</v>
      </c>
      <c r="O88" s="1">
        <f t="shared" si="14"/>
        <v>121.5</v>
      </c>
      <c r="P88" s="1">
        <f t="shared" si="16"/>
        <v>1.5</v>
      </c>
      <c r="R88" s="96">
        <v>53</v>
      </c>
      <c r="S88" s="90">
        <f t="shared" si="17"/>
        <v>121.5</v>
      </c>
      <c r="T88" s="7">
        <v>121.5</v>
      </c>
      <c r="U88" s="99">
        <v>1.5</v>
      </c>
      <c r="V88" s="7">
        <f t="shared" si="18"/>
        <v>486</v>
      </c>
    </row>
    <row r="89" spans="2:22" x14ac:dyDescent="0.3">
      <c r="B89" s="1">
        <v>12</v>
      </c>
      <c r="C89" s="9">
        <f t="shared" si="23"/>
        <v>14</v>
      </c>
      <c r="D89" s="9"/>
      <c r="E89" s="9"/>
      <c r="F89" s="9"/>
      <c r="G89" s="9"/>
      <c r="H89" s="9"/>
      <c r="I89" s="9">
        <f t="shared" si="24"/>
        <v>15</v>
      </c>
      <c r="J89" s="9">
        <f t="shared" si="25"/>
        <v>45.75</v>
      </c>
      <c r="K89" s="9">
        <f t="shared" si="26"/>
        <v>48.75</v>
      </c>
      <c r="M89" s="8">
        <f t="shared" si="15"/>
        <v>123</v>
      </c>
      <c r="N89" s="1">
        <v>54</v>
      </c>
      <c r="O89" s="1">
        <f t="shared" si="14"/>
        <v>123</v>
      </c>
      <c r="P89" s="1">
        <f t="shared" si="16"/>
        <v>1.5</v>
      </c>
      <c r="R89" s="96">
        <v>54</v>
      </c>
      <c r="S89" s="90">
        <f t="shared" si="17"/>
        <v>123</v>
      </c>
      <c r="T89" s="7">
        <v>123</v>
      </c>
      <c r="U89" s="99">
        <v>1.5</v>
      </c>
      <c r="V89" s="7">
        <f t="shared" si="18"/>
        <v>492</v>
      </c>
    </row>
    <row r="90" spans="2:22" x14ac:dyDescent="0.3">
      <c r="B90" s="1">
        <v>13</v>
      </c>
      <c r="C90" s="9">
        <f t="shared" si="23"/>
        <v>12</v>
      </c>
      <c r="D90" s="9"/>
      <c r="E90" s="9"/>
      <c r="F90" s="9"/>
      <c r="G90" s="9"/>
      <c r="H90" s="9"/>
      <c r="I90" s="9">
        <f t="shared" si="24"/>
        <v>13</v>
      </c>
      <c r="J90" s="9">
        <f t="shared" si="25"/>
        <v>39.75</v>
      </c>
      <c r="K90" s="9">
        <f t="shared" si="26"/>
        <v>42.75</v>
      </c>
      <c r="M90" s="8">
        <f t="shared" si="15"/>
        <v>124</v>
      </c>
      <c r="N90" s="1">
        <v>55</v>
      </c>
      <c r="O90" s="1">
        <f t="shared" si="14"/>
        <v>124</v>
      </c>
      <c r="P90" s="1">
        <f t="shared" si="16"/>
        <v>1</v>
      </c>
      <c r="R90" s="96">
        <v>55</v>
      </c>
      <c r="S90" s="90">
        <f t="shared" si="17"/>
        <v>124</v>
      </c>
      <c r="T90" s="7">
        <v>124</v>
      </c>
      <c r="U90" s="99">
        <v>1</v>
      </c>
      <c r="V90" s="7">
        <f t="shared" si="18"/>
        <v>496</v>
      </c>
    </row>
    <row r="91" spans="2:22" x14ac:dyDescent="0.3">
      <c r="B91" s="1">
        <v>14</v>
      </c>
      <c r="C91" s="9">
        <f t="shared" si="23"/>
        <v>10</v>
      </c>
      <c r="D91" s="9"/>
      <c r="E91" s="9"/>
      <c r="F91" s="9"/>
      <c r="G91" s="9"/>
      <c r="H91" s="9"/>
      <c r="I91" s="9">
        <f t="shared" si="24"/>
        <v>11</v>
      </c>
      <c r="J91" s="9">
        <f t="shared" si="25"/>
        <v>33.25</v>
      </c>
      <c r="K91" s="9">
        <f t="shared" si="26"/>
        <v>36.75</v>
      </c>
      <c r="M91" s="8">
        <f t="shared" si="15"/>
        <v>125.5</v>
      </c>
      <c r="N91" s="1">
        <v>56</v>
      </c>
      <c r="O91" s="1">
        <f t="shared" si="14"/>
        <v>125.5</v>
      </c>
      <c r="P91" s="1">
        <f t="shared" si="16"/>
        <v>1.5</v>
      </c>
      <c r="R91" s="96">
        <v>56</v>
      </c>
      <c r="S91" s="90">
        <f t="shared" si="17"/>
        <v>125.5</v>
      </c>
      <c r="T91" s="7">
        <v>125.5</v>
      </c>
      <c r="U91" s="99">
        <v>1.5</v>
      </c>
      <c r="V91" s="7">
        <f t="shared" si="18"/>
        <v>502</v>
      </c>
    </row>
    <row r="92" spans="2:22" x14ac:dyDescent="0.3">
      <c r="B92" s="1">
        <v>15</v>
      </c>
      <c r="C92" s="9">
        <f t="shared" si="23"/>
        <v>9</v>
      </c>
      <c r="D92" s="9"/>
      <c r="E92" s="9"/>
      <c r="F92" s="9"/>
      <c r="G92" s="9"/>
      <c r="H92" s="9"/>
      <c r="I92" s="9">
        <f t="shared" si="24"/>
        <v>10</v>
      </c>
      <c r="J92" s="9">
        <f t="shared" si="25"/>
        <v>29.5</v>
      </c>
      <c r="K92" s="9">
        <f t="shared" si="26"/>
        <v>33.25</v>
      </c>
      <c r="M92" s="8">
        <f t="shared" si="15"/>
        <v>127</v>
      </c>
      <c r="N92" s="1">
        <v>57</v>
      </c>
      <c r="O92" s="1">
        <f t="shared" si="14"/>
        <v>127</v>
      </c>
      <c r="P92" s="1">
        <f t="shared" si="16"/>
        <v>1.5</v>
      </c>
      <c r="R92" s="96">
        <v>57</v>
      </c>
      <c r="S92" s="90">
        <f t="shared" si="17"/>
        <v>127</v>
      </c>
      <c r="T92" s="7">
        <v>127</v>
      </c>
      <c r="U92" s="99">
        <v>1.5</v>
      </c>
      <c r="V92" s="7">
        <f t="shared" si="18"/>
        <v>508</v>
      </c>
    </row>
    <row r="93" spans="2:22" x14ac:dyDescent="0.3">
      <c r="B93" s="1">
        <v>16</v>
      </c>
      <c r="C93" s="9">
        <f t="shared" si="23"/>
        <v>7</v>
      </c>
      <c r="D93" s="9"/>
      <c r="E93" s="9"/>
      <c r="F93" s="9"/>
      <c r="G93" s="9"/>
      <c r="H93" s="9"/>
      <c r="I93" s="9">
        <f t="shared" si="24"/>
        <v>8</v>
      </c>
      <c r="J93" s="9">
        <f t="shared" si="25"/>
        <v>23</v>
      </c>
      <c r="K93" s="9">
        <f t="shared" si="26"/>
        <v>26.5</v>
      </c>
      <c r="M93" s="8">
        <f t="shared" si="15"/>
        <v>128</v>
      </c>
      <c r="N93" s="1">
        <v>58</v>
      </c>
      <c r="O93" s="1">
        <f t="shared" si="14"/>
        <v>128</v>
      </c>
      <c r="P93" s="1">
        <f t="shared" si="16"/>
        <v>1</v>
      </c>
      <c r="R93" s="96">
        <v>58</v>
      </c>
      <c r="S93" s="90">
        <f t="shared" si="17"/>
        <v>128</v>
      </c>
      <c r="T93" s="7">
        <v>128</v>
      </c>
      <c r="U93" s="99">
        <v>1</v>
      </c>
      <c r="V93" s="7">
        <f t="shared" si="18"/>
        <v>512</v>
      </c>
    </row>
    <row r="94" spans="2:22" x14ac:dyDescent="0.3">
      <c r="B94" s="1">
        <v>17</v>
      </c>
      <c r="C94" s="9">
        <f t="shared" si="23"/>
        <v>6</v>
      </c>
      <c r="D94" s="9"/>
      <c r="E94" s="9"/>
      <c r="F94" s="9"/>
      <c r="G94" s="9"/>
      <c r="H94" s="9"/>
      <c r="I94" s="9">
        <f t="shared" si="24"/>
        <v>7</v>
      </c>
      <c r="J94" s="9">
        <f t="shared" si="25"/>
        <v>19.5</v>
      </c>
      <c r="K94" s="9">
        <f t="shared" si="26"/>
        <v>23</v>
      </c>
      <c r="M94" s="8">
        <f t="shared" si="15"/>
        <v>129.5</v>
      </c>
      <c r="N94" s="1">
        <v>59</v>
      </c>
      <c r="O94" s="1">
        <f t="shared" si="14"/>
        <v>129.5</v>
      </c>
      <c r="P94" s="1">
        <f t="shared" si="16"/>
        <v>1.5</v>
      </c>
      <c r="R94" s="96">
        <v>59</v>
      </c>
      <c r="S94" s="90">
        <f t="shared" si="17"/>
        <v>129.5</v>
      </c>
      <c r="T94" s="7">
        <v>129.5</v>
      </c>
      <c r="U94" s="99">
        <v>1.5</v>
      </c>
      <c r="V94" s="7">
        <f t="shared" si="18"/>
        <v>518</v>
      </c>
    </row>
    <row r="95" spans="2:22" x14ac:dyDescent="0.3">
      <c r="B95" s="1">
        <v>18</v>
      </c>
      <c r="C95" s="9">
        <f t="shared" si="23"/>
        <v>6</v>
      </c>
      <c r="D95" s="9"/>
      <c r="E95" s="9"/>
      <c r="F95" s="9"/>
      <c r="G95" s="9"/>
      <c r="H95" s="9"/>
      <c r="I95" s="9">
        <f t="shared" si="24"/>
        <v>7</v>
      </c>
      <c r="J95" s="9">
        <f t="shared" si="25"/>
        <v>19.5</v>
      </c>
      <c r="K95" s="9">
        <f t="shared" si="26"/>
        <v>23</v>
      </c>
      <c r="M95" s="8">
        <f t="shared" si="15"/>
        <v>131</v>
      </c>
      <c r="N95" s="1">
        <v>60</v>
      </c>
      <c r="O95" s="1">
        <f t="shared" si="14"/>
        <v>131</v>
      </c>
      <c r="P95" s="1">
        <f t="shared" si="16"/>
        <v>1.5</v>
      </c>
      <c r="R95" s="96">
        <v>60</v>
      </c>
      <c r="S95" s="90">
        <f t="shared" si="17"/>
        <v>131</v>
      </c>
      <c r="T95" s="7">
        <v>131</v>
      </c>
      <c r="U95" s="99">
        <v>1.5</v>
      </c>
      <c r="V95" s="7">
        <f t="shared" si="18"/>
        <v>524</v>
      </c>
    </row>
    <row r="96" spans="2:22" x14ac:dyDescent="0.3">
      <c r="B96" s="1">
        <v>19</v>
      </c>
      <c r="C96" s="9">
        <f t="shared" si="23"/>
        <v>5</v>
      </c>
      <c r="D96" s="9"/>
      <c r="E96" s="9"/>
      <c r="F96" s="9"/>
      <c r="G96" s="9"/>
      <c r="H96" s="9"/>
      <c r="I96" s="9">
        <f t="shared" si="24"/>
        <v>6</v>
      </c>
      <c r="J96" s="9">
        <f t="shared" si="25"/>
        <v>16.5</v>
      </c>
      <c r="K96" s="9">
        <f t="shared" si="26"/>
        <v>19.5</v>
      </c>
      <c r="M96" s="8">
        <f t="shared" si="15"/>
        <v>132</v>
      </c>
      <c r="N96" s="1">
        <v>61</v>
      </c>
      <c r="O96" s="1">
        <f t="shared" si="14"/>
        <v>132</v>
      </c>
      <c r="P96" s="1">
        <f t="shared" si="16"/>
        <v>1</v>
      </c>
      <c r="R96" s="96">
        <v>61</v>
      </c>
      <c r="S96" s="90">
        <f t="shared" si="17"/>
        <v>132</v>
      </c>
      <c r="T96" s="7">
        <v>132</v>
      </c>
      <c r="U96" s="99">
        <v>1</v>
      </c>
      <c r="V96" s="7">
        <f t="shared" si="18"/>
        <v>528</v>
      </c>
    </row>
    <row r="97" spans="2:22" x14ac:dyDescent="0.3">
      <c r="B97" s="1">
        <v>20</v>
      </c>
      <c r="C97" s="9">
        <f t="shared" si="23"/>
        <v>5</v>
      </c>
      <c r="D97" s="9"/>
      <c r="E97" s="9"/>
      <c r="F97" s="9"/>
      <c r="G97" s="9"/>
      <c r="H97" s="9"/>
      <c r="I97" s="9">
        <f t="shared" si="24"/>
        <v>6</v>
      </c>
      <c r="J97" s="9">
        <f t="shared" si="25"/>
        <v>16.5</v>
      </c>
      <c r="K97" s="9">
        <f t="shared" si="26"/>
        <v>19.5</v>
      </c>
      <c r="M97" s="8">
        <f t="shared" si="15"/>
        <v>133.5</v>
      </c>
      <c r="N97" s="1">
        <v>62</v>
      </c>
      <c r="O97" s="1">
        <f t="shared" si="14"/>
        <v>133.5</v>
      </c>
      <c r="P97" s="1">
        <f t="shared" si="16"/>
        <v>1.5</v>
      </c>
      <c r="R97" s="96">
        <v>62</v>
      </c>
      <c r="S97" s="90">
        <f t="shared" si="17"/>
        <v>133.5</v>
      </c>
      <c r="T97" s="7">
        <v>133.5</v>
      </c>
      <c r="U97" s="99">
        <v>1.5</v>
      </c>
      <c r="V97" s="7">
        <f t="shared" si="18"/>
        <v>534</v>
      </c>
    </row>
    <row r="98" spans="2:22" x14ac:dyDescent="0.3">
      <c r="M98" s="8">
        <f t="shared" si="15"/>
        <v>134.5</v>
      </c>
      <c r="N98" s="1">
        <v>63</v>
      </c>
      <c r="O98" s="1">
        <f t="shared" si="14"/>
        <v>134.5</v>
      </c>
      <c r="P98" s="1">
        <f t="shared" si="16"/>
        <v>1</v>
      </c>
      <c r="R98" s="96">
        <v>63</v>
      </c>
      <c r="S98" s="90">
        <f t="shared" si="17"/>
        <v>134.5</v>
      </c>
      <c r="T98" s="7">
        <v>134.5</v>
      </c>
      <c r="U98" s="99">
        <v>1</v>
      </c>
      <c r="V98" s="7">
        <f t="shared" si="18"/>
        <v>538</v>
      </c>
    </row>
    <row r="99" spans="2:22" x14ac:dyDescent="0.3">
      <c r="B99" s="141"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1"/>
      <c r="M99" s="8">
        <f t="shared" si="15"/>
        <v>135.5</v>
      </c>
      <c r="N99" s="1">
        <v>64</v>
      </c>
      <c r="O99" s="1">
        <f t="shared" si="14"/>
        <v>135.5</v>
      </c>
      <c r="P99" s="1">
        <f t="shared" si="16"/>
        <v>1</v>
      </c>
      <c r="R99" s="96">
        <v>64</v>
      </c>
      <c r="S99" s="90">
        <f t="shared" si="17"/>
        <v>135.5</v>
      </c>
      <c r="T99" s="7">
        <v>135.5</v>
      </c>
      <c r="U99" s="99">
        <v>1</v>
      </c>
      <c r="V99" s="7">
        <f t="shared" si="18"/>
        <v>542</v>
      </c>
    </row>
    <row r="100" spans="2:22" x14ac:dyDescent="0.3">
      <c r="B100" s="141"/>
      <c r="C100" s="141"/>
      <c r="M100" s="8">
        <f t="shared" ref="M100:M163" si="27">O100</f>
        <v>137</v>
      </c>
      <c r="N100" s="1">
        <v>65</v>
      </c>
      <c r="O100" s="1">
        <f t="shared" ref="O100:O163" si="28">VALUE(MID($T$2,FIND("*",SUBSTITUTE($T$2," ","*",N100),1)+1,FIND("*",SUBSTITUTE($T$2," ","*",N101),1)-FIND("*",SUBSTITUTE($T$2," ","*",N100),1)-1))/4</f>
        <v>137</v>
      </c>
      <c r="P100" s="1">
        <f t="shared" si="16"/>
        <v>1.5</v>
      </c>
      <c r="R100" s="96">
        <v>65</v>
      </c>
      <c r="S100" s="90">
        <f t="shared" si="17"/>
        <v>137</v>
      </c>
      <c r="T100" s="7">
        <v>137</v>
      </c>
      <c r="U100" s="99">
        <v>1.5</v>
      </c>
      <c r="V100" s="7">
        <f t="shared" ref="V100:V163" si="29">ROUND(S100*4,0)</f>
        <v>548</v>
      </c>
    </row>
    <row r="101" spans="2:22" x14ac:dyDescent="0.3">
      <c r="B101" s="141"/>
      <c r="C101" s="141"/>
      <c r="M101" s="8">
        <f t="shared" si="27"/>
        <v>138</v>
      </c>
      <c r="N101" s="1">
        <v>66</v>
      </c>
      <c r="O101" s="1">
        <f t="shared" si="28"/>
        <v>138</v>
      </c>
      <c r="P101" s="1">
        <f t="shared" ref="P101:P164" si="30">O101-O100</f>
        <v>1</v>
      </c>
      <c r="R101" s="96">
        <v>66</v>
      </c>
      <c r="S101" s="90">
        <f t="shared" ref="S101:S164" si="31">S100+U101</f>
        <v>138</v>
      </c>
      <c r="T101" s="7">
        <v>138</v>
      </c>
      <c r="U101" s="99">
        <v>1</v>
      </c>
      <c r="V101" s="7">
        <f t="shared" si="29"/>
        <v>552</v>
      </c>
    </row>
    <row r="102" spans="2:22" x14ac:dyDescent="0.3">
      <c r="B102" s="141"/>
      <c r="C102" s="141"/>
      <c r="M102" s="8">
        <f t="shared" si="27"/>
        <v>139.5</v>
      </c>
      <c r="N102" s="1">
        <v>67</v>
      </c>
      <c r="O102" s="1">
        <f t="shared" si="28"/>
        <v>139.5</v>
      </c>
      <c r="P102" s="1">
        <f t="shared" si="30"/>
        <v>1.5</v>
      </c>
      <c r="R102" s="96">
        <v>67</v>
      </c>
      <c r="S102" s="90">
        <f t="shared" si="31"/>
        <v>139.5</v>
      </c>
      <c r="T102" s="7">
        <v>139.5</v>
      </c>
      <c r="U102" s="99">
        <v>1.5</v>
      </c>
      <c r="V102" s="7">
        <f t="shared" si="29"/>
        <v>558</v>
      </c>
    </row>
    <row r="103" spans="2:22" x14ac:dyDescent="0.3">
      <c r="B103" s="141"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1"/>
      <c r="M103" s="8">
        <f t="shared" si="27"/>
        <v>141</v>
      </c>
      <c r="N103" s="1">
        <v>68</v>
      </c>
      <c r="O103" s="1">
        <f t="shared" si="28"/>
        <v>141</v>
      </c>
      <c r="P103" s="1">
        <f t="shared" si="30"/>
        <v>1.5</v>
      </c>
      <c r="R103" s="96">
        <v>68</v>
      </c>
      <c r="S103" s="90">
        <f t="shared" si="31"/>
        <v>141</v>
      </c>
      <c r="T103" s="7">
        <v>141</v>
      </c>
      <c r="U103" s="99">
        <v>1.5</v>
      </c>
      <c r="V103" s="7">
        <f t="shared" si="29"/>
        <v>564</v>
      </c>
    </row>
    <row r="104" spans="2:22" x14ac:dyDescent="0.3">
      <c r="B104" s="141"/>
      <c r="C104" s="141"/>
      <c r="M104" s="8">
        <f t="shared" si="27"/>
        <v>142</v>
      </c>
      <c r="N104" s="1">
        <v>69</v>
      </c>
      <c r="O104" s="1">
        <f t="shared" si="28"/>
        <v>142</v>
      </c>
      <c r="P104" s="1">
        <f t="shared" si="30"/>
        <v>1</v>
      </c>
      <c r="R104" s="96">
        <v>69</v>
      </c>
      <c r="S104" s="90">
        <f t="shared" si="31"/>
        <v>142</v>
      </c>
      <c r="T104" s="7">
        <v>142</v>
      </c>
      <c r="U104" s="99">
        <v>1</v>
      </c>
      <c r="V104" s="7">
        <f t="shared" si="29"/>
        <v>568</v>
      </c>
    </row>
    <row r="105" spans="2:22" x14ac:dyDescent="0.3">
      <c r="B105" s="141"/>
      <c r="C105" s="141"/>
      <c r="M105" s="8">
        <f t="shared" si="27"/>
        <v>143</v>
      </c>
      <c r="N105" s="1">
        <v>70</v>
      </c>
      <c r="O105" s="1">
        <f t="shared" si="28"/>
        <v>143</v>
      </c>
      <c r="P105" s="1">
        <f t="shared" si="30"/>
        <v>1</v>
      </c>
      <c r="R105" s="96">
        <v>70</v>
      </c>
      <c r="S105" s="90">
        <f t="shared" si="31"/>
        <v>143</v>
      </c>
      <c r="T105" s="7">
        <v>143</v>
      </c>
      <c r="U105" s="99">
        <v>1</v>
      </c>
      <c r="V105" s="7">
        <f t="shared" si="29"/>
        <v>572</v>
      </c>
    </row>
    <row r="106" spans="2:22" x14ac:dyDescent="0.3">
      <c r="B106" s="141"/>
      <c r="C106" s="141"/>
      <c r="M106" s="8">
        <f t="shared" si="27"/>
        <v>144</v>
      </c>
      <c r="N106" s="1">
        <v>71</v>
      </c>
      <c r="O106" s="1">
        <f t="shared" si="28"/>
        <v>144</v>
      </c>
      <c r="P106" s="1">
        <f t="shared" si="30"/>
        <v>1</v>
      </c>
      <c r="R106" s="96">
        <v>71</v>
      </c>
      <c r="S106" s="90">
        <f t="shared" si="31"/>
        <v>144</v>
      </c>
      <c r="T106" s="7">
        <v>144</v>
      </c>
      <c r="U106" s="99">
        <v>1</v>
      </c>
      <c r="V106" s="7">
        <f t="shared" si="29"/>
        <v>576</v>
      </c>
    </row>
    <row r="107" spans="2:22" x14ac:dyDescent="0.3">
      <c r="B107" s="142"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3"/>
      <c r="M107" s="8">
        <f t="shared" si="27"/>
        <v>145</v>
      </c>
      <c r="N107" s="1">
        <v>72</v>
      </c>
      <c r="O107" s="1">
        <f t="shared" si="28"/>
        <v>145</v>
      </c>
      <c r="P107" s="1">
        <f t="shared" si="30"/>
        <v>1</v>
      </c>
      <c r="R107" s="96">
        <v>72</v>
      </c>
      <c r="S107" s="90">
        <f t="shared" si="31"/>
        <v>145</v>
      </c>
      <c r="T107" s="7">
        <v>145</v>
      </c>
      <c r="U107" s="99">
        <v>1</v>
      </c>
      <c r="V107" s="7">
        <f t="shared" si="29"/>
        <v>580</v>
      </c>
    </row>
    <row r="108" spans="2:22" x14ac:dyDescent="0.3">
      <c r="B108" s="144"/>
      <c r="C108" s="145"/>
      <c r="M108" s="8">
        <f t="shared" si="27"/>
        <v>146</v>
      </c>
      <c r="N108" s="1">
        <v>73</v>
      </c>
      <c r="O108" s="1">
        <f t="shared" si="28"/>
        <v>146</v>
      </c>
      <c r="P108" s="1">
        <f t="shared" si="30"/>
        <v>1</v>
      </c>
      <c r="R108" s="96">
        <v>73</v>
      </c>
      <c r="S108" s="90">
        <f t="shared" si="31"/>
        <v>146</v>
      </c>
      <c r="T108" s="7">
        <v>146</v>
      </c>
      <c r="U108" s="99">
        <v>1</v>
      </c>
      <c r="V108" s="7">
        <f t="shared" si="29"/>
        <v>584</v>
      </c>
    </row>
    <row r="109" spans="2:22" x14ac:dyDescent="0.3">
      <c r="B109" s="144"/>
      <c r="C109" s="145"/>
      <c r="M109" s="8">
        <f t="shared" si="27"/>
        <v>147</v>
      </c>
      <c r="N109" s="1">
        <v>74</v>
      </c>
      <c r="O109" s="1">
        <f t="shared" si="28"/>
        <v>147</v>
      </c>
      <c r="P109" s="1">
        <f t="shared" si="30"/>
        <v>1</v>
      </c>
      <c r="R109" s="96">
        <v>74</v>
      </c>
      <c r="S109" s="90">
        <f t="shared" si="31"/>
        <v>147</v>
      </c>
      <c r="T109" s="7">
        <v>147</v>
      </c>
      <c r="U109" s="99">
        <v>1</v>
      </c>
      <c r="V109" s="7">
        <f t="shared" si="29"/>
        <v>588</v>
      </c>
    </row>
    <row r="110" spans="2:22" x14ac:dyDescent="0.3">
      <c r="B110" s="146"/>
      <c r="C110" s="147"/>
      <c r="M110" s="8">
        <f t="shared" si="27"/>
        <v>148</v>
      </c>
      <c r="N110" s="1">
        <v>75</v>
      </c>
      <c r="O110" s="1">
        <f t="shared" si="28"/>
        <v>148</v>
      </c>
      <c r="P110" s="1">
        <f t="shared" si="30"/>
        <v>1</v>
      </c>
      <c r="R110" s="96">
        <v>75</v>
      </c>
      <c r="S110" s="90">
        <f t="shared" si="31"/>
        <v>148</v>
      </c>
      <c r="T110" s="7">
        <v>148</v>
      </c>
      <c r="U110" s="99">
        <v>1</v>
      </c>
      <c r="V110" s="7">
        <f t="shared" si="29"/>
        <v>592</v>
      </c>
    </row>
    <row r="111" spans="2:22" x14ac:dyDescent="0.3">
      <c r="M111" s="8">
        <f t="shared" si="27"/>
        <v>149.5</v>
      </c>
      <c r="N111" s="1">
        <v>76</v>
      </c>
      <c r="O111" s="1">
        <f t="shared" si="28"/>
        <v>149.5</v>
      </c>
      <c r="P111" s="1">
        <f t="shared" si="30"/>
        <v>1.5</v>
      </c>
      <c r="R111" s="96">
        <v>76</v>
      </c>
      <c r="S111" s="90">
        <f t="shared" si="31"/>
        <v>149.5</v>
      </c>
      <c r="T111" s="7">
        <v>149.5</v>
      </c>
      <c r="U111" s="99">
        <v>1.5</v>
      </c>
      <c r="V111" s="7">
        <f t="shared" si="29"/>
        <v>598</v>
      </c>
    </row>
    <row r="112" spans="2:22" x14ac:dyDescent="0.3">
      <c r="C112" s="9"/>
      <c r="D112" s="9"/>
      <c r="E112" s="9"/>
      <c r="F112" s="9"/>
      <c r="G112" s="9"/>
      <c r="H112" s="9"/>
      <c r="I112" s="9"/>
      <c r="J112" s="9"/>
      <c r="K112" s="9"/>
      <c r="M112" s="8">
        <f t="shared" si="27"/>
        <v>150.5</v>
      </c>
      <c r="N112" s="1">
        <v>77</v>
      </c>
      <c r="O112" s="1">
        <f t="shared" si="28"/>
        <v>150.5</v>
      </c>
      <c r="P112" s="1">
        <f t="shared" si="30"/>
        <v>1</v>
      </c>
      <c r="R112" s="96">
        <v>77</v>
      </c>
      <c r="S112" s="90">
        <f t="shared" si="31"/>
        <v>150.5</v>
      </c>
      <c r="T112" s="7">
        <v>150.5</v>
      </c>
      <c r="U112" s="99">
        <v>1</v>
      </c>
      <c r="V112" s="7">
        <f t="shared" si="29"/>
        <v>602</v>
      </c>
    </row>
    <row r="113" spans="3:22" x14ac:dyDescent="0.3">
      <c r="C113" s="9"/>
      <c r="D113" s="9"/>
      <c r="E113" s="9"/>
      <c r="F113" s="9"/>
      <c r="G113" s="9"/>
      <c r="H113" s="9"/>
      <c r="I113" s="9"/>
      <c r="J113" s="9"/>
      <c r="K113" s="9"/>
      <c r="M113" s="8">
        <f t="shared" si="27"/>
        <v>151.5</v>
      </c>
      <c r="N113" s="1">
        <v>78</v>
      </c>
      <c r="O113" s="1">
        <f t="shared" si="28"/>
        <v>151.5</v>
      </c>
      <c r="P113" s="1">
        <f t="shared" si="30"/>
        <v>1</v>
      </c>
      <c r="R113" s="96">
        <v>78</v>
      </c>
      <c r="S113" s="90">
        <f t="shared" si="31"/>
        <v>151.5</v>
      </c>
      <c r="T113" s="7">
        <v>151.5</v>
      </c>
      <c r="U113" s="99">
        <v>1</v>
      </c>
      <c r="V113" s="7">
        <f t="shared" si="29"/>
        <v>606</v>
      </c>
    </row>
    <row r="114" spans="3:22" x14ac:dyDescent="0.3">
      <c r="C114" s="9"/>
      <c r="D114" s="9"/>
      <c r="E114" s="9"/>
      <c r="F114" s="9"/>
      <c r="G114" s="9"/>
      <c r="H114" s="9"/>
      <c r="I114" s="9"/>
      <c r="J114" s="9"/>
      <c r="K114" s="9"/>
      <c r="M114" s="8">
        <f t="shared" si="27"/>
        <v>152.5</v>
      </c>
      <c r="N114" s="1">
        <v>79</v>
      </c>
      <c r="O114" s="1">
        <f t="shared" si="28"/>
        <v>152.5</v>
      </c>
      <c r="P114" s="1">
        <f t="shared" si="30"/>
        <v>1</v>
      </c>
      <c r="R114" s="96">
        <v>79</v>
      </c>
      <c r="S114" s="90">
        <f t="shared" si="31"/>
        <v>152.5</v>
      </c>
      <c r="T114" s="7">
        <v>152.5</v>
      </c>
      <c r="U114" s="99">
        <v>1</v>
      </c>
      <c r="V114" s="7">
        <f t="shared" si="29"/>
        <v>610</v>
      </c>
    </row>
    <row r="115" spans="3:22" x14ac:dyDescent="0.3">
      <c r="C115" s="9"/>
      <c r="D115" s="9"/>
      <c r="E115" s="9"/>
      <c r="F115" s="9"/>
      <c r="G115" s="9"/>
      <c r="H115" s="9"/>
      <c r="I115" s="9"/>
      <c r="J115" s="9"/>
      <c r="K115" s="9"/>
      <c r="M115" s="8">
        <f t="shared" si="27"/>
        <v>153.5</v>
      </c>
      <c r="N115" s="1">
        <v>80</v>
      </c>
      <c r="O115" s="1">
        <f t="shared" si="28"/>
        <v>153.5</v>
      </c>
      <c r="P115" s="1">
        <f t="shared" si="30"/>
        <v>1</v>
      </c>
      <c r="R115" s="96">
        <v>80</v>
      </c>
      <c r="S115" s="90">
        <f t="shared" si="31"/>
        <v>153.5</v>
      </c>
      <c r="T115" s="7">
        <v>153.5</v>
      </c>
      <c r="U115" s="99">
        <v>1</v>
      </c>
      <c r="V115" s="7">
        <f t="shared" si="29"/>
        <v>614</v>
      </c>
    </row>
    <row r="116" spans="3:22" x14ac:dyDescent="0.3">
      <c r="C116" s="9"/>
      <c r="D116" s="9"/>
      <c r="E116" s="9"/>
      <c r="F116" s="9"/>
      <c r="G116" s="9"/>
      <c r="H116" s="9"/>
      <c r="I116" s="9"/>
      <c r="J116" s="9"/>
      <c r="K116" s="9"/>
      <c r="M116" s="8">
        <f t="shared" si="27"/>
        <v>154.5</v>
      </c>
      <c r="N116" s="1">
        <v>81</v>
      </c>
      <c r="O116" s="1">
        <f t="shared" si="28"/>
        <v>154.5</v>
      </c>
      <c r="P116" s="1">
        <f t="shared" si="30"/>
        <v>1</v>
      </c>
      <c r="R116" s="96">
        <v>81</v>
      </c>
      <c r="S116" s="90">
        <f t="shared" si="31"/>
        <v>154.5</v>
      </c>
      <c r="T116" s="7">
        <v>154.5</v>
      </c>
      <c r="U116" s="99">
        <v>1</v>
      </c>
      <c r="V116" s="7">
        <f t="shared" si="29"/>
        <v>618</v>
      </c>
    </row>
    <row r="117" spans="3:22" x14ac:dyDescent="0.3">
      <c r="C117" s="9"/>
      <c r="D117" s="9"/>
      <c r="E117" s="9"/>
      <c r="F117" s="9"/>
      <c r="G117" s="9"/>
      <c r="H117" s="9"/>
      <c r="I117" s="9"/>
      <c r="J117" s="9"/>
      <c r="K117" s="9"/>
      <c r="M117" s="8">
        <f t="shared" si="27"/>
        <v>155.5</v>
      </c>
      <c r="N117" s="1">
        <v>82</v>
      </c>
      <c r="O117" s="1">
        <f t="shared" si="28"/>
        <v>155.5</v>
      </c>
      <c r="P117" s="1">
        <f t="shared" si="30"/>
        <v>1</v>
      </c>
      <c r="R117" s="96">
        <v>82</v>
      </c>
      <c r="S117" s="90">
        <f t="shared" si="31"/>
        <v>155.5</v>
      </c>
      <c r="T117" s="7">
        <v>155.5</v>
      </c>
      <c r="U117" s="99">
        <v>1</v>
      </c>
      <c r="V117" s="7">
        <f t="shared" si="29"/>
        <v>622</v>
      </c>
    </row>
    <row r="118" spans="3:22" x14ac:dyDescent="0.3">
      <c r="C118" s="9"/>
      <c r="D118" s="9"/>
      <c r="E118" s="9"/>
      <c r="F118" s="9"/>
      <c r="G118" s="9"/>
      <c r="H118" s="9"/>
      <c r="I118" s="9"/>
      <c r="J118" s="9"/>
      <c r="K118" s="9"/>
      <c r="M118" s="8">
        <f t="shared" si="27"/>
        <v>156.5</v>
      </c>
      <c r="N118" s="1">
        <v>83</v>
      </c>
      <c r="O118" s="1">
        <f t="shared" si="28"/>
        <v>156.5</v>
      </c>
      <c r="P118" s="1">
        <f t="shared" si="30"/>
        <v>1</v>
      </c>
      <c r="R118" s="96">
        <v>83</v>
      </c>
      <c r="S118" s="90">
        <f t="shared" si="31"/>
        <v>156.5</v>
      </c>
      <c r="T118" s="7">
        <v>156.5</v>
      </c>
      <c r="U118" s="99">
        <v>1</v>
      </c>
      <c r="V118" s="7">
        <f t="shared" si="29"/>
        <v>626</v>
      </c>
    </row>
    <row r="119" spans="3:22" x14ac:dyDescent="0.3">
      <c r="D119" s="2"/>
      <c r="M119" s="8">
        <f t="shared" si="27"/>
        <v>157.5</v>
      </c>
      <c r="N119" s="1">
        <v>84</v>
      </c>
      <c r="O119" s="1">
        <f t="shared" si="28"/>
        <v>157.5</v>
      </c>
      <c r="P119" s="1">
        <f t="shared" si="30"/>
        <v>1</v>
      </c>
      <c r="R119" s="96">
        <v>84</v>
      </c>
      <c r="S119" s="90">
        <f t="shared" si="31"/>
        <v>157.5</v>
      </c>
      <c r="T119" s="7">
        <v>157.5</v>
      </c>
      <c r="U119" s="99">
        <v>1</v>
      </c>
      <c r="V119" s="7">
        <f t="shared" si="29"/>
        <v>630</v>
      </c>
    </row>
    <row r="120" spans="3:22" x14ac:dyDescent="0.3">
      <c r="D120" s="2"/>
      <c r="M120" s="8">
        <f t="shared" si="27"/>
        <v>158</v>
      </c>
      <c r="N120" s="1">
        <v>85</v>
      </c>
      <c r="O120" s="1">
        <f t="shared" si="28"/>
        <v>158</v>
      </c>
      <c r="P120" s="1">
        <f t="shared" si="30"/>
        <v>0.5</v>
      </c>
      <c r="R120" s="96">
        <v>85</v>
      </c>
      <c r="S120" s="90">
        <f t="shared" si="31"/>
        <v>158</v>
      </c>
      <c r="T120" s="7">
        <v>158</v>
      </c>
      <c r="U120" s="99">
        <v>0.5</v>
      </c>
      <c r="V120" s="7">
        <f t="shared" si="29"/>
        <v>632</v>
      </c>
    </row>
    <row r="121" spans="3:22" x14ac:dyDescent="0.3">
      <c r="D121" s="2"/>
      <c r="M121" s="8">
        <f t="shared" si="27"/>
        <v>159</v>
      </c>
      <c r="N121" s="1">
        <v>86</v>
      </c>
      <c r="O121" s="1">
        <f t="shared" si="28"/>
        <v>159</v>
      </c>
      <c r="P121" s="1">
        <f t="shared" si="30"/>
        <v>1</v>
      </c>
      <c r="R121" s="96">
        <v>86</v>
      </c>
      <c r="S121" s="90">
        <f t="shared" si="31"/>
        <v>159</v>
      </c>
      <c r="T121" s="7">
        <v>159</v>
      </c>
      <c r="U121" s="99">
        <v>1</v>
      </c>
      <c r="V121" s="7">
        <f t="shared" si="29"/>
        <v>636</v>
      </c>
    </row>
    <row r="122" spans="3:22" x14ac:dyDescent="0.3">
      <c r="D122" s="2"/>
      <c r="M122" s="8">
        <f t="shared" si="27"/>
        <v>160</v>
      </c>
      <c r="N122" s="1">
        <v>87</v>
      </c>
      <c r="O122" s="1">
        <f t="shared" si="28"/>
        <v>160</v>
      </c>
      <c r="P122" s="1">
        <f t="shared" si="30"/>
        <v>1</v>
      </c>
      <c r="R122" s="96">
        <v>87</v>
      </c>
      <c r="S122" s="90">
        <f t="shared" si="31"/>
        <v>160</v>
      </c>
      <c r="T122" s="7">
        <v>160</v>
      </c>
      <c r="U122" s="99">
        <v>1</v>
      </c>
      <c r="V122" s="7">
        <f t="shared" si="29"/>
        <v>640</v>
      </c>
    </row>
    <row r="123" spans="3:22" x14ac:dyDescent="0.3">
      <c r="D123" s="2"/>
      <c r="M123" s="8">
        <f t="shared" si="27"/>
        <v>161.25</v>
      </c>
      <c r="N123" s="1">
        <v>88</v>
      </c>
      <c r="O123" s="1">
        <f t="shared" si="28"/>
        <v>161.25</v>
      </c>
      <c r="P123" s="1">
        <f t="shared" si="30"/>
        <v>1.25</v>
      </c>
      <c r="R123" s="96">
        <v>88</v>
      </c>
      <c r="S123" s="90">
        <f t="shared" si="31"/>
        <v>161.25</v>
      </c>
      <c r="T123" s="7">
        <v>161.25</v>
      </c>
      <c r="U123" s="99">
        <v>1.25</v>
      </c>
      <c r="V123" s="7">
        <f t="shared" si="29"/>
        <v>645</v>
      </c>
    </row>
    <row r="124" spans="3:22" x14ac:dyDescent="0.3">
      <c r="D124" s="2"/>
      <c r="M124" s="8">
        <f t="shared" si="27"/>
        <v>162.25</v>
      </c>
      <c r="N124" s="1">
        <v>89</v>
      </c>
      <c r="O124" s="1">
        <f t="shared" si="28"/>
        <v>162.25</v>
      </c>
      <c r="P124" s="1">
        <f t="shared" si="30"/>
        <v>1</v>
      </c>
      <c r="R124" s="96">
        <v>89</v>
      </c>
      <c r="S124" s="90">
        <f t="shared" si="31"/>
        <v>162.25</v>
      </c>
      <c r="T124" s="7">
        <v>162.25</v>
      </c>
      <c r="U124" s="99">
        <v>1</v>
      </c>
      <c r="V124" s="7">
        <f t="shared" si="29"/>
        <v>649</v>
      </c>
    </row>
    <row r="125" spans="3:22" x14ac:dyDescent="0.3">
      <c r="M125" s="8">
        <f t="shared" si="27"/>
        <v>163.25</v>
      </c>
      <c r="N125" s="1">
        <v>90</v>
      </c>
      <c r="O125" s="1">
        <f t="shared" si="28"/>
        <v>163.25</v>
      </c>
      <c r="P125" s="1">
        <f t="shared" si="30"/>
        <v>1</v>
      </c>
      <c r="R125" s="96">
        <v>90</v>
      </c>
      <c r="S125" s="90">
        <f t="shared" si="31"/>
        <v>163.25</v>
      </c>
      <c r="T125" s="7">
        <v>163.25</v>
      </c>
      <c r="U125" s="99">
        <v>1</v>
      </c>
      <c r="V125" s="7">
        <f t="shared" si="29"/>
        <v>653</v>
      </c>
    </row>
    <row r="126" spans="3:22" x14ac:dyDescent="0.3">
      <c r="M126" s="8">
        <f t="shared" si="27"/>
        <v>164.25</v>
      </c>
      <c r="N126" s="1">
        <v>91</v>
      </c>
      <c r="O126" s="1">
        <f t="shared" si="28"/>
        <v>164.25</v>
      </c>
      <c r="P126" s="1">
        <f t="shared" si="30"/>
        <v>1</v>
      </c>
      <c r="R126" s="96">
        <v>91</v>
      </c>
      <c r="S126" s="90">
        <f t="shared" si="31"/>
        <v>164.25</v>
      </c>
      <c r="T126" s="7">
        <v>164.25</v>
      </c>
      <c r="U126" s="99">
        <v>1</v>
      </c>
      <c r="V126" s="7">
        <f t="shared" si="29"/>
        <v>657</v>
      </c>
    </row>
    <row r="127" spans="3:22" x14ac:dyDescent="0.3">
      <c r="M127" s="8">
        <f t="shared" si="27"/>
        <v>165.25</v>
      </c>
      <c r="N127" s="1">
        <v>92</v>
      </c>
      <c r="O127" s="1">
        <f t="shared" si="28"/>
        <v>165.25</v>
      </c>
      <c r="P127" s="1">
        <f t="shared" si="30"/>
        <v>1</v>
      </c>
      <c r="R127" s="96">
        <v>92</v>
      </c>
      <c r="S127" s="90">
        <f t="shared" si="31"/>
        <v>165.25</v>
      </c>
      <c r="T127" s="7">
        <v>165.25</v>
      </c>
      <c r="U127" s="99">
        <v>1</v>
      </c>
      <c r="V127" s="7">
        <f t="shared" si="29"/>
        <v>661</v>
      </c>
    </row>
    <row r="128" spans="3:22" x14ac:dyDescent="0.3">
      <c r="M128" s="8">
        <f t="shared" si="27"/>
        <v>166.25</v>
      </c>
      <c r="N128" s="1">
        <v>93</v>
      </c>
      <c r="O128" s="1">
        <f t="shared" si="28"/>
        <v>166.25</v>
      </c>
      <c r="P128" s="1">
        <f t="shared" si="30"/>
        <v>1</v>
      </c>
      <c r="R128" s="96">
        <v>93</v>
      </c>
      <c r="S128" s="90">
        <f t="shared" si="31"/>
        <v>166.25</v>
      </c>
      <c r="T128" s="7">
        <v>166.25</v>
      </c>
      <c r="U128" s="99">
        <v>1</v>
      </c>
      <c r="V128" s="7">
        <f t="shared" si="29"/>
        <v>665</v>
      </c>
    </row>
    <row r="129" spans="13:22" x14ac:dyDescent="0.3">
      <c r="M129" s="8">
        <f t="shared" si="27"/>
        <v>167.25</v>
      </c>
      <c r="N129" s="1">
        <v>94</v>
      </c>
      <c r="O129" s="1">
        <f t="shared" si="28"/>
        <v>167.25</v>
      </c>
      <c r="P129" s="1">
        <f t="shared" si="30"/>
        <v>1</v>
      </c>
      <c r="R129" s="96">
        <v>94</v>
      </c>
      <c r="S129" s="90">
        <f t="shared" si="31"/>
        <v>167.25</v>
      </c>
      <c r="T129" s="7">
        <v>167.25</v>
      </c>
      <c r="U129" s="99">
        <v>1</v>
      </c>
      <c r="V129" s="7">
        <f t="shared" si="29"/>
        <v>669</v>
      </c>
    </row>
    <row r="130" spans="13:22" x14ac:dyDescent="0.3">
      <c r="M130" s="8">
        <f t="shared" si="27"/>
        <v>168</v>
      </c>
      <c r="N130" s="1">
        <v>95</v>
      </c>
      <c r="O130" s="1">
        <f t="shared" si="28"/>
        <v>168</v>
      </c>
      <c r="P130" s="1">
        <f t="shared" si="30"/>
        <v>0.75</v>
      </c>
      <c r="R130" s="96">
        <v>95</v>
      </c>
      <c r="S130" s="90">
        <f t="shared" si="31"/>
        <v>168</v>
      </c>
      <c r="T130" s="7">
        <v>168</v>
      </c>
      <c r="U130" s="99">
        <v>0.75</v>
      </c>
      <c r="V130" s="7">
        <f t="shared" si="29"/>
        <v>672</v>
      </c>
    </row>
    <row r="131" spans="13:22" x14ac:dyDescent="0.3">
      <c r="M131" s="8">
        <f t="shared" si="27"/>
        <v>168.75</v>
      </c>
      <c r="N131" s="1">
        <v>96</v>
      </c>
      <c r="O131" s="1">
        <f t="shared" si="28"/>
        <v>168.75</v>
      </c>
      <c r="P131" s="1">
        <f t="shared" si="30"/>
        <v>0.75</v>
      </c>
      <c r="R131" s="96">
        <v>96</v>
      </c>
      <c r="S131" s="90">
        <f t="shared" si="31"/>
        <v>168.75</v>
      </c>
      <c r="T131" s="7">
        <v>168.75</v>
      </c>
      <c r="U131" s="99">
        <v>0.75</v>
      </c>
      <c r="V131" s="7">
        <f t="shared" si="29"/>
        <v>675</v>
      </c>
    </row>
    <row r="132" spans="13:22" x14ac:dyDescent="0.3">
      <c r="M132" s="8">
        <f t="shared" si="27"/>
        <v>169.75</v>
      </c>
      <c r="N132" s="1">
        <v>97</v>
      </c>
      <c r="O132" s="1">
        <f t="shared" si="28"/>
        <v>169.75</v>
      </c>
      <c r="P132" s="1">
        <f t="shared" si="30"/>
        <v>1</v>
      </c>
      <c r="R132" s="96">
        <v>97</v>
      </c>
      <c r="S132" s="90">
        <f t="shared" si="31"/>
        <v>169.75</v>
      </c>
      <c r="T132" s="7">
        <v>169.75</v>
      </c>
      <c r="U132" s="99">
        <v>1</v>
      </c>
      <c r="V132" s="7">
        <f t="shared" si="29"/>
        <v>679</v>
      </c>
    </row>
    <row r="133" spans="13:22" x14ac:dyDescent="0.3">
      <c r="M133" s="8">
        <f t="shared" si="27"/>
        <v>170.25</v>
      </c>
      <c r="N133" s="1">
        <v>98</v>
      </c>
      <c r="O133" s="1">
        <f t="shared" si="28"/>
        <v>170.25</v>
      </c>
      <c r="P133" s="1">
        <f t="shared" si="30"/>
        <v>0.5</v>
      </c>
      <c r="R133" s="96">
        <v>98</v>
      </c>
      <c r="S133" s="90">
        <f t="shared" si="31"/>
        <v>170.25</v>
      </c>
      <c r="T133" s="7">
        <v>170.25</v>
      </c>
      <c r="U133" s="99">
        <v>0.5</v>
      </c>
      <c r="V133" s="7">
        <f t="shared" si="29"/>
        <v>681</v>
      </c>
    </row>
    <row r="134" spans="13:22" x14ac:dyDescent="0.3">
      <c r="M134" s="8">
        <f t="shared" si="27"/>
        <v>171.25</v>
      </c>
      <c r="N134" s="1">
        <v>99</v>
      </c>
      <c r="O134" s="1">
        <f t="shared" si="28"/>
        <v>171.25</v>
      </c>
      <c r="P134" s="1">
        <f t="shared" si="30"/>
        <v>1</v>
      </c>
      <c r="R134" s="96">
        <v>99</v>
      </c>
      <c r="S134" s="90">
        <f t="shared" si="31"/>
        <v>171.25</v>
      </c>
      <c r="T134" s="7">
        <v>171.25</v>
      </c>
      <c r="U134" s="99">
        <v>1</v>
      </c>
      <c r="V134" s="7">
        <f t="shared" si="29"/>
        <v>685</v>
      </c>
    </row>
    <row r="135" spans="13:22" x14ac:dyDescent="0.3">
      <c r="M135" s="8">
        <f t="shared" si="27"/>
        <v>172</v>
      </c>
      <c r="N135" s="1">
        <v>100</v>
      </c>
      <c r="O135" s="1">
        <f t="shared" si="28"/>
        <v>172</v>
      </c>
      <c r="P135" s="1">
        <f t="shared" si="30"/>
        <v>0.75</v>
      </c>
      <c r="R135" s="96">
        <v>100</v>
      </c>
      <c r="S135" s="90">
        <f t="shared" si="31"/>
        <v>172</v>
      </c>
      <c r="T135" s="7">
        <v>172</v>
      </c>
      <c r="U135" s="99">
        <v>0.75</v>
      </c>
      <c r="V135" s="7">
        <f t="shared" si="29"/>
        <v>688</v>
      </c>
    </row>
    <row r="136" spans="13:22" x14ac:dyDescent="0.3">
      <c r="M136" s="8">
        <f t="shared" si="27"/>
        <v>172.75</v>
      </c>
      <c r="N136" s="1">
        <v>101</v>
      </c>
      <c r="O136" s="1">
        <f t="shared" si="28"/>
        <v>172.75</v>
      </c>
      <c r="P136" s="1">
        <f t="shared" si="30"/>
        <v>0.75</v>
      </c>
      <c r="R136" s="96">
        <v>101</v>
      </c>
      <c r="S136" s="90">
        <f t="shared" si="31"/>
        <v>172.75</v>
      </c>
      <c r="T136" s="7">
        <v>172.75</v>
      </c>
      <c r="U136" s="99">
        <v>0.75</v>
      </c>
      <c r="V136" s="7">
        <f t="shared" si="29"/>
        <v>691</v>
      </c>
    </row>
    <row r="137" spans="13:22" x14ac:dyDescent="0.3">
      <c r="M137" s="8">
        <f t="shared" si="27"/>
        <v>173.75</v>
      </c>
      <c r="N137" s="1">
        <v>102</v>
      </c>
      <c r="O137" s="1">
        <f t="shared" si="28"/>
        <v>173.75</v>
      </c>
      <c r="P137" s="1">
        <f t="shared" si="30"/>
        <v>1</v>
      </c>
      <c r="R137" s="96">
        <v>102</v>
      </c>
      <c r="S137" s="90">
        <f t="shared" si="31"/>
        <v>173.75</v>
      </c>
      <c r="T137" s="7">
        <v>173.75</v>
      </c>
      <c r="U137" s="99">
        <v>1</v>
      </c>
      <c r="V137" s="7">
        <f t="shared" si="29"/>
        <v>695</v>
      </c>
    </row>
    <row r="138" spans="13:22" x14ac:dyDescent="0.3">
      <c r="M138" s="8">
        <f t="shared" si="27"/>
        <v>174.75</v>
      </c>
      <c r="N138" s="1">
        <v>103</v>
      </c>
      <c r="O138" s="1">
        <f t="shared" si="28"/>
        <v>174.75</v>
      </c>
      <c r="P138" s="1">
        <f t="shared" si="30"/>
        <v>1</v>
      </c>
      <c r="R138" s="96">
        <v>103</v>
      </c>
      <c r="S138" s="90">
        <f t="shared" si="31"/>
        <v>174.75</v>
      </c>
      <c r="T138" s="7">
        <v>174.75</v>
      </c>
      <c r="U138" s="99">
        <v>1</v>
      </c>
      <c r="V138" s="7">
        <f t="shared" si="29"/>
        <v>699</v>
      </c>
    </row>
    <row r="139" spans="13:22" x14ac:dyDescent="0.3">
      <c r="M139" s="8">
        <f t="shared" si="27"/>
        <v>175.25</v>
      </c>
      <c r="N139" s="1">
        <v>104</v>
      </c>
      <c r="O139" s="1">
        <f t="shared" si="28"/>
        <v>175.25</v>
      </c>
      <c r="P139" s="1">
        <f t="shared" si="30"/>
        <v>0.5</v>
      </c>
      <c r="R139" s="96">
        <v>104</v>
      </c>
      <c r="S139" s="90">
        <f t="shared" si="31"/>
        <v>175.25</v>
      </c>
      <c r="T139" s="7">
        <v>175.25</v>
      </c>
      <c r="U139" s="99">
        <v>0.5</v>
      </c>
      <c r="V139" s="7">
        <f t="shared" si="29"/>
        <v>701</v>
      </c>
    </row>
    <row r="140" spans="13:22" x14ac:dyDescent="0.3">
      <c r="M140" s="8">
        <f t="shared" si="27"/>
        <v>176</v>
      </c>
      <c r="N140" s="1">
        <v>105</v>
      </c>
      <c r="O140" s="1">
        <f t="shared" si="28"/>
        <v>176</v>
      </c>
      <c r="P140" s="1">
        <f t="shared" si="30"/>
        <v>0.75</v>
      </c>
      <c r="R140" s="96">
        <v>105</v>
      </c>
      <c r="S140" s="90">
        <f t="shared" si="31"/>
        <v>176</v>
      </c>
      <c r="T140" s="7">
        <v>176</v>
      </c>
      <c r="U140" s="99">
        <v>0.75</v>
      </c>
      <c r="V140" s="7">
        <f t="shared" si="29"/>
        <v>704</v>
      </c>
    </row>
    <row r="141" spans="13:22" x14ac:dyDescent="0.3">
      <c r="M141" s="8">
        <f t="shared" si="27"/>
        <v>176.75</v>
      </c>
      <c r="N141" s="1">
        <v>106</v>
      </c>
      <c r="O141" s="1">
        <f t="shared" si="28"/>
        <v>176.75</v>
      </c>
      <c r="P141" s="1">
        <f t="shared" si="30"/>
        <v>0.75</v>
      </c>
      <c r="R141" s="96">
        <v>106</v>
      </c>
      <c r="S141" s="90">
        <f t="shared" si="31"/>
        <v>176.75</v>
      </c>
      <c r="T141" s="7">
        <v>176.75</v>
      </c>
      <c r="U141" s="99">
        <v>0.75</v>
      </c>
      <c r="V141" s="7">
        <f t="shared" si="29"/>
        <v>707</v>
      </c>
    </row>
    <row r="142" spans="13:22" x14ac:dyDescent="0.3">
      <c r="M142" s="8">
        <f t="shared" si="27"/>
        <v>177.75</v>
      </c>
      <c r="N142" s="1">
        <v>107</v>
      </c>
      <c r="O142" s="1">
        <f t="shared" si="28"/>
        <v>177.75</v>
      </c>
      <c r="P142" s="1">
        <f t="shared" si="30"/>
        <v>1</v>
      </c>
      <c r="R142" s="96">
        <v>107</v>
      </c>
      <c r="S142" s="90">
        <f t="shared" si="31"/>
        <v>177.75</v>
      </c>
      <c r="T142" s="7">
        <v>177.75</v>
      </c>
      <c r="U142" s="99">
        <v>1</v>
      </c>
      <c r="V142" s="7">
        <f t="shared" si="29"/>
        <v>711</v>
      </c>
    </row>
    <row r="143" spans="13:22" x14ac:dyDescent="0.3">
      <c r="M143" s="8">
        <f t="shared" si="27"/>
        <v>178.25</v>
      </c>
      <c r="N143" s="1">
        <v>108</v>
      </c>
      <c r="O143" s="1">
        <f t="shared" si="28"/>
        <v>178.25</v>
      </c>
      <c r="P143" s="1">
        <f t="shared" si="30"/>
        <v>0.5</v>
      </c>
      <c r="R143" s="96">
        <v>108</v>
      </c>
      <c r="S143" s="90">
        <f t="shared" si="31"/>
        <v>178.25</v>
      </c>
      <c r="T143" s="7">
        <v>178.25</v>
      </c>
      <c r="U143" s="99">
        <v>0.5</v>
      </c>
      <c r="V143" s="7">
        <f t="shared" si="29"/>
        <v>713</v>
      </c>
    </row>
    <row r="144" spans="13:22" x14ac:dyDescent="0.3">
      <c r="M144" s="8">
        <f t="shared" si="27"/>
        <v>179</v>
      </c>
      <c r="N144" s="1">
        <v>109</v>
      </c>
      <c r="O144" s="1">
        <f t="shared" si="28"/>
        <v>179</v>
      </c>
      <c r="P144" s="1">
        <f t="shared" si="30"/>
        <v>0.75</v>
      </c>
      <c r="R144" s="96">
        <v>109</v>
      </c>
      <c r="S144" s="90">
        <f t="shared" si="31"/>
        <v>179</v>
      </c>
      <c r="T144" s="7">
        <v>179</v>
      </c>
      <c r="U144" s="99">
        <v>0.75</v>
      </c>
      <c r="V144" s="7">
        <f t="shared" si="29"/>
        <v>716</v>
      </c>
    </row>
    <row r="145" spans="13:22" x14ac:dyDescent="0.3">
      <c r="M145" s="8">
        <f t="shared" si="27"/>
        <v>179.75</v>
      </c>
      <c r="N145" s="1">
        <v>110</v>
      </c>
      <c r="O145" s="1">
        <f t="shared" si="28"/>
        <v>179.75</v>
      </c>
      <c r="P145" s="1">
        <f t="shared" si="30"/>
        <v>0.75</v>
      </c>
      <c r="R145" s="96">
        <v>110</v>
      </c>
      <c r="S145" s="90">
        <f t="shared" si="31"/>
        <v>179.75</v>
      </c>
      <c r="T145" s="7">
        <v>179.75</v>
      </c>
      <c r="U145" s="99">
        <v>0.75</v>
      </c>
      <c r="V145" s="7">
        <f t="shared" si="29"/>
        <v>719</v>
      </c>
    </row>
    <row r="146" spans="13:22" x14ac:dyDescent="0.3">
      <c r="M146" s="8">
        <f t="shared" si="27"/>
        <v>180.75</v>
      </c>
      <c r="N146" s="1">
        <v>111</v>
      </c>
      <c r="O146" s="1">
        <f t="shared" si="28"/>
        <v>180.75</v>
      </c>
      <c r="P146" s="1">
        <f t="shared" si="30"/>
        <v>1</v>
      </c>
      <c r="R146" s="96">
        <v>111</v>
      </c>
      <c r="S146" s="90">
        <f t="shared" si="31"/>
        <v>180.75</v>
      </c>
      <c r="T146" s="7">
        <v>180.75</v>
      </c>
      <c r="U146" s="99">
        <v>1</v>
      </c>
      <c r="V146" s="7">
        <f t="shared" si="29"/>
        <v>723</v>
      </c>
    </row>
    <row r="147" spans="13:22" x14ac:dyDescent="0.3">
      <c r="M147" s="8">
        <f t="shared" si="27"/>
        <v>181.25</v>
      </c>
      <c r="N147" s="1">
        <v>112</v>
      </c>
      <c r="O147" s="1">
        <f t="shared" si="28"/>
        <v>181.25</v>
      </c>
      <c r="P147" s="1">
        <f t="shared" si="30"/>
        <v>0.5</v>
      </c>
      <c r="R147" s="96">
        <v>112</v>
      </c>
      <c r="S147" s="90">
        <f t="shared" si="31"/>
        <v>181.25</v>
      </c>
      <c r="T147" s="7">
        <v>181.25</v>
      </c>
      <c r="U147" s="99">
        <v>0.5</v>
      </c>
      <c r="V147" s="7">
        <f t="shared" si="29"/>
        <v>725</v>
      </c>
    </row>
    <row r="148" spans="13:22" x14ac:dyDescent="0.3">
      <c r="M148" s="8">
        <f t="shared" si="27"/>
        <v>182</v>
      </c>
      <c r="N148" s="1">
        <v>113</v>
      </c>
      <c r="O148" s="1">
        <f t="shared" si="28"/>
        <v>182</v>
      </c>
      <c r="P148" s="1">
        <f t="shared" si="30"/>
        <v>0.75</v>
      </c>
      <c r="R148" s="96">
        <v>113</v>
      </c>
      <c r="S148" s="90">
        <f t="shared" si="31"/>
        <v>182</v>
      </c>
      <c r="T148" s="7">
        <v>182</v>
      </c>
      <c r="U148" s="99">
        <v>0.75</v>
      </c>
      <c r="V148" s="7">
        <f t="shared" si="29"/>
        <v>728</v>
      </c>
    </row>
    <row r="149" spans="13:22" x14ac:dyDescent="0.3">
      <c r="M149" s="8">
        <f t="shared" si="27"/>
        <v>182.75</v>
      </c>
      <c r="N149" s="1">
        <v>114</v>
      </c>
      <c r="O149" s="1">
        <f t="shared" si="28"/>
        <v>182.75</v>
      </c>
      <c r="P149" s="1">
        <f t="shared" si="30"/>
        <v>0.75</v>
      </c>
      <c r="R149" s="96">
        <v>114</v>
      </c>
      <c r="S149" s="90">
        <f t="shared" si="31"/>
        <v>182.75</v>
      </c>
      <c r="T149" s="7">
        <v>182.75</v>
      </c>
      <c r="U149" s="99">
        <v>0.75</v>
      </c>
      <c r="V149" s="7">
        <f t="shared" si="29"/>
        <v>731</v>
      </c>
    </row>
    <row r="150" spans="13:22" x14ac:dyDescent="0.3">
      <c r="M150" s="8">
        <f t="shared" si="27"/>
        <v>183.75</v>
      </c>
      <c r="N150" s="1">
        <v>115</v>
      </c>
      <c r="O150" s="1">
        <f t="shared" si="28"/>
        <v>183.75</v>
      </c>
      <c r="P150" s="1">
        <f t="shared" si="30"/>
        <v>1</v>
      </c>
      <c r="R150" s="96">
        <v>115</v>
      </c>
      <c r="S150" s="90">
        <f t="shared" si="31"/>
        <v>183.75</v>
      </c>
      <c r="T150" s="7">
        <v>183.75</v>
      </c>
      <c r="U150" s="99">
        <v>1</v>
      </c>
      <c r="V150" s="7">
        <f t="shared" si="29"/>
        <v>735</v>
      </c>
    </row>
    <row r="151" spans="13:22" x14ac:dyDescent="0.3">
      <c r="M151" s="8">
        <f t="shared" si="27"/>
        <v>184.25</v>
      </c>
      <c r="N151" s="1">
        <v>116</v>
      </c>
      <c r="O151" s="1">
        <f t="shared" si="28"/>
        <v>184.25</v>
      </c>
      <c r="P151" s="1">
        <f t="shared" si="30"/>
        <v>0.5</v>
      </c>
      <c r="R151" s="96">
        <v>116</v>
      </c>
      <c r="S151" s="90">
        <f t="shared" si="31"/>
        <v>184.25</v>
      </c>
      <c r="T151" s="7">
        <v>184.25</v>
      </c>
      <c r="U151" s="99">
        <v>0.5</v>
      </c>
      <c r="V151" s="7">
        <f t="shared" si="29"/>
        <v>737</v>
      </c>
    </row>
    <row r="152" spans="13:22" x14ac:dyDescent="0.3">
      <c r="M152" s="8">
        <f t="shared" si="27"/>
        <v>185.25</v>
      </c>
      <c r="N152" s="1">
        <v>117</v>
      </c>
      <c r="O152" s="1">
        <f t="shared" si="28"/>
        <v>185.25</v>
      </c>
      <c r="P152" s="1">
        <f t="shared" si="30"/>
        <v>1</v>
      </c>
      <c r="R152" s="96">
        <v>117</v>
      </c>
      <c r="S152" s="90">
        <f t="shared" si="31"/>
        <v>185.25</v>
      </c>
      <c r="T152" s="7">
        <v>185.25</v>
      </c>
      <c r="U152" s="99">
        <v>1</v>
      </c>
      <c r="V152" s="7">
        <f t="shared" si="29"/>
        <v>741</v>
      </c>
    </row>
    <row r="153" spans="13:22" x14ac:dyDescent="0.3">
      <c r="M153" s="8">
        <f t="shared" si="27"/>
        <v>186</v>
      </c>
      <c r="N153" s="1">
        <v>118</v>
      </c>
      <c r="O153" s="1">
        <f t="shared" si="28"/>
        <v>186</v>
      </c>
      <c r="P153" s="1">
        <f t="shared" si="30"/>
        <v>0.75</v>
      </c>
      <c r="R153" s="96">
        <v>118</v>
      </c>
      <c r="S153" s="90">
        <f t="shared" si="31"/>
        <v>186</v>
      </c>
      <c r="T153" s="7">
        <v>186</v>
      </c>
      <c r="U153" s="99">
        <v>0.75</v>
      </c>
      <c r="V153" s="7">
        <f t="shared" si="29"/>
        <v>744</v>
      </c>
    </row>
    <row r="154" spans="13:22" x14ac:dyDescent="0.3">
      <c r="M154" s="8">
        <f t="shared" si="27"/>
        <v>186.75</v>
      </c>
      <c r="N154" s="1">
        <v>119</v>
      </c>
      <c r="O154" s="1">
        <f t="shared" si="28"/>
        <v>186.75</v>
      </c>
      <c r="P154" s="1">
        <f t="shared" si="30"/>
        <v>0.75</v>
      </c>
      <c r="R154" s="96">
        <v>119</v>
      </c>
      <c r="S154" s="90">
        <f t="shared" si="31"/>
        <v>186.75</v>
      </c>
      <c r="T154" s="7">
        <v>186.75</v>
      </c>
      <c r="U154" s="99">
        <v>0.75</v>
      </c>
      <c r="V154" s="7">
        <f t="shared" si="29"/>
        <v>747</v>
      </c>
    </row>
    <row r="155" spans="13:22" x14ac:dyDescent="0.3">
      <c r="M155" s="8">
        <f t="shared" si="27"/>
        <v>187.25</v>
      </c>
      <c r="N155" s="1">
        <v>120</v>
      </c>
      <c r="O155" s="1">
        <f t="shared" si="28"/>
        <v>187.25</v>
      </c>
      <c r="P155" s="1">
        <f t="shared" si="30"/>
        <v>0.5</v>
      </c>
      <c r="R155" s="96">
        <v>120</v>
      </c>
      <c r="S155" s="90">
        <f t="shared" si="31"/>
        <v>187.25</v>
      </c>
      <c r="T155" s="7">
        <v>187.25</v>
      </c>
      <c r="U155" s="99">
        <v>0.5</v>
      </c>
      <c r="V155" s="7">
        <f t="shared" si="29"/>
        <v>749</v>
      </c>
    </row>
    <row r="156" spans="13:22" x14ac:dyDescent="0.3">
      <c r="M156" s="8">
        <f t="shared" si="27"/>
        <v>188</v>
      </c>
      <c r="N156" s="1">
        <v>121</v>
      </c>
      <c r="O156" s="1">
        <f t="shared" si="28"/>
        <v>188</v>
      </c>
      <c r="P156" s="1">
        <f t="shared" si="30"/>
        <v>0.75</v>
      </c>
      <c r="R156" s="96">
        <v>121</v>
      </c>
      <c r="S156" s="90">
        <f t="shared" si="31"/>
        <v>188</v>
      </c>
      <c r="T156" s="7">
        <v>188</v>
      </c>
      <c r="U156" s="99">
        <v>0.75</v>
      </c>
      <c r="V156" s="7">
        <f t="shared" si="29"/>
        <v>752</v>
      </c>
    </row>
    <row r="157" spans="13:22" x14ac:dyDescent="0.3">
      <c r="M157" s="8">
        <f t="shared" si="27"/>
        <v>188.75</v>
      </c>
      <c r="N157" s="1">
        <v>122</v>
      </c>
      <c r="O157" s="1">
        <f t="shared" si="28"/>
        <v>188.75</v>
      </c>
      <c r="P157" s="1">
        <f t="shared" si="30"/>
        <v>0.75</v>
      </c>
      <c r="R157" s="96">
        <v>122</v>
      </c>
      <c r="S157" s="90">
        <f t="shared" si="31"/>
        <v>188.75</v>
      </c>
      <c r="T157" s="7">
        <v>188.75</v>
      </c>
      <c r="U157" s="99">
        <v>0.75</v>
      </c>
      <c r="V157" s="7">
        <f t="shared" si="29"/>
        <v>755</v>
      </c>
    </row>
    <row r="158" spans="13:22" x14ac:dyDescent="0.3">
      <c r="M158" s="8">
        <f t="shared" si="27"/>
        <v>189.25</v>
      </c>
      <c r="N158" s="1">
        <v>123</v>
      </c>
      <c r="O158" s="1">
        <f t="shared" si="28"/>
        <v>189.25</v>
      </c>
      <c r="P158" s="1">
        <f t="shared" si="30"/>
        <v>0.5</v>
      </c>
      <c r="R158" s="96">
        <v>123</v>
      </c>
      <c r="S158" s="90">
        <f t="shared" si="31"/>
        <v>189.25</v>
      </c>
      <c r="T158" s="7">
        <v>189.25</v>
      </c>
      <c r="U158" s="99">
        <v>0.5</v>
      </c>
      <c r="V158" s="7">
        <f t="shared" si="29"/>
        <v>757</v>
      </c>
    </row>
    <row r="159" spans="13:22" x14ac:dyDescent="0.3">
      <c r="M159" s="8">
        <f t="shared" si="27"/>
        <v>190</v>
      </c>
      <c r="N159" s="1">
        <v>124</v>
      </c>
      <c r="O159" s="1">
        <f t="shared" si="28"/>
        <v>190</v>
      </c>
      <c r="P159" s="1">
        <f t="shared" si="30"/>
        <v>0.75</v>
      </c>
      <c r="R159" s="96">
        <v>124</v>
      </c>
      <c r="S159" s="90">
        <f t="shared" si="31"/>
        <v>190</v>
      </c>
      <c r="T159" s="7">
        <v>190</v>
      </c>
      <c r="U159" s="99">
        <v>0.75</v>
      </c>
      <c r="V159" s="7">
        <f t="shared" si="29"/>
        <v>760</v>
      </c>
    </row>
    <row r="160" spans="13:22" x14ac:dyDescent="0.3">
      <c r="M160" s="8">
        <f t="shared" si="27"/>
        <v>190.75</v>
      </c>
      <c r="N160" s="1">
        <v>125</v>
      </c>
      <c r="O160" s="1">
        <f t="shared" si="28"/>
        <v>190.75</v>
      </c>
      <c r="P160" s="1">
        <f t="shared" si="30"/>
        <v>0.75</v>
      </c>
      <c r="R160" s="96">
        <v>125</v>
      </c>
      <c r="S160" s="90">
        <f t="shared" si="31"/>
        <v>190.75</v>
      </c>
      <c r="T160" s="7">
        <v>190.75</v>
      </c>
      <c r="U160" s="99">
        <v>0.75</v>
      </c>
      <c r="V160" s="7">
        <f t="shared" si="29"/>
        <v>763</v>
      </c>
    </row>
    <row r="161" spans="13:22" x14ac:dyDescent="0.3">
      <c r="M161" s="8">
        <f t="shared" si="27"/>
        <v>191.25</v>
      </c>
      <c r="N161" s="1">
        <v>126</v>
      </c>
      <c r="O161" s="1">
        <f t="shared" si="28"/>
        <v>191.25</v>
      </c>
      <c r="P161" s="1">
        <f t="shared" si="30"/>
        <v>0.5</v>
      </c>
      <c r="R161" s="96">
        <v>126</v>
      </c>
      <c r="S161" s="90">
        <f t="shared" si="31"/>
        <v>191.25</v>
      </c>
      <c r="T161" s="7">
        <v>191.25</v>
      </c>
      <c r="U161" s="99">
        <v>0.5</v>
      </c>
      <c r="V161" s="7">
        <f t="shared" si="29"/>
        <v>765</v>
      </c>
    </row>
    <row r="162" spans="13:22" x14ac:dyDescent="0.3">
      <c r="M162" s="8">
        <f t="shared" si="27"/>
        <v>192</v>
      </c>
      <c r="N162" s="1">
        <v>127</v>
      </c>
      <c r="O162" s="1">
        <f t="shared" si="28"/>
        <v>192</v>
      </c>
      <c r="P162" s="1">
        <f t="shared" si="30"/>
        <v>0.75</v>
      </c>
      <c r="R162" s="96">
        <v>127</v>
      </c>
      <c r="S162" s="90">
        <f t="shared" si="31"/>
        <v>192</v>
      </c>
      <c r="T162" s="7">
        <v>192</v>
      </c>
      <c r="U162" s="99">
        <v>0.75</v>
      </c>
      <c r="V162" s="7">
        <f t="shared" si="29"/>
        <v>768</v>
      </c>
    </row>
    <row r="163" spans="13:22" x14ac:dyDescent="0.3">
      <c r="M163" s="8">
        <f t="shared" si="27"/>
        <v>192.75</v>
      </c>
      <c r="N163" s="1">
        <v>128</v>
      </c>
      <c r="O163" s="1">
        <f t="shared" si="28"/>
        <v>192.75</v>
      </c>
      <c r="P163" s="1">
        <f t="shared" si="30"/>
        <v>0.75</v>
      </c>
      <c r="R163" s="96">
        <v>128</v>
      </c>
      <c r="S163" s="90">
        <f t="shared" si="31"/>
        <v>192.75</v>
      </c>
      <c r="T163" s="7">
        <v>192.75</v>
      </c>
      <c r="U163" s="99">
        <v>0.75</v>
      </c>
      <c r="V163" s="7">
        <f t="shared" si="29"/>
        <v>771</v>
      </c>
    </row>
    <row r="164" spans="13:22" x14ac:dyDescent="0.3">
      <c r="M164" s="8">
        <f t="shared" ref="M164:M227" si="32">O164</f>
        <v>193.25</v>
      </c>
      <c r="N164" s="1">
        <v>129</v>
      </c>
      <c r="O164" s="1">
        <f t="shared" ref="O164:O227" si="33">VALUE(MID($T$2,FIND("*",SUBSTITUTE($T$2," ","*",N164),1)+1,FIND("*",SUBSTITUTE($T$2," ","*",N165),1)-FIND("*",SUBSTITUTE($T$2," ","*",N164),1)-1))/4</f>
        <v>193.25</v>
      </c>
      <c r="P164" s="1">
        <f t="shared" si="30"/>
        <v>0.5</v>
      </c>
      <c r="R164" s="96">
        <v>129</v>
      </c>
      <c r="S164" s="90">
        <f t="shared" si="31"/>
        <v>193.25</v>
      </c>
      <c r="T164" s="7">
        <v>193.25</v>
      </c>
      <c r="U164" s="99">
        <v>0.5</v>
      </c>
      <c r="V164" s="7">
        <f t="shared" ref="V164:V227" si="34">ROUND(S164*4,0)</f>
        <v>773</v>
      </c>
    </row>
    <row r="165" spans="13:22" x14ac:dyDescent="0.3">
      <c r="M165" s="8">
        <f t="shared" si="32"/>
        <v>194</v>
      </c>
      <c r="N165" s="1">
        <v>130</v>
      </c>
      <c r="O165" s="1">
        <f t="shared" si="33"/>
        <v>194</v>
      </c>
      <c r="P165" s="1">
        <f t="shared" ref="P165:P228" si="35">O165-O164</f>
        <v>0.75</v>
      </c>
      <c r="R165" s="96">
        <v>130</v>
      </c>
      <c r="S165" s="90">
        <f t="shared" ref="S165:S228" si="36">S164+U165</f>
        <v>194</v>
      </c>
      <c r="T165" s="7">
        <v>194</v>
      </c>
      <c r="U165" s="99">
        <v>0.75</v>
      </c>
      <c r="V165" s="7">
        <f t="shared" si="34"/>
        <v>776</v>
      </c>
    </row>
    <row r="166" spans="13:22" x14ac:dyDescent="0.3">
      <c r="M166" s="8">
        <f t="shared" si="32"/>
        <v>194.75</v>
      </c>
      <c r="N166" s="1">
        <v>131</v>
      </c>
      <c r="O166" s="1">
        <f t="shared" si="33"/>
        <v>194.75</v>
      </c>
      <c r="P166" s="1">
        <f t="shared" si="35"/>
        <v>0.75</v>
      </c>
      <c r="R166" s="96">
        <v>131</v>
      </c>
      <c r="S166" s="90">
        <f t="shared" si="36"/>
        <v>194.75</v>
      </c>
      <c r="T166" s="7">
        <v>194.75</v>
      </c>
      <c r="U166" s="99">
        <v>0.75</v>
      </c>
      <c r="V166" s="7">
        <f t="shared" si="34"/>
        <v>779</v>
      </c>
    </row>
    <row r="167" spans="13:22" x14ac:dyDescent="0.3">
      <c r="M167" s="8">
        <f t="shared" si="32"/>
        <v>195.25</v>
      </c>
      <c r="N167" s="1">
        <v>132</v>
      </c>
      <c r="O167" s="1">
        <f t="shared" si="33"/>
        <v>195.25</v>
      </c>
      <c r="P167" s="1">
        <f t="shared" si="35"/>
        <v>0.5</v>
      </c>
      <c r="R167" s="96">
        <v>132</v>
      </c>
      <c r="S167" s="90">
        <f t="shared" si="36"/>
        <v>195.25</v>
      </c>
      <c r="T167" s="7">
        <v>195.25</v>
      </c>
      <c r="U167" s="99">
        <v>0.5</v>
      </c>
      <c r="V167" s="7">
        <f t="shared" si="34"/>
        <v>781</v>
      </c>
    </row>
    <row r="168" spans="13:22" x14ac:dyDescent="0.3">
      <c r="M168" s="8">
        <f t="shared" si="32"/>
        <v>196</v>
      </c>
      <c r="N168" s="1">
        <v>133</v>
      </c>
      <c r="O168" s="1">
        <f t="shared" si="33"/>
        <v>196</v>
      </c>
      <c r="P168" s="1">
        <f t="shared" si="35"/>
        <v>0.75</v>
      </c>
      <c r="R168" s="96">
        <v>133</v>
      </c>
      <c r="S168" s="90">
        <f t="shared" si="36"/>
        <v>196</v>
      </c>
      <c r="T168" s="7">
        <v>196</v>
      </c>
      <c r="U168" s="99">
        <v>0.75</v>
      </c>
      <c r="V168" s="7">
        <f t="shared" si="34"/>
        <v>784</v>
      </c>
    </row>
    <row r="169" spans="13:22" x14ac:dyDescent="0.3">
      <c r="M169" s="8">
        <f t="shared" si="32"/>
        <v>196.75</v>
      </c>
      <c r="N169" s="1">
        <v>134</v>
      </c>
      <c r="O169" s="1">
        <f t="shared" si="33"/>
        <v>196.75</v>
      </c>
      <c r="P169" s="1">
        <f t="shared" si="35"/>
        <v>0.75</v>
      </c>
      <c r="R169" s="96">
        <v>134</v>
      </c>
      <c r="S169" s="90">
        <f t="shared" si="36"/>
        <v>196.75</v>
      </c>
      <c r="T169" s="7">
        <v>196.75</v>
      </c>
      <c r="U169" s="99">
        <v>0.75</v>
      </c>
      <c r="V169" s="7">
        <f t="shared" si="34"/>
        <v>787</v>
      </c>
    </row>
    <row r="170" spans="13:22" x14ac:dyDescent="0.3">
      <c r="M170" s="8">
        <f t="shared" si="32"/>
        <v>197.25</v>
      </c>
      <c r="N170" s="1">
        <v>135</v>
      </c>
      <c r="O170" s="1">
        <f t="shared" si="33"/>
        <v>197.25</v>
      </c>
      <c r="P170" s="1">
        <f t="shared" si="35"/>
        <v>0.5</v>
      </c>
      <c r="R170" s="96">
        <v>135</v>
      </c>
      <c r="S170" s="90">
        <f t="shared" si="36"/>
        <v>197.25</v>
      </c>
      <c r="T170" s="7">
        <v>197.25</v>
      </c>
      <c r="U170" s="99">
        <v>0.5</v>
      </c>
      <c r="V170" s="7">
        <f t="shared" si="34"/>
        <v>789</v>
      </c>
    </row>
    <row r="171" spans="13:22" x14ac:dyDescent="0.3">
      <c r="M171" s="8">
        <f t="shared" si="32"/>
        <v>198</v>
      </c>
      <c r="N171" s="1">
        <v>136</v>
      </c>
      <c r="O171" s="1">
        <f t="shared" si="33"/>
        <v>198</v>
      </c>
      <c r="P171" s="1">
        <f t="shared" si="35"/>
        <v>0.75</v>
      </c>
      <c r="R171" s="96">
        <v>136</v>
      </c>
      <c r="S171" s="90">
        <f t="shared" si="36"/>
        <v>198</v>
      </c>
      <c r="T171" s="7">
        <v>198</v>
      </c>
      <c r="U171" s="99">
        <v>0.75</v>
      </c>
      <c r="V171" s="7">
        <f t="shared" si="34"/>
        <v>792</v>
      </c>
    </row>
    <row r="172" spans="13:22" x14ac:dyDescent="0.3">
      <c r="M172" s="8">
        <f t="shared" si="32"/>
        <v>198.75</v>
      </c>
      <c r="N172" s="1">
        <v>137</v>
      </c>
      <c r="O172" s="1">
        <f t="shared" si="33"/>
        <v>198.75</v>
      </c>
      <c r="P172" s="1">
        <f t="shared" si="35"/>
        <v>0.75</v>
      </c>
      <c r="R172" s="96">
        <v>137</v>
      </c>
      <c r="S172" s="90">
        <f t="shared" si="36"/>
        <v>198.75</v>
      </c>
      <c r="T172" s="7">
        <v>198.75</v>
      </c>
      <c r="U172" s="99">
        <v>0.75</v>
      </c>
      <c r="V172" s="7">
        <f t="shared" si="34"/>
        <v>795</v>
      </c>
    </row>
    <row r="173" spans="13:22" x14ac:dyDescent="0.3">
      <c r="M173" s="8">
        <f t="shared" si="32"/>
        <v>199.25</v>
      </c>
      <c r="N173" s="1">
        <v>138</v>
      </c>
      <c r="O173" s="1">
        <f t="shared" si="33"/>
        <v>199.25</v>
      </c>
      <c r="P173" s="1">
        <f t="shared" si="35"/>
        <v>0.5</v>
      </c>
      <c r="R173" s="96">
        <v>138</v>
      </c>
      <c r="S173" s="90">
        <f t="shared" si="36"/>
        <v>199.25</v>
      </c>
      <c r="T173" s="7">
        <v>199.25</v>
      </c>
      <c r="U173" s="99">
        <v>0.5</v>
      </c>
      <c r="V173" s="7">
        <f t="shared" si="34"/>
        <v>797</v>
      </c>
    </row>
    <row r="174" spans="13:22" x14ac:dyDescent="0.3">
      <c r="M174" s="8">
        <f t="shared" si="32"/>
        <v>200</v>
      </c>
      <c r="N174" s="1">
        <v>139</v>
      </c>
      <c r="O174" s="1">
        <f t="shared" si="33"/>
        <v>200</v>
      </c>
      <c r="P174" s="1">
        <f t="shared" si="35"/>
        <v>0.75</v>
      </c>
      <c r="R174" s="96">
        <v>139</v>
      </c>
      <c r="S174" s="90">
        <f t="shared" si="36"/>
        <v>200</v>
      </c>
      <c r="T174" s="7">
        <v>200</v>
      </c>
      <c r="U174" s="99">
        <v>0.75</v>
      </c>
      <c r="V174" s="7">
        <f t="shared" si="34"/>
        <v>800</v>
      </c>
    </row>
    <row r="175" spans="13:22" x14ac:dyDescent="0.3">
      <c r="M175" s="8">
        <f t="shared" si="32"/>
        <v>200.75</v>
      </c>
      <c r="N175" s="1">
        <v>140</v>
      </c>
      <c r="O175" s="1">
        <f t="shared" si="33"/>
        <v>200.75</v>
      </c>
      <c r="P175" s="1">
        <f t="shared" si="35"/>
        <v>0.75</v>
      </c>
      <c r="R175" s="96">
        <v>140</v>
      </c>
      <c r="S175" s="90">
        <f t="shared" si="36"/>
        <v>200.75</v>
      </c>
      <c r="T175" s="7">
        <v>200.75</v>
      </c>
      <c r="U175" s="99">
        <v>0.75</v>
      </c>
      <c r="V175" s="7">
        <f t="shared" si="34"/>
        <v>803</v>
      </c>
    </row>
    <row r="176" spans="13:22" x14ac:dyDescent="0.3">
      <c r="M176" s="8">
        <f t="shared" si="32"/>
        <v>201.25</v>
      </c>
      <c r="N176" s="1">
        <v>141</v>
      </c>
      <c r="O176" s="1">
        <f t="shared" si="33"/>
        <v>201.25</v>
      </c>
      <c r="P176" s="1">
        <f t="shared" si="35"/>
        <v>0.5</v>
      </c>
      <c r="R176" s="96">
        <v>141</v>
      </c>
      <c r="S176" s="90">
        <f t="shared" si="36"/>
        <v>201.25</v>
      </c>
      <c r="T176" s="7">
        <v>201.25</v>
      </c>
      <c r="U176" s="99">
        <v>0.5</v>
      </c>
      <c r="V176" s="7">
        <f t="shared" si="34"/>
        <v>805</v>
      </c>
    </row>
    <row r="177" spans="13:22" x14ac:dyDescent="0.3">
      <c r="M177" s="8">
        <f t="shared" si="32"/>
        <v>202</v>
      </c>
      <c r="N177" s="1">
        <v>142</v>
      </c>
      <c r="O177" s="1">
        <f t="shared" si="33"/>
        <v>202</v>
      </c>
      <c r="P177" s="1">
        <f t="shared" si="35"/>
        <v>0.75</v>
      </c>
      <c r="R177" s="96">
        <v>142</v>
      </c>
      <c r="S177" s="90">
        <f t="shared" si="36"/>
        <v>202</v>
      </c>
      <c r="T177" s="7">
        <v>202</v>
      </c>
      <c r="U177" s="99">
        <v>0.75</v>
      </c>
      <c r="V177" s="7">
        <f t="shared" si="34"/>
        <v>808</v>
      </c>
    </row>
    <row r="178" spans="13:22" x14ac:dyDescent="0.3">
      <c r="M178" s="8">
        <f t="shared" si="32"/>
        <v>202.75</v>
      </c>
      <c r="N178" s="1">
        <v>143</v>
      </c>
      <c r="O178" s="1">
        <f t="shared" si="33"/>
        <v>202.75</v>
      </c>
      <c r="P178" s="1">
        <f t="shared" si="35"/>
        <v>0.75</v>
      </c>
      <c r="R178" s="96">
        <v>143</v>
      </c>
      <c r="S178" s="90">
        <f t="shared" si="36"/>
        <v>202.75</v>
      </c>
      <c r="T178" s="7">
        <v>202.75</v>
      </c>
      <c r="U178" s="99">
        <v>0.75</v>
      </c>
      <c r="V178" s="7">
        <f t="shared" si="34"/>
        <v>811</v>
      </c>
    </row>
    <row r="179" spans="13:22" x14ac:dyDescent="0.3">
      <c r="M179" s="8">
        <f t="shared" si="32"/>
        <v>203.25</v>
      </c>
      <c r="N179" s="1">
        <v>144</v>
      </c>
      <c r="O179" s="1">
        <f t="shared" si="33"/>
        <v>203.25</v>
      </c>
      <c r="P179" s="1">
        <f t="shared" si="35"/>
        <v>0.5</v>
      </c>
      <c r="R179" s="96">
        <v>144</v>
      </c>
      <c r="S179" s="90">
        <f t="shared" si="36"/>
        <v>203.25</v>
      </c>
      <c r="T179" s="7">
        <v>203.25</v>
      </c>
      <c r="U179" s="99">
        <v>0.5</v>
      </c>
      <c r="V179" s="7">
        <f t="shared" si="34"/>
        <v>813</v>
      </c>
    </row>
    <row r="180" spans="13:22" x14ac:dyDescent="0.3">
      <c r="M180" s="8">
        <f t="shared" si="32"/>
        <v>204</v>
      </c>
      <c r="N180" s="1">
        <v>145</v>
      </c>
      <c r="O180" s="1">
        <f t="shared" si="33"/>
        <v>204</v>
      </c>
      <c r="P180" s="1">
        <f t="shared" si="35"/>
        <v>0.75</v>
      </c>
      <c r="R180" s="96">
        <v>145</v>
      </c>
      <c r="S180" s="90">
        <f t="shared" si="36"/>
        <v>204</v>
      </c>
      <c r="T180" s="7">
        <v>204</v>
      </c>
      <c r="U180" s="99">
        <v>0.75</v>
      </c>
      <c r="V180" s="7">
        <f t="shared" si="34"/>
        <v>816</v>
      </c>
    </row>
    <row r="181" spans="13:22" x14ac:dyDescent="0.3">
      <c r="M181" s="8">
        <f t="shared" si="32"/>
        <v>204.75</v>
      </c>
      <c r="N181" s="1">
        <v>146</v>
      </c>
      <c r="O181" s="1">
        <f t="shared" si="33"/>
        <v>204.75</v>
      </c>
      <c r="P181" s="1">
        <f t="shared" si="35"/>
        <v>0.75</v>
      </c>
      <c r="R181" s="96">
        <v>146</v>
      </c>
      <c r="S181" s="90">
        <f t="shared" si="36"/>
        <v>204.75</v>
      </c>
      <c r="T181" s="7">
        <v>204.75</v>
      </c>
      <c r="U181" s="99">
        <v>0.75</v>
      </c>
      <c r="V181" s="7">
        <f t="shared" si="34"/>
        <v>819</v>
      </c>
    </row>
    <row r="182" spans="13:22" x14ac:dyDescent="0.3">
      <c r="M182" s="8">
        <f t="shared" si="32"/>
        <v>205.25</v>
      </c>
      <c r="N182" s="1">
        <v>147</v>
      </c>
      <c r="O182" s="1">
        <f t="shared" si="33"/>
        <v>205.25</v>
      </c>
      <c r="P182" s="1">
        <f t="shared" si="35"/>
        <v>0.5</v>
      </c>
      <c r="R182" s="96">
        <v>147</v>
      </c>
      <c r="S182" s="90">
        <f t="shared" si="36"/>
        <v>205.25</v>
      </c>
      <c r="T182" s="7">
        <v>205.25</v>
      </c>
      <c r="U182" s="99">
        <v>0.5</v>
      </c>
      <c r="V182" s="7">
        <f t="shared" si="34"/>
        <v>821</v>
      </c>
    </row>
    <row r="183" spans="13:22" x14ac:dyDescent="0.3">
      <c r="M183" s="8">
        <f t="shared" si="32"/>
        <v>205.75</v>
      </c>
      <c r="N183" s="1">
        <v>148</v>
      </c>
      <c r="O183" s="1">
        <f t="shared" si="33"/>
        <v>205.75</v>
      </c>
      <c r="P183" s="1">
        <f t="shared" si="35"/>
        <v>0.5</v>
      </c>
      <c r="R183" s="96">
        <v>148</v>
      </c>
      <c r="S183" s="90">
        <f t="shared" si="36"/>
        <v>205.75</v>
      </c>
      <c r="T183" s="7">
        <v>205.75</v>
      </c>
      <c r="U183" s="99">
        <v>0.5</v>
      </c>
      <c r="V183" s="7">
        <f t="shared" si="34"/>
        <v>823</v>
      </c>
    </row>
    <row r="184" spans="13:22" x14ac:dyDescent="0.3">
      <c r="M184" s="8">
        <f t="shared" si="32"/>
        <v>206.25</v>
      </c>
      <c r="N184" s="1">
        <v>149</v>
      </c>
      <c r="O184" s="1">
        <f t="shared" si="33"/>
        <v>206.25</v>
      </c>
      <c r="P184" s="1">
        <f t="shared" si="35"/>
        <v>0.5</v>
      </c>
      <c r="R184" s="96">
        <v>149</v>
      </c>
      <c r="S184" s="90">
        <f t="shared" si="36"/>
        <v>206.25</v>
      </c>
      <c r="T184" s="7">
        <v>206.25</v>
      </c>
      <c r="U184" s="99">
        <v>0.5</v>
      </c>
      <c r="V184" s="7">
        <f t="shared" si="34"/>
        <v>825</v>
      </c>
    </row>
    <row r="185" spans="13:22" x14ac:dyDescent="0.3">
      <c r="M185" s="8">
        <f t="shared" si="32"/>
        <v>206.75</v>
      </c>
      <c r="N185" s="1">
        <v>150</v>
      </c>
      <c r="O185" s="1">
        <f t="shared" si="33"/>
        <v>206.75</v>
      </c>
      <c r="P185" s="1">
        <f t="shared" si="35"/>
        <v>0.5</v>
      </c>
      <c r="R185" s="96">
        <v>150</v>
      </c>
      <c r="S185" s="90">
        <f t="shared" si="36"/>
        <v>206.75</v>
      </c>
      <c r="T185" s="7">
        <v>206.75</v>
      </c>
      <c r="U185" s="99">
        <v>0.5</v>
      </c>
      <c r="V185" s="7">
        <f t="shared" si="34"/>
        <v>827</v>
      </c>
    </row>
    <row r="186" spans="13:22" x14ac:dyDescent="0.3">
      <c r="M186" s="8">
        <f t="shared" si="32"/>
        <v>207.25</v>
      </c>
      <c r="N186" s="1">
        <v>151</v>
      </c>
      <c r="O186" s="1">
        <f t="shared" si="33"/>
        <v>207.25</v>
      </c>
      <c r="P186" s="1">
        <f t="shared" si="35"/>
        <v>0.5</v>
      </c>
      <c r="R186" s="96">
        <v>151</v>
      </c>
      <c r="S186" s="90">
        <f t="shared" si="36"/>
        <v>207.25</v>
      </c>
      <c r="T186" s="7">
        <v>207.25</v>
      </c>
      <c r="U186" s="99">
        <v>0.5</v>
      </c>
      <c r="V186" s="7">
        <f t="shared" si="34"/>
        <v>829</v>
      </c>
    </row>
    <row r="187" spans="13:22" x14ac:dyDescent="0.3">
      <c r="M187" s="8">
        <f t="shared" si="32"/>
        <v>207.75</v>
      </c>
      <c r="N187" s="1">
        <v>152</v>
      </c>
      <c r="O187" s="1">
        <f t="shared" si="33"/>
        <v>207.75</v>
      </c>
      <c r="P187" s="1">
        <f t="shared" si="35"/>
        <v>0.5</v>
      </c>
      <c r="R187" s="96">
        <v>152</v>
      </c>
      <c r="S187" s="90">
        <f t="shared" si="36"/>
        <v>207.75</v>
      </c>
      <c r="T187" s="7">
        <v>207.75</v>
      </c>
      <c r="U187" s="99">
        <v>0.5</v>
      </c>
      <c r="V187" s="7">
        <f t="shared" si="34"/>
        <v>831</v>
      </c>
    </row>
    <row r="188" spans="13:22" x14ac:dyDescent="0.3">
      <c r="M188" s="8">
        <f t="shared" si="32"/>
        <v>208.25</v>
      </c>
      <c r="N188" s="1">
        <v>153</v>
      </c>
      <c r="O188" s="1">
        <f t="shared" si="33"/>
        <v>208.25</v>
      </c>
      <c r="P188" s="1">
        <f t="shared" si="35"/>
        <v>0.5</v>
      </c>
      <c r="R188" s="96">
        <v>153</v>
      </c>
      <c r="S188" s="90">
        <f t="shared" si="36"/>
        <v>208.25</v>
      </c>
      <c r="T188" s="7">
        <v>208.25</v>
      </c>
      <c r="U188" s="99">
        <v>0.5</v>
      </c>
      <c r="V188" s="7">
        <f t="shared" si="34"/>
        <v>833</v>
      </c>
    </row>
    <row r="189" spans="13:22" x14ac:dyDescent="0.3">
      <c r="M189" s="8">
        <f t="shared" si="32"/>
        <v>209</v>
      </c>
      <c r="N189" s="1">
        <v>154</v>
      </c>
      <c r="O189" s="1">
        <f t="shared" si="33"/>
        <v>209</v>
      </c>
      <c r="P189" s="1">
        <f t="shared" si="35"/>
        <v>0.75</v>
      </c>
      <c r="R189" s="96">
        <v>154</v>
      </c>
      <c r="S189" s="90">
        <f t="shared" si="36"/>
        <v>209</v>
      </c>
      <c r="T189" s="7">
        <v>209</v>
      </c>
      <c r="U189" s="99">
        <v>0.75</v>
      </c>
      <c r="V189" s="7">
        <f t="shared" si="34"/>
        <v>836</v>
      </c>
    </row>
    <row r="190" spans="13:22" x14ac:dyDescent="0.3">
      <c r="M190" s="8">
        <f t="shared" si="32"/>
        <v>209.75</v>
      </c>
      <c r="N190" s="1">
        <v>155</v>
      </c>
      <c r="O190" s="1">
        <f t="shared" si="33"/>
        <v>209.75</v>
      </c>
      <c r="P190" s="1">
        <f t="shared" si="35"/>
        <v>0.75</v>
      </c>
      <c r="R190" s="96">
        <v>155</v>
      </c>
      <c r="S190" s="90">
        <f t="shared" si="36"/>
        <v>209.75</v>
      </c>
      <c r="T190" s="7">
        <v>209.75</v>
      </c>
      <c r="U190" s="99">
        <v>0.75</v>
      </c>
      <c r="V190" s="7">
        <f t="shared" si="34"/>
        <v>839</v>
      </c>
    </row>
    <row r="191" spans="13:22" x14ac:dyDescent="0.3">
      <c r="M191" s="8">
        <f t="shared" si="32"/>
        <v>210.25</v>
      </c>
      <c r="N191" s="1">
        <v>156</v>
      </c>
      <c r="O191" s="1">
        <f t="shared" si="33"/>
        <v>210.25</v>
      </c>
      <c r="P191" s="1">
        <f t="shared" si="35"/>
        <v>0.5</v>
      </c>
      <c r="R191" s="96">
        <v>156</v>
      </c>
      <c r="S191" s="90">
        <f t="shared" si="36"/>
        <v>210.25</v>
      </c>
      <c r="T191" s="7">
        <v>210.25</v>
      </c>
      <c r="U191" s="99">
        <v>0.5</v>
      </c>
      <c r="V191" s="7">
        <f t="shared" si="34"/>
        <v>841</v>
      </c>
    </row>
    <row r="192" spans="13:22" x14ac:dyDescent="0.3">
      <c r="M192" s="8">
        <f t="shared" si="32"/>
        <v>211</v>
      </c>
      <c r="N192" s="1">
        <v>157</v>
      </c>
      <c r="O192" s="1">
        <f t="shared" si="33"/>
        <v>211</v>
      </c>
      <c r="P192" s="1">
        <f t="shared" si="35"/>
        <v>0.75</v>
      </c>
      <c r="R192" s="96">
        <v>157</v>
      </c>
      <c r="S192" s="90">
        <f t="shared" si="36"/>
        <v>211</v>
      </c>
      <c r="T192" s="7">
        <v>211</v>
      </c>
      <c r="U192" s="99">
        <v>0.75</v>
      </c>
      <c r="V192" s="7">
        <f t="shared" si="34"/>
        <v>844</v>
      </c>
    </row>
    <row r="193" spans="13:22" x14ac:dyDescent="0.3">
      <c r="M193" s="8">
        <f t="shared" si="32"/>
        <v>211.5</v>
      </c>
      <c r="N193" s="1">
        <v>158</v>
      </c>
      <c r="O193" s="1">
        <f t="shared" si="33"/>
        <v>211.5</v>
      </c>
      <c r="P193" s="1">
        <f t="shared" si="35"/>
        <v>0.5</v>
      </c>
      <c r="R193" s="96">
        <v>158</v>
      </c>
      <c r="S193" s="90">
        <f t="shared" si="36"/>
        <v>211.5</v>
      </c>
      <c r="T193" s="7">
        <v>211.5</v>
      </c>
      <c r="U193" s="99">
        <v>0.5</v>
      </c>
      <c r="V193" s="7">
        <f t="shared" si="34"/>
        <v>846</v>
      </c>
    </row>
    <row r="194" spans="13:22" x14ac:dyDescent="0.3">
      <c r="M194" s="8">
        <f t="shared" si="32"/>
        <v>212</v>
      </c>
      <c r="N194" s="1">
        <v>159</v>
      </c>
      <c r="O194" s="1">
        <f t="shared" si="33"/>
        <v>212</v>
      </c>
      <c r="P194" s="1">
        <f t="shared" si="35"/>
        <v>0.5</v>
      </c>
      <c r="R194" s="96">
        <v>159</v>
      </c>
      <c r="S194" s="90">
        <f t="shared" si="36"/>
        <v>212</v>
      </c>
      <c r="T194" s="7">
        <v>212</v>
      </c>
      <c r="U194" s="99">
        <v>0.5</v>
      </c>
      <c r="V194" s="7">
        <f t="shared" si="34"/>
        <v>848</v>
      </c>
    </row>
    <row r="195" spans="13:22" x14ac:dyDescent="0.3">
      <c r="M195" s="8">
        <f t="shared" si="32"/>
        <v>212.75</v>
      </c>
      <c r="N195" s="1">
        <v>160</v>
      </c>
      <c r="O195" s="1">
        <f t="shared" si="33"/>
        <v>212.75</v>
      </c>
      <c r="P195" s="1">
        <f t="shared" si="35"/>
        <v>0.75</v>
      </c>
      <c r="R195" s="96">
        <v>160</v>
      </c>
      <c r="S195" s="90">
        <f t="shared" si="36"/>
        <v>212.75</v>
      </c>
      <c r="T195" s="7">
        <v>212.75</v>
      </c>
      <c r="U195" s="99">
        <v>0.75</v>
      </c>
      <c r="V195" s="7">
        <f t="shared" si="34"/>
        <v>851</v>
      </c>
    </row>
    <row r="196" spans="13:22" x14ac:dyDescent="0.3">
      <c r="M196" s="8">
        <f t="shared" si="32"/>
        <v>213.25</v>
      </c>
      <c r="N196" s="1">
        <v>161</v>
      </c>
      <c r="O196" s="1">
        <f t="shared" si="33"/>
        <v>213.25</v>
      </c>
      <c r="P196" s="1">
        <f t="shared" si="35"/>
        <v>0.5</v>
      </c>
      <c r="R196" s="96">
        <v>161</v>
      </c>
      <c r="S196" s="90">
        <f t="shared" si="36"/>
        <v>213.25</v>
      </c>
      <c r="T196" s="7">
        <v>213.25</v>
      </c>
      <c r="U196" s="99">
        <v>0.5</v>
      </c>
      <c r="V196" s="7">
        <f t="shared" si="34"/>
        <v>853</v>
      </c>
    </row>
    <row r="197" spans="13:22" x14ac:dyDescent="0.3">
      <c r="M197" s="8">
        <f t="shared" si="32"/>
        <v>213.75</v>
      </c>
      <c r="N197" s="1">
        <v>162</v>
      </c>
      <c r="O197" s="1">
        <f t="shared" si="33"/>
        <v>213.75</v>
      </c>
      <c r="P197" s="1">
        <f t="shared" si="35"/>
        <v>0.5</v>
      </c>
      <c r="R197" s="96">
        <v>162</v>
      </c>
      <c r="S197" s="90">
        <f t="shared" si="36"/>
        <v>213.75</v>
      </c>
      <c r="T197" s="7">
        <v>213.75</v>
      </c>
      <c r="U197" s="99">
        <v>0.5</v>
      </c>
      <c r="V197" s="7">
        <f t="shared" si="34"/>
        <v>855</v>
      </c>
    </row>
    <row r="198" spans="13:22" x14ac:dyDescent="0.3">
      <c r="M198" s="8">
        <f t="shared" si="32"/>
        <v>214.25</v>
      </c>
      <c r="N198" s="1">
        <v>163</v>
      </c>
      <c r="O198" s="1">
        <f t="shared" si="33"/>
        <v>214.25</v>
      </c>
      <c r="P198" s="1">
        <f t="shared" si="35"/>
        <v>0.5</v>
      </c>
      <c r="R198" s="96">
        <v>163</v>
      </c>
      <c r="S198" s="90">
        <f t="shared" si="36"/>
        <v>214.25</v>
      </c>
      <c r="T198" s="7">
        <v>214.25</v>
      </c>
      <c r="U198" s="99">
        <v>0.5</v>
      </c>
      <c r="V198" s="7">
        <f t="shared" si="34"/>
        <v>857</v>
      </c>
    </row>
    <row r="199" spans="13:22" x14ac:dyDescent="0.3">
      <c r="M199" s="8">
        <f t="shared" si="32"/>
        <v>214.75</v>
      </c>
      <c r="N199" s="1">
        <v>164</v>
      </c>
      <c r="O199" s="1">
        <f t="shared" si="33"/>
        <v>214.75</v>
      </c>
      <c r="P199" s="1">
        <f t="shared" si="35"/>
        <v>0.5</v>
      </c>
      <c r="R199" s="96">
        <v>164</v>
      </c>
      <c r="S199" s="90">
        <f t="shared" si="36"/>
        <v>214.75</v>
      </c>
      <c r="T199" s="7">
        <v>214.75</v>
      </c>
      <c r="U199" s="99">
        <v>0.5</v>
      </c>
      <c r="V199" s="7">
        <f t="shared" si="34"/>
        <v>859</v>
      </c>
    </row>
    <row r="200" spans="13:22" x14ac:dyDescent="0.3">
      <c r="M200" s="8">
        <f t="shared" si="32"/>
        <v>215.25</v>
      </c>
      <c r="N200" s="1">
        <v>165</v>
      </c>
      <c r="O200" s="1">
        <f t="shared" si="33"/>
        <v>215.25</v>
      </c>
      <c r="P200" s="1">
        <f t="shared" si="35"/>
        <v>0.5</v>
      </c>
      <c r="R200" s="96">
        <v>165</v>
      </c>
      <c r="S200" s="90">
        <f t="shared" si="36"/>
        <v>215.25</v>
      </c>
      <c r="T200" s="7">
        <v>215.25</v>
      </c>
      <c r="U200" s="99">
        <v>0.5</v>
      </c>
      <c r="V200" s="7">
        <f t="shared" si="34"/>
        <v>861</v>
      </c>
    </row>
    <row r="201" spans="13:22" x14ac:dyDescent="0.3">
      <c r="M201" s="8">
        <f t="shared" si="32"/>
        <v>216</v>
      </c>
      <c r="N201" s="1">
        <v>166</v>
      </c>
      <c r="O201" s="1">
        <f t="shared" si="33"/>
        <v>216</v>
      </c>
      <c r="P201" s="1">
        <f t="shared" si="35"/>
        <v>0.75</v>
      </c>
      <c r="R201" s="96">
        <v>166</v>
      </c>
      <c r="S201" s="90">
        <f t="shared" si="36"/>
        <v>216</v>
      </c>
      <c r="T201" s="7">
        <v>216</v>
      </c>
      <c r="U201" s="99">
        <v>0.75</v>
      </c>
      <c r="V201" s="7">
        <f t="shared" si="34"/>
        <v>864</v>
      </c>
    </row>
    <row r="202" spans="13:22" x14ac:dyDescent="0.3">
      <c r="M202" s="8">
        <f t="shared" si="32"/>
        <v>216.5</v>
      </c>
      <c r="N202" s="1">
        <v>167</v>
      </c>
      <c r="O202" s="1">
        <f t="shared" si="33"/>
        <v>216.5</v>
      </c>
      <c r="P202" s="1">
        <f t="shared" si="35"/>
        <v>0.5</v>
      </c>
      <c r="R202" s="96">
        <v>167</v>
      </c>
      <c r="S202" s="90">
        <f t="shared" si="36"/>
        <v>216.5</v>
      </c>
      <c r="T202" s="7">
        <v>216.5</v>
      </c>
      <c r="U202" s="99">
        <v>0.5</v>
      </c>
      <c r="V202" s="7">
        <f t="shared" si="34"/>
        <v>866</v>
      </c>
    </row>
    <row r="203" spans="13:22" x14ac:dyDescent="0.3">
      <c r="M203" s="8">
        <f t="shared" si="32"/>
        <v>217</v>
      </c>
      <c r="N203" s="1">
        <v>168</v>
      </c>
      <c r="O203" s="1">
        <f t="shared" si="33"/>
        <v>217</v>
      </c>
      <c r="P203" s="1">
        <f t="shared" si="35"/>
        <v>0.5</v>
      </c>
      <c r="R203" s="96">
        <v>168</v>
      </c>
      <c r="S203" s="90">
        <f t="shared" si="36"/>
        <v>217</v>
      </c>
      <c r="T203" s="7">
        <v>217</v>
      </c>
      <c r="U203" s="99">
        <v>0.5</v>
      </c>
      <c r="V203" s="7">
        <f t="shared" si="34"/>
        <v>868</v>
      </c>
    </row>
    <row r="204" spans="13:22" x14ac:dyDescent="0.3">
      <c r="M204" s="8">
        <f t="shared" si="32"/>
        <v>217.5</v>
      </c>
      <c r="N204" s="1">
        <v>169</v>
      </c>
      <c r="O204" s="1">
        <f t="shared" si="33"/>
        <v>217.5</v>
      </c>
      <c r="P204" s="1">
        <f t="shared" si="35"/>
        <v>0.5</v>
      </c>
      <c r="R204" s="96">
        <v>169</v>
      </c>
      <c r="S204" s="90">
        <f t="shared" si="36"/>
        <v>217.5</v>
      </c>
      <c r="T204" s="7">
        <v>217.5</v>
      </c>
      <c r="U204" s="99">
        <v>0.5</v>
      </c>
      <c r="V204" s="7">
        <f t="shared" si="34"/>
        <v>870</v>
      </c>
    </row>
    <row r="205" spans="13:22" x14ac:dyDescent="0.3">
      <c r="M205" s="8">
        <f t="shared" si="32"/>
        <v>218</v>
      </c>
      <c r="N205" s="1">
        <v>170</v>
      </c>
      <c r="O205" s="1">
        <f t="shared" si="33"/>
        <v>218</v>
      </c>
      <c r="P205" s="1">
        <f t="shared" si="35"/>
        <v>0.5</v>
      </c>
      <c r="R205" s="96">
        <v>170</v>
      </c>
      <c r="S205" s="90">
        <f t="shared" si="36"/>
        <v>218</v>
      </c>
      <c r="T205" s="7">
        <v>218</v>
      </c>
      <c r="U205" s="99">
        <v>0.5</v>
      </c>
      <c r="V205" s="7">
        <f t="shared" si="34"/>
        <v>872</v>
      </c>
    </row>
    <row r="206" spans="13:22" x14ac:dyDescent="0.3">
      <c r="M206" s="8">
        <f t="shared" si="32"/>
        <v>218.5</v>
      </c>
      <c r="N206" s="1">
        <v>171</v>
      </c>
      <c r="O206" s="1">
        <f t="shared" si="33"/>
        <v>218.5</v>
      </c>
      <c r="P206" s="1">
        <f t="shared" si="35"/>
        <v>0.5</v>
      </c>
      <c r="R206" s="96">
        <v>171</v>
      </c>
      <c r="S206" s="90">
        <f t="shared" si="36"/>
        <v>218.5</v>
      </c>
      <c r="T206" s="7">
        <v>218.5</v>
      </c>
      <c r="U206" s="99">
        <v>0.5</v>
      </c>
      <c r="V206" s="7">
        <f t="shared" si="34"/>
        <v>874</v>
      </c>
    </row>
    <row r="207" spans="13:22" x14ac:dyDescent="0.3">
      <c r="M207" s="8">
        <f t="shared" si="32"/>
        <v>219</v>
      </c>
      <c r="N207" s="1">
        <v>172</v>
      </c>
      <c r="O207" s="1">
        <f t="shared" si="33"/>
        <v>219</v>
      </c>
      <c r="P207" s="1">
        <f t="shared" si="35"/>
        <v>0.5</v>
      </c>
      <c r="R207" s="96">
        <v>172</v>
      </c>
      <c r="S207" s="90">
        <f t="shared" si="36"/>
        <v>219</v>
      </c>
      <c r="T207" s="7">
        <v>219</v>
      </c>
      <c r="U207" s="99">
        <v>0.5</v>
      </c>
      <c r="V207" s="7">
        <f t="shared" si="34"/>
        <v>876</v>
      </c>
    </row>
    <row r="208" spans="13:22" x14ac:dyDescent="0.3">
      <c r="M208" s="8">
        <f t="shared" si="32"/>
        <v>219.5</v>
      </c>
      <c r="N208" s="1">
        <v>173</v>
      </c>
      <c r="O208" s="1">
        <f t="shared" si="33"/>
        <v>219.5</v>
      </c>
      <c r="P208" s="1">
        <f t="shared" si="35"/>
        <v>0.5</v>
      </c>
      <c r="R208" s="96">
        <v>173</v>
      </c>
      <c r="S208" s="90">
        <f t="shared" si="36"/>
        <v>219.5</v>
      </c>
      <c r="T208" s="7">
        <v>219.5</v>
      </c>
      <c r="U208" s="99">
        <v>0.5</v>
      </c>
      <c r="V208" s="7">
        <f t="shared" si="34"/>
        <v>878</v>
      </c>
    </row>
    <row r="209" spans="13:22" x14ac:dyDescent="0.3">
      <c r="M209" s="8">
        <f t="shared" si="32"/>
        <v>220</v>
      </c>
      <c r="N209" s="1">
        <v>174</v>
      </c>
      <c r="O209" s="1">
        <f t="shared" si="33"/>
        <v>220</v>
      </c>
      <c r="P209" s="1">
        <f t="shared" si="35"/>
        <v>0.5</v>
      </c>
      <c r="R209" s="96">
        <v>174</v>
      </c>
      <c r="S209" s="90">
        <f t="shared" si="36"/>
        <v>220</v>
      </c>
      <c r="T209" s="7">
        <v>220</v>
      </c>
      <c r="U209" s="99">
        <v>0.5</v>
      </c>
      <c r="V209" s="7">
        <f t="shared" si="34"/>
        <v>880</v>
      </c>
    </row>
    <row r="210" spans="13:22" x14ac:dyDescent="0.3">
      <c r="M210" s="8">
        <f t="shared" si="32"/>
        <v>220.5</v>
      </c>
      <c r="N210" s="1">
        <v>175</v>
      </c>
      <c r="O210" s="1">
        <f t="shared" si="33"/>
        <v>220.5</v>
      </c>
      <c r="P210" s="1">
        <f t="shared" si="35"/>
        <v>0.5</v>
      </c>
      <c r="R210" s="96">
        <v>175</v>
      </c>
      <c r="S210" s="90">
        <f t="shared" si="36"/>
        <v>220.5</v>
      </c>
      <c r="T210" s="7">
        <v>220.5</v>
      </c>
      <c r="U210" s="99">
        <v>0.5</v>
      </c>
      <c r="V210" s="7">
        <f t="shared" si="34"/>
        <v>882</v>
      </c>
    </row>
    <row r="211" spans="13:22" x14ac:dyDescent="0.3">
      <c r="M211" s="8">
        <f t="shared" si="32"/>
        <v>221</v>
      </c>
      <c r="N211" s="1">
        <v>176</v>
      </c>
      <c r="O211" s="1">
        <f t="shared" si="33"/>
        <v>221</v>
      </c>
      <c r="P211" s="1">
        <f t="shared" si="35"/>
        <v>0.5</v>
      </c>
      <c r="R211" s="96">
        <v>176</v>
      </c>
      <c r="S211" s="90">
        <f t="shared" si="36"/>
        <v>221</v>
      </c>
      <c r="T211" s="7">
        <v>221</v>
      </c>
      <c r="U211" s="99">
        <v>0.5</v>
      </c>
      <c r="V211" s="7">
        <f t="shared" si="34"/>
        <v>884</v>
      </c>
    </row>
    <row r="212" spans="13:22" x14ac:dyDescent="0.3">
      <c r="M212" s="8">
        <f t="shared" si="32"/>
        <v>221.5</v>
      </c>
      <c r="N212" s="1">
        <v>177</v>
      </c>
      <c r="O212" s="1">
        <f t="shared" si="33"/>
        <v>221.5</v>
      </c>
      <c r="P212" s="1">
        <f t="shared" si="35"/>
        <v>0.5</v>
      </c>
      <c r="R212" s="96">
        <v>177</v>
      </c>
      <c r="S212" s="90">
        <f t="shared" si="36"/>
        <v>221.5</v>
      </c>
      <c r="T212" s="7">
        <v>221.5</v>
      </c>
      <c r="U212" s="99">
        <v>0.5</v>
      </c>
      <c r="V212" s="7">
        <f t="shared" si="34"/>
        <v>886</v>
      </c>
    </row>
    <row r="213" spans="13:22" x14ac:dyDescent="0.3">
      <c r="M213" s="8">
        <f t="shared" si="32"/>
        <v>222</v>
      </c>
      <c r="N213" s="1">
        <v>178</v>
      </c>
      <c r="O213" s="1">
        <f t="shared" si="33"/>
        <v>222</v>
      </c>
      <c r="P213" s="1">
        <f t="shared" si="35"/>
        <v>0.5</v>
      </c>
      <c r="R213" s="96">
        <v>178</v>
      </c>
      <c r="S213" s="90">
        <f t="shared" si="36"/>
        <v>222</v>
      </c>
      <c r="T213" s="7">
        <v>222</v>
      </c>
      <c r="U213" s="99">
        <v>0.5</v>
      </c>
      <c r="V213" s="7">
        <f t="shared" si="34"/>
        <v>888</v>
      </c>
    </row>
    <row r="214" spans="13:22" x14ac:dyDescent="0.3">
      <c r="M214" s="8">
        <f t="shared" si="32"/>
        <v>222.5</v>
      </c>
      <c r="N214" s="1">
        <v>179</v>
      </c>
      <c r="O214" s="1">
        <f t="shared" si="33"/>
        <v>222.5</v>
      </c>
      <c r="P214" s="1">
        <f t="shared" si="35"/>
        <v>0.5</v>
      </c>
      <c r="R214" s="96">
        <v>179</v>
      </c>
      <c r="S214" s="90">
        <f t="shared" si="36"/>
        <v>222.5</v>
      </c>
      <c r="T214" s="7">
        <v>222.5</v>
      </c>
      <c r="U214" s="99">
        <v>0.5</v>
      </c>
      <c r="V214" s="7">
        <f t="shared" si="34"/>
        <v>890</v>
      </c>
    </row>
    <row r="215" spans="13:22" x14ac:dyDescent="0.3">
      <c r="M215" s="8">
        <f t="shared" si="32"/>
        <v>223</v>
      </c>
      <c r="N215" s="1">
        <v>180</v>
      </c>
      <c r="O215" s="1">
        <f t="shared" si="33"/>
        <v>223</v>
      </c>
      <c r="P215" s="1">
        <f t="shared" si="35"/>
        <v>0.5</v>
      </c>
      <c r="R215" s="96">
        <v>180</v>
      </c>
      <c r="S215" s="90">
        <f t="shared" si="36"/>
        <v>223</v>
      </c>
      <c r="T215" s="7">
        <v>223</v>
      </c>
      <c r="U215" s="99">
        <v>0.5</v>
      </c>
      <c r="V215" s="7">
        <f t="shared" si="34"/>
        <v>892</v>
      </c>
    </row>
    <row r="216" spans="13:22" x14ac:dyDescent="0.3">
      <c r="M216" s="8">
        <f t="shared" si="32"/>
        <v>223.5</v>
      </c>
      <c r="N216" s="1">
        <v>181</v>
      </c>
      <c r="O216" s="1">
        <f t="shared" si="33"/>
        <v>223.5</v>
      </c>
      <c r="P216" s="1">
        <f t="shared" si="35"/>
        <v>0.5</v>
      </c>
      <c r="R216" s="96">
        <v>181</v>
      </c>
      <c r="S216" s="90">
        <f t="shared" si="36"/>
        <v>223.5</v>
      </c>
      <c r="T216" s="7">
        <v>223.5</v>
      </c>
      <c r="U216" s="99">
        <v>0.5</v>
      </c>
      <c r="V216" s="7">
        <f t="shared" si="34"/>
        <v>894</v>
      </c>
    </row>
    <row r="217" spans="13:22" x14ac:dyDescent="0.3">
      <c r="M217" s="8">
        <f t="shared" si="32"/>
        <v>224</v>
      </c>
      <c r="N217" s="1">
        <v>182</v>
      </c>
      <c r="O217" s="1">
        <f t="shared" si="33"/>
        <v>224</v>
      </c>
      <c r="P217" s="1">
        <f t="shared" si="35"/>
        <v>0.5</v>
      </c>
      <c r="R217" s="96">
        <v>182</v>
      </c>
      <c r="S217" s="90">
        <f t="shared" si="36"/>
        <v>224</v>
      </c>
      <c r="T217" s="7">
        <v>224</v>
      </c>
      <c r="U217" s="99">
        <v>0.5</v>
      </c>
      <c r="V217" s="7">
        <f t="shared" si="34"/>
        <v>896</v>
      </c>
    </row>
    <row r="218" spans="13:22" x14ac:dyDescent="0.3">
      <c r="M218" s="8">
        <f t="shared" si="32"/>
        <v>224.5</v>
      </c>
      <c r="N218" s="1">
        <v>183</v>
      </c>
      <c r="O218" s="1">
        <f t="shared" si="33"/>
        <v>224.5</v>
      </c>
      <c r="P218" s="1">
        <f t="shared" si="35"/>
        <v>0.5</v>
      </c>
      <c r="R218" s="96">
        <v>183</v>
      </c>
      <c r="S218" s="90">
        <f t="shared" si="36"/>
        <v>224.5</v>
      </c>
      <c r="T218" s="7">
        <v>224.5</v>
      </c>
      <c r="U218" s="99">
        <v>0.5</v>
      </c>
      <c r="V218" s="7">
        <f t="shared" si="34"/>
        <v>898</v>
      </c>
    </row>
    <row r="219" spans="13:22" x14ac:dyDescent="0.3">
      <c r="M219" s="8">
        <f t="shared" si="32"/>
        <v>225</v>
      </c>
      <c r="N219" s="1">
        <v>184</v>
      </c>
      <c r="O219" s="1">
        <f t="shared" si="33"/>
        <v>225</v>
      </c>
      <c r="P219" s="1">
        <f t="shared" si="35"/>
        <v>0.5</v>
      </c>
      <c r="R219" s="96">
        <v>184</v>
      </c>
      <c r="S219" s="90">
        <f t="shared" si="36"/>
        <v>225</v>
      </c>
      <c r="T219" s="7">
        <v>225</v>
      </c>
      <c r="U219" s="99">
        <v>0.5</v>
      </c>
      <c r="V219" s="7">
        <f t="shared" si="34"/>
        <v>900</v>
      </c>
    </row>
    <row r="220" spans="13:22" x14ac:dyDescent="0.3">
      <c r="M220" s="8">
        <f t="shared" si="32"/>
        <v>225.75</v>
      </c>
      <c r="N220" s="1">
        <v>185</v>
      </c>
      <c r="O220" s="1">
        <f t="shared" si="33"/>
        <v>225.75</v>
      </c>
      <c r="P220" s="1">
        <f t="shared" si="35"/>
        <v>0.75</v>
      </c>
      <c r="R220" s="96">
        <v>185</v>
      </c>
      <c r="S220" s="90">
        <f t="shared" si="36"/>
        <v>225.75</v>
      </c>
      <c r="T220" s="7">
        <v>225.75</v>
      </c>
      <c r="U220" s="99">
        <v>0.75</v>
      </c>
      <c r="V220" s="7">
        <f t="shared" si="34"/>
        <v>903</v>
      </c>
    </row>
    <row r="221" spans="13:22" x14ac:dyDescent="0.3">
      <c r="M221" s="8">
        <f t="shared" si="32"/>
        <v>226.25</v>
      </c>
      <c r="N221" s="1">
        <v>186</v>
      </c>
      <c r="O221" s="1">
        <f t="shared" si="33"/>
        <v>226.25</v>
      </c>
      <c r="P221" s="1">
        <f t="shared" si="35"/>
        <v>0.5</v>
      </c>
      <c r="R221" s="96">
        <v>186</v>
      </c>
      <c r="S221" s="90">
        <f t="shared" si="36"/>
        <v>226.25</v>
      </c>
      <c r="T221" s="7">
        <v>226.25</v>
      </c>
      <c r="U221" s="99">
        <v>0.5</v>
      </c>
      <c r="V221" s="7">
        <f t="shared" si="34"/>
        <v>905</v>
      </c>
    </row>
    <row r="222" spans="13:22" x14ac:dyDescent="0.3">
      <c r="M222" s="8">
        <f t="shared" si="32"/>
        <v>226.75</v>
      </c>
      <c r="N222" s="1">
        <v>187</v>
      </c>
      <c r="O222" s="1">
        <f t="shared" si="33"/>
        <v>226.75</v>
      </c>
      <c r="P222" s="1">
        <f t="shared" si="35"/>
        <v>0.5</v>
      </c>
      <c r="R222" s="96">
        <v>187</v>
      </c>
      <c r="S222" s="90">
        <f t="shared" si="36"/>
        <v>226.75</v>
      </c>
      <c r="T222" s="7">
        <v>226.75</v>
      </c>
      <c r="U222" s="99">
        <v>0.5</v>
      </c>
      <c r="V222" s="7">
        <f t="shared" si="34"/>
        <v>907</v>
      </c>
    </row>
    <row r="223" spans="13:22" x14ac:dyDescent="0.3">
      <c r="M223" s="8">
        <f t="shared" si="32"/>
        <v>227.25</v>
      </c>
      <c r="N223" s="1">
        <v>188</v>
      </c>
      <c r="O223" s="1">
        <f t="shared" si="33"/>
        <v>227.25</v>
      </c>
      <c r="P223" s="1">
        <f t="shared" si="35"/>
        <v>0.5</v>
      </c>
      <c r="R223" s="96">
        <v>188</v>
      </c>
      <c r="S223" s="90">
        <f t="shared" si="36"/>
        <v>227.25</v>
      </c>
      <c r="T223" s="7">
        <v>227.25</v>
      </c>
      <c r="U223" s="99">
        <v>0.5</v>
      </c>
      <c r="V223" s="7">
        <f t="shared" si="34"/>
        <v>909</v>
      </c>
    </row>
    <row r="224" spans="13:22" x14ac:dyDescent="0.3">
      <c r="M224" s="8">
        <f t="shared" si="32"/>
        <v>227.75</v>
      </c>
      <c r="N224" s="1">
        <v>189</v>
      </c>
      <c r="O224" s="1">
        <f t="shared" si="33"/>
        <v>227.75</v>
      </c>
      <c r="P224" s="1">
        <f t="shared" si="35"/>
        <v>0.5</v>
      </c>
      <c r="R224" s="96">
        <v>189</v>
      </c>
      <c r="S224" s="90">
        <f t="shared" si="36"/>
        <v>227.75</v>
      </c>
      <c r="T224" s="7">
        <v>227.75</v>
      </c>
      <c r="U224" s="99">
        <v>0.5</v>
      </c>
      <c r="V224" s="7">
        <f t="shared" si="34"/>
        <v>911</v>
      </c>
    </row>
    <row r="225" spans="13:22" x14ac:dyDescent="0.3">
      <c r="M225" s="8">
        <f t="shared" si="32"/>
        <v>228.25</v>
      </c>
      <c r="N225" s="1">
        <v>190</v>
      </c>
      <c r="O225" s="1">
        <f t="shared" si="33"/>
        <v>228.25</v>
      </c>
      <c r="P225" s="1">
        <f t="shared" si="35"/>
        <v>0.5</v>
      </c>
      <c r="R225" s="96">
        <v>190</v>
      </c>
      <c r="S225" s="90">
        <f t="shared" si="36"/>
        <v>228.25</v>
      </c>
      <c r="T225" s="7">
        <v>228.25</v>
      </c>
      <c r="U225" s="99">
        <v>0.5</v>
      </c>
      <c r="V225" s="7">
        <f t="shared" si="34"/>
        <v>913</v>
      </c>
    </row>
    <row r="226" spans="13:22" x14ac:dyDescent="0.3">
      <c r="M226" s="8">
        <f t="shared" si="32"/>
        <v>228.75</v>
      </c>
      <c r="N226" s="1">
        <v>191</v>
      </c>
      <c r="O226" s="1">
        <f t="shared" si="33"/>
        <v>228.75</v>
      </c>
      <c r="P226" s="1">
        <f t="shared" si="35"/>
        <v>0.5</v>
      </c>
      <c r="R226" s="96">
        <v>191</v>
      </c>
      <c r="S226" s="90">
        <f t="shared" si="36"/>
        <v>228.75</v>
      </c>
      <c r="T226" s="7">
        <v>228.75</v>
      </c>
      <c r="U226" s="99">
        <v>0.5</v>
      </c>
      <c r="V226" s="7">
        <f t="shared" si="34"/>
        <v>915</v>
      </c>
    </row>
    <row r="227" spans="13:22" x14ac:dyDescent="0.3">
      <c r="M227" s="8">
        <f t="shared" si="32"/>
        <v>229</v>
      </c>
      <c r="N227" s="1">
        <v>192</v>
      </c>
      <c r="O227" s="1">
        <f t="shared" si="33"/>
        <v>229</v>
      </c>
      <c r="P227" s="1">
        <f t="shared" si="35"/>
        <v>0.25</v>
      </c>
      <c r="R227" s="96">
        <v>192</v>
      </c>
      <c r="S227" s="90">
        <f t="shared" si="36"/>
        <v>229</v>
      </c>
      <c r="T227" s="7">
        <v>229</v>
      </c>
      <c r="U227" s="99">
        <v>0.25</v>
      </c>
      <c r="V227" s="7">
        <f t="shared" si="34"/>
        <v>916</v>
      </c>
    </row>
    <row r="228" spans="13:22" x14ac:dyDescent="0.3">
      <c r="M228" s="8">
        <f t="shared" ref="M228:M291" si="37">O228</f>
        <v>229.5</v>
      </c>
      <c r="N228" s="1">
        <v>193</v>
      </c>
      <c r="O228" s="1">
        <f t="shared" ref="O228:O290" si="38">VALUE(MID($T$2,FIND("*",SUBSTITUTE($T$2," ","*",N228),1)+1,FIND("*",SUBSTITUTE($T$2," ","*",N229),1)-FIND("*",SUBSTITUTE($T$2," ","*",N228),1)-1))/4</f>
        <v>229.5</v>
      </c>
      <c r="P228" s="1">
        <f t="shared" si="35"/>
        <v>0.5</v>
      </c>
      <c r="R228" s="96">
        <v>193</v>
      </c>
      <c r="S228" s="90">
        <f t="shared" si="36"/>
        <v>229.5</v>
      </c>
      <c r="T228" s="7">
        <v>229.5</v>
      </c>
      <c r="U228" s="99">
        <v>0.5</v>
      </c>
      <c r="V228" s="7">
        <f t="shared" ref="V228:V291" si="39">ROUND(S228*4,0)</f>
        <v>918</v>
      </c>
    </row>
    <row r="229" spans="13:22" x14ac:dyDescent="0.3">
      <c r="M229" s="8">
        <f t="shared" si="37"/>
        <v>230</v>
      </c>
      <c r="N229" s="1">
        <v>194</v>
      </c>
      <c r="O229" s="1">
        <f t="shared" si="38"/>
        <v>230</v>
      </c>
      <c r="P229" s="1">
        <f t="shared" ref="P229:P291" si="40">O229-O228</f>
        <v>0.5</v>
      </c>
      <c r="R229" s="96">
        <v>194</v>
      </c>
      <c r="S229" s="90">
        <f t="shared" ref="S229:S291" si="41">S228+U229</f>
        <v>230</v>
      </c>
      <c r="T229" s="7">
        <v>230</v>
      </c>
      <c r="U229" s="99">
        <v>0.5</v>
      </c>
      <c r="V229" s="7">
        <f t="shared" si="39"/>
        <v>920</v>
      </c>
    </row>
    <row r="230" spans="13:22" x14ac:dyDescent="0.3">
      <c r="M230" s="8">
        <f t="shared" si="37"/>
        <v>230.5</v>
      </c>
      <c r="N230" s="1">
        <v>195</v>
      </c>
      <c r="O230" s="1">
        <f t="shared" si="38"/>
        <v>230.5</v>
      </c>
      <c r="P230" s="1">
        <f t="shared" si="40"/>
        <v>0.5</v>
      </c>
      <c r="R230" s="96">
        <v>195</v>
      </c>
      <c r="S230" s="90">
        <f t="shared" si="41"/>
        <v>230.5</v>
      </c>
      <c r="T230" s="7">
        <v>230.5</v>
      </c>
      <c r="U230" s="99">
        <v>0.5</v>
      </c>
      <c r="V230" s="7">
        <f t="shared" si="39"/>
        <v>922</v>
      </c>
    </row>
    <row r="231" spans="13:22" x14ac:dyDescent="0.3">
      <c r="M231" s="8">
        <f t="shared" si="37"/>
        <v>230.75</v>
      </c>
      <c r="N231" s="1">
        <v>196</v>
      </c>
      <c r="O231" s="1">
        <f t="shared" si="38"/>
        <v>230.75</v>
      </c>
      <c r="P231" s="1">
        <f t="shared" si="40"/>
        <v>0.25</v>
      </c>
      <c r="R231" s="96">
        <v>196</v>
      </c>
      <c r="S231" s="90">
        <f t="shared" si="41"/>
        <v>230.75</v>
      </c>
      <c r="T231" s="7">
        <v>230.75</v>
      </c>
      <c r="U231" s="99">
        <v>0.25</v>
      </c>
      <c r="V231" s="7">
        <f t="shared" si="39"/>
        <v>923</v>
      </c>
    </row>
    <row r="232" spans="13:22" x14ac:dyDescent="0.3">
      <c r="M232" s="8">
        <f t="shared" si="37"/>
        <v>231.25</v>
      </c>
      <c r="N232" s="1">
        <v>197</v>
      </c>
      <c r="O232" s="1">
        <f t="shared" si="38"/>
        <v>231.25</v>
      </c>
      <c r="P232" s="1">
        <f t="shared" si="40"/>
        <v>0.5</v>
      </c>
      <c r="R232" s="96">
        <v>197</v>
      </c>
      <c r="S232" s="90">
        <f t="shared" si="41"/>
        <v>231.25</v>
      </c>
      <c r="T232" s="7">
        <v>231.25</v>
      </c>
      <c r="U232" s="99">
        <v>0.5</v>
      </c>
      <c r="V232" s="7">
        <f t="shared" si="39"/>
        <v>925</v>
      </c>
    </row>
    <row r="233" spans="13:22" x14ac:dyDescent="0.3">
      <c r="M233" s="8">
        <f t="shared" si="37"/>
        <v>231.75</v>
      </c>
      <c r="N233" s="1">
        <v>198</v>
      </c>
      <c r="O233" s="1">
        <f t="shared" si="38"/>
        <v>231.75</v>
      </c>
      <c r="P233" s="1">
        <f t="shared" si="40"/>
        <v>0.5</v>
      </c>
      <c r="R233" s="96">
        <v>198</v>
      </c>
      <c r="S233" s="90">
        <f t="shared" si="41"/>
        <v>231.75</v>
      </c>
      <c r="T233" s="7">
        <v>231.75</v>
      </c>
      <c r="U233" s="99">
        <v>0.5</v>
      </c>
      <c r="V233" s="7">
        <f t="shared" si="39"/>
        <v>927</v>
      </c>
    </row>
    <row r="234" spans="13:22" x14ac:dyDescent="0.3">
      <c r="M234" s="8">
        <f t="shared" si="37"/>
        <v>232.25</v>
      </c>
      <c r="N234" s="1">
        <v>199</v>
      </c>
      <c r="O234" s="1">
        <f t="shared" si="38"/>
        <v>232.25</v>
      </c>
      <c r="P234" s="1">
        <f t="shared" si="40"/>
        <v>0.5</v>
      </c>
      <c r="R234" s="96">
        <v>199</v>
      </c>
      <c r="S234" s="90">
        <f t="shared" si="41"/>
        <v>232.25</v>
      </c>
      <c r="T234" s="7">
        <v>232.25</v>
      </c>
      <c r="U234" s="99">
        <v>0.5</v>
      </c>
      <c r="V234" s="7">
        <f t="shared" si="39"/>
        <v>929</v>
      </c>
    </row>
    <row r="235" spans="13:22" x14ac:dyDescent="0.3">
      <c r="M235" s="8">
        <f t="shared" si="37"/>
        <v>232.75</v>
      </c>
      <c r="N235" s="1">
        <v>200</v>
      </c>
      <c r="O235" s="1">
        <f t="shared" si="38"/>
        <v>232.75</v>
      </c>
      <c r="P235" s="1">
        <f t="shared" si="40"/>
        <v>0.5</v>
      </c>
      <c r="R235" s="96">
        <v>200</v>
      </c>
      <c r="S235" s="90">
        <f t="shared" si="41"/>
        <v>232.75</v>
      </c>
      <c r="T235" s="7">
        <v>232.75</v>
      </c>
      <c r="U235" s="99">
        <v>0.5</v>
      </c>
      <c r="V235" s="7">
        <f t="shared" si="39"/>
        <v>931</v>
      </c>
    </row>
    <row r="236" spans="13:22" x14ac:dyDescent="0.3">
      <c r="M236" s="8">
        <f t="shared" si="37"/>
        <v>233</v>
      </c>
      <c r="N236" s="1">
        <v>201</v>
      </c>
      <c r="O236" s="1">
        <f t="shared" si="38"/>
        <v>233</v>
      </c>
      <c r="P236" s="1">
        <f t="shared" si="40"/>
        <v>0.25</v>
      </c>
      <c r="R236" s="96">
        <v>201</v>
      </c>
      <c r="S236" s="90">
        <f t="shared" si="41"/>
        <v>233</v>
      </c>
      <c r="T236" s="7">
        <v>233</v>
      </c>
      <c r="U236" s="99">
        <v>0.25</v>
      </c>
      <c r="V236" s="7">
        <f t="shared" si="39"/>
        <v>932</v>
      </c>
    </row>
    <row r="237" spans="13:22" x14ac:dyDescent="0.3">
      <c r="M237" s="8">
        <f t="shared" si="37"/>
        <v>233.5</v>
      </c>
      <c r="N237" s="1">
        <v>202</v>
      </c>
      <c r="O237" s="1">
        <f t="shared" si="38"/>
        <v>233.5</v>
      </c>
      <c r="P237" s="1">
        <f t="shared" si="40"/>
        <v>0.5</v>
      </c>
      <c r="R237" s="96">
        <v>202</v>
      </c>
      <c r="S237" s="90">
        <f t="shared" si="41"/>
        <v>233.5</v>
      </c>
      <c r="T237" s="7">
        <v>233.5</v>
      </c>
      <c r="U237" s="99">
        <v>0.5</v>
      </c>
      <c r="V237" s="7">
        <f t="shared" si="39"/>
        <v>934</v>
      </c>
    </row>
    <row r="238" spans="13:22" x14ac:dyDescent="0.3">
      <c r="M238" s="8">
        <f t="shared" si="37"/>
        <v>233.75</v>
      </c>
      <c r="N238" s="1">
        <v>203</v>
      </c>
      <c r="O238" s="1">
        <f t="shared" si="38"/>
        <v>233.75</v>
      </c>
      <c r="P238" s="1">
        <f t="shared" si="40"/>
        <v>0.25</v>
      </c>
      <c r="R238" s="96">
        <v>203</v>
      </c>
      <c r="S238" s="90">
        <f t="shared" si="41"/>
        <v>233.75</v>
      </c>
      <c r="T238" s="7">
        <v>233.75</v>
      </c>
      <c r="U238" s="99">
        <v>0.25</v>
      </c>
      <c r="V238" s="7">
        <f t="shared" si="39"/>
        <v>935</v>
      </c>
    </row>
    <row r="239" spans="13:22" x14ac:dyDescent="0.3">
      <c r="M239" s="8">
        <f t="shared" si="37"/>
        <v>234.25</v>
      </c>
      <c r="N239" s="1">
        <v>204</v>
      </c>
      <c r="O239" s="1">
        <f t="shared" si="38"/>
        <v>234.25</v>
      </c>
      <c r="P239" s="1">
        <f t="shared" si="40"/>
        <v>0.5</v>
      </c>
      <c r="R239" s="96">
        <v>204</v>
      </c>
      <c r="S239" s="90">
        <f t="shared" si="41"/>
        <v>234.25</v>
      </c>
      <c r="T239" s="7">
        <v>234.25</v>
      </c>
      <c r="U239" s="99">
        <v>0.5</v>
      </c>
      <c r="V239" s="7">
        <f t="shared" si="39"/>
        <v>937</v>
      </c>
    </row>
    <row r="240" spans="13:22" x14ac:dyDescent="0.3">
      <c r="M240" s="8">
        <f t="shared" si="37"/>
        <v>234.75</v>
      </c>
      <c r="N240" s="1">
        <v>205</v>
      </c>
      <c r="O240" s="1">
        <f t="shared" si="38"/>
        <v>234.75</v>
      </c>
      <c r="P240" s="1">
        <f t="shared" si="40"/>
        <v>0.5</v>
      </c>
      <c r="R240" s="96">
        <v>205</v>
      </c>
      <c r="S240" s="90">
        <f t="shared" si="41"/>
        <v>234.75</v>
      </c>
      <c r="T240" s="7">
        <v>234.75</v>
      </c>
      <c r="U240" s="99">
        <v>0.5</v>
      </c>
      <c r="V240" s="7">
        <f t="shared" si="39"/>
        <v>939</v>
      </c>
    </row>
    <row r="241" spans="13:22" x14ac:dyDescent="0.3">
      <c r="M241" s="8">
        <f t="shared" si="37"/>
        <v>235.25</v>
      </c>
      <c r="N241" s="1">
        <v>206</v>
      </c>
      <c r="O241" s="1">
        <f t="shared" si="38"/>
        <v>235.25</v>
      </c>
      <c r="P241" s="1">
        <f t="shared" si="40"/>
        <v>0.5</v>
      </c>
      <c r="R241" s="96">
        <v>206</v>
      </c>
      <c r="S241" s="90">
        <f t="shared" si="41"/>
        <v>235.25</v>
      </c>
      <c r="T241" s="7">
        <v>235.25</v>
      </c>
      <c r="U241" s="99">
        <v>0.5</v>
      </c>
      <c r="V241" s="7">
        <f t="shared" si="39"/>
        <v>941</v>
      </c>
    </row>
    <row r="242" spans="13:22" x14ac:dyDescent="0.3">
      <c r="M242" s="8">
        <f t="shared" si="37"/>
        <v>235.75</v>
      </c>
      <c r="N242" s="1">
        <v>207</v>
      </c>
      <c r="O242" s="1">
        <f t="shared" si="38"/>
        <v>235.75</v>
      </c>
      <c r="P242" s="1">
        <f t="shared" si="40"/>
        <v>0.5</v>
      </c>
      <c r="R242" s="96">
        <v>207</v>
      </c>
      <c r="S242" s="90">
        <f t="shared" si="41"/>
        <v>235.75</v>
      </c>
      <c r="T242" s="7">
        <v>235.75</v>
      </c>
      <c r="U242" s="99">
        <v>0.5</v>
      </c>
      <c r="V242" s="7">
        <f t="shared" si="39"/>
        <v>943</v>
      </c>
    </row>
    <row r="243" spans="13:22" x14ac:dyDescent="0.3">
      <c r="M243" s="8">
        <f t="shared" si="37"/>
        <v>236.25</v>
      </c>
      <c r="N243" s="1">
        <v>208</v>
      </c>
      <c r="O243" s="1">
        <f t="shared" si="38"/>
        <v>236.25</v>
      </c>
      <c r="P243" s="1">
        <f t="shared" si="40"/>
        <v>0.5</v>
      </c>
      <c r="R243" s="96">
        <v>208</v>
      </c>
      <c r="S243" s="90">
        <f t="shared" si="41"/>
        <v>236.25</v>
      </c>
      <c r="T243" s="7">
        <v>236.25</v>
      </c>
      <c r="U243" s="99">
        <v>0.5</v>
      </c>
      <c r="V243" s="7">
        <f t="shared" si="39"/>
        <v>945</v>
      </c>
    </row>
    <row r="244" spans="13:22" x14ac:dyDescent="0.3">
      <c r="M244" s="8">
        <f t="shared" si="37"/>
        <v>236.75</v>
      </c>
      <c r="N244" s="1">
        <v>209</v>
      </c>
      <c r="O244" s="1">
        <f t="shared" si="38"/>
        <v>236.75</v>
      </c>
      <c r="P244" s="1">
        <f t="shared" si="40"/>
        <v>0.5</v>
      </c>
      <c r="R244" s="96">
        <v>209</v>
      </c>
      <c r="S244" s="90">
        <f t="shared" si="41"/>
        <v>236.75</v>
      </c>
      <c r="T244" s="7">
        <v>236.75</v>
      </c>
      <c r="U244" s="99">
        <v>0.5</v>
      </c>
      <c r="V244" s="7">
        <f t="shared" si="39"/>
        <v>947</v>
      </c>
    </row>
    <row r="245" spans="13:22" x14ac:dyDescent="0.3">
      <c r="M245" s="8">
        <f t="shared" si="37"/>
        <v>237</v>
      </c>
      <c r="N245" s="1">
        <v>210</v>
      </c>
      <c r="O245" s="1">
        <f t="shared" si="38"/>
        <v>237</v>
      </c>
      <c r="P245" s="1">
        <f t="shared" si="40"/>
        <v>0.25</v>
      </c>
      <c r="R245" s="96">
        <v>210</v>
      </c>
      <c r="S245" s="90">
        <f t="shared" si="41"/>
        <v>237</v>
      </c>
      <c r="T245" s="7">
        <v>237</v>
      </c>
      <c r="U245" s="99">
        <v>0.25</v>
      </c>
      <c r="V245" s="7">
        <f t="shared" si="39"/>
        <v>948</v>
      </c>
    </row>
    <row r="246" spans="13:22" x14ac:dyDescent="0.3">
      <c r="M246" s="8">
        <f t="shared" si="37"/>
        <v>237.5</v>
      </c>
      <c r="N246" s="1">
        <v>211</v>
      </c>
      <c r="O246" s="1">
        <f t="shared" si="38"/>
        <v>237.5</v>
      </c>
      <c r="P246" s="1">
        <f t="shared" si="40"/>
        <v>0.5</v>
      </c>
      <c r="R246" s="96">
        <v>211</v>
      </c>
      <c r="S246" s="90">
        <f t="shared" si="41"/>
        <v>237.5</v>
      </c>
      <c r="T246" s="7">
        <v>237.5</v>
      </c>
      <c r="U246" s="99">
        <v>0.5</v>
      </c>
      <c r="V246" s="7">
        <f t="shared" si="39"/>
        <v>950</v>
      </c>
    </row>
    <row r="247" spans="13:22" x14ac:dyDescent="0.3">
      <c r="M247" s="8">
        <f t="shared" si="37"/>
        <v>238</v>
      </c>
      <c r="N247" s="1">
        <v>212</v>
      </c>
      <c r="O247" s="1">
        <f t="shared" si="38"/>
        <v>238</v>
      </c>
      <c r="P247" s="1">
        <f t="shared" si="40"/>
        <v>0.5</v>
      </c>
      <c r="R247" s="96">
        <v>212</v>
      </c>
      <c r="S247" s="90">
        <f t="shared" si="41"/>
        <v>238</v>
      </c>
      <c r="T247" s="7">
        <v>238</v>
      </c>
      <c r="U247" s="99">
        <v>0.5</v>
      </c>
      <c r="V247" s="7">
        <f t="shared" si="39"/>
        <v>952</v>
      </c>
    </row>
    <row r="248" spans="13:22" x14ac:dyDescent="0.3">
      <c r="M248" s="8">
        <f t="shared" si="37"/>
        <v>238.5</v>
      </c>
      <c r="N248" s="1">
        <v>213</v>
      </c>
      <c r="O248" s="1">
        <f t="shared" si="38"/>
        <v>238.5</v>
      </c>
      <c r="P248" s="1">
        <f t="shared" si="40"/>
        <v>0.5</v>
      </c>
      <c r="R248" s="96">
        <v>213</v>
      </c>
      <c r="S248" s="90">
        <f t="shared" si="41"/>
        <v>238.5</v>
      </c>
      <c r="T248" s="7">
        <v>238.5</v>
      </c>
      <c r="U248" s="99">
        <v>0.5</v>
      </c>
      <c r="V248" s="7">
        <f t="shared" si="39"/>
        <v>954</v>
      </c>
    </row>
    <row r="249" spans="13:22" x14ac:dyDescent="0.3">
      <c r="M249" s="8">
        <f t="shared" si="37"/>
        <v>238.75</v>
      </c>
      <c r="N249" s="1">
        <v>214</v>
      </c>
      <c r="O249" s="1">
        <f t="shared" si="38"/>
        <v>238.75</v>
      </c>
      <c r="P249" s="1">
        <f t="shared" si="40"/>
        <v>0.25</v>
      </c>
      <c r="R249" s="96">
        <v>214</v>
      </c>
      <c r="S249" s="90">
        <f t="shared" si="41"/>
        <v>238.75</v>
      </c>
      <c r="T249" s="7">
        <v>238.75</v>
      </c>
      <c r="U249" s="99">
        <v>0.25</v>
      </c>
      <c r="V249" s="7">
        <f t="shared" si="39"/>
        <v>955</v>
      </c>
    </row>
    <row r="250" spans="13:22" x14ac:dyDescent="0.3">
      <c r="M250" s="8">
        <f t="shared" si="37"/>
        <v>239.25</v>
      </c>
      <c r="N250" s="1">
        <v>215</v>
      </c>
      <c r="O250" s="1">
        <f t="shared" si="38"/>
        <v>239.25</v>
      </c>
      <c r="P250" s="1">
        <f t="shared" si="40"/>
        <v>0.5</v>
      </c>
      <c r="R250" s="96">
        <v>215</v>
      </c>
      <c r="S250" s="90">
        <f t="shared" si="41"/>
        <v>239.25</v>
      </c>
      <c r="T250" s="7">
        <v>239.25</v>
      </c>
      <c r="U250" s="99">
        <v>0.5</v>
      </c>
      <c r="V250" s="7">
        <f t="shared" si="39"/>
        <v>957</v>
      </c>
    </row>
    <row r="251" spans="13:22" x14ac:dyDescent="0.3">
      <c r="M251" s="8">
        <f t="shared" si="37"/>
        <v>239.75</v>
      </c>
      <c r="N251" s="1">
        <v>216</v>
      </c>
      <c r="O251" s="1">
        <f t="shared" si="38"/>
        <v>239.75</v>
      </c>
      <c r="P251" s="1">
        <f t="shared" si="40"/>
        <v>0.5</v>
      </c>
      <c r="R251" s="96">
        <v>216</v>
      </c>
      <c r="S251" s="90">
        <f t="shared" si="41"/>
        <v>239.75</v>
      </c>
      <c r="T251" s="7">
        <v>239.75</v>
      </c>
      <c r="U251" s="99">
        <v>0.5</v>
      </c>
      <c r="V251" s="7">
        <f t="shared" si="39"/>
        <v>959</v>
      </c>
    </row>
    <row r="252" spans="13:22" x14ac:dyDescent="0.3">
      <c r="M252" s="8">
        <f t="shared" si="37"/>
        <v>240.25</v>
      </c>
      <c r="N252" s="1">
        <v>217</v>
      </c>
      <c r="O252" s="1">
        <f t="shared" si="38"/>
        <v>240.25</v>
      </c>
      <c r="P252" s="1">
        <f t="shared" si="40"/>
        <v>0.5</v>
      </c>
      <c r="R252" s="96">
        <v>217</v>
      </c>
      <c r="S252" s="90">
        <f t="shared" si="41"/>
        <v>240.25</v>
      </c>
      <c r="T252" s="7">
        <v>240.25</v>
      </c>
      <c r="U252" s="99">
        <v>0.5</v>
      </c>
      <c r="V252" s="7">
        <f t="shared" si="39"/>
        <v>961</v>
      </c>
    </row>
    <row r="253" spans="13:22" x14ac:dyDescent="0.3">
      <c r="M253" s="8">
        <f t="shared" si="37"/>
        <v>240.75</v>
      </c>
      <c r="N253" s="1">
        <v>218</v>
      </c>
      <c r="O253" s="1">
        <f t="shared" si="38"/>
        <v>240.75</v>
      </c>
      <c r="P253" s="1">
        <f t="shared" si="40"/>
        <v>0.5</v>
      </c>
      <c r="R253" s="96">
        <v>218</v>
      </c>
      <c r="S253" s="90">
        <f t="shared" si="41"/>
        <v>240.75</v>
      </c>
      <c r="T253" s="7">
        <v>240.75</v>
      </c>
      <c r="U253" s="99">
        <v>0.5</v>
      </c>
      <c r="V253" s="7">
        <f t="shared" si="39"/>
        <v>963</v>
      </c>
    </row>
    <row r="254" spans="13:22" x14ac:dyDescent="0.3">
      <c r="M254" s="8">
        <f t="shared" si="37"/>
        <v>241</v>
      </c>
      <c r="N254" s="1">
        <v>219</v>
      </c>
      <c r="O254" s="1">
        <f t="shared" si="38"/>
        <v>241</v>
      </c>
      <c r="P254" s="1">
        <f t="shared" si="40"/>
        <v>0.25</v>
      </c>
      <c r="R254" s="96">
        <v>219</v>
      </c>
      <c r="S254" s="90">
        <f t="shared" si="41"/>
        <v>241</v>
      </c>
      <c r="T254" s="7">
        <v>241</v>
      </c>
      <c r="U254" s="99">
        <v>0.25</v>
      </c>
      <c r="V254" s="7">
        <f t="shared" si="39"/>
        <v>964</v>
      </c>
    </row>
    <row r="255" spans="13:22" x14ac:dyDescent="0.3">
      <c r="M255" s="8">
        <f t="shared" si="37"/>
        <v>241.5</v>
      </c>
      <c r="N255" s="1">
        <v>220</v>
      </c>
      <c r="O255" s="1">
        <f t="shared" si="38"/>
        <v>241.5</v>
      </c>
      <c r="P255" s="1">
        <f t="shared" si="40"/>
        <v>0.5</v>
      </c>
      <c r="R255" s="96">
        <v>220</v>
      </c>
      <c r="S255" s="90">
        <f t="shared" si="41"/>
        <v>241.5</v>
      </c>
      <c r="T255" s="7">
        <v>241.5</v>
      </c>
      <c r="U255" s="99">
        <v>0.5</v>
      </c>
      <c r="V255" s="7">
        <f t="shared" si="39"/>
        <v>966</v>
      </c>
    </row>
    <row r="256" spans="13:22" x14ac:dyDescent="0.3">
      <c r="M256" s="8">
        <f t="shared" si="37"/>
        <v>241.75</v>
      </c>
      <c r="N256" s="1">
        <v>221</v>
      </c>
      <c r="O256" s="1">
        <f t="shared" si="38"/>
        <v>241.75</v>
      </c>
      <c r="P256" s="1">
        <f t="shared" si="40"/>
        <v>0.25</v>
      </c>
      <c r="R256" s="96">
        <v>221</v>
      </c>
      <c r="S256" s="90">
        <f t="shared" si="41"/>
        <v>241.75</v>
      </c>
      <c r="T256" s="7">
        <v>241.75</v>
      </c>
      <c r="U256" s="99">
        <v>0.25</v>
      </c>
      <c r="V256" s="7">
        <f t="shared" si="39"/>
        <v>967</v>
      </c>
    </row>
    <row r="257" spans="13:22" x14ac:dyDescent="0.3">
      <c r="M257" s="8">
        <f t="shared" si="37"/>
        <v>242.25</v>
      </c>
      <c r="N257" s="1">
        <v>222</v>
      </c>
      <c r="O257" s="1">
        <f t="shared" si="38"/>
        <v>242.25</v>
      </c>
      <c r="P257" s="1">
        <f t="shared" si="40"/>
        <v>0.5</v>
      </c>
      <c r="R257" s="96">
        <v>222</v>
      </c>
      <c r="S257" s="90">
        <f t="shared" si="41"/>
        <v>242.25</v>
      </c>
      <c r="T257" s="7">
        <v>242.25</v>
      </c>
      <c r="U257" s="99">
        <v>0.5</v>
      </c>
      <c r="V257" s="7">
        <f t="shared" si="39"/>
        <v>969</v>
      </c>
    </row>
    <row r="258" spans="13:22" x14ac:dyDescent="0.3">
      <c r="M258" s="8">
        <f t="shared" si="37"/>
        <v>242.75</v>
      </c>
      <c r="N258" s="1">
        <v>223</v>
      </c>
      <c r="O258" s="1">
        <f t="shared" si="38"/>
        <v>242.75</v>
      </c>
      <c r="P258" s="1">
        <f t="shared" si="40"/>
        <v>0.5</v>
      </c>
      <c r="R258" s="96">
        <v>223</v>
      </c>
      <c r="S258" s="90">
        <f t="shared" si="41"/>
        <v>242.75</v>
      </c>
      <c r="T258" s="7">
        <v>242.75</v>
      </c>
      <c r="U258" s="99">
        <v>0.5</v>
      </c>
      <c r="V258" s="7">
        <f t="shared" si="39"/>
        <v>971</v>
      </c>
    </row>
    <row r="259" spans="13:22" x14ac:dyDescent="0.3">
      <c r="M259" s="8">
        <f t="shared" si="37"/>
        <v>243</v>
      </c>
      <c r="N259" s="1">
        <v>224</v>
      </c>
      <c r="O259" s="1">
        <f t="shared" si="38"/>
        <v>243</v>
      </c>
      <c r="P259" s="1">
        <f t="shared" si="40"/>
        <v>0.25</v>
      </c>
      <c r="R259" s="96">
        <v>224</v>
      </c>
      <c r="S259" s="90">
        <f t="shared" si="41"/>
        <v>243</v>
      </c>
      <c r="T259" s="7">
        <v>243</v>
      </c>
      <c r="U259" s="99">
        <v>0.25</v>
      </c>
      <c r="V259" s="7">
        <f t="shared" si="39"/>
        <v>972</v>
      </c>
    </row>
    <row r="260" spans="13:22" x14ac:dyDescent="0.3">
      <c r="M260" s="8">
        <f t="shared" si="37"/>
        <v>243.5</v>
      </c>
      <c r="N260" s="1">
        <v>225</v>
      </c>
      <c r="O260" s="1">
        <f t="shared" si="38"/>
        <v>243.5</v>
      </c>
      <c r="P260" s="1">
        <f t="shared" si="40"/>
        <v>0.5</v>
      </c>
      <c r="R260" s="96">
        <v>225</v>
      </c>
      <c r="S260" s="90">
        <f t="shared" si="41"/>
        <v>243.5</v>
      </c>
      <c r="T260" s="7">
        <v>243.5</v>
      </c>
      <c r="U260" s="99">
        <v>0.5</v>
      </c>
      <c r="V260" s="7">
        <f t="shared" si="39"/>
        <v>974</v>
      </c>
    </row>
    <row r="261" spans="13:22" x14ac:dyDescent="0.3">
      <c r="M261" s="8">
        <f t="shared" si="37"/>
        <v>243.75</v>
      </c>
      <c r="N261" s="1">
        <v>226</v>
      </c>
      <c r="O261" s="1">
        <f t="shared" si="38"/>
        <v>243.75</v>
      </c>
      <c r="P261" s="1">
        <f t="shared" si="40"/>
        <v>0.25</v>
      </c>
      <c r="R261" s="96">
        <v>226</v>
      </c>
      <c r="S261" s="90">
        <f t="shared" si="41"/>
        <v>243.75</v>
      </c>
      <c r="T261" s="7">
        <v>243.75</v>
      </c>
      <c r="U261" s="99">
        <v>0.25</v>
      </c>
      <c r="V261" s="7">
        <f t="shared" si="39"/>
        <v>975</v>
      </c>
    </row>
    <row r="262" spans="13:22" x14ac:dyDescent="0.3">
      <c r="M262" s="8">
        <f t="shared" si="37"/>
        <v>244</v>
      </c>
      <c r="N262" s="1">
        <v>227</v>
      </c>
      <c r="O262" s="1">
        <f t="shared" si="38"/>
        <v>244</v>
      </c>
      <c r="P262" s="1">
        <f t="shared" si="40"/>
        <v>0.25</v>
      </c>
      <c r="R262" s="96">
        <v>227</v>
      </c>
      <c r="S262" s="90">
        <f t="shared" si="41"/>
        <v>244</v>
      </c>
      <c r="T262" s="7">
        <v>244</v>
      </c>
      <c r="U262" s="99">
        <v>0.25</v>
      </c>
      <c r="V262" s="7">
        <f t="shared" si="39"/>
        <v>976</v>
      </c>
    </row>
    <row r="263" spans="13:22" x14ac:dyDescent="0.3">
      <c r="M263" s="8">
        <f t="shared" si="37"/>
        <v>244.5</v>
      </c>
      <c r="N263" s="1">
        <v>228</v>
      </c>
      <c r="O263" s="1">
        <f t="shared" si="38"/>
        <v>244.5</v>
      </c>
      <c r="P263" s="1">
        <f t="shared" si="40"/>
        <v>0.5</v>
      </c>
      <c r="R263" s="96">
        <v>228</v>
      </c>
      <c r="S263" s="90">
        <f t="shared" si="41"/>
        <v>244.5</v>
      </c>
      <c r="T263" s="7">
        <v>244.5</v>
      </c>
      <c r="U263" s="99">
        <v>0.5</v>
      </c>
      <c r="V263" s="7">
        <f t="shared" si="39"/>
        <v>978</v>
      </c>
    </row>
    <row r="264" spans="13:22" x14ac:dyDescent="0.3">
      <c r="M264" s="8">
        <f t="shared" si="37"/>
        <v>245</v>
      </c>
      <c r="N264" s="1">
        <v>229</v>
      </c>
      <c r="O264" s="1">
        <f t="shared" si="38"/>
        <v>245</v>
      </c>
      <c r="P264" s="1">
        <f t="shared" si="40"/>
        <v>0.5</v>
      </c>
      <c r="R264" s="96">
        <v>229</v>
      </c>
      <c r="S264" s="90">
        <f t="shared" si="41"/>
        <v>245</v>
      </c>
      <c r="T264" s="7">
        <v>245</v>
      </c>
      <c r="U264" s="99">
        <v>0.5</v>
      </c>
      <c r="V264" s="7">
        <f t="shared" si="39"/>
        <v>980</v>
      </c>
    </row>
    <row r="265" spans="13:22" x14ac:dyDescent="0.3">
      <c r="M265" s="8">
        <f t="shared" si="37"/>
        <v>245.5</v>
      </c>
      <c r="N265" s="1">
        <v>230</v>
      </c>
      <c r="O265" s="1">
        <f t="shared" si="38"/>
        <v>245.5</v>
      </c>
      <c r="P265" s="1">
        <f t="shared" si="40"/>
        <v>0.5</v>
      </c>
      <c r="R265" s="96">
        <v>230</v>
      </c>
      <c r="S265" s="90">
        <f t="shared" si="41"/>
        <v>245.5</v>
      </c>
      <c r="T265" s="7">
        <v>245.5</v>
      </c>
      <c r="U265" s="99">
        <v>0.5</v>
      </c>
      <c r="V265" s="7">
        <f t="shared" si="39"/>
        <v>982</v>
      </c>
    </row>
    <row r="266" spans="13:22" x14ac:dyDescent="0.3">
      <c r="M266" s="8">
        <f t="shared" si="37"/>
        <v>245.75</v>
      </c>
      <c r="N266" s="1">
        <v>231</v>
      </c>
      <c r="O266" s="1">
        <f t="shared" si="38"/>
        <v>245.75</v>
      </c>
      <c r="P266" s="1">
        <f t="shared" si="40"/>
        <v>0.25</v>
      </c>
      <c r="R266" s="96">
        <v>231</v>
      </c>
      <c r="S266" s="90">
        <f t="shared" si="41"/>
        <v>245.75</v>
      </c>
      <c r="T266" s="7">
        <v>245.75</v>
      </c>
      <c r="U266" s="99">
        <v>0.25</v>
      </c>
      <c r="V266" s="7">
        <f t="shared" si="39"/>
        <v>983</v>
      </c>
    </row>
    <row r="267" spans="13:22" x14ac:dyDescent="0.3">
      <c r="M267" s="8">
        <f t="shared" si="37"/>
        <v>246.25</v>
      </c>
      <c r="N267" s="1">
        <v>232</v>
      </c>
      <c r="O267" s="1">
        <f t="shared" si="38"/>
        <v>246.25</v>
      </c>
      <c r="P267" s="1">
        <f t="shared" si="40"/>
        <v>0.5</v>
      </c>
      <c r="R267" s="96">
        <v>232</v>
      </c>
      <c r="S267" s="90">
        <f t="shared" si="41"/>
        <v>246.25</v>
      </c>
      <c r="T267" s="7">
        <v>246.25</v>
      </c>
      <c r="U267" s="99">
        <v>0.5</v>
      </c>
      <c r="V267" s="7">
        <f t="shared" si="39"/>
        <v>985</v>
      </c>
    </row>
    <row r="268" spans="13:22" x14ac:dyDescent="0.3">
      <c r="M268" s="8">
        <f t="shared" si="37"/>
        <v>246.75</v>
      </c>
      <c r="N268" s="1">
        <v>233</v>
      </c>
      <c r="O268" s="1">
        <f t="shared" si="38"/>
        <v>246.75</v>
      </c>
      <c r="P268" s="1">
        <f t="shared" si="40"/>
        <v>0.5</v>
      </c>
      <c r="R268" s="96">
        <v>233</v>
      </c>
      <c r="S268" s="90">
        <f t="shared" si="41"/>
        <v>246.75</v>
      </c>
      <c r="T268" s="7">
        <v>246.75</v>
      </c>
      <c r="U268" s="99">
        <v>0.5</v>
      </c>
      <c r="V268" s="7">
        <f t="shared" si="39"/>
        <v>987</v>
      </c>
    </row>
    <row r="269" spans="13:22" x14ac:dyDescent="0.3">
      <c r="M269" s="8">
        <f t="shared" si="37"/>
        <v>247</v>
      </c>
      <c r="N269" s="1">
        <v>234</v>
      </c>
      <c r="O269" s="1">
        <f t="shared" si="38"/>
        <v>247</v>
      </c>
      <c r="P269" s="1">
        <f t="shared" si="40"/>
        <v>0.25</v>
      </c>
      <c r="R269" s="96">
        <v>234</v>
      </c>
      <c r="S269" s="90">
        <f t="shared" si="41"/>
        <v>247</v>
      </c>
      <c r="T269" s="7">
        <v>247</v>
      </c>
      <c r="U269" s="99">
        <v>0.25</v>
      </c>
      <c r="V269" s="7">
        <f t="shared" si="39"/>
        <v>988</v>
      </c>
    </row>
    <row r="270" spans="13:22" x14ac:dyDescent="0.3">
      <c r="M270" s="8">
        <f t="shared" si="37"/>
        <v>247.5</v>
      </c>
      <c r="N270" s="1">
        <v>235</v>
      </c>
      <c r="O270" s="1">
        <f t="shared" si="38"/>
        <v>247.5</v>
      </c>
      <c r="P270" s="1">
        <f t="shared" si="40"/>
        <v>0.5</v>
      </c>
      <c r="R270" s="96">
        <v>235</v>
      </c>
      <c r="S270" s="90">
        <f t="shared" si="41"/>
        <v>247.5</v>
      </c>
      <c r="T270" s="7">
        <v>247.5</v>
      </c>
      <c r="U270" s="99">
        <v>0.5</v>
      </c>
      <c r="V270" s="7">
        <f t="shared" si="39"/>
        <v>990</v>
      </c>
    </row>
    <row r="271" spans="13:22" x14ac:dyDescent="0.3">
      <c r="M271" s="8">
        <f t="shared" si="37"/>
        <v>248</v>
      </c>
      <c r="N271" s="1">
        <v>236</v>
      </c>
      <c r="O271" s="1">
        <f t="shared" si="38"/>
        <v>248</v>
      </c>
      <c r="P271" s="1">
        <f t="shared" si="40"/>
        <v>0.5</v>
      </c>
      <c r="R271" s="96">
        <v>236</v>
      </c>
      <c r="S271" s="90">
        <f t="shared" si="41"/>
        <v>248</v>
      </c>
      <c r="T271" s="7">
        <v>248</v>
      </c>
      <c r="U271" s="99">
        <v>0.5</v>
      </c>
      <c r="V271" s="7">
        <f t="shared" si="39"/>
        <v>992</v>
      </c>
    </row>
    <row r="272" spans="13:22" x14ac:dyDescent="0.3">
      <c r="M272" s="8">
        <f t="shared" si="37"/>
        <v>248.5</v>
      </c>
      <c r="N272" s="1">
        <v>237</v>
      </c>
      <c r="O272" s="1">
        <f t="shared" si="38"/>
        <v>248.5</v>
      </c>
      <c r="P272" s="1">
        <f t="shared" si="40"/>
        <v>0.5</v>
      </c>
      <c r="R272" s="96">
        <v>237</v>
      </c>
      <c r="S272" s="90">
        <f t="shared" si="41"/>
        <v>248.5</v>
      </c>
      <c r="T272" s="7">
        <v>248.5</v>
      </c>
      <c r="U272" s="99">
        <v>0.5</v>
      </c>
      <c r="V272" s="7">
        <f t="shared" si="39"/>
        <v>994</v>
      </c>
    </row>
    <row r="273" spans="13:22" x14ac:dyDescent="0.3">
      <c r="M273" s="8">
        <f t="shared" si="37"/>
        <v>248.75</v>
      </c>
      <c r="N273" s="1">
        <v>238</v>
      </c>
      <c r="O273" s="1">
        <f t="shared" si="38"/>
        <v>248.75</v>
      </c>
      <c r="P273" s="1">
        <f t="shared" si="40"/>
        <v>0.25</v>
      </c>
      <c r="R273" s="96">
        <v>238</v>
      </c>
      <c r="S273" s="90">
        <f t="shared" si="41"/>
        <v>248.75</v>
      </c>
      <c r="T273" s="7">
        <v>248.75</v>
      </c>
      <c r="U273" s="99">
        <v>0.25</v>
      </c>
      <c r="V273" s="7">
        <f t="shared" si="39"/>
        <v>995</v>
      </c>
    </row>
    <row r="274" spans="13:22" x14ac:dyDescent="0.3">
      <c r="M274" s="8">
        <f t="shared" si="37"/>
        <v>249.25</v>
      </c>
      <c r="N274" s="1">
        <v>239</v>
      </c>
      <c r="O274" s="1">
        <f t="shared" si="38"/>
        <v>249.25</v>
      </c>
      <c r="P274" s="1">
        <f t="shared" si="40"/>
        <v>0.5</v>
      </c>
      <c r="R274" s="96">
        <v>239</v>
      </c>
      <c r="S274" s="90">
        <f t="shared" si="41"/>
        <v>249.25</v>
      </c>
      <c r="T274" s="7">
        <v>249.25</v>
      </c>
      <c r="U274" s="99">
        <v>0.5</v>
      </c>
      <c r="V274" s="7">
        <f t="shared" si="39"/>
        <v>997</v>
      </c>
    </row>
    <row r="275" spans="13:22" x14ac:dyDescent="0.3">
      <c r="M275" s="8">
        <f t="shared" si="37"/>
        <v>249.75</v>
      </c>
      <c r="N275" s="1">
        <v>240</v>
      </c>
      <c r="O275" s="1">
        <f t="shared" si="38"/>
        <v>249.75</v>
      </c>
      <c r="P275" s="1">
        <f t="shared" si="40"/>
        <v>0.5</v>
      </c>
      <c r="R275" s="96">
        <v>240</v>
      </c>
      <c r="S275" s="90">
        <f t="shared" si="41"/>
        <v>249.75</v>
      </c>
      <c r="T275" s="7">
        <v>249.75</v>
      </c>
      <c r="U275" s="99">
        <v>0.5</v>
      </c>
      <c r="V275" s="7">
        <f t="shared" si="39"/>
        <v>999</v>
      </c>
    </row>
    <row r="276" spans="13:22" x14ac:dyDescent="0.3">
      <c r="M276" s="8">
        <f t="shared" si="37"/>
        <v>250.25</v>
      </c>
      <c r="N276" s="1">
        <v>241</v>
      </c>
      <c r="O276" s="1">
        <f t="shared" si="38"/>
        <v>250.25</v>
      </c>
      <c r="P276" s="1">
        <f t="shared" si="40"/>
        <v>0.5</v>
      </c>
      <c r="R276" s="96">
        <v>241</v>
      </c>
      <c r="S276" s="90">
        <f t="shared" si="41"/>
        <v>250.25</v>
      </c>
      <c r="T276" s="7">
        <v>250.25</v>
      </c>
      <c r="U276" s="99">
        <v>0.5</v>
      </c>
      <c r="V276" s="7">
        <f t="shared" si="39"/>
        <v>1001</v>
      </c>
    </row>
    <row r="277" spans="13:22" x14ac:dyDescent="0.3">
      <c r="M277" s="8">
        <f t="shared" si="37"/>
        <v>250.75</v>
      </c>
      <c r="N277" s="1">
        <v>242</v>
      </c>
      <c r="O277" s="1">
        <f t="shared" si="38"/>
        <v>250.75</v>
      </c>
      <c r="P277" s="1">
        <f t="shared" si="40"/>
        <v>0.5</v>
      </c>
      <c r="R277" s="96">
        <v>242</v>
      </c>
      <c r="S277" s="90">
        <f t="shared" si="41"/>
        <v>250.75</v>
      </c>
      <c r="T277" s="7">
        <v>250.75</v>
      </c>
      <c r="U277" s="99">
        <v>0.5</v>
      </c>
      <c r="V277" s="7">
        <f t="shared" si="39"/>
        <v>1003</v>
      </c>
    </row>
    <row r="278" spans="13:22" x14ac:dyDescent="0.3">
      <c r="M278" s="8">
        <f t="shared" si="37"/>
        <v>251</v>
      </c>
      <c r="N278" s="1">
        <v>243</v>
      </c>
      <c r="O278" s="1">
        <f t="shared" si="38"/>
        <v>251</v>
      </c>
      <c r="P278" s="1">
        <f t="shared" si="40"/>
        <v>0.25</v>
      </c>
      <c r="R278" s="96">
        <v>243</v>
      </c>
      <c r="S278" s="90">
        <f t="shared" si="41"/>
        <v>251</v>
      </c>
      <c r="T278" s="7">
        <v>251</v>
      </c>
      <c r="U278" s="99">
        <v>0.25</v>
      </c>
      <c r="V278" s="7">
        <f t="shared" si="39"/>
        <v>1004</v>
      </c>
    </row>
    <row r="279" spans="13:22" x14ac:dyDescent="0.3">
      <c r="M279" s="8">
        <f t="shared" si="37"/>
        <v>251.25</v>
      </c>
      <c r="N279" s="1">
        <v>244</v>
      </c>
      <c r="O279" s="1">
        <f t="shared" si="38"/>
        <v>251.25</v>
      </c>
      <c r="P279" s="1">
        <f t="shared" si="40"/>
        <v>0.25</v>
      </c>
      <c r="R279" s="96">
        <v>244</v>
      </c>
      <c r="S279" s="90">
        <f t="shared" si="41"/>
        <v>251.25</v>
      </c>
      <c r="T279" s="7">
        <v>251.25</v>
      </c>
      <c r="U279" s="99">
        <v>0.25</v>
      </c>
      <c r="V279" s="7">
        <f t="shared" si="39"/>
        <v>1005</v>
      </c>
    </row>
    <row r="280" spans="13:22" x14ac:dyDescent="0.3">
      <c r="M280" s="8">
        <f t="shared" si="37"/>
        <v>251.75</v>
      </c>
      <c r="N280" s="1">
        <v>245</v>
      </c>
      <c r="O280" s="1">
        <f t="shared" si="38"/>
        <v>251.75</v>
      </c>
      <c r="P280" s="1">
        <f t="shared" si="40"/>
        <v>0.5</v>
      </c>
      <c r="R280" s="96">
        <v>245</v>
      </c>
      <c r="S280" s="90">
        <f t="shared" si="41"/>
        <v>251.75</v>
      </c>
      <c r="T280" s="7">
        <v>251.75</v>
      </c>
      <c r="U280" s="99">
        <v>0.5</v>
      </c>
      <c r="V280" s="7">
        <f t="shared" si="39"/>
        <v>1007</v>
      </c>
    </row>
    <row r="281" spans="13:22" x14ac:dyDescent="0.3">
      <c r="M281" s="8">
        <f t="shared" si="37"/>
        <v>252</v>
      </c>
      <c r="N281" s="1">
        <v>246</v>
      </c>
      <c r="O281" s="1">
        <f t="shared" si="38"/>
        <v>252</v>
      </c>
      <c r="P281" s="1">
        <f t="shared" si="40"/>
        <v>0.25</v>
      </c>
      <c r="R281" s="96">
        <v>246</v>
      </c>
      <c r="S281" s="90">
        <f t="shared" si="41"/>
        <v>252</v>
      </c>
      <c r="T281" s="7">
        <v>252</v>
      </c>
      <c r="U281" s="99">
        <v>0.25</v>
      </c>
      <c r="V281" s="7">
        <f t="shared" si="39"/>
        <v>1008</v>
      </c>
    </row>
    <row r="282" spans="13:22" x14ac:dyDescent="0.3">
      <c r="M282" s="8">
        <f t="shared" si="37"/>
        <v>252.5</v>
      </c>
      <c r="N282" s="1">
        <v>247</v>
      </c>
      <c r="O282" s="1">
        <f t="shared" si="38"/>
        <v>252.5</v>
      </c>
      <c r="P282" s="1">
        <f t="shared" si="40"/>
        <v>0.5</v>
      </c>
      <c r="R282" s="96">
        <v>247</v>
      </c>
      <c r="S282" s="90">
        <f t="shared" si="41"/>
        <v>252.5</v>
      </c>
      <c r="T282" s="7">
        <v>252.5</v>
      </c>
      <c r="U282" s="99">
        <v>0.5</v>
      </c>
      <c r="V282" s="7">
        <f t="shared" si="39"/>
        <v>1010</v>
      </c>
    </row>
    <row r="283" spans="13:22" x14ac:dyDescent="0.3">
      <c r="M283" s="8">
        <f t="shared" si="37"/>
        <v>252.75</v>
      </c>
      <c r="N283" s="1">
        <v>248</v>
      </c>
      <c r="O283" s="1">
        <f t="shared" si="38"/>
        <v>252.75</v>
      </c>
      <c r="P283" s="1">
        <f t="shared" si="40"/>
        <v>0.25</v>
      </c>
      <c r="R283" s="96">
        <v>248</v>
      </c>
      <c r="S283" s="90">
        <f t="shared" si="41"/>
        <v>252.75</v>
      </c>
      <c r="T283" s="7">
        <v>252.75</v>
      </c>
      <c r="U283" s="99">
        <v>0.25</v>
      </c>
      <c r="V283" s="7">
        <f t="shared" si="39"/>
        <v>1011</v>
      </c>
    </row>
    <row r="284" spans="13:22" x14ac:dyDescent="0.3">
      <c r="M284" s="8">
        <f t="shared" si="37"/>
        <v>253.25</v>
      </c>
      <c r="N284" s="1">
        <v>249</v>
      </c>
      <c r="O284" s="1">
        <f t="shared" si="38"/>
        <v>253.25</v>
      </c>
      <c r="P284" s="1">
        <f t="shared" si="40"/>
        <v>0.5</v>
      </c>
      <c r="R284" s="96">
        <v>249</v>
      </c>
      <c r="S284" s="90">
        <f t="shared" si="41"/>
        <v>253.25</v>
      </c>
      <c r="T284" s="7">
        <v>253.25</v>
      </c>
      <c r="U284" s="99">
        <v>0.5</v>
      </c>
      <c r="V284" s="7">
        <f t="shared" si="39"/>
        <v>1013</v>
      </c>
    </row>
    <row r="285" spans="13:22" x14ac:dyDescent="0.3">
      <c r="M285" s="8">
        <f t="shared" si="37"/>
        <v>253.75</v>
      </c>
      <c r="N285" s="1">
        <v>250</v>
      </c>
      <c r="O285" s="1">
        <f t="shared" si="38"/>
        <v>253.75</v>
      </c>
      <c r="P285" s="1">
        <f t="shared" si="40"/>
        <v>0.5</v>
      </c>
      <c r="R285" s="96">
        <v>250</v>
      </c>
      <c r="S285" s="90">
        <f t="shared" si="41"/>
        <v>253.75</v>
      </c>
      <c r="T285" s="7">
        <v>253.75</v>
      </c>
      <c r="U285" s="99">
        <v>0.5</v>
      </c>
      <c r="V285" s="7">
        <f t="shared" si="39"/>
        <v>1015</v>
      </c>
    </row>
    <row r="286" spans="13:22" x14ac:dyDescent="0.3">
      <c r="M286" s="8">
        <f t="shared" si="37"/>
        <v>254</v>
      </c>
      <c r="N286" s="1">
        <v>251</v>
      </c>
      <c r="O286" s="1">
        <f t="shared" si="38"/>
        <v>254</v>
      </c>
      <c r="P286" s="1">
        <f t="shared" si="40"/>
        <v>0.25</v>
      </c>
      <c r="R286" s="96">
        <v>251</v>
      </c>
      <c r="S286" s="90">
        <f t="shared" si="41"/>
        <v>254</v>
      </c>
      <c r="T286" s="7">
        <v>254</v>
      </c>
      <c r="U286" s="99">
        <v>0.25</v>
      </c>
      <c r="V286" s="7">
        <f t="shared" si="39"/>
        <v>1016</v>
      </c>
    </row>
    <row r="287" spans="13:22" x14ac:dyDescent="0.3">
      <c r="M287" s="8">
        <f t="shared" si="37"/>
        <v>254.25</v>
      </c>
      <c r="N287" s="1">
        <v>252</v>
      </c>
      <c r="O287" s="1">
        <f t="shared" si="38"/>
        <v>254.25</v>
      </c>
      <c r="P287" s="1">
        <f t="shared" si="40"/>
        <v>0.25</v>
      </c>
      <c r="R287" s="96">
        <v>252</v>
      </c>
      <c r="S287" s="90">
        <f t="shared" si="41"/>
        <v>254.25</v>
      </c>
      <c r="T287" s="7">
        <v>254.25</v>
      </c>
      <c r="U287" s="99">
        <v>0.25</v>
      </c>
      <c r="V287" s="7">
        <f t="shared" si="39"/>
        <v>1017</v>
      </c>
    </row>
    <row r="288" spans="13:22" x14ac:dyDescent="0.3">
      <c r="M288" s="8">
        <f t="shared" si="37"/>
        <v>254.75</v>
      </c>
      <c r="N288" s="1">
        <v>253</v>
      </c>
      <c r="O288" s="1">
        <f t="shared" si="38"/>
        <v>254.75</v>
      </c>
      <c r="P288" s="1">
        <f t="shared" si="40"/>
        <v>0.5</v>
      </c>
      <c r="R288" s="96">
        <v>253</v>
      </c>
      <c r="S288" s="90">
        <f t="shared" si="41"/>
        <v>254.75</v>
      </c>
      <c r="T288" s="7">
        <v>254.75</v>
      </c>
      <c r="U288" s="99">
        <v>0.5</v>
      </c>
      <c r="V288" s="7">
        <f t="shared" si="39"/>
        <v>1019</v>
      </c>
    </row>
    <row r="289" spans="13:22" x14ac:dyDescent="0.3">
      <c r="M289" s="8">
        <f t="shared" si="37"/>
        <v>255</v>
      </c>
      <c r="N289" s="1">
        <v>254</v>
      </c>
      <c r="O289" s="1">
        <f t="shared" si="38"/>
        <v>255</v>
      </c>
      <c r="P289" s="1">
        <f t="shared" si="40"/>
        <v>0.25</v>
      </c>
      <c r="R289" s="96">
        <v>254</v>
      </c>
      <c r="S289" s="90">
        <f t="shared" si="41"/>
        <v>255</v>
      </c>
      <c r="T289" s="7">
        <v>255</v>
      </c>
      <c r="U289" s="99">
        <v>0.25</v>
      </c>
      <c r="V289" s="7">
        <f t="shared" si="39"/>
        <v>1020</v>
      </c>
    </row>
    <row r="290" spans="13:22" x14ac:dyDescent="0.3">
      <c r="M290" s="8">
        <f t="shared" si="37"/>
        <v>255.5</v>
      </c>
      <c r="N290" s="1">
        <v>255</v>
      </c>
      <c r="O290" s="1">
        <f t="shared" si="38"/>
        <v>255.5</v>
      </c>
      <c r="P290" s="1">
        <f t="shared" si="40"/>
        <v>0.5</v>
      </c>
      <c r="R290" s="96">
        <v>255</v>
      </c>
      <c r="S290" s="90">
        <f t="shared" si="41"/>
        <v>255.5</v>
      </c>
      <c r="T290" s="7">
        <v>255.5</v>
      </c>
      <c r="U290" s="99">
        <v>0.5</v>
      </c>
      <c r="V290" s="7">
        <f t="shared" si="39"/>
        <v>1022</v>
      </c>
    </row>
    <row r="291" spans="13:22" ht="16.8" thickBot="1" x14ac:dyDescent="0.35">
      <c r="M291" s="8">
        <f t="shared" si="37"/>
        <v>255.75</v>
      </c>
      <c r="N291" s="1">
        <v>256</v>
      </c>
      <c r="O291" s="1">
        <f>VALUE(RIGHT($T$2,LEN($T$2)-FIND("*",SUBSTITUTE($T$2," ","*",256),1)))/4</f>
        <v>255.75</v>
      </c>
      <c r="P291" s="1">
        <f t="shared" si="40"/>
        <v>0.25</v>
      </c>
      <c r="R291" s="97">
        <v>256</v>
      </c>
      <c r="S291" s="94">
        <f t="shared" si="41"/>
        <v>255.75</v>
      </c>
      <c r="T291" s="7">
        <v>255.75</v>
      </c>
      <c r="U291" s="99">
        <v>0.25</v>
      </c>
      <c r="V291" s="7">
        <f t="shared" si="39"/>
        <v>1023</v>
      </c>
    </row>
    <row r="292" spans="13:22" x14ac:dyDescent="0.3">
      <c r="U292" s="1"/>
    </row>
    <row r="293" spans="13:22" x14ac:dyDescent="0.3">
      <c r="U293" s="1"/>
    </row>
    <row r="294" spans="13:22" x14ac:dyDescent="0.3">
      <c r="U294" s="1"/>
    </row>
    <row r="295" spans="13:22" x14ac:dyDescent="0.3">
      <c r="U295" s="1"/>
    </row>
    <row r="296" spans="13:22" x14ac:dyDescent="0.3">
      <c r="U296" s="1"/>
    </row>
    <row r="297" spans="13:22" x14ac:dyDescent="0.3">
      <c r="U297" s="1"/>
    </row>
    <row r="298" spans="13:22" x14ac:dyDescent="0.3">
      <c r="U298" s="1"/>
    </row>
  </sheetData>
  <mergeCells count="19">
    <mergeCell ref="M33:P33"/>
    <mergeCell ref="R33:U33"/>
    <mergeCell ref="B99:C102"/>
    <mergeCell ref="B103:C106"/>
    <mergeCell ref="B107:C110"/>
    <mergeCell ref="Y2:AC5"/>
    <mergeCell ref="K4:K6"/>
    <mergeCell ref="M6:N6"/>
    <mergeCell ref="M7:N7"/>
    <mergeCell ref="P2:P5"/>
    <mergeCell ref="R2:S5"/>
    <mergeCell ref="T2:X5"/>
    <mergeCell ref="B8:B9"/>
    <mergeCell ref="M8:N8"/>
    <mergeCell ref="M9:N9"/>
    <mergeCell ref="B2:J6"/>
    <mergeCell ref="K2:K3"/>
    <mergeCell ref="M2:O5"/>
    <mergeCell ref="C8:I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zoomScaleNormal="100" workbookViewId="0">
      <selection activeCell="B2" sqref="B2:N6"/>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101" t="s">
        <v>41</v>
      </c>
      <c r="C2" s="101"/>
      <c r="D2" s="101"/>
      <c r="E2" s="101"/>
      <c r="F2" s="101"/>
      <c r="G2" s="101"/>
      <c r="H2" s="101"/>
      <c r="I2" s="101"/>
      <c r="J2" s="101"/>
      <c r="K2" s="101"/>
      <c r="L2" s="101"/>
      <c r="M2" s="101"/>
      <c r="N2" s="101"/>
    </row>
    <row r="3" spans="1:14" ht="16.5" customHeight="1" x14ac:dyDescent="0.3">
      <c r="A3" s="1"/>
      <c r="B3" s="101"/>
      <c r="C3" s="101"/>
      <c r="D3" s="101"/>
      <c r="E3" s="101"/>
      <c r="F3" s="101"/>
      <c r="G3" s="101"/>
      <c r="H3" s="101"/>
      <c r="I3" s="101"/>
      <c r="J3" s="101"/>
      <c r="K3" s="101"/>
      <c r="L3" s="101"/>
      <c r="M3" s="101"/>
      <c r="N3" s="101"/>
    </row>
    <row r="4" spans="1:14" ht="16.5" customHeight="1" x14ac:dyDescent="0.3">
      <c r="A4" s="1"/>
      <c r="B4" s="101"/>
      <c r="C4" s="101"/>
      <c r="D4" s="101"/>
      <c r="E4" s="101"/>
      <c r="F4" s="101"/>
      <c r="G4" s="101"/>
      <c r="H4" s="101"/>
      <c r="I4" s="101"/>
      <c r="J4" s="101"/>
      <c r="K4" s="101"/>
      <c r="L4" s="101"/>
      <c r="M4" s="101"/>
      <c r="N4" s="101"/>
    </row>
    <row r="5" spans="1:14" ht="16.5" customHeight="1" x14ac:dyDescent="0.3">
      <c r="A5" s="1"/>
      <c r="B5" s="101"/>
      <c r="C5" s="101"/>
      <c r="D5" s="101"/>
      <c r="E5" s="101"/>
      <c r="F5" s="101"/>
      <c r="G5" s="101"/>
      <c r="H5" s="101"/>
      <c r="I5" s="101"/>
      <c r="J5" s="101"/>
      <c r="K5" s="101"/>
      <c r="L5" s="101"/>
      <c r="M5" s="101"/>
      <c r="N5" s="101"/>
    </row>
    <row r="6" spans="1:14" ht="16.5" customHeight="1" x14ac:dyDescent="0.3">
      <c r="A6" s="1"/>
      <c r="B6" s="101"/>
      <c r="C6" s="101"/>
      <c r="D6" s="101"/>
      <c r="E6" s="101"/>
      <c r="F6" s="101"/>
      <c r="G6" s="101"/>
      <c r="H6" s="101"/>
      <c r="I6" s="101"/>
      <c r="J6" s="101"/>
      <c r="K6" s="101"/>
      <c r="L6" s="101"/>
      <c r="M6" s="101"/>
      <c r="N6" s="101"/>
    </row>
    <row r="7" spans="1:14" x14ac:dyDescent="0.3">
      <c r="A7" s="1"/>
      <c r="D7"/>
      <c r="E7"/>
      <c r="F7"/>
      <c r="G7"/>
      <c r="H7"/>
      <c r="I7"/>
      <c r="K7" s="1"/>
    </row>
    <row r="8" spans="1:14" ht="16.5" customHeight="1" x14ac:dyDescent="0.3">
      <c r="A8" s="1"/>
      <c r="B8" s="102" t="s">
        <v>43</v>
      </c>
      <c r="C8" s="102"/>
      <c r="D8" s="102"/>
      <c r="E8" s="102"/>
      <c r="F8" s="102"/>
      <c r="G8" s="102"/>
      <c r="H8" s="102"/>
      <c r="I8" s="102"/>
      <c r="J8" s="102"/>
      <c r="K8" s="102"/>
      <c r="L8" s="102"/>
      <c r="M8" s="102"/>
      <c r="N8" s="102"/>
    </row>
    <row r="9" spans="1:14" ht="16.5" customHeight="1" x14ac:dyDescent="0.3">
      <c r="A9" s="1"/>
      <c r="B9" s="102"/>
      <c r="C9" s="102"/>
      <c r="D9" s="102"/>
      <c r="E9" s="102"/>
      <c r="F9" s="102"/>
      <c r="G9" s="102"/>
      <c r="H9" s="102"/>
      <c r="I9" s="102"/>
      <c r="J9" s="102"/>
      <c r="K9" s="102"/>
      <c r="L9" s="102"/>
      <c r="M9" s="102"/>
      <c r="N9" s="102"/>
    </row>
    <row r="10" spans="1:14" ht="18.75" customHeight="1" x14ac:dyDescent="0.3">
      <c r="A10" s="1"/>
      <c r="B10" s="102"/>
      <c r="C10" s="102"/>
      <c r="D10" s="102"/>
      <c r="E10" s="102"/>
      <c r="F10" s="102"/>
      <c r="G10" s="102"/>
      <c r="H10" s="102"/>
      <c r="I10" s="102"/>
      <c r="J10" s="102"/>
      <c r="K10" s="102"/>
      <c r="L10" s="102"/>
      <c r="M10" s="102"/>
      <c r="N10" s="102"/>
    </row>
    <row r="11" spans="1:14" x14ac:dyDescent="0.3">
      <c r="H11" s="100" t="s">
        <v>3</v>
      </c>
      <c r="I11" s="100"/>
      <c r="J11" s="100"/>
      <c r="K11" s="1"/>
      <c r="L11" s="100" t="s">
        <v>19</v>
      </c>
      <c r="M11" s="100"/>
      <c r="N11" s="100"/>
    </row>
    <row r="12" spans="1:14" x14ac:dyDescent="0.3">
      <c r="B12" s="1" t="s">
        <v>0</v>
      </c>
      <c r="C12" s="13" t="s">
        <v>1</v>
      </c>
      <c r="D12" s="13" t="s">
        <v>20</v>
      </c>
      <c r="E12" s="13" t="s">
        <v>2</v>
      </c>
      <c r="F12" s="1" t="s">
        <v>16</v>
      </c>
      <c r="G12"/>
      <c r="H12" s="14" t="s">
        <v>4</v>
      </c>
      <c r="I12" s="13" t="s">
        <v>5</v>
      </c>
      <c r="J12" s="1" t="s">
        <v>18</v>
      </c>
      <c r="K12" s="1"/>
      <c r="L12" s="15" t="s">
        <v>4</v>
      </c>
      <c r="M12" s="1" t="s">
        <v>5</v>
      </c>
      <c r="N12" s="1" t="s">
        <v>18</v>
      </c>
    </row>
    <row r="13" spans="1:14" x14ac:dyDescent="0.3">
      <c r="B13" s="1">
        <v>4</v>
      </c>
      <c r="C13" s="1"/>
      <c r="F13" s="1">
        <f t="shared" ref="F13:F23" si="0">D13-E13</f>
        <v>0</v>
      </c>
      <c r="G13"/>
      <c r="J13" s="1">
        <f>'(gamma)_2'!F16</f>
        <v>0</v>
      </c>
      <c r="K13" s="1"/>
      <c r="L13" s="12" t="e">
        <f t="shared" ref="L13:L23" si="1">H13*N13/J13</f>
        <v>#DIV/0!</v>
      </c>
      <c r="M13" s="1">
        <f>E13</f>
        <v>0</v>
      </c>
      <c r="N13" s="1">
        <f>'(gamma)_2'!D16</f>
        <v>0</v>
      </c>
    </row>
    <row r="14" spans="1:14" x14ac:dyDescent="0.3">
      <c r="B14" s="1">
        <v>5</v>
      </c>
      <c r="C14" s="1"/>
      <c r="F14" s="1">
        <f t="shared" si="0"/>
        <v>0</v>
      </c>
      <c r="G14"/>
      <c r="J14" s="1">
        <f>'(gamma)_2'!F17</f>
        <v>0</v>
      </c>
      <c r="L14" s="12" t="e">
        <f t="shared" si="1"/>
        <v>#DIV/0!</v>
      </c>
      <c r="M14" s="1">
        <f t="shared" ref="M14:M23" si="2">E14</f>
        <v>0</v>
      </c>
      <c r="N14" s="1">
        <f>'(gamma)_2'!D17</f>
        <v>0</v>
      </c>
    </row>
    <row r="15" spans="1:14" x14ac:dyDescent="0.3">
      <c r="B15" s="1">
        <v>6</v>
      </c>
      <c r="C15" s="1"/>
      <c r="F15" s="1">
        <f t="shared" si="0"/>
        <v>0</v>
      </c>
      <c r="G15"/>
      <c r="J15" s="1">
        <f>'(gamma)_2'!F18</f>
        <v>0</v>
      </c>
      <c r="L15" s="12" t="e">
        <f t="shared" si="1"/>
        <v>#DIV/0!</v>
      </c>
      <c r="M15" s="1">
        <f t="shared" si="2"/>
        <v>0</v>
      </c>
      <c r="N15" s="1">
        <f>'(gamma)_2'!D18</f>
        <v>0</v>
      </c>
    </row>
    <row r="16" spans="1:14" x14ac:dyDescent="0.3">
      <c r="B16" s="1">
        <v>7</v>
      </c>
      <c r="C16" s="1"/>
      <c r="F16" s="1">
        <f t="shared" si="0"/>
        <v>0</v>
      </c>
      <c r="G16"/>
      <c r="J16" s="1">
        <f>'(gamma)_2'!F19</f>
        <v>0</v>
      </c>
      <c r="L16" s="12" t="e">
        <f t="shared" si="1"/>
        <v>#DIV/0!</v>
      </c>
      <c r="M16" s="1">
        <f t="shared" si="2"/>
        <v>0</v>
      </c>
      <c r="N16" s="1">
        <f>'(gamma)_2'!D19</f>
        <v>0</v>
      </c>
    </row>
    <row r="17" spans="2:14" x14ac:dyDescent="0.3">
      <c r="B17" s="1">
        <v>8</v>
      </c>
      <c r="C17" s="1"/>
      <c r="F17" s="1">
        <f t="shared" si="0"/>
        <v>0</v>
      </c>
      <c r="G17"/>
      <c r="J17" s="1">
        <f>'(gamma)_2'!F20</f>
        <v>0</v>
      </c>
      <c r="L17" s="12" t="e">
        <f t="shared" si="1"/>
        <v>#DIV/0!</v>
      </c>
      <c r="M17" s="1">
        <f t="shared" si="2"/>
        <v>0</v>
      </c>
      <c r="N17" s="1">
        <f>'(gamma)_2'!D20</f>
        <v>0</v>
      </c>
    </row>
    <row r="18" spans="2:14" x14ac:dyDescent="0.3">
      <c r="B18" s="1">
        <v>9</v>
      </c>
      <c r="C18" s="1"/>
      <c r="F18" s="1">
        <f t="shared" si="0"/>
        <v>0</v>
      </c>
      <c r="G18"/>
      <c r="J18" s="1">
        <f>'(gamma)_2'!F21</f>
        <v>0</v>
      </c>
      <c r="L18" s="12" t="e">
        <f t="shared" si="1"/>
        <v>#DIV/0!</v>
      </c>
      <c r="M18" s="1">
        <f t="shared" si="2"/>
        <v>0</v>
      </c>
      <c r="N18" s="1">
        <f>'(gamma)_2'!D21</f>
        <v>0</v>
      </c>
    </row>
    <row r="19" spans="2:14" x14ac:dyDescent="0.3">
      <c r="B19" s="1">
        <v>10</v>
      </c>
      <c r="C19" s="1"/>
      <c r="F19" s="1">
        <f t="shared" si="0"/>
        <v>0</v>
      </c>
      <c r="G19"/>
      <c r="J19" s="1">
        <f>'(gamma)_2'!F22</f>
        <v>0</v>
      </c>
      <c r="L19" s="12" t="e">
        <f t="shared" si="1"/>
        <v>#DIV/0!</v>
      </c>
      <c r="M19" s="1">
        <f t="shared" si="2"/>
        <v>0</v>
      </c>
      <c r="N19" s="1">
        <f>'(gamma)_2'!D22</f>
        <v>0</v>
      </c>
    </row>
    <row r="20" spans="2:14" x14ac:dyDescent="0.3">
      <c r="B20" s="1">
        <v>11</v>
      </c>
      <c r="C20" s="1"/>
      <c r="F20" s="1">
        <f t="shared" si="0"/>
        <v>0</v>
      </c>
      <c r="G20"/>
      <c r="J20" s="1">
        <f>'(gamma)_2'!F23</f>
        <v>0</v>
      </c>
      <c r="L20" s="12" t="e">
        <f t="shared" si="1"/>
        <v>#DIV/0!</v>
      </c>
      <c r="M20" s="1">
        <f t="shared" si="2"/>
        <v>0</v>
      </c>
      <c r="N20" s="1">
        <f>'(gamma)_2'!D23</f>
        <v>0</v>
      </c>
    </row>
    <row r="21" spans="2:14" x14ac:dyDescent="0.3">
      <c r="B21" s="1">
        <v>12</v>
      </c>
      <c r="C21" s="1"/>
      <c r="F21" s="1">
        <f t="shared" si="0"/>
        <v>0</v>
      </c>
      <c r="G21"/>
      <c r="J21" s="1">
        <f>'(gamma)_2'!F24</f>
        <v>0</v>
      </c>
      <c r="L21" s="12" t="e">
        <f t="shared" si="1"/>
        <v>#DIV/0!</v>
      </c>
      <c r="M21" s="1">
        <f t="shared" si="2"/>
        <v>0</v>
      </c>
      <c r="N21" s="1">
        <f>'(gamma)_2'!D24</f>
        <v>0</v>
      </c>
    </row>
    <row r="22" spans="2:14" x14ac:dyDescent="0.3">
      <c r="B22" s="1">
        <v>13</v>
      </c>
      <c r="C22" s="1"/>
      <c r="F22" s="1">
        <f t="shared" si="0"/>
        <v>0</v>
      </c>
      <c r="G22"/>
      <c r="J22" s="1">
        <f>'(gamma)_2'!F25</f>
        <v>0</v>
      </c>
      <c r="L22" s="12" t="e">
        <f t="shared" si="1"/>
        <v>#DIV/0!</v>
      </c>
      <c r="M22" s="1">
        <f t="shared" si="2"/>
        <v>0</v>
      </c>
      <c r="N22" s="1">
        <f>'(gamma)_2'!D25</f>
        <v>0</v>
      </c>
    </row>
    <row r="23" spans="2:14" x14ac:dyDescent="0.3">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1" t="s">
        <v>6</v>
      </c>
      <c r="C2" s="101"/>
      <c r="D2" s="101"/>
      <c r="E2" s="101"/>
      <c r="F2" s="101"/>
      <c r="H2" s="114" t="s">
        <v>13</v>
      </c>
      <c r="I2" s="114"/>
      <c r="J2" s="100"/>
      <c r="K2" s="100"/>
      <c r="M2" s="115" t="s">
        <v>7</v>
      </c>
      <c r="N2" s="116"/>
      <c r="O2" s="105" t="s">
        <v>17</v>
      </c>
      <c r="P2" s="106"/>
      <c r="Q2" s="106"/>
      <c r="R2" s="106"/>
      <c r="S2" s="107"/>
      <c r="T2" s="10"/>
      <c r="Y2"/>
      <c r="AA2" s="2"/>
    </row>
    <row r="3" spans="2:27" ht="16.5" customHeight="1" x14ac:dyDescent="0.3">
      <c r="B3" s="101"/>
      <c r="C3" s="101"/>
      <c r="D3" s="101"/>
      <c r="E3" s="101"/>
      <c r="F3" s="101"/>
      <c r="H3" s="7" t="s">
        <v>14</v>
      </c>
      <c r="I3" s="1" t="s">
        <v>15</v>
      </c>
      <c r="J3" s="1" t="s">
        <v>14</v>
      </c>
      <c r="K3" s="1" t="s">
        <v>16</v>
      </c>
      <c r="M3" s="117"/>
      <c r="N3" s="116"/>
      <c r="O3" s="108"/>
      <c r="P3" s="109"/>
      <c r="Q3" s="109"/>
      <c r="R3" s="109"/>
      <c r="S3" s="110"/>
      <c r="T3"/>
      <c r="Y3"/>
    </row>
    <row r="4" spans="2:27" ht="16.5" customHeight="1" x14ac:dyDescent="0.3">
      <c r="B4" s="101"/>
      <c r="C4" s="101"/>
      <c r="D4" s="101"/>
      <c r="E4" s="101"/>
      <c r="F4" s="101"/>
      <c r="H4" s="8">
        <f>J4</f>
        <v>0</v>
      </c>
      <c r="I4" s="1">
        <v>0</v>
      </c>
      <c r="J4" s="1">
        <f>VALUE(MID(O2,1,SEARCH(" ",O2,1)-1))/4</f>
        <v>0</v>
      </c>
      <c r="K4" s="1">
        <v>0</v>
      </c>
      <c r="L4" s="3"/>
      <c r="M4" s="117"/>
      <c r="N4" s="116"/>
      <c r="O4" s="108"/>
      <c r="P4" s="109"/>
      <c r="Q4" s="109"/>
      <c r="R4" s="109"/>
      <c r="S4" s="110"/>
      <c r="T4"/>
      <c r="Y4"/>
    </row>
    <row r="5" spans="2:27" ht="16.5" customHeight="1" x14ac:dyDescent="0.3">
      <c r="B5" s="101"/>
      <c r="C5" s="101"/>
      <c r="D5" s="101"/>
      <c r="E5" s="101"/>
      <c r="F5" s="101"/>
      <c r="H5" s="8">
        <f t="shared" ref="H5:H68" si="0">J5</f>
        <v>4.5</v>
      </c>
      <c r="I5" s="1">
        <v>1</v>
      </c>
      <c r="J5" s="1">
        <f>VALUE(MID($O$2,FIND("*",SUBSTITUTE($O$2," ","*",I5),1)+1,FIND("*",SUBSTITUTE($O$2," ","*",I6),1)-FIND("*",SUBSTITUTE($O$2," ","*",I5),1)-1))/4</f>
        <v>4.5</v>
      </c>
      <c r="K5" s="1">
        <f>J5-J4</f>
        <v>4.5</v>
      </c>
      <c r="L5" s="3"/>
      <c r="M5" s="117"/>
      <c r="N5" s="116"/>
      <c r="O5" s="111"/>
      <c r="P5" s="112"/>
      <c r="Q5" s="112"/>
      <c r="R5" s="112"/>
      <c r="S5" s="113"/>
      <c r="T5"/>
      <c r="Y5"/>
    </row>
    <row r="6" spans="2:27" ht="16.5" customHeight="1" x14ac:dyDescent="0.3">
      <c r="B6" s="101"/>
      <c r="C6" s="101"/>
      <c r="D6" s="101"/>
      <c r="E6" s="101"/>
      <c r="F6" s="101"/>
      <c r="H6" s="8">
        <f t="shared" si="0"/>
        <v>7.5</v>
      </c>
      <c r="I6" s="1">
        <v>2</v>
      </c>
      <c r="J6" s="1">
        <f t="shared" ref="J6:J69" si="1">VALUE(MID($O$2,FIND("*",SUBSTITUTE($O$2," ","*",I6),1)+1,FIND("*",SUBSTITUTE($O$2," ","*",I7),1)-FIND("*",SUBSTITUTE($O$2," ","*",I6),1)-1))/4</f>
        <v>7.5</v>
      </c>
      <c r="K6" s="1">
        <f t="shared" ref="K6:K69" si="2">J6-J5</f>
        <v>3</v>
      </c>
      <c r="L6" s="3"/>
    </row>
    <row r="7" spans="2:27" x14ac:dyDescent="0.3">
      <c r="B7" s="101"/>
      <c r="C7" s="101"/>
      <c r="D7" s="101"/>
      <c r="E7" s="101"/>
      <c r="F7" s="101"/>
      <c r="H7" s="8">
        <f t="shared" si="0"/>
        <v>10.5</v>
      </c>
      <c r="I7" s="1">
        <v>3</v>
      </c>
      <c r="J7" s="1">
        <f t="shared" si="1"/>
        <v>10.5</v>
      </c>
      <c r="K7" s="1">
        <f t="shared" si="2"/>
        <v>3</v>
      </c>
      <c r="L7" s="3"/>
    </row>
    <row r="8" spans="2:27" x14ac:dyDescent="0.3">
      <c r="B8" s="101"/>
      <c r="C8" s="101"/>
      <c r="D8" s="101"/>
      <c r="E8" s="101"/>
      <c r="F8" s="101"/>
      <c r="G8"/>
      <c r="H8" s="8">
        <f t="shared" si="0"/>
        <v>13.5</v>
      </c>
      <c r="I8" s="1">
        <v>4</v>
      </c>
      <c r="J8" s="1">
        <f t="shared" si="1"/>
        <v>13.5</v>
      </c>
      <c r="K8" s="1">
        <f t="shared" si="2"/>
        <v>3</v>
      </c>
      <c r="L8" s="5"/>
    </row>
    <row r="9" spans="2:27" x14ac:dyDescent="0.3">
      <c r="B9" s="101"/>
      <c r="C9" s="101"/>
      <c r="D9" s="101"/>
      <c r="E9" s="101"/>
      <c r="F9" s="10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3" t="s">
        <v>23</v>
      </c>
      <c r="C11" s="104"/>
      <c r="D11" s="104"/>
      <c r="E11" s="104"/>
      <c r="F11" s="104"/>
      <c r="H11" s="8">
        <f t="shared" si="0"/>
        <v>23</v>
      </c>
      <c r="I11" s="1">
        <v>7</v>
      </c>
      <c r="J11" s="1">
        <f t="shared" si="1"/>
        <v>23</v>
      </c>
      <c r="K11" s="1">
        <f t="shared" si="2"/>
        <v>3.5</v>
      </c>
    </row>
    <row r="12" spans="2:27" x14ac:dyDescent="0.3">
      <c r="B12" s="104"/>
      <c r="C12" s="104"/>
      <c r="D12" s="104"/>
      <c r="E12" s="104"/>
      <c r="F12" s="104"/>
      <c r="H12" s="8">
        <f t="shared" si="0"/>
        <v>26.5</v>
      </c>
      <c r="I12" s="1">
        <v>8</v>
      </c>
      <c r="J12" s="1">
        <f t="shared" si="1"/>
        <v>26.5</v>
      </c>
      <c r="K12" s="1">
        <f t="shared" si="2"/>
        <v>3.5</v>
      </c>
    </row>
    <row r="13" spans="2:27" x14ac:dyDescent="0.3">
      <c r="B13" s="104"/>
      <c r="C13" s="104"/>
      <c r="D13" s="104"/>
      <c r="E13" s="104"/>
      <c r="F13" s="10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0910286003</cp:lastModifiedBy>
  <dcterms:created xsi:type="dcterms:W3CDTF">2022-10-25T01:46:09Z</dcterms:created>
  <dcterms:modified xsi:type="dcterms:W3CDTF">2023-06-28T04:52:04Z</dcterms:modified>
</cp:coreProperties>
</file>