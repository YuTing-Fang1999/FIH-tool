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ython\FIH-tool\QUL\AEsimulator\"/>
    </mc:Choice>
  </mc:AlternateContent>
  <xr:revisionPtr revIDLastSave="0" documentId="13_ncr:1_{F526D55B-D5AE-4F6E-97D4-7AEE6BCEBE1B}" xr6:coauthVersionLast="47" xr6:coauthVersionMax="47" xr10:uidLastSave="{00000000-0000-0000-0000-000000000000}"/>
  <bookViews>
    <workbookView xWindow="-120" yWindow="-17025" windowWidth="29040" windowHeight="1584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6" i="6" l="1"/>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35"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O13" i="6"/>
  <c r="O14" i="6"/>
  <c r="O15" i="6"/>
  <c r="O16" i="6"/>
  <c r="O17" i="6"/>
  <c r="O18" i="6"/>
  <c r="O19" i="6"/>
  <c r="O20" i="6"/>
  <c r="O21" i="6"/>
  <c r="O22" i="6"/>
  <c r="O23" i="6"/>
  <c r="O24" i="6"/>
  <c r="O25" i="6"/>
  <c r="O26" i="6"/>
  <c r="O27" i="6"/>
  <c r="O28" i="6"/>
  <c r="O29" i="6"/>
  <c r="O30" i="6"/>
  <c r="O31" i="6"/>
  <c r="O12" i="6"/>
  <c r="F26" i="3"/>
  <c r="F27" i="3"/>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O8" i="6"/>
  <c r="O7" i="6"/>
  <c r="O6" i="6"/>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S40" i="6" l="1"/>
  <c r="D30" i="3"/>
  <c r="L23" i="1"/>
  <c r="L20" i="1"/>
  <c r="D32" i="3"/>
  <c r="D18" i="3" s="1"/>
  <c r="D34" i="3"/>
  <c r="L19" i="1"/>
  <c r="L21" i="1"/>
  <c r="D33" i="3"/>
  <c r="D19" i="3" s="1"/>
  <c r="L29" i="4" s="1"/>
  <c r="L22" i="1"/>
  <c r="D35" i="3"/>
  <c r="D21" i="3" s="1"/>
  <c r="N25" i="4" s="1"/>
  <c r="L25" i="4" s="1"/>
  <c r="D17" i="3"/>
  <c r="L19" i="4" s="1"/>
  <c r="S41" i="6" l="1"/>
  <c r="L34" i="4"/>
  <c r="D16" i="3"/>
  <c r="N14" i="4" s="1"/>
  <c r="L14" i="4" s="1"/>
  <c r="D20" i="3"/>
  <c r="N24" i="4" s="1"/>
  <c r="L24" i="4" s="1"/>
  <c r="L16" i="1"/>
  <c r="L18" i="1"/>
  <c r="L14" i="1"/>
  <c r="L15" i="1"/>
  <c r="S42" i="6" l="1"/>
  <c r="L13" i="1"/>
  <c r="L17" i="1"/>
  <c r="S43" i="6" l="1"/>
  <c r="S44" i="6" l="1"/>
  <c r="S45" i="6" l="1"/>
  <c r="S46" i="6" l="1"/>
  <c r="S47" i="6" l="1"/>
  <c r="S48" i="6" l="1"/>
  <c r="S49" i="6" l="1"/>
  <c r="S50" i="6" l="1"/>
  <c r="S51" i="6" l="1"/>
  <c r="S52" i="6" l="1"/>
  <c r="S53" i="6" l="1"/>
  <c r="S54" i="6" l="1"/>
  <c r="S55" i="6" l="1"/>
  <c r="S56" i="6" l="1"/>
  <c r="S57" i="6" l="1"/>
  <c r="S58" i="6" l="1"/>
  <c r="S59" i="6" l="1"/>
  <c r="S60" i="6" l="1"/>
  <c r="S61" i="6" l="1"/>
  <c r="S62" i="6" l="1"/>
  <c r="S63" i="6" l="1"/>
  <c r="S64" i="6" l="1"/>
  <c r="S65" i="6" l="1"/>
  <c r="S66" i="6" l="1"/>
  <c r="S67" i="6" l="1"/>
  <c r="S68" i="6" l="1"/>
  <c r="S69" i="6" l="1"/>
  <c r="S70" i="6" l="1"/>
  <c r="S71" i="6" l="1"/>
  <c r="S72" i="6" l="1"/>
  <c r="S73" i="6" l="1"/>
  <c r="S74" i="6" l="1"/>
  <c r="S75" i="6" l="1"/>
  <c r="S76" i="6" l="1"/>
  <c r="S77" i="6" l="1"/>
  <c r="S78" i="6" l="1"/>
  <c r="S79" i="6" l="1"/>
  <c r="S80" i="6" l="1"/>
  <c r="S81" i="6" l="1"/>
  <c r="S82" i="6" l="1"/>
  <c r="S83" i="6" l="1"/>
  <c r="S84" i="6" l="1"/>
  <c r="S85" i="6" l="1"/>
  <c r="S86" i="6" l="1"/>
  <c r="S87" i="6" l="1"/>
  <c r="S88" i="6" l="1"/>
  <c r="S89" i="6" l="1"/>
  <c r="S90" i="6" l="1"/>
  <c r="S91" i="6" l="1"/>
  <c r="S92" i="6" l="1"/>
  <c r="S93" i="6" l="1"/>
  <c r="S94" i="6" l="1"/>
  <c r="S95" i="6" l="1"/>
  <c r="S96" i="6" l="1"/>
  <c r="S97" i="6" l="1"/>
  <c r="S98" i="6" l="1"/>
  <c r="S99" i="6" l="1"/>
  <c r="S100" i="6" l="1"/>
  <c r="S101" i="6" l="1"/>
  <c r="S102" i="6" l="1"/>
  <c r="S103" i="6" l="1"/>
  <c r="S104" i="6" l="1"/>
  <c r="S105" i="6" l="1"/>
  <c r="S106" i="6" l="1"/>
  <c r="S107" i="6" l="1"/>
  <c r="S108" i="6" l="1"/>
  <c r="S109" i="6" l="1"/>
  <c r="S110" i="6" l="1"/>
  <c r="S111" i="6" l="1"/>
  <c r="S112" i="6" l="1"/>
  <c r="S113" i="6" l="1"/>
  <c r="S114" i="6" l="1"/>
  <c r="S115" i="6" l="1"/>
  <c r="S116" i="6" l="1"/>
  <c r="S117" i="6" l="1"/>
  <c r="S118" i="6" l="1"/>
  <c r="S119" i="6" l="1"/>
  <c r="S120" i="6" l="1"/>
  <c r="S121" i="6" l="1"/>
  <c r="S122" i="6" l="1"/>
  <c r="S123" i="6" l="1"/>
  <c r="S124" i="6" l="1"/>
  <c r="S125" i="6" l="1"/>
  <c r="S126" i="6" l="1"/>
  <c r="S127" i="6" l="1"/>
  <c r="S128" i="6" l="1"/>
  <c r="S129" i="6" l="1"/>
  <c r="S130" i="6" l="1"/>
  <c r="S131" i="6" l="1"/>
  <c r="S132" i="6" l="1"/>
  <c r="S133" i="6" l="1"/>
  <c r="S134" i="6" l="1"/>
  <c r="S135" i="6" l="1"/>
  <c r="S136" i="6" l="1"/>
  <c r="S137" i="6" l="1"/>
  <c r="S138" i="6" l="1"/>
  <c r="S139" i="6" l="1"/>
  <c r="S140" i="6" l="1"/>
  <c r="S141" i="6" l="1"/>
  <c r="S142" i="6" l="1"/>
  <c r="S143" i="6" l="1"/>
  <c r="S144" i="6" l="1"/>
  <c r="S145" i="6" l="1"/>
  <c r="S146" i="6" l="1"/>
  <c r="S147" i="6" l="1"/>
  <c r="S148" i="6" l="1"/>
  <c r="S149" i="6" l="1"/>
  <c r="S150" i="6" l="1"/>
  <c r="S151" i="6" l="1"/>
  <c r="S152" i="6" l="1"/>
  <c r="S153" i="6" l="1"/>
  <c r="S154" i="6" l="1"/>
  <c r="S155" i="6" l="1"/>
  <c r="S156" i="6" l="1"/>
  <c r="S157" i="6" l="1"/>
  <c r="S158" i="6" l="1"/>
  <c r="S159" i="6" l="1"/>
  <c r="S160" i="6" l="1"/>
  <c r="S161" i="6" l="1"/>
  <c r="B99" i="6" l="1"/>
  <c r="S162" i="6"/>
  <c r="S163" i="6" l="1"/>
  <c r="S164" i="6" l="1"/>
  <c r="S165" i="6" l="1"/>
  <c r="S166" i="6" l="1"/>
  <c r="S167" i="6" l="1"/>
  <c r="S168" i="6" l="1"/>
  <c r="S169" i="6" l="1"/>
  <c r="S170" i="6" l="1"/>
  <c r="S171" i="6" l="1"/>
  <c r="S172" i="6" l="1"/>
  <c r="S173" i="6" l="1"/>
  <c r="S174" i="6" l="1"/>
  <c r="S175" i="6" l="1"/>
  <c r="S176" i="6" l="1"/>
  <c r="S177" i="6" l="1"/>
  <c r="S178" i="6" l="1"/>
  <c r="S179" i="6" l="1"/>
  <c r="S180" i="6" l="1"/>
  <c r="S181" i="6" l="1"/>
  <c r="S182" i="6" l="1"/>
  <c r="S183" i="6" l="1"/>
  <c r="S184" i="6" l="1"/>
  <c r="S185" i="6" l="1"/>
  <c r="S186" i="6" l="1"/>
  <c r="S187" i="6" l="1"/>
  <c r="S188" i="6" l="1"/>
  <c r="S189" i="6" l="1"/>
  <c r="S190" i="6" l="1"/>
  <c r="S191" i="6" l="1"/>
  <c r="S192" i="6" l="1"/>
  <c r="S193" i="6" l="1"/>
  <c r="S194" i="6" l="1"/>
  <c r="S195" i="6" l="1"/>
  <c r="S196" i="6" l="1"/>
  <c r="S197" i="6" l="1"/>
  <c r="S198" i="6" l="1"/>
  <c r="S199" i="6" l="1"/>
  <c r="S200" i="6" l="1"/>
  <c r="S201" i="6" l="1"/>
  <c r="S202" i="6" l="1"/>
  <c r="S203" i="6" l="1"/>
  <c r="S204" i="6" l="1"/>
  <c r="S205" i="6" l="1"/>
  <c r="S206" i="6" l="1"/>
  <c r="S207" i="6" l="1"/>
  <c r="S208" i="6" l="1"/>
  <c r="S209" i="6" l="1"/>
  <c r="S210" i="6" l="1"/>
  <c r="S211" i="6" l="1"/>
  <c r="S212" i="6" l="1"/>
  <c r="S213" i="6" l="1"/>
  <c r="S214" i="6" l="1"/>
  <c r="S215" i="6" l="1"/>
  <c r="S216" i="6" l="1"/>
  <c r="S217" i="6" l="1"/>
  <c r="S218" i="6" l="1"/>
  <c r="S219" i="6" l="1"/>
  <c r="S220" i="6" l="1"/>
  <c r="S221" i="6" l="1"/>
  <c r="S222" i="6" l="1"/>
  <c r="S223" i="6" l="1"/>
  <c r="S224" i="6" l="1"/>
  <c r="S225" i="6" l="1"/>
  <c r="S226" i="6" l="1"/>
  <c r="S227" i="6" l="1"/>
  <c r="S228" i="6" l="1"/>
  <c r="S229" i="6" l="1"/>
  <c r="S230" i="6" l="1"/>
  <c r="S231" i="6" l="1"/>
  <c r="B103" i="6" l="1"/>
  <c r="S232" i="6"/>
  <c r="S233" i="6" l="1"/>
  <c r="S234" i="6" l="1"/>
  <c r="S235" i="6" l="1"/>
  <c r="S236" i="6" l="1"/>
  <c r="S237" i="6" l="1"/>
  <c r="S238" i="6" l="1"/>
  <c r="S239" i="6" l="1"/>
  <c r="S240" i="6" l="1"/>
  <c r="S241" i="6" l="1"/>
  <c r="S242" i="6" l="1"/>
  <c r="S243" i="6" l="1"/>
  <c r="S244" i="6" l="1"/>
  <c r="S245" i="6" l="1"/>
  <c r="S246" i="6" l="1"/>
  <c r="S247" i="6" l="1"/>
  <c r="S248" i="6" l="1"/>
  <c r="S249" i="6" l="1"/>
  <c r="S250" i="6" l="1"/>
  <c r="S251" i="6" l="1"/>
  <c r="S252" i="6" l="1"/>
  <c r="S253" i="6" l="1"/>
  <c r="S254" i="6" l="1"/>
  <c r="S255" i="6" l="1"/>
  <c r="S256" i="6" l="1"/>
  <c r="S257" i="6" l="1"/>
  <c r="S258" i="6" l="1"/>
  <c r="S259" i="6" l="1"/>
  <c r="S260" i="6" l="1"/>
  <c r="S261" i="6" l="1"/>
  <c r="S262" i="6" l="1"/>
  <c r="S263" i="6" l="1"/>
  <c r="S264" i="6" l="1"/>
  <c r="S265" i="6" l="1"/>
  <c r="S266" i="6" l="1"/>
  <c r="S267" i="6" l="1"/>
  <c r="S268" i="6" l="1"/>
  <c r="S269" i="6" l="1"/>
  <c r="S270" i="6" l="1"/>
  <c r="S271" i="6" l="1"/>
  <c r="S272" i="6" l="1"/>
  <c r="S273" i="6" l="1"/>
  <c r="S274" i="6" l="1"/>
  <c r="S275" i="6" l="1"/>
  <c r="S276" i="6" l="1"/>
  <c r="S277" i="6" l="1"/>
  <c r="S278" i="6" l="1"/>
  <c r="S279" i="6" l="1"/>
  <c r="S280" i="6" l="1"/>
  <c r="S281" i="6" l="1"/>
  <c r="S282" i="6" l="1"/>
  <c r="S283" i="6" l="1"/>
  <c r="S284" i="6" l="1"/>
  <c r="S285" i="6" l="1"/>
  <c r="S286" i="6" l="1"/>
  <c r="S287" i="6" l="1"/>
  <c r="S288" i="6" l="1"/>
  <c r="S289" i="6" l="1"/>
  <c r="S290" i="6" l="1"/>
  <c r="S291" i="6" l="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P80" i="6"/>
  <c r="P81" i="6"/>
  <c r="M80" i="6"/>
  <c r="P90" i="6"/>
  <c r="M90" i="6"/>
  <c r="P99" i="6"/>
  <c r="M99" i="6"/>
  <c r="P112" i="6"/>
  <c r="M112" i="6"/>
  <c r="P122" i="6"/>
  <c r="M122" i="6"/>
  <c r="P57" i="6"/>
  <c r="M57" i="6"/>
  <c r="P69" i="6"/>
  <c r="M69" i="6"/>
  <c r="P91" i="6"/>
  <c r="M91" i="6"/>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P53" i="6"/>
  <c r="M53" i="6"/>
  <c r="P63" i="6"/>
  <c r="M63" i="6"/>
  <c r="P75" i="6"/>
  <c r="M75" i="6"/>
  <c r="P86" i="6"/>
  <c r="M86" i="6"/>
  <c r="P95" i="6"/>
  <c r="M95" i="6"/>
  <c r="P106" i="6"/>
  <c r="M106" i="6"/>
  <c r="P118" i="6"/>
  <c r="M118" i="6"/>
  <c r="M98" i="6"/>
  <c r="M45" i="6"/>
  <c r="P45" i="6"/>
  <c r="M46" i="6"/>
  <c r="P46" i="6"/>
  <c r="M44" i="6"/>
  <c r="P44" i="6"/>
  <c r="M43" i="6"/>
  <c r="P43" i="6"/>
  <c r="P47" i="6"/>
  <c r="P48" i="6"/>
  <c r="M47" i="6"/>
  <c r="M42" i="6"/>
  <c r="K53" i="6"/>
  <c r="K37" i="6"/>
  <c r="K49" i="6"/>
  <c r="K63" i="6"/>
  <c r="I63" i="6" s="1"/>
  <c r="K47" i="6"/>
  <c r="K61" i="6"/>
  <c r="I61" i="6" s="1"/>
  <c r="K65" i="6"/>
  <c r="I65" i="6" s="1"/>
  <c r="K66" i="6"/>
  <c r="K45" i="6"/>
  <c r="K71" i="6"/>
  <c r="K56" i="6"/>
  <c r="I56" i="6" s="1"/>
  <c r="K70" i="6"/>
  <c r="I70" i="6" s="1"/>
  <c r="K48" i="6"/>
  <c r="I48" i="6" s="1"/>
  <c r="K51" i="6"/>
  <c r="K46" i="6"/>
  <c r="K42" i="6"/>
  <c r="I42" i="6" s="1"/>
  <c r="K58" i="6"/>
  <c r="I58" i="6" s="1"/>
  <c r="K74" i="6"/>
  <c r="K75" i="6"/>
  <c r="K68" i="6"/>
  <c r="I68" i="6" s="1"/>
  <c r="K69" i="6"/>
  <c r="I69" i="6" s="1"/>
  <c r="K62" i="6"/>
  <c r="I62" i="6" s="1"/>
  <c r="K67" i="6"/>
  <c r="K59" i="6"/>
  <c r="I59" i="6" s="1"/>
  <c r="K73" i="6"/>
  <c r="K52" i="6"/>
  <c r="K38" i="6"/>
  <c r="I38" i="6" s="1"/>
  <c r="K44" i="6"/>
  <c r="K40" i="6"/>
  <c r="I40" i="6" s="1"/>
  <c r="K43" i="6"/>
  <c r="K64" i="6"/>
  <c r="I64" i="6" s="1"/>
  <c r="K50" i="6"/>
  <c r="I50" i="6" s="1"/>
  <c r="K39" i="6"/>
  <c r="K72" i="6"/>
  <c r="I72" i="6" s="1"/>
  <c r="K57" i="6"/>
  <c r="I57" i="6" s="1"/>
  <c r="K60" i="6"/>
  <c r="K41" i="6"/>
  <c r="I41" i="6" s="1"/>
  <c r="P39" i="6"/>
  <c r="P40" i="6"/>
  <c r="M40" i="6"/>
  <c r="M41" i="6"/>
  <c r="P42" i="6"/>
  <c r="P41" i="6"/>
  <c r="J71" i="6"/>
  <c r="C71" i="6" s="1"/>
  <c r="J41" i="6"/>
  <c r="C41" i="6" s="1"/>
  <c r="J66" i="6"/>
  <c r="C66" i="6" s="1"/>
  <c r="J75" i="6"/>
  <c r="C75" i="6" s="1"/>
  <c r="J44" i="6"/>
  <c r="C44" i="6" s="1"/>
  <c r="J50" i="6"/>
  <c r="C50" i="6" s="1"/>
  <c r="J63" i="6"/>
  <c r="C63" i="6" s="1"/>
  <c r="J56" i="6"/>
  <c r="C56" i="6" s="1"/>
  <c r="J62" i="6"/>
  <c r="C62" i="6" s="1"/>
  <c r="J65" i="6"/>
  <c r="C65" i="6" s="1"/>
  <c r="J34" i="6"/>
  <c r="J60" i="6"/>
  <c r="C60" i="6" s="1"/>
  <c r="J61" i="6"/>
  <c r="C61" i="6" s="1"/>
  <c r="J38" i="6"/>
  <c r="C38" i="6" s="1"/>
  <c r="J47" i="6"/>
  <c r="C47" i="6" s="1"/>
  <c r="J51" i="6"/>
  <c r="C51" i="6" s="1"/>
  <c r="J52" i="6"/>
  <c r="C52" i="6" s="1"/>
  <c r="J49" i="6"/>
  <c r="C49" i="6" s="1"/>
  <c r="J57" i="6"/>
  <c r="J68" i="6"/>
  <c r="J36" i="6"/>
  <c r="C36" i="6" s="1"/>
  <c r="J70" i="6"/>
  <c r="C70" i="6" s="1"/>
  <c r="J73" i="6"/>
  <c r="C73" i="6" s="1"/>
  <c r="J48" i="6"/>
  <c r="C48" i="6" s="1"/>
  <c r="J74" i="6"/>
  <c r="C74" i="6" s="1"/>
  <c r="J53" i="6"/>
  <c r="C53" i="6" s="1"/>
  <c r="J46" i="6"/>
  <c r="C46" i="6" s="1"/>
  <c r="J72" i="6"/>
  <c r="C72" i="6" s="1"/>
  <c r="J58" i="6"/>
  <c r="C58" i="6" s="1"/>
  <c r="J42" i="6"/>
  <c r="C42" i="6" s="1"/>
  <c r="J37" i="6"/>
  <c r="C37" i="6" s="1"/>
  <c r="J39" i="6"/>
  <c r="C39" i="6" s="1"/>
  <c r="J40" i="6"/>
  <c r="C40" i="6" s="1"/>
  <c r="J67" i="6"/>
  <c r="C67" i="6" s="1"/>
  <c r="J64" i="6"/>
  <c r="C64" i="6" s="1"/>
  <c r="J43" i="6"/>
  <c r="C43" i="6" s="1"/>
  <c r="J45" i="6"/>
  <c r="C45" i="6" s="1"/>
  <c r="J35" i="6"/>
  <c r="C35" i="6" s="1"/>
  <c r="J69" i="6"/>
  <c r="C69" i="6" s="1"/>
  <c r="J59" i="6"/>
  <c r="C59" i="6" s="1"/>
  <c r="K36" i="6"/>
  <c r="I36" i="6" s="1"/>
  <c r="K35" i="6"/>
  <c r="M39" i="6"/>
  <c r="K34" i="6"/>
  <c r="I34" i="6" s="1"/>
  <c r="I39" i="6" l="1"/>
  <c r="J17" i="6" s="1"/>
  <c r="D19" i="6"/>
  <c r="D14" i="6"/>
  <c r="D18" i="6"/>
  <c r="D12" i="6"/>
  <c r="J28" i="6"/>
  <c r="C94" i="6" s="1"/>
  <c r="J16" i="6"/>
  <c r="I82" i="6" s="1"/>
  <c r="K82" i="6" s="1"/>
  <c r="D21" i="6"/>
  <c r="J20" i="6"/>
  <c r="D26" i="6"/>
  <c r="D25" i="6"/>
  <c r="D28" i="6"/>
  <c r="I35" i="6"/>
  <c r="J13" i="6" s="1"/>
  <c r="C68" i="6"/>
  <c r="D24" i="6" s="1"/>
  <c r="I60" i="6"/>
  <c r="D16" i="6" s="1"/>
  <c r="I43" i="6"/>
  <c r="J21" i="6" s="1"/>
  <c r="I52" i="6"/>
  <c r="J30" i="6" s="1"/>
  <c r="I67" i="6"/>
  <c r="D23" i="6" s="1"/>
  <c r="I74" i="6"/>
  <c r="D30" i="6" s="1"/>
  <c r="I46" i="6"/>
  <c r="J24" i="6" s="1"/>
  <c r="I45" i="6"/>
  <c r="J23" i="6" s="1"/>
  <c r="D17" i="6"/>
  <c r="I49" i="6"/>
  <c r="J27" i="6" s="1"/>
  <c r="J18" i="6"/>
  <c r="C57" i="6"/>
  <c r="D13" i="6" s="1"/>
  <c r="C34" i="6"/>
  <c r="J12" i="6" s="1"/>
  <c r="I73" i="6"/>
  <c r="D29" i="6" s="1"/>
  <c r="I51" i="6"/>
  <c r="J29" i="6" s="1"/>
  <c r="I66" i="6"/>
  <c r="D22" i="6" s="1"/>
  <c r="I37" i="6"/>
  <c r="J15" i="6" s="1"/>
  <c r="J26" i="6"/>
  <c r="J19" i="6"/>
  <c r="I47" i="6"/>
  <c r="J25" i="6" s="1"/>
  <c r="J14" i="6"/>
  <c r="I44" i="6"/>
  <c r="J22" i="6" s="1"/>
  <c r="I53" i="6"/>
  <c r="J31" i="6" s="1"/>
  <c r="D20" i="6"/>
  <c r="D15" i="6"/>
  <c r="I75" i="6"/>
  <c r="D31" i="6" s="1"/>
  <c r="I71" i="6"/>
  <c r="D27" i="6" s="1"/>
  <c r="C82" i="6" l="1"/>
  <c r="J82" i="6" s="1"/>
  <c r="C83" i="6"/>
  <c r="J83" i="6" s="1"/>
  <c r="I83" i="6"/>
  <c r="K83" i="6" s="1"/>
  <c r="I94" i="6"/>
  <c r="K94" i="6" s="1"/>
  <c r="C78" i="6"/>
  <c r="I78" i="6"/>
  <c r="K78" i="6" s="1"/>
  <c r="I96" i="6"/>
  <c r="K96" i="6" s="1"/>
  <c r="C96" i="6"/>
  <c r="C95" i="6"/>
  <c r="I95" i="6"/>
  <c r="K95" i="6" s="1"/>
  <c r="C97" i="6"/>
  <c r="I97" i="6"/>
  <c r="K97" i="6" s="1"/>
  <c r="I93" i="6"/>
  <c r="K93" i="6" s="1"/>
  <c r="C93" i="6"/>
  <c r="I90" i="6"/>
  <c r="K90" i="6" s="1"/>
  <c r="C90" i="6"/>
  <c r="C81" i="6"/>
  <c r="I81" i="6"/>
  <c r="K81" i="6" s="1"/>
  <c r="C88" i="6"/>
  <c r="I88" i="6"/>
  <c r="K88" i="6" s="1"/>
  <c r="I89" i="6"/>
  <c r="K89" i="6" s="1"/>
  <c r="C89" i="6"/>
  <c r="I79" i="6"/>
  <c r="K79" i="6" s="1"/>
  <c r="C79" i="6"/>
  <c r="C87" i="6"/>
  <c r="I87" i="6"/>
  <c r="K87" i="6" s="1"/>
  <c r="C85" i="6"/>
  <c r="I85" i="6"/>
  <c r="K85" i="6" s="1"/>
  <c r="I84" i="6"/>
  <c r="K84" i="6" s="1"/>
  <c r="C84" i="6"/>
  <c r="C92" i="6"/>
  <c r="I92" i="6"/>
  <c r="K92" i="6" s="1"/>
  <c r="C91" i="6"/>
  <c r="I91" i="6"/>
  <c r="K91" i="6" s="1"/>
  <c r="J94" i="6"/>
  <c r="K28" i="6"/>
  <c r="N28" i="6" s="1"/>
  <c r="C86" i="6"/>
  <c r="I86" i="6"/>
  <c r="K86" i="6" s="1"/>
  <c r="I80" i="6"/>
  <c r="K80" i="6" s="1"/>
  <c r="C80" i="6"/>
  <c r="K17" i="6" l="1"/>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K19" i="6"/>
  <c r="N19" i="6" s="1"/>
  <c r="J78" i="6"/>
  <c r="K12" i="6"/>
  <c r="P8" i="6" l="1"/>
  <c r="N12" i="6"/>
  <c r="P9" i="6"/>
  <c r="P7" i="6" l="1"/>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<sst xmlns="http://schemas.openxmlformats.org/spreadsheetml/2006/main" count="221" uniqueCount="64">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</sst>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B2" sqref="B2:N6"/>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0" t="s">
        <v>24</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E7"/>
      <c r="F7"/>
      <c r="G7"/>
      <c r="H7"/>
      <c r="I7"/>
      <c r="K7" s="1"/>
    </row>
    <row r="8" spans="1:14" ht="16.5" customHeight="1" x14ac:dyDescent="0.25">
      <c r="A8" s="1"/>
      <c r="B8" s="101" t="s">
        <v>25</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ht="18.75" customHeight="1" x14ac:dyDescent="0.25">
      <c r="A11" s="1"/>
      <c r="B11" s="17"/>
      <c r="C11" s="17"/>
      <c r="D11" s="4"/>
      <c r="E11" s="4"/>
      <c r="F11" s="4"/>
      <c r="G11" s="4"/>
      <c r="H11" s="4"/>
      <c r="I11" s="4"/>
      <c r="J11" s="4"/>
      <c r="K11" s="4"/>
      <c r="L11" s="4"/>
      <c r="M11" s="4"/>
      <c r="N11" s="4"/>
    </row>
    <row r="12" spans="1:14" x14ac:dyDescent="0.25">
      <c r="H12" s="99" t="s">
        <v>3</v>
      </c>
      <c r="I12" s="99"/>
      <c r="J12" s="99"/>
      <c r="K12" s="1"/>
      <c r="L12" s="99" t="s">
        <v>19</v>
      </c>
      <c r="M12" s="99"/>
      <c r="N12" s="99"/>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99"/>
      <c r="C14" s="99"/>
      <c r="D14" s="1"/>
      <c r="F14" s="1">
        <f>D14-E14</f>
        <v>0</v>
      </c>
      <c r="G14"/>
      <c r="H14" s="99"/>
      <c r="J14" s="1">
        <f>'(gamma)'!F16</f>
        <v>0</v>
      </c>
      <c r="K14" s="1"/>
      <c r="L14" s="64" t="e">
        <f>H14*N14/J14</f>
        <v>#DIV/0!</v>
      </c>
      <c r="M14" s="1">
        <f>E14</f>
        <v>0</v>
      </c>
      <c r="N14" s="1">
        <f>'(gamma)'!D16</f>
        <v>0</v>
      </c>
    </row>
    <row r="15" spans="1:14" x14ac:dyDescent="0.25">
      <c r="B15" s="99"/>
      <c r="C15" s="99"/>
      <c r="D15" s="1"/>
      <c r="F15" s="1">
        <f>D15-E15</f>
        <v>0</v>
      </c>
      <c r="G15"/>
      <c r="H15" s="99"/>
      <c r="J15" s="1">
        <f>'(gamma)'!F17</f>
        <v>0</v>
      </c>
      <c r="K15" s="1"/>
      <c r="L15" s="64" t="e">
        <f>H14*N15/J15</f>
        <v>#DIV/0!</v>
      </c>
      <c r="M15" s="1">
        <f>E15</f>
        <v>0</v>
      </c>
      <c r="N15" s="1">
        <f>'(gamma)'!D17</f>
        <v>0</v>
      </c>
    </row>
    <row r="16" spans="1:14" x14ac:dyDescent="0.25">
      <c r="B16" s="1"/>
      <c r="C16" s="1"/>
      <c r="D16" s="1"/>
      <c r="G16"/>
      <c r="H16"/>
      <c r="I16"/>
      <c r="J16"/>
      <c r="N16"/>
    </row>
    <row r="17" spans="2:14" x14ac:dyDescent="0.25">
      <c r="H17" s="99" t="s">
        <v>3</v>
      </c>
      <c r="I17" s="99"/>
      <c r="J17" s="99"/>
      <c r="K17" s="1"/>
      <c r="L17" s="99" t="s">
        <v>19</v>
      </c>
      <c r="M17" s="99"/>
      <c r="N17" s="99"/>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99"/>
      <c r="C19" s="99"/>
      <c r="D19" s="1"/>
      <c r="F19" s="1">
        <f>D19-E19</f>
        <v>0</v>
      </c>
      <c r="G19"/>
      <c r="H19" s="99"/>
      <c r="J19" s="1">
        <f>'(gamma)'!F18</f>
        <v>0</v>
      </c>
      <c r="K19" s="1"/>
      <c r="L19" s="64" t="e">
        <f>H19*N19/J19</f>
        <v>#DIV/0!</v>
      </c>
      <c r="M19" s="1">
        <f>E19</f>
        <v>0</v>
      </c>
      <c r="N19" s="1">
        <f>'(gamma)'!D18</f>
        <v>0</v>
      </c>
    </row>
    <row r="20" spans="2:14" x14ac:dyDescent="0.25">
      <c r="B20" s="99"/>
      <c r="C20" s="99"/>
      <c r="D20" s="1"/>
      <c r="F20" s="1">
        <f>D20-E20</f>
        <v>0</v>
      </c>
      <c r="G20"/>
      <c r="H20" s="99"/>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99" t="s">
        <v>3</v>
      </c>
      <c r="I22" s="99"/>
      <c r="J22" s="99"/>
      <c r="K22" s="1"/>
      <c r="L22" s="99" t="s">
        <v>19</v>
      </c>
      <c r="M22" s="99"/>
      <c r="N22" s="99"/>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99"/>
      <c r="C24" s="99"/>
      <c r="D24" s="1"/>
      <c r="F24" s="1">
        <f>D24-E24</f>
        <v>0</v>
      </c>
      <c r="G24"/>
      <c r="H24" s="99"/>
      <c r="J24" s="1">
        <f>'(gamma)'!F20</f>
        <v>0</v>
      </c>
      <c r="K24" s="1"/>
      <c r="L24" s="64" t="e">
        <f>H24*N24/J24</f>
        <v>#DIV/0!</v>
      </c>
      <c r="M24" s="1">
        <f>E24</f>
        <v>0</v>
      </c>
      <c r="N24" s="1">
        <f>'(gamma)'!D20</f>
        <v>0</v>
      </c>
    </row>
    <row r="25" spans="2:14" x14ac:dyDescent="0.25">
      <c r="B25" s="99"/>
      <c r="C25" s="99"/>
      <c r="D25" s="1"/>
      <c r="F25" s="1">
        <f>D25-E25</f>
        <v>0</v>
      </c>
      <c r="G25"/>
      <c r="H25" s="99"/>
      <c r="J25" s="1">
        <f>'(gamma)'!F21</f>
        <v>0</v>
      </c>
      <c r="K25" s="1"/>
      <c r="L25" s="64" t="e">
        <f>H24*N25/J25</f>
        <v>#DIV/0!</v>
      </c>
      <c r="M25" s="1">
        <f>E25</f>
        <v>0</v>
      </c>
      <c r="N25" s="1">
        <f>'(gamma)'!D21</f>
        <v>0</v>
      </c>
    </row>
    <row r="27" spans="2:14" x14ac:dyDescent="0.25">
      <c r="C27" s="19"/>
      <c r="E27"/>
      <c r="H27" s="99" t="s">
        <v>3</v>
      </c>
      <c r="I27" s="99"/>
      <c r="J27" s="99"/>
      <c r="K27" s="1"/>
      <c r="L27" s="99" t="s">
        <v>19</v>
      </c>
      <c r="M27" s="99"/>
      <c r="N27" s="99"/>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99"/>
      <c r="C29" s="99"/>
      <c r="D29" s="1"/>
      <c r="F29" s="1">
        <f>D29-E29</f>
        <v>0</v>
      </c>
      <c r="G29"/>
      <c r="H29" s="99"/>
      <c r="J29" s="1">
        <f>'(gamma)'!F22</f>
        <v>0</v>
      </c>
      <c r="K29" s="1"/>
      <c r="L29" s="64" t="e">
        <f>H29*N29/J29</f>
        <v>#DIV/0!</v>
      </c>
      <c r="M29" s="1">
        <f>E29</f>
        <v>0</v>
      </c>
      <c r="N29" s="1">
        <f>'(gamma)'!D22</f>
        <v>0</v>
      </c>
    </row>
    <row r="30" spans="2:14" x14ac:dyDescent="0.25">
      <c r="B30" s="99"/>
      <c r="C30" s="99"/>
      <c r="D30" s="1"/>
      <c r="F30" s="1">
        <f>D30-E30</f>
        <v>0</v>
      </c>
      <c r="G30"/>
      <c r="H30" s="99"/>
      <c r="J30" s="1">
        <f>'(gamma)'!F23</f>
        <v>0</v>
      </c>
      <c r="K30" s="1"/>
      <c r="L30" s="64" t="e">
        <f>H29*N30/J30</f>
        <v>#DIV/0!</v>
      </c>
      <c r="M30" s="1">
        <f>E30</f>
        <v>0</v>
      </c>
      <c r="N30" s="1">
        <f>'(gamma)'!D23</f>
        <v>0</v>
      </c>
    </row>
    <row r="32" spans="2:14" x14ac:dyDescent="0.25">
      <c r="C32" s="19"/>
      <c r="E32"/>
      <c r="H32" s="99" t="s">
        <v>3</v>
      </c>
      <c r="I32" s="99"/>
      <c r="J32" s="99"/>
      <c r="K32" s="1"/>
      <c r="L32" s="99" t="s">
        <v>19</v>
      </c>
      <c r="M32" s="99"/>
      <c r="N32" s="99"/>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99"/>
      <c r="C34" s="99"/>
      <c r="D34" s="1"/>
      <c r="F34" s="1">
        <f>D34-E34</f>
        <v>0</v>
      </c>
      <c r="G34"/>
      <c r="H34" s="99"/>
      <c r="J34" s="1">
        <f>'(gamma)'!F24</f>
        <v>0</v>
      </c>
      <c r="K34" s="1"/>
      <c r="L34" s="64" t="e">
        <f>H34*N34/J34</f>
        <v>#DIV/0!</v>
      </c>
      <c r="M34" s="1">
        <f>E34</f>
        <v>0</v>
      </c>
      <c r="N34" s="1">
        <f>'(gamma)'!D24</f>
        <v>0</v>
      </c>
    </row>
    <row r="35" spans="2:14" x14ac:dyDescent="0.25">
      <c r="B35" s="99"/>
      <c r="C35" s="99"/>
      <c r="D35" s="1"/>
      <c r="F35" s="1">
        <f>D35-E35</f>
        <v>0</v>
      </c>
      <c r="G35"/>
      <c r="H35" s="99"/>
      <c r="J35" s="1">
        <f>'(gamma)'!F25</f>
        <v>0</v>
      </c>
      <c r="K35" s="1"/>
      <c r="L35" s="64" t="e">
        <f>H35*N35/J35</f>
        <v>#DIV/0!</v>
      </c>
      <c r="M35" s="1">
        <f>E35</f>
        <v>0</v>
      </c>
      <c r="N35" s="1">
        <f>'(gamma)'!D25</f>
        <v>0</v>
      </c>
    </row>
    <row r="37" spans="2:14" x14ac:dyDescent="0.25">
      <c r="C37" s="19"/>
      <c r="E37"/>
      <c r="H37" s="99" t="s">
        <v>3</v>
      </c>
      <c r="I37" s="99"/>
      <c r="J37" s="99"/>
      <c r="K37" s="1"/>
      <c r="L37" s="99" t="s">
        <v>19</v>
      </c>
      <c r="M37" s="99"/>
      <c r="N37" s="99"/>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99"/>
      <c r="C39" s="99"/>
      <c r="D39" s="1"/>
      <c r="F39" s="1">
        <f>D39-E39</f>
        <v>0</v>
      </c>
      <c r="G39"/>
      <c r="H39" s="99"/>
      <c r="J39" s="1">
        <f>'(gamma)'!F26</f>
        <v>0</v>
      </c>
      <c r="K39" s="1"/>
      <c r="L39" s="64" t="e">
        <f>H39*N39/J39</f>
        <v>#DIV/0!</v>
      </c>
      <c r="M39" s="1">
        <f>E39</f>
        <v>0</v>
      </c>
      <c r="N39" s="1">
        <f>'(gamma)'!D26</f>
        <v>0</v>
      </c>
    </row>
    <row r="40" spans="2:14" x14ac:dyDescent="0.25">
      <c r="B40" s="99"/>
      <c r="C40" s="99"/>
      <c r="F40" s="1">
        <f>D40-E40</f>
        <v>0</v>
      </c>
      <c r="H40" s="99"/>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99">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25">
      <c r="B17" s="99"/>
      <c r="C17" s="1">
        <f>colorChecker!E15</f>
        <v>0</v>
      </c>
      <c r="D17" s="6">
        <f t="shared" si="3"/>
        <v>0</v>
      </c>
      <c r="E17" s="1">
        <f>colorChecker!I15</f>
        <v>0</v>
      </c>
      <c r="F17" s="16">
        <f t="shared" si="4"/>
        <v>0</v>
      </c>
      <c r="H17" s="8">
        <f t="shared" si="0"/>
        <v>42.75</v>
      </c>
      <c r="I17" s="1">
        <v>13</v>
      </c>
      <c r="J17" s="1">
        <f t="shared" si="1"/>
        <v>42.75</v>
      </c>
      <c r="K17" s="1">
        <f t="shared" si="2"/>
        <v>3</v>
      </c>
    </row>
    <row r="18" spans="2:18" x14ac:dyDescent="0.25">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25">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25">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Normal="100" workbookViewId="0">
      <selection activeCell="B2" sqref="B2:J6"/>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0" t="s">
        <v>42</v>
      </c>
      <c r="C2" s="115"/>
      <c r="D2" s="115"/>
      <c r="E2" s="115"/>
      <c r="F2" s="115"/>
      <c r="G2" s="115"/>
      <c r="H2" s="115"/>
      <c r="I2" s="115"/>
      <c r="J2" s="115"/>
      <c r="K2" s="116" t="s">
        <v>1</v>
      </c>
      <c r="M2" s="124" t="s">
        <v>26</v>
      </c>
      <c r="N2" s="115"/>
      <c r="O2" s="115"/>
      <c r="P2" s="131" t="s">
        <v>27</v>
      </c>
      <c r="Q2"/>
      <c r="R2" s="114" t="s">
        <v>7</v>
      </c>
      <c r="S2" s="115"/>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25">
      <c r="B3" s="115"/>
      <c r="C3" s="115"/>
      <c r="D3" s="115"/>
      <c r="E3" s="115"/>
      <c r="F3" s="115"/>
      <c r="G3" s="115"/>
      <c r="H3" s="115"/>
      <c r="I3" s="115"/>
      <c r="J3" s="115"/>
      <c r="K3" s="123"/>
      <c r="M3" s="115"/>
      <c r="N3" s="115"/>
      <c r="O3" s="115"/>
      <c r="P3" s="131"/>
      <c r="Q3"/>
      <c r="R3" s="116"/>
      <c r="S3" s="115"/>
      <c r="T3" s="135"/>
      <c r="U3" s="136"/>
      <c r="V3" s="136"/>
      <c r="W3" s="136"/>
      <c r="X3" s="137"/>
      <c r="Y3" s="128"/>
      <c r="Z3" s="128"/>
      <c r="AA3" s="128"/>
      <c r="AB3" s="128"/>
      <c r="AC3" s="128"/>
      <c r="AE3"/>
    </row>
    <row r="4" spans="1:31" x14ac:dyDescent="0.25">
      <c r="B4" s="115"/>
      <c r="C4" s="115"/>
      <c r="D4" s="115"/>
      <c r="E4" s="115"/>
      <c r="F4" s="115"/>
      <c r="G4" s="115"/>
      <c r="H4" s="115"/>
      <c r="I4" s="115"/>
      <c r="J4" s="115"/>
      <c r="K4" s="123"/>
      <c r="M4" s="115"/>
      <c r="N4" s="115"/>
      <c r="O4" s="115"/>
      <c r="P4" s="131"/>
      <c r="Q4"/>
      <c r="R4" s="116"/>
      <c r="S4" s="115"/>
      <c r="T4" s="135"/>
      <c r="U4" s="136"/>
      <c r="V4" s="136"/>
      <c r="W4" s="136"/>
      <c r="X4" s="137"/>
      <c r="Y4" s="128"/>
      <c r="Z4" s="128"/>
      <c r="AA4" s="128"/>
      <c r="AB4" s="128"/>
      <c r="AC4" s="128"/>
      <c r="AE4"/>
    </row>
    <row r="5" spans="1:31" x14ac:dyDescent="0.25">
      <c r="B5" s="115"/>
      <c r="C5" s="115"/>
      <c r="D5" s="115"/>
      <c r="E5" s="115"/>
      <c r="F5" s="115"/>
      <c r="G5" s="115"/>
      <c r="H5" s="115"/>
      <c r="I5" s="115"/>
      <c r="J5" s="115"/>
      <c r="K5" s="123"/>
      <c r="M5" s="115"/>
      <c r="N5" s="115"/>
      <c r="O5" s="115"/>
      <c r="P5" s="131"/>
      <c r="Q5"/>
      <c r="R5" s="116"/>
      <c r="S5" s="115"/>
      <c r="T5" s="138"/>
      <c r="U5" s="139"/>
      <c r="V5" s="139"/>
      <c r="W5" s="139"/>
      <c r="X5" s="140"/>
      <c r="Y5" s="128"/>
      <c r="Z5" s="128"/>
      <c r="AA5" s="128"/>
      <c r="AB5" s="128"/>
      <c r="AC5" s="128"/>
      <c r="AE5"/>
    </row>
    <row r="6" spans="1:31" x14ac:dyDescent="0.25">
      <c r="B6" s="115"/>
      <c r="C6" s="115"/>
      <c r="D6" s="115"/>
      <c r="E6" s="115"/>
      <c r="F6" s="115"/>
      <c r="G6" s="115"/>
      <c r="H6" s="115"/>
      <c r="I6" s="115"/>
      <c r="J6" s="115"/>
      <c r="K6" s="123"/>
      <c r="M6" s="129" t="s">
        <v>28</v>
      </c>
      <c r="N6" s="130"/>
      <c r="O6" s="81">
        <f>AVERAGE(M12:M31)</f>
        <v>85.894760000000005</v>
      </c>
      <c r="P6" s="82">
        <f>AVERAGE(N12:N31)</f>
        <v>85.894760000000005</v>
      </c>
      <c r="Q6"/>
      <c r="R6"/>
    </row>
    <row r="7" spans="1:31" x14ac:dyDescent="0.25">
      <c r="B7"/>
      <c r="C7"/>
      <c r="D7"/>
      <c r="E7"/>
      <c r="F7"/>
      <c r="G7"/>
      <c r="H7"/>
      <c r="I7"/>
      <c r="J7"/>
      <c r="K7"/>
      <c r="M7" s="119" t="s">
        <v>29</v>
      </c>
      <c r="N7" s="120"/>
      <c r="O7" s="81">
        <f>AVERAGE(M12:M15)</f>
        <v>204.17835000000002</v>
      </c>
      <c r="P7" s="81">
        <f>AVERAGE(N12:N15)</f>
        <v>204.17835000000002</v>
      </c>
      <c r="Q7"/>
      <c r="R7"/>
    </row>
    <row r="8" spans="1:31" ht="16.5" customHeight="1" x14ac:dyDescent="0.25">
      <c r="B8" s="117" t="s">
        <v>30</v>
      </c>
      <c r="C8" s="125" t="s">
        <v>44</v>
      </c>
      <c r="D8" s="125"/>
      <c r="E8" s="125"/>
      <c r="F8" s="125"/>
      <c r="G8" s="125"/>
      <c r="H8" s="125"/>
      <c r="I8" s="125"/>
      <c r="J8" s="126" t="s">
        <v>63</v>
      </c>
      <c r="K8" s="126"/>
      <c r="M8" s="119" t="s">
        <v>31</v>
      </c>
      <c r="N8" s="120"/>
      <c r="O8" s="81">
        <f>AVERAGE(M16:M31)</f>
        <v>56.323862499999983</v>
      </c>
      <c r="P8" s="81">
        <f>AVERAGE(N16:N31)</f>
        <v>56.323862499999983</v>
      </c>
      <c r="Q8"/>
      <c r="R8"/>
    </row>
    <row r="9" spans="1:31" x14ac:dyDescent="0.25">
      <c r="B9" s="118"/>
      <c r="C9" s="125"/>
      <c r="D9" s="125"/>
      <c r="E9" s="125"/>
      <c r="F9" s="125"/>
      <c r="G9" s="125"/>
      <c r="H9" s="125"/>
      <c r="I9" s="125"/>
      <c r="J9" s="123">
        <v>4</v>
      </c>
      <c r="K9" s="123"/>
      <c r="M9" s="121" t="s">
        <v>32</v>
      </c>
      <c r="N9" s="122"/>
      <c r="O9" s="83" t="e">
        <f>((I12-I31)/(I12+I31))/((C12-C31)/(C12+C31))</f>
        <v>#DIV/0!</v>
      </c>
      <c r="P9" s="83" t="e">
        <f>((K12-K31)/(K12+K31))/((C12-C31)/(C12+C31))</f>
        <v>#DIV/0!</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c r="C12" s="79">
        <v>237.7842</v>
      </c>
      <c r="D12" s="16">
        <f t="shared" ref="D12:D31" si="0">((K56-J56)*I56)/(I56-C56)+J56-(C56*((K56-J56)/(I56-C56)))</f>
        <v>212</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237.7842</v>
      </c>
      <c r="N12" s="80">
        <f t="shared" ref="N12:N31" si="4">ABS(K12-C12)</f>
        <v>237.7842</v>
      </c>
      <c r="O12" s="79">
        <f t="shared" ref="O12:O31" si="5">ABS(B12-C12)</f>
        <v>237.7842</v>
      </c>
      <c r="P12" s="80" t="s">
        <v>46</v>
      </c>
    </row>
    <row r="13" spans="1:31" x14ac:dyDescent="0.25">
      <c r="A13" s="1">
        <v>1</v>
      </c>
      <c r="B13" s="79"/>
      <c r="C13" s="79">
        <v>217.04589999999999</v>
      </c>
      <c r="D13" s="16">
        <f t="shared" si="0"/>
        <v>169</v>
      </c>
      <c r="E13" s="36"/>
      <c r="F13" s="52"/>
      <c r="G13" s="67"/>
      <c r="H13" s="36"/>
      <c r="I13" s="79"/>
      <c r="J13" s="6">
        <f t="shared" si="1"/>
        <v>0</v>
      </c>
      <c r="K13" s="84">
        <f t="shared" si="2"/>
        <v>0</v>
      </c>
      <c r="L13" s="3"/>
      <c r="M13" s="21">
        <f t="shared" si="3"/>
        <v>217.04589999999999</v>
      </c>
      <c r="N13" s="80">
        <f t="shared" si="4"/>
        <v>217.04589999999999</v>
      </c>
      <c r="O13" s="79">
        <f t="shared" si="5"/>
        <v>217.04589999999999</v>
      </c>
      <c r="P13" s="80" t="s">
        <v>46</v>
      </c>
    </row>
    <row r="14" spans="1:31" x14ac:dyDescent="0.25">
      <c r="A14" s="1">
        <v>2</v>
      </c>
      <c r="B14" s="79"/>
      <c r="C14" s="79">
        <v>191.30160000000001</v>
      </c>
      <c r="D14" s="16">
        <f t="shared" si="0"/>
        <v>127</v>
      </c>
      <c r="E14" s="37"/>
      <c r="F14" s="53"/>
      <c r="G14" s="68"/>
      <c r="H14" s="37"/>
      <c r="I14" s="79"/>
      <c r="J14" s="6">
        <f t="shared" si="1"/>
        <v>0</v>
      </c>
      <c r="K14" s="84">
        <f t="shared" si="2"/>
        <v>0</v>
      </c>
      <c r="L14" s="3"/>
      <c r="M14" s="21">
        <f t="shared" si="3"/>
        <v>191.30160000000001</v>
      </c>
      <c r="N14" s="80">
        <f t="shared" si="4"/>
        <v>191.30160000000001</v>
      </c>
      <c r="O14" s="79">
        <f t="shared" si="5"/>
        <v>191.30160000000001</v>
      </c>
      <c r="P14" s="80" t="s">
        <v>47</v>
      </c>
    </row>
    <row r="15" spans="1:31" x14ac:dyDescent="0.25">
      <c r="A15" s="1">
        <v>3</v>
      </c>
      <c r="B15" s="79"/>
      <c r="C15" s="79">
        <v>170.58170000000001</v>
      </c>
      <c r="D15" s="16">
        <f t="shared" si="0"/>
        <v>99</v>
      </c>
      <c r="E15" s="38"/>
      <c r="F15" s="54"/>
      <c r="G15" s="69"/>
      <c r="H15" s="38"/>
      <c r="I15" s="79"/>
      <c r="J15" s="6">
        <f t="shared" si="1"/>
        <v>0</v>
      </c>
      <c r="K15" s="84">
        <f t="shared" si="2"/>
        <v>0</v>
      </c>
      <c r="L15" s="3"/>
      <c r="M15" s="21">
        <f t="shared" si="3"/>
        <v>170.58170000000001</v>
      </c>
      <c r="N15" s="80">
        <f t="shared" si="4"/>
        <v>170.58170000000001</v>
      </c>
      <c r="O15" s="79">
        <f t="shared" si="5"/>
        <v>170.58170000000001</v>
      </c>
      <c r="P15" s="80" t="s">
        <v>48</v>
      </c>
    </row>
    <row r="16" spans="1:31" x14ac:dyDescent="0.25">
      <c r="A16" s="1">
        <v>4</v>
      </c>
      <c r="B16" s="79"/>
      <c r="C16" s="79">
        <v>141.48949999999999</v>
      </c>
      <c r="D16" s="16">
        <f t="shared" si="0"/>
        <v>69</v>
      </c>
      <c r="E16" s="39"/>
      <c r="F16" s="55"/>
      <c r="G16" s="24"/>
      <c r="H16" s="39"/>
      <c r="I16" s="79"/>
      <c r="J16" s="6">
        <f t="shared" si="1"/>
        <v>0</v>
      </c>
      <c r="K16" s="84">
        <f t="shared" si="2"/>
        <v>0</v>
      </c>
      <c r="L16" s="3"/>
      <c r="M16" s="21">
        <f t="shared" si="3"/>
        <v>141.48949999999999</v>
      </c>
      <c r="N16" s="80">
        <f t="shared" si="4"/>
        <v>141.48949999999999</v>
      </c>
      <c r="O16" s="79">
        <f t="shared" si="5"/>
        <v>141.48949999999999</v>
      </c>
      <c r="P16" s="80" t="s">
        <v>48</v>
      </c>
    </row>
    <row r="17" spans="1:16" x14ac:dyDescent="0.25">
      <c r="A17" s="1">
        <v>5</v>
      </c>
      <c r="B17" s="79"/>
      <c r="C17" s="79">
        <v>120.7212</v>
      </c>
      <c r="D17" s="16">
        <f t="shared" si="0"/>
        <v>53</v>
      </c>
      <c r="E17" s="40"/>
      <c r="F17" s="56"/>
      <c r="G17" s="65"/>
      <c r="H17" s="40"/>
      <c r="I17" s="79"/>
      <c r="J17" s="6">
        <f t="shared" si="1"/>
        <v>0</v>
      </c>
      <c r="K17" s="84">
        <f t="shared" si="2"/>
        <v>0</v>
      </c>
      <c r="L17" s="3"/>
      <c r="M17" s="21">
        <f t="shared" si="3"/>
        <v>120.7212</v>
      </c>
      <c r="N17" s="80">
        <f t="shared" si="4"/>
        <v>120.7212</v>
      </c>
      <c r="O17" s="79">
        <f t="shared" si="5"/>
        <v>120.7212</v>
      </c>
      <c r="P17" s="80" t="s">
        <v>48</v>
      </c>
    </row>
    <row r="18" spans="1:16" x14ac:dyDescent="0.25">
      <c r="A18" s="1">
        <v>6</v>
      </c>
      <c r="B18" s="79"/>
      <c r="C18" s="79">
        <v>102.3399</v>
      </c>
      <c r="D18" s="16">
        <f t="shared" si="0"/>
        <v>41</v>
      </c>
      <c r="E18" s="41"/>
      <c r="F18" s="22"/>
      <c r="G18" s="70"/>
      <c r="H18" s="41"/>
      <c r="I18" s="79"/>
      <c r="J18" s="6">
        <f t="shared" si="1"/>
        <v>0</v>
      </c>
      <c r="K18" s="84">
        <f t="shared" si="2"/>
        <v>0</v>
      </c>
      <c r="L18" s="3"/>
      <c r="M18" s="21">
        <f t="shared" si="3"/>
        <v>102.3399</v>
      </c>
      <c r="N18" s="80">
        <f t="shared" si="4"/>
        <v>102.3399</v>
      </c>
      <c r="O18" s="79">
        <f t="shared" si="5"/>
        <v>102.3399</v>
      </c>
      <c r="P18" s="80" t="s">
        <v>48</v>
      </c>
    </row>
    <row r="19" spans="1:16" x14ac:dyDescent="0.25">
      <c r="A19" s="1" t="s">
        <v>50</v>
      </c>
      <c r="B19" s="79"/>
      <c r="C19" s="79">
        <v>88.115099999999998</v>
      </c>
      <c r="D19" s="16">
        <f t="shared" si="0"/>
        <v>33</v>
      </c>
      <c r="E19" s="42"/>
      <c r="F19" s="23"/>
      <c r="G19" s="71"/>
      <c r="H19" s="42"/>
      <c r="I19" s="79"/>
      <c r="J19" s="6">
        <f t="shared" si="1"/>
        <v>0</v>
      </c>
      <c r="K19" s="84">
        <f t="shared" si="2"/>
        <v>0</v>
      </c>
      <c r="L19" s="3"/>
      <c r="M19" s="21">
        <f t="shared" si="3"/>
        <v>88.115099999999998</v>
      </c>
      <c r="N19" s="80">
        <f t="shared" si="4"/>
        <v>88.115099999999998</v>
      </c>
      <c r="O19" s="79">
        <f t="shared" si="5"/>
        <v>88.115099999999998</v>
      </c>
      <c r="P19" s="80" t="s">
        <v>48</v>
      </c>
    </row>
    <row r="20" spans="1:16" x14ac:dyDescent="0.25">
      <c r="A20" s="1">
        <v>8</v>
      </c>
      <c r="B20" s="79"/>
      <c r="C20" s="79">
        <v>73.754999999999995</v>
      </c>
      <c r="D20" s="16">
        <f t="shared" si="0"/>
        <v>25</v>
      </c>
      <c r="E20" s="43"/>
      <c r="F20" s="57"/>
      <c r="G20" s="72"/>
      <c r="H20" s="43"/>
      <c r="I20" s="79"/>
      <c r="J20" s="6">
        <f t="shared" si="1"/>
        <v>0</v>
      </c>
      <c r="K20" s="84">
        <f t="shared" si="2"/>
        <v>0</v>
      </c>
      <c r="L20" s="3"/>
      <c r="M20" s="21">
        <f t="shared" si="3"/>
        <v>73.754999999999995</v>
      </c>
      <c r="N20" s="80">
        <f t="shared" si="4"/>
        <v>73.754999999999995</v>
      </c>
      <c r="O20" s="79">
        <f t="shared" si="5"/>
        <v>73.754999999999995</v>
      </c>
      <c r="P20" s="80" t="s">
        <v>47</v>
      </c>
    </row>
    <row r="21" spans="1:16" x14ac:dyDescent="0.25">
      <c r="A21" s="1">
        <v>9</v>
      </c>
      <c r="B21" s="79"/>
      <c r="C21" s="79">
        <v>65.137799999999999</v>
      </c>
      <c r="D21" s="16">
        <f t="shared" si="0"/>
        <v>21.999999999999996</v>
      </c>
      <c r="E21" s="44"/>
      <c r="F21" s="25"/>
      <c r="G21" s="73"/>
      <c r="H21" s="44"/>
      <c r="I21" s="79"/>
      <c r="J21" s="6">
        <f t="shared" si="1"/>
        <v>0</v>
      </c>
      <c r="K21" s="84">
        <f t="shared" si="2"/>
        <v>0</v>
      </c>
      <c r="L21" s="3"/>
      <c r="M21" s="21">
        <f t="shared" si="3"/>
        <v>65.137799999999999</v>
      </c>
      <c r="N21" s="80">
        <f t="shared" si="4"/>
        <v>65.137799999999999</v>
      </c>
      <c r="O21" s="79">
        <f t="shared" si="5"/>
        <v>65.137799999999999</v>
      </c>
      <c r="P21" s="80" t="s">
        <v>46</v>
      </c>
    </row>
    <row r="22" spans="1:16" x14ac:dyDescent="0.25">
      <c r="A22" s="1">
        <v>10</v>
      </c>
      <c r="B22" s="79"/>
      <c r="C22" s="79">
        <v>55.963500000000003</v>
      </c>
      <c r="D22" s="16">
        <f t="shared" si="0"/>
        <v>18</v>
      </c>
      <c r="E22" s="45"/>
      <c r="F22" s="26"/>
      <c r="G22" s="74"/>
      <c r="H22" s="45"/>
      <c r="I22" s="79"/>
      <c r="J22" s="6">
        <f t="shared" si="1"/>
        <v>0</v>
      </c>
      <c r="K22" s="84">
        <f t="shared" si="2"/>
        <v>0</v>
      </c>
      <c r="L22" s="3"/>
      <c r="M22" s="21">
        <f t="shared" si="3"/>
        <v>55.963500000000003</v>
      </c>
      <c r="N22" s="80">
        <f t="shared" si="4"/>
        <v>55.963500000000003</v>
      </c>
      <c r="O22" s="79">
        <f t="shared" si="5"/>
        <v>55.963500000000003</v>
      </c>
      <c r="P22" s="80" t="s">
        <v>46</v>
      </c>
    </row>
    <row r="23" spans="1:16" x14ac:dyDescent="0.25">
      <c r="A23" s="1">
        <v>11</v>
      </c>
      <c r="B23" s="79"/>
      <c r="C23" s="79">
        <v>48.073099999999997</v>
      </c>
      <c r="D23" s="16">
        <f t="shared" si="0"/>
        <v>15</v>
      </c>
      <c r="E23" s="46"/>
      <c r="F23" s="58"/>
      <c r="G23" s="26"/>
      <c r="H23" s="46"/>
      <c r="I23" s="79"/>
      <c r="J23" s="6">
        <f t="shared" si="1"/>
        <v>0</v>
      </c>
      <c r="K23" s="84">
        <f t="shared" si="2"/>
        <v>0</v>
      </c>
      <c r="L23" s="3"/>
      <c r="M23" s="21">
        <f t="shared" si="3"/>
        <v>48.073099999999997</v>
      </c>
      <c r="N23" s="80">
        <f t="shared" si="4"/>
        <v>48.073099999999997</v>
      </c>
      <c r="O23" s="79">
        <f t="shared" si="5"/>
        <v>48.073099999999997</v>
      </c>
      <c r="P23" s="80" t="s">
        <v>46</v>
      </c>
    </row>
    <row r="24" spans="1:16" x14ac:dyDescent="0.25">
      <c r="A24" s="1">
        <v>12</v>
      </c>
      <c r="B24" s="79"/>
      <c r="C24" s="79">
        <v>41.694899999999997</v>
      </c>
      <c r="D24" s="16">
        <f t="shared" si="0"/>
        <v>13</v>
      </c>
      <c r="E24" s="32"/>
      <c r="F24" s="27"/>
      <c r="G24" s="28"/>
      <c r="H24" s="32"/>
      <c r="I24" s="79"/>
      <c r="J24" s="6">
        <f t="shared" si="1"/>
        <v>0</v>
      </c>
      <c r="K24" s="84">
        <f t="shared" si="2"/>
        <v>0</v>
      </c>
      <c r="L24" s="3"/>
      <c r="M24" s="21">
        <f t="shared" si="3"/>
        <v>41.694899999999997</v>
      </c>
      <c r="N24" s="80">
        <f t="shared" si="4"/>
        <v>41.694899999999997</v>
      </c>
      <c r="O24" s="79">
        <f t="shared" si="5"/>
        <v>41.694899999999997</v>
      </c>
      <c r="P24" s="80" t="s">
        <v>46</v>
      </c>
    </row>
    <row r="25" spans="1:16" x14ac:dyDescent="0.25">
      <c r="A25" s="1">
        <v>13</v>
      </c>
      <c r="B25" s="79"/>
      <c r="C25" s="79">
        <v>36.171599999999998</v>
      </c>
      <c r="D25" s="16">
        <f t="shared" si="0"/>
        <v>11</v>
      </c>
      <c r="E25" s="47"/>
      <c r="F25" s="59"/>
      <c r="G25" s="63"/>
      <c r="H25" s="47"/>
      <c r="I25" s="79"/>
      <c r="J25" s="6">
        <f t="shared" si="1"/>
        <v>0</v>
      </c>
      <c r="K25" s="84">
        <f t="shared" si="2"/>
        <v>0</v>
      </c>
      <c r="L25" s="3"/>
      <c r="M25" s="21">
        <f t="shared" si="3"/>
        <v>36.171599999999998</v>
      </c>
      <c r="N25" s="80">
        <f t="shared" si="4"/>
        <v>36.171599999999998</v>
      </c>
      <c r="O25" s="79">
        <f t="shared" si="5"/>
        <v>36.171599999999998</v>
      </c>
      <c r="P25" s="80" t="s">
        <v>46</v>
      </c>
    </row>
    <row r="26" spans="1:16" x14ac:dyDescent="0.25">
      <c r="A26" s="1">
        <v>14</v>
      </c>
      <c r="B26" s="79"/>
      <c r="C26" s="79">
        <v>30.689900000000002</v>
      </c>
      <c r="D26" s="16">
        <f t="shared" si="0"/>
        <v>10</v>
      </c>
      <c r="E26" s="48"/>
      <c r="F26" s="31"/>
      <c r="G26" s="75"/>
      <c r="H26" s="48"/>
      <c r="I26" s="79"/>
      <c r="J26" s="6">
        <f t="shared" si="1"/>
        <v>0</v>
      </c>
      <c r="K26" s="84">
        <f t="shared" si="2"/>
        <v>0</v>
      </c>
      <c r="L26" s="3"/>
      <c r="M26" s="21">
        <f t="shared" si="3"/>
        <v>30.689900000000002</v>
      </c>
      <c r="N26" s="80">
        <f t="shared" si="4"/>
        <v>30.689900000000002</v>
      </c>
      <c r="O26" s="79">
        <f t="shared" si="5"/>
        <v>30.689900000000002</v>
      </c>
      <c r="P26" s="80" t="s">
        <v>46</v>
      </c>
    </row>
    <row r="27" spans="1:16" x14ac:dyDescent="0.25">
      <c r="A27" s="1">
        <v>15</v>
      </c>
      <c r="B27" s="79"/>
      <c r="C27" s="79">
        <v>26.4176</v>
      </c>
      <c r="D27" s="16">
        <f t="shared" si="0"/>
        <v>9.0000000000000036</v>
      </c>
      <c r="E27" s="29"/>
      <c r="F27" s="60"/>
      <c r="G27" s="29"/>
      <c r="H27" s="29"/>
      <c r="I27" s="79"/>
      <c r="J27" s="6">
        <f t="shared" si="1"/>
        <v>0</v>
      </c>
      <c r="K27" s="84">
        <f t="shared" si="2"/>
        <v>0</v>
      </c>
      <c r="L27" s="3"/>
      <c r="M27" s="21">
        <f t="shared" si="3"/>
        <v>26.4176</v>
      </c>
      <c r="N27" s="80">
        <f t="shared" si="4"/>
        <v>26.4176</v>
      </c>
      <c r="O27" s="79">
        <f t="shared" si="5"/>
        <v>26.4176</v>
      </c>
      <c r="P27" s="80" t="s">
        <v>46</v>
      </c>
    </row>
    <row r="28" spans="1:16" x14ac:dyDescent="0.25">
      <c r="A28" s="1" t="s">
        <v>51</v>
      </c>
      <c r="B28" s="79"/>
      <c r="C28" s="79">
        <v>21.177099999999999</v>
      </c>
      <c r="D28" s="16">
        <f t="shared" si="0"/>
        <v>7</v>
      </c>
      <c r="E28" s="30"/>
      <c r="F28" s="61"/>
      <c r="G28" s="60"/>
      <c r="H28" s="30"/>
      <c r="I28" s="79"/>
      <c r="J28" s="6">
        <f t="shared" si="1"/>
        <v>0</v>
      </c>
      <c r="K28" s="84">
        <f t="shared" si="2"/>
        <v>0</v>
      </c>
      <c r="L28" s="3"/>
      <c r="M28" s="21">
        <f t="shared" si="3"/>
        <v>21.177099999999999</v>
      </c>
      <c r="N28" s="80">
        <f t="shared" si="4"/>
        <v>21.177099999999999</v>
      </c>
      <c r="O28" s="79">
        <f t="shared" si="5"/>
        <v>21.177099999999999</v>
      </c>
      <c r="P28" s="80" t="s">
        <v>46</v>
      </c>
    </row>
    <row r="29" spans="1:16" x14ac:dyDescent="0.25">
      <c r="A29" s="1">
        <v>17</v>
      </c>
      <c r="B29" s="79"/>
      <c r="C29" s="79">
        <v>16.523</v>
      </c>
      <c r="D29" s="16">
        <f t="shared" si="0"/>
        <v>6</v>
      </c>
      <c r="E29" s="49"/>
      <c r="F29" s="50"/>
      <c r="G29" s="76"/>
      <c r="H29" s="49"/>
      <c r="I29" s="79"/>
      <c r="J29" s="6">
        <f t="shared" si="1"/>
        <v>0</v>
      </c>
      <c r="K29" s="84">
        <f t="shared" si="2"/>
        <v>0</v>
      </c>
      <c r="L29" s="3"/>
      <c r="M29" s="21">
        <f t="shared" si="3"/>
        <v>16.523</v>
      </c>
      <c r="N29" s="80">
        <f t="shared" si="4"/>
        <v>16.523</v>
      </c>
      <c r="O29" s="79">
        <f t="shared" si="5"/>
        <v>16.523</v>
      </c>
      <c r="P29" s="80" t="s">
        <v>46</v>
      </c>
    </row>
    <row r="30" spans="1:16" x14ac:dyDescent="0.25">
      <c r="A30" s="1">
        <v>18</v>
      </c>
      <c r="B30" s="79"/>
      <c r="C30" s="79">
        <v>14.520899999999999</v>
      </c>
      <c r="D30" s="16">
        <f t="shared" si="0"/>
        <v>5</v>
      </c>
      <c r="E30" s="50"/>
      <c r="F30" s="34"/>
      <c r="G30" s="49"/>
      <c r="H30" s="50"/>
      <c r="I30" s="79"/>
      <c r="J30" s="6">
        <f t="shared" si="1"/>
        <v>0</v>
      </c>
      <c r="K30" s="84">
        <f t="shared" si="2"/>
        <v>0</v>
      </c>
      <c r="L30" s="3"/>
      <c r="M30" s="21">
        <f t="shared" si="3"/>
        <v>14.520899999999999</v>
      </c>
      <c r="N30" s="80">
        <f t="shared" si="4"/>
        <v>14.520899999999999</v>
      </c>
      <c r="O30" s="79">
        <f t="shared" si="5"/>
        <v>14.520899999999999</v>
      </c>
      <c r="P30" s="80" t="s">
        <v>46</v>
      </c>
    </row>
    <row r="31" spans="1:16" x14ac:dyDescent="0.25">
      <c r="A31" s="1">
        <v>19</v>
      </c>
      <c r="B31" s="79"/>
      <c r="C31" s="79">
        <v>18.3917</v>
      </c>
      <c r="D31" s="16">
        <f t="shared" si="0"/>
        <v>6</v>
      </c>
      <c r="E31" s="33"/>
      <c r="F31" s="62"/>
      <c r="G31" s="34"/>
      <c r="H31" s="33"/>
      <c r="I31" s="79"/>
      <c r="J31" s="6">
        <f t="shared" si="1"/>
        <v>0</v>
      </c>
      <c r="K31" s="84">
        <f t="shared" si="2"/>
        <v>0</v>
      </c>
      <c r="L31" s="3"/>
      <c r="M31" s="21">
        <f t="shared" si="3"/>
        <v>18.3917</v>
      </c>
      <c r="N31" s="80">
        <f t="shared" si="4"/>
        <v>18.3917</v>
      </c>
      <c r="O31" s="79">
        <f t="shared" si="5"/>
        <v>18.3917</v>
      </c>
      <c r="P31" s="80" t="s">
        <v>46</v>
      </c>
    </row>
    <row r="33" spans="2:26" ht="17.25" thickBot="1" x14ac:dyDescent="0.3">
      <c r="C33" s="1" t="s">
        <v>9</v>
      </c>
      <c r="I33" s="1" t="s">
        <v>10</v>
      </c>
      <c r="J33" s="1" t="s">
        <v>11</v>
      </c>
      <c r="K33" s="1" t="s">
        <v>12</v>
      </c>
      <c r="M33" s="113" t="s">
        <v>13</v>
      </c>
      <c r="N33" s="113"/>
      <c r="O33" s="99"/>
      <c r="P33" s="99"/>
      <c r="R33" s="113" t="s">
        <v>40</v>
      </c>
      <c r="S33" s="99"/>
      <c r="T33" s="99"/>
      <c r="U33" s="99"/>
    </row>
    <row r="34" spans="2:26" x14ac:dyDescent="0.25">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25">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25">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25">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25">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25">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25" thickBot="1" x14ac:dyDescent="0.3">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25">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25">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25">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25" thickBot="1" x14ac:dyDescent="0.3">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25">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25">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25">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25">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25">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25">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25">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25">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25">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25">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25">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25">
      <c r="B56" s="1">
        <v>1</v>
      </c>
      <c r="C56" s="9">
        <f t="shared" ref="C56:C75" si="17">VLOOKUP(J56,$N$35:$O$298,2,TRUE)</f>
        <v>237.5</v>
      </c>
      <c r="D56" s="9"/>
      <c r="E56" s="9"/>
      <c r="F56" s="9"/>
      <c r="G56" s="9"/>
      <c r="H56" s="9"/>
      <c r="I56" s="9">
        <f t="shared" ref="I56:I75" si="18">VLOOKUP(K56,$N$35:$O$298,2,TRUE)</f>
        <v>238</v>
      </c>
      <c r="J56" s="9">
        <f t="shared" ref="J56:J75" si="19">VLOOKUP(ROUNDUP(C12,1),$M$35:$N$298,2,TRUE)</f>
        <v>211</v>
      </c>
      <c r="K56" s="9">
        <f t="shared" ref="K56:K75" si="20">VLOOKUP(ROUNDUP(C12,1),$M$35:$N$298,2,TRUE)+1</f>
        <v>212</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25">
      <c r="B57" s="1">
        <v>2</v>
      </c>
      <c r="C57" s="9">
        <f t="shared" si="17"/>
        <v>217</v>
      </c>
      <c r="D57" s="9"/>
      <c r="E57" s="9"/>
      <c r="F57" s="9"/>
      <c r="G57" s="9"/>
      <c r="H57" s="9"/>
      <c r="I57" s="9">
        <f t="shared" si="18"/>
        <v>217.5</v>
      </c>
      <c r="J57" s="9">
        <f t="shared" si="19"/>
        <v>168</v>
      </c>
      <c r="K57" s="9">
        <f t="shared" si="20"/>
        <v>169</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25">
      <c r="B58" s="1">
        <v>3</v>
      </c>
      <c r="C58" s="9">
        <f t="shared" si="17"/>
        <v>191.25</v>
      </c>
      <c r="D58" s="9"/>
      <c r="E58" s="9"/>
      <c r="F58" s="9"/>
      <c r="G58" s="9"/>
      <c r="H58" s="9"/>
      <c r="I58" s="9">
        <f t="shared" si="18"/>
        <v>192</v>
      </c>
      <c r="J58" s="9">
        <f t="shared" si="19"/>
        <v>126</v>
      </c>
      <c r="K58" s="9">
        <f t="shared" si="20"/>
        <v>127</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25">
      <c r="B59" s="1">
        <v>4</v>
      </c>
      <c r="C59" s="9">
        <f t="shared" si="17"/>
        <v>170.25</v>
      </c>
      <c r="D59" s="9"/>
      <c r="E59" s="9"/>
      <c r="F59" s="9"/>
      <c r="G59" s="9"/>
      <c r="H59" s="9"/>
      <c r="I59" s="9">
        <f t="shared" si="18"/>
        <v>171.25</v>
      </c>
      <c r="J59" s="9">
        <f t="shared" si="19"/>
        <v>98</v>
      </c>
      <c r="K59" s="9">
        <f t="shared" si="20"/>
        <v>99</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25">
      <c r="B60" s="1">
        <v>5</v>
      </c>
      <c r="C60" s="9">
        <f t="shared" si="17"/>
        <v>141</v>
      </c>
      <c r="D60" s="9"/>
      <c r="E60" s="9"/>
      <c r="F60" s="9"/>
      <c r="G60" s="9"/>
      <c r="H60" s="9"/>
      <c r="I60" s="9">
        <f t="shared" si="18"/>
        <v>142</v>
      </c>
      <c r="J60" s="9">
        <f t="shared" si="19"/>
        <v>68</v>
      </c>
      <c r="K60" s="9">
        <f t="shared" si="20"/>
        <v>69</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25">
      <c r="B61" s="1">
        <v>6</v>
      </c>
      <c r="C61" s="9">
        <f t="shared" si="17"/>
        <v>120</v>
      </c>
      <c r="D61" s="9"/>
      <c r="E61" s="9"/>
      <c r="F61" s="9"/>
      <c r="G61" s="9"/>
      <c r="H61" s="9"/>
      <c r="I61" s="9">
        <f t="shared" si="18"/>
        <v>121.5</v>
      </c>
      <c r="J61" s="9">
        <f t="shared" si="19"/>
        <v>52</v>
      </c>
      <c r="K61" s="9">
        <f t="shared" si="20"/>
        <v>53</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25">
      <c r="B62" s="1">
        <v>7</v>
      </c>
      <c r="C62" s="9">
        <f t="shared" si="17"/>
        <v>101.5</v>
      </c>
      <c r="D62" s="9"/>
      <c r="E62" s="9"/>
      <c r="F62" s="9"/>
      <c r="G62" s="9"/>
      <c r="H62" s="9"/>
      <c r="I62" s="9">
        <f t="shared" si="18"/>
        <v>103.5</v>
      </c>
      <c r="J62" s="9">
        <f t="shared" si="19"/>
        <v>40</v>
      </c>
      <c r="K62" s="9">
        <f t="shared" si="20"/>
        <v>41</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25">
      <c r="B63" s="1">
        <v>8</v>
      </c>
      <c r="C63" s="9">
        <f t="shared" si="17"/>
        <v>87.75</v>
      </c>
      <c r="D63" s="9"/>
      <c r="E63" s="9"/>
      <c r="F63" s="9"/>
      <c r="G63" s="9"/>
      <c r="H63" s="9"/>
      <c r="I63" s="9">
        <f t="shared" si="18"/>
        <v>89.25</v>
      </c>
      <c r="J63" s="9">
        <f t="shared" si="19"/>
        <v>32</v>
      </c>
      <c r="K63" s="9">
        <f t="shared" si="20"/>
        <v>33</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25">
      <c r="B64" s="1">
        <v>9</v>
      </c>
      <c r="C64" s="9">
        <f t="shared" si="17"/>
        <v>71.75</v>
      </c>
      <c r="D64" s="9"/>
      <c r="E64" s="9"/>
      <c r="F64" s="9"/>
      <c r="G64" s="9"/>
      <c r="H64" s="9"/>
      <c r="I64" s="9">
        <f t="shared" si="18"/>
        <v>74.25</v>
      </c>
      <c r="J64" s="9">
        <f t="shared" si="19"/>
        <v>24</v>
      </c>
      <c r="K64" s="9">
        <f t="shared" si="20"/>
        <v>25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25">
      <c r="B65" s="1">
        <v>10</v>
      </c>
      <c r="C65" s="9">
        <f t="shared" si="17"/>
        <v>64.75</v>
      </c>
      <c r="D65" s="9"/>
      <c r="E65" s="9"/>
      <c r="F65" s="9"/>
      <c r="G65" s="9"/>
      <c r="H65" s="9"/>
      <c r="I65" s="9">
        <f t="shared" si="18"/>
        <v>67.25</v>
      </c>
      <c r="J65" s="9">
        <f t="shared" si="19"/>
        <v>21</v>
      </c>
      <c r="K65" s="9">
        <f t="shared" si="20"/>
        <v>22</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25">
      <c r="B66" s="1">
        <v>11</v>
      </c>
      <c r="C66" s="9">
        <f t="shared" si="17"/>
        <v>54.25</v>
      </c>
      <c r="D66" s="9"/>
      <c r="E66" s="9"/>
      <c r="F66" s="9"/>
      <c r="G66" s="9"/>
      <c r="H66" s="9"/>
      <c r="I66" s="9">
        <f t="shared" si="18"/>
        <v>56.75</v>
      </c>
      <c r="J66" s="9">
        <f t="shared" si="19"/>
        <v>17</v>
      </c>
      <c r="K66" s="9">
        <f t="shared" si="20"/>
        <v>18</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25">
      <c r="B67" s="1">
        <v>12</v>
      </c>
      <c r="C67" s="9">
        <f t="shared" si="17"/>
        <v>45.75</v>
      </c>
      <c r="D67" s="9"/>
      <c r="E67" s="9"/>
      <c r="F67" s="9"/>
      <c r="G67" s="9"/>
      <c r="H67" s="9"/>
      <c r="I67" s="9">
        <f t="shared" si="18"/>
        <v>48.75</v>
      </c>
      <c r="J67" s="9">
        <f t="shared" si="19"/>
        <v>14</v>
      </c>
      <c r="K67" s="9">
        <f t="shared" si="20"/>
        <v>15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25">
      <c r="B68" s="1">
        <v>13</v>
      </c>
      <c r="C68" s="9">
        <f t="shared" si="17"/>
        <v>39.75</v>
      </c>
      <c r="D68" s="9"/>
      <c r="E68" s="9"/>
      <c r="F68" s="9"/>
      <c r="G68" s="9"/>
      <c r="H68" s="9"/>
      <c r="I68" s="9">
        <f t="shared" si="18"/>
        <v>42.75</v>
      </c>
      <c r="J68" s="9">
        <f t="shared" si="19"/>
        <v>12</v>
      </c>
      <c r="K68" s="9">
        <f t="shared" si="20"/>
        <v>13</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25">
      <c r="B69" s="1">
        <v>14</v>
      </c>
      <c r="C69" s="9">
        <f t="shared" si="17"/>
        <v>33.25</v>
      </c>
      <c r="D69" s="9"/>
      <c r="E69" s="9"/>
      <c r="F69" s="9"/>
      <c r="G69" s="9"/>
      <c r="H69" s="9"/>
      <c r="I69" s="9">
        <f t="shared" si="18"/>
        <v>36.75</v>
      </c>
      <c r="J69" s="9">
        <f t="shared" si="19"/>
        <v>10</v>
      </c>
      <c r="K69" s="9">
        <f t="shared" si="20"/>
        <v>11</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25">
      <c r="B70" s="1">
        <v>15</v>
      </c>
      <c r="C70" s="9">
        <f t="shared" si="17"/>
        <v>29.5</v>
      </c>
      <c r="D70" s="9"/>
      <c r="E70" s="9"/>
      <c r="F70" s="9"/>
      <c r="G70" s="9"/>
      <c r="H70" s="9"/>
      <c r="I70" s="9">
        <f t="shared" si="18"/>
        <v>33.25</v>
      </c>
      <c r="J70" s="9">
        <f t="shared" si="19"/>
        <v>9</v>
      </c>
      <c r="K70" s="9">
        <f t="shared" si="20"/>
        <v>10</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25">
      <c r="B71" s="1">
        <v>16</v>
      </c>
      <c r="C71" s="9">
        <f t="shared" si="17"/>
        <v>26.5</v>
      </c>
      <c r="D71" s="9"/>
      <c r="E71" s="9"/>
      <c r="F71" s="9"/>
      <c r="G71" s="9"/>
      <c r="H71" s="9"/>
      <c r="I71" s="9">
        <f t="shared" si="18"/>
        <v>29.5</v>
      </c>
      <c r="J71" s="9">
        <f t="shared" si="19"/>
        <v>8</v>
      </c>
      <c r="K71" s="9">
        <f t="shared" si="20"/>
        <v>9</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25">
      <c r="B72" s="1">
        <v>17</v>
      </c>
      <c r="C72" s="9">
        <f t="shared" si="17"/>
        <v>19.5</v>
      </c>
      <c r="D72" s="9"/>
      <c r="E72" s="9"/>
      <c r="F72" s="9"/>
      <c r="G72" s="9"/>
      <c r="H72" s="9"/>
      <c r="I72" s="9">
        <f t="shared" si="18"/>
        <v>23</v>
      </c>
      <c r="J72" s="9">
        <f t="shared" si="19"/>
        <v>6</v>
      </c>
      <c r="K72" s="9">
        <f t="shared" si="20"/>
        <v>7</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25">
      <c r="B73" s="1">
        <v>18</v>
      </c>
      <c r="C73" s="9">
        <f t="shared" si="17"/>
        <v>16.5</v>
      </c>
      <c r="D73" s="9"/>
      <c r="E73" s="9"/>
      <c r="F73" s="9"/>
      <c r="G73" s="9"/>
      <c r="H73" s="9"/>
      <c r="I73" s="9">
        <f t="shared" si="18"/>
        <v>19.5</v>
      </c>
      <c r="J73" s="9">
        <f t="shared" si="19"/>
        <v>5</v>
      </c>
      <c r="K73" s="9">
        <f t="shared" si="20"/>
        <v>6</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25">
      <c r="B74" s="1">
        <v>19</v>
      </c>
      <c r="C74" s="9">
        <f t="shared" si="17"/>
        <v>13.5</v>
      </c>
      <c r="D74" s="9"/>
      <c r="E74" s="9"/>
      <c r="F74" s="9"/>
      <c r="G74" s="9"/>
      <c r="H74" s="9"/>
      <c r="I74" s="9">
        <f t="shared" si="18"/>
        <v>16.5</v>
      </c>
      <c r="J74" s="9">
        <f t="shared" si="19"/>
        <v>4</v>
      </c>
      <c r="K74" s="9">
        <f t="shared" si="20"/>
        <v>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25">
      <c r="B75" s="1">
        <v>20</v>
      </c>
      <c r="C75" s="9">
        <f t="shared" si="17"/>
        <v>16.5</v>
      </c>
      <c r="D75" s="9"/>
      <c r="E75" s="9"/>
      <c r="F75" s="9"/>
      <c r="G75" s="9"/>
      <c r="H75" s="9"/>
      <c r="I75" s="9">
        <f t="shared" si="18"/>
        <v>19.5</v>
      </c>
      <c r="J75" s="9">
        <f t="shared" si="19"/>
        <v>5</v>
      </c>
      <c r="K75" s="9">
        <f t="shared" si="20"/>
        <v>6</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25">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25">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25">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25">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25">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25">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25">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25">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25">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25">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25">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25">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25">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25">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25">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25">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25">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25">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25">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25">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25">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25">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25">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25">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25">
      <c r="B100" s="141"/>
      <c r="C100" s="141"/>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25">
      <c r="B101" s="141"/>
      <c r="C101" s="141"/>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25">
      <c r="B102" s="141"/>
      <c r="C102" s="141"/>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25">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25">
      <c r="B104" s="141"/>
      <c r="C104" s="141"/>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25">
      <c r="B105" s="141"/>
      <c r="C105" s="141"/>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25">
      <c r="B106" s="141"/>
      <c r="C106" s="141"/>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25">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25">
      <c r="B108" s="144"/>
      <c r="C108" s="145"/>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25">
      <c r="B109" s="144"/>
      <c r="C109" s="145"/>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25">
      <c r="B110" s="146"/>
      <c r="C110" s="147"/>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25">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25">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25">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25">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25">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25">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25">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25">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25">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25">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25">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25">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25">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25">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25">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25">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25">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25">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25">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25">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25">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25">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25">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25">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25">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25">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25">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25">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25">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25">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25">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25">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25">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25">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25">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25">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25">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25">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25">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25">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25">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25">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25">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25">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25">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25">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25">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25">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25">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25">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25">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25">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25">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25">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25">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25">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25">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25">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25">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25">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25">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25">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25">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25">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25">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25">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25">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25">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25">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25">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25">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25">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25">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25">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25">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25">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25">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25">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25">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25">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25">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25">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25">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25">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25">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25">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25">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25">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25">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25">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25">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25">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25">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25">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25">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25">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25">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25">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25">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25">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25">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25">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25">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25">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25">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25">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25">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25">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25">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25">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25">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25">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25">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25">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25">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25">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25">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25">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25">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25">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25">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25">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25">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25">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25">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25">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25">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25">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25">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25">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25">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25">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25">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25">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25">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25">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25">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25">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25">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25">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25">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25">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25">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25">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25">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25">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25">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25">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25">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25">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25">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25">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25">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25">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25">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25">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25">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25">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25">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25">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25">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25">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25">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25">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25">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25">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25">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25">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25">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25">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25">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25">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25">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25">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25">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25">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25">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25">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25">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25">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7.25" thickBot="1" x14ac:dyDescent="0.3">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21">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 ref="J8:K8"/>
    <mergeCell ref="J9:K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0" t="s">
        <v>41</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D7"/>
      <c r="E7"/>
      <c r="F7"/>
      <c r="G7"/>
      <c r="H7"/>
      <c r="I7"/>
      <c r="K7" s="1"/>
    </row>
    <row r="8" spans="1:14" ht="16.5" customHeight="1" x14ac:dyDescent="0.25">
      <c r="A8" s="1"/>
      <c r="B8" s="101" t="s">
        <v>43</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x14ac:dyDescent="0.25">
      <c r="H11" s="99" t="s">
        <v>3</v>
      </c>
      <c r="I11" s="99"/>
      <c r="J11" s="99"/>
      <c r="K11" s="1"/>
      <c r="L11" s="99" t="s">
        <v>19</v>
      </c>
      <c r="M11" s="99"/>
      <c r="N11" s="99"/>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TrevorEChen(陳恩)</cp:lastModifiedBy>
  <dcterms:created xsi:type="dcterms:W3CDTF">2022-10-25T01:46:09Z</dcterms:created>
  <dcterms:modified xsi:type="dcterms:W3CDTF">2023-08-11T01:41:23Z</dcterms:modified>
</cp:coreProperties>
</file>