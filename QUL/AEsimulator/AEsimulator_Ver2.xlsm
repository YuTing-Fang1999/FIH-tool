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D:\python\FIH-tool\QUL\AEsimulator\"/>
    </mc:Choice>
  </mc:AlternateContent>
  <xr:revisionPtr revIDLastSave="0" documentId="13_ncr:1_{D4CE4C60-19EE-46AB-A0C5-B0C5B350F76F}" xr6:coauthVersionLast="47" xr6:coauthVersionMax="47" xr10:uidLastSave="{00000000-0000-0000-0000-000000000000}"/>
  <bookViews>
    <workbookView xWindow="-120" yWindow="-120" windowWidth="29040" windowHeight="15840" activeTab="2" xr2:uid="{06DAE06F-C564-452E-8E3B-16F1AA6A3EEE}"/>
  </bookViews>
  <sheets>
    <sheet name="colorChecker" sheetId="4" r:id="rId1"/>
    <sheet name="(gamma)" sheetId="3" r:id="rId2"/>
    <sheet name="stepChart" sheetId="6" r:id="rId3"/>
    <sheet name="LSB" sheetId="1" r:id="rId4"/>
    <sheet name="(gamma)_2" sheetId="5" r:id="rId5"/>
  </sheets>
  <definedNames>
    <definedName name="solver_adj" localSheetId="2" hidden="1">stepChart!$U$36:$U$235</definedName>
    <definedName name="solver_cvg" localSheetId="1" hidden="1">0.0001</definedName>
    <definedName name="solver_cvg" localSheetId="4" hidden="1">0.0001</definedName>
    <definedName name="solver_cvg" localSheetId="2" hidden="1">0.0001</definedName>
    <definedName name="solver_drv" localSheetId="1" hidden="1">1</definedName>
    <definedName name="solver_drv" localSheetId="4" hidden="1">1</definedName>
    <definedName name="solver_drv" localSheetId="2" hidden="1">1</definedName>
    <definedName name="solver_eng" localSheetId="1" hidden="1">1</definedName>
    <definedName name="solver_eng" localSheetId="4" hidden="1">1</definedName>
    <definedName name="solver_eng" localSheetId="0" hidden="1">1</definedName>
    <definedName name="solver_eng" localSheetId="2" hidden="1">1</definedName>
    <definedName name="solver_itr" localSheetId="1" hidden="1">2147483647</definedName>
    <definedName name="solver_itr" localSheetId="4" hidden="1">2147483647</definedName>
    <definedName name="solver_itr" localSheetId="2" hidden="1">2147483647</definedName>
    <definedName name="solver_lhs0" localSheetId="2" hidden="1">stepChart!$U$36:$U$235</definedName>
    <definedName name="solver_lhs1" localSheetId="2" hidden="1">stepChart!$N$12:$N$13</definedName>
    <definedName name="solver_lhs2" localSheetId="2" hidden="1">stepChart!$N$14</definedName>
    <definedName name="solver_lhs3" localSheetId="2" hidden="1">stepChart!$N$15:$N$19</definedName>
    <definedName name="solver_lhs4" localSheetId="2" hidden="1">stepChart!$N$21:$N$31</definedName>
    <definedName name="solver_lhs5" localSheetId="2" hidden="1">stepChart!$N$20</definedName>
    <definedName name="solver_lhs6" localSheetId="2" hidden="1">stepChart!$U$36:$U$235</definedName>
    <definedName name="solver_lhs7" localSheetId="2" hidden="1">stepChart!$U$36:$U$235</definedName>
    <definedName name="solver_lhs8" localSheetId="2" hidden="1">stepChart!$U$36:$U$235</definedName>
    <definedName name="solver_mip" localSheetId="1" hidden="1">2147483647</definedName>
    <definedName name="solver_mip" localSheetId="4" hidden="1">2147483647</definedName>
    <definedName name="solver_mip" localSheetId="2" hidden="1">2147483647</definedName>
    <definedName name="solver_mni" localSheetId="1" hidden="1">30</definedName>
    <definedName name="solver_mni" localSheetId="4" hidden="1">30</definedName>
    <definedName name="solver_mni" localSheetId="2" hidden="1">30</definedName>
    <definedName name="solver_mrt" localSheetId="1" hidden="1">0.075</definedName>
    <definedName name="solver_mrt" localSheetId="4" hidden="1">0.075</definedName>
    <definedName name="solver_mrt" localSheetId="2" hidden="1">0.075</definedName>
    <definedName name="solver_msl" localSheetId="1" hidden="1">2</definedName>
    <definedName name="solver_msl" localSheetId="4" hidden="1">2</definedName>
    <definedName name="solver_msl" localSheetId="2" hidden="1">2</definedName>
    <definedName name="solver_neg" localSheetId="1" hidden="1">1</definedName>
    <definedName name="solver_neg" localSheetId="4" hidden="1">1</definedName>
    <definedName name="solver_neg" localSheetId="0" hidden="1">1</definedName>
    <definedName name="solver_neg" localSheetId="2" hidden="1">1</definedName>
    <definedName name="solver_nod" localSheetId="1" hidden="1">2147483647</definedName>
    <definedName name="solver_nod" localSheetId="4" hidden="1">2147483647</definedName>
    <definedName name="solver_nod" localSheetId="2" hidden="1">2147483647</definedName>
    <definedName name="solver_num" localSheetId="1" hidden="1">0</definedName>
    <definedName name="solver_num" localSheetId="4" hidden="1">0</definedName>
    <definedName name="solver_num" localSheetId="0" hidden="1">0</definedName>
    <definedName name="solver_num" localSheetId="2" hidden="1">7</definedName>
    <definedName name="solver_opt" localSheetId="1" hidden="1">'(gamma)'!#REF!</definedName>
    <definedName name="solver_opt" localSheetId="4" hidden="1">'(gamma)_2'!#REF!</definedName>
    <definedName name="solver_opt" localSheetId="0" hidden="1">colorChecker!$B$2</definedName>
    <definedName name="solver_opt" localSheetId="2" hidden="1">stepChart!$P$6</definedName>
    <definedName name="solver_pre" localSheetId="1" hidden="1">0.000001</definedName>
    <definedName name="solver_pre" localSheetId="4" hidden="1">0.000001</definedName>
    <definedName name="solver_pre" localSheetId="2" hidden="1">0.000001</definedName>
    <definedName name="solver_rbv" localSheetId="1" hidden="1">1</definedName>
    <definedName name="solver_rbv" localSheetId="4" hidden="1">1</definedName>
    <definedName name="solver_rbv" localSheetId="2" hidden="1">1</definedName>
    <definedName name="solver_rel0" localSheetId="2" hidden="1">3</definedName>
    <definedName name="solver_rel1" localSheetId="2" hidden="1">1</definedName>
    <definedName name="solver_rel2" localSheetId="2" hidden="1">1</definedName>
    <definedName name="solver_rel3" localSheetId="2" hidden="1">1</definedName>
    <definedName name="solver_rel4" localSheetId="2" hidden="1">1</definedName>
    <definedName name="solver_rel5" localSheetId="2" hidden="1">1</definedName>
    <definedName name="solver_rel6" localSheetId="2" hidden="1">1</definedName>
    <definedName name="solver_rel7" localSheetId="2" hidden="1">3</definedName>
    <definedName name="solver_rel8" localSheetId="2" hidden="1">3</definedName>
    <definedName name="solver_rhs0" localSheetId="2" hidden="1">0.25</definedName>
    <definedName name="solver_rhs1" localSheetId="2" hidden="1">2</definedName>
    <definedName name="solver_rhs2" localSheetId="2" hidden="1">7</definedName>
    <definedName name="solver_rhs3" localSheetId="2" hidden="1">10</definedName>
    <definedName name="solver_rhs4" localSheetId="2" hidden="1">5</definedName>
    <definedName name="solver_rhs5" localSheetId="2" hidden="1">7</definedName>
    <definedName name="solver_rhs6" localSheetId="2" hidden="1">5</definedName>
    <definedName name="solver_rhs7" localSheetId="2" hidden="1">0.25</definedName>
    <definedName name="solver_rhs8" localSheetId="2" hidden="1">0.25</definedName>
    <definedName name="solver_rlx" localSheetId="1" hidden="1">2</definedName>
    <definedName name="solver_rlx" localSheetId="4" hidden="1">2</definedName>
    <definedName name="solver_rlx" localSheetId="2" hidden="1">2</definedName>
    <definedName name="solver_rsd" localSheetId="1" hidden="1">0</definedName>
    <definedName name="solver_rsd" localSheetId="4" hidden="1">0</definedName>
    <definedName name="solver_rsd" localSheetId="2" hidden="1">0</definedName>
    <definedName name="solver_scl" localSheetId="1" hidden="1">1</definedName>
    <definedName name="solver_scl" localSheetId="4" hidden="1">1</definedName>
    <definedName name="solver_scl" localSheetId="2" hidden="1">1</definedName>
    <definedName name="solver_sho" localSheetId="1" hidden="1">2</definedName>
    <definedName name="solver_sho" localSheetId="4" hidden="1">2</definedName>
    <definedName name="solver_sho" localSheetId="2" hidden="1">2</definedName>
    <definedName name="solver_ssz" localSheetId="1" hidden="1">100</definedName>
    <definedName name="solver_ssz" localSheetId="4" hidden="1">100</definedName>
    <definedName name="solver_ssz" localSheetId="2" hidden="1">100</definedName>
    <definedName name="solver_tim" localSheetId="1" hidden="1">2147483647</definedName>
    <definedName name="solver_tim" localSheetId="4" hidden="1">2147483647</definedName>
    <definedName name="solver_tim" localSheetId="2" hidden="1">2147483647</definedName>
    <definedName name="solver_tol" localSheetId="1" hidden="1">0.01</definedName>
    <definedName name="solver_tol" localSheetId="4" hidden="1">0.01</definedName>
    <definedName name="solver_tol" localSheetId="2" hidden="1">0.01</definedName>
    <definedName name="solver_typ" localSheetId="1" hidden="1">3</definedName>
    <definedName name="solver_typ" localSheetId="4" hidden="1">3</definedName>
    <definedName name="solver_typ" localSheetId="0" hidden="1">1</definedName>
    <definedName name="solver_typ" localSheetId="2" hidden="1">3</definedName>
    <definedName name="solver_val" localSheetId="1" hidden="1">149.901</definedName>
    <definedName name="solver_val" localSheetId="4" hidden="1">149.901</definedName>
    <definedName name="solver_val" localSheetId="0" hidden="1">0</definedName>
    <definedName name="solver_val" localSheetId="2" hidden="1">2</definedName>
    <definedName name="solver_ver" localSheetId="1" hidden="1">3</definedName>
    <definedName name="solver_ver" localSheetId="4" hidden="1">3</definedName>
    <definedName name="solver_ver" localSheetId="0" hidden="1">3</definedName>
    <definedName name="solver_ver" localSheetId="2"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36" i="6" l="1"/>
  <c r="V37" i="6"/>
  <c r="V38" i="6"/>
  <c r="V39" i="6"/>
  <c r="V40" i="6"/>
  <c r="V41" i="6"/>
  <c r="V42" i="6"/>
  <c r="V43" i="6"/>
  <c r="V44" i="6"/>
  <c r="V45" i="6"/>
  <c r="V46" i="6"/>
  <c r="V47" i="6"/>
  <c r="V48" i="6"/>
  <c r="V49" i="6"/>
  <c r="V50" i="6"/>
  <c r="V51" i="6"/>
  <c r="V52" i="6"/>
  <c r="V53" i="6"/>
  <c r="V54" i="6"/>
  <c r="V55" i="6"/>
  <c r="V56" i="6"/>
  <c r="V57" i="6"/>
  <c r="V58" i="6"/>
  <c r="V59" i="6"/>
  <c r="V60" i="6"/>
  <c r="V61" i="6"/>
  <c r="V62" i="6"/>
  <c r="V63" i="6"/>
  <c r="V64" i="6"/>
  <c r="V65" i="6"/>
  <c r="V66" i="6"/>
  <c r="V67" i="6"/>
  <c r="V68" i="6"/>
  <c r="V69" i="6"/>
  <c r="V70" i="6"/>
  <c r="V71" i="6"/>
  <c r="V72" i="6"/>
  <c r="V73" i="6"/>
  <c r="V74" i="6"/>
  <c r="V75" i="6"/>
  <c r="V76" i="6"/>
  <c r="V77" i="6"/>
  <c r="V78" i="6"/>
  <c r="V79" i="6"/>
  <c r="V80" i="6"/>
  <c r="V81" i="6"/>
  <c r="V82" i="6"/>
  <c r="V83" i="6"/>
  <c r="V84" i="6"/>
  <c r="V85" i="6"/>
  <c r="V86" i="6"/>
  <c r="V87" i="6"/>
  <c r="V88" i="6"/>
  <c r="V89" i="6"/>
  <c r="V90" i="6"/>
  <c r="V91" i="6"/>
  <c r="V92" i="6"/>
  <c r="V93" i="6"/>
  <c r="V94" i="6"/>
  <c r="V95" i="6"/>
  <c r="V96" i="6"/>
  <c r="V97" i="6"/>
  <c r="V98" i="6"/>
  <c r="V99" i="6"/>
  <c r="V100" i="6"/>
  <c r="V101" i="6"/>
  <c r="V102" i="6"/>
  <c r="V103" i="6"/>
  <c r="V104" i="6"/>
  <c r="V105" i="6"/>
  <c r="V106" i="6"/>
  <c r="V107" i="6"/>
  <c r="V108" i="6"/>
  <c r="V109" i="6"/>
  <c r="V110" i="6"/>
  <c r="V111" i="6"/>
  <c r="V112" i="6"/>
  <c r="V113" i="6"/>
  <c r="V114" i="6"/>
  <c r="V115" i="6"/>
  <c r="V116" i="6"/>
  <c r="V117" i="6"/>
  <c r="V118" i="6"/>
  <c r="V119" i="6"/>
  <c r="V120" i="6"/>
  <c r="V121" i="6"/>
  <c r="V122" i="6"/>
  <c r="V123" i="6"/>
  <c r="V124" i="6"/>
  <c r="V125" i="6"/>
  <c r="V126" i="6"/>
  <c r="V127" i="6"/>
  <c r="V128" i="6"/>
  <c r="V129" i="6"/>
  <c r="V130" i="6"/>
  <c r="V131" i="6"/>
  <c r="V132" i="6"/>
  <c r="V133" i="6"/>
  <c r="V134" i="6"/>
  <c r="V135" i="6"/>
  <c r="V136" i="6"/>
  <c r="V137" i="6"/>
  <c r="V138" i="6"/>
  <c r="V139" i="6"/>
  <c r="V140" i="6"/>
  <c r="V141" i="6"/>
  <c r="V142" i="6"/>
  <c r="V143" i="6"/>
  <c r="V144" i="6"/>
  <c r="V145" i="6"/>
  <c r="V146" i="6"/>
  <c r="V147" i="6"/>
  <c r="V148" i="6"/>
  <c r="V149" i="6"/>
  <c r="V150" i="6"/>
  <c r="V151" i="6"/>
  <c r="V152" i="6"/>
  <c r="V153" i="6"/>
  <c r="V154" i="6"/>
  <c r="V155" i="6"/>
  <c r="V156" i="6"/>
  <c r="V157" i="6"/>
  <c r="V158" i="6"/>
  <c r="V159" i="6"/>
  <c r="V160" i="6"/>
  <c r="V161" i="6"/>
  <c r="V162" i="6"/>
  <c r="V163" i="6"/>
  <c r="V164" i="6"/>
  <c r="V165" i="6"/>
  <c r="V166" i="6"/>
  <c r="V167" i="6"/>
  <c r="V168" i="6"/>
  <c r="V169" i="6"/>
  <c r="V170" i="6"/>
  <c r="V171" i="6"/>
  <c r="V172" i="6"/>
  <c r="V173" i="6"/>
  <c r="V174" i="6"/>
  <c r="V175" i="6"/>
  <c r="V176" i="6"/>
  <c r="V177" i="6"/>
  <c r="V178" i="6"/>
  <c r="V179" i="6"/>
  <c r="V180" i="6"/>
  <c r="V181" i="6"/>
  <c r="V182" i="6"/>
  <c r="V183" i="6"/>
  <c r="V184" i="6"/>
  <c r="V185" i="6"/>
  <c r="V186" i="6"/>
  <c r="V187" i="6"/>
  <c r="V188" i="6"/>
  <c r="V189" i="6"/>
  <c r="V190" i="6"/>
  <c r="V191" i="6"/>
  <c r="V192" i="6"/>
  <c r="V193" i="6"/>
  <c r="V194" i="6"/>
  <c r="V195" i="6"/>
  <c r="V196" i="6"/>
  <c r="V197" i="6"/>
  <c r="V198" i="6"/>
  <c r="V199" i="6"/>
  <c r="V200" i="6"/>
  <c r="V201" i="6"/>
  <c r="V202" i="6"/>
  <c r="V203" i="6"/>
  <c r="V204" i="6"/>
  <c r="V205" i="6"/>
  <c r="V206" i="6"/>
  <c r="V207" i="6"/>
  <c r="V208" i="6"/>
  <c r="V209" i="6"/>
  <c r="V210" i="6"/>
  <c r="V211" i="6"/>
  <c r="V212" i="6"/>
  <c r="V213" i="6"/>
  <c r="V214" i="6"/>
  <c r="V215" i="6"/>
  <c r="V216" i="6"/>
  <c r="V217" i="6"/>
  <c r="V218" i="6"/>
  <c r="V219" i="6"/>
  <c r="V220" i="6"/>
  <c r="V221" i="6"/>
  <c r="V222" i="6"/>
  <c r="V223" i="6"/>
  <c r="V224" i="6"/>
  <c r="V225" i="6"/>
  <c r="V226" i="6"/>
  <c r="V227" i="6"/>
  <c r="V228" i="6"/>
  <c r="V229" i="6"/>
  <c r="V230" i="6"/>
  <c r="V231" i="6"/>
  <c r="V232" i="6"/>
  <c r="V233" i="6"/>
  <c r="V234" i="6"/>
  <c r="V235" i="6"/>
  <c r="V236" i="6"/>
  <c r="V237" i="6"/>
  <c r="V238" i="6"/>
  <c r="V239" i="6"/>
  <c r="V240" i="6"/>
  <c r="V241" i="6"/>
  <c r="V242" i="6"/>
  <c r="V243" i="6"/>
  <c r="V244" i="6"/>
  <c r="V245" i="6"/>
  <c r="V246" i="6"/>
  <c r="V247" i="6"/>
  <c r="V248" i="6"/>
  <c r="V249" i="6"/>
  <c r="V250" i="6"/>
  <c r="V251" i="6"/>
  <c r="V252" i="6"/>
  <c r="V253" i="6"/>
  <c r="V254" i="6"/>
  <c r="V255" i="6"/>
  <c r="V256" i="6"/>
  <c r="V257" i="6"/>
  <c r="V258" i="6"/>
  <c r="V259" i="6"/>
  <c r="V260" i="6"/>
  <c r="V261" i="6"/>
  <c r="V262" i="6"/>
  <c r="V263" i="6"/>
  <c r="V264" i="6"/>
  <c r="V265" i="6"/>
  <c r="V266" i="6"/>
  <c r="V267" i="6"/>
  <c r="V268" i="6"/>
  <c r="V269" i="6"/>
  <c r="V270" i="6"/>
  <c r="V271" i="6"/>
  <c r="V272" i="6"/>
  <c r="V273" i="6"/>
  <c r="V274" i="6"/>
  <c r="V275" i="6"/>
  <c r="V276" i="6"/>
  <c r="V277" i="6"/>
  <c r="V278" i="6"/>
  <c r="V279" i="6"/>
  <c r="V280" i="6"/>
  <c r="V281" i="6"/>
  <c r="V282" i="6"/>
  <c r="V283" i="6"/>
  <c r="V284" i="6"/>
  <c r="V285" i="6"/>
  <c r="V286" i="6"/>
  <c r="V287" i="6"/>
  <c r="V288" i="6"/>
  <c r="V289" i="6"/>
  <c r="V290" i="6"/>
  <c r="V291" i="6"/>
  <c r="V35" i="6"/>
  <c r="O291" i="6"/>
  <c r="O290" i="6"/>
  <c r="O289" i="6"/>
  <c r="O288" i="6"/>
  <c r="O287" i="6"/>
  <c r="O286" i="6"/>
  <c r="O285" i="6"/>
  <c r="O284" i="6"/>
  <c r="O283" i="6"/>
  <c r="O282" i="6"/>
  <c r="O281" i="6"/>
  <c r="O280" i="6"/>
  <c r="O279" i="6"/>
  <c r="O278" i="6"/>
  <c r="O277" i="6"/>
  <c r="O276" i="6"/>
  <c r="O275" i="6"/>
  <c r="O274" i="6"/>
  <c r="O273" i="6"/>
  <c r="O272" i="6"/>
  <c r="O271" i="6"/>
  <c r="O270" i="6"/>
  <c r="O269" i="6"/>
  <c r="O268" i="6"/>
  <c r="O267" i="6"/>
  <c r="O266" i="6"/>
  <c r="O265" i="6"/>
  <c r="O264" i="6"/>
  <c r="O263" i="6"/>
  <c r="O262" i="6"/>
  <c r="O261" i="6"/>
  <c r="O260" i="6"/>
  <c r="O259" i="6"/>
  <c r="O258" i="6"/>
  <c r="O257" i="6"/>
  <c r="O256" i="6"/>
  <c r="O255" i="6"/>
  <c r="O254" i="6"/>
  <c r="O253" i="6"/>
  <c r="O252" i="6"/>
  <c r="O251" i="6"/>
  <c r="O250" i="6"/>
  <c r="O249" i="6"/>
  <c r="O248" i="6"/>
  <c r="O247" i="6"/>
  <c r="O246" i="6"/>
  <c r="O245" i="6"/>
  <c r="O244" i="6"/>
  <c r="O243" i="6"/>
  <c r="O242" i="6"/>
  <c r="O241" i="6"/>
  <c r="O240" i="6"/>
  <c r="O239" i="6"/>
  <c r="O238" i="6"/>
  <c r="O237" i="6"/>
  <c r="O236" i="6"/>
  <c r="O235" i="6"/>
  <c r="O234" i="6"/>
  <c r="O233" i="6"/>
  <c r="O232" i="6"/>
  <c r="O231" i="6"/>
  <c r="O230" i="6"/>
  <c r="O229" i="6"/>
  <c r="O228" i="6"/>
  <c r="O227" i="6"/>
  <c r="O226" i="6"/>
  <c r="O225" i="6"/>
  <c r="O224" i="6"/>
  <c r="O223" i="6"/>
  <c r="O222" i="6"/>
  <c r="O221" i="6"/>
  <c r="O220" i="6"/>
  <c r="O219" i="6"/>
  <c r="O218" i="6"/>
  <c r="O217" i="6"/>
  <c r="O216" i="6"/>
  <c r="O215" i="6"/>
  <c r="O214" i="6"/>
  <c r="O213" i="6"/>
  <c r="O212" i="6"/>
  <c r="O211" i="6"/>
  <c r="O210" i="6"/>
  <c r="O209" i="6"/>
  <c r="O208" i="6"/>
  <c r="O207" i="6"/>
  <c r="O206" i="6"/>
  <c r="O205" i="6"/>
  <c r="O204" i="6"/>
  <c r="O203" i="6"/>
  <c r="O202" i="6"/>
  <c r="O201" i="6"/>
  <c r="O200" i="6"/>
  <c r="O199" i="6"/>
  <c r="O198" i="6"/>
  <c r="O197" i="6"/>
  <c r="O196" i="6"/>
  <c r="O195" i="6"/>
  <c r="O194" i="6"/>
  <c r="O193" i="6"/>
  <c r="O192" i="6"/>
  <c r="O191" i="6"/>
  <c r="O190" i="6"/>
  <c r="O189" i="6"/>
  <c r="O188" i="6"/>
  <c r="O187" i="6"/>
  <c r="O186" i="6"/>
  <c r="O185" i="6"/>
  <c r="O184" i="6"/>
  <c r="O183" i="6"/>
  <c r="O182" i="6"/>
  <c r="O181" i="6"/>
  <c r="O180" i="6"/>
  <c r="O179" i="6"/>
  <c r="O178" i="6"/>
  <c r="O177" i="6"/>
  <c r="O176" i="6"/>
  <c r="O175" i="6"/>
  <c r="O174" i="6"/>
  <c r="O173" i="6"/>
  <c r="O172" i="6"/>
  <c r="O171" i="6"/>
  <c r="O170" i="6"/>
  <c r="O169" i="6"/>
  <c r="O168" i="6"/>
  <c r="O167" i="6"/>
  <c r="O166" i="6"/>
  <c r="O165" i="6"/>
  <c r="O164" i="6"/>
  <c r="O163" i="6"/>
  <c r="O162" i="6"/>
  <c r="O161" i="6"/>
  <c r="O160" i="6"/>
  <c r="O159" i="6"/>
  <c r="O158" i="6"/>
  <c r="O157" i="6"/>
  <c r="O156" i="6"/>
  <c r="O155" i="6"/>
  <c r="O154" i="6"/>
  <c r="O153" i="6"/>
  <c r="O152" i="6"/>
  <c r="O151" i="6"/>
  <c r="O150" i="6"/>
  <c r="O149" i="6"/>
  <c r="O148" i="6"/>
  <c r="O147" i="6"/>
  <c r="O146" i="6"/>
  <c r="O145" i="6"/>
  <c r="O144" i="6"/>
  <c r="O143" i="6"/>
  <c r="O142" i="6"/>
  <c r="O141" i="6"/>
  <c r="O140" i="6"/>
  <c r="O139" i="6"/>
  <c r="O138" i="6"/>
  <c r="O137" i="6"/>
  <c r="O136" i="6"/>
  <c r="O135" i="6"/>
  <c r="O134" i="6"/>
  <c r="O133" i="6"/>
  <c r="O132" i="6"/>
  <c r="O131" i="6"/>
  <c r="O130" i="6"/>
  <c r="O129" i="6"/>
  <c r="O128" i="6"/>
  <c r="O127" i="6"/>
  <c r="O126" i="6"/>
  <c r="O125" i="6"/>
  <c r="O124" i="6"/>
  <c r="O123" i="6"/>
  <c r="O122" i="6"/>
  <c r="O121" i="6"/>
  <c r="O120" i="6"/>
  <c r="O119" i="6"/>
  <c r="O118" i="6"/>
  <c r="O117" i="6"/>
  <c r="O116" i="6"/>
  <c r="O115" i="6"/>
  <c r="O114" i="6"/>
  <c r="O113" i="6"/>
  <c r="O112" i="6"/>
  <c r="O111" i="6"/>
  <c r="O110" i="6"/>
  <c r="O109" i="6"/>
  <c r="O108" i="6"/>
  <c r="O107" i="6"/>
  <c r="O106" i="6"/>
  <c r="O105" i="6"/>
  <c r="O104" i="6"/>
  <c r="O103" i="6"/>
  <c r="O102" i="6"/>
  <c r="O101" i="6"/>
  <c r="O100" i="6"/>
  <c r="O99" i="6"/>
  <c r="O98" i="6"/>
  <c r="O97" i="6"/>
  <c r="O96" i="6"/>
  <c r="O95" i="6"/>
  <c r="O94" i="6"/>
  <c r="O93" i="6"/>
  <c r="O92" i="6"/>
  <c r="O91" i="6"/>
  <c r="O90" i="6"/>
  <c r="O89" i="6"/>
  <c r="O88" i="6"/>
  <c r="O87" i="6"/>
  <c r="O86" i="6"/>
  <c r="O85" i="6"/>
  <c r="O84" i="6"/>
  <c r="O83" i="6"/>
  <c r="O82" i="6"/>
  <c r="O81" i="6"/>
  <c r="O80" i="6"/>
  <c r="O79" i="6"/>
  <c r="O78" i="6"/>
  <c r="O77" i="6"/>
  <c r="O76" i="6"/>
  <c r="O75" i="6"/>
  <c r="O74" i="6"/>
  <c r="O73" i="6"/>
  <c r="O72" i="6"/>
  <c r="O71" i="6"/>
  <c r="O70" i="6"/>
  <c r="O69" i="6"/>
  <c r="O68" i="6"/>
  <c r="O67" i="6"/>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M12" i="6"/>
  <c r="S36" i="6" l="1"/>
  <c r="O13" i="6"/>
  <c r="O14" i="6"/>
  <c r="O15" i="6"/>
  <c r="O16" i="6"/>
  <c r="O17" i="6"/>
  <c r="O18" i="6"/>
  <c r="O19" i="6"/>
  <c r="O20" i="6"/>
  <c r="O21" i="6"/>
  <c r="O22" i="6"/>
  <c r="O23" i="6"/>
  <c r="O24" i="6"/>
  <c r="O25" i="6"/>
  <c r="O26" i="6"/>
  <c r="O27" i="6"/>
  <c r="O28" i="6"/>
  <c r="O29" i="6"/>
  <c r="O30" i="6"/>
  <c r="O31" i="6"/>
  <c r="O12" i="6"/>
  <c r="F26" i="3"/>
  <c r="F27" i="3"/>
  <c r="M40" i="4"/>
  <c r="F40" i="4"/>
  <c r="F35" i="4"/>
  <c r="F30" i="4"/>
  <c r="M290" i="6"/>
  <c r="M287" i="6"/>
  <c r="M286" i="6"/>
  <c r="M283" i="6"/>
  <c r="M282" i="6"/>
  <c r="M279" i="6"/>
  <c r="M278" i="6"/>
  <c r="M277" i="6"/>
  <c r="M275" i="6"/>
  <c r="M274" i="6"/>
  <c r="M271" i="6"/>
  <c r="M269" i="6"/>
  <c r="M268" i="6"/>
  <c r="M267" i="6"/>
  <c r="M266" i="6"/>
  <c r="M263" i="6"/>
  <c r="M260" i="6"/>
  <c r="M259" i="6"/>
  <c r="M255" i="6"/>
  <c r="M254" i="6"/>
  <c r="M253" i="6"/>
  <c r="M252" i="6"/>
  <c r="M251" i="6"/>
  <c r="M247" i="6"/>
  <c r="M246" i="6"/>
  <c r="M245" i="6"/>
  <c r="M244" i="6"/>
  <c r="M243" i="6"/>
  <c r="M242" i="6"/>
  <c r="M238" i="6"/>
  <c r="M237" i="6"/>
  <c r="M236" i="6"/>
  <c r="M235" i="6"/>
  <c r="M230" i="6"/>
  <c r="M228" i="6"/>
  <c r="M227" i="6"/>
  <c r="M226" i="6"/>
  <c r="M223" i="6"/>
  <c r="M222" i="6"/>
  <c r="M219" i="6"/>
  <c r="M218" i="6"/>
  <c r="M215" i="6"/>
  <c r="M214" i="6"/>
  <c r="M213" i="6"/>
  <c r="M211" i="6"/>
  <c r="M210" i="6"/>
  <c r="M207" i="6"/>
  <c r="M205" i="6"/>
  <c r="M204" i="6"/>
  <c r="M203" i="6"/>
  <c r="M202" i="6"/>
  <c r="M199" i="6"/>
  <c r="M196" i="6"/>
  <c r="M195" i="6"/>
  <c r="M191" i="6"/>
  <c r="M190" i="6"/>
  <c r="M189" i="6"/>
  <c r="M188" i="6"/>
  <c r="M187" i="6"/>
  <c r="M183" i="6"/>
  <c r="M182" i="6"/>
  <c r="M181" i="6"/>
  <c r="M180" i="6"/>
  <c r="M179" i="6"/>
  <c r="M178" i="6"/>
  <c r="M176" i="6"/>
  <c r="M174" i="6"/>
  <c r="M172" i="6"/>
  <c r="M171" i="6"/>
  <c r="M170" i="6"/>
  <c r="M168" i="6"/>
  <c r="M167" i="6"/>
  <c r="M166" i="6"/>
  <c r="M163" i="6"/>
  <c r="M162" i="6"/>
  <c r="M160" i="6"/>
  <c r="M159" i="6"/>
  <c r="M158" i="6"/>
  <c r="M156" i="6"/>
  <c r="M155" i="6"/>
  <c r="M154" i="6"/>
  <c r="M152" i="6"/>
  <c r="M151" i="6"/>
  <c r="M150" i="6"/>
  <c r="M149" i="6"/>
  <c r="M148" i="6"/>
  <c r="M147" i="6"/>
  <c r="M146" i="6"/>
  <c r="M144" i="6"/>
  <c r="M143" i="6"/>
  <c r="M142" i="6"/>
  <c r="M141" i="6"/>
  <c r="M140" i="6"/>
  <c r="M139" i="6"/>
  <c r="M138" i="6"/>
  <c r="M136" i="6"/>
  <c r="M134" i="6"/>
  <c r="M133" i="6"/>
  <c r="M131" i="6"/>
  <c r="M130" i="6"/>
  <c r="M128" i="6"/>
  <c r="M126" i="6"/>
  <c r="M104" i="6"/>
  <c r="M103" i="6"/>
  <c r="M82" i="6"/>
  <c r="M81" i="6"/>
  <c r="M38" i="6"/>
  <c r="M36" i="6"/>
  <c r="M35" i="6"/>
  <c r="M29" i="6"/>
  <c r="M27" i="6"/>
  <c r="M25" i="6"/>
  <c r="M23" i="6"/>
  <c r="M22" i="6"/>
  <c r="M21" i="6"/>
  <c r="M17" i="6"/>
  <c r="M16" i="6"/>
  <c r="M15" i="6"/>
  <c r="M13" i="6"/>
  <c r="E20" i="3"/>
  <c r="F29" i="4"/>
  <c r="F19" i="4"/>
  <c r="F25" i="4"/>
  <c r="F24" i="4"/>
  <c r="F14" i="4"/>
  <c r="F15" i="4"/>
  <c r="F20" i="4"/>
  <c r="J40" i="4"/>
  <c r="L40" i="4" s="1"/>
  <c r="J39" i="4"/>
  <c r="L39" i="4" s="1"/>
  <c r="J35" i="4"/>
  <c r="J34" i="4"/>
  <c r="J30" i="4"/>
  <c r="L30" i="4" s="1"/>
  <c r="J29" i="4"/>
  <c r="M35" i="4"/>
  <c r="N40" i="4"/>
  <c r="N39" i="4"/>
  <c r="N35" i="4"/>
  <c r="L35" i="4" s="1"/>
  <c r="N34" i="4"/>
  <c r="N30" i="4"/>
  <c r="N29" i="4"/>
  <c r="M30" i="4"/>
  <c r="L15" i="4"/>
  <c r="L20" i="4"/>
  <c r="M15" i="4"/>
  <c r="M20" i="4"/>
  <c r="M25" i="4"/>
  <c r="N20" i="4"/>
  <c r="N19" i="4"/>
  <c r="N15" i="4"/>
  <c r="J20" i="4"/>
  <c r="J19" i="4"/>
  <c r="J15" i="4"/>
  <c r="J14" i="4"/>
  <c r="E50" i="3"/>
  <c r="C50" i="3" s="1"/>
  <c r="F52" i="3"/>
  <c r="E53" i="3"/>
  <c r="C53" i="3" s="1"/>
  <c r="E27" i="3"/>
  <c r="E26" i="3"/>
  <c r="E54" i="3" s="1"/>
  <c r="C54" i="3" s="1"/>
  <c r="C27" i="3"/>
  <c r="E41" i="3" s="1"/>
  <c r="C41" i="3" s="1"/>
  <c r="C26" i="3"/>
  <c r="E40" i="3" s="1"/>
  <c r="C40" i="3" s="1"/>
  <c r="E25" i="3"/>
  <c r="F53" i="3" s="1"/>
  <c r="E24" i="3"/>
  <c r="E52" i="3" s="1"/>
  <c r="C52" i="3" s="1"/>
  <c r="E23" i="3"/>
  <c r="E51" i="3" s="1"/>
  <c r="C51" i="3" s="1"/>
  <c r="E22" i="3"/>
  <c r="F50" i="3" s="1"/>
  <c r="D50" i="3" s="1"/>
  <c r="F22" i="3" s="1"/>
  <c r="E21" i="3"/>
  <c r="E19" i="3"/>
  <c r="E18" i="3"/>
  <c r="E17" i="3"/>
  <c r="B26" i="3"/>
  <c r="E36" i="3"/>
  <c r="C36" i="3" s="1"/>
  <c r="F38" i="3"/>
  <c r="D38" i="3" s="1"/>
  <c r="C39" i="3"/>
  <c r="E39" i="3"/>
  <c r="C25" i="3"/>
  <c r="F39" i="3" s="1"/>
  <c r="D39" i="3" s="1"/>
  <c r="D25" i="3" s="1"/>
  <c r="C24" i="3"/>
  <c r="E38" i="3" s="1"/>
  <c r="C38" i="3" s="1"/>
  <c r="B24" i="3"/>
  <c r="B22" i="3"/>
  <c r="C23" i="3"/>
  <c r="E37" i="3" s="1"/>
  <c r="C37" i="3" s="1"/>
  <c r="C22" i="3"/>
  <c r="F36" i="3" s="1"/>
  <c r="D36" i="3" s="1"/>
  <c r="C21" i="3"/>
  <c r="C20" i="3"/>
  <c r="C19" i="3"/>
  <c r="C18" i="3"/>
  <c r="C17" i="3"/>
  <c r="B20" i="3"/>
  <c r="B18" i="3"/>
  <c r="E17" i="5"/>
  <c r="E18" i="5"/>
  <c r="E19" i="5"/>
  <c r="E20" i="5"/>
  <c r="E21" i="5"/>
  <c r="E22" i="5"/>
  <c r="E23" i="5"/>
  <c r="E24" i="5"/>
  <c r="E25" i="5"/>
  <c r="E26" i="5"/>
  <c r="E16" i="5"/>
  <c r="C17" i="5"/>
  <c r="C18" i="5"/>
  <c r="C19" i="5"/>
  <c r="C20" i="5"/>
  <c r="C21" i="5"/>
  <c r="C22" i="5"/>
  <c r="C23" i="5"/>
  <c r="C24" i="5"/>
  <c r="C25" i="5"/>
  <c r="C26" i="5"/>
  <c r="C16" i="5"/>
  <c r="B26" i="5"/>
  <c r="B17" i="5"/>
  <c r="B18" i="5"/>
  <c r="B19" i="5"/>
  <c r="B20" i="5"/>
  <c r="B21" i="5"/>
  <c r="B22" i="5"/>
  <c r="B23" i="5"/>
  <c r="B24" i="5"/>
  <c r="B25" i="5"/>
  <c r="B16" i="5"/>
  <c r="J260" i="5"/>
  <c r="J259" i="5"/>
  <c r="K259" i="5" s="1"/>
  <c r="J258" i="5"/>
  <c r="H258" i="5" s="1"/>
  <c r="J257" i="5"/>
  <c r="J256" i="5"/>
  <c r="K256" i="5" s="1"/>
  <c r="J255" i="5"/>
  <c r="H255" i="5" s="1"/>
  <c r="J254" i="5"/>
  <c r="H254" i="5" s="1"/>
  <c r="J253" i="5"/>
  <c r="K254" i="5" s="1"/>
  <c r="J252" i="5"/>
  <c r="H252" i="5" s="1"/>
  <c r="J251" i="5"/>
  <c r="J250" i="5"/>
  <c r="H250" i="5" s="1"/>
  <c r="J249" i="5"/>
  <c r="K249" i="5" s="1"/>
  <c r="J248" i="5"/>
  <c r="H248" i="5" s="1"/>
  <c r="J247" i="5"/>
  <c r="H247" i="5" s="1"/>
  <c r="J246" i="5"/>
  <c r="H246" i="5" s="1"/>
  <c r="J245" i="5"/>
  <c r="J244" i="5"/>
  <c r="H244" i="5" s="1"/>
  <c r="J243" i="5"/>
  <c r="J242" i="5"/>
  <c r="H242" i="5" s="1"/>
  <c r="J241" i="5"/>
  <c r="K241" i="5" s="1"/>
  <c r="J240" i="5"/>
  <c r="K240" i="5" s="1"/>
  <c r="J239" i="5"/>
  <c r="H239" i="5" s="1"/>
  <c r="J238" i="5"/>
  <c r="H238" i="5" s="1"/>
  <c r="J237" i="5"/>
  <c r="J236" i="5"/>
  <c r="H236" i="5" s="1"/>
  <c r="J235" i="5"/>
  <c r="K236" i="5" s="1"/>
  <c r="J234" i="5"/>
  <c r="H234" i="5" s="1"/>
  <c r="J233" i="5"/>
  <c r="J232" i="5"/>
  <c r="H232" i="5" s="1"/>
  <c r="J231" i="5"/>
  <c r="H231" i="5" s="1"/>
  <c r="J230" i="5"/>
  <c r="H230" i="5" s="1"/>
  <c r="J229" i="5"/>
  <c r="K230" i="5" s="1"/>
  <c r="J228" i="5"/>
  <c r="H228" i="5" s="1"/>
  <c r="J227" i="5"/>
  <c r="K228" i="5" s="1"/>
  <c r="J226" i="5"/>
  <c r="H226" i="5" s="1"/>
  <c r="J225" i="5"/>
  <c r="K225" i="5" s="1"/>
  <c r="J224" i="5"/>
  <c r="H224" i="5" s="1"/>
  <c r="J223" i="5"/>
  <c r="H223" i="5" s="1"/>
  <c r="J222" i="5"/>
  <c r="H222" i="5" s="1"/>
  <c r="J221" i="5"/>
  <c r="K222" i="5" s="1"/>
  <c r="J220" i="5"/>
  <c r="H220" i="5" s="1"/>
  <c r="J219" i="5"/>
  <c r="K220" i="5" s="1"/>
  <c r="J218" i="5"/>
  <c r="H218" i="5" s="1"/>
  <c r="J217" i="5"/>
  <c r="K217" i="5" s="1"/>
  <c r="J216" i="5"/>
  <c r="H216" i="5" s="1"/>
  <c r="J215" i="5"/>
  <c r="H215" i="5" s="1"/>
  <c r="J214" i="5"/>
  <c r="H214" i="5" s="1"/>
  <c r="J213" i="5"/>
  <c r="J212" i="5"/>
  <c r="H212" i="5" s="1"/>
  <c r="J211" i="5"/>
  <c r="J210" i="5"/>
  <c r="H210" i="5" s="1"/>
  <c r="J209" i="5"/>
  <c r="K209" i="5" s="1"/>
  <c r="J208" i="5"/>
  <c r="H208" i="5" s="1"/>
  <c r="J207" i="5"/>
  <c r="H207" i="5" s="1"/>
  <c r="J206" i="5"/>
  <c r="H206" i="5" s="1"/>
  <c r="J205" i="5"/>
  <c r="J204" i="5"/>
  <c r="H204" i="5" s="1"/>
  <c r="J203" i="5"/>
  <c r="K204" i="5" s="1"/>
  <c r="J202" i="5"/>
  <c r="H202" i="5" s="1"/>
  <c r="J201" i="5"/>
  <c r="J200" i="5"/>
  <c r="H200" i="5" s="1"/>
  <c r="J199" i="5"/>
  <c r="H199" i="5" s="1"/>
  <c r="J198" i="5"/>
  <c r="H198" i="5" s="1"/>
  <c r="J197" i="5"/>
  <c r="J196" i="5"/>
  <c r="H196" i="5" s="1"/>
  <c r="J195" i="5"/>
  <c r="J194" i="5"/>
  <c r="H194" i="5" s="1"/>
  <c r="J193" i="5"/>
  <c r="J192" i="5"/>
  <c r="H192" i="5" s="1"/>
  <c r="J191" i="5"/>
  <c r="H191" i="5" s="1"/>
  <c r="J190" i="5"/>
  <c r="H190" i="5" s="1"/>
  <c r="J189" i="5"/>
  <c r="K190" i="5" s="1"/>
  <c r="J188" i="5"/>
  <c r="H188" i="5" s="1"/>
  <c r="J187" i="5"/>
  <c r="J186" i="5"/>
  <c r="H186" i="5" s="1"/>
  <c r="J185" i="5"/>
  <c r="K185" i="5" s="1"/>
  <c r="J184" i="5"/>
  <c r="H184" i="5" s="1"/>
  <c r="J183" i="5"/>
  <c r="H183" i="5" s="1"/>
  <c r="J182" i="5"/>
  <c r="H182" i="5" s="1"/>
  <c r="J181" i="5"/>
  <c r="J180" i="5"/>
  <c r="H180" i="5" s="1"/>
  <c r="J179" i="5"/>
  <c r="J178" i="5"/>
  <c r="H178" i="5" s="1"/>
  <c r="J177" i="5"/>
  <c r="K177" i="5" s="1"/>
  <c r="J176" i="5"/>
  <c r="H176" i="5" s="1"/>
  <c r="J175" i="5"/>
  <c r="H175" i="5" s="1"/>
  <c r="J174" i="5"/>
  <c r="H174" i="5" s="1"/>
  <c r="J173" i="5"/>
  <c r="J172" i="5"/>
  <c r="H172" i="5" s="1"/>
  <c r="J171" i="5"/>
  <c r="K172" i="5" s="1"/>
  <c r="J170" i="5"/>
  <c r="H170" i="5" s="1"/>
  <c r="J169" i="5"/>
  <c r="J168" i="5"/>
  <c r="H168" i="5" s="1"/>
  <c r="J167" i="5"/>
  <c r="H167" i="5" s="1"/>
  <c r="J166" i="5"/>
  <c r="H166" i="5" s="1"/>
  <c r="J165" i="5"/>
  <c r="K166" i="5" s="1"/>
  <c r="J164" i="5"/>
  <c r="H164" i="5" s="1"/>
  <c r="J163" i="5"/>
  <c r="K164" i="5" s="1"/>
  <c r="J162" i="5"/>
  <c r="H162" i="5" s="1"/>
  <c r="J161" i="5"/>
  <c r="J160" i="5"/>
  <c r="H160" i="5" s="1"/>
  <c r="J159" i="5"/>
  <c r="H159" i="5" s="1"/>
  <c r="J158" i="5"/>
  <c r="H158" i="5" s="1"/>
  <c r="J157" i="5"/>
  <c r="K158" i="5" s="1"/>
  <c r="J156" i="5"/>
  <c r="H156" i="5" s="1"/>
  <c r="J155" i="5"/>
  <c r="K156" i="5" s="1"/>
  <c r="J154" i="5"/>
  <c r="H154" i="5" s="1"/>
  <c r="J153" i="5"/>
  <c r="K153" i="5" s="1"/>
  <c r="J152" i="5"/>
  <c r="H152" i="5" s="1"/>
  <c r="J151" i="5"/>
  <c r="H151" i="5" s="1"/>
  <c r="J150" i="5"/>
  <c r="H150" i="5" s="1"/>
  <c r="J149" i="5"/>
  <c r="J148" i="5"/>
  <c r="H148" i="5" s="1"/>
  <c r="J147" i="5"/>
  <c r="J146" i="5"/>
  <c r="H146" i="5" s="1"/>
  <c r="J145" i="5"/>
  <c r="J144" i="5"/>
  <c r="H144" i="5" s="1"/>
  <c r="J143" i="5"/>
  <c r="H143" i="5" s="1"/>
  <c r="J142" i="5"/>
  <c r="H142" i="5" s="1"/>
  <c r="J141" i="5"/>
  <c r="J140" i="5"/>
  <c r="H140" i="5" s="1"/>
  <c r="J139" i="5"/>
  <c r="H139" i="5" s="1"/>
  <c r="J138" i="5"/>
  <c r="H138" i="5" s="1"/>
  <c r="J137" i="5"/>
  <c r="J136" i="5"/>
  <c r="H136" i="5" s="1"/>
  <c r="J135" i="5"/>
  <c r="H135" i="5" s="1"/>
  <c r="J134" i="5"/>
  <c r="H134" i="5" s="1"/>
  <c r="J133" i="5"/>
  <c r="K134" i="5" s="1"/>
  <c r="J132" i="5"/>
  <c r="H132" i="5" s="1"/>
  <c r="J131" i="5"/>
  <c r="H131" i="5"/>
  <c r="J130" i="5"/>
  <c r="H130" i="5" s="1"/>
  <c r="J129" i="5"/>
  <c r="J128" i="5"/>
  <c r="J127" i="5"/>
  <c r="H127" i="5" s="1"/>
  <c r="J126" i="5"/>
  <c r="H126" i="5"/>
  <c r="J125" i="5"/>
  <c r="K126" i="5" s="1"/>
  <c r="J124" i="5"/>
  <c r="H124" i="5" s="1"/>
  <c r="J123" i="5"/>
  <c r="J122" i="5"/>
  <c r="H122" i="5" s="1"/>
  <c r="J121" i="5"/>
  <c r="J120" i="5"/>
  <c r="H120" i="5" s="1"/>
  <c r="J119" i="5"/>
  <c r="H119" i="5" s="1"/>
  <c r="J118" i="5"/>
  <c r="H118" i="5" s="1"/>
  <c r="J117" i="5"/>
  <c r="J116" i="5"/>
  <c r="H116" i="5" s="1"/>
  <c r="J115" i="5"/>
  <c r="H115" i="5" s="1"/>
  <c r="J114" i="5"/>
  <c r="H114" i="5" s="1"/>
  <c r="J113" i="5"/>
  <c r="K113" i="5" s="1"/>
  <c r="J112" i="5"/>
  <c r="H112" i="5" s="1"/>
  <c r="J111" i="5"/>
  <c r="H111" i="5" s="1"/>
  <c r="J110" i="5"/>
  <c r="H110" i="5" s="1"/>
  <c r="J109" i="5"/>
  <c r="J108" i="5"/>
  <c r="H108" i="5" s="1"/>
  <c r="J107" i="5"/>
  <c r="H107" i="5" s="1"/>
  <c r="J106" i="5"/>
  <c r="H106" i="5" s="1"/>
  <c r="J105" i="5"/>
  <c r="J104" i="5"/>
  <c r="H104" i="5" s="1"/>
  <c r="J103" i="5"/>
  <c r="H103" i="5" s="1"/>
  <c r="J102" i="5"/>
  <c r="H102" i="5" s="1"/>
  <c r="J101" i="5"/>
  <c r="J100" i="5"/>
  <c r="H100" i="5" s="1"/>
  <c r="J99" i="5"/>
  <c r="H99" i="5" s="1"/>
  <c r="J98" i="5"/>
  <c r="H98" i="5" s="1"/>
  <c r="J97" i="5"/>
  <c r="K97" i="5" s="1"/>
  <c r="J96" i="5"/>
  <c r="H96" i="5" s="1"/>
  <c r="J95" i="5"/>
  <c r="H95" i="5" s="1"/>
  <c r="J94" i="5"/>
  <c r="H94" i="5" s="1"/>
  <c r="J93" i="5"/>
  <c r="J92" i="5"/>
  <c r="H92" i="5" s="1"/>
  <c r="J91" i="5"/>
  <c r="H91" i="5" s="1"/>
  <c r="J90" i="5"/>
  <c r="H90" i="5" s="1"/>
  <c r="J89" i="5"/>
  <c r="J88" i="5"/>
  <c r="H88" i="5" s="1"/>
  <c r="J87" i="5"/>
  <c r="H87" i="5" s="1"/>
  <c r="J86" i="5"/>
  <c r="H86" i="5" s="1"/>
  <c r="J85" i="5"/>
  <c r="K85" i="5" s="1"/>
  <c r="J84" i="5"/>
  <c r="H84" i="5" s="1"/>
  <c r="J83" i="5"/>
  <c r="K84" i="5" s="1"/>
  <c r="J82" i="5"/>
  <c r="J81" i="5"/>
  <c r="J80" i="5"/>
  <c r="H80" i="5" s="1"/>
  <c r="J79" i="5"/>
  <c r="H79" i="5" s="1"/>
  <c r="J78" i="5"/>
  <c r="H78" i="5"/>
  <c r="J77" i="5"/>
  <c r="J76" i="5"/>
  <c r="H76" i="5" s="1"/>
  <c r="J75" i="5"/>
  <c r="H75" i="5" s="1"/>
  <c r="J74" i="5"/>
  <c r="J73" i="5"/>
  <c r="J72" i="5"/>
  <c r="H72" i="5" s="1"/>
  <c r="J71" i="5"/>
  <c r="H71" i="5" s="1"/>
  <c r="J70" i="5"/>
  <c r="H70" i="5" s="1"/>
  <c r="J69" i="5"/>
  <c r="H69" i="5"/>
  <c r="J68" i="5"/>
  <c r="H68" i="5" s="1"/>
  <c r="J67" i="5"/>
  <c r="H67" i="5"/>
  <c r="J66" i="5"/>
  <c r="J65" i="5"/>
  <c r="J64" i="5"/>
  <c r="J63" i="5"/>
  <c r="H63" i="5" s="1"/>
  <c r="J62" i="5"/>
  <c r="H62" i="5"/>
  <c r="J61" i="5"/>
  <c r="J60" i="5"/>
  <c r="H60" i="5" s="1"/>
  <c r="J59" i="5"/>
  <c r="H59" i="5" s="1"/>
  <c r="J58" i="5"/>
  <c r="H58" i="5" s="1"/>
  <c r="J57" i="5"/>
  <c r="H57" i="5" s="1"/>
  <c r="J56" i="5"/>
  <c r="K56" i="5" s="1"/>
  <c r="J55" i="5"/>
  <c r="H55" i="5" s="1"/>
  <c r="J54" i="5"/>
  <c r="H54" i="5" s="1"/>
  <c r="B54" i="5"/>
  <c r="J53" i="5"/>
  <c r="H53" i="5" s="1"/>
  <c r="J52" i="5"/>
  <c r="J51" i="5"/>
  <c r="H51" i="5" s="1"/>
  <c r="K50" i="5"/>
  <c r="J50" i="5"/>
  <c r="H50" i="5" s="1"/>
  <c r="J49" i="5"/>
  <c r="H49" i="5"/>
  <c r="J48" i="5"/>
  <c r="K48" i="5" s="1"/>
  <c r="J47" i="5"/>
  <c r="H47" i="5"/>
  <c r="J46" i="5"/>
  <c r="K47" i="5" s="1"/>
  <c r="J45" i="5"/>
  <c r="H45" i="5" s="1"/>
  <c r="J44" i="5"/>
  <c r="J43" i="5"/>
  <c r="H43" i="5" s="1"/>
  <c r="J42" i="5"/>
  <c r="H42" i="5" s="1"/>
  <c r="J41" i="5"/>
  <c r="H41" i="5" s="1"/>
  <c r="J40" i="5"/>
  <c r="J39" i="5"/>
  <c r="H39" i="5" s="1"/>
  <c r="J38" i="5"/>
  <c r="H38" i="5"/>
  <c r="J37" i="5"/>
  <c r="H37" i="5" s="1"/>
  <c r="J36" i="5"/>
  <c r="H36" i="5"/>
  <c r="J35" i="5"/>
  <c r="K35" i="5" s="1"/>
  <c r="J34" i="5"/>
  <c r="H34" i="5" s="1"/>
  <c r="J33" i="5"/>
  <c r="K33" i="5" s="1"/>
  <c r="J32" i="5"/>
  <c r="H32" i="5"/>
  <c r="J31" i="5"/>
  <c r="H31" i="5" s="1"/>
  <c r="J30" i="5"/>
  <c r="J29" i="5"/>
  <c r="H29" i="5" s="1"/>
  <c r="J28" i="5"/>
  <c r="K28" i="5" s="1"/>
  <c r="J27" i="5"/>
  <c r="H27" i="5" s="1"/>
  <c r="K26" i="5"/>
  <c r="J26" i="5"/>
  <c r="H26" i="5" s="1"/>
  <c r="J25" i="5"/>
  <c r="H25" i="5" s="1"/>
  <c r="J24" i="5"/>
  <c r="J23" i="5"/>
  <c r="H23" i="5" s="1"/>
  <c r="J22" i="5"/>
  <c r="K23" i="5" s="1"/>
  <c r="J21" i="5"/>
  <c r="H21" i="5" s="1"/>
  <c r="J20" i="5"/>
  <c r="H20" i="5" s="1"/>
  <c r="J19" i="5"/>
  <c r="H19" i="5" s="1"/>
  <c r="J18" i="5"/>
  <c r="H18" i="5" s="1"/>
  <c r="J17" i="5"/>
  <c r="J16" i="5"/>
  <c r="H16" i="5"/>
  <c r="J15" i="5"/>
  <c r="J14" i="5"/>
  <c r="H14" i="5" s="1"/>
  <c r="J13" i="5"/>
  <c r="K13" i="5" s="1"/>
  <c r="J12" i="5"/>
  <c r="H12" i="5"/>
  <c r="J11" i="5"/>
  <c r="H11" i="5" s="1"/>
  <c r="J10" i="5"/>
  <c r="J9" i="5"/>
  <c r="H9" i="5" s="1"/>
  <c r="J8" i="5"/>
  <c r="H8" i="5" s="1"/>
  <c r="J7" i="5"/>
  <c r="H7" i="5" s="1"/>
  <c r="J6" i="5"/>
  <c r="H6" i="5" s="1"/>
  <c r="J5" i="5"/>
  <c r="H5" i="5" s="1"/>
  <c r="J4" i="5"/>
  <c r="H4" i="5" s="1"/>
  <c r="B16" i="3"/>
  <c r="M39" i="4"/>
  <c r="M34" i="4"/>
  <c r="M24" i="4"/>
  <c r="M19" i="4"/>
  <c r="M29" i="4"/>
  <c r="M14" i="4"/>
  <c r="F39" i="4"/>
  <c r="F34" i="4"/>
  <c r="C16" i="3"/>
  <c r="E16" i="3"/>
  <c r="M13" i="1"/>
  <c r="S37" i="6" l="1"/>
  <c r="P212" i="6"/>
  <c r="P234" i="6"/>
  <c r="P250" i="6"/>
  <c r="P127" i="6"/>
  <c r="P186" i="6"/>
  <c r="P156" i="6"/>
  <c r="P276" i="6"/>
  <c r="P239" i="6"/>
  <c r="P261" i="6"/>
  <c r="P285" i="6"/>
  <c r="P246" i="6"/>
  <c r="P132" i="6"/>
  <c r="P221" i="6"/>
  <c r="P229" i="6"/>
  <c r="P244" i="6"/>
  <c r="K39" i="5"/>
  <c r="K68" i="5"/>
  <c r="K82" i="5"/>
  <c r="K89" i="5"/>
  <c r="K137" i="5"/>
  <c r="K170" i="5"/>
  <c r="K193" i="5"/>
  <c r="K234" i="5"/>
  <c r="K15" i="5"/>
  <c r="K40" i="5"/>
  <c r="K52" i="5"/>
  <c r="K64" i="5"/>
  <c r="K78" i="5"/>
  <c r="K105" i="5"/>
  <c r="K132" i="5"/>
  <c r="K138" i="5"/>
  <c r="K145" i="5"/>
  <c r="K194" i="5"/>
  <c r="K260" i="5"/>
  <c r="K120" i="5"/>
  <c r="K92" i="5"/>
  <c r="K121" i="5"/>
  <c r="K128" i="5"/>
  <c r="K161" i="5"/>
  <c r="K202" i="5"/>
  <c r="K66" i="5"/>
  <c r="K140" i="5"/>
  <c r="K198" i="5"/>
  <c r="K22" i="5"/>
  <c r="K17" i="5"/>
  <c r="K100" i="5"/>
  <c r="K24" i="5"/>
  <c r="K44" i="5"/>
  <c r="K62" i="5"/>
  <c r="K73" i="5"/>
  <c r="K87" i="5"/>
  <c r="K108" i="5"/>
  <c r="K123" i="5"/>
  <c r="K148" i="5"/>
  <c r="K162" i="5"/>
  <c r="K226" i="5"/>
  <c r="K42" i="5"/>
  <c r="K12" i="5"/>
  <c r="K16" i="5"/>
  <c r="K20" i="5"/>
  <c r="K31" i="5"/>
  <c r="K34" i="5"/>
  <c r="K51" i="5"/>
  <c r="K58" i="5"/>
  <c r="K71" i="5"/>
  <c r="K76" i="5"/>
  <c r="K81" i="5"/>
  <c r="K102" i="5"/>
  <c r="K116" i="5"/>
  <c r="K131" i="5"/>
  <c r="K136" i="5"/>
  <c r="K142" i="5"/>
  <c r="K146" i="5"/>
  <c r="K169" i="5"/>
  <c r="K182" i="5"/>
  <c r="K186" i="5"/>
  <c r="K233" i="5"/>
  <c r="K246" i="5"/>
  <c r="K250" i="5"/>
  <c r="K257" i="5"/>
  <c r="K7" i="5"/>
  <c r="K9" i="5"/>
  <c r="H13" i="5"/>
  <c r="H17" i="5"/>
  <c r="K25" i="5"/>
  <c r="H35" i="5"/>
  <c r="K43" i="5"/>
  <c r="H48" i="5"/>
  <c r="H52" i="5"/>
  <c r="K55" i="5"/>
  <c r="H77" i="5"/>
  <c r="K91" i="5"/>
  <c r="K96" i="5"/>
  <c r="K107" i="5"/>
  <c r="K112" i="5"/>
  <c r="K118" i="5"/>
  <c r="K122" i="5"/>
  <c r="K147" i="5"/>
  <c r="K152" i="5"/>
  <c r="K188" i="5"/>
  <c r="K206" i="5"/>
  <c r="K210" i="5"/>
  <c r="H240" i="5"/>
  <c r="K252" i="5"/>
  <c r="H40" i="5"/>
  <c r="H44" i="5"/>
  <c r="H56" i="5"/>
  <c r="H64" i="5"/>
  <c r="K72" i="5"/>
  <c r="H83" i="5"/>
  <c r="H123" i="5"/>
  <c r="H128" i="5"/>
  <c r="K212" i="5"/>
  <c r="K10" i="5"/>
  <c r="K14" i="5"/>
  <c r="K18" i="5"/>
  <c r="K32" i="5"/>
  <c r="K36" i="5"/>
  <c r="K49" i="5"/>
  <c r="K53" i="5"/>
  <c r="K60" i="5"/>
  <c r="K65" i="5"/>
  <c r="K70" i="5"/>
  <c r="K74" i="5"/>
  <c r="K94" i="5"/>
  <c r="K110" i="5"/>
  <c r="K114" i="5"/>
  <c r="K129" i="5"/>
  <c r="K150" i="5"/>
  <c r="K154" i="5"/>
  <c r="K160" i="5"/>
  <c r="K196" i="5"/>
  <c r="K201" i="5"/>
  <c r="K214" i="5"/>
  <c r="K218" i="5"/>
  <c r="K6" i="5"/>
  <c r="H15" i="5"/>
  <c r="K27" i="5"/>
  <c r="H33" i="5"/>
  <c r="K41" i="5"/>
  <c r="H46" i="5"/>
  <c r="K57" i="5"/>
  <c r="H61" i="5"/>
  <c r="H66" i="5"/>
  <c r="K88" i="5"/>
  <c r="K99" i="5"/>
  <c r="K104" i="5"/>
  <c r="K124" i="5"/>
  <c r="K139" i="5"/>
  <c r="K144" i="5"/>
  <c r="K174" i="5"/>
  <c r="K178" i="5"/>
  <c r="K238" i="5"/>
  <c r="K242" i="5"/>
  <c r="K248" i="5"/>
  <c r="K19" i="5"/>
  <c r="H24" i="5"/>
  <c r="H85" i="5"/>
  <c r="K115" i="5"/>
  <c r="K130" i="5"/>
  <c r="K180" i="5"/>
  <c r="K244" i="5"/>
  <c r="K54" i="5"/>
  <c r="P194" i="6"/>
  <c r="P227" i="6"/>
  <c r="P242" i="6"/>
  <c r="P175" i="6"/>
  <c r="P197" i="6"/>
  <c r="P262" i="6"/>
  <c r="P173" i="6"/>
  <c r="P180" i="6"/>
  <c r="P182" i="6"/>
  <c r="P223" i="6"/>
  <c r="P270" i="6"/>
  <c r="P179" i="6"/>
  <c r="P164" i="6"/>
  <c r="P206" i="6"/>
  <c r="P171" i="6"/>
  <c r="M221" i="6"/>
  <c r="M285" i="6"/>
  <c r="P287" i="6"/>
  <c r="P135" i="6"/>
  <c r="P140" i="6"/>
  <c r="P167" i="6"/>
  <c r="P190" i="6"/>
  <c r="P219" i="6"/>
  <c r="P233" i="6"/>
  <c r="P254" i="6"/>
  <c r="P283" i="6"/>
  <c r="P37" i="6"/>
  <c r="P139" i="6"/>
  <c r="P165" i="6"/>
  <c r="P198" i="6"/>
  <c r="P217" i="6"/>
  <c r="P228" i="6"/>
  <c r="P231" i="6"/>
  <c r="P172" i="6"/>
  <c r="P196" i="6"/>
  <c r="P213" i="6"/>
  <c r="P215" i="6"/>
  <c r="P220" i="6"/>
  <c r="M234" i="6"/>
  <c r="P236" i="6"/>
  <c r="P260" i="6"/>
  <c r="P279" i="6"/>
  <c r="P284" i="6"/>
  <c r="M59" i="6"/>
  <c r="M132" i="6"/>
  <c r="P258" i="6"/>
  <c r="P188" i="6"/>
  <c r="P267" i="6"/>
  <c r="P277" i="6"/>
  <c r="P203" i="6"/>
  <c r="P155" i="6"/>
  <c r="P157" i="6"/>
  <c r="P159" i="6"/>
  <c r="P195" i="6"/>
  <c r="M197" i="6"/>
  <c r="P205" i="6"/>
  <c r="P207" i="6"/>
  <c r="M220" i="6"/>
  <c r="P226" i="6"/>
  <c r="P238" i="6"/>
  <c r="P259" i="6"/>
  <c r="M261" i="6"/>
  <c r="P269" i="6"/>
  <c r="P271" i="6"/>
  <c r="M284" i="6"/>
  <c r="P252" i="6"/>
  <c r="P38" i="6"/>
  <c r="P147" i="6"/>
  <c r="M164" i="6"/>
  <c r="P187" i="6"/>
  <c r="P199" i="6"/>
  <c r="M212" i="6"/>
  <c r="P218" i="6"/>
  <c r="P230" i="6"/>
  <c r="P251" i="6"/>
  <c r="P263" i="6"/>
  <c r="M276" i="6"/>
  <c r="P282" i="6"/>
  <c r="P288" i="6"/>
  <c r="P163" i="6"/>
  <c r="P275" i="6"/>
  <c r="P149" i="6"/>
  <c r="P151" i="6"/>
  <c r="P189" i="6"/>
  <c r="P191" i="6"/>
  <c r="P210" i="6"/>
  <c r="P222" i="6"/>
  <c r="P241" i="6"/>
  <c r="P243" i="6"/>
  <c r="P253" i="6"/>
  <c r="P255" i="6"/>
  <c r="P274" i="6"/>
  <c r="P286" i="6"/>
  <c r="P291" i="6"/>
  <c r="P148" i="6"/>
  <c r="P131" i="6"/>
  <c r="M135" i="6"/>
  <c r="P141" i="6"/>
  <c r="P143" i="6"/>
  <c r="M175" i="6"/>
  <c r="P181" i="6"/>
  <c r="P183" i="6"/>
  <c r="M194" i="6"/>
  <c r="P202" i="6"/>
  <c r="M206" i="6"/>
  <c r="P214" i="6"/>
  <c r="P235" i="6"/>
  <c r="M239" i="6"/>
  <c r="P245" i="6"/>
  <c r="P247" i="6"/>
  <c r="M258" i="6"/>
  <c r="P266" i="6"/>
  <c r="M270" i="6"/>
  <c r="P278" i="6"/>
  <c r="P211" i="6"/>
  <c r="M37" i="6"/>
  <c r="M125" i="6"/>
  <c r="M127" i="6"/>
  <c r="P133" i="6"/>
  <c r="M186" i="6"/>
  <c r="M198" i="6"/>
  <c r="P204" i="6"/>
  <c r="P225" i="6"/>
  <c r="M229" i="6"/>
  <c r="M231" i="6"/>
  <c r="P237" i="6"/>
  <c r="M250" i="6"/>
  <c r="M262" i="6"/>
  <c r="P268" i="6"/>
  <c r="P289" i="6"/>
  <c r="P192" i="6"/>
  <c r="M192" i="6"/>
  <c r="P256" i="6"/>
  <c r="M256" i="6"/>
  <c r="P281" i="6"/>
  <c r="P138" i="6"/>
  <c r="P146" i="6"/>
  <c r="P162" i="6"/>
  <c r="P170" i="6"/>
  <c r="P178" i="6"/>
  <c r="P184" i="6"/>
  <c r="M184" i="6"/>
  <c r="P209" i="6"/>
  <c r="P248" i="6"/>
  <c r="M248" i="6"/>
  <c r="P273" i="6"/>
  <c r="M28" i="6"/>
  <c r="P154" i="6"/>
  <c r="O9" i="6"/>
  <c r="M19" i="6"/>
  <c r="P36" i="6"/>
  <c r="P82" i="6"/>
  <c r="P104" i="6"/>
  <c r="P126" i="6"/>
  <c r="P128" i="6"/>
  <c r="P134" i="6"/>
  <c r="P136" i="6"/>
  <c r="P142" i="6"/>
  <c r="P144" i="6"/>
  <c r="P150" i="6"/>
  <c r="P152" i="6"/>
  <c r="P158" i="6"/>
  <c r="P160" i="6"/>
  <c r="P166" i="6"/>
  <c r="P168" i="6"/>
  <c r="P174" i="6"/>
  <c r="P176" i="6"/>
  <c r="P201" i="6"/>
  <c r="P240" i="6"/>
  <c r="M240" i="6"/>
  <c r="P265" i="6"/>
  <c r="P193" i="6"/>
  <c r="P232" i="6"/>
  <c r="M232" i="6"/>
  <c r="P257" i="6"/>
  <c r="M20" i="6"/>
  <c r="M24" i="6"/>
  <c r="M30" i="6"/>
  <c r="M31" i="6"/>
  <c r="P130" i="6"/>
  <c r="M14" i="6"/>
  <c r="M18" i="6"/>
  <c r="M26" i="6"/>
  <c r="P185" i="6"/>
  <c r="P224" i="6"/>
  <c r="M224" i="6"/>
  <c r="P249" i="6"/>
  <c r="P129" i="6"/>
  <c r="M129" i="6"/>
  <c r="P137" i="6"/>
  <c r="M137" i="6"/>
  <c r="P145" i="6"/>
  <c r="M145" i="6"/>
  <c r="P153" i="6"/>
  <c r="M153" i="6"/>
  <c r="M157" i="6"/>
  <c r="P161" i="6"/>
  <c r="M161" i="6"/>
  <c r="M165" i="6"/>
  <c r="P169" i="6"/>
  <c r="M169" i="6"/>
  <c r="M173" i="6"/>
  <c r="P177" i="6"/>
  <c r="M177" i="6"/>
  <c r="P216" i="6"/>
  <c r="M216" i="6"/>
  <c r="P280" i="6"/>
  <c r="M280" i="6"/>
  <c r="P60" i="6"/>
  <c r="M60" i="6"/>
  <c r="P208" i="6"/>
  <c r="M208" i="6"/>
  <c r="P272" i="6"/>
  <c r="M272" i="6"/>
  <c r="P200" i="6"/>
  <c r="M200" i="6"/>
  <c r="P264" i="6"/>
  <c r="M264" i="6"/>
  <c r="P290" i="6"/>
  <c r="M185" i="6"/>
  <c r="M193" i="6"/>
  <c r="M201" i="6"/>
  <c r="M209" i="6"/>
  <c r="M217" i="6"/>
  <c r="M225" i="6"/>
  <c r="M233" i="6"/>
  <c r="M241" i="6"/>
  <c r="M249" i="6"/>
  <c r="M257" i="6"/>
  <c r="M265" i="6"/>
  <c r="M273" i="6"/>
  <c r="M281" i="6"/>
  <c r="M289" i="6"/>
  <c r="M291" i="6"/>
  <c r="M288" i="6"/>
  <c r="D22" i="3"/>
  <c r="F41" i="3"/>
  <c r="D52" i="3"/>
  <c r="F24" i="3" s="1"/>
  <c r="F55" i="3"/>
  <c r="D55" i="3" s="1"/>
  <c r="F37" i="3"/>
  <c r="E55" i="3"/>
  <c r="C55" i="3" s="1"/>
  <c r="F51" i="3"/>
  <c r="D51" i="3" s="1"/>
  <c r="F54" i="3"/>
  <c r="D54" i="3" s="1"/>
  <c r="D53" i="3"/>
  <c r="F25" i="3" s="1"/>
  <c r="F40" i="3"/>
  <c r="D24" i="3"/>
  <c r="K75" i="5"/>
  <c r="K79" i="5"/>
  <c r="K5" i="5"/>
  <c r="K21" i="5"/>
  <c r="K30" i="5"/>
  <c r="H74" i="5"/>
  <c r="K11" i="5"/>
  <c r="K29" i="5"/>
  <c r="K67" i="5"/>
  <c r="H10" i="5"/>
  <c r="K59" i="5"/>
  <c r="K63" i="5"/>
  <c r="K80" i="5"/>
  <c r="H28" i="5"/>
  <c r="K37" i="5"/>
  <c r="K45" i="5"/>
  <c r="H82" i="5"/>
  <c r="K83" i="5"/>
  <c r="H93" i="5"/>
  <c r="K95" i="5"/>
  <c r="H101" i="5"/>
  <c r="K103" i="5"/>
  <c r="H109" i="5"/>
  <c r="K111" i="5"/>
  <c r="H117" i="5"/>
  <c r="K119" i="5"/>
  <c r="H125" i="5"/>
  <c r="K127" i="5"/>
  <c r="H133" i="5"/>
  <c r="F39" i="5" s="1"/>
  <c r="D39" i="5" s="1"/>
  <c r="K135" i="5"/>
  <c r="H141" i="5"/>
  <c r="K143" i="5"/>
  <c r="H149" i="5"/>
  <c r="K151" i="5"/>
  <c r="H157" i="5"/>
  <c r="K159" i="5"/>
  <c r="H165" i="5"/>
  <c r="K167" i="5"/>
  <c r="H173" i="5"/>
  <c r="K175" i="5"/>
  <c r="H181" i="5"/>
  <c r="K183" i="5"/>
  <c r="H189" i="5"/>
  <c r="K191" i="5"/>
  <c r="H197" i="5"/>
  <c r="K199" i="5"/>
  <c r="H205" i="5"/>
  <c r="K207" i="5"/>
  <c r="H213" i="5"/>
  <c r="K215" i="5"/>
  <c r="H221" i="5"/>
  <c r="K223" i="5"/>
  <c r="H229" i="5"/>
  <c r="K231" i="5"/>
  <c r="H237" i="5"/>
  <c r="K239" i="5"/>
  <c r="H245" i="5"/>
  <c r="K247" i="5"/>
  <c r="H253" i="5"/>
  <c r="K255" i="5"/>
  <c r="K106" i="5"/>
  <c r="H256" i="5"/>
  <c r="E32" i="5" s="1"/>
  <c r="C32" i="5" s="1"/>
  <c r="K258" i="5"/>
  <c r="K61" i="5"/>
  <c r="K101" i="5"/>
  <c r="K125" i="5"/>
  <c r="K133" i="5"/>
  <c r="K141" i="5"/>
  <c r="H147" i="5"/>
  <c r="K149" i="5"/>
  <c r="H155" i="5"/>
  <c r="K157" i="5"/>
  <c r="H163" i="5"/>
  <c r="K165" i="5"/>
  <c r="H171" i="5"/>
  <c r="K173" i="5"/>
  <c r="H179" i="5"/>
  <c r="K181" i="5"/>
  <c r="H187" i="5"/>
  <c r="K189" i="5"/>
  <c r="H195" i="5"/>
  <c r="K197" i="5"/>
  <c r="H203" i="5"/>
  <c r="K205" i="5"/>
  <c r="H211" i="5"/>
  <c r="K213" i="5"/>
  <c r="H219" i="5"/>
  <c r="K221" i="5"/>
  <c r="H227" i="5"/>
  <c r="K229" i="5"/>
  <c r="H235" i="5"/>
  <c r="K237" i="5"/>
  <c r="H243" i="5"/>
  <c r="K245" i="5"/>
  <c r="H251" i="5"/>
  <c r="K253" i="5"/>
  <c r="H259" i="5"/>
  <c r="K69" i="5"/>
  <c r="K109" i="5"/>
  <c r="K38" i="5"/>
  <c r="K46" i="5"/>
  <c r="K168" i="5"/>
  <c r="K176" i="5"/>
  <c r="K184" i="5"/>
  <c r="K192" i="5"/>
  <c r="K200" i="5"/>
  <c r="K208" i="5"/>
  <c r="K216" i="5"/>
  <c r="K224" i="5"/>
  <c r="K232" i="5"/>
  <c r="K90" i="5"/>
  <c r="K77" i="5"/>
  <c r="K117" i="5"/>
  <c r="K8" i="5"/>
  <c r="H65" i="5"/>
  <c r="H73" i="5"/>
  <c r="H81" i="5"/>
  <c r="H89" i="5"/>
  <c r="H97" i="5"/>
  <c r="H105" i="5"/>
  <c r="H113" i="5"/>
  <c r="H121" i="5"/>
  <c r="H129" i="5"/>
  <c r="H137" i="5"/>
  <c r="H145" i="5"/>
  <c r="F46" i="5" s="1"/>
  <c r="H153" i="5"/>
  <c r="K155" i="5"/>
  <c r="H161" i="5"/>
  <c r="K163" i="5"/>
  <c r="H169" i="5"/>
  <c r="K171" i="5"/>
  <c r="H177" i="5"/>
  <c r="K179" i="5"/>
  <c r="H185" i="5"/>
  <c r="K187" i="5"/>
  <c r="H193" i="5"/>
  <c r="K195" i="5"/>
  <c r="H201" i="5"/>
  <c r="K203" i="5"/>
  <c r="H209" i="5"/>
  <c r="K211" i="5"/>
  <c r="H217" i="5"/>
  <c r="K219" i="5"/>
  <c r="H225" i="5"/>
  <c r="K227" i="5"/>
  <c r="H233" i="5"/>
  <c r="K235" i="5"/>
  <c r="H241" i="5"/>
  <c r="K243" i="5"/>
  <c r="H249" i="5"/>
  <c r="K251" i="5"/>
  <c r="H257" i="5"/>
  <c r="K93" i="5"/>
  <c r="H22" i="5"/>
  <c r="H30" i="5"/>
  <c r="K86" i="5"/>
  <c r="H260" i="5"/>
  <c r="K98" i="5"/>
  <c r="F48" i="3"/>
  <c r="E48" i="3"/>
  <c r="C48" i="3" s="1"/>
  <c r="E44" i="3"/>
  <c r="C44" i="3" s="1"/>
  <c r="F44" i="3"/>
  <c r="E47" i="3"/>
  <c r="C47" i="3" s="1"/>
  <c r="F47" i="3"/>
  <c r="F49" i="3"/>
  <c r="E49" i="3"/>
  <c r="C49" i="3" s="1"/>
  <c r="E46" i="3"/>
  <c r="C46" i="3" s="1"/>
  <c r="F46" i="3"/>
  <c r="E45" i="3"/>
  <c r="C45" i="3" s="1"/>
  <c r="F45" i="3"/>
  <c r="M14" i="1"/>
  <c r="M15" i="1"/>
  <c r="M16" i="1"/>
  <c r="M17" i="1"/>
  <c r="M18" i="1"/>
  <c r="M19" i="1"/>
  <c r="M20" i="1"/>
  <c r="M21" i="1"/>
  <c r="M22" i="1"/>
  <c r="M23" i="1"/>
  <c r="F14" i="1"/>
  <c r="F15" i="1"/>
  <c r="F16" i="1"/>
  <c r="F17" i="1"/>
  <c r="F18" i="1"/>
  <c r="F19" i="1"/>
  <c r="F20" i="1"/>
  <c r="F21" i="1"/>
  <c r="F22" i="1"/>
  <c r="F23" i="1"/>
  <c r="F13" i="1"/>
  <c r="J260" i="3"/>
  <c r="J259" i="3"/>
  <c r="H259" i="3" s="1"/>
  <c r="J258" i="3"/>
  <c r="J257" i="3"/>
  <c r="J256" i="3"/>
  <c r="J255" i="3"/>
  <c r="J254" i="3"/>
  <c r="H254" i="3" s="1"/>
  <c r="J253" i="3"/>
  <c r="H253" i="3" s="1"/>
  <c r="J252" i="3"/>
  <c r="J251" i="3"/>
  <c r="J250" i="3"/>
  <c r="J249" i="3"/>
  <c r="J248" i="3"/>
  <c r="H248" i="3" s="1"/>
  <c r="J247" i="3"/>
  <c r="H247" i="3" s="1"/>
  <c r="J246" i="3"/>
  <c r="J245" i="3"/>
  <c r="J244" i="3"/>
  <c r="J243" i="3"/>
  <c r="J242" i="3"/>
  <c r="J241" i="3"/>
  <c r="J240" i="3"/>
  <c r="H240" i="3" s="1"/>
  <c r="J239" i="3"/>
  <c r="J238" i="3"/>
  <c r="H238" i="3" s="1"/>
  <c r="J237" i="3"/>
  <c r="J236" i="3"/>
  <c r="J235" i="3"/>
  <c r="J234" i="3"/>
  <c r="J233" i="3"/>
  <c r="J232" i="3"/>
  <c r="H232" i="3" s="1"/>
  <c r="J231" i="3"/>
  <c r="H231" i="3" s="1"/>
  <c r="J230" i="3"/>
  <c r="H230" i="3" s="1"/>
  <c r="J229" i="3"/>
  <c r="H229" i="3" s="1"/>
  <c r="J228" i="3"/>
  <c r="J227" i="3"/>
  <c r="J226" i="3"/>
  <c r="J225" i="3"/>
  <c r="J224" i="3"/>
  <c r="J223" i="3"/>
  <c r="J222" i="3"/>
  <c r="H222" i="3" s="1"/>
  <c r="J221" i="3"/>
  <c r="J220" i="3"/>
  <c r="J219" i="3"/>
  <c r="J218" i="3"/>
  <c r="J217" i="3"/>
  <c r="J216" i="3"/>
  <c r="H216" i="3" s="1"/>
  <c r="J215" i="3"/>
  <c r="H215" i="3" s="1"/>
  <c r="J214" i="3"/>
  <c r="H214" i="3" s="1"/>
  <c r="J213" i="3"/>
  <c r="H213" i="3" s="1"/>
  <c r="J212" i="3"/>
  <c r="J211" i="3"/>
  <c r="J210" i="3"/>
  <c r="J209" i="3"/>
  <c r="J208" i="3"/>
  <c r="H208" i="3" s="1"/>
  <c r="J207" i="3"/>
  <c r="J206" i="3"/>
  <c r="J205" i="3"/>
  <c r="H205" i="3" s="1"/>
  <c r="J204" i="3"/>
  <c r="J203" i="3"/>
  <c r="J202" i="3"/>
  <c r="J201" i="3"/>
  <c r="J200" i="3"/>
  <c r="H200" i="3" s="1"/>
  <c r="J199" i="3"/>
  <c r="H199" i="3" s="1"/>
  <c r="J198" i="3"/>
  <c r="J197" i="3"/>
  <c r="J196" i="3"/>
  <c r="J195" i="3"/>
  <c r="J194" i="3"/>
  <c r="J193" i="3"/>
  <c r="J192" i="3"/>
  <c r="J191" i="3"/>
  <c r="H191" i="3" s="1"/>
  <c r="J190" i="3"/>
  <c r="H190" i="3" s="1"/>
  <c r="J189" i="3"/>
  <c r="J188" i="3"/>
  <c r="J187" i="3"/>
  <c r="J186" i="3"/>
  <c r="J185" i="3"/>
  <c r="J184" i="3"/>
  <c r="J183" i="3"/>
  <c r="H183" i="3" s="1"/>
  <c r="J182" i="3"/>
  <c r="J181" i="3"/>
  <c r="H181" i="3" s="1"/>
  <c r="J180" i="3"/>
  <c r="J179" i="3"/>
  <c r="J178" i="3"/>
  <c r="J177" i="3"/>
  <c r="J176" i="3"/>
  <c r="H176" i="3" s="1"/>
  <c r="J175" i="3"/>
  <c r="J174" i="3"/>
  <c r="H174" i="3" s="1"/>
  <c r="J173" i="3"/>
  <c r="H173" i="3" s="1"/>
  <c r="J172" i="3"/>
  <c r="J171" i="3"/>
  <c r="J170" i="3"/>
  <c r="J169" i="3"/>
  <c r="J168" i="3"/>
  <c r="H168" i="3" s="1"/>
  <c r="J167" i="3"/>
  <c r="H167" i="3" s="1"/>
  <c r="J166" i="3"/>
  <c r="J165" i="3"/>
  <c r="J164" i="3"/>
  <c r="J163" i="3"/>
  <c r="J162" i="3"/>
  <c r="J161" i="3"/>
  <c r="J160" i="3"/>
  <c r="J159" i="3"/>
  <c r="H159" i="3" s="1"/>
  <c r="J158" i="3"/>
  <c r="H158" i="3" s="1"/>
  <c r="J157" i="3"/>
  <c r="J156" i="3"/>
  <c r="J155" i="3"/>
  <c r="J154" i="3"/>
  <c r="J153" i="3"/>
  <c r="J152" i="3"/>
  <c r="J151" i="3"/>
  <c r="H151" i="3" s="1"/>
  <c r="J150" i="3"/>
  <c r="H150" i="3" s="1"/>
  <c r="J149" i="3"/>
  <c r="H149" i="3" s="1"/>
  <c r="J148" i="3"/>
  <c r="H148" i="3" s="1"/>
  <c r="J147" i="3"/>
  <c r="J146" i="3"/>
  <c r="J145" i="3"/>
  <c r="J144" i="3"/>
  <c r="H144" i="3" s="1"/>
  <c r="J143" i="3"/>
  <c r="J142" i="3"/>
  <c r="H142" i="3" s="1"/>
  <c r="J141" i="3"/>
  <c r="H141" i="3" s="1"/>
  <c r="J140" i="3"/>
  <c r="H140" i="3" s="1"/>
  <c r="J139" i="3"/>
  <c r="J138" i="3"/>
  <c r="J137" i="3"/>
  <c r="J136" i="3"/>
  <c r="H136" i="3" s="1"/>
  <c r="J135" i="3"/>
  <c r="J134" i="3"/>
  <c r="J133" i="3"/>
  <c r="J132" i="3"/>
  <c r="H132" i="3" s="1"/>
  <c r="J131" i="3"/>
  <c r="J130" i="3"/>
  <c r="J129" i="3"/>
  <c r="J128" i="3"/>
  <c r="J127" i="3"/>
  <c r="H127" i="3" s="1"/>
  <c r="J126" i="3"/>
  <c r="H126" i="3" s="1"/>
  <c r="J125" i="3"/>
  <c r="H125" i="3" s="1"/>
  <c r="J124" i="3"/>
  <c r="H124" i="3" s="1"/>
  <c r="J123" i="3"/>
  <c r="J122" i="3"/>
  <c r="J121" i="3"/>
  <c r="J120" i="3"/>
  <c r="J119" i="3"/>
  <c r="H119" i="3" s="1"/>
  <c r="J118" i="3"/>
  <c r="H118" i="3" s="1"/>
  <c r="J117" i="3"/>
  <c r="H117" i="3" s="1"/>
  <c r="J116" i="3"/>
  <c r="J115" i="3"/>
  <c r="J114" i="3"/>
  <c r="J113" i="3"/>
  <c r="H113" i="3" s="1"/>
  <c r="J112" i="3"/>
  <c r="K112" i="3" s="1"/>
  <c r="J111" i="3"/>
  <c r="J110" i="3"/>
  <c r="J109" i="3"/>
  <c r="H109" i="3" s="1"/>
  <c r="J108" i="3"/>
  <c r="J107" i="3"/>
  <c r="J106" i="3"/>
  <c r="J105" i="3"/>
  <c r="J104" i="3"/>
  <c r="H104" i="3" s="1"/>
  <c r="J103" i="3"/>
  <c r="H103" i="3" s="1"/>
  <c r="J102" i="3"/>
  <c r="H102" i="3" s="1"/>
  <c r="J101" i="3"/>
  <c r="J100" i="3"/>
  <c r="J99" i="3"/>
  <c r="J98" i="3"/>
  <c r="H98" i="3" s="1"/>
  <c r="J97" i="3"/>
  <c r="J96" i="3"/>
  <c r="J95" i="3"/>
  <c r="H95" i="3" s="1"/>
  <c r="J94" i="3"/>
  <c r="H94" i="3" s="1"/>
  <c r="J93" i="3"/>
  <c r="K94" i="3" s="1"/>
  <c r="J92" i="3"/>
  <c r="J91" i="3"/>
  <c r="J90" i="3"/>
  <c r="H90" i="3" s="1"/>
  <c r="J89" i="3"/>
  <c r="J88" i="3"/>
  <c r="H88" i="3" s="1"/>
  <c r="J87" i="3"/>
  <c r="H87" i="3" s="1"/>
  <c r="J86" i="3"/>
  <c r="H86" i="3" s="1"/>
  <c r="J85" i="3"/>
  <c r="J84" i="3"/>
  <c r="J83" i="3"/>
  <c r="J82" i="3"/>
  <c r="J81" i="3"/>
  <c r="H81" i="3" s="1"/>
  <c r="J80" i="3"/>
  <c r="H80" i="3" s="1"/>
  <c r="J79" i="3"/>
  <c r="H79" i="3" s="1"/>
  <c r="J78" i="3"/>
  <c r="H78" i="3" s="1"/>
  <c r="J77" i="3"/>
  <c r="J76" i="3"/>
  <c r="J75" i="3"/>
  <c r="J74" i="3"/>
  <c r="H74" i="3" s="1"/>
  <c r="J73" i="3"/>
  <c r="J72" i="3"/>
  <c r="J71" i="3"/>
  <c r="J70" i="3"/>
  <c r="H70" i="3" s="1"/>
  <c r="J69" i="3"/>
  <c r="J68" i="3"/>
  <c r="J67" i="3"/>
  <c r="J66" i="3"/>
  <c r="J65" i="3"/>
  <c r="H65" i="3" s="1"/>
  <c r="J64" i="3"/>
  <c r="J63" i="3"/>
  <c r="H63" i="3" s="1"/>
  <c r="J62" i="3"/>
  <c r="H62" i="3" s="1"/>
  <c r="J61" i="3"/>
  <c r="J60" i="3"/>
  <c r="J59" i="3"/>
  <c r="J58" i="3"/>
  <c r="J57" i="3"/>
  <c r="H57" i="3" s="1"/>
  <c r="J56" i="3"/>
  <c r="H56" i="3" s="1"/>
  <c r="J55" i="3"/>
  <c r="J54" i="3"/>
  <c r="J53" i="3"/>
  <c r="J52" i="3"/>
  <c r="H52" i="3" s="1"/>
  <c r="J51" i="3"/>
  <c r="H51" i="3" s="1"/>
  <c r="J50" i="3"/>
  <c r="J49" i="3"/>
  <c r="J48" i="3"/>
  <c r="H48" i="3" s="1"/>
  <c r="J47" i="3"/>
  <c r="J46" i="3"/>
  <c r="J45" i="3"/>
  <c r="H45" i="3" s="1"/>
  <c r="J44" i="3"/>
  <c r="H44" i="3" s="1"/>
  <c r="J43" i="3"/>
  <c r="H43" i="3" s="1"/>
  <c r="J42" i="3"/>
  <c r="J41" i="3"/>
  <c r="H41" i="3" s="1"/>
  <c r="J40" i="3"/>
  <c r="J39" i="3"/>
  <c r="J38" i="3"/>
  <c r="H38" i="3" s="1"/>
  <c r="J37" i="3"/>
  <c r="J36" i="3"/>
  <c r="H36" i="3" s="1"/>
  <c r="J35" i="3"/>
  <c r="H35" i="3" s="1"/>
  <c r="J34" i="3"/>
  <c r="J33" i="3"/>
  <c r="H33" i="3" s="1"/>
  <c r="J32" i="3"/>
  <c r="H32" i="3" s="1"/>
  <c r="J31" i="3"/>
  <c r="J30" i="3"/>
  <c r="H30" i="3" s="1"/>
  <c r="J29" i="3"/>
  <c r="J28" i="3"/>
  <c r="H28" i="3" s="1"/>
  <c r="J27" i="3"/>
  <c r="J26" i="3"/>
  <c r="J25" i="3"/>
  <c r="H25" i="3" s="1"/>
  <c r="J24" i="3"/>
  <c r="H24" i="3" s="1"/>
  <c r="J23" i="3"/>
  <c r="J22" i="3"/>
  <c r="H22" i="3" s="1"/>
  <c r="J21" i="3"/>
  <c r="J20" i="3"/>
  <c r="K20" i="3" s="1"/>
  <c r="J19" i="3"/>
  <c r="J18" i="3"/>
  <c r="H18" i="3" s="1"/>
  <c r="J17" i="3"/>
  <c r="H17" i="3" s="1"/>
  <c r="J16" i="3"/>
  <c r="H16" i="3" s="1"/>
  <c r="J15" i="3"/>
  <c r="J14" i="3"/>
  <c r="H14" i="3" s="1"/>
  <c r="J13" i="3"/>
  <c r="H13" i="3" s="1"/>
  <c r="J12" i="3"/>
  <c r="J11" i="3"/>
  <c r="H11" i="3" s="1"/>
  <c r="J10" i="3"/>
  <c r="H10" i="3" s="1"/>
  <c r="J9" i="3"/>
  <c r="H9" i="3" s="1"/>
  <c r="J8" i="3"/>
  <c r="H8" i="3" s="1"/>
  <c r="J7" i="3"/>
  <c r="J6" i="3"/>
  <c r="H6" i="3" s="1"/>
  <c r="J5" i="3"/>
  <c r="H5" i="3" s="1"/>
  <c r="J4" i="3"/>
  <c r="H4" i="3" s="1"/>
  <c r="S38" i="6" l="1"/>
  <c r="F51" i="5"/>
  <c r="E42" i="5"/>
  <c r="C42" i="5" s="1"/>
  <c r="F31" i="5"/>
  <c r="F48" i="5"/>
  <c r="E47" i="5"/>
  <c r="C47" i="5" s="1"/>
  <c r="F42" i="5"/>
  <c r="D42" i="5" s="1"/>
  <c r="F16" i="5" s="1"/>
  <c r="J13" i="1" s="1"/>
  <c r="F49" i="5"/>
  <c r="D49" i="5" s="1"/>
  <c r="F23" i="5" s="1"/>
  <c r="J20" i="1" s="1"/>
  <c r="F50" i="5"/>
  <c r="D50" i="5" s="1"/>
  <c r="E51" i="5"/>
  <c r="C51" i="5" s="1"/>
  <c r="E52" i="5"/>
  <c r="C52" i="5" s="1"/>
  <c r="E30" i="5"/>
  <c r="C30" i="5" s="1"/>
  <c r="E45" i="5"/>
  <c r="C45" i="5" s="1"/>
  <c r="E44" i="5"/>
  <c r="C44" i="5" s="1"/>
  <c r="F52" i="5"/>
  <c r="E37" i="5"/>
  <c r="C37" i="5" s="1"/>
  <c r="E48" i="5"/>
  <c r="C48" i="5" s="1"/>
  <c r="F35" i="5"/>
  <c r="D35" i="5" s="1"/>
  <c r="E36" i="5"/>
  <c r="C36" i="5" s="1"/>
  <c r="F33" i="5"/>
  <c r="E29" i="5"/>
  <c r="C29" i="5" s="1"/>
  <c r="F44" i="5"/>
  <c r="F36" i="5"/>
  <c r="D36" i="5" s="1"/>
  <c r="D23" i="5" s="1"/>
  <c r="N20" i="1" s="1"/>
  <c r="E35" i="5"/>
  <c r="C35" i="5" s="1"/>
  <c r="F37" i="5"/>
  <c r="D37" i="5" s="1"/>
  <c r="E31" i="5"/>
  <c r="C31" i="5" s="1"/>
  <c r="F29" i="5"/>
  <c r="F38" i="5"/>
  <c r="E39" i="5"/>
  <c r="C39" i="5" s="1"/>
  <c r="E49" i="5"/>
  <c r="C49" i="5" s="1"/>
  <c r="E50" i="5"/>
  <c r="C50" i="5" s="1"/>
  <c r="E33" i="5"/>
  <c r="C33" i="5" s="1"/>
  <c r="F30" i="5"/>
  <c r="D30" i="5" s="1"/>
  <c r="D17" i="5" s="1"/>
  <c r="N14" i="1" s="1"/>
  <c r="E43" i="5"/>
  <c r="C43" i="5" s="1"/>
  <c r="F47" i="5"/>
  <c r="D47" i="5" s="1"/>
  <c r="F21" i="5" s="1"/>
  <c r="J18" i="1" s="1"/>
  <c r="E38" i="5"/>
  <c r="C38" i="5" s="1"/>
  <c r="F34" i="5"/>
  <c r="D34" i="5" s="1"/>
  <c r="E46" i="5"/>
  <c r="C46" i="5" s="1"/>
  <c r="F43" i="5"/>
  <c r="D43" i="5" s="1"/>
  <c r="F17" i="5" s="1"/>
  <c r="J14" i="1" s="1"/>
  <c r="E34" i="5"/>
  <c r="C34" i="5" s="1"/>
  <c r="O8" i="6"/>
  <c r="O7" i="6"/>
  <c r="O6" i="6"/>
  <c r="D37" i="3"/>
  <c r="D23" i="3"/>
  <c r="D40" i="3"/>
  <c r="D26" i="3"/>
  <c r="F23" i="3"/>
  <c r="D41" i="3"/>
  <c r="D27" i="3" s="1"/>
  <c r="D51" i="5"/>
  <c r="F25" i="5" s="1"/>
  <c r="J22" i="1" s="1"/>
  <c r="D48" i="5"/>
  <c r="D52" i="5"/>
  <c r="F26" i="5" s="1"/>
  <c r="J23" i="1" s="1"/>
  <c r="D38" i="5"/>
  <c r="F32" i="5"/>
  <c r="D46" i="5"/>
  <c r="F45" i="5"/>
  <c r="D31" i="5"/>
  <c r="D18" i="5" s="1"/>
  <c r="N15" i="1" s="1"/>
  <c r="D44" i="5"/>
  <c r="F18" i="5" s="1"/>
  <c r="J15" i="1" s="1"/>
  <c r="D29" i="5"/>
  <c r="D33" i="5"/>
  <c r="D45" i="3"/>
  <c r="F17" i="3" s="1"/>
  <c r="D44" i="3"/>
  <c r="D46" i="3"/>
  <c r="F18" i="3" s="1"/>
  <c r="D47" i="3"/>
  <c r="F19" i="3" s="1"/>
  <c r="D49" i="3"/>
  <c r="F21" i="3" s="1"/>
  <c r="J25" i="4" s="1"/>
  <c r="D48" i="3"/>
  <c r="K146" i="3"/>
  <c r="K133" i="3"/>
  <c r="K48" i="3"/>
  <c r="K41" i="3"/>
  <c r="K205" i="3"/>
  <c r="K19" i="3"/>
  <c r="K27" i="3"/>
  <c r="H19" i="3"/>
  <c r="K49" i="3"/>
  <c r="K64" i="3"/>
  <c r="K72" i="3"/>
  <c r="K79" i="3"/>
  <c r="K96" i="3"/>
  <c r="K218" i="3"/>
  <c r="K233" i="3"/>
  <c r="K221" i="3"/>
  <c r="K54" i="3"/>
  <c r="K182" i="3"/>
  <c r="K206" i="3"/>
  <c r="K116" i="3"/>
  <c r="K254" i="3"/>
  <c r="K82" i="3"/>
  <c r="K89" i="3"/>
  <c r="K95" i="3"/>
  <c r="K142" i="3"/>
  <c r="K207" i="3"/>
  <c r="K63" i="3"/>
  <c r="H96" i="3"/>
  <c r="K103" i="3"/>
  <c r="K110" i="3"/>
  <c r="K150" i="3"/>
  <c r="K157" i="3"/>
  <c r="K165" i="3"/>
  <c r="K201" i="3"/>
  <c r="K222" i="3"/>
  <c r="K43" i="3"/>
  <c r="K245" i="3"/>
  <c r="K126" i="3"/>
  <c r="K145" i="3"/>
  <c r="K246" i="3"/>
  <c r="K23" i="3"/>
  <c r="K38" i="3"/>
  <c r="K66" i="3"/>
  <c r="K134" i="3"/>
  <c r="K175" i="3"/>
  <c r="K212" i="3"/>
  <c r="K255" i="3"/>
  <c r="K88" i="3"/>
  <c r="K122" i="3"/>
  <c r="K128" i="3"/>
  <c r="K125" i="3"/>
  <c r="H23" i="3"/>
  <c r="H27" i="3"/>
  <c r="K58" i="3"/>
  <c r="H64" i="3"/>
  <c r="K70" i="3"/>
  <c r="K102" i="3"/>
  <c r="K120" i="3"/>
  <c r="K138" i="3"/>
  <c r="K143" i="3"/>
  <c r="K169" i="3"/>
  <c r="K174" i="3"/>
  <c r="K185" i="3"/>
  <c r="K229" i="3"/>
  <c r="K250" i="3"/>
  <c r="K256" i="3"/>
  <c r="K154" i="3"/>
  <c r="K209" i="3"/>
  <c r="K198" i="3"/>
  <c r="K97" i="3"/>
  <c r="K108" i="3"/>
  <c r="K186" i="3"/>
  <c r="K192" i="3"/>
  <c r="K223" i="3"/>
  <c r="K25" i="3"/>
  <c r="K105" i="3"/>
  <c r="K118" i="3"/>
  <c r="K190" i="3"/>
  <c r="K106" i="3"/>
  <c r="K184" i="3"/>
  <c r="K33" i="3"/>
  <c r="K53" i="3"/>
  <c r="K71" i="3"/>
  <c r="H182" i="3"/>
  <c r="K224" i="3"/>
  <c r="K237" i="3"/>
  <c r="K253" i="3"/>
  <c r="K129" i="3"/>
  <c r="K160" i="3"/>
  <c r="K173" i="3"/>
  <c r="K35" i="3"/>
  <c r="K56" i="3"/>
  <c r="K197" i="3"/>
  <c r="K180" i="3"/>
  <c r="K242" i="3"/>
  <c r="H20" i="3"/>
  <c r="K55" i="3"/>
  <c r="K73" i="3"/>
  <c r="K111" i="3"/>
  <c r="K135" i="3"/>
  <c r="K152" i="3"/>
  <c r="K158" i="3"/>
  <c r="K166" i="3"/>
  <c r="K177" i="3"/>
  <c r="K189" i="3"/>
  <c r="H221" i="3"/>
  <c r="K226" i="3"/>
  <c r="K231" i="3"/>
  <c r="K239" i="3"/>
  <c r="H40" i="3"/>
  <c r="H49" i="3"/>
  <c r="H53" i="3"/>
  <c r="H58" i="3"/>
  <c r="H71" i="3"/>
  <c r="K87" i="3"/>
  <c r="H89" i="3"/>
  <c r="H97" i="3"/>
  <c r="H110" i="3"/>
  <c r="H120" i="3"/>
  <c r="H133" i="3"/>
  <c r="K141" i="3"/>
  <c r="H143" i="3"/>
  <c r="H160" i="3"/>
  <c r="H165" i="3"/>
  <c r="H175" i="3"/>
  <c r="H192" i="3"/>
  <c r="H197" i="3"/>
  <c r="H207" i="3"/>
  <c r="H246" i="3"/>
  <c r="K17" i="3"/>
  <c r="K21" i="3"/>
  <c r="K24" i="3"/>
  <c r="H55" i="3"/>
  <c r="H73" i="3"/>
  <c r="K81" i="3"/>
  <c r="H112" i="3"/>
  <c r="K114" i="3"/>
  <c r="H135" i="3"/>
  <c r="K137" i="3"/>
  <c r="H152" i="3"/>
  <c r="H157" i="3"/>
  <c r="H184" i="3"/>
  <c r="H189" i="3"/>
  <c r="K214" i="3"/>
  <c r="K216" i="3"/>
  <c r="K248" i="3"/>
  <c r="K167" i="3"/>
  <c r="K172" i="3"/>
  <c r="K178" i="3"/>
  <c r="K199" i="3"/>
  <c r="K204" i="3"/>
  <c r="H206" i="3"/>
  <c r="K210" i="3"/>
  <c r="H223" i="3"/>
  <c r="K225" i="3"/>
  <c r="H245" i="3"/>
  <c r="H255" i="3"/>
  <c r="K257" i="3"/>
  <c r="K65" i="3"/>
  <c r="K104" i="3"/>
  <c r="K121" i="3"/>
  <c r="K127" i="3"/>
  <c r="K161" i="3"/>
  <c r="K193" i="3"/>
  <c r="K234" i="3"/>
  <c r="K238" i="3"/>
  <c r="K240" i="3"/>
  <c r="K260" i="3"/>
  <c r="K9" i="3"/>
  <c r="K52" i="3"/>
  <c r="H54" i="3"/>
  <c r="K57" i="3"/>
  <c r="H72" i="3"/>
  <c r="H82" i="3"/>
  <c r="K90" i="3"/>
  <c r="K98" i="3"/>
  <c r="H111" i="3"/>
  <c r="K119" i="3"/>
  <c r="H134" i="3"/>
  <c r="K144" i="3"/>
  <c r="K159" i="3"/>
  <c r="H166" i="3"/>
  <c r="K170" i="3"/>
  <c r="K176" i="3"/>
  <c r="K191" i="3"/>
  <c r="K196" i="3"/>
  <c r="H198" i="3"/>
  <c r="K202" i="3"/>
  <c r="K208" i="3"/>
  <c r="K217" i="3"/>
  <c r="H237" i="3"/>
  <c r="K249" i="3"/>
  <c r="K18" i="3"/>
  <c r="K80" i="3"/>
  <c r="K93" i="3"/>
  <c r="K101" i="3"/>
  <c r="K130" i="3"/>
  <c r="K149" i="3"/>
  <c r="K153" i="3"/>
  <c r="K181" i="3"/>
  <c r="K213" i="3"/>
  <c r="K215" i="3"/>
  <c r="K230" i="3"/>
  <c r="K232" i="3"/>
  <c r="K247" i="3"/>
  <c r="K258" i="3"/>
  <c r="K12" i="3"/>
  <c r="H66" i="3"/>
  <c r="K74" i="3"/>
  <c r="K86" i="3"/>
  <c r="H105" i="3"/>
  <c r="K113" i="3"/>
  <c r="H128" i="3"/>
  <c r="K136" i="3"/>
  <c r="K151" i="3"/>
  <c r="K156" i="3"/>
  <c r="K162" i="3"/>
  <c r="K168" i="3"/>
  <c r="K183" i="3"/>
  <c r="K188" i="3"/>
  <c r="K194" i="3"/>
  <c r="K200" i="3"/>
  <c r="H224" i="3"/>
  <c r="H239" i="3"/>
  <c r="K241" i="3"/>
  <c r="H256" i="3"/>
  <c r="K29" i="3"/>
  <c r="K61" i="3"/>
  <c r="H61" i="3"/>
  <c r="K77" i="3"/>
  <c r="H77" i="3"/>
  <c r="K10" i="3"/>
  <c r="H21" i="3"/>
  <c r="H235" i="3"/>
  <c r="K235" i="3"/>
  <c r="H67" i="3"/>
  <c r="K67" i="3"/>
  <c r="H75" i="3"/>
  <c r="K75" i="3"/>
  <c r="H83" i="3"/>
  <c r="K83" i="3"/>
  <c r="H91" i="3"/>
  <c r="K91" i="3"/>
  <c r="H99" i="3"/>
  <c r="K99" i="3"/>
  <c r="H139" i="3"/>
  <c r="K140" i="3"/>
  <c r="K139" i="3"/>
  <c r="H171" i="3"/>
  <c r="K171" i="3"/>
  <c r="H203" i="3"/>
  <c r="K203" i="3"/>
  <c r="K244" i="3"/>
  <c r="K22" i="3"/>
  <c r="K46" i="3"/>
  <c r="H46" i="3"/>
  <c r="H227" i="3"/>
  <c r="K227" i="3"/>
  <c r="H12" i="3"/>
  <c r="K13" i="3"/>
  <c r="K14" i="3"/>
  <c r="H123" i="3"/>
  <c r="K124" i="3"/>
  <c r="K123" i="3"/>
  <c r="H163" i="3"/>
  <c r="K163" i="3"/>
  <c r="H195" i="3"/>
  <c r="K195" i="3"/>
  <c r="K236" i="3"/>
  <c r="K50" i="3"/>
  <c r="H50" i="3"/>
  <c r="K8" i="3"/>
  <c r="K7" i="3"/>
  <c r="H7" i="3"/>
  <c r="K40" i="3"/>
  <c r="K39" i="3"/>
  <c r="H39" i="3"/>
  <c r="K47" i="3"/>
  <c r="H47" i="3"/>
  <c r="K60" i="3"/>
  <c r="K62" i="3"/>
  <c r="K68" i="3"/>
  <c r="K76" i="3"/>
  <c r="K78" i="3"/>
  <c r="K84" i="3"/>
  <c r="K92" i="3"/>
  <c r="K100" i="3"/>
  <c r="H219" i="3"/>
  <c r="K219" i="3"/>
  <c r="H251" i="3"/>
  <c r="K251" i="3"/>
  <c r="H131" i="3"/>
  <c r="K132" i="3"/>
  <c r="K131" i="3"/>
  <c r="K5" i="3"/>
  <c r="K6" i="3"/>
  <c r="K51" i="3"/>
  <c r="H155" i="3"/>
  <c r="K155" i="3"/>
  <c r="H187" i="3"/>
  <c r="K187" i="3"/>
  <c r="K228" i="3"/>
  <c r="H59" i="3"/>
  <c r="K59" i="3"/>
  <c r="K16" i="3"/>
  <c r="K15" i="3"/>
  <c r="H15" i="3"/>
  <c r="K28" i="3"/>
  <c r="K36" i="3"/>
  <c r="K44" i="3"/>
  <c r="K32" i="3"/>
  <c r="K31" i="3"/>
  <c r="H31" i="3"/>
  <c r="K11" i="3"/>
  <c r="H26" i="3"/>
  <c r="K26" i="3"/>
  <c r="H29" i="3"/>
  <c r="K30" i="3"/>
  <c r="H34" i="3"/>
  <c r="K34" i="3"/>
  <c r="H37" i="3"/>
  <c r="H42" i="3"/>
  <c r="K42" i="3"/>
  <c r="K45" i="3"/>
  <c r="H115" i="3"/>
  <c r="K115" i="3"/>
  <c r="K164" i="3"/>
  <c r="H243" i="3"/>
  <c r="K243" i="3"/>
  <c r="K37" i="3"/>
  <c r="K69" i="3"/>
  <c r="H69" i="3"/>
  <c r="K85" i="3"/>
  <c r="H85" i="3"/>
  <c r="H107" i="3"/>
  <c r="K107" i="3"/>
  <c r="H147" i="3"/>
  <c r="K148" i="3"/>
  <c r="K147" i="3"/>
  <c r="H179" i="3"/>
  <c r="K179" i="3"/>
  <c r="H211" i="3"/>
  <c r="K211" i="3"/>
  <c r="K220" i="3"/>
  <c r="K252" i="3"/>
  <c r="H93" i="3"/>
  <c r="H101" i="3"/>
  <c r="K259" i="3"/>
  <c r="H106" i="3"/>
  <c r="H114" i="3"/>
  <c r="H122" i="3"/>
  <c r="H130" i="3"/>
  <c r="H138" i="3"/>
  <c r="H146" i="3"/>
  <c r="H154" i="3"/>
  <c r="H162" i="3"/>
  <c r="H170" i="3"/>
  <c r="H178" i="3"/>
  <c r="H186" i="3"/>
  <c r="H194" i="3"/>
  <c r="H202" i="3"/>
  <c r="H210" i="3"/>
  <c r="H218" i="3"/>
  <c r="H226" i="3"/>
  <c r="H234" i="3"/>
  <c r="H242" i="3"/>
  <c r="H250" i="3"/>
  <c r="H258" i="3"/>
  <c r="K109" i="3"/>
  <c r="K117" i="3"/>
  <c r="H60" i="3"/>
  <c r="H68" i="3"/>
  <c r="H76" i="3"/>
  <c r="H84" i="3"/>
  <c r="H92" i="3"/>
  <c r="H100" i="3"/>
  <c r="H108" i="3"/>
  <c r="H116" i="3"/>
  <c r="H156" i="3"/>
  <c r="H164" i="3"/>
  <c r="H172" i="3"/>
  <c r="H180" i="3"/>
  <c r="H188" i="3"/>
  <c r="H196" i="3"/>
  <c r="H204" i="3"/>
  <c r="H212" i="3"/>
  <c r="H220" i="3"/>
  <c r="H228" i="3"/>
  <c r="H236" i="3"/>
  <c r="H244" i="3"/>
  <c r="H252" i="3"/>
  <c r="H260" i="3"/>
  <c r="H121" i="3"/>
  <c r="H129" i="3"/>
  <c r="H137" i="3"/>
  <c r="H145" i="3"/>
  <c r="H153" i="3"/>
  <c r="H161" i="3"/>
  <c r="H169" i="3"/>
  <c r="H177" i="3"/>
  <c r="H185" i="3"/>
  <c r="H193" i="3"/>
  <c r="H201" i="3"/>
  <c r="H209" i="3"/>
  <c r="H217" i="3"/>
  <c r="H225" i="3"/>
  <c r="H233" i="3"/>
  <c r="H241" i="3"/>
  <c r="H249" i="3"/>
  <c r="H257" i="3"/>
  <c r="S39" i="6" l="1"/>
  <c r="D16" i="5"/>
  <c r="N13" i="1" s="1"/>
  <c r="D20" i="5"/>
  <c r="N17" i="1" s="1"/>
  <c r="D22" i="5"/>
  <c r="N19" i="1" s="1"/>
  <c r="F22" i="5"/>
  <c r="J19" i="1" s="1"/>
  <c r="D21" i="5"/>
  <c r="N18" i="1" s="1"/>
  <c r="D24" i="5"/>
  <c r="N21" i="1" s="1"/>
  <c r="D25" i="5"/>
  <c r="N22" i="1" s="1"/>
  <c r="D26" i="5"/>
  <c r="N23" i="1" s="1"/>
  <c r="F20" i="5"/>
  <c r="J17" i="1" s="1"/>
  <c r="F24" i="5"/>
  <c r="J21" i="1" s="1"/>
  <c r="D32" i="5"/>
  <c r="D19" i="5" s="1"/>
  <c r="N16" i="1" s="1"/>
  <c r="D45" i="5"/>
  <c r="F19" i="5" s="1"/>
  <c r="J16" i="1" s="1"/>
  <c r="F20" i="3"/>
  <c r="J24" i="4" s="1"/>
  <c r="F16" i="3"/>
  <c r="E30" i="3"/>
  <c r="C30" i="3" s="1"/>
  <c r="E33" i="3"/>
  <c r="C33" i="3" s="1"/>
  <c r="E31" i="3"/>
  <c r="C31" i="3" s="1"/>
  <c r="E34" i="3"/>
  <c r="C34" i="3" s="1"/>
  <c r="E35" i="3"/>
  <c r="C35" i="3" s="1"/>
  <c r="E32" i="3"/>
  <c r="C32" i="3" s="1"/>
  <c r="F31" i="3"/>
  <c r="D31" i="3" s="1"/>
  <c r="F33" i="3"/>
  <c r="F34" i="3"/>
  <c r="F35" i="3"/>
  <c r="F30" i="3"/>
  <c r="F32" i="3"/>
  <c r="S40" i="6" l="1"/>
  <c r="D30" i="3"/>
  <c r="L23" i="1"/>
  <c r="L20" i="1"/>
  <c r="D32" i="3"/>
  <c r="D18" i="3" s="1"/>
  <c r="D34" i="3"/>
  <c r="L19" i="1"/>
  <c r="L21" i="1"/>
  <c r="D33" i="3"/>
  <c r="D19" i="3" s="1"/>
  <c r="L29" i="4" s="1"/>
  <c r="L22" i="1"/>
  <c r="D35" i="3"/>
  <c r="D21" i="3" s="1"/>
  <c r="N25" i="4" s="1"/>
  <c r="L25" i="4" s="1"/>
  <c r="D17" i="3"/>
  <c r="L19" i="4" s="1"/>
  <c r="S41" i="6" l="1"/>
  <c r="L34" i="4"/>
  <c r="D16" i="3"/>
  <c r="N14" i="4" s="1"/>
  <c r="L14" i="4" s="1"/>
  <c r="D20" i="3"/>
  <c r="N24" i="4" s="1"/>
  <c r="L24" i="4" s="1"/>
  <c r="L16" i="1"/>
  <c r="L18" i="1"/>
  <c r="L14" i="1"/>
  <c r="L15" i="1"/>
  <c r="S42" i="6" l="1"/>
  <c r="L13" i="1"/>
  <c r="L17" i="1"/>
  <c r="S43" i="6" l="1"/>
  <c r="S44" i="6" l="1"/>
  <c r="S45" i="6" l="1"/>
  <c r="S46" i="6" l="1"/>
  <c r="S47" i="6" l="1"/>
  <c r="S48" i="6" l="1"/>
  <c r="S49" i="6" l="1"/>
  <c r="S50" i="6" l="1"/>
  <c r="S51" i="6" l="1"/>
  <c r="S52" i="6" l="1"/>
  <c r="S53" i="6" l="1"/>
  <c r="S54" i="6" l="1"/>
  <c r="S55" i="6" l="1"/>
  <c r="S56" i="6" l="1"/>
  <c r="S57" i="6" l="1"/>
  <c r="S58" i="6" l="1"/>
  <c r="S59" i="6" l="1"/>
  <c r="S60" i="6" l="1"/>
  <c r="S61" i="6" l="1"/>
  <c r="S62" i="6" l="1"/>
  <c r="S63" i="6" l="1"/>
  <c r="S64" i="6" l="1"/>
  <c r="S65" i="6" l="1"/>
  <c r="S66" i="6" l="1"/>
  <c r="S67" i="6" l="1"/>
  <c r="S68" i="6" l="1"/>
  <c r="S69" i="6" l="1"/>
  <c r="S70" i="6" l="1"/>
  <c r="S71" i="6" l="1"/>
  <c r="S72" i="6" l="1"/>
  <c r="S73" i="6" l="1"/>
  <c r="S74" i="6" l="1"/>
  <c r="S75" i="6" l="1"/>
  <c r="S76" i="6" l="1"/>
  <c r="S77" i="6" l="1"/>
  <c r="S78" i="6" l="1"/>
  <c r="S79" i="6" l="1"/>
  <c r="S80" i="6" l="1"/>
  <c r="S81" i="6" l="1"/>
  <c r="S82" i="6" l="1"/>
  <c r="S83" i="6" l="1"/>
  <c r="S84" i="6" l="1"/>
  <c r="S85" i="6" l="1"/>
  <c r="S86" i="6" l="1"/>
  <c r="S87" i="6" l="1"/>
  <c r="S88" i="6" l="1"/>
  <c r="S89" i="6" l="1"/>
  <c r="S90" i="6" l="1"/>
  <c r="S91" i="6" l="1"/>
  <c r="S92" i="6" l="1"/>
  <c r="S93" i="6" l="1"/>
  <c r="S94" i="6" l="1"/>
  <c r="S95" i="6" l="1"/>
  <c r="S96" i="6" l="1"/>
  <c r="S97" i="6" l="1"/>
  <c r="S98" i="6" l="1"/>
  <c r="S99" i="6" l="1"/>
  <c r="S100" i="6" l="1"/>
  <c r="S101" i="6" l="1"/>
  <c r="S102" i="6" l="1"/>
  <c r="S103" i="6" l="1"/>
  <c r="S104" i="6" l="1"/>
  <c r="S105" i="6" l="1"/>
  <c r="S106" i="6" l="1"/>
  <c r="S107" i="6" l="1"/>
  <c r="S108" i="6" l="1"/>
  <c r="S109" i="6" l="1"/>
  <c r="S110" i="6" l="1"/>
  <c r="S111" i="6" l="1"/>
  <c r="S112" i="6" l="1"/>
  <c r="S113" i="6" l="1"/>
  <c r="S114" i="6" l="1"/>
  <c r="S115" i="6" l="1"/>
  <c r="S116" i="6" l="1"/>
  <c r="S117" i="6" l="1"/>
  <c r="S118" i="6" l="1"/>
  <c r="S119" i="6" l="1"/>
  <c r="S120" i="6" l="1"/>
  <c r="S121" i="6" l="1"/>
  <c r="S122" i="6" l="1"/>
  <c r="S123" i="6" l="1"/>
  <c r="S124" i="6" l="1"/>
  <c r="S125" i="6" l="1"/>
  <c r="S126" i="6" l="1"/>
  <c r="S127" i="6" l="1"/>
  <c r="S128" i="6" l="1"/>
  <c r="S129" i="6" l="1"/>
  <c r="S130" i="6" l="1"/>
  <c r="S131" i="6" l="1"/>
  <c r="S132" i="6" l="1"/>
  <c r="S133" i="6" l="1"/>
  <c r="S134" i="6" l="1"/>
  <c r="S135" i="6" l="1"/>
  <c r="S136" i="6" l="1"/>
  <c r="S137" i="6" l="1"/>
  <c r="S138" i="6" l="1"/>
  <c r="S139" i="6" l="1"/>
  <c r="S140" i="6" l="1"/>
  <c r="S141" i="6" l="1"/>
  <c r="S142" i="6" l="1"/>
  <c r="S143" i="6" l="1"/>
  <c r="S144" i="6" l="1"/>
  <c r="S145" i="6" l="1"/>
  <c r="S146" i="6" l="1"/>
  <c r="S147" i="6" l="1"/>
  <c r="S148" i="6" l="1"/>
  <c r="S149" i="6" l="1"/>
  <c r="S150" i="6" l="1"/>
  <c r="S151" i="6" l="1"/>
  <c r="S152" i="6" l="1"/>
  <c r="S153" i="6" l="1"/>
  <c r="S154" i="6" l="1"/>
  <c r="S155" i="6" l="1"/>
  <c r="S156" i="6" l="1"/>
  <c r="S157" i="6" l="1"/>
  <c r="S158" i="6" l="1"/>
  <c r="S159" i="6" l="1"/>
  <c r="S160" i="6" l="1"/>
  <c r="S161" i="6" l="1"/>
  <c r="B99" i="6" l="1"/>
  <c r="S162" i="6"/>
  <c r="S163" i="6" l="1"/>
  <c r="S164" i="6" l="1"/>
  <c r="S165" i="6" l="1"/>
  <c r="S166" i="6" l="1"/>
  <c r="S167" i="6" l="1"/>
  <c r="S168" i="6" l="1"/>
  <c r="S169" i="6" l="1"/>
  <c r="S170" i="6" l="1"/>
  <c r="S171" i="6" l="1"/>
  <c r="S172" i="6" l="1"/>
  <c r="S173" i="6" l="1"/>
  <c r="S174" i="6" l="1"/>
  <c r="S175" i="6" l="1"/>
  <c r="S176" i="6" l="1"/>
  <c r="S177" i="6" l="1"/>
  <c r="S178" i="6" l="1"/>
  <c r="S179" i="6" l="1"/>
  <c r="S180" i="6" l="1"/>
  <c r="S181" i="6" l="1"/>
  <c r="S182" i="6" l="1"/>
  <c r="S183" i="6" l="1"/>
  <c r="S184" i="6" l="1"/>
  <c r="S185" i="6" l="1"/>
  <c r="S186" i="6" l="1"/>
  <c r="S187" i="6" l="1"/>
  <c r="S188" i="6" l="1"/>
  <c r="S189" i="6" l="1"/>
  <c r="S190" i="6" l="1"/>
  <c r="S191" i="6" l="1"/>
  <c r="S192" i="6" l="1"/>
  <c r="S193" i="6" l="1"/>
  <c r="S194" i="6" l="1"/>
  <c r="S195" i="6" l="1"/>
  <c r="S196" i="6" l="1"/>
  <c r="S197" i="6" l="1"/>
  <c r="S198" i="6" l="1"/>
  <c r="S199" i="6" l="1"/>
  <c r="S200" i="6" l="1"/>
  <c r="S201" i="6" l="1"/>
  <c r="S202" i="6" l="1"/>
  <c r="S203" i="6" l="1"/>
  <c r="S204" i="6" l="1"/>
  <c r="S205" i="6" l="1"/>
  <c r="S206" i="6" l="1"/>
  <c r="S207" i="6" l="1"/>
  <c r="S208" i="6" l="1"/>
  <c r="S209" i="6" l="1"/>
  <c r="S210" i="6" l="1"/>
  <c r="S211" i="6" l="1"/>
  <c r="S212" i="6" l="1"/>
  <c r="S213" i="6" l="1"/>
  <c r="S214" i="6" l="1"/>
  <c r="S215" i="6" l="1"/>
  <c r="S216" i="6" l="1"/>
  <c r="S217" i="6" l="1"/>
  <c r="S218" i="6" l="1"/>
  <c r="S219" i="6" l="1"/>
  <c r="S220" i="6" l="1"/>
  <c r="S221" i="6" l="1"/>
  <c r="S222" i="6" l="1"/>
  <c r="S223" i="6" l="1"/>
  <c r="S224" i="6" l="1"/>
  <c r="S225" i="6" l="1"/>
  <c r="S226" i="6" l="1"/>
  <c r="S227" i="6" l="1"/>
  <c r="S228" i="6" l="1"/>
  <c r="S229" i="6" l="1"/>
  <c r="S230" i="6" l="1"/>
  <c r="S231" i="6" l="1"/>
  <c r="B103" i="6" l="1"/>
  <c r="S232" i="6"/>
  <c r="S233" i="6" l="1"/>
  <c r="S234" i="6" l="1"/>
  <c r="S235" i="6" l="1"/>
  <c r="S236" i="6" l="1"/>
  <c r="S237" i="6" l="1"/>
  <c r="S238" i="6" l="1"/>
  <c r="S239" i="6" l="1"/>
  <c r="S240" i="6" l="1"/>
  <c r="S241" i="6" l="1"/>
  <c r="S242" i="6" l="1"/>
  <c r="S243" i="6" l="1"/>
  <c r="S244" i="6" l="1"/>
  <c r="S245" i="6" l="1"/>
  <c r="S246" i="6" l="1"/>
  <c r="S247" i="6" l="1"/>
  <c r="S248" i="6" l="1"/>
  <c r="S249" i="6" l="1"/>
  <c r="S250" i="6" l="1"/>
  <c r="S251" i="6" l="1"/>
  <c r="S252" i="6" l="1"/>
  <c r="S253" i="6" l="1"/>
  <c r="S254" i="6" l="1"/>
  <c r="S255" i="6" l="1"/>
  <c r="S256" i="6" l="1"/>
  <c r="S257" i="6" l="1"/>
  <c r="S258" i="6" l="1"/>
  <c r="S259" i="6" l="1"/>
  <c r="S260" i="6" l="1"/>
  <c r="S261" i="6" l="1"/>
  <c r="S262" i="6" l="1"/>
  <c r="S263" i="6" l="1"/>
  <c r="S264" i="6" l="1"/>
  <c r="S265" i="6" l="1"/>
  <c r="S266" i="6" l="1"/>
  <c r="S267" i="6" l="1"/>
  <c r="S268" i="6" l="1"/>
  <c r="S269" i="6" l="1"/>
  <c r="S270" i="6" l="1"/>
  <c r="S271" i="6" l="1"/>
  <c r="S272" i="6" l="1"/>
  <c r="S273" i="6" l="1"/>
  <c r="S274" i="6" l="1"/>
  <c r="S275" i="6" l="1"/>
  <c r="S276" i="6" l="1"/>
  <c r="S277" i="6" l="1"/>
  <c r="S278" i="6" l="1"/>
  <c r="S279" i="6" l="1"/>
  <c r="S280" i="6" l="1"/>
  <c r="S281" i="6" l="1"/>
  <c r="S282" i="6" l="1"/>
  <c r="S283" i="6" l="1"/>
  <c r="S284" i="6" l="1"/>
  <c r="S285" i="6" l="1"/>
  <c r="S286" i="6" l="1"/>
  <c r="S287" i="6" l="1"/>
  <c r="S288" i="6" l="1"/>
  <c r="S289" i="6" l="1"/>
  <c r="S290" i="6" l="1"/>
  <c r="S291" i="6" l="1"/>
  <c r="B107" i="6"/>
  <c r="Y2" i="6" s="1"/>
  <c r="M89" i="6" l="1"/>
  <c r="P89" i="6"/>
  <c r="P50" i="6"/>
  <c r="M50" i="6"/>
  <c r="M121" i="6"/>
  <c r="P121" i="6"/>
  <c r="P73" i="6"/>
  <c r="M73" i="6"/>
  <c r="P111" i="6"/>
  <c r="M111" i="6"/>
  <c r="M105" i="6"/>
  <c r="P105" i="6"/>
  <c r="P109" i="6"/>
  <c r="M109" i="6"/>
  <c r="P101" i="6"/>
  <c r="M101" i="6"/>
  <c r="M74" i="6"/>
  <c r="P74" i="6"/>
  <c r="M68" i="6"/>
  <c r="P68" i="6"/>
  <c r="P84" i="6"/>
  <c r="M84" i="6"/>
  <c r="M76" i="6"/>
  <c r="P76" i="6"/>
  <c r="M66" i="6"/>
  <c r="P66" i="6"/>
  <c r="M97" i="6"/>
  <c r="P97" i="6"/>
  <c r="M113" i="6"/>
  <c r="P113" i="6"/>
  <c r="M52" i="6"/>
  <c r="P52" i="6"/>
  <c r="P108" i="6"/>
  <c r="M108" i="6"/>
  <c r="P79" i="6"/>
  <c r="M79" i="6"/>
  <c r="P120" i="6"/>
  <c r="M120" i="6"/>
  <c r="P58" i="6"/>
  <c r="P59" i="6"/>
  <c r="M58" i="6"/>
  <c r="P54" i="6"/>
  <c r="M54" i="6"/>
  <c r="P64" i="6"/>
  <c r="M64" i="6"/>
  <c r="P77" i="6"/>
  <c r="M77" i="6"/>
  <c r="P87" i="6"/>
  <c r="M87" i="6"/>
  <c r="P96" i="6"/>
  <c r="M96" i="6"/>
  <c r="P107" i="6"/>
  <c r="M107" i="6"/>
  <c r="P119" i="6"/>
  <c r="M119" i="6"/>
  <c r="P55" i="6"/>
  <c r="M55" i="6"/>
  <c r="P65" i="6"/>
  <c r="M65" i="6"/>
  <c r="P78" i="6"/>
  <c r="M78" i="6"/>
  <c r="P88" i="6"/>
  <c r="M88" i="6"/>
  <c r="P56" i="6"/>
  <c r="M56" i="6"/>
  <c r="P67" i="6"/>
  <c r="M67" i="6"/>
  <c r="P80" i="6"/>
  <c r="P81" i="6"/>
  <c r="M80" i="6"/>
  <c r="P90" i="6"/>
  <c r="M90" i="6"/>
  <c r="P99" i="6"/>
  <c r="M99" i="6"/>
  <c r="P112" i="6"/>
  <c r="M112" i="6"/>
  <c r="P122" i="6"/>
  <c r="M122" i="6"/>
  <c r="P57" i="6"/>
  <c r="M57" i="6"/>
  <c r="P69" i="6"/>
  <c r="M69" i="6"/>
  <c r="P91" i="6"/>
  <c r="M91" i="6"/>
  <c r="P100" i="6"/>
  <c r="M100" i="6"/>
  <c r="P114" i="6"/>
  <c r="M114" i="6"/>
  <c r="P123" i="6"/>
  <c r="M123" i="6"/>
  <c r="P110" i="6"/>
  <c r="M110" i="6"/>
  <c r="P102" i="6"/>
  <c r="P103" i="6"/>
  <c r="M102" i="6"/>
  <c r="P61" i="6"/>
  <c r="M61" i="6"/>
  <c r="P83" i="6"/>
  <c r="M83" i="6"/>
  <c r="P51" i="6"/>
  <c r="M51" i="6"/>
  <c r="P62" i="6"/>
  <c r="M62" i="6"/>
  <c r="P72" i="6"/>
  <c r="M72" i="6"/>
  <c r="P85" i="6"/>
  <c r="M85" i="6"/>
  <c r="P94" i="6"/>
  <c r="M94" i="6"/>
  <c r="P117" i="6"/>
  <c r="M117" i="6"/>
  <c r="P98" i="6"/>
  <c r="M48" i="6"/>
  <c r="P70" i="6"/>
  <c r="M70" i="6"/>
  <c r="P92" i="6"/>
  <c r="M92" i="6"/>
  <c r="P115" i="6"/>
  <c r="M115" i="6"/>
  <c r="P124" i="6"/>
  <c r="P125" i="6"/>
  <c r="M124" i="6"/>
  <c r="P49" i="6"/>
  <c r="M49" i="6"/>
  <c r="P71" i="6"/>
  <c r="M71" i="6"/>
  <c r="P93" i="6"/>
  <c r="M93" i="6"/>
  <c r="P116" i="6"/>
  <c r="M116" i="6"/>
  <c r="P53" i="6"/>
  <c r="M53" i="6"/>
  <c r="P63" i="6"/>
  <c r="M63" i="6"/>
  <c r="P75" i="6"/>
  <c r="M75" i="6"/>
  <c r="P86" i="6"/>
  <c r="M86" i="6"/>
  <c r="P95" i="6"/>
  <c r="M95" i="6"/>
  <c r="P106" i="6"/>
  <c r="M106" i="6"/>
  <c r="P118" i="6"/>
  <c r="M118" i="6"/>
  <c r="M98" i="6"/>
  <c r="M45" i="6"/>
  <c r="P45" i="6"/>
  <c r="M46" i="6"/>
  <c r="P46" i="6"/>
  <c r="M44" i="6"/>
  <c r="P44" i="6"/>
  <c r="M43" i="6"/>
  <c r="P43" i="6"/>
  <c r="P47" i="6"/>
  <c r="P48" i="6"/>
  <c r="M47" i="6"/>
  <c r="M42" i="6"/>
  <c r="K53" i="6"/>
  <c r="K37" i="6"/>
  <c r="K49" i="6"/>
  <c r="K63" i="6"/>
  <c r="I63" i="6" s="1"/>
  <c r="K47" i="6"/>
  <c r="K61" i="6"/>
  <c r="I61" i="6" s="1"/>
  <c r="K65" i="6"/>
  <c r="I65" i="6" s="1"/>
  <c r="K66" i="6"/>
  <c r="K45" i="6"/>
  <c r="K71" i="6"/>
  <c r="K56" i="6"/>
  <c r="I56" i="6" s="1"/>
  <c r="K70" i="6"/>
  <c r="I70" i="6" s="1"/>
  <c r="K48" i="6"/>
  <c r="I48" i="6" s="1"/>
  <c r="K51" i="6"/>
  <c r="K46" i="6"/>
  <c r="K42" i="6"/>
  <c r="I42" i="6" s="1"/>
  <c r="K58" i="6"/>
  <c r="I58" i="6" s="1"/>
  <c r="K74" i="6"/>
  <c r="K75" i="6"/>
  <c r="K68" i="6"/>
  <c r="I68" i="6" s="1"/>
  <c r="K69" i="6"/>
  <c r="I69" i="6" s="1"/>
  <c r="K62" i="6"/>
  <c r="I62" i="6" s="1"/>
  <c r="K67" i="6"/>
  <c r="K59" i="6"/>
  <c r="I59" i="6" s="1"/>
  <c r="K73" i="6"/>
  <c r="K52" i="6"/>
  <c r="K38" i="6"/>
  <c r="I38" i="6" s="1"/>
  <c r="K44" i="6"/>
  <c r="K40" i="6"/>
  <c r="I40" i="6" s="1"/>
  <c r="K43" i="6"/>
  <c r="K64" i="6"/>
  <c r="I64" i="6" s="1"/>
  <c r="K50" i="6"/>
  <c r="I50" i="6" s="1"/>
  <c r="K39" i="6"/>
  <c r="K72" i="6"/>
  <c r="I72" i="6" s="1"/>
  <c r="K57" i="6"/>
  <c r="I57" i="6" s="1"/>
  <c r="K60" i="6"/>
  <c r="K41" i="6"/>
  <c r="I41" i="6" s="1"/>
  <c r="P39" i="6"/>
  <c r="P40" i="6"/>
  <c r="M40" i="6"/>
  <c r="M41" i="6"/>
  <c r="P42" i="6"/>
  <c r="P41" i="6"/>
  <c r="J71" i="6"/>
  <c r="C71" i="6" s="1"/>
  <c r="J41" i="6"/>
  <c r="C41" i="6" s="1"/>
  <c r="J66" i="6"/>
  <c r="C66" i="6" s="1"/>
  <c r="J75" i="6"/>
  <c r="C75" i="6" s="1"/>
  <c r="J44" i="6"/>
  <c r="C44" i="6" s="1"/>
  <c r="J50" i="6"/>
  <c r="C50" i="6" s="1"/>
  <c r="J63" i="6"/>
  <c r="C63" i="6" s="1"/>
  <c r="J56" i="6"/>
  <c r="C56" i="6" s="1"/>
  <c r="J62" i="6"/>
  <c r="C62" i="6" s="1"/>
  <c r="J65" i="6"/>
  <c r="C65" i="6" s="1"/>
  <c r="J34" i="6"/>
  <c r="J60" i="6"/>
  <c r="C60" i="6" s="1"/>
  <c r="J61" i="6"/>
  <c r="C61" i="6" s="1"/>
  <c r="J38" i="6"/>
  <c r="C38" i="6" s="1"/>
  <c r="J47" i="6"/>
  <c r="C47" i="6" s="1"/>
  <c r="J51" i="6"/>
  <c r="C51" i="6" s="1"/>
  <c r="J52" i="6"/>
  <c r="C52" i="6" s="1"/>
  <c r="J49" i="6"/>
  <c r="C49" i="6" s="1"/>
  <c r="J57" i="6"/>
  <c r="J68" i="6"/>
  <c r="J36" i="6"/>
  <c r="C36" i="6" s="1"/>
  <c r="J70" i="6"/>
  <c r="C70" i="6" s="1"/>
  <c r="J73" i="6"/>
  <c r="C73" i="6" s="1"/>
  <c r="J48" i="6"/>
  <c r="C48" i="6" s="1"/>
  <c r="J74" i="6"/>
  <c r="C74" i="6" s="1"/>
  <c r="J53" i="6"/>
  <c r="C53" i="6" s="1"/>
  <c r="J46" i="6"/>
  <c r="C46" i="6" s="1"/>
  <c r="J72" i="6"/>
  <c r="C72" i="6" s="1"/>
  <c r="J58" i="6"/>
  <c r="C58" i="6" s="1"/>
  <c r="J42" i="6"/>
  <c r="C42" i="6" s="1"/>
  <c r="J37" i="6"/>
  <c r="C37" i="6" s="1"/>
  <c r="J39" i="6"/>
  <c r="C39" i="6" s="1"/>
  <c r="J40" i="6"/>
  <c r="C40" i="6" s="1"/>
  <c r="J67" i="6"/>
  <c r="C67" i="6" s="1"/>
  <c r="J64" i="6"/>
  <c r="C64" i="6" s="1"/>
  <c r="J43" i="6"/>
  <c r="C43" i="6" s="1"/>
  <c r="J45" i="6"/>
  <c r="C45" i="6" s="1"/>
  <c r="J35" i="6"/>
  <c r="C35" i="6" s="1"/>
  <c r="J69" i="6"/>
  <c r="C69" i="6" s="1"/>
  <c r="J59" i="6"/>
  <c r="C59" i="6" s="1"/>
  <c r="K36" i="6"/>
  <c r="I36" i="6" s="1"/>
  <c r="K35" i="6"/>
  <c r="M39" i="6"/>
  <c r="K34" i="6"/>
  <c r="I34" i="6" s="1"/>
  <c r="I39" i="6" l="1"/>
  <c r="J17" i="6" s="1"/>
  <c r="D19" i="6"/>
  <c r="D14" i="6"/>
  <c r="D18" i="6"/>
  <c r="D12" i="6"/>
  <c r="J28" i="6"/>
  <c r="C94" i="6" s="1"/>
  <c r="J16" i="6"/>
  <c r="I82" i="6" s="1"/>
  <c r="K82" i="6" s="1"/>
  <c r="D21" i="6"/>
  <c r="J20" i="6"/>
  <c r="D26" i="6"/>
  <c r="D25" i="6"/>
  <c r="D28" i="6"/>
  <c r="I35" i="6"/>
  <c r="J13" i="6" s="1"/>
  <c r="C68" i="6"/>
  <c r="D24" i="6" s="1"/>
  <c r="I60" i="6"/>
  <c r="D16" i="6" s="1"/>
  <c r="I43" i="6"/>
  <c r="J21" i="6" s="1"/>
  <c r="I52" i="6"/>
  <c r="J30" i="6" s="1"/>
  <c r="I67" i="6"/>
  <c r="D23" i="6" s="1"/>
  <c r="I74" i="6"/>
  <c r="D30" i="6" s="1"/>
  <c r="I46" i="6"/>
  <c r="J24" i="6" s="1"/>
  <c r="I45" i="6"/>
  <c r="J23" i="6" s="1"/>
  <c r="D17" i="6"/>
  <c r="I49" i="6"/>
  <c r="J27" i="6" s="1"/>
  <c r="J18" i="6"/>
  <c r="C57" i="6"/>
  <c r="D13" i="6" s="1"/>
  <c r="C34" i="6"/>
  <c r="J12" i="6" s="1"/>
  <c r="I73" i="6"/>
  <c r="D29" i="6" s="1"/>
  <c r="I51" i="6"/>
  <c r="J29" i="6" s="1"/>
  <c r="I66" i="6"/>
  <c r="D22" i="6" s="1"/>
  <c r="I37" i="6"/>
  <c r="J15" i="6" s="1"/>
  <c r="J26" i="6"/>
  <c r="J19" i="6"/>
  <c r="I47" i="6"/>
  <c r="J25" i="6" s="1"/>
  <c r="J14" i="6"/>
  <c r="I44" i="6"/>
  <c r="J22" i="6" s="1"/>
  <c r="I53" i="6"/>
  <c r="J31" i="6" s="1"/>
  <c r="D20" i="6"/>
  <c r="D15" i="6"/>
  <c r="I75" i="6"/>
  <c r="D31" i="6" s="1"/>
  <c r="I71" i="6"/>
  <c r="D27" i="6" s="1"/>
  <c r="C82" i="6" l="1"/>
  <c r="J82" i="6" s="1"/>
  <c r="C83" i="6"/>
  <c r="J83" i="6" s="1"/>
  <c r="I83" i="6"/>
  <c r="K83" i="6" s="1"/>
  <c r="I94" i="6"/>
  <c r="K94" i="6" s="1"/>
  <c r="C78" i="6"/>
  <c r="I78" i="6"/>
  <c r="K78" i="6" s="1"/>
  <c r="I96" i="6"/>
  <c r="K96" i="6" s="1"/>
  <c r="C96" i="6"/>
  <c r="C95" i="6"/>
  <c r="I95" i="6"/>
  <c r="K95" i="6" s="1"/>
  <c r="C97" i="6"/>
  <c r="I97" i="6"/>
  <c r="K97" i="6" s="1"/>
  <c r="I93" i="6"/>
  <c r="K93" i="6" s="1"/>
  <c r="C93" i="6"/>
  <c r="I90" i="6"/>
  <c r="K90" i="6" s="1"/>
  <c r="C90" i="6"/>
  <c r="C81" i="6"/>
  <c r="I81" i="6"/>
  <c r="K81" i="6" s="1"/>
  <c r="C88" i="6"/>
  <c r="I88" i="6"/>
  <c r="K88" i="6" s="1"/>
  <c r="I89" i="6"/>
  <c r="K89" i="6" s="1"/>
  <c r="C89" i="6"/>
  <c r="I79" i="6"/>
  <c r="K79" i="6" s="1"/>
  <c r="C79" i="6"/>
  <c r="C87" i="6"/>
  <c r="I87" i="6"/>
  <c r="K87" i="6" s="1"/>
  <c r="C85" i="6"/>
  <c r="I85" i="6"/>
  <c r="K85" i="6" s="1"/>
  <c r="I84" i="6"/>
  <c r="K84" i="6" s="1"/>
  <c r="C84" i="6"/>
  <c r="C92" i="6"/>
  <c r="I92" i="6"/>
  <c r="K92" i="6" s="1"/>
  <c r="C91" i="6"/>
  <c r="I91" i="6"/>
  <c r="K91" i="6" s="1"/>
  <c r="J94" i="6"/>
  <c r="K28" i="6"/>
  <c r="N28" i="6" s="1"/>
  <c r="C86" i="6"/>
  <c r="I86" i="6"/>
  <c r="K86" i="6" s="1"/>
  <c r="I80" i="6"/>
  <c r="K80" i="6" s="1"/>
  <c r="C80" i="6"/>
  <c r="K17" i="6" l="1"/>
  <c r="N17" i="6" s="1"/>
  <c r="K16" i="6"/>
  <c r="N16" i="6" s="1"/>
  <c r="K26" i="6"/>
  <c r="N26" i="6" s="1"/>
  <c r="J92" i="6"/>
  <c r="J87" i="6"/>
  <c r="K21" i="6"/>
  <c r="N21" i="6" s="1"/>
  <c r="K15" i="6"/>
  <c r="N15" i="6" s="1"/>
  <c r="J81" i="6"/>
  <c r="K29" i="6"/>
  <c r="N29" i="6" s="1"/>
  <c r="J95" i="6"/>
  <c r="K31" i="6"/>
  <c r="N31" i="6" s="1"/>
  <c r="J97" i="6"/>
  <c r="K14" i="6"/>
  <c r="N14" i="6" s="1"/>
  <c r="J80" i="6"/>
  <c r="K18" i="6"/>
  <c r="N18" i="6" s="1"/>
  <c r="J84" i="6"/>
  <c r="J79" i="6"/>
  <c r="K13" i="6"/>
  <c r="N13" i="6" s="1"/>
  <c r="J90" i="6"/>
  <c r="K24" i="6"/>
  <c r="N24" i="6" s="1"/>
  <c r="K30" i="6"/>
  <c r="N30" i="6" s="1"/>
  <c r="J96" i="6"/>
  <c r="K22" i="6"/>
  <c r="N22" i="6" s="1"/>
  <c r="J88" i="6"/>
  <c r="J89" i="6"/>
  <c r="K23" i="6"/>
  <c r="N23" i="6" s="1"/>
  <c r="J93" i="6"/>
  <c r="K27" i="6"/>
  <c r="N27" i="6" s="1"/>
  <c r="K25" i="6"/>
  <c r="N25" i="6" s="1"/>
  <c r="J91" i="6"/>
  <c r="K20" i="6"/>
  <c r="N20" i="6" s="1"/>
  <c r="J86" i="6"/>
  <c r="J85" i="6"/>
  <c r="K19" i="6"/>
  <c r="N19" i="6" s="1"/>
  <c r="J78" i="6"/>
  <c r="K12" i="6"/>
  <c r="P8" i="6" l="1"/>
  <c r="N12" i="6"/>
  <c r="P9" i="6"/>
  <c r="P7" i="6" l="1"/>
  <c r="P6" i="6"/>
</calcChain>
</file>

<file path=xl/sharedStrings.xml><?xml version="1.0" encoding="utf-8"?>
<sst xmlns="http://schemas.openxmlformats.org/spreadsheetml/2006/main" count="221" uniqueCount="64">
  <si>
    <t>Level</t>
    <phoneticPr fontId="1" type="noConversion"/>
  </si>
  <si>
    <t>lux index</t>
    <phoneticPr fontId="1" type="noConversion"/>
  </si>
  <si>
    <t>Ref.</t>
    <phoneticPr fontId="1" type="noConversion"/>
  </si>
  <si>
    <t>before</t>
    <phoneticPr fontId="1" type="noConversion"/>
  </si>
  <si>
    <t>luma target</t>
    <phoneticPr fontId="1" type="noConversion"/>
  </si>
  <si>
    <t>Y</t>
    <phoneticPr fontId="1" type="noConversion"/>
  </si>
  <si>
    <t>Gamma calculator</t>
    <phoneticPr fontId="1" type="noConversion"/>
  </si>
  <si>
    <t>Gamma from
C7</t>
    <phoneticPr fontId="1" type="noConversion"/>
  </si>
  <si>
    <t>inverse</t>
    <phoneticPr fontId="1" type="noConversion"/>
  </si>
  <si>
    <t>x1</t>
    <phoneticPr fontId="1" type="noConversion"/>
  </si>
  <si>
    <t>x2</t>
    <phoneticPr fontId="1" type="noConversion"/>
  </si>
  <si>
    <t>y1</t>
    <phoneticPr fontId="1" type="noConversion"/>
  </si>
  <si>
    <t>y2</t>
    <phoneticPr fontId="1" type="noConversion"/>
  </si>
  <si>
    <t>C7 gamma</t>
    <phoneticPr fontId="1" type="noConversion"/>
  </si>
  <si>
    <t>value</t>
    <phoneticPr fontId="1" type="noConversion"/>
  </si>
  <si>
    <t>index</t>
    <phoneticPr fontId="1" type="noConversion"/>
  </si>
  <si>
    <t>diff</t>
    <phoneticPr fontId="1" type="noConversion"/>
  </si>
  <si>
    <t>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t>
    <phoneticPr fontId="1" type="noConversion"/>
  </si>
  <si>
    <t>inverse Y</t>
    <phoneticPr fontId="1" type="noConversion"/>
  </si>
  <si>
    <t>calculate</t>
    <phoneticPr fontId="1" type="noConversion"/>
  </si>
  <si>
    <t>實拍</t>
    <phoneticPr fontId="1" type="noConversion"/>
  </si>
  <si>
    <t>Lux</t>
    <phoneticPr fontId="1" type="noConversion"/>
  </si>
  <si>
    <t>Lux region</t>
    <phoneticPr fontId="1" type="noConversion"/>
  </si>
  <si>
    <t>1. 輸入拍攝時使用的gamma曲線</t>
    <phoneticPr fontId="1" type="noConversion"/>
  </si>
  <si>
    <t>Color checker block 19, 20 calculator</t>
    <phoneticPr fontId="1" type="noConversion"/>
  </si>
  <si>
    <t>1. 輸入參考積及before的Color checker block 19, 20亮度數值，Y = 0.299*R + 0.587*G + 0.114*B
2. C7讀取before照片，查找對應的lux index及luma target，並將計算出來的luma target回填至project
3. Check block 19, 20實拍接近對比機</t>
    <phoneticPr fontId="1" type="noConversion"/>
  </si>
  <si>
    <t>Color summary (target / original)</t>
    <phoneticPr fontId="1" type="noConversion"/>
  </si>
  <si>
    <t>target / final</t>
    <phoneticPr fontId="1" type="noConversion"/>
  </si>
  <si>
    <t>Lightness error abs avg</t>
    <phoneticPr fontId="1" type="noConversion"/>
  </si>
  <si>
    <t>AE</t>
    <phoneticPr fontId="1" type="noConversion"/>
  </si>
  <si>
    <t>crtl + n</t>
    <phoneticPr fontId="1" type="noConversion"/>
  </si>
  <si>
    <t>Gamma</t>
    <phoneticPr fontId="1" type="noConversion"/>
  </si>
  <si>
    <t>Contrast ratio</t>
    <phoneticPr fontId="1" type="noConversion"/>
  </si>
  <si>
    <t>target</t>
    <phoneticPr fontId="1" type="noConversion"/>
  </si>
  <si>
    <t>T</t>
    <phoneticPr fontId="1" type="noConversion"/>
  </si>
  <si>
    <t>O</t>
    <phoneticPr fontId="1" type="noConversion"/>
  </si>
  <si>
    <t>F</t>
    <phoneticPr fontId="1" type="noConversion"/>
  </si>
  <si>
    <t>original</t>
    <phoneticPr fontId="1" type="noConversion"/>
  </si>
  <si>
    <t>final</t>
    <phoneticPr fontId="1" type="noConversion"/>
  </si>
  <si>
    <t>Δlightness</t>
    <phoneticPr fontId="1" type="noConversion"/>
  </si>
  <si>
    <t>Modify gamma</t>
    <phoneticPr fontId="1" type="noConversion"/>
  </si>
  <si>
    <t>Light source box calculator</t>
    <phoneticPr fontId="1" type="noConversion"/>
  </si>
  <si>
    <t>Step chart calculator</t>
    <phoneticPr fontId="1" type="noConversion"/>
  </si>
  <si>
    <t>1. 輸入參考機及before的曝光機4~14階亮度數值
2. C7讀取before照片，查找對應的lux index及luma target</t>
    <phoneticPr fontId="1" type="noConversion"/>
  </si>
  <si>
    <t>1. 輸入拍攝時使用的gamma曲線及luma target
2. 使用imatest計算step chart 1~20格亮度值。分別填入target及before
2. 修改Modify gamma，或使用規劃求解。按ctrl+n，重跑巨集更新色塊</t>
    <phoneticPr fontId="1" type="noConversion"/>
  </si>
  <si>
    <t>Criteriea</t>
    <phoneticPr fontId="1" type="noConversion"/>
  </si>
  <si>
    <t>&lt;5</t>
    <phoneticPr fontId="1" type="noConversion"/>
  </si>
  <si>
    <t>&lt;7</t>
    <phoneticPr fontId="1" type="noConversion"/>
  </si>
  <si>
    <t>&lt;10</t>
    <phoneticPr fontId="1" type="noConversion"/>
  </si>
  <si>
    <t>A</t>
    <phoneticPr fontId="1" type="noConversion"/>
  </si>
  <si>
    <t>M</t>
    <phoneticPr fontId="1" type="noConversion"/>
  </si>
  <si>
    <t>B</t>
    <phoneticPr fontId="1" type="noConversion"/>
  </si>
  <si>
    <t>實拍</t>
    <phoneticPr fontId="1" type="noConversion"/>
  </si>
  <si>
    <t>T &amp; F</t>
    <phoneticPr fontId="1" type="noConversion"/>
  </si>
  <si>
    <t>T &amp; 實拍</t>
    <phoneticPr fontId="1" type="noConversion"/>
  </si>
  <si>
    <t>T &amp; O</t>
    <phoneticPr fontId="1" type="noConversion"/>
  </si>
  <si>
    <t>畫出 gamma 圖到整合tool上</t>
    <phoneticPr fontId="1" type="noConversion"/>
  </si>
  <si>
    <t>index是X軸，value (gamma) 是Y軸</t>
    <phoneticPr fontId="1" type="noConversion"/>
  </si>
  <si>
    <t>顯示規劃求解後 (+使用者微調diff後的) 的數值</t>
    <phoneticPr fontId="1" type="noConversion"/>
  </si>
  <si>
    <t>具體的圖模樣如上圖所示</t>
    <phoneticPr fontId="1" type="noConversion"/>
  </si>
  <si>
    <t>gamma局部數值微調(optional)</t>
    <phoneticPr fontId="1" type="noConversion"/>
  </si>
  <si>
    <t>橘色部分讓使用者自己來excel內調整</t>
    <phoneticPr fontId="1" type="noConversion"/>
  </si>
  <si>
    <t>(整合tool不用這部分)</t>
    <phoneticPr fontId="1" type="noConversion"/>
  </si>
  <si>
    <t>gamma scale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</si>
</sst>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_ "/>
    <numFmt numFmtId="177" formatCode="0.00_ "/>
    <numFmt numFmtId="178" formatCode="0.0_);[Red]\(0.0\)"/>
    <numFmt numFmtId="179" formatCode="0_ "/>
    <numFmt numFmtId="180" formatCode="0.0_ "/>
    <numFmt numFmtId="181" formatCode="0.0_ ;[Red]\-0.0\ "/>
    <numFmt numFmtId="182" formatCode="0.00_);[Red]\(0.00\)"/>
  </numFmts>
  <fonts count="14" x14ac:knownFonts="1">
    <font>
      <sz val="12"/>
      <color theme="1"/>
      <name val="新細明體"/>
      <family val="2"/>
      <charset val="136"/>
      <scheme val="minor"/>
    </font>
    <font>
      <sz val="9"/>
      <name val="新細明體"/>
      <family val="2"/>
      <charset val="136"/>
      <scheme val="minor"/>
    </font>
    <font>
      <sz val="26"/>
      <color theme="1"/>
      <name val="Calibri"/>
      <family val="2"/>
    </font>
    <font>
      <b/>
      <sz val="14"/>
      <color theme="1"/>
      <name val="Calibri"/>
      <family val="2"/>
    </font>
    <font>
      <sz val="9"/>
      <color theme="1"/>
      <name val="新細明體"/>
      <family val="1"/>
      <charset val="136"/>
      <scheme val="minor"/>
    </font>
    <font>
      <sz val="12"/>
      <color theme="2" tint="-9.9978637043366805E-2"/>
      <name val="新細明體"/>
      <family val="2"/>
      <charset val="136"/>
      <scheme val="minor"/>
    </font>
    <font>
      <sz val="12"/>
      <color theme="2" tint="-9.9978637043366805E-2"/>
      <name val="新細明體"/>
      <family val="1"/>
      <charset val="136"/>
      <scheme val="minor"/>
    </font>
    <font>
      <sz val="10"/>
      <color theme="1"/>
      <name val="新細明體"/>
      <family val="2"/>
      <charset val="136"/>
      <scheme val="minor"/>
    </font>
    <font>
      <sz val="10"/>
      <color theme="1"/>
      <name val="新細明體"/>
      <family val="1"/>
      <charset val="136"/>
      <scheme val="minor"/>
    </font>
    <font>
      <sz val="11"/>
      <color theme="1"/>
      <name val="新細明體"/>
      <family val="2"/>
      <charset val="136"/>
      <scheme val="minor"/>
    </font>
    <font>
      <sz val="12"/>
      <color theme="4" tint="-0.249977111117893"/>
      <name val="新細明體"/>
      <family val="1"/>
      <charset val="136"/>
      <scheme val="minor"/>
    </font>
    <font>
      <sz val="12"/>
      <color theme="1"/>
      <name val="新細明體"/>
      <family val="1"/>
      <charset val="136"/>
      <scheme val="minor"/>
    </font>
    <font>
      <sz val="9"/>
      <color rgb="FF000000"/>
      <name val="新細明體"/>
      <family val="1"/>
      <charset val="136"/>
    </font>
    <font>
      <sz val="8"/>
      <color theme="1"/>
      <name val="新細明體"/>
      <family val="1"/>
      <charset val="136"/>
      <scheme val="minor"/>
    </font>
  </fonts>
  <fills count="62">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rgb="FF6A6A6A"/>
        <bgColor indexed="64"/>
      </patternFill>
    </fill>
    <fill>
      <patternFill patternType="solid">
        <fgColor rgb="FF5B5B5B"/>
        <bgColor indexed="64"/>
      </patternFill>
    </fill>
    <fill>
      <patternFill patternType="solid">
        <fgColor rgb="FF9C9C9C"/>
        <bgColor indexed="64"/>
      </patternFill>
    </fill>
    <fill>
      <patternFill patternType="solid">
        <fgColor rgb="FF424242"/>
        <bgColor indexed="64"/>
      </patternFill>
    </fill>
    <fill>
      <patternFill patternType="solid">
        <fgColor rgb="FF373737"/>
        <bgColor indexed="64"/>
      </patternFill>
    </fill>
    <fill>
      <patternFill patternType="solid">
        <fgColor rgb="FF282828"/>
        <bgColor indexed="64"/>
      </patternFill>
    </fill>
    <fill>
      <patternFill patternType="solid">
        <fgColor rgb="FF2E2E2E"/>
        <bgColor indexed="64"/>
      </patternFill>
    </fill>
    <fill>
      <patternFill patternType="solid">
        <fgColor rgb="FF1F1F1F"/>
        <bgColor indexed="64"/>
      </patternFill>
    </fill>
    <fill>
      <patternFill patternType="solid">
        <fgColor rgb="FF191919"/>
        <bgColor indexed="64"/>
      </patternFill>
    </fill>
    <fill>
      <patternFill patternType="solid">
        <fgColor rgb="FF1E1E1E"/>
        <bgColor indexed="64"/>
      </patternFill>
    </fill>
    <fill>
      <patternFill patternType="solid">
        <fgColor rgb="FF323232"/>
        <bgColor indexed="64"/>
      </patternFill>
    </fill>
    <fill>
      <patternFill patternType="solid">
        <fgColor rgb="FF0F0F0F"/>
        <bgColor indexed="64"/>
      </patternFill>
    </fill>
    <fill>
      <patternFill patternType="solid">
        <fgColor rgb="FF121212"/>
        <bgColor indexed="64"/>
      </patternFill>
    </fill>
    <fill>
      <patternFill patternType="solid">
        <fgColor rgb="FFF1F1F1"/>
        <bgColor indexed="64"/>
      </patternFill>
    </fill>
    <fill>
      <patternFill patternType="solid">
        <fgColor rgb="FFDFDFDF"/>
        <bgColor indexed="64"/>
      </patternFill>
    </fill>
    <fill>
      <patternFill patternType="solid">
        <fgColor rgb="FFCECECE"/>
        <bgColor indexed="64"/>
      </patternFill>
    </fill>
    <fill>
      <patternFill patternType="solid">
        <fgColor rgb="FFBFBFBF"/>
        <bgColor indexed="64"/>
      </patternFill>
    </fill>
    <fill>
      <patternFill patternType="solid">
        <fgColor rgb="FFAAAAAA"/>
        <bgColor indexed="64"/>
      </patternFill>
    </fill>
    <fill>
      <patternFill patternType="solid">
        <fgColor rgb="FF989898"/>
        <bgColor indexed="64"/>
      </patternFill>
    </fill>
    <fill>
      <patternFill patternType="solid">
        <fgColor rgb="FF848484"/>
        <bgColor indexed="64"/>
      </patternFill>
    </fill>
    <fill>
      <patternFill patternType="solid">
        <fgColor rgb="FF727272"/>
        <bgColor indexed="64"/>
      </patternFill>
    </fill>
    <fill>
      <patternFill patternType="solid">
        <fgColor rgb="FF606060"/>
        <bgColor indexed="64"/>
      </patternFill>
    </fill>
    <fill>
      <patternFill patternType="solid">
        <fgColor rgb="FF555555"/>
        <bgColor indexed="64"/>
      </patternFill>
    </fill>
    <fill>
      <patternFill patternType="solid">
        <fgColor rgb="FF484848"/>
        <bgColor indexed="64"/>
      </patternFill>
    </fill>
    <fill>
      <patternFill patternType="solid">
        <fgColor rgb="FF3C3C3C"/>
        <bgColor indexed="64"/>
      </patternFill>
    </fill>
    <fill>
      <patternFill patternType="solid">
        <fgColor rgb="FF2C2C2C"/>
        <bgColor indexed="64"/>
      </patternFill>
    </fill>
    <fill>
      <patternFill patternType="solid">
        <fgColor rgb="FF252525"/>
        <bgColor indexed="64"/>
      </patternFill>
    </fill>
    <fill>
      <patternFill patternType="solid">
        <fgColor rgb="FF151515"/>
        <bgColor indexed="64"/>
      </patternFill>
    </fill>
    <fill>
      <patternFill patternType="solid">
        <fgColor rgb="FF131313"/>
        <bgColor indexed="64"/>
      </patternFill>
    </fill>
    <fill>
      <patternFill patternType="solid">
        <fgColor rgb="FFE3E3E3"/>
        <bgColor indexed="64"/>
      </patternFill>
    </fill>
    <fill>
      <patternFill patternType="solid">
        <fgColor rgb="FFCFCFCF"/>
        <bgColor indexed="64"/>
      </patternFill>
    </fill>
    <fill>
      <patternFill patternType="solid">
        <fgColor rgb="FFB8B8B8"/>
        <bgColor indexed="64"/>
      </patternFill>
    </fill>
    <fill>
      <patternFill patternType="solid">
        <fgColor rgb="FFA5A5A5"/>
        <bgColor indexed="64"/>
      </patternFill>
    </fill>
    <fill>
      <patternFill patternType="solid">
        <fgColor rgb="FF8F8F8F"/>
        <bgColor indexed="64"/>
      </patternFill>
    </fill>
    <fill>
      <patternFill patternType="solid">
        <fgColor rgb="FF7C7C7C"/>
        <bgColor indexed="64"/>
      </patternFill>
    </fill>
    <fill>
      <patternFill patternType="solid">
        <fgColor rgb="FF4D4D4D"/>
        <bgColor indexed="64"/>
      </patternFill>
    </fill>
    <fill>
      <patternFill patternType="solid">
        <fgColor rgb="FF2F2F2F"/>
        <bgColor indexed="64"/>
      </patternFill>
    </fill>
    <fill>
      <patternFill patternType="solid">
        <fgColor rgb="FF232323"/>
        <bgColor indexed="64"/>
      </patternFill>
    </fill>
    <fill>
      <patternFill patternType="solid">
        <fgColor rgb="FF1A1A1A"/>
        <bgColor indexed="64"/>
      </patternFill>
    </fill>
    <fill>
      <patternFill patternType="solid">
        <fgColor rgb="FF161616"/>
        <bgColor indexed="64"/>
      </patternFill>
    </fill>
    <fill>
      <patternFill patternType="solid">
        <fgColor rgb="FF101010"/>
        <bgColor indexed="64"/>
      </patternFill>
    </fill>
    <fill>
      <patternFill patternType="solid">
        <fgColor rgb="FF2A2A2A"/>
        <bgColor indexed="64"/>
      </patternFill>
    </fill>
    <fill>
      <patternFill patternType="solid">
        <fgColor rgb="FF868686"/>
        <bgColor indexed="64"/>
      </patternFill>
    </fill>
    <fill>
      <patternFill patternType="solid">
        <fgColor rgb="FFF4F4F4"/>
        <bgColor indexed="64"/>
      </patternFill>
    </fill>
    <fill>
      <patternFill patternType="solid">
        <fgColor rgb="FFDDDDDD"/>
        <bgColor indexed="64"/>
      </patternFill>
    </fill>
    <fill>
      <patternFill patternType="solid">
        <fgColor rgb="FFC2C2C2"/>
        <bgColor indexed="64"/>
      </patternFill>
    </fill>
    <fill>
      <patternFill patternType="solid">
        <fgColor rgb="FFB6B6B6"/>
        <bgColor indexed="64"/>
      </patternFill>
    </fill>
    <fill>
      <patternFill patternType="solid">
        <fgColor rgb="FF767676"/>
        <bgColor indexed="64"/>
      </patternFill>
    </fill>
    <fill>
      <patternFill patternType="solid">
        <fgColor rgb="FF686868"/>
        <bgColor indexed="64"/>
      </patternFill>
    </fill>
    <fill>
      <patternFill patternType="solid">
        <fgColor rgb="FF575757"/>
        <bgColor indexed="64"/>
      </patternFill>
    </fill>
    <fill>
      <patternFill patternType="solid">
        <fgColor rgb="FF4C4C4C"/>
        <bgColor indexed="64"/>
      </patternFill>
    </fill>
    <fill>
      <patternFill patternType="solid">
        <fgColor rgb="FF3F3F3F"/>
        <bgColor indexed="64"/>
      </patternFill>
    </fill>
    <fill>
      <patternFill patternType="solid">
        <fgColor rgb="FF242424"/>
        <bgColor indexed="64"/>
      </patternFill>
    </fill>
    <fill>
      <patternFill patternType="solid">
        <fgColor rgb="FF171717"/>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59999389629810485"/>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rgb="FF7030A0"/>
      </left>
      <right/>
      <top style="medium">
        <color rgb="FF7030A0"/>
      </top>
      <bottom/>
      <diagonal/>
    </border>
    <border>
      <left/>
      <right/>
      <top style="medium">
        <color rgb="FF7030A0"/>
      </top>
      <bottom/>
      <diagonal/>
    </border>
    <border>
      <left/>
      <right style="medium">
        <color rgb="FF7030A0"/>
      </right>
      <top style="medium">
        <color rgb="FF7030A0"/>
      </top>
      <bottom/>
      <diagonal/>
    </border>
    <border>
      <left style="medium">
        <color rgb="FF7030A0"/>
      </left>
      <right/>
      <top/>
      <bottom/>
      <diagonal/>
    </border>
    <border>
      <left/>
      <right style="medium">
        <color rgb="FF7030A0"/>
      </right>
      <top/>
      <bottom/>
      <diagonal/>
    </border>
    <border>
      <left style="medium">
        <color rgb="FF7030A0"/>
      </left>
      <right/>
      <top/>
      <bottom style="medium">
        <color rgb="FF7030A0"/>
      </bottom>
      <diagonal/>
    </border>
    <border>
      <left/>
      <right/>
      <top/>
      <bottom style="medium">
        <color rgb="FF7030A0"/>
      </bottom>
      <diagonal/>
    </border>
    <border>
      <left/>
      <right style="medium">
        <color rgb="FF7030A0"/>
      </right>
      <top/>
      <bottom style="medium">
        <color rgb="FF7030A0"/>
      </bottom>
      <diagonal/>
    </border>
  </borders>
  <cellStyleXfs count="1">
    <xf numFmtId="0" fontId="0" fillId="0" borderId="0">
      <alignment vertical="center"/>
    </xf>
  </cellStyleXfs>
  <cellXfs count="148">
    <xf numFmtId="0" fontId="0" fillId="0" borderId="0" xfId="0">
      <alignment vertical="center"/>
    </xf>
    <xf numFmtId="0" fontId="0" fillId="0" borderId="0" xfId="0" applyAlignment="1">
      <alignment horizontal="center" vertical="center"/>
    </xf>
    <xf numFmtId="0" fontId="0" fillId="0" borderId="0" xfId="0" applyAlignment="1">
      <alignment horizontal="left" vertical="center" wrapText="1"/>
    </xf>
    <xf numFmtId="176" fontId="0" fillId="0" borderId="0" xfId="0" applyNumberFormat="1" applyAlignment="1">
      <alignment horizontal="center" vertical="center"/>
    </xf>
    <xf numFmtId="177" fontId="4" fillId="0" borderId="0" xfId="0" applyNumberFormat="1" applyFont="1" applyAlignment="1">
      <alignment horizontal="left" vertical="center" wrapText="1"/>
    </xf>
    <xf numFmtId="10" fontId="0" fillId="0" borderId="0" xfId="0" applyNumberFormat="1" applyAlignment="1">
      <alignment horizontal="center" vertical="center"/>
    </xf>
    <xf numFmtId="178" fontId="0" fillId="0" borderId="0" xfId="0" applyNumberFormat="1" applyAlignment="1">
      <alignment horizontal="center" vertical="center"/>
    </xf>
    <xf numFmtId="0" fontId="5" fillId="0" borderId="0" xfId="0" applyFont="1" applyAlignment="1">
      <alignment horizontal="center" vertical="center"/>
    </xf>
    <xf numFmtId="0" fontId="6" fillId="0" borderId="0" xfId="0" applyFont="1" applyAlignment="1">
      <alignment horizontal="center" vertical="center"/>
    </xf>
    <xf numFmtId="179" fontId="0" fillId="0" borderId="0" xfId="0" applyNumberFormat="1" applyAlignment="1">
      <alignment horizontal="center" vertical="center"/>
    </xf>
    <xf numFmtId="177" fontId="0" fillId="0" borderId="0" xfId="0" applyNumberFormat="1" applyAlignment="1">
      <alignment vertical="center" wrapText="1"/>
    </xf>
    <xf numFmtId="0" fontId="0" fillId="0" borderId="0" xfId="0" applyAlignment="1">
      <alignment vertical="center" wrapText="1"/>
    </xf>
    <xf numFmtId="0" fontId="0" fillId="0" borderId="1" xfId="0" applyBorder="1" applyAlignment="1">
      <alignment horizontal="center" vertical="center"/>
    </xf>
    <xf numFmtId="0" fontId="0" fillId="3" borderId="0" xfId="0" applyFill="1" applyAlignment="1">
      <alignment horizontal="center" vertical="center"/>
    </xf>
    <xf numFmtId="0" fontId="7" fillId="3" borderId="0" xfId="0" applyFont="1" applyFill="1" applyAlignment="1">
      <alignment horizontal="center" vertical="center"/>
    </xf>
    <xf numFmtId="0" fontId="7" fillId="0" borderId="0" xfId="0" applyFont="1" applyAlignment="1">
      <alignment horizontal="center" vertical="center"/>
    </xf>
    <xf numFmtId="180" fontId="0" fillId="0" borderId="0" xfId="0" applyNumberFormat="1" applyAlignment="1">
      <alignment horizontal="center" vertical="center"/>
    </xf>
    <xf numFmtId="177" fontId="3" fillId="0" borderId="0" xfId="0" applyNumberFormat="1" applyFont="1" applyAlignment="1">
      <alignment horizontal="center" vertical="center" wrapText="1"/>
    </xf>
    <xf numFmtId="0" fontId="9" fillId="3" borderId="0" xfId="0" applyFont="1" applyFill="1" applyAlignment="1">
      <alignment horizontal="center" vertical="center"/>
    </xf>
    <xf numFmtId="0" fontId="9" fillId="0" borderId="0" xfId="0" applyFont="1" applyAlignment="1">
      <alignment horizontal="center" vertical="center"/>
    </xf>
    <xf numFmtId="176" fontId="11" fillId="0" borderId="0" xfId="0" applyNumberFormat="1" applyFont="1" applyAlignment="1">
      <alignment horizontal="center" vertical="center"/>
    </xf>
    <xf numFmtId="181" fontId="0" fillId="0" borderId="0" xfId="0" applyNumberFormat="1" applyAlignment="1">
      <alignment horizontal="center" vertical="center"/>
    </xf>
    <xf numFmtId="178" fontId="0" fillId="5" borderId="0" xfId="0" applyNumberFormat="1" applyFill="1" applyAlignment="1">
      <alignment horizontal="center" vertical="center"/>
    </xf>
    <xf numFmtId="178" fontId="0" fillId="6" borderId="0" xfId="0" applyNumberFormat="1" applyFill="1" applyAlignment="1">
      <alignment horizontal="center" vertical="center"/>
    </xf>
    <xf numFmtId="178" fontId="0" fillId="7" borderId="0" xfId="0" applyNumberFormat="1" applyFill="1" applyAlignment="1">
      <alignment horizontal="center" vertical="center"/>
    </xf>
    <xf numFmtId="178" fontId="0" fillId="8" borderId="0" xfId="0" applyNumberFormat="1" applyFill="1" applyAlignment="1">
      <alignment horizontal="center" vertical="center"/>
    </xf>
    <xf numFmtId="178" fontId="0" fillId="9" borderId="0" xfId="0" applyNumberFormat="1" applyFill="1" applyAlignment="1">
      <alignment horizontal="center" vertical="center"/>
    </xf>
    <xf numFmtId="178" fontId="0" fillId="10" borderId="0" xfId="0" applyNumberFormat="1" applyFill="1" applyAlignment="1">
      <alignment horizontal="center" vertical="center"/>
    </xf>
    <xf numFmtId="178" fontId="0" fillId="11" borderId="0" xfId="0" applyNumberFormat="1" applyFill="1" applyAlignment="1">
      <alignment horizontal="center" vertical="center"/>
    </xf>
    <xf numFmtId="178" fontId="0" fillId="12" borderId="0" xfId="0" applyNumberFormat="1" applyFill="1" applyAlignment="1">
      <alignment horizontal="center" vertical="center"/>
    </xf>
    <xf numFmtId="178" fontId="0" fillId="13" borderId="0" xfId="0" applyNumberFormat="1" applyFill="1" applyAlignment="1">
      <alignment horizontal="center" vertical="center"/>
    </xf>
    <xf numFmtId="178" fontId="0" fillId="14" borderId="0" xfId="0" applyNumberFormat="1" applyFill="1" applyAlignment="1">
      <alignment horizontal="center" vertical="center"/>
    </xf>
    <xf numFmtId="178" fontId="0" fillId="15" borderId="0" xfId="0" applyNumberFormat="1" applyFill="1" applyAlignment="1">
      <alignment horizontal="center" vertical="center"/>
    </xf>
    <xf numFmtId="178" fontId="0" fillId="16" borderId="0" xfId="0" applyNumberFormat="1" applyFill="1" applyAlignment="1">
      <alignment horizontal="center" vertical="center"/>
    </xf>
    <xf numFmtId="178" fontId="0" fillId="17" borderId="0" xfId="0" applyNumberFormat="1" applyFill="1" applyAlignment="1">
      <alignment horizontal="center" vertical="center"/>
    </xf>
    <xf numFmtId="178" fontId="0" fillId="18" borderId="0" xfId="0" applyNumberFormat="1" applyFill="1" applyAlignment="1">
      <alignment horizontal="center" vertical="center"/>
    </xf>
    <xf numFmtId="178" fontId="0" fillId="19" borderId="0" xfId="0" applyNumberFormat="1" applyFill="1" applyAlignment="1">
      <alignment horizontal="center" vertical="center"/>
    </xf>
    <xf numFmtId="178" fontId="0" fillId="20" borderId="0" xfId="0" applyNumberFormat="1" applyFill="1" applyAlignment="1">
      <alignment horizontal="center" vertical="center"/>
    </xf>
    <xf numFmtId="178" fontId="0" fillId="21" borderId="0" xfId="0" applyNumberFormat="1" applyFill="1" applyAlignment="1">
      <alignment horizontal="center" vertical="center"/>
    </xf>
    <xf numFmtId="178" fontId="0" fillId="22" borderId="0" xfId="0" applyNumberFormat="1" applyFill="1" applyAlignment="1">
      <alignment horizontal="center" vertical="center"/>
    </xf>
    <xf numFmtId="178" fontId="0" fillId="23" borderId="0" xfId="0" applyNumberFormat="1" applyFill="1" applyAlignment="1">
      <alignment horizontal="center" vertical="center"/>
    </xf>
    <xf numFmtId="178" fontId="0" fillId="24" borderId="0" xfId="0" applyNumberFormat="1" applyFill="1" applyAlignment="1">
      <alignment horizontal="center" vertical="center"/>
    </xf>
    <xf numFmtId="178" fontId="0" fillId="25" borderId="0" xfId="0" applyNumberFormat="1" applyFill="1" applyAlignment="1">
      <alignment horizontal="center" vertical="center"/>
    </xf>
    <xf numFmtId="178" fontId="0" fillId="26" borderId="0" xfId="0" applyNumberFormat="1" applyFill="1" applyAlignment="1">
      <alignment horizontal="center" vertical="center"/>
    </xf>
    <xf numFmtId="178" fontId="0" fillId="27" borderId="0" xfId="0" applyNumberFormat="1" applyFill="1" applyAlignment="1">
      <alignment horizontal="center" vertical="center"/>
    </xf>
    <xf numFmtId="178" fontId="0" fillId="28" borderId="0" xfId="0" applyNumberFormat="1" applyFill="1" applyAlignment="1">
      <alignment horizontal="center" vertical="center"/>
    </xf>
    <xf numFmtId="178" fontId="0" fillId="29" borderId="0" xfId="0" applyNumberFormat="1" applyFill="1" applyAlignment="1">
      <alignment horizontal="center" vertical="center"/>
    </xf>
    <xf numFmtId="178" fontId="0" fillId="30" borderId="0" xfId="0" applyNumberFormat="1" applyFill="1" applyAlignment="1">
      <alignment horizontal="center" vertical="center"/>
    </xf>
    <xf numFmtId="178" fontId="0" fillId="31" borderId="0" xfId="0" applyNumberFormat="1" applyFill="1" applyAlignment="1">
      <alignment horizontal="center" vertical="center"/>
    </xf>
    <xf numFmtId="178" fontId="0" fillId="32" borderId="0" xfId="0" applyNumberFormat="1" applyFill="1" applyAlignment="1">
      <alignment horizontal="center" vertical="center"/>
    </xf>
    <xf numFmtId="178" fontId="0" fillId="33" borderId="0" xfId="0" applyNumberFormat="1" applyFill="1" applyAlignment="1">
      <alignment horizontal="center" vertical="center"/>
    </xf>
    <xf numFmtId="178" fontId="0" fillId="34" borderId="0" xfId="0" applyNumberFormat="1" applyFill="1" applyAlignment="1">
      <alignment horizontal="center" vertical="center"/>
    </xf>
    <xf numFmtId="178" fontId="0" fillId="35" borderId="0" xfId="0" applyNumberFormat="1" applyFill="1" applyAlignment="1">
      <alignment horizontal="center" vertical="center"/>
    </xf>
    <xf numFmtId="178" fontId="0" fillId="36" borderId="0" xfId="0" applyNumberFormat="1" applyFill="1" applyAlignment="1">
      <alignment horizontal="center" vertical="center"/>
    </xf>
    <xf numFmtId="178" fontId="0" fillId="37" borderId="0" xfId="0" applyNumberFormat="1" applyFill="1" applyAlignment="1">
      <alignment horizontal="center" vertical="center"/>
    </xf>
    <xf numFmtId="178" fontId="0" fillId="38" borderId="0" xfId="0" applyNumberFormat="1" applyFill="1" applyAlignment="1">
      <alignment horizontal="center" vertical="center"/>
    </xf>
    <xf numFmtId="178" fontId="0" fillId="39" borderId="0" xfId="0" applyNumberFormat="1" applyFill="1" applyAlignment="1">
      <alignment horizontal="center" vertical="center"/>
    </xf>
    <xf numFmtId="178" fontId="0" fillId="40" borderId="0" xfId="0" applyNumberFormat="1" applyFill="1" applyAlignment="1">
      <alignment horizontal="center" vertical="center"/>
    </xf>
    <xf numFmtId="178" fontId="0" fillId="41" borderId="0" xfId="0" applyNumberFormat="1" applyFill="1" applyAlignment="1">
      <alignment horizontal="center" vertical="center"/>
    </xf>
    <xf numFmtId="178" fontId="0" fillId="42" borderId="0" xfId="0" applyNumberFormat="1" applyFill="1" applyAlignment="1">
      <alignment horizontal="center" vertical="center"/>
    </xf>
    <xf numFmtId="178" fontId="0" fillId="43" borderId="0" xfId="0" applyNumberFormat="1" applyFill="1" applyAlignment="1">
      <alignment horizontal="center" vertical="center"/>
    </xf>
    <xf numFmtId="178" fontId="0" fillId="44" borderId="0" xfId="0" applyNumberFormat="1" applyFill="1" applyAlignment="1">
      <alignment horizontal="center" vertical="center"/>
    </xf>
    <xf numFmtId="178" fontId="0" fillId="45" borderId="0" xfId="0" applyNumberFormat="1" applyFill="1" applyAlignment="1">
      <alignment horizontal="center" vertical="center"/>
    </xf>
    <xf numFmtId="178" fontId="0" fillId="46" borderId="0" xfId="0" applyNumberFormat="1" applyFill="1" applyAlignment="1">
      <alignment horizontal="center" vertical="center"/>
    </xf>
    <xf numFmtId="176" fontId="0" fillId="0" borderId="1" xfId="0" applyNumberFormat="1" applyBorder="1" applyAlignment="1">
      <alignment horizontal="center" vertical="center"/>
    </xf>
    <xf numFmtId="178" fontId="0" fillId="47" borderId="0" xfId="0" applyNumberFormat="1" applyFill="1" applyAlignment="1">
      <alignment horizontal="center" vertical="center"/>
    </xf>
    <xf numFmtId="178" fontId="0" fillId="48" borderId="0" xfId="0" applyNumberFormat="1" applyFill="1" applyAlignment="1">
      <alignment horizontal="center" vertical="center"/>
    </xf>
    <xf numFmtId="178" fontId="0" fillId="49" borderId="0" xfId="0" applyNumberFormat="1" applyFill="1" applyAlignment="1">
      <alignment horizontal="center" vertical="center"/>
    </xf>
    <xf numFmtId="178" fontId="0" fillId="50" borderId="0" xfId="0" applyNumberFormat="1" applyFill="1" applyAlignment="1">
      <alignment horizontal="center" vertical="center"/>
    </xf>
    <xf numFmtId="178" fontId="0" fillId="51" borderId="0" xfId="0" applyNumberFormat="1" applyFill="1" applyAlignment="1">
      <alignment horizontal="center" vertical="center"/>
    </xf>
    <xf numFmtId="178" fontId="0" fillId="52" borderId="0" xfId="0" applyNumberFormat="1" applyFill="1" applyAlignment="1">
      <alignment horizontal="center" vertical="center"/>
    </xf>
    <xf numFmtId="178" fontId="0" fillId="53" borderId="0" xfId="0" applyNumberFormat="1" applyFill="1" applyAlignment="1">
      <alignment horizontal="center" vertical="center"/>
    </xf>
    <xf numFmtId="178" fontId="0" fillId="54" borderId="0" xfId="0" applyNumberFormat="1" applyFill="1" applyAlignment="1">
      <alignment horizontal="center" vertical="center"/>
    </xf>
    <xf numFmtId="178" fontId="0" fillId="55" borderId="0" xfId="0" applyNumberFormat="1" applyFill="1" applyAlignment="1">
      <alignment horizontal="center" vertical="center"/>
    </xf>
    <xf numFmtId="178" fontId="0" fillId="56" borderId="0" xfId="0" applyNumberFormat="1" applyFill="1" applyAlignment="1">
      <alignment horizontal="center" vertical="center"/>
    </xf>
    <xf numFmtId="178" fontId="0" fillId="57" borderId="0" xfId="0" applyNumberFormat="1" applyFill="1" applyAlignment="1">
      <alignment horizontal="center" vertical="center"/>
    </xf>
    <xf numFmtId="178" fontId="0" fillId="58" borderId="0" xfId="0" applyNumberFormat="1" applyFill="1" applyAlignment="1">
      <alignment horizontal="center" vertical="center"/>
    </xf>
    <xf numFmtId="0" fontId="0" fillId="0" borderId="3" xfId="0" applyBorder="1" applyAlignment="1">
      <alignment horizontal="center" vertical="center" wrapText="1"/>
    </xf>
    <xf numFmtId="182" fontId="0" fillId="0" borderId="0" xfId="0" applyNumberFormat="1" applyAlignment="1">
      <alignment horizontal="center" vertical="center"/>
    </xf>
    <xf numFmtId="0" fontId="0" fillId="60" borderId="0" xfId="0" applyFill="1" applyAlignment="1">
      <alignment horizontal="center" vertical="center"/>
    </xf>
    <xf numFmtId="181" fontId="0" fillId="60" borderId="0" xfId="0" applyNumberFormat="1" applyFill="1" applyAlignment="1">
      <alignment horizontal="center" vertical="center"/>
    </xf>
    <xf numFmtId="176" fontId="0" fillId="60" borderId="10" xfId="0" applyNumberFormat="1" applyFill="1" applyBorder="1" applyAlignment="1">
      <alignment horizontal="center" vertical="center"/>
    </xf>
    <xf numFmtId="176" fontId="0" fillId="60" borderId="1" xfId="0" applyNumberFormat="1" applyFill="1" applyBorder="1" applyAlignment="1">
      <alignment horizontal="center" vertical="center"/>
    </xf>
    <xf numFmtId="10" fontId="0" fillId="60" borderId="10" xfId="0" applyNumberFormat="1" applyFill="1" applyBorder="1" applyAlignment="1">
      <alignment horizontal="center" vertical="center"/>
    </xf>
    <xf numFmtId="178" fontId="0" fillId="60" borderId="0" xfId="0" applyNumberFormat="1" applyFill="1" applyAlignment="1">
      <alignment horizontal="center" vertical="center"/>
    </xf>
    <xf numFmtId="0" fontId="0" fillId="0" borderId="11" xfId="0" applyBorder="1" applyAlignment="1">
      <alignment horizontal="left"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left" vertical="center"/>
    </xf>
    <xf numFmtId="0" fontId="0" fillId="0" borderId="15" xfId="0" applyBorder="1" applyAlignment="1">
      <alignment horizontal="center" vertical="center"/>
    </xf>
    <xf numFmtId="182" fontId="0" fillId="0" borderId="14" xfId="0" applyNumberFormat="1" applyBorder="1" applyAlignment="1">
      <alignment horizontal="left" vertical="center"/>
    </xf>
    <xf numFmtId="0" fontId="0" fillId="0" borderId="16" xfId="0" applyBorder="1" applyAlignment="1">
      <alignment horizontal="left"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1" xfId="0" applyBorder="1" applyAlignment="1">
      <alignment horizontal="center" vertical="center"/>
    </xf>
    <xf numFmtId="0" fontId="0" fillId="0" borderId="14" xfId="0" applyBorder="1" applyAlignment="1">
      <alignment horizontal="center" vertical="center"/>
    </xf>
    <xf numFmtId="0" fontId="0" fillId="0" borderId="16" xfId="0" applyBorder="1" applyAlignment="1">
      <alignment horizontal="center" vertical="center"/>
    </xf>
    <xf numFmtId="0" fontId="0" fillId="61" borderId="0" xfId="0" applyFill="1" applyAlignment="1">
      <alignment horizontal="center" vertical="center"/>
    </xf>
    <xf numFmtId="182" fontId="0" fillId="61" borderId="0" xfId="0" applyNumberFormat="1" applyFill="1" applyAlignment="1">
      <alignment horizontal="center" vertical="center"/>
    </xf>
    <xf numFmtId="0" fontId="0" fillId="0" borderId="0" xfId="0" applyAlignment="1">
      <alignment horizontal="center" vertical="center"/>
    </xf>
    <xf numFmtId="176" fontId="2" fillId="2" borderId="1" xfId="0" applyNumberFormat="1" applyFont="1" applyFill="1" applyBorder="1" applyAlignment="1">
      <alignment horizontal="center" vertical="center" wrapText="1"/>
    </xf>
    <xf numFmtId="177" fontId="8" fillId="0" borderId="0" xfId="0" applyNumberFormat="1" applyFont="1" applyAlignment="1">
      <alignment horizontal="left" vertical="center" wrapText="1"/>
    </xf>
    <xf numFmtId="0" fontId="8" fillId="0" borderId="0" xfId="0" applyFont="1" applyAlignment="1">
      <alignment horizontal="left" vertical="center" wrapText="1"/>
    </xf>
    <xf numFmtId="0" fontId="0" fillId="0" borderId="0" xfId="0" applyAlignment="1">
      <alignment horizontal="left" vertical="center"/>
    </xf>
    <xf numFmtId="0" fontId="0" fillId="3" borderId="2" xfId="0" applyFill="1" applyBorder="1" applyAlignment="1">
      <alignment vertical="center" wrapText="1"/>
    </xf>
    <xf numFmtId="0" fontId="0" fillId="3" borderId="3" xfId="0" applyFill="1" applyBorder="1" applyAlignment="1">
      <alignment vertical="center" wrapText="1"/>
    </xf>
    <xf numFmtId="0" fontId="0" fillId="3" borderId="4" xfId="0" applyFill="1" applyBorder="1" applyAlignment="1">
      <alignment vertical="center" wrapText="1"/>
    </xf>
    <xf numFmtId="0" fontId="0" fillId="3" borderId="5" xfId="0" applyFill="1" applyBorder="1" applyAlignment="1">
      <alignment vertical="center" wrapText="1"/>
    </xf>
    <xf numFmtId="0" fontId="0" fillId="3" borderId="0" xfId="0" applyFill="1" applyAlignment="1">
      <alignment vertical="center" wrapText="1"/>
    </xf>
    <xf numFmtId="0" fontId="0" fillId="3" borderId="6" xfId="0" applyFill="1" applyBorder="1" applyAlignment="1">
      <alignment vertical="center" wrapText="1"/>
    </xf>
    <xf numFmtId="0" fontId="0" fillId="3" borderId="7" xfId="0" applyFill="1" applyBorder="1" applyAlignment="1">
      <alignment vertical="center" wrapText="1"/>
    </xf>
    <xf numFmtId="0" fontId="0" fillId="3" borderId="8" xfId="0" applyFill="1" applyBorder="1" applyAlignment="1">
      <alignment vertical="center" wrapText="1"/>
    </xf>
    <xf numFmtId="0" fontId="0" fillId="3" borderId="9" xfId="0" applyFill="1" applyBorder="1" applyAlignment="1">
      <alignment vertical="center" wrapText="1"/>
    </xf>
    <xf numFmtId="0" fontId="0" fillId="2" borderId="0" xfId="0" applyFill="1" applyAlignment="1">
      <alignment horizontal="center" vertical="center"/>
    </xf>
    <xf numFmtId="0" fontId="0" fillId="2" borderId="1" xfId="0" applyFill="1" applyBorder="1" applyAlignment="1">
      <alignment horizontal="center" vertical="center" wrapText="1"/>
    </xf>
    <xf numFmtId="0" fontId="0" fillId="0" borderId="1" xfId="0" applyBorder="1">
      <alignment vertical="center"/>
    </xf>
    <xf numFmtId="0" fontId="0" fillId="2" borderId="1" xfId="0" applyFill="1" applyBorder="1" applyAlignment="1">
      <alignment horizontal="center" vertical="center"/>
    </xf>
    <xf numFmtId="177" fontId="3" fillId="2" borderId="0" xfId="0" applyNumberFormat="1" applyFont="1" applyFill="1" applyAlignment="1">
      <alignment horizontal="center" vertical="center" wrapText="1"/>
    </xf>
    <xf numFmtId="0" fontId="3" fillId="2" borderId="0" xfId="0" applyFont="1" applyFill="1" applyAlignment="1">
      <alignment horizontal="center" vertical="center"/>
    </xf>
    <xf numFmtId="0" fontId="10" fillId="0" borderId="5" xfId="0" applyFont="1" applyBorder="1" applyAlignment="1">
      <alignment horizontal="left" vertical="center"/>
    </xf>
    <xf numFmtId="0" fontId="0" fillId="0" borderId="6" xfId="0" applyBorder="1">
      <alignment vertical="center"/>
    </xf>
    <xf numFmtId="0" fontId="10" fillId="0" borderId="7" xfId="0" applyFont="1" applyBorder="1" applyAlignment="1">
      <alignment horizontal="left" vertical="center"/>
    </xf>
    <xf numFmtId="0" fontId="0" fillId="0" borderId="9" xfId="0" applyBorder="1" applyAlignment="1">
      <alignment horizontal="left" vertical="center"/>
    </xf>
    <xf numFmtId="0" fontId="0" fillId="0" borderId="1" xfId="0" applyBorder="1" applyAlignment="1">
      <alignment horizontal="center" vertical="center"/>
    </xf>
    <xf numFmtId="0" fontId="0" fillId="2" borderId="1" xfId="0" applyFill="1" applyBorder="1" applyAlignment="1">
      <alignment horizontal="left" vertical="center"/>
    </xf>
    <xf numFmtId="177" fontId="13" fillId="0" borderId="0" xfId="0" applyNumberFormat="1" applyFont="1" applyAlignment="1">
      <alignment horizontal="left" vertical="center" wrapText="1"/>
    </xf>
    <xf numFmtId="0" fontId="7" fillId="2" borderId="1" xfId="0" applyFont="1" applyFill="1" applyBorder="1" applyAlignment="1">
      <alignment horizontal="center" vertical="center"/>
    </xf>
    <xf numFmtId="177" fontId="0" fillId="60" borderId="1" xfId="0" applyNumberFormat="1" applyFill="1" applyBorder="1" applyAlignment="1">
      <alignment vertical="center" wrapText="1"/>
    </xf>
    <xf numFmtId="0" fontId="0" fillId="60" borderId="1" xfId="0" applyFill="1" applyBorder="1">
      <alignment vertical="center"/>
    </xf>
    <xf numFmtId="0" fontId="10" fillId="0" borderId="2" xfId="0" applyFont="1" applyBorder="1" applyAlignment="1">
      <alignment horizontal="left" vertical="center"/>
    </xf>
    <xf numFmtId="0" fontId="0" fillId="0" borderId="4" xfId="0" applyBorder="1">
      <alignment vertical="center"/>
    </xf>
    <xf numFmtId="0" fontId="0" fillId="4" borderId="1" xfId="0" applyFill="1" applyBorder="1" applyAlignment="1">
      <alignment horizontal="center" vertical="center"/>
    </xf>
    <xf numFmtId="0" fontId="0" fillId="59" borderId="2" xfId="0" applyFill="1" applyBorder="1" applyAlignment="1">
      <alignment vertical="center" wrapText="1"/>
    </xf>
    <xf numFmtId="0" fontId="0" fillId="59" borderId="3" xfId="0" applyFill="1" applyBorder="1" applyAlignment="1">
      <alignment vertical="center" wrapText="1"/>
    </xf>
    <xf numFmtId="0" fontId="0" fillId="59" borderId="4" xfId="0" applyFill="1" applyBorder="1" applyAlignment="1">
      <alignment vertical="center" wrapText="1"/>
    </xf>
    <xf numFmtId="0" fontId="0" fillId="59" borderId="5" xfId="0" applyFill="1" applyBorder="1" applyAlignment="1">
      <alignment vertical="center" wrapText="1"/>
    </xf>
    <xf numFmtId="0" fontId="0" fillId="59" borderId="0" xfId="0" applyFill="1" applyAlignment="1">
      <alignment vertical="center" wrapText="1"/>
    </xf>
    <xf numFmtId="0" fontId="0" fillId="59" borderId="6" xfId="0" applyFill="1" applyBorder="1" applyAlignment="1">
      <alignment vertical="center" wrapText="1"/>
    </xf>
    <xf numFmtId="0" fontId="0" fillId="59" borderId="7" xfId="0" applyFill="1" applyBorder="1" applyAlignment="1">
      <alignment vertical="center" wrapText="1"/>
    </xf>
    <xf numFmtId="0" fontId="0" fillId="59" borderId="8" xfId="0" applyFill="1" applyBorder="1" applyAlignment="1">
      <alignment vertical="center" wrapText="1"/>
    </xf>
    <xf numFmtId="0" fontId="0" fillId="59" borderId="9" xfId="0" applyFill="1" applyBorder="1" applyAlignment="1">
      <alignment vertical="center" wrapText="1"/>
    </xf>
    <xf numFmtId="0" fontId="0" fillId="0" borderId="1" xfId="0" applyBorder="1" applyAlignment="1">
      <alignment horizontal="left" vertical="center" wrapText="1"/>
    </xf>
    <xf numFmtId="0" fontId="0" fillId="0" borderId="2" xfId="0" applyBorder="1" applyAlignment="1">
      <alignment horizontal="left" vertical="center" wrapText="1"/>
    </xf>
    <xf numFmtId="0" fontId="0" fillId="0" borderId="4" xfId="0" applyBorder="1" applyAlignment="1">
      <alignment horizontal="left" vertical="center" wrapText="1"/>
    </xf>
    <xf numFmtId="0" fontId="0" fillId="0" borderId="5"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left" vertical="center" wrapText="1"/>
    </xf>
    <xf numFmtId="0" fontId="0" fillId="0" borderId="9" xfId="0" applyBorder="1" applyAlignment="1">
      <alignment horizontal="left" vertical="center" wrapText="1"/>
    </xf>
  </cellXfs>
  <cellStyles count="1">
    <cellStyle name="一般"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5F2-4533-A14F-4A4F39C2C863}"/>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ltLang="zh-TW"/>
              <a:t>gamma</a:t>
            </a:r>
            <a:endParaRPr lang="zh-TW" altLang="en-US"/>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zh-TW"/>
        </a:p>
      </c:txPr>
    </c:title>
    <c:autoTitleDeleted val="0"/>
    <c:plotArea>
      <c:layout/>
      <c:scatterChart>
        <c:scatterStyle val="lineMarker"/>
        <c:varyColors val="0"/>
        <c:ser>
          <c:idx val="1"/>
          <c:order val="0"/>
          <c:tx>
            <c:v>before</c:v>
          </c:tx>
          <c:spPr>
            <a:ln w="25400" cap="flat" cmpd="sng" algn="ctr">
              <a:noFill/>
              <a:prstDash val="sysDot"/>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xVal>
            <c:numRef>
              <c:f>stepChart!$N$35:$N$298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stepChart!$O$35:$O$298</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3659-4C2B-B37E-98502F6072B9}"/>
            </c:ext>
          </c:extLst>
        </c:ser>
        <c:ser>
          <c:idx val="0"/>
          <c:order val="1"/>
          <c:tx>
            <c:v>after</c:v>
          </c:tx>
          <c:spPr>
            <a:ln w="25400" cap="flat" cmpd="sng" algn="ctr">
              <a:noFill/>
              <a:prstDash val="sysDot"/>
              <a:round/>
            </a:ln>
            <a:effectLst/>
          </c:spPr>
          <c:marker>
            <c:symbol val="circle"/>
            <c:size val="3"/>
            <c:spPr>
              <a:solidFill>
                <a:srgbClr val="002060"/>
              </a:solidFill>
              <a:ln w="9525" cap="flat" cmpd="sng" algn="ctr">
                <a:noFill/>
                <a:round/>
              </a:ln>
              <a:effectLst/>
            </c:spPr>
          </c:marker>
          <c:xVal>
            <c:numRef>
              <c:f>stepChart!$R$35:$R$298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stepChart!$S$35:$S$298</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1-3659-4C2B-B37E-98502F6072B9}"/>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'(gamma)_2'!$I$4:$I$260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'(gamma)_2'!$J$4:$J$260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725-4915-8318-3A31EE474115}"/>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3" name="圖表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628650</xdr:colOff>
          <xdr:row>32</xdr:row>
          <xdr:rowOff>0</xdr:rowOff>
        </xdr:from>
        <xdr:to>
          <xdr:col>20</xdr:col>
          <xdr:colOff>209550</xdr:colOff>
          <xdr:row>33</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xdr:twoCellAnchor>
    <xdr:from>
      <xdr:col>17</xdr:col>
      <xdr:colOff>0</xdr:colOff>
      <xdr:row>6</xdr:row>
      <xdr:rowOff>0</xdr:rowOff>
    </xdr:from>
    <xdr:to>
      <xdr:col>23</xdr:col>
      <xdr:colOff>3048</xdr:colOff>
      <xdr:row>31</xdr:row>
      <xdr:rowOff>0</xdr:rowOff>
    </xdr:to>
    <xdr:graphicFrame macro="">
      <xdr:nvGraphicFramePr>
        <xdr:cNvPr id="3" name="圖表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478398</xdr:colOff>
      <xdr:row>32</xdr:row>
      <xdr:rowOff>49906</xdr:rowOff>
    </xdr:from>
    <xdr:to>
      <xdr:col>22</xdr:col>
      <xdr:colOff>173598</xdr:colOff>
      <xdr:row>33</xdr:row>
      <xdr:rowOff>67660</xdr:rowOff>
    </xdr:to>
    <xdr:sp macro="" textlink="">
      <xdr:nvSpPr>
        <xdr:cNvPr id="4" name="手繪多邊形: 圖案 3">
          <a:extLst>
            <a:ext uri="{FF2B5EF4-FFF2-40B4-BE49-F238E27FC236}">
              <a16:creationId xmlns:a16="http://schemas.microsoft.com/office/drawing/2014/main" id="{00000000-0008-0000-0200-000004000000}"/>
            </a:ext>
          </a:extLst>
        </xdr:cNvPr>
        <xdr:cNvSpPr/>
      </xdr:nvSpPr>
      <xdr:spPr>
        <a:xfrm>
          <a:off x="12081580" y="7219633"/>
          <a:ext cx="1219200" cy="242891"/>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18</xdr:col>
      <xdr:colOff>706090</xdr:colOff>
      <xdr:row>35</xdr:row>
      <xdr:rowOff>223788</xdr:rowOff>
    </xdr:from>
    <xdr:to>
      <xdr:col>22</xdr:col>
      <xdr:colOff>152733</xdr:colOff>
      <xdr:row>38</xdr:row>
      <xdr:rowOff>145274</xdr:rowOff>
    </xdr:to>
    <xdr:sp macro="" textlink="">
      <xdr:nvSpPr>
        <xdr:cNvPr id="5" name="手繪多邊形: 圖案 4">
          <a:extLst>
            <a:ext uri="{FF2B5EF4-FFF2-40B4-BE49-F238E27FC236}">
              <a16:creationId xmlns:a16="http://schemas.microsoft.com/office/drawing/2014/main" id="{00000000-0008-0000-0200-000005000000}"/>
            </a:ext>
          </a:extLst>
        </xdr:cNvPr>
        <xdr:cNvSpPr/>
      </xdr:nvSpPr>
      <xdr:spPr>
        <a:xfrm rot="1081584">
          <a:off x="10785272" y="8068924"/>
          <a:ext cx="2494643" cy="596895"/>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22</xdr:col>
      <xdr:colOff>723090</xdr:colOff>
      <xdr:row>15</xdr:row>
      <xdr:rowOff>10068</xdr:rowOff>
    </xdr:from>
    <xdr:to>
      <xdr:col>26</xdr:col>
      <xdr:colOff>543228</xdr:colOff>
      <xdr:row>40</xdr:row>
      <xdr:rowOff>17318</xdr:rowOff>
    </xdr:to>
    <xdr:sp macro="" textlink="">
      <xdr:nvSpPr>
        <xdr:cNvPr id="6" name="手繪多邊形: 圖案 5">
          <a:extLst>
            <a:ext uri="{FF2B5EF4-FFF2-40B4-BE49-F238E27FC236}">
              <a16:creationId xmlns:a16="http://schemas.microsoft.com/office/drawing/2014/main" id="{00000000-0008-0000-0200-000006000000}"/>
            </a:ext>
          </a:extLst>
        </xdr:cNvPr>
        <xdr:cNvSpPr/>
      </xdr:nvSpPr>
      <xdr:spPr>
        <a:xfrm>
          <a:off x="13850272" y="3352477"/>
          <a:ext cx="2868138" cy="5635659"/>
        </a:xfrm>
        <a:custGeom>
          <a:avLst/>
          <a:gdLst>
            <a:gd name="connsiteX0" fmla="*/ 734786 w 3056524"/>
            <a:gd name="connsiteY0" fmla="*/ 5987143 h 5987143"/>
            <a:gd name="connsiteX1" fmla="*/ 3048000 w 3056524"/>
            <a:gd name="connsiteY1" fmla="*/ 2857500 h 5987143"/>
            <a:gd name="connsiteX2" fmla="*/ 0 w 3056524"/>
            <a:gd name="connsiteY2" fmla="*/ 0 h 5987143"/>
          </a:gdLst>
          <a:ahLst/>
          <a:cxnLst>
            <a:cxn ang="0">
              <a:pos x="connsiteX0" y="connsiteY0"/>
            </a:cxn>
            <a:cxn ang="0">
              <a:pos x="connsiteX1" y="connsiteY1"/>
            </a:cxn>
            <a:cxn ang="0">
              <a:pos x="connsiteX2" y="connsiteY2"/>
            </a:cxn>
          </a:cxnLst>
          <a:rect l="l" t="t" r="r" b="b"/>
          <a:pathLst>
            <a:path w="3056524" h="5987143">
              <a:moveTo>
                <a:pt x="734786" y="5987143"/>
              </a:moveTo>
              <a:cubicBezTo>
                <a:pt x="1952625" y="4921250"/>
                <a:pt x="3170464" y="3855357"/>
                <a:pt x="3048000" y="2857500"/>
              </a:cubicBezTo>
              <a:cubicBezTo>
                <a:pt x="2925536" y="1859643"/>
                <a:pt x="1462768" y="929821"/>
                <a:pt x="0" y="0"/>
              </a:cubicBez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2" name="圖表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123B0-A8AE-4BC5-B3D9-70DC2156B623}">
  <sheetPr codeName="工作表2"/>
  <dimension ref="A1:N40"/>
  <sheetViews>
    <sheetView zoomScaleNormal="100" workbookViewId="0">
      <selection activeCell="S21" sqref="S21"/>
    </sheetView>
  </sheetViews>
  <sheetFormatPr defaultRowHeight="16.5" x14ac:dyDescent="0.25"/>
  <cols>
    <col min="1" max="1" width="3.75" customWidth="1"/>
    <col min="2" max="4" width="9" customWidth="1"/>
    <col min="5" max="6" width="9" style="1" customWidth="1"/>
    <col min="7" max="7" width="3.75" style="1" customWidth="1"/>
    <col min="8" max="10" width="9" style="1"/>
    <col min="11" max="11" width="3.75" customWidth="1"/>
    <col min="14" max="14" width="9" style="1"/>
    <col min="15" max="15" width="3.75" customWidth="1"/>
  </cols>
  <sheetData>
    <row r="1" spans="1:14" x14ac:dyDescent="0.25">
      <c r="A1" s="1"/>
      <c r="B1" s="1"/>
      <c r="C1" s="1"/>
      <c r="D1" s="1"/>
    </row>
    <row r="2" spans="1:14" ht="16.5" customHeight="1" x14ac:dyDescent="0.25">
      <c r="A2" s="1"/>
      <c r="B2" s="100" t="s">
        <v>24</v>
      </c>
      <c r="C2" s="100"/>
      <c r="D2" s="100"/>
      <c r="E2" s="100"/>
      <c r="F2" s="100"/>
      <c r="G2" s="100"/>
      <c r="H2" s="100"/>
      <c r="I2" s="100"/>
      <c r="J2" s="100"/>
      <c r="K2" s="100"/>
      <c r="L2" s="100"/>
      <c r="M2" s="100"/>
      <c r="N2" s="100"/>
    </row>
    <row r="3" spans="1:14" ht="16.5" customHeight="1" x14ac:dyDescent="0.25">
      <c r="A3" s="1"/>
      <c r="B3" s="100"/>
      <c r="C3" s="100"/>
      <c r="D3" s="100"/>
      <c r="E3" s="100"/>
      <c r="F3" s="100"/>
      <c r="G3" s="100"/>
      <c r="H3" s="100"/>
      <c r="I3" s="100"/>
      <c r="J3" s="100"/>
      <c r="K3" s="100"/>
      <c r="L3" s="100"/>
      <c r="M3" s="100"/>
      <c r="N3" s="100"/>
    </row>
    <row r="4" spans="1:14" ht="16.5" customHeight="1" x14ac:dyDescent="0.25">
      <c r="A4" s="1"/>
      <c r="B4" s="100"/>
      <c r="C4" s="100"/>
      <c r="D4" s="100"/>
      <c r="E4" s="100"/>
      <c r="F4" s="100"/>
      <c r="G4" s="100"/>
      <c r="H4" s="100"/>
      <c r="I4" s="100"/>
      <c r="J4" s="100"/>
      <c r="K4" s="100"/>
      <c r="L4" s="100"/>
      <c r="M4" s="100"/>
      <c r="N4" s="100"/>
    </row>
    <row r="5" spans="1:14" ht="16.5" customHeight="1" x14ac:dyDescent="0.25">
      <c r="A5" s="1"/>
      <c r="B5" s="100"/>
      <c r="C5" s="100"/>
      <c r="D5" s="100"/>
      <c r="E5" s="100"/>
      <c r="F5" s="100"/>
      <c r="G5" s="100"/>
      <c r="H5" s="100"/>
      <c r="I5" s="100"/>
      <c r="J5" s="100"/>
      <c r="K5" s="100"/>
      <c r="L5" s="100"/>
      <c r="M5" s="100"/>
      <c r="N5" s="100"/>
    </row>
    <row r="6" spans="1:14" ht="16.5" customHeight="1" x14ac:dyDescent="0.25">
      <c r="A6" s="1"/>
      <c r="B6" s="100"/>
      <c r="C6" s="100"/>
      <c r="D6" s="100"/>
      <c r="E6" s="100"/>
      <c r="F6" s="100"/>
      <c r="G6" s="100"/>
      <c r="H6" s="100"/>
      <c r="I6" s="100"/>
      <c r="J6" s="100"/>
      <c r="K6" s="100"/>
      <c r="L6" s="100"/>
      <c r="M6" s="100"/>
      <c r="N6" s="100"/>
    </row>
    <row r="7" spans="1:14" x14ac:dyDescent="0.25">
      <c r="A7" s="1"/>
      <c r="E7"/>
      <c r="F7"/>
      <c r="G7"/>
      <c r="H7"/>
      <c r="I7"/>
      <c r="K7" s="1"/>
    </row>
    <row r="8" spans="1:14" ht="16.5" customHeight="1" x14ac:dyDescent="0.25">
      <c r="A8" s="1"/>
      <c r="B8" s="101" t="s">
        <v>25</v>
      </c>
      <c r="C8" s="101"/>
      <c r="D8" s="101"/>
      <c r="E8" s="101"/>
      <c r="F8" s="101"/>
      <c r="G8" s="101"/>
      <c r="H8" s="101"/>
      <c r="I8" s="101"/>
      <c r="J8" s="101"/>
      <c r="K8" s="101"/>
      <c r="L8" s="101"/>
      <c r="M8" s="101"/>
      <c r="N8" s="101"/>
    </row>
    <row r="9" spans="1:14" ht="16.5" customHeight="1" x14ac:dyDescent="0.25">
      <c r="A9" s="1"/>
      <c r="B9" s="101"/>
      <c r="C9" s="101"/>
      <c r="D9" s="101"/>
      <c r="E9" s="101"/>
      <c r="F9" s="101"/>
      <c r="G9" s="101"/>
      <c r="H9" s="101"/>
      <c r="I9" s="101"/>
      <c r="J9" s="101"/>
      <c r="K9" s="101"/>
      <c r="L9" s="101"/>
      <c r="M9" s="101"/>
      <c r="N9" s="101"/>
    </row>
    <row r="10" spans="1:14" ht="18.75" customHeight="1" x14ac:dyDescent="0.25">
      <c r="A10" s="1"/>
      <c r="B10" s="101"/>
      <c r="C10" s="101"/>
      <c r="D10" s="101"/>
      <c r="E10" s="101"/>
      <c r="F10" s="101"/>
      <c r="G10" s="101"/>
      <c r="H10" s="101"/>
      <c r="I10" s="101"/>
      <c r="J10" s="101"/>
      <c r="K10" s="101"/>
      <c r="L10" s="101"/>
      <c r="M10" s="101"/>
      <c r="N10" s="101"/>
    </row>
    <row r="11" spans="1:14" ht="18.75" customHeight="1" x14ac:dyDescent="0.25">
      <c r="A11" s="1"/>
      <c r="B11" s="17"/>
      <c r="C11" s="17"/>
      <c r="D11" s="4"/>
      <c r="E11" s="4"/>
      <c r="F11" s="4"/>
      <c r="G11" s="4"/>
      <c r="H11" s="4"/>
      <c r="I11" s="4"/>
      <c r="J11" s="4"/>
      <c r="K11" s="4"/>
      <c r="L11" s="4"/>
      <c r="M11" s="4"/>
      <c r="N11" s="4"/>
    </row>
    <row r="12" spans="1:14" x14ac:dyDescent="0.25">
      <c r="H12" s="99" t="s">
        <v>3</v>
      </c>
      <c r="I12" s="99"/>
      <c r="J12" s="99"/>
      <c r="K12" s="1"/>
      <c r="L12" s="99" t="s">
        <v>19</v>
      </c>
      <c r="M12" s="99"/>
      <c r="N12" s="99"/>
    </row>
    <row r="13" spans="1:14" x14ac:dyDescent="0.25">
      <c r="B13" s="18" t="s">
        <v>22</v>
      </c>
      <c r="C13" s="18" t="s">
        <v>21</v>
      </c>
      <c r="D13" s="13" t="s">
        <v>20</v>
      </c>
      <c r="E13" s="13" t="s">
        <v>2</v>
      </c>
      <c r="F13" s="1" t="s">
        <v>16</v>
      </c>
      <c r="G13"/>
      <c r="H13" s="14" t="s">
        <v>4</v>
      </c>
      <c r="I13" s="13" t="s">
        <v>5</v>
      </c>
      <c r="J13" s="1" t="s">
        <v>18</v>
      </c>
      <c r="K13" s="1"/>
      <c r="L13" s="15" t="s">
        <v>4</v>
      </c>
      <c r="M13" s="1" t="s">
        <v>5</v>
      </c>
      <c r="N13" s="1" t="s">
        <v>18</v>
      </c>
    </row>
    <row r="14" spans="1:14" x14ac:dyDescent="0.25">
      <c r="B14" s="99"/>
      <c r="C14" s="99"/>
      <c r="D14" s="1"/>
      <c r="F14" s="1">
        <f>D14-E14</f>
        <v>0</v>
      </c>
      <c r="G14"/>
      <c r="H14" s="99"/>
      <c r="J14" s="1">
        <f>'(gamma)'!F16</f>
        <v>0</v>
      </c>
      <c r="K14" s="1"/>
      <c r="L14" s="64" t="e">
        <f>H14*N14/J14</f>
        <v>#DIV/0!</v>
      </c>
      <c r="M14" s="1">
        <f>E14</f>
        <v>0</v>
      </c>
      <c r="N14" s="1">
        <f>'(gamma)'!D16</f>
        <v>0</v>
      </c>
    </row>
    <row r="15" spans="1:14" x14ac:dyDescent="0.25">
      <c r="B15" s="99"/>
      <c r="C15" s="99"/>
      <c r="D15" s="1"/>
      <c r="F15" s="1">
        <f>D15-E15</f>
        <v>0</v>
      </c>
      <c r="G15"/>
      <c r="H15" s="99"/>
      <c r="J15" s="1">
        <f>'(gamma)'!F17</f>
        <v>0</v>
      </c>
      <c r="K15" s="1"/>
      <c r="L15" s="64" t="e">
        <f>H14*N15/J15</f>
        <v>#DIV/0!</v>
      </c>
      <c r="M15" s="1">
        <f>E15</f>
        <v>0</v>
      </c>
      <c r="N15" s="1">
        <f>'(gamma)'!D17</f>
        <v>0</v>
      </c>
    </row>
    <row r="16" spans="1:14" x14ac:dyDescent="0.25">
      <c r="B16" s="1"/>
      <c r="C16" s="1"/>
      <c r="D16" s="1"/>
      <c r="G16"/>
      <c r="H16"/>
      <c r="I16"/>
      <c r="J16"/>
      <c r="N16"/>
    </row>
    <row r="17" spans="2:14" x14ac:dyDescent="0.25">
      <c r="H17" s="99" t="s">
        <v>3</v>
      </c>
      <c r="I17" s="99"/>
      <c r="J17" s="99"/>
      <c r="K17" s="1"/>
      <c r="L17" s="99" t="s">
        <v>19</v>
      </c>
      <c r="M17" s="99"/>
      <c r="N17" s="99"/>
    </row>
    <row r="18" spans="2:14" x14ac:dyDescent="0.25">
      <c r="B18" s="18" t="s">
        <v>22</v>
      </c>
      <c r="C18" s="18" t="s">
        <v>21</v>
      </c>
      <c r="D18" s="13" t="s">
        <v>20</v>
      </c>
      <c r="E18" s="13" t="s">
        <v>2</v>
      </c>
      <c r="F18" s="1" t="s">
        <v>16</v>
      </c>
      <c r="G18"/>
      <c r="H18" s="14" t="s">
        <v>4</v>
      </c>
      <c r="I18" s="13" t="s">
        <v>5</v>
      </c>
      <c r="J18" s="1" t="s">
        <v>18</v>
      </c>
      <c r="K18" s="1"/>
      <c r="L18" s="15" t="s">
        <v>4</v>
      </c>
      <c r="M18" s="1" t="s">
        <v>5</v>
      </c>
      <c r="N18" s="1" t="s">
        <v>18</v>
      </c>
    </row>
    <row r="19" spans="2:14" x14ac:dyDescent="0.25">
      <c r="B19" s="99"/>
      <c r="C19" s="99"/>
      <c r="D19" s="1"/>
      <c r="F19" s="1">
        <f>D19-E19</f>
        <v>0</v>
      </c>
      <c r="G19"/>
      <c r="H19" s="99"/>
      <c r="J19" s="1">
        <f>'(gamma)'!F18</f>
        <v>0</v>
      </c>
      <c r="K19" s="1"/>
      <c r="L19" s="64" t="e">
        <f>H19*N19/J19</f>
        <v>#DIV/0!</v>
      </c>
      <c r="M19" s="1">
        <f>E19</f>
        <v>0</v>
      </c>
      <c r="N19" s="1">
        <f>'(gamma)'!D18</f>
        <v>0</v>
      </c>
    </row>
    <row r="20" spans="2:14" x14ac:dyDescent="0.25">
      <c r="B20" s="99"/>
      <c r="C20" s="99"/>
      <c r="D20" s="1"/>
      <c r="F20" s="1">
        <f>D20-E20</f>
        <v>0</v>
      </c>
      <c r="G20"/>
      <c r="H20" s="99"/>
      <c r="J20" s="1">
        <f>'(gamma)'!F19</f>
        <v>0</v>
      </c>
      <c r="K20" s="1"/>
      <c r="L20" s="64" t="e">
        <f>H19*N20/J20</f>
        <v>#DIV/0!</v>
      </c>
      <c r="M20" s="1">
        <f>E20</f>
        <v>0</v>
      </c>
      <c r="N20" s="1">
        <f>'(gamma)'!D19</f>
        <v>0</v>
      </c>
    </row>
    <row r="21" spans="2:14" x14ac:dyDescent="0.25">
      <c r="B21" s="1"/>
      <c r="C21" s="1"/>
      <c r="D21" s="1"/>
      <c r="G21"/>
      <c r="H21"/>
      <c r="I21"/>
      <c r="J21"/>
      <c r="N21"/>
    </row>
    <row r="22" spans="2:14" x14ac:dyDescent="0.25">
      <c r="C22" s="19"/>
      <c r="E22"/>
      <c r="H22" s="99" t="s">
        <v>3</v>
      </c>
      <c r="I22" s="99"/>
      <c r="J22" s="99"/>
      <c r="K22" s="1"/>
      <c r="L22" s="99" t="s">
        <v>19</v>
      </c>
      <c r="M22" s="99"/>
      <c r="N22" s="99"/>
    </row>
    <row r="23" spans="2:14" x14ac:dyDescent="0.25">
      <c r="B23" s="18" t="s">
        <v>22</v>
      </c>
      <c r="C23" s="18" t="s">
        <v>1</v>
      </c>
      <c r="D23" s="13" t="s">
        <v>20</v>
      </c>
      <c r="E23" s="13" t="s">
        <v>2</v>
      </c>
      <c r="F23" s="1" t="s">
        <v>16</v>
      </c>
      <c r="G23"/>
      <c r="H23" s="14" t="s">
        <v>4</v>
      </c>
      <c r="I23" s="13" t="s">
        <v>5</v>
      </c>
      <c r="J23" s="1" t="s">
        <v>18</v>
      </c>
      <c r="K23" s="1"/>
      <c r="L23" s="15" t="s">
        <v>4</v>
      </c>
      <c r="M23" s="1" t="s">
        <v>5</v>
      </c>
      <c r="N23" s="1" t="s">
        <v>18</v>
      </c>
    </row>
    <row r="24" spans="2:14" x14ac:dyDescent="0.25">
      <c r="B24" s="99"/>
      <c r="C24" s="99"/>
      <c r="D24" s="1"/>
      <c r="F24" s="1">
        <f>D24-E24</f>
        <v>0</v>
      </c>
      <c r="G24"/>
      <c r="H24" s="99"/>
      <c r="J24" s="1">
        <f>'(gamma)'!F20</f>
        <v>0</v>
      </c>
      <c r="K24" s="1"/>
      <c r="L24" s="64" t="e">
        <f>H24*N24/J24</f>
        <v>#DIV/0!</v>
      </c>
      <c r="M24" s="1">
        <f>E24</f>
        <v>0</v>
      </c>
      <c r="N24" s="1">
        <f>'(gamma)'!D20</f>
        <v>0</v>
      </c>
    </row>
    <row r="25" spans="2:14" x14ac:dyDescent="0.25">
      <c r="B25" s="99"/>
      <c r="C25" s="99"/>
      <c r="D25" s="1"/>
      <c r="F25" s="1">
        <f>D25-E25</f>
        <v>0</v>
      </c>
      <c r="G25"/>
      <c r="H25" s="99"/>
      <c r="J25" s="1">
        <f>'(gamma)'!F21</f>
        <v>0</v>
      </c>
      <c r="K25" s="1"/>
      <c r="L25" s="64" t="e">
        <f>H24*N25/J25</f>
        <v>#DIV/0!</v>
      </c>
      <c r="M25" s="1">
        <f>E25</f>
        <v>0</v>
      </c>
      <c r="N25" s="1">
        <f>'(gamma)'!D21</f>
        <v>0</v>
      </c>
    </row>
    <row r="27" spans="2:14" x14ac:dyDescent="0.25">
      <c r="C27" s="19"/>
      <c r="E27"/>
      <c r="H27" s="99" t="s">
        <v>3</v>
      </c>
      <c r="I27" s="99"/>
      <c r="J27" s="99"/>
      <c r="K27" s="1"/>
      <c r="L27" s="99" t="s">
        <v>19</v>
      </c>
      <c r="M27" s="99"/>
      <c r="N27" s="99"/>
    </row>
    <row r="28" spans="2:14" x14ac:dyDescent="0.25">
      <c r="B28" s="18" t="s">
        <v>22</v>
      </c>
      <c r="C28" s="18" t="s">
        <v>21</v>
      </c>
      <c r="D28" s="13" t="s">
        <v>20</v>
      </c>
      <c r="E28" s="13" t="s">
        <v>2</v>
      </c>
      <c r="F28" s="1" t="s">
        <v>16</v>
      </c>
      <c r="G28"/>
      <c r="H28" s="14" t="s">
        <v>4</v>
      </c>
      <c r="I28" s="13" t="s">
        <v>5</v>
      </c>
      <c r="J28" s="1" t="s">
        <v>18</v>
      </c>
      <c r="K28" s="1"/>
      <c r="L28" s="15" t="s">
        <v>4</v>
      </c>
      <c r="M28" s="1" t="s">
        <v>5</v>
      </c>
      <c r="N28" s="1" t="s">
        <v>18</v>
      </c>
    </row>
    <row r="29" spans="2:14" x14ac:dyDescent="0.25">
      <c r="B29" s="99"/>
      <c r="C29" s="99"/>
      <c r="D29" s="1"/>
      <c r="F29" s="1">
        <f>D29-E29</f>
        <v>0</v>
      </c>
      <c r="G29"/>
      <c r="H29" s="99"/>
      <c r="J29" s="1">
        <f>'(gamma)'!F22</f>
        <v>0</v>
      </c>
      <c r="K29" s="1"/>
      <c r="L29" s="64" t="e">
        <f>H29*N29/J29</f>
        <v>#DIV/0!</v>
      </c>
      <c r="M29" s="1">
        <f>E29</f>
        <v>0</v>
      </c>
      <c r="N29" s="1">
        <f>'(gamma)'!D22</f>
        <v>0</v>
      </c>
    </row>
    <row r="30" spans="2:14" x14ac:dyDescent="0.25">
      <c r="B30" s="99"/>
      <c r="C30" s="99"/>
      <c r="D30" s="1"/>
      <c r="F30" s="1">
        <f>D30-E30</f>
        <v>0</v>
      </c>
      <c r="G30"/>
      <c r="H30" s="99"/>
      <c r="J30" s="1">
        <f>'(gamma)'!F23</f>
        <v>0</v>
      </c>
      <c r="K30" s="1"/>
      <c r="L30" s="64" t="e">
        <f>H29*N30/J30</f>
        <v>#DIV/0!</v>
      </c>
      <c r="M30" s="1">
        <f>E30</f>
        <v>0</v>
      </c>
      <c r="N30" s="1">
        <f>'(gamma)'!D23</f>
        <v>0</v>
      </c>
    </row>
    <row r="32" spans="2:14" x14ac:dyDescent="0.25">
      <c r="C32" s="19"/>
      <c r="E32"/>
      <c r="H32" s="99" t="s">
        <v>3</v>
      </c>
      <c r="I32" s="99"/>
      <c r="J32" s="99"/>
      <c r="K32" s="1"/>
      <c r="L32" s="99" t="s">
        <v>19</v>
      </c>
      <c r="M32" s="99"/>
      <c r="N32" s="99"/>
    </row>
    <row r="33" spans="2:14" x14ac:dyDescent="0.25">
      <c r="B33" s="18" t="s">
        <v>22</v>
      </c>
      <c r="C33" s="18" t="s">
        <v>21</v>
      </c>
      <c r="D33" s="13" t="s">
        <v>20</v>
      </c>
      <c r="E33" s="13" t="s">
        <v>2</v>
      </c>
      <c r="F33" s="1" t="s">
        <v>16</v>
      </c>
      <c r="G33"/>
      <c r="H33" s="14" t="s">
        <v>4</v>
      </c>
      <c r="I33" s="13" t="s">
        <v>5</v>
      </c>
      <c r="J33" s="1" t="s">
        <v>18</v>
      </c>
      <c r="K33" s="1"/>
      <c r="L33" s="15" t="s">
        <v>4</v>
      </c>
      <c r="M33" s="1" t="s">
        <v>5</v>
      </c>
      <c r="N33" s="1" t="s">
        <v>18</v>
      </c>
    </row>
    <row r="34" spans="2:14" x14ac:dyDescent="0.25">
      <c r="B34" s="99"/>
      <c r="C34" s="99"/>
      <c r="D34" s="1"/>
      <c r="F34" s="1">
        <f>D34-E34</f>
        <v>0</v>
      </c>
      <c r="G34"/>
      <c r="H34" s="99"/>
      <c r="J34" s="1">
        <f>'(gamma)'!F24</f>
        <v>0</v>
      </c>
      <c r="K34" s="1"/>
      <c r="L34" s="64" t="e">
        <f>H34*N34/J34</f>
        <v>#DIV/0!</v>
      </c>
      <c r="M34" s="1">
        <f>E34</f>
        <v>0</v>
      </c>
      <c r="N34" s="1">
        <f>'(gamma)'!D24</f>
        <v>0</v>
      </c>
    </row>
    <row r="35" spans="2:14" x14ac:dyDescent="0.25">
      <c r="B35" s="99"/>
      <c r="C35" s="99"/>
      <c r="D35" s="1"/>
      <c r="F35" s="1">
        <f>D35-E35</f>
        <v>0</v>
      </c>
      <c r="G35"/>
      <c r="H35" s="99"/>
      <c r="J35" s="1">
        <f>'(gamma)'!F25</f>
        <v>0</v>
      </c>
      <c r="K35" s="1"/>
      <c r="L35" s="64" t="e">
        <f>H35*N35/J35</f>
        <v>#DIV/0!</v>
      </c>
      <c r="M35" s="1">
        <f>E35</f>
        <v>0</v>
      </c>
      <c r="N35" s="1">
        <f>'(gamma)'!D25</f>
        <v>0</v>
      </c>
    </row>
    <row r="37" spans="2:14" x14ac:dyDescent="0.25">
      <c r="C37" s="19"/>
      <c r="E37"/>
      <c r="H37" s="99" t="s">
        <v>3</v>
      </c>
      <c r="I37" s="99"/>
      <c r="J37" s="99"/>
      <c r="K37" s="1"/>
      <c r="L37" s="99" t="s">
        <v>19</v>
      </c>
      <c r="M37" s="99"/>
      <c r="N37" s="99"/>
    </row>
    <row r="38" spans="2:14" x14ac:dyDescent="0.25">
      <c r="B38" s="18" t="s">
        <v>22</v>
      </c>
      <c r="C38" s="18" t="s">
        <v>21</v>
      </c>
      <c r="D38" s="13" t="s">
        <v>20</v>
      </c>
      <c r="E38" s="13" t="s">
        <v>2</v>
      </c>
      <c r="F38" s="1" t="s">
        <v>16</v>
      </c>
      <c r="G38"/>
      <c r="H38" s="14" t="s">
        <v>4</v>
      </c>
      <c r="I38" s="13" t="s">
        <v>5</v>
      </c>
      <c r="J38" s="1" t="s">
        <v>18</v>
      </c>
      <c r="K38" s="1"/>
      <c r="L38" s="15" t="s">
        <v>4</v>
      </c>
      <c r="M38" s="1" t="s">
        <v>5</v>
      </c>
      <c r="N38" s="1" t="s">
        <v>18</v>
      </c>
    </row>
    <row r="39" spans="2:14" x14ac:dyDescent="0.25">
      <c r="B39" s="99"/>
      <c r="C39" s="99"/>
      <c r="D39" s="1"/>
      <c r="F39" s="1">
        <f>D39-E39</f>
        <v>0</v>
      </c>
      <c r="G39"/>
      <c r="H39" s="99"/>
      <c r="J39" s="1">
        <f>'(gamma)'!F26</f>
        <v>0</v>
      </c>
      <c r="K39" s="1"/>
      <c r="L39" s="64" t="e">
        <f>H39*N39/J39</f>
        <v>#DIV/0!</v>
      </c>
      <c r="M39" s="1">
        <f>E39</f>
        <v>0</v>
      </c>
      <c r="N39" s="1">
        <f>'(gamma)'!D26</f>
        <v>0</v>
      </c>
    </row>
    <row r="40" spans="2:14" x14ac:dyDescent="0.25">
      <c r="B40" s="99"/>
      <c r="C40" s="99"/>
      <c r="F40" s="1">
        <f>D40-E40</f>
        <v>0</v>
      </c>
      <c r="H40" s="99"/>
      <c r="J40" s="1">
        <f>'(gamma)'!F27</f>
        <v>0</v>
      </c>
      <c r="L40" s="64" t="e">
        <f>H39*N40/J40</f>
        <v>#DIV/0!</v>
      </c>
      <c r="M40" s="1">
        <f>E40</f>
        <v>0</v>
      </c>
      <c r="N40" s="1">
        <f>'(gamma)'!D27</f>
        <v>0</v>
      </c>
    </row>
  </sheetData>
  <mergeCells count="32">
    <mergeCell ref="H37:J37"/>
    <mergeCell ref="L37:N37"/>
    <mergeCell ref="H17:J17"/>
    <mergeCell ref="L17:N17"/>
    <mergeCell ref="H22:J22"/>
    <mergeCell ref="L22:N22"/>
    <mergeCell ref="H27:J27"/>
    <mergeCell ref="L27:N27"/>
    <mergeCell ref="H29:H30"/>
    <mergeCell ref="H34:H35"/>
    <mergeCell ref="B2:N6"/>
    <mergeCell ref="H12:J12"/>
    <mergeCell ref="L12:N12"/>
    <mergeCell ref="B8:N10"/>
    <mergeCell ref="H32:J32"/>
    <mergeCell ref="L32:N32"/>
    <mergeCell ref="H39:H40"/>
    <mergeCell ref="B24:B25"/>
    <mergeCell ref="C24:C25"/>
    <mergeCell ref="B19:B20"/>
    <mergeCell ref="B14:B15"/>
    <mergeCell ref="B29:B30"/>
    <mergeCell ref="B34:B35"/>
    <mergeCell ref="B39:B40"/>
    <mergeCell ref="C14:C15"/>
    <mergeCell ref="C19:C20"/>
    <mergeCell ref="C29:C30"/>
    <mergeCell ref="C34:C35"/>
    <mergeCell ref="C39:C40"/>
    <mergeCell ref="H14:H15"/>
    <mergeCell ref="H19:H20"/>
    <mergeCell ref="H24:H25"/>
  </mergeCells>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64DA3-7859-432B-A482-5DDB0F7A13E4}">
  <sheetPr codeName="工作表5"/>
  <dimension ref="B2:AA282"/>
  <sheetViews>
    <sheetView zoomScaleNormal="100" workbookViewId="0">
      <selection activeCell="C16" sqref="C16"/>
    </sheetView>
  </sheetViews>
  <sheetFormatPr defaultColWidth="9" defaultRowHeight="16.5" x14ac:dyDescent="0.25"/>
  <cols>
    <col min="1" max="1" width="3.375" style="1" customWidth="1"/>
    <col min="2" max="6" width="10.875" style="1" customWidth="1"/>
    <col min="7" max="7" width="3.375" style="1" customWidth="1"/>
    <col min="8" max="11" width="10.875" style="1" customWidth="1"/>
    <col min="12" max="12" width="3.375" style="1" customWidth="1"/>
    <col min="13" max="24" width="10.875" style="1" customWidth="1"/>
    <col min="25" max="25" width="3.375" style="1" customWidth="1"/>
    <col min="26" max="43" width="9.125" style="1" customWidth="1"/>
    <col min="44" max="59" width="9" style="1"/>
    <col min="60" max="60" width="9" style="1" customWidth="1"/>
    <col min="61" max="16384" width="9" style="1"/>
  </cols>
  <sheetData>
    <row r="2" spans="2:27" ht="16.5" customHeight="1" x14ac:dyDescent="0.25">
      <c r="B2" s="100" t="s">
        <v>6</v>
      </c>
      <c r="C2" s="100"/>
      <c r="D2" s="100"/>
      <c r="E2" s="100"/>
      <c r="F2" s="100"/>
      <c r="H2" s="113" t="s">
        <v>13</v>
      </c>
      <c r="I2" s="113"/>
      <c r="J2" s="99"/>
      <c r="K2" s="99"/>
      <c r="M2" s="114" t="s">
        <v>7</v>
      </c>
      <c r="N2" s="115"/>
      <c r="O2" s="104" t="s">
        <v>17</v>
      </c>
      <c r="P2" s="105"/>
      <c r="Q2" s="105"/>
      <c r="R2" s="105"/>
      <c r="S2" s="106"/>
      <c r="T2" s="10"/>
      <c r="Y2"/>
      <c r="AA2" s="2"/>
    </row>
    <row r="3" spans="2:27" ht="16.5" customHeight="1" x14ac:dyDescent="0.25">
      <c r="B3" s="100"/>
      <c r="C3" s="100"/>
      <c r="D3" s="100"/>
      <c r="E3" s="100"/>
      <c r="F3" s="100"/>
      <c r="H3" s="7" t="s">
        <v>14</v>
      </c>
      <c r="I3" s="1" t="s">
        <v>15</v>
      </c>
      <c r="J3" s="1" t="s">
        <v>14</v>
      </c>
      <c r="K3" s="1" t="s">
        <v>16</v>
      </c>
      <c r="M3" s="116"/>
      <c r="N3" s="115"/>
      <c r="O3" s="107"/>
      <c r="P3" s="108"/>
      <c r="Q3" s="108"/>
      <c r="R3" s="108"/>
      <c r="S3" s="109"/>
      <c r="T3"/>
      <c r="Y3"/>
    </row>
    <row r="4" spans="2:27" ht="16.5" customHeight="1" x14ac:dyDescent="0.25">
      <c r="B4" s="100"/>
      <c r="C4" s="100"/>
      <c r="D4" s="100"/>
      <c r="E4" s="100"/>
      <c r="F4" s="100"/>
      <c r="H4" s="8">
        <f>J4</f>
        <v>0</v>
      </c>
      <c r="I4" s="1">
        <v>0</v>
      </c>
      <c r="J4" s="1">
        <f>VALUE(MID(O2,1,SEARCH(" ",O2,1)-1))/4</f>
        <v>0</v>
      </c>
      <c r="K4" s="1">
        <v>0</v>
      </c>
      <c r="L4" s="3"/>
      <c r="M4" s="116"/>
      <c r="N4" s="115"/>
      <c r="O4" s="107"/>
      <c r="P4" s="108"/>
      <c r="Q4" s="108"/>
      <c r="R4" s="108"/>
      <c r="S4" s="109"/>
      <c r="T4"/>
      <c r="Y4"/>
    </row>
    <row r="5" spans="2:27" ht="16.5" customHeight="1" x14ac:dyDescent="0.25">
      <c r="B5" s="100"/>
      <c r="C5" s="100"/>
      <c r="D5" s="100"/>
      <c r="E5" s="100"/>
      <c r="F5" s="100"/>
      <c r="H5" s="8">
        <f t="shared" ref="H5:H68" si="0">J5</f>
        <v>4.5</v>
      </c>
      <c r="I5" s="1">
        <v>1</v>
      </c>
      <c r="J5" s="1">
        <f>VALUE(MID($O$2,FIND("*",SUBSTITUTE($O$2," ","*",I5),1)+1,FIND("*",SUBSTITUTE($O$2," ","*",I6),1)-FIND("*",SUBSTITUTE($O$2," ","*",I5),1)-1))/4</f>
        <v>4.5</v>
      </c>
      <c r="K5" s="1">
        <f>J5-J4</f>
        <v>4.5</v>
      </c>
      <c r="L5" s="3"/>
      <c r="M5" s="116"/>
      <c r="N5" s="115"/>
      <c r="O5" s="110"/>
      <c r="P5" s="111"/>
      <c r="Q5" s="111"/>
      <c r="R5" s="111"/>
      <c r="S5" s="112"/>
      <c r="T5"/>
      <c r="Y5"/>
    </row>
    <row r="6" spans="2:27" ht="16.5" customHeight="1" x14ac:dyDescent="0.25">
      <c r="B6" s="100"/>
      <c r="C6" s="100"/>
      <c r="D6" s="100"/>
      <c r="E6" s="100"/>
      <c r="F6" s="100"/>
      <c r="H6" s="8">
        <f t="shared" si="0"/>
        <v>7.5</v>
      </c>
      <c r="I6" s="1">
        <v>2</v>
      </c>
      <c r="J6" s="1">
        <f t="shared" ref="J6:J69" si="1">VALUE(MID($O$2,FIND("*",SUBSTITUTE($O$2," ","*",I6),1)+1,FIND("*",SUBSTITUTE($O$2," ","*",I7),1)-FIND("*",SUBSTITUTE($O$2," ","*",I6),1)-1))/4</f>
        <v>7.5</v>
      </c>
      <c r="K6" s="1">
        <f t="shared" ref="K6:K69" si="2">J6-J5</f>
        <v>3</v>
      </c>
      <c r="L6" s="3"/>
    </row>
    <row r="7" spans="2:27" x14ac:dyDescent="0.25">
      <c r="B7" s="100"/>
      <c r="C7" s="100"/>
      <c r="D7" s="100"/>
      <c r="E7" s="100"/>
      <c r="F7" s="100"/>
      <c r="H7" s="8">
        <f t="shared" si="0"/>
        <v>10.5</v>
      </c>
      <c r="I7" s="1">
        <v>3</v>
      </c>
      <c r="J7" s="1">
        <f t="shared" si="1"/>
        <v>10.5</v>
      </c>
      <c r="K7" s="1">
        <f t="shared" si="2"/>
        <v>3</v>
      </c>
      <c r="L7" s="3"/>
    </row>
    <row r="8" spans="2:27" x14ac:dyDescent="0.25">
      <c r="B8" s="100"/>
      <c r="C8" s="100"/>
      <c r="D8" s="100"/>
      <c r="E8" s="100"/>
      <c r="F8" s="100"/>
      <c r="G8"/>
      <c r="H8" s="8">
        <f t="shared" si="0"/>
        <v>13.5</v>
      </c>
      <c r="I8" s="1">
        <v>4</v>
      </c>
      <c r="J8" s="1">
        <f t="shared" si="1"/>
        <v>13.5</v>
      </c>
      <c r="K8" s="1">
        <f t="shared" si="2"/>
        <v>3</v>
      </c>
      <c r="L8" s="5"/>
    </row>
    <row r="9" spans="2:27" x14ac:dyDescent="0.25">
      <c r="B9" s="100"/>
      <c r="C9" s="100"/>
      <c r="D9" s="100"/>
      <c r="E9" s="100"/>
      <c r="F9" s="100"/>
      <c r="G9"/>
      <c r="H9" s="8">
        <f t="shared" si="0"/>
        <v>16.5</v>
      </c>
      <c r="I9" s="1">
        <v>5</v>
      </c>
      <c r="J9" s="1">
        <f t="shared" si="1"/>
        <v>16.5</v>
      </c>
      <c r="K9" s="1">
        <f t="shared" si="2"/>
        <v>3</v>
      </c>
      <c r="L9" s="5"/>
    </row>
    <row r="10" spans="2:27" x14ac:dyDescent="0.25">
      <c r="H10" s="8">
        <f t="shared" si="0"/>
        <v>19.5</v>
      </c>
      <c r="I10" s="1">
        <v>6</v>
      </c>
      <c r="J10" s="1">
        <f t="shared" si="1"/>
        <v>19.5</v>
      </c>
      <c r="K10" s="1">
        <f t="shared" si="2"/>
        <v>3</v>
      </c>
    </row>
    <row r="11" spans="2:27" x14ac:dyDescent="0.25">
      <c r="B11" s="102" t="s">
        <v>23</v>
      </c>
      <c r="C11" s="103"/>
      <c r="D11" s="103"/>
      <c r="E11" s="103"/>
      <c r="F11" s="103"/>
      <c r="H11" s="8">
        <f t="shared" si="0"/>
        <v>23</v>
      </c>
      <c r="I11" s="1">
        <v>7</v>
      </c>
      <c r="J11" s="1">
        <f t="shared" si="1"/>
        <v>23</v>
      </c>
      <c r="K11" s="1">
        <f t="shared" si="2"/>
        <v>3.5</v>
      </c>
    </row>
    <row r="12" spans="2:27" x14ac:dyDescent="0.25">
      <c r="B12" s="103"/>
      <c r="C12" s="103"/>
      <c r="D12" s="103"/>
      <c r="E12" s="103"/>
      <c r="F12" s="103"/>
      <c r="H12" s="8">
        <f t="shared" si="0"/>
        <v>26.5</v>
      </c>
      <c r="I12" s="1">
        <v>8</v>
      </c>
      <c r="J12" s="1">
        <f t="shared" si="1"/>
        <v>26.5</v>
      </c>
      <c r="K12" s="1">
        <f t="shared" si="2"/>
        <v>3.5</v>
      </c>
    </row>
    <row r="13" spans="2:27" x14ac:dyDescent="0.25">
      <c r="B13" s="103"/>
      <c r="C13" s="103"/>
      <c r="D13" s="103"/>
      <c r="E13" s="103"/>
      <c r="F13" s="103"/>
      <c r="H13" s="8">
        <f t="shared" si="0"/>
        <v>29.5</v>
      </c>
      <c r="I13" s="1">
        <v>9</v>
      </c>
      <c r="J13" s="1">
        <f t="shared" si="1"/>
        <v>29.5</v>
      </c>
      <c r="K13" s="1">
        <f t="shared" si="2"/>
        <v>3</v>
      </c>
    </row>
    <row r="14" spans="2:27" x14ac:dyDescent="0.25">
      <c r="H14" s="8">
        <f t="shared" si="0"/>
        <v>33.25</v>
      </c>
      <c r="I14" s="1">
        <v>10</v>
      </c>
      <c r="J14" s="1">
        <f t="shared" si="1"/>
        <v>33.25</v>
      </c>
      <c r="K14" s="1">
        <f t="shared" si="2"/>
        <v>3.75</v>
      </c>
    </row>
    <row r="15" spans="2:27" x14ac:dyDescent="0.25">
      <c r="B15" s="19" t="s">
        <v>22</v>
      </c>
      <c r="C15" s="1" t="s">
        <v>2</v>
      </c>
      <c r="D15" s="1" t="s">
        <v>8</v>
      </c>
      <c r="E15" s="1" t="s">
        <v>3</v>
      </c>
      <c r="F15" s="1" t="s">
        <v>8</v>
      </c>
      <c r="H15" s="8">
        <f t="shared" si="0"/>
        <v>36.75</v>
      </c>
      <c r="I15" s="1">
        <v>11</v>
      </c>
      <c r="J15" s="1">
        <f t="shared" si="1"/>
        <v>36.75</v>
      </c>
      <c r="K15" s="1">
        <f t="shared" si="2"/>
        <v>3.5</v>
      </c>
    </row>
    <row r="16" spans="2:27" x14ac:dyDescent="0.25">
      <c r="B16" s="99">
        <f>colorChecker!B14</f>
        <v>0</v>
      </c>
      <c r="C16" s="1">
        <f>colorChecker!E14</f>
        <v>0</v>
      </c>
      <c r="D16" s="6">
        <f t="shared" ref="D16:D25" si="3">((F30-E30)*C16)/(D30-C30)+E30-(C30*((F30-E30)/(D30-C30)))</f>
        <v>0</v>
      </c>
      <c r="E16" s="1">
        <f>colorChecker!I14</f>
        <v>0</v>
      </c>
      <c r="F16" s="16">
        <f t="shared" ref="F16:F27" si="4">((F44-E44)*E16)/(D44-C44)+E44-(C44*((F44-E44)/(D44-C44)))</f>
        <v>0</v>
      </c>
      <c r="H16" s="8">
        <f t="shared" si="0"/>
        <v>39.75</v>
      </c>
      <c r="I16" s="1">
        <v>12</v>
      </c>
      <c r="J16" s="1">
        <f t="shared" si="1"/>
        <v>39.75</v>
      </c>
      <c r="K16" s="1">
        <f t="shared" si="2"/>
        <v>3</v>
      </c>
    </row>
    <row r="17" spans="2:18" x14ac:dyDescent="0.25">
      <c r="B17" s="99"/>
      <c r="C17" s="1">
        <f>colorChecker!E15</f>
        <v>0</v>
      </c>
      <c r="D17" s="6">
        <f t="shared" si="3"/>
        <v>0</v>
      </c>
      <c r="E17" s="1">
        <f>colorChecker!I15</f>
        <v>0</v>
      </c>
      <c r="F17" s="16">
        <f t="shared" si="4"/>
        <v>0</v>
      </c>
      <c r="H17" s="8">
        <f t="shared" si="0"/>
        <v>42.75</v>
      </c>
      <c r="I17" s="1">
        <v>13</v>
      </c>
      <c r="J17" s="1">
        <f t="shared" si="1"/>
        <v>42.75</v>
      </c>
      <c r="K17" s="1">
        <f t="shared" si="2"/>
        <v>3</v>
      </c>
    </row>
    <row r="18" spans="2:18" x14ac:dyDescent="0.25">
      <c r="B18" s="99">
        <f>colorChecker!B19</f>
        <v>0</v>
      </c>
      <c r="C18" s="1">
        <f>colorChecker!E19</f>
        <v>0</v>
      </c>
      <c r="D18" s="6">
        <f t="shared" si="3"/>
        <v>0</v>
      </c>
      <c r="E18" s="1">
        <f>colorChecker!I19</f>
        <v>0</v>
      </c>
      <c r="F18" s="16">
        <f t="shared" si="4"/>
        <v>0</v>
      </c>
      <c r="H18" s="8">
        <f t="shared" si="0"/>
        <v>45.75</v>
      </c>
      <c r="I18" s="1">
        <v>14</v>
      </c>
      <c r="J18" s="1">
        <f t="shared" si="1"/>
        <v>45.75</v>
      </c>
      <c r="K18" s="1">
        <f t="shared" si="2"/>
        <v>3</v>
      </c>
    </row>
    <row r="19" spans="2:18" x14ac:dyDescent="0.25">
      <c r="B19" s="99"/>
      <c r="C19" s="1">
        <f>colorChecker!E20</f>
        <v>0</v>
      </c>
      <c r="D19" s="6">
        <f t="shared" si="3"/>
        <v>0</v>
      </c>
      <c r="E19" s="1">
        <f>colorChecker!I20</f>
        <v>0</v>
      </c>
      <c r="F19" s="16">
        <f t="shared" si="4"/>
        <v>0</v>
      </c>
      <c r="H19" s="8">
        <f t="shared" si="0"/>
        <v>48.75</v>
      </c>
      <c r="I19" s="1">
        <v>15</v>
      </c>
      <c r="J19" s="1">
        <f t="shared" si="1"/>
        <v>48.75</v>
      </c>
      <c r="K19" s="1">
        <f t="shared" si="2"/>
        <v>3</v>
      </c>
    </row>
    <row r="20" spans="2:18" x14ac:dyDescent="0.25">
      <c r="B20" s="99">
        <f>colorChecker!B24</f>
        <v>0</v>
      </c>
      <c r="C20" s="1">
        <f>colorChecker!E24</f>
        <v>0</v>
      </c>
      <c r="D20" s="6">
        <f t="shared" si="3"/>
        <v>0</v>
      </c>
      <c r="E20" s="1">
        <f>colorChecker!I24</f>
        <v>0</v>
      </c>
      <c r="F20" s="16">
        <f t="shared" si="4"/>
        <v>0</v>
      </c>
      <c r="H20" s="8">
        <f t="shared" si="0"/>
        <v>51.75</v>
      </c>
      <c r="I20" s="1">
        <v>16</v>
      </c>
      <c r="J20" s="1">
        <f t="shared" si="1"/>
        <v>51.75</v>
      </c>
      <c r="K20" s="1">
        <f t="shared" si="2"/>
        <v>3</v>
      </c>
    </row>
    <row r="21" spans="2:18" x14ac:dyDescent="0.25">
      <c r="B21" s="99"/>
      <c r="C21" s="1">
        <f>colorChecker!E25</f>
        <v>0</v>
      </c>
      <c r="D21" s="6">
        <f t="shared" si="3"/>
        <v>0</v>
      </c>
      <c r="E21" s="1">
        <f>colorChecker!I25</f>
        <v>0</v>
      </c>
      <c r="F21" s="16">
        <f t="shared" si="4"/>
        <v>0</v>
      </c>
      <c r="H21" s="8">
        <f t="shared" si="0"/>
        <v>54.25</v>
      </c>
      <c r="I21" s="1">
        <v>17</v>
      </c>
      <c r="J21" s="1">
        <f t="shared" si="1"/>
        <v>54.25</v>
      </c>
      <c r="K21" s="1">
        <f t="shared" si="2"/>
        <v>2.5</v>
      </c>
    </row>
    <row r="22" spans="2:18" x14ac:dyDescent="0.25">
      <c r="B22" s="99">
        <f>colorChecker!B29</f>
        <v>0</v>
      </c>
      <c r="C22" s="1">
        <f>colorChecker!E29</f>
        <v>0</v>
      </c>
      <c r="D22" s="6">
        <f t="shared" si="3"/>
        <v>0</v>
      </c>
      <c r="E22" s="1">
        <f>colorChecker!I29</f>
        <v>0</v>
      </c>
      <c r="F22" s="16">
        <f t="shared" si="4"/>
        <v>0</v>
      </c>
      <c r="H22" s="8">
        <f t="shared" si="0"/>
        <v>56.75</v>
      </c>
      <c r="I22" s="1">
        <v>18</v>
      </c>
      <c r="J22" s="1">
        <f t="shared" si="1"/>
        <v>56.75</v>
      </c>
      <c r="K22" s="1">
        <f t="shared" si="2"/>
        <v>2.5</v>
      </c>
    </row>
    <row r="23" spans="2:18" x14ac:dyDescent="0.25">
      <c r="B23" s="99"/>
      <c r="C23" s="1">
        <f>colorChecker!E30</f>
        <v>0</v>
      </c>
      <c r="D23" s="6">
        <f t="shared" si="3"/>
        <v>0</v>
      </c>
      <c r="E23" s="1">
        <f>colorChecker!I30</f>
        <v>0</v>
      </c>
      <c r="F23" s="16">
        <f t="shared" si="4"/>
        <v>0</v>
      </c>
      <c r="H23" s="8">
        <f t="shared" si="0"/>
        <v>59.75</v>
      </c>
      <c r="I23" s="1">
        <v>19</v>
      </c>
      <c r="J23" s="1">
        <f t="shared" si="1"/>
        <v>59.75</v>
      </c>
      <c r="K23" s="1">
        <f t="shared" si="2"/>
        <v>3</v>
      </c>
    </row>
    <row r="24" spans="2:18" x14ac:dyDescent="0.25">
      <c r="B24" s="99">
        <f>colorChecker!B34</f>
        <v>0</v>
      </c>
      <c r="C24" s="1">
        <f>colorChecker!E34</f>
        <v>0</v>
      </c>
      <c r="D24" s="6">
        <f t="shared" si="3"/>
        <v>0</v>
      </c>
      <c r="E24" s="1">
        <f>colorChecker!I34</f>
        <v>0</v>
      </c>
      <c r="F24" s="16">
        <f t="shared" si="4"/>
        <v>0</v>
      </c>
      <c r="H24" s="8">
        <f t="shared" si="0"/>
        <v>62.25</v>
      </c>
      <c r="I24" s="1">
        <v>20</v>
      </c>
      <c r="J24" s="1">
        <f t="shared" si="1"/>
        <v>62.25</v>
      </c>
      <c r="K24" s="1">
        <f t="shared" si="2"/>
        <v>2.5</v>
      </c>
      <c r="M24"/>
      <c r="N24"/>
      <c r="O24"/>
      <c r="P24"/>
      <c r="Q24"/>
    </row>
    <row r="25" spans="2:18" x14ac:dyDescent="0.25">
      <c r="B25" s="99"/>
      <c r="C25" s="1">
        <f>colorChecker!E35</f>
        <v>0</v>
      </c>
      <c r="D25" s="6">
        <f t="shared" si="3"/>
        <v>0</v>
      </c>
      <c r="E25" s="1">
        <f>colorChecker!I35</f>
        <v>0</v>
      </c>
      <c r="F25" s="16">
        <f t="shared" si="4"/>
        <v>0</v>
      </c>
      <c r="H25" s="8">
        <f t="shared" si="0"/>
        <v>64.75</v>
      </c>
      <c r="I25" s="1">
        <v>21</v>
      </c>
      <c r="J25" s="1">
        <f t="shared" si="1"/>
        <v>64.75</v>
      </c>
      <c r="K25" s="1">
        <f t="shared" si="2"/>
        <v>2.5</v>
      </c>
      <c r="M25"/>
      <c r="N25"/>
      <c r="O25"/>
      <c r="P25"/>
      <c r="Q25"/>
      <c r="R25"/>
    </row>
    <row r="26" spans="2:18" x14ac:dyDescent="0.25">
      <c r="B26" s="99">
        <f>colorChecker!B39</f>
        <v>0</v>
      </c>
      <c r="C26" s="1">
        <f>colorChecker!E39</f>
        <v>0</v>
      </c>
      <c r="D26" s="6">
        <f>((F40-E40)*C26)/(D40-C40)+E40-(C40*((F40-E40)/(D40-C40)))</f>
        <v>0</v>
      </c>
      <c r="E26" s="1">
        <f>colorChecker!I39</f>
        <v>0</v>
      </c>
      <c r="F26" s="16">
        <f t="shared" si="4"/>
        <v>0</v>
      </c>
      <c r="H26" s="8">
        <f t="shared" si="0"/>
        <v>67.25</v>
      </c>
      <c r="I26" s="1">
        <v>22</v>
      </c>
      <c r="J26" s="1">
        <f t="shared" si="1"/>
        <v>67.25</v>
      </c>
      <c r="K26" s="1">
        <f t="shared" si="2"/>
        <v>2.5</v>
      </c>
      <c r="M26"/>
      <c r="N26"/>
      <c r="O26"/>
      <c r="P26"/>
      <c r="Q26"/>
      <c r="R26"/>
    </row>
    <row r="27" spans="2:18" x14ac:dyDescent="0.25">
      <c r="B27" s="99"/>
      <c r="C27" s="1">
        <f>colorChecker!E40</f>
        <v>0</v>
      </c>
      <c r="D27" s="6">
        <f>((F41-E41)*C27)/(D41-C41)+E41-(C41*((F41-E41)/(D41-C41)))</f>
        <v>0</v>
      </c>
      <c r="E27" s="1">
        <f>colorChecker!I40</f>
        <v>0</v>
      </c>
      <c r="F27" s="16">
        <f t="shared" si="4"/>
        <v>0</v>
      </c>
      <c r="H27" s="8">
        <f t="shared" si="0"/>
        <v>69.25</v>
      </c>
      <c r="I27" s="1">
        <v>23</v>
      </c>
      <c r="J27" s="1">
        <f t="shared" si="1"/>
        <v>69.25</v>
      </c>
      <c r="K27" s="1">
        <f t="shared" si="2"/>
        <v>2</v>
      </c>
      <c r="M27"/>
      <c r="N27"/>
      <c r="O27"/>
      <c r="P27"/>
      <c r="Q27"/>
      <c r="R27"/>
    </row>
    <row r="28" spans="2:18" x14ac:dyDescent="0.25">
      <c r="H28" s="8">
        <f t="shared" si="0"/>
        <v>71.75</v>
      </c>
      <c r="I28" s="1">
        <v>24</v>
      </c>
      <c r="J28" s="1">
        <f t="shared" si="1"/>
        <v>71.75</v>
      </c>
      <c r="K28" s="1">
        <f t="shared" si="2"/>
        <v>2.5</v>
      </c>
      <c r="M28"/>
      <c r="N28"/>
      <c r="O28"/>
      <c r="P28"/>
      <c r="Q28"/>
      <c r="R28"/>
    </row>
    <row r="29" spans="2:18" x14ac:dyDescent="0.25">
      <c r="C29" s="1" t="s">
        <v>9</v>
      </c>
      <c r="D29" s="1" t="s">
        <v>10</v>
      </c>
      <c r="E29" s="1" t="s">
        <v>11</v>
      </c>
      <c r="F29" s="1" t="s">
        <v>12</v>
      </c>
      <c r="H29" s="8">
        <f t="shared" si="0"/>
        <v>74.25</v>
      </c>
      <c r="I29" s="1">
        <v>25</v>
      </c>
      <c r="J29" s="1">
        <f t="shared" si="1"/>
        <v>74.25</v>
      </c>
      <c r="K29" s="1">
        <f t="shared" si="2"/>
        <v>2.5</v>
      </c>
      <c r="M29"/>
      <c r="N29"/>
      <c r="O29"/>
      <c r="P29"/>
      <c r="Q29"/>
      <c r="R29"/>
    </row>
    <row r="30" spans="2:18" x14ac:dyDescent="0.25">
      <c r="B30" s="1">
        <v>1</v>
      </c>
      <c r="C30" s="1">
        <f t="shared" ref="C30:D35" si="5">VLOOKUP(E30,$I$4:$J$260,2,TRUE)</f>
        <v>0</v>
      </c>
      <c r="D30" s="1">
        <f t="shared" si="5"/>
        <v>4.5</v>
      </c>
      <c r="E30" s="1">
        <f t="shared" ref="E30:E39" si="6">VLOOKUP(ROUNDUP(C16,1),$H$4:$I$260,2,TRUE)</f>
        <v>0</v>
      </c>
      <c r="F30" s="1">
        <f t="shared" ref="F30:F39" si="7">VLOOKUP(ROUNDUP(C16,1),$H$4:$I$260,2,TRUE)+1</f>
        <v>1</v>
      </c>
      <c r="H30" s="8">
        <f t="shared" si="0"/>
        <v>76.25</v>
      </c>
      <c r="I30" s="1">
        <v>26</v>
      </c>
      <c r="J30" s="1">
        <f t="shared" si="1"/>
        <v>76.25</v>
      </c>
      <c r="K30" s="1">
        <f t="shared" si="2"/>
        <v>2</v>
      </c>
      <c r="M30"/>
      <c r="N30"/>
      <c r="O30"/>
      <c r="P30"/>
      <c r="Q30"/>
      <c r="R30"/>
    </row>
    <row r="31" spans="2:18" x14ac:dyDescent="0.25">
      <c r="B31" s="1">
        <v>2</v>
      </c>
      <c r="C31" s="1">
        <f t="shared" si="5"/>
        <v>0</v>
      </c>
      <c r="D31" s="1">
        <f t="shared" si="5"/>
        <v>4.5</v>
      </c>
      <c r="E31" s="1">
        <f t="shared" si="6"/>
        <v>0</v>
      </c>
      <c r="F31" s="1">
        <f t="shared" si="7"/>
        <v>1</v>
      </c>
      <c r="H31" s="8">
        <f t="shared" si="0"/>
        <v>78.25</v>
      </c>
      <c r="I31" s="1">
        <v>27</v>
      </c>
      <c r="J31" s="1">
        <f t="shared" si="1"/>
        <v>78.25</v>
      </c>
      <c r="K31" s="1">
        <f t="shared" si="2"/>
        <v>2</v>
      </c>
      <c r="M31"/>
      <c r="N31"/>
      <c r="O31"/>
      <c r="P31"/>
      <c r="Q31"/>
      <c r="R31"/>
    </row>
    <row r="32" spans="2:18" x14ac:dyDescent="0.25">
      <c r="B32" s="1">
        <v>3</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25">
      <c r="B33" s="1">
        <v>4</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25">
      <c r="B34" s="1">
        <v>5</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25">
      <c r="B35" s="1">
        <v>6</v>
      </c>
      <c r="C35" s="1">
        <f t="shared" si="5"/>
        <v>0</v>
      </c>
      <c r="D35" s="1">
        <f t="shared" si="5"/>
        <v>4.5</v>
      </c>
      <c r="E35" s="1">
        <f t="shared" si="6"/>
        <v>0</v>
      </c>
      <c r="F35" s="1">
        <f t="shared" si="7"/>
        <v>1</v>
      </c>
      <c r="H35" s="8">
        <f t="shared" si="0"/>
        <v>86.25</v>
      </c>
      <c r="I35" s="1">
        <v>31</v>
      </c>
      <c r="J35" s="1">
        <f t="shared" si="1"/>
        <v>86.25</v>
      </c>
      <c r="K35" s="1">
        <f t="shared" si="2"/>
        <v>2</v>
      </c>
      <c r="M35"/>
      <c r="N35"/>
      <c r="O35"/>
      <c r="P35"/>
      <c r="Q35"/>
      <c r="R35"/>
    </row>
    <row r="36" spans="2:18" x14ac:dyDescent="0.25">
      <c r="B36" s="1">
        <v>7</v>
      </c>
      <c r="C36" s="1">
        <f t="shared" ref="C36:D41" si="8">VLOOKUP(E36,$I$4:$J$260,2,TRUE)</f>
        <v>0</v>
      </c>
      <c r="D36" s="1">
        <f t="shared" si="8"/>
        <v>4.5</v>
      </c>
      <c r="E36" s="1">
        <f t="shared" si="6"/>
        <v>0</v>
      </c>
      <c r="F36" s="1">
        <f t="shared" si="7"/>
        <v>1</v>
      </c>
      <c r="H36" s="8">
        <f t="shared" si="0"/>
        <v>87.75</v>
      </c>
      <c r="I36" s="1">
        <v>32</v>
      </c>
      <c r="J36" s="1">
        <f t="shared" si="1"/>
        <v>87.75</v>
      </c>
      <c r="K36" s="1">
        <f t="shared" si="2"/>
        <v>1.5</v>
      </c>
      <c r="M36"/>
      <c r="N36"/>
      <c r="O36"/>
      <c r="P36"/>
      <c r="Q36"/>
      <c r="R36"/>
    </row>
    <row r="37" spans="2:18" x14ac:dyDescent="0.25">
      <c r="B37" s="1">
        <v>8</v>
      </c>
      <c r="C37" s="1">
        <f t="shared" si="8"/>
        <v>0</v>
      </c>
      <c r="D37" s="1">
        <f t="shared" si="8"/>
        <v>4.5</v>
      </c>
      <c r="E37" s="1">
        <f t="shared" si="6"/>
        <v>0</v>
      </c>
      <c r="F37" s="1">
        <f t="shared" si="7"/>
        <v>1</v>
      </c>
      <c r="H37" s="8">
        <f t="shared" si="0"/>
        <v>89.25</v>
      </c>
      <c r="I37" s="1">
        <v>33</v>
      </c>
      <c r="J37" s="1">
        <f t="shared" si="1"/>
        <v>89.25</v>
      </c>
      <c r="K37" s="1">
        <f t="shared" si="2"/>
        <v>1.5</v>
      </c>
      <c r="M37"/>
      <c r="N37"/>
      <c r="O37"/>
      <c r="P37"/>
      <c r="Q37"/>
      <c r="R37"/>
    </row>
    <row r="38" spans="2:18" x14ac:dyDescent="0.25">
      <c r="B38" s="1">
        <v>9</v>
      </c>
      <c r="C38" s="1">
        <f t="shared" si="8"/>
        <v>0</v>
      </c>
      <c r="D38" s="1">
        <f t="shared" si="8"/>
        <v>4.5</v>
      </c>
      <c r="E38" s="1">
        <f t="shared" si="6"/>
        <v>0</v>
      </c>
      <c r="F38" s="1">
        <f t="shared" si="7"/>
        <v>1</v>
      </c>
      <c r="H38" s="8">
        <f t="shared" si="0"/>
        <v>91.25</v>
      </c>
      <c r="I38" s="1">
        <v>34</v>
      </c>
      <c r="J38" s="1">
        <f t="shared" si="1"/>
        <v>91.25</v>
      </c>
      <c r="K38" s="1">
        <f t="shared" si="2"/>
        <v>2</v>
      </c>
      <c r="M38"/>
      <c r="N38"/>
      <c r="O38"/>
      <c r="P38"/>
      <c r="Q38"/>
      <c r="R38"/>
    </row>
    <row r="39" spans="2:18" x14ac:dyDescent="0.25">
      <c r="B39" s="1">
        <v>10</v>
      </c>
      <c r="C39" s="1">
        <f t="shared" si="8"/>
        <v>0</v>
      </c>
      <c r="D39" s="1">
        <f t="shared" si="8"/>
        <v>4.5</v>
      </c>
      <c r="E39" s="1">
        <f t="shared" si="6"/>
        <v>0</v>
      </c>
      <c r="F39" s="1">
        <f t="shared" si="7"/>
        <v>1</v>
      </c>
      <c r="H39" s="8">
        <f t="shared" si="0"/>
        <v>93.25</v>
      </c>
      <c r="I39" s="1">
        <v>35</v>
      </c>
      <c r="J39" s="1">
        <f t="shared" si="1"/>
        <v>93.25</v>
      </c>
      <c r="K39" s="1">
        <f t="shared" si="2"/>
        <v>2</v>
      </c>
      <c r="M39"/>
      <c r="N39"/>
      <c r="O39"/>
      <c r="P39"/>
      <c r="Q39"/>
      <c r="R39"/>
    </row>
    <row r="40" spans="2:18" x14ac:dyDescent="0.25">
      <c r="B40" s="1">
        <v>11</v>
      </c>
      <c r="C40" s="1">
        <f t="shared" si="8"/>
        <v>0</v>
      </c>
      <c r="D40" s="1">
        <f t="shared" si="8"/>
        <v>4.5</v>
      </c>
      <c r="E40" s="1">
        <f>VLOOKUP(ROUNDUP(C26,1),$H$4:$I$260,2,TRUE)</f>
        <v>0</v>
      </c>
      <c r="F40" s="1">
        <f>VLOOKUP(ROUNDUP(C26,1),$H$4:$I$260,2,TRUE)+1</f>
        <v>1</v>
      </c>
      <c r="H40" s="8">
        <f t="shared" si="0"/>
        <v>95.25</v>
      </c>
      <c r="I40" s="1">
        <v>36</v>
      </c>
      <c r="J40" s="1">
        <f t="shared" si="1"/>
        <v>95.25</v>
      </c>
      <c r="K40" s="1">
        <f t="shared" si="2"/>
        <v>2</v>
      </c>
      <c r="M40"/>
      <c r="N40"/>
      <c r="O40"/>
      <c r="P40"/>
      <c r="Q40"/>
      <c r="R40"/>
    </row>
    <row r="41" spans="2:18" x14ac:dyDescent="0.25">
      <c r="B41" s="1">
        <v>12</v>
      </c>
      <c r="C41" s="1">
        <f t="shared" si="8"/>
        <v>0</v>
      </c>
      <c r="D41" s="1">
        <f t="shared" si="8"/>
        <v>4.5</v>
      </c>
      <c r="E41" s="1">
        <f>VLOOKUP(ROUNDUP(C27,1),$H$4:$I$260,2,TRUE)</f>
        <v>0</v>
      </c>
      <c r="F41" s="1">
        <f>VLOOKUP(ROUNDUP(C27,1),$H$4:$I$260,2,TRUE)+1</f>
        <v>1</v>
      </c>
      <c r="H41" s="8">
        <f t="shared" si="0"/>
        <v>97</v>
      </c>
      <c r="I41" s="1">
        <v>37</v>
      </c>
      <c r="J41" s="1">
        <f t="shared" si="1"/>
        <v>97</v>
      </c>
      <c r="K41" s="1">
        <f t="shared" si="2"/>
        <v>1.75</v>
      </c>
      <c r="M41"/>
      <c r="N41"/>
      <c r="O41"/>
      <c r="P41"/>
      <c r="Q41"/>
      <c r="R41"/>
    </row>
    <row r="42" spans="2:18" x14ac:dyDescent="0.25">
      <c r="H42" s="8">
        <f t="shared" si="0"/>
        <v>98.5</v>
      </c>
      <c r="I42" s="1">
        <v>38</v>
      </c>
      <c r="J42" s="1">
        <f t="shared" si="1"/>
        <v>98.5</v>
      </c>
      <c r="K42" s="1">
        <f t="shared" si="2"/>
        <v>1.5</v>
      </c>
      <c r="M42"/>
      <c r="N42"/>
      <c r="O42"/>
      <c r="P42"/>
      <c r="Q42"/>
      <c r="R42"/>
    </row>
    <row r="43" spans="2:18" x14ac:dyDescent="0.25">
      <c r="C43" s="1" t="s">
        <v>9</v>
      </c>
      <c r="D43" s="1" t="s">
        <v>10</v>
      </c>
      <c r="E43" s="1" t="s">
        <v>11</v>
      </c>
      <c r="F43" s="1" t="s">
        <v>12</v>
      </c>
      <c r="H43" s="8">
        <f t="shared" si="0"/>
        <v>100</v>
      </c>
      <c r="I43" s="1">
        <v>39</v>
      </c>
      <c r="J43" s="1">
        <f t="shared" si="1"/>
        <v>100</v>
      </c>
      <c r="K43" s="1">
        <f t="shared" si="2"/>
        <v>1.5</v>
      </c>
      <c r="M43"/>
      <c r="N43"/>
      <c r="O43"/>
      <c r="P43"/>
      <c r="Q43"/>
      <c r="R43"/>
    </row>
    <row r="44" spans="2:18" x14ac:dyDescent="0.25">
      <c r="B44" s="1">
        <v>1</v>
      </c>
      <c r="C44" s="9">
        <f t="shared" ref="C44:D49" si="9">VLOOKUP(E44,$I$4:$J$260,2,TRUE)</f>
        <v>0</v>
      </c>
      <c r="D44" s="9">
        <f t="shared" si="9"/>
        <v>4.5</v>
      </c>
      <c r="E44" s="9">
        <f t="shared" ref="E44:E49" si="10">VLOOKUP(ROUNDUP(E16,1),$H$4:$I$260,2,TRUE)</f>
        <v>0</v>
      </c>
      <c r="F44" s="9">
        <f t="shared" ref="F44:F49" si="11">VLOOKUP(ROUNDUP(E16,1),$H$4:$I$260,2,TRUE)+1</f>
        <v>1</v>
      </c>
      <c r="H44" s="8">
        <f t="shared" si="0"/>
        <v>101.5</v>
      </c>
      <c r="I44" s="1">
        <v>40</v>
      </c>
      <c r="J44" s="1">
        <f t="shared" si="1"/>
        <v>101.5</v>
      </c>
      <c r="K44" s="1">
        <f t="shared" si="2"/>
        <v>1.5</v>
      </c>
      <c r="M44"/>
      <c r="N44"/>
      <c r="O44"/>
      <c r="P44"/>
      <c r="Q44"/>
      <c r="R44"/>
    </row>
    <row r="45" spans="2:18" x14ac:dyDescent="0.25">
      <c r="B45" s="1">
        <v>2</v>
      </c>
      <c r="C45" s="9">
        <f t="shared" si="9"/>
        <v>0</v>
      </c>
      <c r="D45" s="9">
        <f t="shared" si="9"/>
        <v>4.5</v>
      </c>
      <c r="E45" s="9">
        <f t="shared" si="10"/>
        <v>0</v>
      </c>
      <c r="F45" s="9">
        <f t="shared" si="11"/>
        <v>1</v>
      </c>
      <c r="H45" s="8">
        <f t="shared" si="0"/>
        <v>103.5</v>
      </c>
      <c r="I45" s="1">
        <v>41</v>
      </c>
      <c r="J45" s="1">
        <f t="shared" si="1"/>
        <v>103.5</v>
      </c>
      <c r="K45" s="1">
        <f t="shared" si="2"/>
        <v>2</v>
      </c>
      <c r="M45"/>
      <c r="N45"/>
      <c r="O45"/>
      <c r="P45"/>
      <c r="Q45"/>
    </row>
    <row r="46" spans="2:18" x14ac:dyDescent="0.25">
      <c r="B46" s="1">
        <v>3</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25">
      <c r="B47" s="1">
        <v>4</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25">
      <c r="B48" s="1">
        <v>5</v>
      </c>
      <c r="C48" s="9">
        <f t="shared" si="9"/>
        <v>0</v>
      </c>
      <c r="D48" s="9">
        <f t="shared" si="9"/>
        <v>4.5</v>
      </c>
      <c r="E48" s="9">
        <f t="shared" si="10"/>
        <v>0</v>
      </c>
      <c r="F48" s="9">
        <f t="shared" si="11"/>
        <v>1</v>
      </c>
      <c r="H48" s="8">
        <f t="shared" si="0"/>
        <v>108.5</v>
      </c>
      <c r="I48" s="1">
        <v>44</v>
      </c>
      <c r="J48" s="1">
        <f t="shared" si="1"/>
        <v>108.5</v>
      </c>
      <c r="K48" s="1">
        <f t="shared" si="2"/>
        <v>2</v>
      </c>
      <c r="M48"/>
      <c r="N48"/>
      <c r="O48"/>
      <c r="P48"/>
      <c r="Q48"/>
    </row>
    <row r="49" spans="2:17" x14ac:dyDescent="0.25">
      <c r="B49" s="1">
        <v>6</v>
      </c>
      <c r="C49" s="9">
        <f t="shared" si="9"/>
        <v>0</v>
      </c>
      <c r="D49" s="9">
        <f t="shared" si="9"/>
        <v>4.5</v>
      </c>
      <c r="E49" s="9">
        <f t="shared" si="10"/>
        <v>0</v>
      </c>
      <c r="F49" s="9">
        <f t="shared" si="11"/>
        <v>1</v>
      </c>
      <c r="H49" s="8">
        <f t="shared" si="0"/>
        <v>110</v>
      </c>
      <c r="I49" s="1">
        <v>45</v>
      </c>
      <c r="J49" s="1">
        <f t="shared" si="1"/>
        <v>110</v>
      </c>
      <c r="K49" s="1">
        <f t="shared" si="2"/>
        <v>1.5</v>
      </c>
      <c r="M49"/>
      <c r="N49"/>
      <c r="O49"/>
      <c r="P49"/>
      <c r="Q49"/>
    </row>
    <row r="50" spans="2:17" x14ac:dyDescent="0.25">
      <c r="B50" s="1">
        <v>7</v>
      </c>
      <c r="C50" s="9">
        <f t="shared" ref="C50:D55" si="12">VLOOKUP(E50,$I$4:$J$260,2,TRUE)</f>
        <v>0</v>
      </c>
      <c r="D50" s="9">
        <f t="shared" si="12"/>
        <v>4.5</v>
      </c>
      <c r="E50" s="9">
        <f t="shared" ref="E50:E55" si="13">VLOOKUP(ROUNDUP(E22,1),$H$4:$I$260,2,TRUE)</f>
        <v>0</v>
      </c>
      <c r="F50" s="9">
        <f t="shared" ref="F50:F55" si="14">VLOOKUP(ROUNDUP(E22,1),$H$4:$I$260,2,TRUE)+1</f>
        <v>1</v>
      </c>
      <c r="H50" s="8">
        <f t="shared" si="0"/>
        <v>111</v>
      </c>
      <c r="I50" s="1">
        <v>46</v>
      </c>
      <c r="J50" s="1">
        <f t="shared" si="1"/>
        <v>111</v>
      </c>
      <c r="K50" s="1">
        <f t="shared" si="2"/>
        <v>1</v>
      </c>
      <c r="M50"/>
      <c r="N50"/>
      <c r="O50"/>
      <c r="P50"/>
      <c r="Q50"/>
    </row>
    <row r="51" spans="2:17" x14ac:dyDescent="0.25">
      <c r="B51" s="1">
        <v>8</v>
      </c>
      <c r="C51" s="9">
        <f t="shared" si="12"/>
        <v>0</v>
      </c>
      <c r="D51" s="9">
        <f t="shared" si="12"/>
        <v>4.5</v>
      </c>
      <c r="E51" s="9">
        <f t="shared" si="13"/>
        <v>0</v>
      </c>
      <c r="F51" s="9">
        <f t="shared" si="14"/>
        <v>1</v>
      </c>
      <c r="H51" s="8">
        <f t="shared" si="0"/>
        <v>112.5</v>
      </c>
      <c r="I51" s="1">
        <v>47</v>
      </c>
      <c r="J51" s="1">
        <f t="shared" si="1"/>
        <v>112.5</v>
      </c>
      <c r="K51" s="1">
        <f t="shared" si="2"/>
        <v>1.5</v>
      </c>
      <c r="M51"/>
      <c r="N51"/>
      <c r="O51"/>
      <c r="P51"/>
      <c r="Q51"/>
    </row>
    <row r="52" spans="2:17" x14ac:dyDescent="0.25">
      <c r="B52" s="1">
        <v>9</v>
      </c>
      <c r="C52" s="9">
        <f t="shared" si="12"/>
        <v>0</v>
      </c>
      <c r="D52" s="9">
        <f t="shared" si="12"/>
        <v>4.5</v>
      </c>
      <c r="E52" s="9">
        <f t="shared" si="13"/>
        <v>0</v>
      </c>
      <c r="F52" s="9">
        <f t="shared" si="14"/>
        <v>1</v>
      </c>
      <c r="H52" s="8">
        <f t="shared" si="0"/>
        <v>114.5</v>
      </c>
      <c r="I52" s="1">
        <v>48</v>
      </c>
      <c r="J52" s="1">
        <f t="shared" si="1"/>
        <v>114.5</v>
      </c>
      <c r="K52" s="1">
        <f t="shared" si="2"/>
        <v>2</v>
      </c>
      <c r="M52"/>
      <c r="N52"/>
      <c r="O52"/>
      <c r="P52"/>
      <c r="Q52"/>
    </row>
    <row r="53" spans="2:17" x14ac:dyDescent="0.25">
      <c r="B53" s="1">
        <v>10</v>
      </c>
      <c r="C53" s="9">
        <f t="shared" si="12"/>
        <v>0</v>
      </c>
      <c r="D53" s="9">
        <f t="shared" si="12"/>
        <v>4.5</v>
      </c>
      <c r="E53" s="9">
        <f t="shared" si="13"/>
        <v>0</v>
      </c>
      <c r="F53" s="9">
        <f t="shared" si="14"/>
        <v>1</v>
      </c>
      <c r="H53" s="8">
        <f t="shared" si="0"/>
        <v>116</v>
      </c>
      <c r="I53" s="1">
        <v>49</v>
      </c>
      <c r="J53" s="1">
        <f t="shared" si="1"/>
        <v>116</v>
      </c>
      <c r="K53" s="1">
        <f t="shared" si="2"/>
        <v>1.5</v>
      </c>
      <c r="M53"/>
      <c r="N53"/>
      <c r="O53"/>
      <c r="P53"/>
      <c r="Q53"/>
    </row>
    <row r="54" spans="2:17" x14ac:dyDescent="0.25">
      <c r="B54" s="1">
        <v>11</v>
      </c>
      <c r="C54" s="9">
        <f t="shared" si="12"/>
        <v>0</v>
      </c>
      <c r="D54" s="9">
        <f t="shared" si="12"/>
        <v>4.5</v>
      </c>
      <c r="E54" s="9">
        <f t="shared" si="13"/>
        <v>0</v>
      </c>
      <c r="F54" s="9">
        <f t="shared" si="14"/>
        <v>1</v>
      </c>
      <c r="H54" s="8">
        <f t="shared" si="0"/>
        <v>117</v>
      </c>
      <c r="I54" s="1">
        <v>50</v>
      </c>
      <c r="J54" s="1">
        <f t="shared" si="1"/>
        <v>117</v>
      </c>
      <c r="K54" s="1">
        <f t="shared" si="2"/>
        <v>1</v>
      </c>
      <c r="M54"/>
      <c r="N54"/>
      <c r="O54"/>
      <c r="P54"/>
      <c r="Q54"/>
    </row>
    <row r="55" spans="2:17" x14ac:dyDescent="0.25">
      <c r="B55" s="1">
        <v>12</v>
      </c>
      <c r="C55" s="9">
        <f t="shared" si="12"/>
        <v>0</v>
      </c>
      <c r="D55" s="9">
        <f t="shared" si="12"/>
        <v>4.5</v>
      </c>
      <c r="E55" s="9">
        <f t="shared" si="13"/>
        <v>0</v>
      </c>
      <c r="F55" s="9">
        <f t="shared" si="14"/>
        <v>1</v>
      </c>
      <c r="H55" s="8">
        <f t="shared" si="0"/>
        <v>118.5</v>
      </c>
      <c r="I55" s="1">
        <v>51</v>
      </c>
      <c r="J55" s="1">
        <f t="shared" si="1"/>
        <v>118.5</v>
      </c>
      <c r="K55" s="1">
        <f t="shared" si="2"/>
        <v>1.5</v>
      </c>
      <c r="M55"/>
      <c r="N55"/>
      <c r="O55"/>
      <c r="P55"/>
      <c r="Q55"/>
    </row>
    <row r="56" spans="2:17" x14ac:dyDescent="0.25">
      <c r="H56" s="8">
        <f t="shared" si="0"/>
        <v>120</v>
      </c>
      <c r="I56" s="1">
        <v>52</v>
      </c>
      <c r="J56" s="1">
        <f t="shared" si="1"/>
        <v>120</v>
      </c>
      <c r="K56" s="1">
        <f t="shared" si="2"/>
        <v>1.5</v>
      </c>
      <c r="M56"/>
      <c r="N56"/>
      <c r="O56"/>
      <c r="P56"/>
      <c r="Q56"/>
    </row>
    <row r="57" spans="2:17" x14ac:dyDescent="0.25">
      <c r="H57" s="8">
        <f t="shared" si="0"/>
        <v>121.5</v>
      </c>
      <c r="I57" s="1">
        <v>53</v>
      </c>
      <c r="J57" s="1">
        <f t="shared" si="1"/>
        <v>121.5</v>
      </c>
      <c r="K57" s="1">
        <f t="shared" si="2"/>
        <v>1.5</v>
      </c>
      <c r="M57"/>
      <c r="N57"/>
      <c r="O57"/>
      <c r="P57"/>
      <c r="Q57"/>
    </row>
    <row r="58" spans="2:17" x14ac:dyDescent="0.25">
      <c r="H58" s="8">
        <f t="shared" si="0"/>
        <v>123</v>
      </c>
      <c r="I58" s="1">
        <v>54</v>
      </c>
      <c r="J58" s="1">
        <f t="shared" si="1"/>
        <v>123</v>
      </c>
      <c r="K58" s="1">
        <f t="shared" si="2"/>
        <v>1.5</v>
      </c>
      <c r="M58"/>
      <c r="N58"/>
      <c r="O58"/>
      <c r="P58"/>
      <c r="Q58"/>
    </row>
    <row r="59" spans="2:17" x14ac:dyDescent="0.25">
      <c r="H59" s="8">
        <f t="shared" si="0"/>
        <v>124</v>
      </c>
      <c r="I59" s="1">
        <v>55</v>
      </c>
      <c r="J59" s="1">
        <f t="shared" si="1"/>
        <v>124</v>
      </c>
      <c r="K59" s="1">
        <f t="shared" si="2"/>
        <v>1</v>
      </c>
      <c r="M59"/>
      <c r="N59"/>
      <c r="O59"/>
      <c r="P59"/>
      <c r="Q59"/>
    </row>
    <row r="60" spans="2:17" x14ac:dyDescent="0.25">
      <c r="H60" s="8">
        <f t="shared" si="0"/>
        <v>125.5</v>
      </c>
      <c r="I60" s="1">
        <v>56</v>
      </c>
      <c r="J60" s="1">
        <f t="shared" si="1"/>
        <v>125.5</v>
      </c>
      <c r="K60" s="1">
        <f t="shared" si="2"/>
        <v>1.5</v>
      </c>
      <c r="M60"/>
      <c r="N60"/>
      <c r="O60"/>
      <c r="P60"/>
      <c r="Q60"/>
    </row>
    <row r="61" spans="2:17" x14ac:dyDescent="0.25">
      <c r="H61" s="8">
        <f t="shared" si="0"/>
        <v>127</v>
      </c>
      <c r="I61" s="1">
        <v>57</v>
      </c>
      <c r="J61" s="1">
        <f t="shared" si="1"/>
        <v>127</v>
      </c>
      <c r="K61" s="1">
        <f t="shared" si="2"/>
        <v>1.5</v>
      </c>
      <c r="M61"/>
      <c r="N61"/>
      <c r="O61"/>
      <c r="P61"/>
      <c r="Q61"/>
    </row>
    <row r="62" spans="2:17" x14ac:dyDescent="0.25">
      <c r="H62" s="8">
        <f t="shared" si="0"/>
        <v>128</v>
      </c>
      <c r="I62" s="1">
        <v>58</v>
      </c>
      <c r="J62" s="1">
        <f t="shared" si="1"/>
        <v>128</v>
      </c>
      <c r="K62" s="1">
        <f t="shared" si="2"/>
        <v>1</v>
      </c>
      <c r="M62"/>
      <c r="N62"/>
      <c r="O62"/>
      <c r="P62"/>
      <c r="Q62"/>
    </row>
    <row r="63" spans="2:17" x14ac:dyDescent="0.25">
      <c r="H63" s="8">
        <f t="shared" si="0"/>
        <v>129.5</v>
      </c>
      <c r="I63" s="1">
        <v>59</v>
      </c>
      <c r="J63" s="1">
        <f t="shared" si="1"/>
        <v>129.5</v>
      </c>
      <c r="K63" s="1">
        <f t="shared" si="2"/>
        <v>1.5</v>
      </c>
      <c r="M63"/>
      <c r="N63"/>
      <c r="O63"/>
      <c r="P63"/>
      <c r="Q63"/>
    </row>
    <row r="64" spans="2:17" x14ac:dyDescent="0.25">
      <c r="H64" s="8">
        <f t="shared" si="0"/>
        <v>131</v>
      </c>
      <c r="I64" s="1">
        <v>60</v>
      </c>
      <c r="J64" s="1">
        <f t="shared" si="1"/>
        <v>131</v>
      </c>
      <c r="K64" s="1">
        <f t="shared" si="2"/>
        <v>1.5</v>
      </c>
      <c r="M64"/>
      <c r="N64"/>
      <c r="O64"/>
      <c r="P64"/>
      <c r="Q64"/>
    </row>
    <row r="65" spans="8:17" x14ac:dyDescent="0.25">
      <c r="H65" s="8">
        <f t="shared" si="0"/>
        <v>132</v>
      </c>
      <c r="I65" s="1">
        <v>61</v>
      </c>
      <c r="J65" s="1">
        <f t="shared" si="1"/>
        <v>132</v>
      </c>
      <c r="K65" s="1">
        <f t="shared" si="2"/>
        <v>1</v>
      </c>
      <c r="M65"/>
      <c r="N65"/>
      <c r="O65"/>
      <c r="P65"/>
      <c r="Q65"/>
    </row>
    <row r="66" spans="8:17" x14ac:dyDescent="0.25">
      <c r="H66" s="8">
        <f t="shared" si="0"/>
        <v>133.5</v>
      </c>
      <c r="I66" s="1">
        <v>62</v>
      </c>
      <c r="J66" s="1">
        <f t="shared" si="1"/>
        <v>133.5</v>
      </c>
      <c r="K66" s="1">
        <f t="shared" si="2"/>
        <v>1.5</v>
      </c>
      <c r="M66"/>
      <c r="N66"/>
      <c r="O66"/>
      <c r="P66"/>
      <c r="Q66"/>
    </row>
    <row r="67" spans="8:17" x14ac:dyDescent="0.25">
      <c r="H67" s="8">
        <f t="shared" si="0"/>
        <v>134.5</v>
      </c>
      <c r="I67" s="1">
        <v>63</v>
      </c>
      <c r="J67" s="1">
        <f t="shared" si="1"/>
        <v>134.5</v>
      </c>
      <c r="K67" s="1">
        <f t="shared" si="2"/>
        <v>1</v>
      </c>
      <c r="M67"/>
      <c r="N67"/>
      <c r="O67"/>
      <c r="P67"/>
      <c r="Q67"/>
    </row>
    <row r="68" spans="8:17" x14ac:dyDescent="0.25">
      <c r="H68" s="8">
        <f t="shared" si="0"/>
        <v>135.5</v>
      </c>
      <c r="I68" s="1">
        <v>64</v>
      </c>
      <c r="J68" s="1">
        <f t="shared" si="1"/>
        <v>135.5</v>
      </c>
      <c r="K68" s="1">
        <f t="shared" si="2"/>
        <v>1</v>
      </c>
      <c r="M68"/>
      <c r="N68"/>
      <c r="O68"/>
      <c r="P68"/>
      <c r="Q68"/>
    </row>
    <row r="69" spans="8:17" x14ac:dyDescent="0.25">
      <c r="H69" s="8">
        <f t="shared" ref="H69:H132" si="15">J69</f>
        <v>137</v>
      </c>
      <c r="I69" s="1">
        <v>65</v>
      </c>
      <c r="J69" s="1">
        <f t="shared" si="1"/>
        <v>137</v>
      </c>
      <c r="K69" s="1">
        <f t="shared" si="2"/>
        <v>1.5</v>
      </c>
      <c r="M69"/>
      <c r="N69"/>
      <c r="O69"/>
      <c r="P69"/>
      <c r="Q69"/>
    </row>
    <row r="70" spans="8:17" x14ac:dyDescent="0.25">
      <c r="H70" s="8">
        <f t="shared" si="15"/>
        <v>138</v>
      </c>
      <c r="I70" s="1">
        <v>66</v>
      </c>
      <c r="J70" s="1">
        <f t="shared" ref="J70:J133" si="16">VALUE(MID($O$2,FIND("*",SUBSTITUTE($O$2," ","*",I70),1)+1,FIND("*",SUBSTITUTE($O$2," ","*",I71),1)-FIND("*",SUBSTITUTE($O$2," ","*",I70),1)-1))/4</f>
        <v>138</v>
      </c>
      <c r="K70" s="1">
        <f t="shared" ref="K70:K133" si="17">J70-J69</f>
        <v>1</v>
      </c>
      <c r="M70"/>
      <c r="N70"/>
      <c r="O70"/>
      <c r="P70"/>
      <c r="Q70"/>
    </row>
    <row r="71" spans="8:17" x14ac:dyDescent="0.25">
      <c r="H71" s="8">
        <f t="shared" si="15"/>
        <v>139.5</v>
      </c>
      <c r="I71" s="1">
        <v>67</v>
      </c>
      <c r="J71" s="1">
        <f t="shared" si="16"/>
        <v>139.5</v>
      </c>
      <c r="K71" s="1">
        <f t="shared" si="17"/>
        <v>1.5</v>
      </c>
      <c r="M71"/>
      <c r="N71"/>
      <c r="O71"/>
      <c r="P71"/>
      <c r="Q71"/>
    </row>
    <row r="72" spans="8:17" x14ac:dyDescent="0.25">
      <c r="H72" s="8">
        <f t="shared" si="15"/>
        <v>141</v>
      </c>
      <c r="I72" s="1">
        <v>68</v>
      </c>
      <c r="J72" s="1">
        <f t="shared" si="16"/>
        <v>141</v>
      </c>
      <c r="K72" s="1">
        <f t="shared" si="17"/>
        <v>1.5</v>
      </c>
      <c r="M72"/>
      <c r="N72"/>
      <c r="O72"/>
      <c r="P72"/>
      <c r="Q72"/>
    </row>
    <row r="73" spans="8:17" x14ac:dyDescent="0.25">
      <c r="H73" s="8">
        <f t="shared" si="15"/>
        <v>142</v>
      </c>
      <c r="I73" s="1">
        <v>69</v>
      </c>
      <c r="J73" s="1">
        <f t="shared" si="16"/>
        <v>142</v>
      </c>
      <c r="K73" s="1">
        <f t="shared" si="17"/>
        <v>1</v>
      </c>
      <c r="M73"/>
      <c r="N73"/>
      <c r="O73"/>
      <c r="P73"/>
      <c r="Q73"/>
    </row>
    <row r="74" spans="8:17" x14ac:dyDescent="0.25">
      <c r="H74" s="8">
        <f t="shared" si="15"/>
        <v>143</v>
      </c>
      <c r="I74" s="1">
        <v>70</v>
      </c>
      <c r="J74" s="1">
        <f t="shared" si="16"/>
        <v>143</v>
      </c>
      <c r="K74" s="1">
        <f t="shared" si="17"/>
        <v>1</v>
      </c>
      <c r="M74"/>
      <c r="N74"/>
      <c r="O74"/>
      <c r="P74"/>
      <c r="Q74"/>
    </row>
    <row r="75" spans="8:17" x14ac:dyDescent="0.25">
      <c r="H75" s="8">
        <f t="shared" si="15"/>
        <v>144</v>
      </c>
      <c r="I75" s="1">
        <v>71</v>
      </c>
      <c r="J75" s="1">
        <f t="shared" si="16"/>
        <v>144</v>
      </c>
      <c r="K75" s="1">
        <f t="shared" si="17"/>
        <v>1</v>
      </c>
      <c r="M75"/>
      <c r="N75"/>
      <c r="O75"/>
      <c r="P75"/>
      <c r="Q75"/>
    </row>
    <row r="76" spans="8:17" x14ac:dyDescent="0.25">
      <c r="H76" s="8">
        <f t="shared" si="15"/>
        <v>145</v>
      </c>
      <c r="I76" s="1">
        <v>72</v>
      </c>
      <c r="J76" s="1">
        <f t="shared" si="16"/>
        <v>145</v>
      </c>
      <c r="K76" s="1">
        <f t="shared" si="17"/>
        <v>1</v>
      </c>
      <c r="M76"/>
      <c r="N76"/>
      <c r="O76"/>
      <c r="P76"/>
      <c r="Q76"/>
    </row>
    <row r="77" spans="8:17" x14ac:dyDescent="0.25">
      <c r="H77" s="8">
        <f t="shared" si="15"/>
        <v>146</v>
      </c>
      <c r="I77" s="1">
        <v>73</v>
      </c>
      <c r="J77" s="1">
        <f t="shared" si="16"/>
        <v>146</v>
      </c>
      <c r="K77" s="1">
        <f t="shared" si="17"/>
        <v>1</v>
      </c>
      <c r="M77"/>
      <c r="N77"/>
      <c r="O77"/>
      <c r="P77"/>
      <c r="Q77"/>
    </row>
    <row r="78" spans="8:17" x14ac:dyDescent="0.25">
      <c r="H78" s="8">
        <f t="shared" si="15"/>
        <v>147</v>
      </c>
      <c r="I78" s="1">
        <v>74</v>
      </c>
      <c r="J78" s="1">
        <f t="shared" si="16"/>
        <v>147</v>
      </c>
      <c r="K78" s="1">
        <f t="shared" si="17"/>
        <v>1</v>
      </c>
      <c r="M78"/>
      <c r="N78"/>
      <c r="O78"/>
      <c r="P78"/>
      <c r="Q78"/>
    </row>
    <row r="79" spans="8:17" x14ac:dyDescent="0.25">
      <c r="H79" s="8">
        <f t="shared" si="15"/>
        <v>148</v>
      </c>
      <c r="I79" s="1">
        <v>75</v>
      </c>
      <c r="J79" s="1">
        <f t="shared" si="16"/>
        <v>148</v>
      </c>
      <c r="K79" s="1">
        <f t="shared" si="17"/>
        <v>1</v>
      </c>
      <c r="M79"/>
      <c r="N79"/>
      <c r="O79"/>
      <c r="P79"/>
      <c r="Q79"/>
    </row>
    <row r="80" spans="8:17" x14ac:dyDescent="0.25">
      <c r="H80" s="8">
        <f t="shared" si="15"/>
        <v>149.5</v>
      </c>
      <c r="I80" s="1">
        <v>76</v>
      </c>
      <c r="J80" s="1">
        <f t="shared" si="16"/>
        <v>149.5</v>
      </c>
      <c r="K80" s="1">
        <f t="shared" si="17"/>
        <v>1.5</v>
      </c>
      <c r="M80"/>
      <c r="N80"/>
      <c r="O80"/>
      <c r="P80"/>
      <c r="Q80"/>
    </row>
    <row r="81" spans="2:17" x14ac:dyDescent="0.25">
      <c r="H81" s="8">
        <f t="shared" si="15"/>
        <v>150.5</v>
      </c>
      <c r="I81" s="1">
        <v>77</v>
      </c>
      <c r="J81" s="1">
        <f t="shared" si="16"/>
        <v>150.5</v>
      </c>
      <c r="K81" s="1">
        <f t="shared" si="17"/>
        <v>1</v>
      </c>
      <c r="M81"/>
      <c r="N81"/>
      <c r="O81"/>
      <c r="P81"/>
      <c r="Q81"/>
    </row>
    <row r="82" spans="2:17" x14ac:dyDescent="0.25">
      <c r="H82" s="8">
        <f t="shared" si="15"/>
        <v>151.5</v>
      </c>
      <c r="I82" s="1">
        <v>78</v>
      </c>
      <c r="J82" s="1">
        <f t="shared" si="16"/>
        <v>151.5</v>
      </c>
      <c r="K82" s="1">
        <f t="shared" si="17"/>
        <v>1</v>
      </c>
      <c r="M82"/>
      <c r="N82"/>
      <c r="O82"/>
      <c r="P82"/>
      <c r="Q82"/>
    </row>
    <row r="83" spans="2:17" x14ac:dyDescent="0.25">
      <c r="H83" s="8">
        <f t="shared" si="15"/>
        <v>152.5</v>
      </c>
      <c r="I83" s="1">
        <v>79</v>
      </c>
      <c r="J83" s="1">
        <f t="shared" si="16"/>
        <v>152.5</v>
      </c>
      <c r="K83" s="1">
        <f t="shared" si="17"/>
        <v>1</v>
      </c>
      <c r="M83"/>
      <c r="N83"/>
      <c r="O83"/>
      <c r="P83"/>
      <c r="Q83"/>
    </row>
    <row r="84" spans="2:17" x14ac:dyDescent="0.25">
      <c r="B84" s="2"/>
      <c r="C84"/>
      <c r="H84" s="8">
        <f t="shared" si="15"/>
        <v>153.5</v>
      </c>
      <c r="I84" s="1">
        <v>80</v>
      </c>
      <c r="J84" s="1">
        <f t="shared" si="16"/>
        <v>153.5</v>
      </c>
      <c r="K84" s="1">
        <f t="shared" si="17"/>
        <v>1</v>
      </c>
      <c r="M84"/>
      <c r="N84"/>
      <c r="O84"/>
      <c r="P84"/>
      <c r="Q84"/>
    </row>
    <row r="85" spans="2:17" x14ac:dyDescent="0.25">
      <c r="B85"/>
      <c r="C85"/>
      <c r="H85" s="8">
        <f t="shared" si="15"/>
        <v>154.5</v>
      </c>
      <c r="I85" s="1">
        <v>81</v>
      </c>
      <c r="J85" s="1">
        <f t="shared" si="16"/>
        <v>154.5</v>
      </c>
      <c r="K85" s="1">
        <f t="shared" si="17"/>
        <v>1</v>
      </c>
      <c r="M85"/>
      <c r="N85"/>
      <c r="O85"/>
      <c r="P85"/>
      <c r="Q85"/>
    </row>
    <row r="86" spans="2:17" x14ac:dyDescent="0.25">
      <c r="B86"/>
      <c r="C86"/>
      <c r="H86" s="8">
        <f t="shared" si="15"/>
        <v>155.5</v>
      </c>
      <c r="I86" s="1">
        <v>82</v>
      </c>
      <c r="J86" s="1">
        <f t="shared" si="16"/>
        <v>155.5</v>
      </c>
      <c r="K86" s="1">
        <f t="shared" si="17"/>
        <v>1</v>
      </c>
      <c r="M86"/>
      <c r="N86"/>
      <c r="O86"/>
      <c r="P86"/>
      <c r="Q86"/>
    </row>
    <row r="87" spans="2:17" x14ac:dyDescent="0.25">
      <c r="B87"/>
      <c r="C87"/>
      <c r="H87" s="8">
        <f t="shared" si="15"/>
        <v>156.5</v>
      </c>
      <c r="I87" s="1">
        <v>83</v>
      </c>
      <c r="J87" s="1">
        <f t="shared" si="16"/>
        <v>156.5</v>
      </c>
      <c r="K87" s="1">
        <f t="shared" si="17"/>
        <v>1</v>
      </c>
      <c r="M87"/>
      <c r="N87"/>
      <c r="O87"/>
      <c r="P87"/>
      <c r="Q87"/>
    </row>
    <row r="88" spans="2:17" x14ac:dyDescent="0.25">
      <c r="H88" s="8">
        <f t="shared" si="15"/>
        <v>157.5</v>
      </c>
      <c r="I88" s="1">
        <v>84</v>
      </c>
      <c r="J88" s="1">
        <f t="shared" si="16"/>
        <v>157.5</v>
      </c>
      <c r="K88" s="1">
        <f t="shared" si="17"/>
        <v>1</v>
      </c>
      <c r="M88"/>
      <c r="N88"/>
      <c r="O88"/>
      <c r="P88"/>
      <c r="Q88"/>
    </row>
    <row r="89" spans="2:17" x14ac:dyDescent="0.25">
      <c r="H89" s="8">
        <f t="shared" si="15"/>
        <v>158</v>
      </c>
      <c r="I89" s="1">
        <v>85</v>
      </c>
      <c r="J89" s="1">
        <f t="shared" si="16"/>
        <v>158</v>
      </c>
      <c r="K89" s="1">
        <f t="shared" si="17"/>
        <v>0.5</v>
      </c>
      <c r="M89"/>
      <c r="N89"/>
      <c r="O89"/>
      <c r="P89"/>
      <c r="Q89"/>
    </row>
    <row r="90" spans="2:17" x14ac:dyDescent="0.25">
      <c r="H90" s="8">
        <f t="shared" si="15"/>
        <v>159</v>
      </c>
      <c r="I90" s="1">
        <v>86</v>
      </c>
      <c r="J90" s="1">
        <f t="shared" si="16"/>
        <v>159</v>
      </c>
      <c r="K90" s="1">
        <f t="shared" si="17"/>
        <v>1</v>
      </c>
      <c r="M90"/>
      <c r="N90"/>
      <c r="O90"/>
      <c r="P90"/>
      <c r="Q90"/>
    </row>
    <row r="91" spans="2:17" x14ac:dyDescent="0.25">
      <c r="H91" s="8">
        <f t="shared" si="15"/>
        <v>160</v>
      </c>
      <c r="I91" s="1">
        <v>87</v>
      </c>
      <c r="J91" s="1">
        <f t="shared" si="16"/>
        <v>160</v>
      </c>
      <c r="K91" s="1">
        <f t="shared" si="17"/>
        <v>1</v>
      </c>
      <c r="M91"/>
      <c r="N91"/>
      <c r="O91"/>
      <c r="P91"/>
      <c r="Q91"/>
    </row>
    <row r="92" spans="2:17" x14ac:dyDescent="0.25">
      <c r="H92" s="8">
        <f t="shared" si="15"/>
        <v>161.25</v>
      </c>
      <c r="I92" s="1">
        <v>88</v>
      </c>
      <c r="J92" s="1">
        <f t="shared" si="16"/>
        <v>161.25</v>
      </c>
      <c r="K92" s="1">
        <f t="shared" si="17"/>
        <v>1.25</v>
      </c>
      <c r="M92"/>
      <c r="N92"/>
      <c r="O92"/>
      <c r="P92"/>
      <c r="Q92"/>
    </row>
    <row r="93" spans="2:17" x14ac:dyDescent="0.25">
      <c r="H93" s="8">
        <f t="shared" si="15"/>
        <v>162.25</v>
      </c>
      <c r="I93" s="1">
        <v>89</v>
      </c>
      <c r="J93" s="1">
        <f t="shared" si="16"/>
        <v>162.25</v>
      </c>
      <c r="K93" s="1">
        <f t="shared" si="17"/>
        <v>1</v>
      </c>
      <c r="M93"/>
      <c r="N93"/>
      <c r="O93"/>
      <c r="P93"/>
      <c r="Q93"/>
    </row>
    <row r="94" spans="2:17" x14ac:dyDescent="0.25">
      <c r="H94" s="8">
        <f t="shared" si="15"/>
        <v>163.25</v>
      </c>
      <c r="I94" s="1">
        <v>90</v>
      </c>
      <c r="J94" s="1">
        <f t="shared" si="16"/>
        <v>163.25</v>
      </c>
      <c r="K94" s="1">
        <f t="shared" si="17"/>
        <v>1</v>
      </c>
      <c r="M94"/>
      <c r="N94"/>
      <c r="O94"/>
      <c r="P94"/>
      <c r="Q94"/>
    </row>
    <row r="95" spans="2:17" x14ac:dyDescent="0.25">
      <c r="H95" s="8">
        <f t="shared" si="15"/>
        <v>164.25</v>
      </c>
      <c r="I95" s="1">
        <v>91</v>
      </c>
      <c r="J95" s="1">
        <f t="shared" si="16"/>
        <v>164.25</v>
      </c>
      <c r="K95" s="1">
        <f t="shared" si="17"/>
        <v>1</v>
      </c>
      <c r="M95"/>
      <c r="N95"/>
      <c r="O95"/>
      <c r="P95"/>
      <c r="Q95"/>
    </row>
    <row r="96" spans="2:17" x14ac:dyDescent="0.25">
      <c r="H96" s="8">
        <f t="shared" si="15"/>
        <v>165.25</v>
      </c>
      <c r="I96" s="1">
        <v>92</v>
      </c>
      <c r="J96" s="1">
        <f t="shared" si="16"/>
        <v>165.25</v>
      </c>
      <c r="K96" s="1">
        <f t="shared" si="17"/>
        <v>1</v>
      </c>
      <c r="M96"/>
      <c r="N96"/>
      <c r="O96"/>
      <c r="P96"/>
      <c r="Q96"/>
    </row>
    <row r="97" spans="8:17" x14ac:dyDescent="0.25">
      <c r="H97" s="8">
        <f t="shared" si="15"/>
        <v>166.25</v>
      </c>
      <c r="I97" s="1">
        <v>93</v>
      </c>
      <c r="J97" s="1">
        <f t="shared" si="16"/>
        <v>166.25</v>
      </c>
      <c r="K97" s="1">
        <f t="shared" si="17"/>
        <v>1</v>
      </c>
      <c r="M97"/>
      <c r="N97"/>
      <c r="O97"/>
      <c r="P97"/>
      <c r="Q97"/>
    </row>
    <row r="98" spans="8:17" x14ac:dyDescent="0.25">
      <c r="H98" s="8">
        <f t="shared" si="15"/>
        <v>167.25</v>
      </c>
      <c r="I98" s="1">
        <v>94</v>
      </c>
      <c r="J98" s="1">
        <f t="shared" si="16"/>
        <v>167.25</v>
      </c>
      <c r="K98" s="1">
        <f t="shared" si="17"/>
        <v>1</v>
      </c>
      <c r="M98"/>
      <c r="N98"/>
      <c r="O98"/>
      <c r="P98"/>
      <c r="Q98"/>
    </row>
    <row r="99" spans="8:17" x14ac:dyDescent="0.25">
      <c r="H99" s="8">
        <f t="shared" si="15"/>
        <v>168</v>
      </c>
      <c r="I99" s="1">
        <v>95</v>
      </c>
      <c r="J99" s="1">
        <f t="shared" si="16"/>
        <v>168</v>
      </c>
      <c r="K99" s="1">
        <f t="shared" si="17"/>
        <v>0.75</v>
      </c>
      <c r="M99"/>
      <c r="N99"/>
      <c r="O99"/>
      <c r="P99"/>
      <c r="Q99"/>
    </row>
    <row r="100" spans="8:17" x14ac:dyDescent="0.25">
      <c r="H100" s="8">
        <f t="shared" si="15"/>
        <v>168.75</v>
      </c>
      <c r="I100" s="1">
        <v>96</v>
      </c>
      <c r="J100" s="1">
        <f t="shared" si="16"/>
        <v>168.75</v>
      </c>
      <c r="K100" s="1">
        <f t="shared" si="17"/>
        <v>0.75</v>
      </c>
      <c r="M100"/>
      <c r="N100"/>
      <c r="O100"/>
      <c r="P100"/>
      <c r="Q100"/>
    </row>
    <row r="101" spans="8:17" x14ac:dyDescent="0.25">
      <c r="H101" s="8">
        <f t="shared" si="15"/>
        <v>169.75</v>
      </c>
      <c r="I101" s="1">
        <v>97</v>
      </c>
      <c r="J101" s="1">
        <f t="shared" si="16"/>
        <v>169.75</v>
      </c>
      <c r="K101" s="1">
        <f t="shared" si="17"/>
        <v>1</v>
      </c>
      <c r="M101"/>
      <c r="N101"/>
      <c r="O101"/>
      <c r="P101"/>
      <c r="Q101"/>
    </row>
    <row r="102" spans="8:17" x14ac:dyDescent="0.25">
      <c r="H102" s="8">
        <f t="shared" si="15"/>
        <v>170.25</v>
      </c>
      <c r="I102" s="1">
        <v>98</v>
      </c>
      <c r="J102" s="1">
        <f t="shared" si="16"/>
        <v>170.25</v>
      </c>
      <c r="K102" s="1">
        <f t="shared" si="17"/>
        <v>0.5</v>
      </c>
      <c r="M102"/>
      <c r="N102"/>
      <c r="O102"/>
      <c r="P102"/>
      <c r="Q102"/>
    </row>
    <row r="103" spans="8:17" x14ac:dyDescent="0.25">
      <c r="H103" s="8">
        <f t="shared" si="15"/>
        <v>171.25</v>
      </c>
      <c r="I103" s="1">
        <v>99</v>
      </c>
      <c r="J103" s="1">
        <f t="shared" si="16"/>
        <v>171.25</v>
      </c>
      <c r="K103" s="1">
        <f t="shared" si="17"/>
        <v>1</v>
      </c>
      <c r="M103"/>
      <c r="N103"/>
      <c r="O103"/>
      <c r="P103"/>
      <c r="Q103"/>
    </row>
    <row r="104" spans="8:17" x14ac:dyDescent="0.25">
      <c r="H104" s="8">
        <f t="shared" si="15"/>
        <v>172</v>
      </c>
      <c r="I104" s="1">
        <v>100</v>
      </c>
      <c r="J104" s="1">
        <f t="shared" si="16"/>
        <v>172</v>
      </c>
      <c r="K104" s="1">
        <f t="shared" si="17"/>
        <v>0.75</v>
      </c>
      <c r="M104"/>
      <c r="N104"/>
      <c r="O104"/>
      <c r="P104"/>
      <c r="Q104"/>
    </row>
    <row r="105" spans="8:17" x14ac:dyDescent="0.25">
      <c r="H105" s="8">
        <f t="shared" si="15"/>
        <v>172.75</v>
      </c>
      <c r="I105" s="1">
        <v>101</v>
      </c>
      <c r="J105" s="1">
        <f t="shared" si="16"/>
        <v>172.75</v>
      </c>
      <c r="K105" s="1">
        <f t="shared" si="17"/>
        <v>0.75</v>
      </c>
      <c r="M105"/>
      <c r="N105"/>
      <c r="O105"/>
      <c r="P105"/>
      <c r="Q105"/>
    </row>
    <row r="106" spans="8:17" x14ac:dyDescent="0.25">
      <c r="H106" s="8">
        <f t="shared" si="15"/>
        <v>173.75</v>
      </c>
      <c r="I106" s="1">
        <v>102</v>
      </c>
      <c r="J106" s="1">
        <f t="shared" si="16"/>
        <v>173.75</v>
      </c>
      <c r="K106" s="1">
        <f t="shared" si="17"/>
        <v>1</v>
      </c>
      <c r="M106"/>
      <c r="N106"/>
      <c r="O106"/>
      <c r="P106"/>
      <c r="Q106"/>
    </row>
    <row r="107" spans="8:17" x14ac:dyDescent="0.25">
      <c r="H107" s="8">
        <f t="shared" si="15"/>
        <v>174.75</v>
      </c>
      <c r="I107" s="1">
        <v>103</v>
      </c>
      <c r="J107" s="1">
        <f t="shared" si="16"/>
        <v>174.75</v>
      </c>
      <c r="K107" s="1">
        <f t="shared" si="17"/>
        <v>1</v>
      </c>
      <c r="M107"/>
      <c r="N107"/>
      <c r="O107"/>
      <c r="P107"/>
      <c r="Q107"/>
    </row>
    <row r="108" spans="8:17" x14ac:dyDescent="0.25">
      <c r="H108" s="8">
        <f t="shared" si="15"/>
        <v>175.25</v>
      </c>
      <c r="I108" s="1">
        <v>104</v>
      </c>
      <c r="J108" s="1">
        <f t="shared" si="16"/>
        <v>175.25</v>
      </c>
      <c r="K108" s="1">
        <f t="shared" si="17"/>
        <v>0.5</v>
      </c>
      <c r="M108"/>
      <c r="N108"/>
      <c r="O108"/>
      <c r="P108"/>
      <c r="Q108"/>
    </row>
    <row r="109" spans="8:17" x14ac:dyDescent="0.25">
      <c r="H109" s="8">
        <f t="shared" si="15"/>
        <v>176</v>
      </c>
      <c r="I109" s="1">
        <v>105</v>
      </c>
      <c r="J109" s="1">
        <f t="shared" si="16"/>
        <v>176</v>
      </c>
      <c r="K109" s="1">
        <f t="shared" si="17"/>
        <v>0.75</v>
      </c>
      <c r="M109"/>
      <c r="N109"/>
      <c r="O109"/>
      <c r="P109"/>
      <c r="Q109"/>
    </row>
    <row r="110" spans="8:17" x14ac:dyDescent="0.25">
      <c r="H110" s="8">
        <f t="shared" si="15"/>
        <v>176.75</v>
      </c>
      <c r="I110" s="1">
        <v>106</v>
      </c>
      <c r="J110" s="1">
        <f t="shared" si="16"/>
        <v>176.75</v>
      </c>
      <c r="K110" s="1">
        <f t="shared" si="17"/>
        <v>0.75</v>
      </c>
      <c r="M110"/>
      <c r="N110"/>
      <c r="O110"/>
      <c r="P110"/>
      <c r="Q110"/>
    </row>
    <row r="111" spans="8:17" x14ac:dyDescent="0.25">
      <c r="H111" s="8">
        <f t="shared" si="15"/>
        <v>177.75</v>
      </c>
      <c r="I111" s="1">
        <v>107</v>
      </c>
      <c r="J111" s="1">
        <f t="shared" si="16"/>
        <v>177.75</v>
      </c>
      <c r="K111" s="1">
        <f t="shared" si="17"/>
        <v>1</v>
      </c>
      <c r="M111"/>
      <c r="N111"/>
      <c r="O111"/>
      <c r="P111"/>
      <c r="Q111"/>
    </row>
    <row r="112" spans="8:17" x14ac:dyDescent="0.25">
      <c r="H112" s="8">
        <f t="shared" si="15"/>
        <v>178.25</v>
      </c>
      <c r="I112" s="1">
        <v>108</v>
      </c>
      <c r="J112" s="1">
        <f t="shared" si="16"/>
        <v>178.25</v>
      </c>
      <c r="K112" s="1">
        <f t="shared" si="17"/>
        <v>0.5</v>
      </c>
      <c r="M112"/>
      <c r="N112"/>
      <c r="O112"/>
      <c r="P112"/>
      <c r="Q112"/>
    </row>
    <row r="113" spans="8:17" x14ac:dyDescent="0.25">
      <c r="H113" s="8">
        <f t="shared" si="15"/>
        <v>179</v>
      </c>
      <c r="I113" s="1">
        <v>109</v>
      </c>
      <c r="J113" s="1">
        <f t="shared" si="16"/>
        <v>179</v>
      </c>
      <c r="K113" s="1">
        <f t="shared" si="17"/>
        <v>0.75</v>
      </c>
      <c r="M113"/>
      <c r="N113"/>
      <c r="O113"/>
      <c r="P113"/>
      <c r="Q113"/>
    </row>
    <row r="114" spans="8:17" x14ac:dyDescent="0.25">
      <c r="H114" s="8">
        <f t="shared" si="15"/>
        <v>179.75</v>
      </c>
      <c r="I114" s="1">
        <v>110</v>
      </c>
      <c r="J114" s="1">
        <f t="shared" si="16"/>
        <v>179.75</v>
      </c>
      <c r="K114" s="1">
        <f t="shared" si="17"/>
        <v>0.75</v>
      </c>
      <c r="M114"/>
      <c r="N114"/>
      <c r="O114"/>
      <c r="P114"/>
      <c r="Q114"/>
    </row>
    <row r="115" spans="8:17" x14ac:dyDescent="0.25">
      <c r="H115" s="8">
        <f t="shared" si="15"/>
        <v>180.75</v>
      </c>
      <c r="I115" s="1">
        <v>111</v>
      </c>
      <c r="J115" s="1">
        <f t="shared" si="16"/>
        <v>180.75</v>
      </c>
      <c r="K115" s="1">
        <f t="shared" si="17"/>
        <v>1</v>
      </c>
      <c r="M115"/>
      <c r="N115"/>
      <c r="O115"/>
      <c r="P115"/>
      <c r="Q115"/>
    </row>
    <row r="116" spans="8:17" x14ac:dyDescent="0.25">
      <c r="H116" s="8">
        <f t="shared" si="15"/>
        <v>181.25</v>
      </c>
      <c r="I116" s="1">
        <v>112</v>
      </c>
      <c r="J116" s="1">
        <f t="shared" si="16"/>
        <v>181.25</v>
      </c>
      <c r="K116" s="1">
        <f t="shared" si="17"/>
        <v>0.5</v>
      </c>
      <c r="M116"/>
      <c r="N116"/>
      <c r="O116"/>
      <c r="P116"/>
      <c r="Q116"/>
    </row>
    <row r="117" spans="8:17" x14ac:dyDescent="0.25">
      <c r="H117" s="8">
        <f t="shared" si="15"/>
        <v>182</v>
      </c>
      <c r="I117" s="1">
        <v>113</v>
      </c>
      <c r="J117" s="1">
        <f t="shared" si="16"/>
        <v>182</v>
      </c>
      <c r="K117" s="1">
        <f t="shared" si="17"/>
        <v>0.75</v>
      </c>
      <c r="M117"/>
      <c r="N117"/>
      <c r="O117"/>
      <c r="P117"/>
      <c r="Q117"/>
    </row>
    <row r="118" spans="8:17" x14ac:dyDescent="0.25">
      <c r="H118" s="8">
        <f t="shared" si="15"/>
        <v>182.75</v>
      </c>
      <c r="I118" s="1">
        <v>114</v>
      </c>
      <c r="J118" s="1">
        <f t="shared" si="16"/>
        <v>182.75</v>
      </c>
      <c r="K118" s="1">
        <f t="shared" si="17"/>
        <v>0.75</v>
      </c>
      <c r="M118"/>
      <c r="N118"/>
      <c r="O118"/>
      <c r="P118"/>
      <c r="Q118"/>
    </row>
    <row r="119" spans="8:17" x14ac:dyDescent="0.25">
      <c r="H119" s="8">
        <f t="shared" si="15"/>
        <v>183.75</v>
      </c>
      <c r="I119" s="1">
        <v>115</v>
      </c>
      <c r="J119" s="1">
        <f t="shared" si="16"/>
        <v>183.75</v>
      </c>
      <c r="K119" s="1">
        <f t="shared" si="17"/>
        <v>1</v>
      </c>
      <c r="M119"/>
      <c r="N119"/>
      <c r="O119"/>
      <c r="P119"/>
      <c r="Q119"/>
    </row>
    <row r="120" spans="8:17" x14ac:dyDescent="0.25">
      <c r="H120" s="8">
        <f t="shared" si="15"/>
        <v>184.25</v>
      </c>
      <c r="I120" s="1">
        <v>116</v>
      </c>
      <c r="J120" s="1">
        <f t="shared" si="16"/>
        <v>184.25</v>
      </c>
      <c r="K120" s="1">
        <f t="shared" si="17"/>
        <v>0.5</v>
      </c>
      <c r="M120"/>
      <c r="N120"/>
      <c r="O120"/>
      <c r="P120"/>
      <c r="Q120"/>
    </row>
    <row r="121" spans="8:17" x14ac:dyDescent="0.25">
      <c r="H121" s="8">
        <f t="shared" si="15"/>
        <v>185.25</v>
      </c>
      <c r="I121" s="1">
        <v>117</v>
      </c>
      <c r="J121" s="1">
        <f t="shared" si="16"/>
        <v>185.25</v>
      </c>
      <c r="K121" s="1">
        <f t="shared" si="17"/>
        <v>1</v>
      </c>
      <c r="M121"/>
      <c r="N121"/>
      <c r="O121"/>
      <c r="P121"/>
      <c r="Q121"/>
    </row>
    <row r="122" spans="8:17" x14ac:dyDescent="0.25">
      <c r="H122" s="8">
        <f t="shared" si="15"/>
        <v>186</v>
      </c>
      <c r="I122" s="1">
        <v>118</v>
      </c>
      <c r="J122" s="1">
        <f t="shared" si="16"/>
        <v>186</v>
      </c>
      <c r="K122" s="1">
        <f t="shared" si="17"/>
        <v>0.75</v>
      </c>
      <c r="M122"/>
      <c r="N122"/>
      <c r="O122"/>
      <c r="P122"/>
      <c r="Q122"/>
    </row>
    <row r="123" spans="8:17" x14ac:dyDescent="0.25">
      <c r="H123" s="8">
        <f t="shared" si="15"/>
        <v>186.75</v>
      </c>
      <c r="I123" s="1">
        <v>119</v>
      </c>
      <c r="J123" s="1">
        <f t="shared" si="16"/>
        <v>186.75</v>
      </c>
      <c r="K123" s="1">
        <f t="shared" si="17"/>
        <v>0.75</v>
      </c>
      <c r="M123"/>
      <c r="N123"/>
      <c r="O123"/>
      <c r="P123"/>
      <c r="Q123"/>
    </row>
    <row r="124" spans="8:17" x14ac:dyDescent="0.25">
      <c r="H124" s="8">
        <f t="shared" si="15"/>
        <v>187.25</v>
      </c>
      <c r="I124" s="1">
        <v>120</v>
      </c>
      <c r="J124" s="1">
        <f t="shared" si="16"/>
        <v>187.25</v>
      </c>
      <c r="K124" s="1">
        <f t="shared" si="17"/>
        <v>0.5</v>
      </c>
      <c r="M124"/>
      <c r="N124"/>
      <c r="O124"/>
      <c r="P124"/>
      <c r="Q124"/>
    </row>
    <row r="125" spans="8:17" x14ac:dyDescent="0.25">
      <c r="H125" s="8">
        <f t="shared" si="15"/>
        <v>188</v>
      </c>
      <c r="I125" s="1">
        <v>121</v>
      </c>
      <c r="J125" s="1">
        <f t="shared" si="16"/>
        <v>188</v>
      </c>
      <c r="K125" s="1">
        <f t="shared" si="17"/>
        <v>0.75</v>
      </c>
      <c r="M125"/>
      <c r="N125"/>
      <c r="O125"/>
      <c r="P125"/>
      <c r="Q125"/>
    </row>
    <row r="126" spans="8:17" x14ac:dyDescent="0.25">
      <c r="H126" s="8">
        <f t="shared" si="15"/>
        <v>188.75</v>
      </c>
      <c r="I126" s="1">
        <v>122</v>
      </c>
      <c r="J126" s="1">
        <f t="shared" si="16"/>
        <v>188.75</v>
      </c>
      <c r="K126" s="1">
        <f t="shared" si="17"/>
        <v>0.75</v>
      </c>
      <c r="M126"/>
      <c r="N126"/>
      <c r="O126"/>
      <c r="P126"/>
      <c r="Q126"/>
    </row>
    <row r="127" spans="8:17" x14ac:dyDescent="0.25">
      <c r="H127" s="8">
        <f t="shared" si="15"/>
        <v>189.25</v>
      </c>
      <c r="I127" s="1">
        <v>123</v>
      </c>
      <c r="J127" s="1">
        <f t="shared" si="16"/>
        <v>189.25</v>
      </c>
      <c r="K127" s="1">
        <f t="shared" si="17"/>
        <v>0.5</v>
      </c>
      <c r="M127"/>
      <c r="N127"/>
      <c r="O127"/>
      <c r="P127"/>
      <c r="Q127"/>
    </row>
    <row r="128" spans="8:17" x14ac:dyDescent="0.25">
      <c r="H128" s="8">
        <f t="shared" si="15"/>
        <v>190</v>
      </c>
      <c r="I128" s="1">
        <v>124</v>
      </c>
      <c r="J128" s="1">
        <f t="shared" si="16"/>
        <v>190</v>
      </c>
      <c r="K128" s="1">
        <f t="shared" si="17"/>
        <v>0.75</v>
      </c>
      <c r="M128"/>
      <c r="N128"/>
      <c r="O128"/>
      <c r="P128"/>
      <c r="Q128"/>
    </row>
    <row r="129" spans="8:17" x14ac:dyDescent="0.25">
      <c r="H129" s="8">
        <f t="shared" si="15"/>
        <v>190.75</v>
      </c>
      <c r="I129" s="1">
        <v>125</v>
      </c>
      <c r="J129" s="1">
        <f t="shared" si="16"/>
        <v>190.75</v>
      </c>
      <c r="K129" s="1">
        <f t="shared" si="17"/>
        <v>0.75</v>
      </c>
      <c r="M129"/>
      <c r="N129"/>
      <c r="O129"/>
      <c r="P129"/>
      <c r="Q129"/>
    </row>
    <row r="130" spans="8:17" x14ac:dyDescent="0.25">
      <c r="H130" s="8">
        <f t="shared" si="15"/>
        <v>191.25</v>
      </c>
      <c r="I130" s="1">
        <v>126</v>
      </c>
      <c r="J130" s="1">
        <f t="shared" si="16"/>
        <v>191.25</v>
      </c>
      <c r="K130" s="1">
        <f t="shared" si="17"/>
        <v>0.5</v>
      </c>
      <c r="M130"/>
      <c r="N130"/>
      <c r="O130"/>
      <c r="P130"/>
      <c r="Q130"/>
    </row>
    <row r="131" spans="8:17" x14ac:dyDescent="0.25">
      <c r="H131" s="8">
        <f t="shared" si="15"/>
        <v>192</v>
      </c>
      <c r="I131" s="1">
        <v>127</v>
      </c>
      <c r="J131" s="1">
        <f t="shared" si="16"/>
        <v>192</v>
      </c>
      <c r="K131" s="1">
        <f t="shared" si="17"/>
        <v>0.75</v>
      </c>
      <c r="M131"/>
      <c r="N131"/>
      <c r="O131"/>
      <c r="P131"/>
      <c r="Q131"/>
    </row>
    <row r="132" spans="8:17" x14ac:dyDescent="0.25">
      <c r="H132" s="8">
        <f t="shared" si="15"/>
        <v>192.75</v>
      </c>
      <c r="I132" s="1">
        <v>128</v>
      </c>
      <c r="J132" s="1">
        <f t="shared" si="16"/>
        <v>192.75</v>
      </c>
      <c r="K132" s="1">
        <f t="shared" si="17"/>
        <v>0.75</v>
      </c>
      <c r="M132"/>
      <c r="N132"/>
      <c r="O132"/>
      <c r="P132"/>
      <c r="Q132"/>
    </row>
    <row r="133" spans="8:17" x14ac:dyDescent="0.25">
      <c r="H133" s="8">
        <f t="shared" ref="H133:H196" si="18">J133</f>
        <v>193.25</v>
      </c>
      <c r="I133" s="1">
        <v>129</v>
      </c>
      <c r="J133" s="1">
        <f t="shared" si="16"/>
        <v>193.25</v>
      </c>
      <c r="K133" s="1">
        <f t="shared" si="17"/>
        <v>0.5</v>
      </c>
      <c r="M133"/>
      <c r="N133"/>
      <c r="O133"/>
      <c r="P133"/>
      <c r="Q133"/>
    </row>
    <row r="134" spans="8:17" x14ac:dyDescent="0.25">
      <c r="H134" s="8">
        <f t="shared" si="18"/>
        <v>194</v>
      </c>
      <c r="I134" s="1">
        <v>130</v>
      </c>
      <c r="J134" s="1">
        <f t="shared" ref="J134:J197" si="19">VALUE(MID($O$2,FIND("*",SUBSTITUTE($O$2," ","*",I134),1)+1,FIND("*",SUBSTITUTE($O$2," ","*",I135),1)-FIND("*",SUBSTITUTE($O$2," ","*",I134),1)-1))/4</f>
        <v>194</v>
      </c>
      <c r="K134" s="1">
        <f t="shared" ref="K134:K197" si="20">J134-J133</f>
        <v>0.75</v>
      </c>
      <c r="M134"/>
      <c r="N134"/>
      <c r="O134"/>
      <c r="P134"/>
      <c r="Q134"/>
    </row>
    <row r="135" spans="8:17" x14ac:dyDescent="0.25">
      <c r="H135" s="8">
        <f t="shared" si="18"/>
        <v>194.75</v>
      </c>
      <c r="I135" s="1">
        <v>131</v>
      </c>
      <c r="J135" s="1">
        <f t="shared" si="19"/>
        <v>194.75</v>
      </c>
      <c r="K135" s="1">
        <f t="shared" si="20"/>
        <v>0.75</v>
      </c>
      <c r="M135"/>
      <c r="N135"/>
      <c r="O135"/>
      <c r="P135"/>
      <c r="Q135"/>
    </row>
    <row r="136" spans="8:17" x14ac:dyDescent="0.25">
      <c r="H136" s="8">
        <f t="shared" si="18"/>
        <v>195.25</v>
      </c>
      <c r="I136" s="1">
        <v>132</v>
      </c>
      <c r="J136" s="1">
        <f t="shared" si="19"/>
        <v>195.25</v>
      </c>
      <c r="K136" s="1">
        <f t="shared" si="20"/>
        <v>0.5</v>
      </c>
      <c r="M136"/>
      <c r="N136"/>
      <c r="O136"/>
      <c r="P136"/>
      <c r="Q136"/>
    </row>
    <row r="137" spans="8:17" x14ac:dyDescent="0.25">
      <c r="H137" s="8">
        <f t="shared" si="18"/>
        <v>196</v>
      </c>
      <c r="I137" s="1">
        <v>133</v>
      </c>
      <c r="J137" s="1">
        <f t="shared" si="19"/>
        <v>196</v>
      </c>
      <c r="K137" s="1">
        <f t="shared" si="20"/>
        <v>0.75</v>
      </c>
      <c r="M137"/>
      <c r="N137"/>
      <c r="O137"/>
      <c r="P137"/>
      <c r="Q137"/>
    </row>
    <row r="138" spans="8:17" x14ac:dyDescent="0.25">
      <c r="H138" s="8">
        <f t="shared" si="18"/>
        <v>196.75</v>
      </c>
      <c r="I138" s="1">
        <v>134</v>
      </c>
      <c r="J138" s="1">
        <f t="shared" si="19"/>
        <v>196.75</v>
      </c>
      <c r="K138" s="1">
        <f t="shared" si="20"/>
        <v>0.75</v>
      </c>
      <c r="M138"/>
      <c r="N138"/>
      <c r="O138"/>
      <c r="P138"/>
      <c r="Q138"/>
    </row>
    <row r="139" spans="8:17" x14ac:dyDescent="0.25">
      <c r="H139" s="8">
        <f t="shared" si="18"/>
        <v>197.25</v>
      </c>
      <c r="I139" s="1">
        <v>135</v>
      </c>
      <c r="J139" s="1">
        <f t="shared" si="19"/>
        <v>197.25</v>
      </c>
      <c r="K139" s="1">
        <f t="shared" si="20"/>
        <v>0.5</v>
      </c>
      <c r="M139"/>
      <c r="N139"/>
      <c r="O139"/>
      <c r="P139"/>
      <c r="Q139"/>
    </row>
    <row r="140" spans="8:17" x14ac:dyDescent="0.25">
      <c r="H140" s="8">
        <f t="shared" si="18"/>
        <v>198</v>
      </c>
      <c r="I140" s="1">
        <v>136</v>
      </c>
      <c r="J140" s="1">
        <f t="shared" si="19"/>
        <v>198</v>
      </c>
      <c r="K140" s="1">
        <f t="shared" si="20"/>
        <v>0.75</v>
      </c>
      <c r="M140"/>
      <c r="N140"/>
      <c r="O140"/>
      <c r="P140"/>
      <c r="Q140"/>
    </row>
    <row r="141" spans="8:17" x14ac:dyDescent="0.25">
      <c r="H141" s="8">
        <f t="shared" si="18"/>
        <v>198.75</v>
      </c>
      <c r="I141" s="1">
        <v>137</v>
      </c>
      <c r="J141" s="1">
        <f t="shared" si="19"/>
        <v>198.75</v>
      </c>
      <c r="K141" s="1">
        <f t="shared" si="20"/>
        <v>0.75</v>
      </c>
      <c r="M141"/>
      <c r="N141"/>
      <c r="O141"/>
      <c r="P141"/>
      <c r="Q141"/>
    </row>
    <row r="142" spans="8:17" x14ac:dyDescent="0.25">
      <c r="H142" s="8">
        <f t="shared" si="18"/>
        <v>199.25</v>
      </c>
      <c r="I142" s="1">
        <v>138</v>
      </c>
      <c r="J142" s="1">
        <f t="shared" si="19"/>
        <v>199.25</v>
      </c>
      <c r="K142" s="1">
        <f t="shared" si="20"/>
        <v>0.5</v>
      </c>
      <c r="M142"/>
      <c r="N142"/>
      <c r="O142"/>
      <c r="P142"/>
      <c r="Q142"/>
    </row>
    <row r="143" spans="8:17" x14ac:dyDescent="0.25">
      <c r="H143" s="8">
        <f t="shared" si="18"/>
        <v>200</v>
      </c>
      <c r="I143" s="1">
        <v>139</v>
      </c>
      <c r="J143" s="1">
        <f t="shared" si="19"/>
        <v>200</v>
      </c>
      <c r="K143" s="1">
        <f t="shared" si="20"/>
        <v>0.75</v>
      </c>
      <c r="M143"/>
      <c r="N143"/>
      <c r="O143"/>
      <c r="P143"/>
      <c r="Q143"/>
    </row>
    <row r="144" spans="8:17" x14ac:dyDescent="0.25">
      <c r="H144" s="8">
        <f t="shared" si="18"/>
        <v>200.75</v>
      </c>
      <c r="I144" s="1">
        <v>140</v>
      </c>
      <c r="J144" s="1">
        <f t="shared" si="19"/>
        <v>200.75</v>
      </c>
      <c r="K144" s="1">
        <f t="shared" si="20"/>
        <v>0.75</v>
      </c>
      <c r="M144"/>
      <c r="N144"/>
      <c r="O144"/>
      <c r="P144"/>
      <c r="Q144"/>
    </row>
    <row r="145" spans="8:17" x14ac:dyDescent="0.25">
      <c r="H145" s="8">
        <f t="shared" si="18"/>
        <v>201.25</v>
      </c>
      <c r="I145" s="1">
        <v>141</v>
      </c>
      <c r="J145" s="1">
        <f t="shared" si="19"/>
        <v>201.25</v>
      </c>
      <c r="K145" s="1">
        <f t="shared" si="20"/>
        <v>0.5</v>
      </c>
      <c r="M145"/>
      <c r="N145"/>
      <c r="O145"/>
      <c r="P145"/>
      <c r="Q145"/>
    </row>
    <row r="146" spans="8:17" x14ac:dyDescent="0.25">
      <c r="H146" s="8">
        <f t="shared" si="18"/>
        <v>202</v>
      </c>
      <c r="I146" s="1">
        <v>142</v>
      </c>
      <c r="J146" s="1">
        <f t="shared" si="19"/>
        <v>202</v>
      </c>
      <c r="K146" s="1">
        <f t="shared" si="20"/>
        <v>0.75</v>
      </c>
      <c r="M146"/>
      <c r="N146"/>
      <c r="O146"/>
      <c r="P146"/>
      <c r="Q146"/>
    </row>
    <row r="147" spans="8:17" x14ac:dyDescent="0.25">
      <c r="H147" s="8">
        <f t="shared" si="18"/>
        <v>202.75</v>
      </c>
      <c r="I147" s="1">
        <v>143</v>
      </c>
      <c r="J147" s="1">
        <f t="shared" si="19"/>
        <v>202.75</v>
      </c>
      <c r="K147" s="1">
        <f t="shared" si="20"/>
        <v>0.75</v>
      </c>
      <c r="M147"/>
      <c r="N147"/>
      <c r="O147"/>
      <c r="P147"/>
      <c r="Q147"/>
    </row>
    <row r="148" spans="8:17" x14ac:dyDescent="0.25">
      <c r="H148" s="8">
        <f t="shared" si="18"/>
        <v>203.25</v>
      </c>
      <c r="I148" s="1">
        <v>144</v>
      </c>
      <c r="J148" s="1">
        <f t="shared" si="19"/>
        <v>203.25</v>
      </c>
      <c r="K148" s="1">
        <f t="shared" si="20"/>
        <v>0.5</v>
      </c>
      <c r="M148"/>
      <c r="N148"/>
      <c r="O148"/>
      <c r="P148"/>
      <c r="Q148"/>
    </row>
    <row r="149" spans="8:17" x14ac:dyDescent="0.25">
      <c r="H149" s="8">
        <f t="shared" si="18"/>
        <v>204</v>
      </c>
      <c r="I149" s="1">
        <v>145</v>
      </c>
      <c r="J149" s="1">
        <f t="shared" si="19"/>
        <v>204</v>
      </c>
      <c r="K149" s="1">
        <f t="shared" si="20"/>
        <v>0.75</v>
      </c>
      <c r="M149"/>
      <c r="N149"/>
      <c r="O149"/>
      <c r="P149"/>
      <c r="Q149"/>
    </row>
    <row r="150" spans="8:17" x14ac:dyDescent="0.25">
      <c r="H150" s="8">
        <f t="shared" si="18"/>
        <v>204.75</v>
      </c>
      <c r="I150" s="1">
        <v>146</v>
      </c>
      <c r="J150" s="1">
        <f t="shared" si="19"/>
        <v>204.75</v>
      </c>
      <c r="K150" s="1">
        <f t="shared" si="20"/>
        <v>0.75</v>
      </c>
      <c r="M150"/>
      <c r="N150"/>
      <c r="O150"/>
      <c r="P150"/>
      <c r="Q150"/>
    </row>
    <row r="151" spans="8:17" x14ac:dyDescent="0.25">
      <c r="H151" s="8">
        <f t="shared" si="18"/>
        <v>205.25</v>
      </c>
      <c r="I151" s="1">
        <v>147</v>
      </c>
      <c r="J151" s="1">
        <f t="shared" si="19"/>
        <v>205.25</v>
      </c>
      <c r="K151" s="1">
        <f t="shared" si="20"/>
        <v>0.5</v>
      </c>
      <c r="M151"/>
      <c r="N151"/>
      <c r="O151"/>
      <c r="P151"/>
      <c r="Q151"/>
    </row>
    <row r="152" spans="8:17" x14ac:dyDescent="0.25">
      <c r="H152" s="8">
        <f t="shared" si="18"/>
        <v>205.75</v>
      </c>
      <c r="I152" s="1">
        <v>148</v>
      </c>
      <c r="J152" s="1">
        <f t="shared" si="19"/>
        <v>205.75</v>
      </c>
      <c r="K152" s="1">
        <f t="shared" si="20"/>
        <v>0.5</v>
      </c>
      <c r="M152"/>
      <c r="N152"/>
      <c r="O152"/>
      <c r="P152"/>
      <c r="Q152"/>
    </row>
    <row r="153" spans="8:17" x14ac:dyDescent="0.25">
      <c r="H153" s="8">
        <f t="shared" si="18"/>
        <v>206.25</v>
      </c>
      <c r="I153" s="1">
        <v>149</v>
      </c>
      <c r="J153" s="1">
        <f t="shared" si="19"/>
        <v>206.25</v>
      </c>
      <c r="K153" s="1">
        <f t="shared" si="20"/>
        <v>0.5</v>
      </c>
      <c r="M153"/>
      <c r="N153"/>
      <c r="O153"/>
      <c r="P153"/>
      <c r="Q153"/>
    </row>
    <row r="154" spans="8:17" x14ac:dyDescent="0.25">
      <c r="H154" s="8">
        <f t="shared" si="18"/>
        <v>206.75</v>
      </c>
      <c r="I154" s="1">
        <v>150</v>
      </c>
      <c r="J154" s="1">
        <f t="shared" si="19"/>
        <v>206.75</v>
      </c>
      <c r="K154" s="1">
        <f t="shared" si="20"/>
        <v>0.5</v>
      </c>
      <c r="M154"/>
      <c r="N154"/>
      <c r="O154"/>
      <c r="P154"/>
      <c r="Q154"/>
    </row>
    <row r="155" spans="8:17" x14ac:dyDescent="0.25">
      <c r="H155" s="8">
        <f t="shared" si="18"/>
        <v>207.25</v>
      </c>
      <c r="I155" s="1">
        <v>151</v>
      </c>
      <c r="J155" s="1">
        <f t="shared" si="19"/>
        <v>207.25</v>
      </c>
      <c r="K155" s="1">
        <f t="shared" si="20"/>
        <v>0.5</v>
      </c>
      <c r="M155"/>
      <c r="N155"/>
      <c r="O155"/>
      <c r="P155"/>
      <c r="Q155"/>
    </row>
    <row r="156" spans="8:17" x14ac:dyDescent="0.25">
      <c r="H156" s="8">
        <f t="shared" si="18"/>
        <v>207.75</v>
      </c>
      <c r="I156" s="1">
        <v>152</v>
      </c>
      <c r="J156" s="1">
        <f t="shared" si="19"/>
        <v>207.75</v>
      </c>
      <c r="K156" s="1">
        <f t="shared" si="20"/>
        <v>0.5</v>
      </c>
      <c r="M156"/>
      <c r="N156"/>
      <c r="O156"/>
      <c r="P156"/>
      <c r="Q156"/>
    </row>
    <row r="157" spans="8:17" x14ac:dyDescent="0.25">
      <c r="H157" s="8">
        <f t="shared" si="18"/>
        <v>208.25</v>
      </c>
      <c r="I157" s="1">
        <v>153</v>
      </c>
      <c r="J157" s="1">
        <f t="shared" si="19"/>
        <v>208.25</v>
      </c>
      <c r="K157" s="1">
        <f t="shared" si="20"/>
        <v>0.5</v>
      </c>
      <c r="M157"/>
      <c r="N157"/>
      <c r="O157"/>
      <c r="P157"/>
      <c r="Q157"/>
    </row>
    <row r="158" spans="8:17" x14ac:dyDescent="0.25">
      <c r="H158" s="8">
        <f t="shared" si="18"/>
        <v>209</v>
      </c>
      <c r="I158" s="1">
        <v>154</v>
      </c>
      <c r="J158" s="1">
        <f t="shared" si="19"/>
        <v>209</v>
      </c>
      <c r="K158" s="1">
        <f t="shared" si="20"/>
        <v>0.75</v>
      </c>
      <c r="M158"/>
      <c r="N158"/>
      <c r="O158"/>
      <c r="P158"/>
      <c r="Q158"/>
    </row>
    <row r="159" spans="8:17" x14ac:dyDescent="0.25">
      <c r="H159" s="8">
        <f t="shared" si="18"/>
        <v>209.75</v>
      </c>
      <c r="I159" s="1">
        <v>155</v>
      </c>
      <c r="J159" s="1">
        <f t="shared" si="19"/>
        <v>209.75</v>
      </c>
      <c r="K159" s="1">
        <f t="shared" si="20"/>
        <v>0.75</v>
      </c>
      <c r="M159"/>
      <c r="N159"/>
      <c r="O159"/>
      <c r="P159"/>
      <c r="Q159"/>
    </row>
    <row r="160" spans="8:17" x14ac:dyDescent="0.25">
      <c r="H160" s="8">
        <f t="shared" si="18"/>
        <v>210.25</v>
      </c>
      <c r="I160" s="1">
        <v>156</v>
      </c>
      <c r="J160" s="1">
        <f t="shared" si="19"/>
        <v>210.25</v>
      </c>
      <c r="K160" s="1">
        <f t="shared" si="20"/>
        <v>0.5</v>
      </c>
      <c r="M160"/>
      <c r="N160"/>
      <c r="O160"/>
      <c r="P160"/>
      <c r="Q160"/>
    </row>
    <row r="161" spans="8:17" x14ac:dyDescent="0.25">
      <c r="H161" s="8">
        <f t="shared" si="18"/>
        <v>211</v>
      </c>
      <c r="I161" s="1">
        <v>157</v>
      </c>
      <c r="J161" s="1">
        <f t="shared" si="19"/>
        <v>211</v>
      </c>
      <c r="K161" s="1">
        <f t="shared" si="20"/>
        <v>0.75</v>
      </c>
      <c r="M161"/>
      <c r="N161"/>
      <c r="O161"/>
      <c r="P161"/>
      <c r="Q161"/>
    </row>
    <row r="162" spans="8:17" x14ac:dyDescent="0.25">
      <c r="H162" s="8">
        <f t="shared" si="18"/>
        <v>211.5</v>
      </c>
      <c r="I162" s="1">
        <v>158</v>
      </c>
      <c r="J162" s="1">
        <f t="shared" si="19"/>
        <v>211.5</v>
      </c>
      <c r="K162" s="1">
        <f t="shared" si="20"/>
        <v>0.5</v>
      </c>
      <c r="M162"/>
      <c r="N162"/>
      <c r="O162"/>
      <c r="P162"/>
      <c r="Q162"/>
    </row>
    <row r="163" spans="8:17" x14ac:dyDescent="0.25">
      <c r="H163" s="8">
        <f t="shared" si="18"/>
        <v>212</v>
      </c>
      <c r="I163" s="1">
        <v>159</v>
      </c>
      <c r="J163" s="1">
        <f t="shared" si="19"/>
        <v>212</v>
      </c>
      <c r="K163" s="1">
        <f t="shared" si="20"/>
        <v>0.5</v>
      </c>
      <c r="M163"/>
      <c r="N163"/>
      <c r="O163"/>
      <c r="P163"/>
      <c r="Q163"/>
    </row>
    <row r="164" spans="8:17" x14ac:dyDescent="0.25">
      <c r="H164" s="8">
        <f t="shared" si="18"/>
        <v>212.75</v>
      </c>
      <c r="I164" s="1">
        <v>160</v>
      </c>
      <c r="J164" s="1">
        <f t="shared" si="19"/>
        <v>212.75</v>
      </c>
      <c r="K164" s="1">
        <f t="shared" si="20"/>
        <v>0.75</v>
      </c>
      <c r="M164"/>
      <c r="N164"/>
      <c r="O164"/>
      <c r="P164"/>
      <c r="Q164"/>
    </row>
    <row r="165" spans="8:17" x14ac:dyDescent="0.25">
      <c r="H165" s="8">
        <f t="shared" si="18"/>
        <v>213.25</v>
      </c>
      <c r="I165" s="1">
        <v>161</v>
      </c>
      <c r="J165" s="1">
        <f t="shared" si="19"/>
        <v>213.25</v>
      </c>
      <c r="K165" s="1">
        <f t="shared" si="20"/>
        <v>0.5</v>
      </c>
      <c r="M165"/>
      <c r="N165"/>
      <c r="O165"/>
      <c r="P165"/>
      <c r="Q165"/>
    </row>
    <row r="166" spans="8:17" x14ac:dyDescent="0.25">
      <c r="H166" s="8">
        <f t="shared" si="18"/>
        <v>213.75</v>
      </c>
      <c r="I166" s="1">
        <v>162</v>
      </c>
      <c r="J166" s="1">
        <f t="shared" si="19"/>
        <v>213.75</v>
      </c>
      <c r="K166" s="1">
        <f t="shared" si="20"/>
        <v>0.5</v>
      </c>
      <c r="M166"/>
      <c r="N166"/>
      <c r="O166"/>
      <c r="P166"/>
      <c r="Q166"/>
    </row>
    <row r="167" spans="8:17" x14ac:dyDescent="0.25">
      <c r="H167" s="8">
        <f t="shared" si="18"/>
        <v>214.25</v>
      </c>
      <c r="I167" s="1">
        <v>163</v>
      </c>
      <c r="J167" s="1">
        <f t="shared" si="19"/>
        <v>214.25</v>
      </c>
      <c r="K167" s="1">
        <f t="shared" si="20"/>
        <v>0.5</v>
      </c>
      <c r="M167"/>
      <c r="N167"/>
      <c r="O167"/>
      <c r="P167"/>
      <c r="Q167"/>
    </row>
    <row r="168" spans="8:17" x14ac:dyDescent="0.25">
      <c r="H168" s="8">
        <f t="shared" si="18"/>
        <v>214.75</v>
      </c>
      <c r="I168" s="1">
        <v>164</v>
      </c>
      <c r="J168" s="1">
        <f t="shared" si="19"/>
        <v>214.75</v>
      </c>
      <c r="K168" s="1">
        <f t="shared" si="20"/>
        <v>0.5</v>
      </c>
      <c r="M168"/>
      <c r="N168"/>
      <c r="O168"/>
      <c r="P168"/>
      <c r="Q168"/>
    </row>
    <row r="169" spans="8:17" x14ac:dyDescent="0.25">
      <c r="H169" s="8">
        <f t="shared" si="18"/>
        <v>215.25</v>
      </c>
      <c r="I169" s="1">
        <v>165</v>
      </c>
      <c r="J169" s="1">
        <f t="shared" si="19"/>
        <v>215.25</v>
      </c>
      <c r="K169" s="1">
        <f t="shared" si="20"/>
        <v>0.5</v>
      </c>
      <c r="M169"/>
      <c r="N169"/>
      <c r="O169"/>
      <c r="P169"/>
      <c r="Q169"/>
    </row>
    <row r="170" spans="8:17" x14ac:dyDescent="0.25">
      <c r="H170" s="8">
        <f t="shared" si="18"/>
        <v>216</v>
      </c>
      <c r="I170" s="1">
        <v>166</v>
      </c>
      <c r="J170" s="1">
        <f t="shared" si="19"/>
        <v>216</v>
      </c>
      <c r="K170" s="1">
        <f t="shared" si="20"/>
        <v>0.75</v>
      </c>
      <c r="M170"/>
      <c r="N170"/>
      <c r="O170"/>
      <c r="P170"/>
      <c r="Q170"/>
    </row>
    <row r="171" spans="8:17" x14ac:dyDescent="0.25">
      <c r="H171" s="8">
        <f t="shared" si="18"/>
        <v>216.5</v>
      </c>
      <c r="I171" s="1">
        <v>167</v>
      </c>
      <c r="J171" s="1">
        <f t="shared" si="19"/>
        <v>216.5</v>
      </c>
      <c r="K171" s="1">
        <f t="shared" si="20"/>
        <v>0.5</v>
      </c>
      <c r="M171"/>
      <c r="N171"/>
      <c r="O171"/>
      <c r="P171"/>
      <c r="Q171"/>
    </row>
    <row r="172" spans="8:17" x14ac:dyDescent="0.25">
      <c r="H172" s="8">
        <f t="shared" si="18"/>
        <v>217</v>
      </c>
      <c r="I172" s="1">
        <v>168</v>
      </c>
      <c r="J172" s="1">
        <f t="shared" si="19"/>
        <v>217</v>
      </c>
      <c r="K172" s="1">
        <f t="shared" si="20"/>
        <v>0.5</v>
      </c>
      <c r="M172"/>
      <c r="N172"/>
      <c r="O172"/>
      <c r="P172"/>
      <c r="Q172"/>
    </row>
    <row r="173" spans="8:17" x14ac:dyDescent="0.25">
      <c r="H173" s="8">
        <f t="shared" si="18"/>
        <v>217.5</v>
      </c>
      <c r="I173" s="1">
        <v>169</v>
      </c>
      <c r="J173" s="1">
        <f t="shared" si="19"/>
        <v>217.5</v>
      </c>
      <c r="K173" s="1">
        <f t="shared" si="20"/>
        <v>0.5</v>
      </c>
      <c r="M173"/>
      <c r="N173"/>
      <c r="O173"/>
      <c r="P173"/>
      <c r="Q173"/>
    </row>
    <row r="174" spans="8:17" x14ac:dyDescent="0.25">
      <c r="H174" s="8">
        <f t="shared" si="18"/>
        <v>218</v>
      </c>
      <c r="I174" s="1">
        <v>170</v>
      </c>
      <c r="J174" s="1">
        <f t="shared" si="19"/>
        <v>218</v>
      </c>
      <c r="K174" s="1">
        <f t="shared" si="20"/>
        <v>0.5</v>
      </c>
      <c r="M174"/>
      <c r="N174"/>
      <c r="O174"/>
      <c r="P174"/>
      <c r="Q174"/>
    </row>
    <row r="175" spans="8:17" x14ac:dyDescent="0.25">
      <c r="H175" s="8">
        <f t="shared" si="18"/>
        <v>218.5</v>
      </c>
      <c r="I175" s="1">
        <v>171</v>
      </c>
      <c r="J175" s="1">
        <f t="shared" si="19"/>
        <v>218.5</v>
      </c>
      <c r="K175" s="1">
        <f t="shared" si="20"/>
        <v>0.5</v>
      </c>
      <c r="M175"/>
      <c r="N175"/>
      <c r="O175"/>
      <c r="P175"/>
      <c r="Q175"/>
    </row>
    <row r="176" spans="8:17" x14ac:dyDescent="0.25">
      <c r="H176" s="8">
        <f t="shared" si="18"/>
        <v>219</v>
      </c>
      <c r="I176" s="1">
        <v>172</v>
      </c>
      <c r="J176" s="1">
        <f t="shared" si="19"/>
        <v>219</v>
      </c>
      <c r="K176" s="1">
        <f t="shared" si="20"/>
        <v>0.5</v>
      </c>
      <c r="M176"/>
      <c r="N176"/>
      <c r="O176"/>
      <c r="P176"/>
      <c r="Q176"/>
    </row>
    <row r="177" spans="8:17" x14ac:dyDescent="0.25">
      <c r="H177" s="8">
        <f t="shared" si="18"/>
        <v>219.5</v>
      </c>
      <c r="I177" s="1">
        <v>173</v>
      </c>
      <c r="J177" s="1">
        <f t="shared" si="19"/>
        <v>219.5</v>
      </c>
      <c r="K177" s="1">
        <f t="shared" si="20"/>
        <v>0.5</v>
      </c>
      <c r="M177"/>
      <c r="N177"/>
      <c r="O177"/>
      <c r="P177"/>
      <c r="Q177"/>
    </row>
    <row r="178" spans="8:17" x14ac:dyDescent="0.25">
      <c r="H178" s="8">
        <f t="shared" si="18"/>
        <v>220</v>
      </c>
      <c r="I178" s="1">
        <v>174</v>
      </c>
      <c r="J178" s="1">
        <f t="shared" si="19"/>
        <v>220</v>
      </c>
      <c r="K178" s="1">
        <f t="shared" si="20"/>
        <v>0.5</v>
      </c>
      <c r="M178"/>
      <c r="N178"/>
      <c r="O178"/>
      <c r="P178"/>
      <c r="Q178"/>
    </row>
    <row r="179" spans="8:17" x14ac:dyDescent="0.25">
      <c r="H179" s="8">
        <f t="shared" si="18"/>
        <v>220.5</v>
      </c>
      <c r="I179" s="1">
        <v>175</v>
      </c>
      <c r="J179" s="1">
        <f t="shared" si="19"/>
        <v>220.5</v>
      </c>
      <c r="K179" s="1">
        <f t="shared" si="20"/>
        <v>0.5</v>
      </c>
      <c r="M179"/>
      <c r="N179"/>
      <c r="O179"/>
      <c r="P179"/>
      <c r="Q179"/>
    </row>
    <row r="180" spans="8:17" x14ac:dyDescent="0.25">
      <c r="H180" s="8">
        <f t="shared" si="18"/>
        <v>221</v>
      </c>
      <c r="I180" s="1">
        <v>176</v>
      </c>
      <c r="J180" s="1">
        <f t="shared" si="19"/>
        <v>221</v>
      </c>
      <c r="K180" s="1">
        <f t="shared" si="20"/>
        <v>0.5</v>
      </c>
      <c r="M180"/>
      <c r="N180"/>
      <c r="O180"/>
      <c r="P180"/>
      <c r="Q180"/>
    </row>
    <row r="181" spans="8:17" x14ac:dyDescent="0.25">
      <c r="H181" s="8">
        <f t="shared" si="18"/>
        <v>221.5</v>
      </c>
      <c r="I181" s="1">
        <v>177</v>
      </c>
      <c r="J181" s="1">
        <f t="shared" si="19"/>
        <v>221.5</v>
      </c>
      <c r="K181" s="1">
        <f t="shared" si="20"/>
        <v>0.5</v>
      </c>
      <c r="M181"/>
      <c r="N181"/>
      <c r="O181"/>
      <c r="P181"/>
      <c r="Q181"/>
    </row>
    <row r="182" spans="8:17" x14ac:dyDescent="0.25">
      <c r="H182" s="8">
        <f t="shared" si="18"/>
        <v>222</v>
      </c>
      <c r="I182" s="1">
        <v>178</v>
      </c>
      <c r="J182" s="1">
        <f t="shared" si="19"/>
        <v>222</v>
      </c>
      <c r="K182" s="1">
        <f t="shared" si="20"/>
        <v>0.5</v>
      </c>
      <c r="M182"/>
      <c r="N182"/>
      <c r="O182"/>
      <c r="P182"/>
      <c r="Q182"/>
    </row>
    <row r="183" spans="8:17" x14ac:dyDescent="0.25">
      <c r="H183" s="8">
        <f t="shared" si="18"/>
        <v>222.5</v>
      </c>
      <c r="I183" s="1">
        <v>179</v>
      </c>
      <c r="J183" s="1">
        <f t="shared" si="19"/>
        <v>222.5</v>
      </c>
      <c r="K183" s="1">
        <f t="shared" si="20"/>
        <v>0.5</v>
      </c>
      <c r="M183"/>
      <c r="N183"/>
      <c r="O183"/>
      <c r="P183"/>
      <c r="Q183"/>
    </row>
    <row r="184" spans="8:17" x14ac:dyDescent="0.25">
      <c r="H184" s="8">
        <f t="shared" si="18"/>
        <v>223</v>
      </c>
      <c r="I184" s="1">
        <v>180</v>
      </c>
      <c r="J184" s="1">
        <f t="shared" si="19"/>
        <v>223</v>
      </c>
      <c r="K184" s="1">
        <f t="shared" si="20"/>
        <v>0.5</v>
      </c>
      <c r="M184"/>
      <c r="N184"/>
      <c r="O184"/>
      <c r="P184"/>
      <c r="Q184"/>
    </row>
    <row r="185" spans="8:17" x14ac:dyDescent="0.25">
      <c r="H185" s="8">
        <f t="shared" si="18"/>
        <v>223.5</v>
      </c>
      <c r="I185" s="1">
        <v>181</v>
      </c>
      <c r="J185" s="1">
        <f t="shared" si="19"/>
        <v>223.5</v>
      </c>
      <c r="K185" s="1">
        <f t="shared" si="20"/>
        <v>0.5</v>
      </c>
      <c r="M185"/>
      <c r="N185"/>
      <c r="O185"/>
      <c r="P185"/>
      <c r="Q185"/>
    </row>
    <row r="186" spans="8:17" x14ac:dyDescent="0.25">
      <c r="H186" s="8">
        <f t="shared" si="18"/>
        <v>224</v>
      </c>
      <c r="I186" s="1">
        <v>182</v>
      </c>
      <c r="J186" s="1">
        <f t="shared" si="19"/>
        <v>224</v>
      </c>
      <c r="K186" s="1">
        <f t="shared" si="20"/>
        <v>0.5</v>
      </c>
      <c r="M186"/>
      <c r="N186"/>
      <c r="O186"/>
      <c r="P186"/>
      <c r="Q186"/>
    </row>
    <row r="187" spans="8:17" x14ac:dyDescent="0.25">
      <c r="H187" s="8">
        <f t="shared" si="18"/>
        <v>224.5</v>
      </c>
      <c r="I187" s="1">
        <v>183</v>
      </c>
      <c r="J187" s="1">
        <f t="shared" si="19"/>
        <v>224.5</v>
      </c>
      <c r="K187" s="1">
        <f t="shared" si="20"/>
        <v>0.5</v>
      </c>
      <c r="M187"/>
      <c r="N187"/>
      <c r="O187"/>
      <c r="P187"/>
      <c r="Q187"/>
    </row>
    <row r="188" spans="8:17" x14ac:dyDescent="0.25">
      <c r="H188" s="8">
        <f t="shared" si="18"/>
        <v>225</v>
      </c>
      <c r="I188" s="1">
        <v>184</v>
      </c>
      <c r="J188" s="1">
        <f t="shared" si="19"/>
        <v>225</v>
      </c>
      <c r="K188" s="1">
        <f t="shared" si="20"/>
        <v>0.5</v>
      </c>
      <c r="M188"/>
      <c r="N188"/>
      <c r="O188"/>
      <c r="P188"/>
      <c r="Q188"/>
    </row>
    <row r="189" spans="8:17" x14ac:dyDescent="0.25">
      <c r="H189" s="8">
        <f t="shared" si="18"/>
        <v>225.75</v>
      </c>
      <c r="I189" s="1">
        <v>185</v>
      </c>
      <c r="J189" s="1">
        <f t="shared" si="19"/>
        <v>225.75</v>
      </c>
      <c r="K189" s="1">
        <f t="shared" si="20"/>
        <v>0.75</v>
      </c>
      <c r="M189"/>
      <c r="N189"/>
      <c r="O189"/>
      <c r="P189"/>
      <c r="Q189"/>
    </row>
    <row r="190" spans="8:17" x14ac:dyDescent="0.25">
      <c r="H190" s="8">
        <f t="shared" si="18"/>
        <v>226.25</v>
      </c>
      <c r="I190" s="1">
        <v>186</v>
      </c>
      <c r="J190" s="1">
        <f t="shared" si="19"/>
        <v>226.25</v>
      </c>
      <c r="K190" s="1">
        <f t="shared" si="20"/>
        <v>0.5</v>
      </c>
      <c r="M190"/>
      <c r="N190"/>
      <c r="O190"/>
      <c r="P190"/>
      <c r="Q190"/>
    </row>
    <row r="191" spans="8:17" x14ac:dyDescent="0.25">
      <c r="H191" s="8">
        <f t="shared" si="18"/>
        <v>226.75</v>
      </c>
      <c r="I191" s="1">
        <v>187</v>
      </c>
      <c r="J191" s="1">
        <f t="shared" si="19"/>
        <v>226.75</v>
      </c>
      <c r="K191" s="1">
        <f t="shared" si="20"/>
        <v>0.5</v>
      </c>
      <c r="M191"/>
      <c r="N191"/>
      <c r="O191"/>
      <c r="P191"/>
      <c r="Q191"/>
    </row>
    <row r="192" spans="8:17" x14ac:dyDescent="0.25">
      <c r="H192" s="8">
        <f t="shared" si="18"/>
        <v>227.25</v>
      </c>
      <c r="I192" s="1">
        <v>188</v>
      </c>
      <c r="J192" s="1">
        <f t="shared" si="19"/>
        <v>227.25</v>
      </c>
      <c r="K192" s="1">
        <f t="shared" si="20"/>
        <v>0.5</v>
      </c>
      <c r="M192"/>
      <c r="N192"/>
      <c r="O192"/>
      <c r="P192"/>
      <c r="Q192"/>
    </row>
    <row r="193" spans="8:17" x14ac:dyDescent="0.25">
      <c r="H193" s="8">
        <f t="shared" si="18"/>
        <v>227.75</v>
      </c>
      <c r="I193" s="1">
        <v>189</v>
      </c>
      <c r="J193" s="1">
        <f t="shared" si="19"/>
        <v>227.75</v>
      </c>
      <c r="K193" s="1">
        <f t="shared" si="20"/>
        <v>0.5</v>
      </c>
      <c r="M193"/>
      <c r="N193"/>
      <c r="O193"/>
      <c r="P193"/>
      <c r="Q193"/>
    </row>
    <row r="194" spans="8:17" x14ac:dyDescent="0.25">
      <c r="H194" s="8">
        <f t="shared" si="18"/>
        <v>228.25</v>
      </c>
      <c r="I194" s="1">
        <v>190</v>
      </c>
      <c r="J194" s="1">
        <f t="shared" si="19"/>
        <v>228.25</v>
      </c>
      <c r="K194" s="1">
        <f t="shared" si="20"/>
        <v>0.5</v>
      </c>
      <c r="M194"/>
      <c r="N194"/>
      <c r="O194"/>
      <c r="P194"/>
      <c r="Q194"/>
    </row>
    <row r="195" spans="8:17" x14ac:dyDescent="0.25">
      <c r="H195" s="8">
        <f t="shared" si="18"/>
        <v>228.75</v>
      </c>
      <c r="I195" s="1">
        <v>191</v>
      </c>
      <c r="J195" s="1">
        <f t="shared" si="19"/>
        <v>228.75</v>
      </c>
      <c r="K195" s="1">
        <f t="shared" si="20"/>
        <v>0.5</v>
      </c>
      <c r="M195"/>
      <c r="N195"/>
      <c r="O195"/>
      <c r="P195"/>
      <c r="Q195"/>
    </row>
    <row r="196" spans="8:17" x14ac:dyDescent="0.25">
      <c r="H196" s="8">
        <f t="shared" si="18"/>
        <v>229</v>
      </c>
      <c r="I196" s="1">
        <v>192</v>
      </c>
      <c r="J196" s="1">
        <f t="shared" si="19"/>
        <v>229</v>
      </c>
      <c r="K196" s="1">
        <f t="shared" si="20"/>
        <v>0.25</v>
      </c>
      <c r="M196"/>
      <c r="N196"/>
      <c r="O196"/>
      <c r="P196"/>
      <c r="Q196"/>
    </row>
    <row r="197" spans="8:17" x14ac:dyDescent="0.25">
      <c r="H197" s="8">
        <f t="shared" ref="H197:H260" si="21">J197</f>
        <v>229.5</v>
      </c>
      <c r="I197" s="1">
        <v>193</v>
      </c>
      <c r="J197" s="1">
        <f t="shared" si="19"/>
        <v>229.5</v>
      </c>
      <c r="K197" s="1">
        <f t="shared" si="20"/>
        <v>0.5</v>
      </c>
      <c r="M197"/>
      <c r="N197"/>
      <c r="O197"/>
      <c r="P197"/>
      <c r="Q197"/>
    </row>
    <row r="198" spans="8:17" x14ac:dyDescent="0.25">
      <c r="H198" s="8">
        <f t="shared" si="21"/>
        <v>230</v>
      </c>
      <c r="I198" s="1">
        <v>194</v>
      </c>
      <c r="J198" s="1">
        <f t="shared" ref="J198:J259" si="22">VALUE(MID($O$2,FIND("*",SUBSTITUTE($O$2," ","*",I198),1)+1,FIND("*",SUBSTITUTE($O$2," ","*",I199),1)-FIND("*",SUBSTITUTE($O$2," ","*",I198),1)-1))/4</f>
        <v>230</v>
      </c>
      <c r="K198" s="1">
        <f t="shared" ref="K198:K260" si="23">J198-J197</f>
        <v>0.5</v>
      </c>
      <c r="M198"/>
      <c r="N198"/>
      <c r="O198"/>
      <c r="P198"/>
      <c r="Q198"/>
    </row>
    <row r="199" spans="8:17" x14ac:dyDescent="0.25">
      <c r="H199" s="8">
        <f t="shared" si="21"/>
        <v>230.5</v>
      </c>
      <c r="I199" s="1">
        <v>195</v>
      </c>
      <c r="J199" s="1">
        <f t="shared" si="22"/>
        <v>230.5</v>
      </c>
      <c r="K199" s="1">
        <f t="shared" si="23"/>
        <v>0.5</v>
      </c>
      <c r="M199"/>
      <c r="N199"/>
      <c r="O199"/>
      <c r="P199"/>
      <c r="Q199"/>
    </row>
    <row r="200" spans="8:17" x14ac:dyDescent="0.25">
      <c r="H200" s="8">
        <f t="shared" si="21"/>
        <v>230.75</v>
      </c>
      <c r="I200" s="1">
        <v>196</v>
      </c>
      <c r="J200" s="1">
        <f t="shared" si="22"/>
        <v>230.75</v>
      </c>
      <c r="K200" s="1">
        <f t="shared" si="23"/>
        <v>0.25</v>
      </c>
      <c r="M200"/>
      <c r="N200"/>
      <c r="O200"/>
      <c r="P200"/>
      <c r="Q200"/>
    </row>
    <row r="201" spans="8:17" x14ac:dyDescent="0.25">
      <c r="H201" s="8">
        <f t="shared" si="21"/>
        <v>231.25</v>
      </c>
      <c r="I201" s="1">
        <v>197</v>
      </c>
      <c r="J201" s="1">
        <f t="shared" si="22"/>
        <v>231.25</v>
      </c>
      <c r="K201" s="1">
        <f t="shared" si="23"/>
        <v>0.5</v>
      </c>
      <c r="M201"/>
      <c r="N201"/>
      <c r="O201"/>
      <c r="P201"/>
      <c r="Q201"/>
    </row>
    <row r="202" spans="8:17" x14ac:dyDescent="0.25">
      <c r="H202" s="8">
        <f t="shared" si="21"/>
        <v>231.75</v>
      </c>
      <c r="I202" s="1">
        <v>198</v>
      </c>
      <c r="J202" s="1">
        <f t="shared" si="22"/>
        <v>231.75</v>
      </c>
      <c r="K202" s="1">
        <f t="shared" si="23"/>
        <v>0.5</v>
      </c>
      <c r="M202"/>
      <c r="N202"/>
      <c r="O202"/>
      <c r="P202"/>
      <c r="Q202"/>
    </row>
    <row r="203" spans="8:17" x14ac:dyDescent="0.25">
      <c r="H203" s="8">
        <f t="shared" si="21"/>
        <v>232.25</v>
      </c>
      <c r="I203" s="1">
        <v>199</v>
      </c>
      <c r="J203" s="1">
        <f t="shared" si="22"/>
        <v>232.25</v>
      </c>
      <c r="K203" s="1">
        <f t="shared" si="23"/>
        <v>0.5</v>
      </c>
      <c r="M203"/>
      <c r="N203"/>
      <c r="O203"/>
      <c r="P203"/>
      <c r="Q203"/>
    </row>
    <row r="204" spans="8:17" x14ac:dyDescent="0.25">
      <c r="H204" s="8">
        <f t="shared" si="21"/>
        <v>232.75</v>
      </c>
      <c r="I204" s="1">
        <v>200</v>
      </c>
      <c r="J204" s="1">
        <f t="shared" si="22"/>
        <v>232.75</v>
      </c>
      <c r="K204" s="1">
        <f t="shared" si="23"/>
        <v>0.5</v>
      </c>
      <c r="M204"/>
      <c r="N204"/>
      <c r="O204"/>
      <c r="P204"/>
      <c r="Q204"/>
    </row>
    <row r="205" spans="8:17" x14ac:dyDescent="0.25">
      <c r="H205" s="8">
        <f t="shared" si="21"/>
        <v>233</v>
      </c>
      <c r="I205" s="1">
        <v>201</v>
      </c>
      <c r="J205" s="1">
        <f t="shared" si="22"/>
        <v>233</v>
      </c>
      <c r="K205" s="1">
        <f t="shared" si="23"/>
        <v>0.25</v>
      </c>
      <c r="M205"/>
      <c r="N205"/>
      <c r="O205"/>
      <c r="P205"/>
      <c r="Q205"/>
    </row>
    <row r="206" spans="8:17" x14ac:dyDescent="0.25">
      <c r="H206" s="8">
        <f t="shared" si="21"/>
        <v>233.5</v>
      </c>
      <c r="I206" s="1">
        <v>202</v>
      </c>
      <c r="J206" s="1">
        <f t="shared" si="22"/>
        <v>233.5</v>
      </c>
      <c r="K206" s="1">
        <f t="shared" si="23"/>
        <v>0.5</v>
      </c>
      <c r="M206"/>
      <c r="N206"/>
      <c r="O206"/>
      <c r="P206"/>
      <c r="Q206"/>
    </row>
    <row r="207" spans="8:17" x14ac:dyDescent="0.25">
      <c r="H207" s="8">
        <f t="shared" si="21"/>
        <v>233.75</v>
      </c>
      <c r="I207" s="1">
        <v>203</v>
      </c>
      <c r="J207" s="1">
        <f t="shared" si="22"/>
        <v>233.75</v>
      </c>
      <c r="K207" s="1">
        <f t="shared" si="23"/>
        <v>0.25</v>
      </c>
      <c r="M207"/>
      <c r="N207"/>
      <c r="O207"/>
      <c r="P207"/>
      <c r="Q207"/>
    </row>
    <row r="208" spans="8:17" x14ac:dyDescent="0.25">
      <c r="H208" s="8">
        <f t="shared" si="21"/>
        <v>234.25</v>
      </c>
      <c r="I208" s="1">
        <v>204</v>
      </c>
      <c r="J208" s="1">
        <f t="shared" si="22"/>
        <v>234.25</v>
      </c>
      <c r="K208" s="1">
        <f t="shared" si="23"/>
        <v>0.5</v>
      </c>
      <c r="M208"/>
      <c r="N208"/>
      <c r="O208"/>
      <c r="P208"/>
      <c r="Q208"/>
    </row>
    <row r="209" spans="8:17" x14ac:dyDescent="0.25">
      <c r="H209" s="8">
        <f t="shared" si="21"/>
        <v>234.75</v>
      </c>
      <c r="I209" s="1">
        <v>205</v>
      </c>
      <c r="J209" s="1">
        <f t="shared" si="22"/>
        <v>234.75</v>
      </c>
      <c r="K209" s="1">
        <f t="shared" si="23"/>
        <v>0.5</v>
      </c>
      <c r="M209"/>
      <c r="N209"/>
      <c r="O209"/>
      <c r="P209"/>
      <c r="Q209"/>
    </row>
    <row r="210" spans="8:17" x14ac:dyDescent="0.25">
      <c r="H210" s="8">
        <f t="shared" si="21"/>
        <v>235.25</v>
      </c>
      <c r="I210" s="1">
        <v>206</v>
      </c>
      <c r="J210" s="1">
        <f t="shared" si="22"/>
        <v>235.25</v>
      </c>
      <c r="K210" s="1">
        <f t="shared" si="23"/>
        <v>0.5</v>
      </c>
      <c r="M210"/>
      <c r="N210"/>
      <c r="O210"/>
      <c r="P210"/>
      <c r="Q210"/>
    </row>
    <row r="211" spans="8:17" x14ac:dyDescent="0.25">
      <c r="H211" s="8">
        <f t="shared" si="21"/>
        <v>235.75</v>
      </c>
      <c r="I211" s="1">
        <v>207</v>
      </c>
      <c r="J211" s="1">
        <f t="shared" si="22"/>
        <v>235.75</v>
      </c>
      <c r="K211" s="1">
        <f t="shared" si="23"/>
        <v>0.5</v>
      </c>
      <c r="M211"/>
      <c r="N211"/>
      <c r="O211"/>
      <c r="P211"/>
      <c r="Q211"/>
    </row>
    <row r="212" spans="8:17" x14ac:dyDescent="0.25">
      <c r="H212" s="8">
        <f t="shared" si="21"/>
        <v>236.25</v>
      </c>
      <c r="I212" s="1">
        <v>208</v>
      </c>
      <c r="J212" s="1">
        <f t="shared" si="22"/>
        <v>236.25</v>
      </c>
      <c r="K212" s="1">
        <f t="shared" si="23"/>
        <v>0.5</v>
      </c>
      <c r="M212"/>
      <c r="N212"/>
      <c r="O212"/>
      <c r="P212"/>
      <c r="Q212"/>
    </row>
    <row r="213" spans="8:17" x14ac:dyDescent="0.25">
      <c r="H213" s="8">
        <f t="shared" si="21"/>
        <v>236.75</v>
      </c>
      <c r="I213" s="1">
        <v>209</v>
      </c>
      <c r="J213" s="1">
        <f t="shared" si="22"/>
        <v>236.75</v>
      </c>
      <c r="K213" s="1">
        <f t="shared" si="23"/>
        <v>0.5</v>
      </c>
      <c r="M213"/>
      <c r="N213"/>
      <c r="O213"/>
      <c r="P213"/>
      <c r="Q213"/>
    </row>
    <row r="214" spans="8:17" x14ac:dyDescent="0.25">
      <c r="H214" s="8">
        <f t="shared" si="21"/>
        <v>237</v>
      </c>
      <c r="I214" s="1">
        <v>210</v>
      </c>
      <c r="J214" s="1">
        <f t="shared" si="22"/>
        <v>237</v>
      </c>
      <c r="K214" s="1">
        <f t="shared" si="23"/>
        <v>0.25</v>
      </c>
      <c r="M214"/>
      <c r="N214"/>
      <c r="O214"/>
      <c r="P214"/>
      <c r="Q214"/>
    </row>
    <row r="215" spans="8:17" x14ac:dyDescent="0.25">
      <c r="H215" s="8">
        <f t="shared" si="21"/>
        <v>237.5</v>
      </c>
      <c r="I215" s="1">
        <v>211</v>
      </c>
      <c r="J215" s="1">
        <f t="shared" si="22"/>
        <v>237.5</v>
      </c>
      <c r="K215" s="1">
        <f t="shared" si="23"/>
        <v>0.5</v>
      </c>
      <c r="M215"/>
      <c r="N215"/>
      <c r="O215"/>
      <c r="P215"/>
      <c r="Q215"/>
    </row>
    <row r="216" spans="8:17" x14ac:dyDescent="0.25">
      <c r="H216" s="8">
        <f t="shared" si="21"/>
        <v>238</v>
      </c>
      <c r="I216" s="1">
        <v>212</v>
      </c>
      <c r="J216" s="1">
        <f t="shared" si="22"/>
        <v>238</v>
      </c>
      <c r="K216" s="1">
        <f t="shared" si="23"/>
        <v>0.5</v>
      </c>
      <c r="M216"/>
      <c r="N216"/>
      <c r="O216"/>
      <c r="P216"/>
      <c r="Q216"/>
    </row>
    <row r="217" spans="8:17" x14ac:dyDescent="0.25">
      <c r="H217" s="8">
        <f t="shared" si="21"/>
        <v>238.5</v>
      </c>
      <c r="I217" s="1">
        <v>213</v>
      </c>
      <c r="J217" s="1">
        <f t="shared" si="22"/>
        <v>238.5</v>
      </c>
      <c r="K217" s="1">
        <f t="shared" si="23"/>
        <v>0.5</v>
      </c>
      <c r="M217"/>
      <c r="N217"/>
      <c r="O217"/>
      <c r="P217"/>
      <c r="Q217"/>
    </row>
    <row r="218" spans="8:17" x14ac:dyDescent="0.25">
      <c r="H218" s="8">
        <f t="shared" si="21"/>
        <v>238.75</v>
      </c>
      <c r="I218" s="1">
        <v>214</v>
      </c>
      <c r="J218" s="1">
        <f t="shared" si="22"/>
        <v>238.75</v>
      </c>
      <c r="K218" s="1">
        <f t="shared" si="23"/>
        <v>0.25</v>
      </c>
      <c r="M218"/>
      <c r="N218"/>
      <c r="O218"/>
      <c r="P218"/>
      <c r="Q218"/>
    </row>
    <row r="219" spans="8:17" x14ac:dyDescent="0.25">
      <c r="H219" s="8">
        <f t="shared" si="21"/>
        <v>239.25</v>
      </c>
      <c r="I219" s="1">
        <v>215</v>
      </c>
      <c r="J219" s="1">
        <f t="shared" si="22"/>
        <v>239.25</v>
      </c>
      <c r="K219" s="1">
        <f t="shared" si="23"/>
        <v>0.5</v>
      </c>
      <c r="M219"/>
      <c r="N219"/>
      <c r="O219"/>
      <c r="P219"/>
      <c r="Q219"/>
    </row>
    <row r="220" spans="8:17" x14ac:dyDescent="0.25">
      <c r="H220" s="8">
        <f t="shared" si="21"/>
        <v>239.75</v>
      </c>
      <c r="I220" s="1">
        <v>216</v>
      </c>
      <c r="J220" s="1">
        <f t="shared" si="22"/>
        <v>239.75</v>
      </c>
      <c r="K220" s="1">
        <f t="shared" si="23"/>
        <v>0.5</v>
      </c>
      <c r="M220"/>
      <c r="N220"/>
      <c r="O220"/>
      <c r="P220"/>
      <c r="Q220"/>
    </row>
    <row r="221" spans="8:17" x14ac:dyDescent="0.25">
      <c r="H221" s="8">
        <f t="shared" si="21"/>
        <v>240.25</v>
      </c>
      <c r="I221" s="1">
        <v>217</v>
      </c>
      <c r="J221" s="1">
        <f t="shared" si="22"/>
        <v>240.25</v>
      </c>
      <c r="K221" s="1">
        <f t="shared" si="23"/>
        <v>0.5</v>
      </c>
      <c r="M221"/>
      <c r="N221"/>
      <c r="O221"/>
      <c r="P221"/>
      <c r="Q221"/>
    </row>
    <row r="222" spans="8:17" x14ac:dyDescent="0.25">
      <c r="H222" s="8">
        <f t="shared" si="21"/>
        <v>240.75</v>
      </c>
      <c r="I222" s="1">
        <v>218</v>
      </c>
      <c r="J222" s="1">
        <f t="shared" si="22"/>
        <v>240.75</v>
      </c>
      <c r="K222" s="1">
        <f t="shared" si="23"/>
        <v>0.5</v>
      </c>
      <c r="M222"/>
      <c r="N222"/>
      <c r="O222"/>
      <c r="P222"/>
      <c r="Q222"/>
    </row>
    <row r="223" spans="8:17" x14ac:dyDescent="0.25">
      <c r="H223" s="8">
        <f t="shared" si="21"/>
        <v>241</v>
      </c>
      <c r="I223" s="1">
        <v>219</v>
      </c>
      <c r="J223" s="1">
        <f t="shared" si="22"/>
        <v>241</v>
      </c>
      <c r="K223" s="1">
        <f t="shared" si="23"/>
        <v>0.25</v>
      </c>
      <c r="M223"/>
      <c r="N223"/>
      <c r="O223"/>
      <c r="P223"/>
      <c r="Q223"/>
    </row>
    <row r="224" spans="8:17" x14ac:dyDescent="0.25">
      <c r="H224" s="8">
        <f t="shared" si="21"/>
        <v>241.5</v>
      </c>
      <c r="I224" s="1">
        <v>220</v>
      </c>
      <c r="J224" s="1">
        <f t="shared" si="22"/>
        <v>241.5</v>
      </c>
      <c r="K224" s="1">
        <f t="shared" si="23"/>
        <v>0.5</v>
      </c>
      <c r="M224"/>
      <c r="N224"/>
      <c r="O224"/>
      <c r="P224"/>
      <c r="Q224"/>
    </row>
    <row r="225" spans="8:17" x14ac:dyDescent="0.25">
      <c r="H225" s="8">
        <f t="shared" si="21"/>
        <v>241.75</v>
      </c>
      <c r="I225" s="1">
        <v>221</v>
      </c>
      <c r="J225" s="1">
        <f t="shared" si="22"/>
        <v>241.75</v>
      </c>
      <c r="K225" s="1">
        <f t="shared" si="23"/>
        <v>0.25</v>
      </c>
      <c r="M225"/>
      <c r="N225"/>
      <c r="O225"/>
      <c r="P225"/>
      <c r="Q225"/>
    </row>
    <row r="226" spans="8:17" x14ac:dyDescent="0.25">
      <c r="H226" s="8">
        <f t="shared" si="21"/>
        <v>242.25</v>
      </c>
      <c r="I226" s="1">
        <v>222</v>
      </c>
      <c r="J226" s="1">
        <f t="shared" si="22"/>
        <v>242.25</v>
      </c>
      <c r="K226" s="1">
        <f t="shared" si="23"/>
        <v>0.5</v>
      </c>
      <c r="M226"/>
      <c r="N226"/>
      <c r="O226"/>
      <c r="P226"/>
      <c r="Q226"/>
    </row>
    <row r="227" spans="8:17" x14ac:dyDescent="0.25">
      <c r="H227" s="8">
        <f t="shared" si="21"/>
        <v>242.75</v>
      </c>
      <c r="I227" s="1">
        <v>223</v>
      </c>
      <c r="J227" s="1">
        <f t="shared" si="22"/>
        <v>242.75</v>
      </c>
      <c r="K227" s="1">
        <f t="shared" si="23"/>
        <v>0.5</v>
      </c>
      <c r="M227"/>
      <c r="N227"/>
      <c r="O227"/>
      <c r="P227"/>
      <c r="Q227"/>
    </row>
    <row r="228" spans="8:17" x14ac:dyDescent="0.25">
      <c r="H228" s="8">
        <f t="shared" si="21"/>
        <v>243</v>
      </c>
      <c r="I228" s="1">
        <v>224</v>
      </c>
      <c r="J228" s="1">
        <f t="shared" si="22"/>
        <v>243</v>
      </c>
      <c r="K228" s="1">
        <f t="shared" si="23"/>
        <v>0.25</v>
      </c>
      <c r="M228"/>
      <c r="N228"/>
      <c r="O228"/>
      <c r="P228"/>
      <c r="Q228"/>
    </row>
    <row r="229" spans="8:17" x14ac:dyDescent="0.25">
      <c r="H229" s="8">
        <f t="shared" si="21"/>
        <v>243.5</v>
      </c>
      <c r="I229" s="1">
        <v>225</v>
      </c>
      <c r="J229" s="1">
        <f t="shared" si="22"/>
        <v>243.5</v>
      </c>
      <c r="K229" s="1">
        <f t="shared" si="23"/>
        <v>0.5</v>
      </c>
      <c r="M229"/>
      <c r="N229"/>
      <c r="O229"/>
      <c r="P229"/>
      <c r="Q229"/>
    </row>
    <row r="230" spans="8:17" x14ac:dyDescent="0.25">
      <c r="H230" s="8">
        <f t="shared" si="21"/>
        <v>243.75</v>
      </c>
      <c r="I230" s="1">
        <v>226</v>
      </c>
      <c r="J230" s="1">
        <f t="shared" si="22"/>
        <v>243.75</v>
      </c>
      <c r="K230" s="1">
        <f t="shared" si="23"/>
        <v>0.25</v>
      </c>
      <c r="M230"/>
      <c r="N230"/>
      <c r="O230"/>
      <c r="P230"/>
      <c r="Q230"/>
    </row>
    <row r="231" spans="8:17" x14ac:dyDescent="0.25">
      <c r="H231" s="8">
        <f t="shared" si="21"/>
        <v>244</v>
      </c>
      <c r="I231" s="1">
        <v>227</v>
      </c>
      <c r="J231" s="1">
        <f t="shared" si="22"/>
        <v>244</v>
      </c>
      <c r="K231" s="1">
        <f t="shared" si="23"/>
        <v>0.25</v>
      </c>
      <c r="M231"/>
      <c r="N231"/>
      <c r="O231"/>
      <c r="P231"/>
      <c r="Q231"/>
    </row>
    <row r="232" spans="8:17" x14ac:dyDescent="0.25">
      <c r="H232" s="8">
        <f t="shared" si="21"/>
        <v>244.5</v>
      </c>
      <c r="I232" s="1">
        <v>228</v>
      </c>
      <c r="J232" s="1">
        <f t="shared" si="22"/>
        <v>244.5</v>
      </c>
      <c r="K232" s="1">
        <f t="shared" si="23"/>
        <v>0.5</v>
      </c>
      <c r="M232"/>
      <c r="N232"/>
      <c r="O232"/>
      <c r="P232"/>
      <c r="Q232"/>
    </row>
    <row r="233" spans="8:17" x14ac:dyDescent="0.25">
      <c r="H233" s="8">
        <f t="shared" si="21"/>
        <v>245</v>
      </c>
      <c r="I233" s="1">
        <v>229</v>
      </c>
      <c r="J233" s="1">
        <f t="shared" si="22"/>
        <v>245</v>
      </c>
      <c r="K233" s="1">
        <f t="shared" si="23"/>
        <v>0.5</v>
      </c>
      <c r="M233"/>
      <c r="N233"/>
      <c r="O233"/>
      <c r="P233"/>
      <c r="Q233"/>
    </row>
    <row r="234" spans="8:17" x14ac:dyDescent="0.25">
      <c r="H234" s="8">
        <f t="shared" si="21"/>
        <v>245.5</v>
      </c>
      <c r="I234" s="1">
        <v>230</v>
      </c>
      <c r="J234" s="1">
        <f t="shared" si="22"/>
        <v>245.5</v>
      </c>
      <c r="K234" s="1">
        <f t="shared" si="23"/>
        <v>0.5</v>
      </c>
      <c r="M234"/>
      <c r="N234"/>
      <c r="O234"/>
      <c r="P234"/>
      <c r="Q234"/>
    </row>
    <row r="235" spans="8:17" x14ac:dyDescent="0.25">
      <c r="H235" s="8">
        <f t="shared" si="21"/>
        <v>245.75</v>
      </c>
      <c r="I235" s="1">
        <v>231</v>
      </c>
      <c r="J235" s="1">
        <f t="shared" si="22"/>
        <v>245.75</v>
      </c>
      <c r="K235" s="1">
        <f t="shared" si="23"/>
        <v>0.25</v>
      </c>
      <c r="M235"/>
      <c r="N235"/>
      <c r="O235"/>
      <c r="P235"/>
      <c r="Q235"/>
    </row>
    <row r="236" spans="8:17" x14ac:dyDescent="0.25">
      <c r="H236" s="8">
        <f t="shared" si="21"/>
        <v>246.25</v>
      </c>
      <c r="I236" s="1">
        <v>232</v>
      </c>
      <c r="J236" s="1">
        <f t="shared" si="22"/>
        <v>246.25</v>
      </c>
      <c r="K236" s="1">
        <f t="shared" si="23"/>
        <v>0.5</v>
      </c>
      <c r="M236"/>
      <c r="N236"/>
      <c r="O236"/>
      <c r="P236"/>
      <c r="Q236"/>
    </row>
    <row r="237" spans="8:17" x14ac:dyDescent="0.25">
      <c r="H237" s="8">
        <f t="shared" si="21"/>
        <v>246.75</v>
      </c>
      <c r="I237" s="1">
        <v>233</v>
      </c>
      <c r="J237" s="1">
        <f t="shared" si="22"/>
        <v>246.75</v>
      </c>
      <c r="K237" s="1">
        <f t="shared" si="23"/>
        <v>0.5</v>
      </c>
      <c r="M237"/>
      <c r="N237"/>
      <c r="O237"/>
      <c r="P237"/>
      <c r="Q237"/>
    </row>
    <row r="238" spans="8:17" x14ac:dyDescent="0.25">
      <c r="H238" s="8">
        <f t="shared" si="21"/>
        <v>247</v>
      </c>
      <c r="I238" s="1">
        <v>234</v>
      </c>
      <c r="J238" s="1">
        <f t="shared" si="22"/>
        <v>247</v>
      </c>
      <c r="K238" s="1">
        <f t="shared" si="23"/>
        <v>0.25</v>
      </c>
      <c r="M238"/>
      <c r="N238"/>
      <c r="O238"/>
      <c r="P238"/>
      <c r="Q238"/>
    </row>
    <row r="239" spans="8:17" x14ac:dyDescent="0.25">
      <c r="H239" s="8">
        <f t="shared" si="21"/>
        <v>247.5</v>
      </c>
      <c r="I239" s="1">
        <v>235</v>
      </c>
      <c r="J239" s="1">
        <f t="shared" si="22"/>
        <v>247.5</v>
      </c>
      <c r="K239" s="1">
        <f t="shared" si="23"/>
        <v>0.5</v>
      </c>
      <c r="M239"/>
      <c r="N239"/>
      <c r="O239"/>
      <c r="P239"/>
      <c r="Q239"/>
    </row>
    <row r="240" spans="8:17" x14ac:dyDescent="0.25">
      <c r="H240" s="8">
        <f t="shared" si="21"/>
        <v>248</v>
      </c>
      <c r="I240" s="1">
        <v>236</v>
      </c>
      <c r="J240" s="1">
        <f t="shared" si="22"/>
        <v>248</v>
      </c>
      <c r="K240" s="1">
        <f t="shared" si="23"/>
        <v>0.5</v>
      </c>
      <c r="M240"/>
      <c r="N240"/>
      <c r="O240"/>
      <c r="P240"/>
      <c r="Q240"/>
    </row>
    <row r="241" spans="8:17" x14ac:dyDescent="0.25">
      <c r="H241" s="8">
        <f t="shared" si="21"/>
        <v>248.5</v>
      </c>
      <c r="I241" s="1">
        <v>237</v>
      </c>
      <c r="J241" s="1">
        <f t="shared" si="22"/>
        <v>248.5</v>
      </c>
      <c r="K241" s="1">
        <f t="shared" si="23"/>
        <v>0.5</v>
      </c>
      <c r="M241"/>
      <c r="N241"/>
      <c r="O241"/>
      <c r="P241"/>
      <c r="Q241"/>
    </row>
    <row r="242" spans="8:17" x14ac:dyDescent="0.25">
      <c r="H242" s="8">
        <f t="shared" si="21"/>
        <v>248.75</v>
      </c>
      <c r="I242" s="1">
        <v>238</v>
      </c>
      <c r="J242" s="1">
        <f t="shared" si="22"/>
        <v>248.75</v>
      </c>
      <c r="K242" s="1">
        <f t="shared" si="23"/>
        <v>0.25</v>
      </c>
      <c r="M242"/>
      <c r="N242"/>
      <c r="O242"/>
      <c r="P242"/>
      <c r="Q242"/>
    </row>
    <row r="243" spans="8:17" x14ac:dyDescent="0.25">
      <c r="H243" s="8">
        <f t="shared" si="21"/>
        <v>249.25</v>
      </c>
      <c r="I243" s="1">
        <v>239</v>
      </c>
      <c r="J243" s="1">
        <f t="shared" si="22"/>
        <v>249.25</v>
      </c>
      <c r="K243" s="1">
        <f t="shared" si="23"/>
        <v>0.5</v>
      </c>
      <c r="M243"/>
      <c r="N243"/>
      <c r="O243"/>
      <c r="P243"/>
      <c r="Q243"/>
    </row>
    <row r="244" spans="8:17" x14ac:dyDescent="0.25">
      <c r="H244" s="8">
        <f t="shared" si="21"/>
        <v>249.75</v>
      </c>
      <c r="I244" s="1">
        <v>240</v>
      </c>
      <c r="J244" s="1">
        <f t="shared" si="22"/>
        <v>249.75</v>
      </c>
      <c r="K244" s="1">
        <f t="shared" si="23"/>
        <v>0.5</v>
      </c>
      <c r="M244"/>
      <c r="N244"/>
      <c r="O244"/>
      <c r="P244"/>
      <c r="Q244"/>
    </row>
    <row r="245" spans="8:17" x14ac:dyDescent="0.25">
      <c r="H245" s="8">
        <f t="shared" si="21"/>
        <v>250.25</v>
      </c>
      <c r="I245" s="1">
        <v>241</v>
      </c>
      <c r="J245" s="1">
        <f t="shared" si="22"/>
        <v>250.25</v>
      </c>
      <c r="K245" s="1">
        <f t="shared" si="23"/>
        <v>0.5</v>
      </c>
      <c r="M245"/>
      <c r="N245"/>
      <c r="O245"/>
      <c r="P245"/>
      <c r="Q245"/>
    </row>
    <row r="246" spans="8:17" x14ac:dyDescent="0.25">
      <c r="H246" s="8">
        <f t="shared" si="21"/>
        <v>250.75</v>
      </c>
      <c r="I246" s="1">
        <v>242</v>
      </c>
      <c r="J246" s="1">
        <f t="shared" si="22"/>
        <v>250.75</v>
      </c>
      <c r="K246" s="1">
        <f t="shared" si="23"/>
        <v>0.5</v>
      </c>
      <c r="M246"/>
      <c r="N246"/>
      <c r="O246"/>
      <c r="P246"/>
      <c r="Q246"/>
    </row>
    <row r="247" spans="8:17" x14ac:dyDescent="0.25">
      <c r="H247" s="8">
        <f t="shared" si="21"/>
        <v>251</v>
      </c>
      <c r="I247" s="1">
        <v>243</v>
      </c>
      <c r="J247" s="1">
        <f t="shared" si="22"/>
        <v>251</v>
      </c>
      <c r="K247" s="1">
        <f t="shared" si="23"/>
        <v>0.25</v>
      </c>
      <c r="M247"/>
      <c r="N247"/>
      <c r="O247"/>
      <c r="P247"/>
      <c r="Q247"/>
    </row>
    <row r="248" spans="8:17" x14ac:dyDescent="0.25">
      <c r="H248" s="8">
        <f t="shared" si="21"/>
        <v>251.25</v>
      </c>
      <c r="I248" s="1">
        <v>244</v>
      </c>
      <c r="J248" s="1">
        <f t="shared" si="22"/>
        <v>251.25</v>
      </c>
      <c r="K248" s="1">
        <f t="shared" si="23"/>
        <v>0.25</v>
      </c>
      <c r="M248"/>
      <c r="N248"/>
      <c r="O248"/>
      <c r="P248"/>
      <c r="Q248"/>
    </row>
    <row r="249" spans="8:17" x14ac:dyDescent="0.25">
      <c r="H249" s="8">
        <f t="shared" si="21"/>
        <v>251.75</v>
      </c>
      <c r="I249" s="1">
        <v>245</v>
      </c>
      <c r="J249" s="1">
        <f t="shared" si="22"/>
        <v>251.75</v>
      </c>
      <c r="K249" s="1">
        <f t="shared" si="23"/>
        <v>0.5</v>
      </c>
      <c r="M249"/>
      <c r="N249"/>
      <c r="O249"/>
      <c r="P249"/>
      <c r="Q249"/>
    </row>
    <row r="250" spans="8:17" x14ac:dyDescent="0.25">
      <c r="H250" s="8">
        <f t="shared" si="21"/>
        <v>252</v>
      </c>
      <c r="I250" s="1">
        <v>246</v>
      </c>
      <c r="J250" s="1">
        <f t="shared" si="22"/>
        <v>252</v>
      </c>
      <c r="K250" s="1">
        <f t="shared" si="23"/>
        <v>0.25</v>
      </c>
      <c r="M250"/>
      <c r="N250"/>
      <c r="O250"/>
      <c r="P250"/>
      <c r="Q250"/>
    </row>
    <row r="251" spans="8:17" x14ac:dyDescent="0.25">
      <c r="H251" s="8">
        <f t="shared" si="21"/>
        <v>252.5</v>
      </c>
      <c r="I251" s="1">
        <v>247</v>
      </c>
      <c r="J251" s="1">
        <f t="shared" si="22"/>
        <v>252.5</v>
      </c>
      <c r="K251" s="1">
        <f t="shared" si="23"/>
        <v>0.5</v>
      </c>
      <c r="M251"/>
      <c r="N251"/>
      <c r="O251"/>
      <c r="P251"/>
      <c r="Q251"/>
    </row>
    <row r="252" spans="8:17" x14ac:dyDescent="0.25">
      <c r="H252" s="8">
        <f t="shared" si="21"/>
        <v>252.75</v>
      </c>
      <c r="I252" s="1">
        <v>248</v>
      </c>
      <c r="J252" s="1">
        <f t="shared" si="22"/>
        <v>252.75</v>
      </c>
      <c r="K252" s="1">
        <f t="shared" si="23"/>
        <v>0.25</v>
      </c>
      <c r="M252"/>
      <c r="N252"/>
      <c r="O252"/>
      <c r="P252"/>
      <c r="Q252"/>
    </row>
    <row r="253" spans="8:17" x14ac:dyDescent="0.25">
      <c r="H253" s="8">
        <f t="shared" si="21"/>
        <v>253.25</v>
      </c>
      <c r="I253" s="1">
        <v>249</v>
      </c>
      <c r="J253" s="1">
        <f t="shared" si="22"/>
        <v>253.25</v>
      </c>
      <c r="K253" s="1">
        <f t="shared" si="23"/>
        <v>0.5</v>
      </c>
      <c r="M253"/>
      <c r="N253"/>
      <c r="O253"/>
      <c r="P253"/>
      <c r="Q253"/>
    </row>
    <row r="254" spans="8:17" x14ac:dyDescent="0.25">
      <c r="H254" s="8">
        <f t="shared" si="21"/>
        <v>253.75</v>
      </c>
      <c r="I254" s="1">
        <v>250</v>
      </c>
      <c r="J254" s="1">
        <f t="shared" si="22"/>
        <v>253.75</v>
      </c>
      <c r="K254" s="1">
        <f t="shared" si="23"/>
        <v>0.5</v>
      </c>
      <c r="M254"/>
      <c r="N254"/>
      <c r="O254"/>
      <c r="P254"/>
      <c r="Q254"/>
    </row>
    <row r="255" spans="8:17" x14ac:dyDescent="0.25">
      <c r="H255" s="8">
        <f t="shared" si="21"/>
        <v>254</v>
      </c>
      <c r="I255" s="1">
        <v>251</v>
      </c>
      <c r="J255" s="1">
        <f t="shared" si="22"/>
        <v>254</v>
      </c>
      <c r="K255" s="1">
        <f t="shared" si="23"/>
        <v>0.25</v>
      </c>
      <c r="M255"/>
      <c r="N255"/>
      <c r="O255"/>
      <c r="P255"/>
      <c r="Q255"/>
    </row>
    <row r="256" spans="8:17" x14ac:dyDescent="0.25">
      <c r="H256" s="8">
        <f t="shared" si="21"/>
        <v>254.25</v>
      </c>
      <c r="I256" s="1">
        <v>252</v>
      </c>
      <c r="J256" s="1">
        <f t="shared" si="22"/>
        <v>254.25</v>
      </c>
      <c r="K256" s="1">
        <f t="shared" si="23"/>
        <v>0.25</v>
      </c>
      <c r="M256"/>
      <c r="N256"/>
      <c r="O256"/>
      <c r="P256"/>
      <c r="Q256"/>
    </row>
    <row r="257" spans="8:17" x14ac:dyDescent="0.25">
      <c r="H257" s="8">
        <f t="shared" si="21"/>
        <v>254.75</v>
      </c>
      <c r="I257" s="1">
        <v>253</v>
      </c>
      <c r="J257" s="1">
        <f t="shared" si="22"/>
        <v>254.75</v>
      </c>
      <c r="K257" s="1">
        <f t="shared" si="23"/>
        <v>0.5</v>
      </c>
      <c r="M257"/>
      <c r="N257"/>
      <c r="O257"/>
      <c r="P257"/>
      <c r="Q257"/>
    </row>
    <row r="258" spans="8:17" x14ac:dyDescent="0.25">
      <c r="H258" s="8">
        <f t="shared" si="21"/>
        <v>255</v>
      </c>
      <c r="I258" s="1">
        <v>254</v>
      </c>
      <c r="J258" s="1">
        <f t="shared" si="22"/>
        <v>255</v>
      </c>
      <c r="K258" s="1">
        <f t="shared" si="23"/>
        <v>0.25</v>
      </c>
      <c r="M258"/>
      <c r="N258"/>
      <c r="O258"/>
      <c r="P258"/>
      <c r="Q258"/>
    </row>
    <row r="259" spans="8:17" x14ac:dyDescent="0.25">
      <c r="H259" s="8">
        <f t="shared" si="21"/>
        <v>255.5</v>
      </c>
      <c r="I259" s="1">
        <v>255</v>
      </c>
      <c r="J259" s="1">
        <f t="shared" si="22"/>
        <v>255.5</v>
      </c>
      <c r="K259" s="1">
        <f t="shared" si="23"/>
        <v>0.5</v>
      </c>
      <c r="M259"/>
      <c r="N259"/>
      <c r="O259"/>
      <c r="P259"/>
      <c r="Q259"/>
    </row>
    <row r="260" spans="8:17" x14ac:dyDescent="0.25">
      <c r="H260" s="8">
        <f t="shared" si="21"/>
        <v>255.75</v>
      </c>
      <c r="I260" s="1">
        <v>256</v>
      </c>
      <c r="J260" s="1">
        <f>VALUE(RIGHT($O$2,LEN($O$2)-FIND("*",SUBSTITUTE($O$2," ","*",256),1)))/4</f>
        <v>255.75</v>
      </c>
      <c r="K260" s="1">
        <f t="shared" si="23"/>
        <v>0.25</v>
      </c>
      <c r="M260"/>
      <c r="N260"/>
      <c r="O260"/>
      <c r="P260"/>
      <c r="Q260"/>
    </row>
    <row r="261" spans="8:17" x14ac:dyDescent="0.25">
      <c r="M261"/>
      <c r="N261"/>
      <c r="O261"/>
      <c r="P261"/>
      <c r="Q261"/>
    </row>
    <row r="262" spans="8:17" x14ac:dyDescent="0.25">
      <c r="M262"/>
      <c r="N262"/>
      <c r="O262"/>
      <c r="P262"/>
      <c r="Q262"/>
    </row>
    <row r="263" spans="8:17" x14ac:dyDescent="0.25">
      <c r="M263"/>
      <c r="N263"/>
      <c r="O263"/>
      <c r="P263"/>
      <c r="Q263"/>
    </row>
    <row r="264" spans="8:17" x14ac:dyDescent="0.25">
      <c r="M264"/>
      <c r="N264"/>
      <c r="O264"/>
      <c r="P264"/>
      <c r="Q264"/>
    </row>
    <row r="265" spans="8:17" x14ac:dyDescent="0.25">
      <c r="M265"/>
      <c r="N265"/>
      <c r="O265"/>
      <c r="P265"/>
      <c r="Q265"/>
    </row>
    <row r="266" spans="8:17" x14ac:dyDescent="0.25">
      <c r="M266"/>
      <c r="N266"/>
      <c r="O266"/>
      <c r="P266"/>
      <c r="Q266"/>
    </row>
    <row r="267" spans="8:17" x14ac:dyDescent="0.25">
      <c r="M267"/>
      <c r="N267"/>
      <c r="O267"/>
      <c r="P267"/>
      <c r="Q267"/>
    </row>
    <row r="268" spans="8:17" x14ac:dyDescent="0.25">
      <c r="M268"/>
      <c r="N268"/>
      <c r="O268"/>
      <c r="P268"/>
      <c r="Q268"/>
    </row>
    <row r="269" spans="8:17" x14ac:dyDescent="0.25">
      <c r="M269"/>
      <c r="N269"/>
      <c r="O269"/>
      <c r="P269"/>
      <c r="Q269"/>
    </row>
    <row r="270" spans="8:17" x14ac:dyDescent="0.25">
      <c r="M270"/>
      <c r="N270"/>
      <c r="O270"/>
      <c r="P270"/>
      <c r="Q270"/>
    </row>
    <row r="271" spans="8:17" x14ac:dyDescent="0.25">
      <c r="M271"/>
      <c r="N271"/>
      <c r="O271"/>
      <c r="P271"/>
      <c r="Q271"/>
    </row>
    <row r="272" spans="8:17" x14ac:dyDescent="0.25">
      <c r="M272"/>
      <c r="N272"/>
      <c r="O272"/>
      <c r="P272"/>
      <c r="Q272"/>
    </row>
    <row r="273" spans="13:17" x14ac:dyDescent="0.25">
      <c r="M273"/>
      <c r="N273"/>
      <c r="O273"/>
      <c r="P273"/>
      <c r="Q273"/>
    </row>
    <row r="274" spans="13:17" x14ac:dyDescent="0.25">
      <c r="M274"/>
      <c r="N274"/>
      <c r="O274"/>
      <c r="P274"/>
      <c r="Q274"/>
    </row>
    <row r="275" spans="13:17" x14ac:dyDescent="0.25">
      <c r="M275"/>
      <c r="N275"/>
      <c r="O275"/>
      <c r="P275"/>
      <c r="Q275"/>
    </row>
    <row r="276" spans="13:17" x14ac:dyDescent="0.25">
      <c r="M276"/>
      <c r="N276"/>
      <c r="O276"/>
      <c r="P276"/>
      <c r="Q276"/>
    </row>
    <row r="277" spans="13:17" x14ac:dyDescent="0.25">
      <c r="M277"/>
      <c r="N277"/>
      <c r="O277"/>
      <c r="P277"/>
      <c r="Q277"/>
    </row>
    <row r="278" spans="13:17" x14ac:dyDescent="0.25">
      <c r="M278"/>
      <c r="N278"/>
      <c r="O278"/>
      <c r="P278"/>
      <c r="Q278"/>
    </row>
    <row r="279" spans="13:17" x14ac:dyDescent="0.25">
      <c r="M279"/>
      <c r="N279"/>
      <c r="O279"/>
      <c r="P279"/>
      <c r="Q279"/>
    </row>
    <row r="280" spans="13:17" x14ac:dyDescent="0.25">
      <c r="M280"/>
      <c r="N280"/>
      <c r="O280"/>
      <c r="P280"/>
      <c r="Q280"/>
    </row>
    <row r="281" spans="13:17" x14ac:dyDescent="0.25">
      <c r="M281"/>
      <c r="N281"/>
      <c r="O281"/>
      <c r="P281"/>
      <c r="Q281"/>
    </row>
    <row r="282" spans="13:17" x14ac:dyDescent="0.25">
      <c r="M282"/>
      <c r="N282"/>
      <c r="O282"/>
      <c r="P282"/>
      <c r="Q282"/>
    </row>
  </sheetData>
  <mergeCells count="11">
    <mergeCell ref="O2:S5"/>
    <mergeCell ref="H2:K2"/>
    <mergeCell ref="M2:N5"/>
    <mergeCell ref="B2:F9"/>
    <mergeCell ref="B24:B25"/>
    <mergeCell ref="B26:B27"/>
    <mergeCell ref="B11:F13"/>
    <mergeCell ref="B16:B17"/>
    <mergeCell ref="B18:B19"/>
    <mergeCell ref="B20:B21"/>
    <mergeCell ref="B22:B23"/>
  </mergeCells>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B124E-6E10-49A5-9E8A-CC5374FA2CE0}">
  <sheetPr codeName="工作表7"/>
  <dimension ref="A2:AE298"/>
  <sheetViews>
    <sheetView tabSelected="1" zoomScaleNormal="100" workbookViewId="0">
      <selection activeCell="B2" sqref="B2:J6"/>
    </sheetView>
  </sheetViews>
  <sheetFormatPr defaultColWidth="9" defaultRowHeight="16.5" x14ac:dyDescent="0.25"/>
  <cols>
    <col min="1" max="1" width="3.375" style="1" customWidth="1"/>
    <col min="2" max="4" width="10.875" style="1" customWidth="1"/>
    <col min="5" max="8" width="3.375" style="1" customWidth="1"/>
    <col min="9" max="11" width="10.875" style="1" customWidth="1"/>
    <col min="12" max="12" width="3.375" style="1" customWidth="1"/>
    <col min="13" max="16" width="10.875" style="1" customWidth="1"/>
    <col min="17" max="17" width="3.375" style="1" customWidth="1"/>
    <col min="18" max="20" width="10.875" style="1" customWidth="1"/>
    <col min="21" max="21" width="10.875" style="78" customWidth="1"/>
    <col min="22" max="29" width="10.875" style="1" customWidth="1"/>
    <col min="30" max="30" width="3.375" style="1" customWidth="1"/>
    <col min="31" max="49" width="9.125" style="1" customWidth="1"/>
    <col min="50" max="65" width="9" style="1"/>
    <col min="66" max="66" width="9" style="1" customWidth="1"/>
    <col min="67" max="16384" width="9" style="1"/>
  </cols>
  <sheetData>
    <row r="2" spans="1:31" ht="16.5" customHeight="1" x14ac:dyDescent="0.25">
      <c r="B2" s="100" t="s">
        <v>42</v>
      </c>
      <c r="C2" s="115"/>
      <c r="D2" s="115"/>
      <c r="E2" s="115"/>
      <c r="F2" s="115"/>
      <c r="G2" s="115"/>
      <c r="H2" s="115"/>
      <c r="I2" s="115"/>
      <c r="J2" s="115"/>
      <c r="K2" s="116" t="s">
        <v>1</v>
      </c>
      <c r="M2" s="124" t="s">
        <v>26</v>
      </c>
      <c r="N2" s="115"/>
      <c r="O2" s="115"/>
      <c r="P2" s="131" t="s">
        <v>27</v>
      </c>
      <c r="Q2"/>
      <c r="R2" s="114" t="s">
        <v>7</v>
      </c>
      <c r="S2" s="115"/>
      <c r="T2" s="132" t="s">
        <v>17</v>
      </c>
      <c r="U2" s="133"/>
      <c r="V2" s="133"/>
      <c r="W2" s="133"/>
      <c r="X2" s="134"/>
      <c r="Y2" s="127" t="str">
        <f>_xlfn.CONCAT(B99," ",B103," ",B107)</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v>
      </c>
      <c r="Z2" s="128"/>
      <c r="AA2" s="128"/>
      <c r="AB2" s="128"/>
      <c r="AC2" s="128"/>
      <c r="AE2"/>
    </row>
    <row r="3" spans="1:31" x14ac:dyDescent="0.25">
      <c r="B3" s="115"/>
      <c r="C3" s="115"/>
      <c r="D3" s="115"/>
      <c r="E3" s="115"/>
      <c r="F3" s="115"/>
      <c r="G3" s="115"/>
      <c r="H3" s="115"/>
      <c r="I3" s="115"/>
      <c r="J3" s="115"/>
      <c r="K3" s="123"/>
      <c r="M3" s="115"/>
      <c r="N3" s="115"/>
      <c r="O3" s="115"/>
      <c r="P3" s="131"/>
      <c r="Q3"/>
      <c r="R3" s="116"/>
      <c r="S3" s="115"/>
      <c r="T3" s="135"/>
      <c r="U3" s="136"/>
      <c r="V3" s="136"/>
      <c r="W3" s="136"/>
      <c r="X3" s="137"/>
      <c r="Y3" s="128"/>
      <c r="Z3" s="128"/>
      <c r="AA3" s="128"/>
      <c r="AB3" s="128"/>
      <c r="AC3" s="128"/>
      <c r="AE3"/>
    </row>
    <row r="4" spans="1:31" x14ac:dyDescent="0.25">
      <c r="B4" s="115"/>
      <c r="C4" s="115"/>
      <c r="D4" s="115"/>
      <c r="E4" s="115"/>
      <c r="F4" s="115"/>
      <c r="G4" s="115"/>
      <c r="H4" s="115"/>
      <c r="I4" s="115"/>
      <c r="J4" s="115"/>
      <c r="K4" s="123"/>
      <c r="M4" s="115"/>
      <c r="N4" s="115"/>
      <c r="O4" s="115"/>
      <c r="P4" s="131"/>
      <c r="Q4"/>
      <c r="R4" s="116"/>
      <c r="S4" s="115"/>
      <c r="T4" s="135"/>
      <c r="U4" s="136"/>
      <c r="V4" s="136"/>
      <c r="W4" s="136"/>
      <c r="X4" s="137"/>
      <c r="Y4" s="128"/>
      <c r="Z4" s="128"/>
      <c r="AA4" s="128"/>
      <c r="AB4" s="128"/>
      <c r="AC4" s="128"/>
      <c r="AE4"/>
    </row>
    <row r="5" spans="1:31" x14ac:dyDescent="0.25">
      <c r="B5" s="115"/>
      <c r="C5" s="115"/>
      <c r="D5" s="115"/>
      <c r="E5" s="115"/>
      <c r="F5" s="115"/>
      <c r="G5" s="115"/>
      <c r="H5" s="115"/>
      <c r="I5" s="115"/>
      <c r="J5" s="115"/>
      <c r="K5" s="123"/>
      <c r="M5" s="115"/>
      <c r="N5" s="115"/>
      <c r="O5" s="115"/>
      <c r="P5" s="131"/>
      <c r="Q5"/>
      <c r="R5" s="116"/>
      <c r="S5" s="115"/>
      <c r="T5" s="138"/>
      <c r="U5" s="139"/>
      <c r="V5" s="139"/>
      <c r="W5" s="139"/>
      <c r="X5" s="140"/>
      <c r="Y5" s="128"/>
      <c r="Z5" s="128"/>
      <c r="AA5" s="128"/>
      <c r="AB5" s="128"/>
      <c r="AC5" s="128"/>
      <c r="AE5"/>
    </row>
    <row r="6" spans="1:31" x14ac:dyDescent="0.25">
      <c r="B6" s="115"/>
      <c r="C6" s="115"/>
      <c r="D6" s="115"/>
      <c r="E6" s="115"/>
      <c r="F6" s="115"/>
      <c r="G6" s="115"/>
      <c r="H6" s="115"/>
      <c r="I6" s="115"/>
      <c r="J6" s="115"/>
      <c r="K6" s="123"/>
      <c r="M6" s="129" t="s">
        <v>28</v>
      </c>
      <c r="N6" s="130"/>
      <c r="O6" s="81">
        <f>AVERAGE(M12:M31)</f>
        <v>0</v>
      </c>
      <c r="P6" s="82">
        <f>AVERAGE(N12:N31)</f>
        <v>0</v>
      </c>
      <c r="Q6"/>
      <c r="R6"/>
    </row>
    <row r="7" spans="1:31" x14ac:dyDescent="0.25">
      <c r="B7"/>
      <c r="C7"/>
      <c r="D7"/>
      <c r="E7"/>
      <c r="F7"/>
      <c r="G7"/>
      <c r="H7"/>
      <c r="I7"/>
      <c r="J7"/>
      <c r="K7"/>
      <c r="M7" s="119" t="s">
        <v>29</v>
      </c>
      <c r="N7" s="120"/>
      <c r="O7" s="81">
        <f>AVERAGE(M12:M15)</f>
        <v>0</v>
      </c>
      <c r="P7" s="81">
        <f>AVERAGE(N12:N15)</f>
        <v>0</v>
      </c>
      <c r="Q7"/>
      <c r="R7"/>
    </row>
    <row r="8" spans="1:31" ht="16.5" customHeight="1" x14ac:dyDescent="0.25">
      <c r="B8" s="117" t="s">
        <v>30</v>
      </c>
      <c r="C8" s="125" t="s">
        <v>44</v>
      </c>
      <c r="D8" s="125"/>
      <c r="E8" s="125"/>
      <c r="F8" s="125"/>
      <c r="G8" s="125"/>
      <c r="H8" s="125"/>
      <c r="I8" s="125"/>
      <c r="J8" s="126" t="s">
        <v>63</v>
      </c>
      <c r="K8" s="126"/>
      <c r="M8" s="119" t="s">
        <v>31</v>
      </c>
      <c r="N8" s="120"/>
      <c r="O8" s="81">
        <f>AVERAGE(M16:M31)</f>
        <v>0</v>
      </c>
      <c r="P8" s="81">
        <f>AVERAGE(N16:N31)</f>
        <v>0</v>
      </c>
      <c r="Q8"/>
      <c r="R8"/>
    </row>
    <row r="9" spans="1:31" x14ac:dyDescent="0.25">
      <c r="B9" s="118"/>
      <c r="C9" s="125"/>
      <c r="D9" s="125"/>
      <c r="E9" s="125"/>
      <c r="F9" s="125"/>
      <c r="G9" s="125"/>
      <c r="H9" s="125"/>
      <c r="I9" s="125"/>
      <c r="J9" s="123">
        <v>4</v>
      </c>
      <c r="K9" s="123"/>
      <c r="M9" s="121" t="s">
        <v>32</v>
      </c>
      <c r="N9" s="122"/>
      <c r="O9" s="83" t="e">
        <f>((I12-I31)/(I12+I31))/((C12-C31)/(C12+C31))</f>
        <v>#DIV/0!</v>
      </c>
      <c r="P9" s="83" t="e">
        <f>((K12-K31)/(K12+K31))/((C12-C31)/(C12+C31))</f>
        <v>#DIV/0!</v>
      </c>
      <c r="Q9"/>
      <c r="R9"/>
    </row>
    <row r="10" spans="1:31" x14ac:dyDescent="0.25">
      <c r="M10" s="77" t="s">
        <v>55</v>
      </c>
      <c r="N10" s="1" t="s">
        <v>53</v>
      </c>
      <c r="O10" s="1" t="s">
        <v>54</v>
      </c>
    </row>
    <row r="11" spans="1:31" x14ac:dyDescent="0.25">
      <c r="B11" s="13" t="s">
        <v>52</v>
      </c>
      <c r="C11" s="13" t="s">
        <v>33</v>
      </c>
      <c r="D11" s="1" t="s">
        <v>8</v>
      </c>
      <c r="E11" s="20" t="s">
        <v>34</v>
      </c>
      <c r="F11" s="20" t="s">
        <v>35</v>
      </c>
      <c r="G11" s="20" t="s">
        <v>36</v>
      </c>
      <c r="H11" s="20" t="s">
        <v>34</v>
      </c>
      <c r="I11" s="13" t="s">
        <v>37</v>
      </c>
      <c r="J11" s="1" t="s">
        <v>8</v>
      </c>
      <c r="K11" s="1" t="s">
        <v>38</v>
      </c>
      <c r="M11" s="1" t="s">
        <v>39</v>
      </c>
      <c r="N11" s="1" t="s">
        <v>39</v>
      </c>
      <c r="O11" s="1" t="s">
        <v>39</v>
      </c>
      <c r="P11" s="1" t="s">
        <v>45</v>
      </c>
    </row>
    <row r="12" spans="1:31" x14ac:dyDescent="0.25">
      <c r="A12" s="1" t="s">
        <v>49</v>
      </c>
      <c r="B12" s="79"/>
      <c r="C12" s="79"/>
      <c r="D12" s="16">
        <f t="shared" ref="D12:D31" si="0">((K56-J56)*I56)/(I56-C56)+J56-(C56*((K56-J56)/(I56-C56)))</f>
        <v>1</v>
      </c>
      <c r="E12" s="35"/>
      <c r="F12" s="51"/>
      <c r="G12" s="66"/>
      <c r="H12" s="35"/>
      <c r="I12" s="79"/>
      <c r="J12" s="6">
        <f t="shared" ref="J12:J31" si="1">((K34-J34)*I12)/(I34-C34)+J34-(C34*((K34-J34)/(I34-C34)))</f>
        <v>0</v>
      </c>
      <c r="K12" s="84">
        <f t="shared" ref="K12:K31" si="2">IF(C78-I78=0,VLOOKUP(J12,$R$35:$S$291,2),((K78-J78)*J12)/(I78-C78)+J78-(C78*((K78-J78)/(I78-C78))))</f>
        <v>0</v>
      </c>
      <c r="L12" s="3"/>
      <c r="M12" s="21">
        <f t="shared" ref="M12:M31" si="3">ABS(I12-C12)</f>
        <v>0</v>
      </c>
      <c r="N12" s="80">
        <f t="shared" ref="N12:N31" si="4">ABS(K12-C12)</f>
        <v>0</v>
      </c>
      <c r="O12" s="79">
        <f t="shared" ref="O12:O31" si="5">ABS(B12-C12)</f>
        <v>0</v>
      </c>
      <c r="P12" s="80" t="s">
        <v>46</v>
      </c>
    </row>
    <row r="13" spans="1:31" x14ac:dyDescent="0.25">
      <c r="A13" s="1">
        <v>1</v>
      </c>
      <c r="B13" s="79"/>
      <c r="C13" s="79"/>
      <c r="D13" s="16">
        <f t="shared" si="0"/>
        <v>1</v>
      </c>
      <c r="E13" s="36"/>
      <c r="F13" s="52"/>
      <c r="G13" s="67"/>
      <c r="H13" s="36"/>
      <c r="I13" s="79"/>
      <c r="J13" s="6">
        <f t="shared" si="1"/>
        <v>0</v>
      </c>
      <c r="K13" s="84">
        <f t="shared" si="2"/>
        <v>0</v>
      </c>
      <c r="L13" s="3"/>
      <c r="M13" s="21">
        <f t="shared" si="3"/>
        <v>0</v>
      </c>
      <c r="N13" s="80">
        <f t="shared" si="4"/>
        <v>0</v>
      </c>
      <c r="O13" s="79">
        <f t="shared" si="5"/>
        <v>0</v>
      </c>
      <c r="P13" s="80" t="s">
        <v>46</v>
      </c>
    </row>
    <row r="14" spans="1:31" x14ac:dyDescent="0.25">
      <c r="A14" s="1">
        <v>2</v>
      </c>
      <c r="B14" s="79"/>
      <c r="C14" s="79"/>
      <c r="D14" s="16">
        <f t="shared" si="0"/>
        <v>1</v>
      </c>
      <c r="E14" s="37"/>
      <c r="F14" s="53"/>
      <c r="G14" s="68"/>
      <c r="H14" s="37"/>
      <c r="I14" s="79"/>
      <c r="J14" s="6">
        <f t="shared" si="1"/>
        <v>0</v>
      </c>
      <c r="K14" s="84">
        <f t="shared" si="2"/>
        <v>0</v>
      </c>
      <c r="L14" s="3"/>
      <c r="M14" s="21">
        <f t="shared" si="3"/>
        <v>0</v>
      </c>
      <c r="N14" s="80">
        <f t="shared" si="4"/>
        <v>0</v>
      </c>
      <c r="O14" s="79">
        <f t="shared" si="5"/>
        <v>0</v>
      </c>
      <c r="P14" s="80" t="s">
        <v>47</v>
      </c>
    </row>
    <row r="15" spans="1:31" x14ac:dyDescent="0.25">
      <c r="A15" s="1">
        <v>3</v>
      </c>
      <c r="B15" s="79"/>
      <c r="C15" s="79"/>
      <c r="D15" s="16">
        <f t="shared" si="0"/>
        <v>1</v>
      </c>
      <c r="E15" s="38"/>
      <c r="F15" s="54"/>
      <c r="G15" s="69"/>
      <c r="H15" s="38"/>
      <c r="I15" s="79"/>
      <c r="J15" s="6">
        <f t="shared" si="1"/>
        <v>0</v>
      </c>
      <c r="K15" s="84">
        <f t="shared" si="2"/>
        <v>0</v>
      </c>
      <c r="L15" s="3"/>
      <c r="M15" s="21">
        <f t="shared" si="3"/>
        <v>0</v>
      </c>
      <c r="N15" s="80">
        <f t="shared" si="4"/>
        <v>0</v>
      </c>
      <c r="O15" s="79">
        <f t="shared" si="5"/>
        <v>0</v>
      </c>
      <c r="P15" s="80" t="s">
        <v>48</v>
      </c>
    </row>
    <row r="16" spans="1:31" x14ac:dyDescent="0.25">
      <c r="A16" s="1">
        <v>4</v>
      </c>
      <c r="B16" s="79"/>
      <c r="C16" s="79"/>
      <c r="D16" s="16">
        <f t="shared" si="0"/>
        <v>1</v>
      </c>
      <c r="E16" s="39"/>
      <c r="F16" s="55"/>
      <c r="G16" s="24"/>
      <c r="H16" s="39"/>
      <c r="I16" s="79"/>
      <c r="J16" s="6">
        <f t="shared" si="1"/>
        <v>0</v>
      </c>
      <c r="K16" s="84">
        <f t="shared" si="2"/>
        <v>0</v>
      </c>
      <c r="L16" s="3"/>
      <c r="M16" s="21">
        <f t="shared" si="3"/>
        <v>0</v>
      </c>
      <c r="N16" s="80">
        <f t="shared" si="4"/>
        <v>0</v>
      </c>
      <c r="O16" s="79">
        <f t="shared" si="5"/>
        <v>0</v>
      </c>
      <c r="P16" s="80" t="s">
        <v>48</v>
      </c>
    </row>
    <row r="17" spans="1:16" x14ac:dyDescent="0.25">
      <c r="A17" s="1">
        <v>5</v>
      </c>
      <c r="B17" s="79"/>
      <c r="C17" s="79"/>
      <c r="D17" s="16">
        <f t="shared" si="0"/>
        <v>1</v>
      </c>
      <c r="E17" s="40"/>
      <c r="F17" s="56"/>
      <c r="G17" s="65"/>
      <c r="H17" s="40"/>
      <c r="I17" s="79"/>
      <c r="J17" s="6">
        <f t="shared" si="1"/>
        <v>0</v>
      </c>
      <c r="K17" s="84">
        <f t="shared" si="2"/>
        <v>0</v>
      </c>
      <c r="L17" s="3"/>
      <c r="M17" s="21">
        <f t="shared" si="3"/>
        <v>0</v>
      </c>
      <c r="N17" s="80">
        <f t="shared" si="4"/>
        <v>0</v>
      </c>
      <c r="O17" s="79">
        <f t="shared" si="5"/>
        <v>0</v>
      </c>
      <c r="P17" s="80" t="s">
        <v>48</v>
      </c>
    </row>
    <row r="18" spans="1:16" x14ac:dyDescent="0.25">
      <c r="A18" s="1">
        <v>6</v>
      </c>
      <c r="B18" s="79"/>
      <c r="C18" s="79"/>
      <c r="D18" s="16">
        <f t="shared" si="0"/>
        <v>1</v>
      </c>
      <c r="E18" s="41"/>
      <c r="F18" s="22"/>
      <c r="G18" s="70"/>
      <c r="H18" s="41"/>
      <c r="I18" s="79"/>
      <c r="J18" s="6">
        <f t="shared" si="1"/>
        <v>0</v>
      </c>
      <c r="K18" s="84">
        <f t="shared" si="2"/>
        <v>0</v>
      </c>
      <c r="L18" s="3"/>
      <c r="M18" s="21">
        <f t="shared" si="3"/>
        <v>0</v>
      </c>
      <c r="N18" s="80">
        <f t="shared" si="4"/>
        <v>0</v>
      </c>
      <c r="O18" s="79">
        <f t="shared" si="5"/>
        <v>0</v>
      </c>
      <c r="P18" s="80" t="s">
        <v>48</v>
      </c>
    </row>
    <row r="19" spans="1:16" x14ac:dyDescent="0.25">
      <c r="A19" s="1" t="s">
        <v>50</v>
      </c>
      <c r="B19" s="79"/>
      <c r="C19" s="79"/>
      <c r="D19" s="16">
        <f t="shared" si="0"/>
        <v>1</v>
      </c>
      <c r="E19" s="42"/>
      <c r="F19" s="23"/>
      <c r="G19" s="71"/>
      <c r="H19" s="42"/>
      <c r="I19" s="79"/>
      <c r="J19" s="6">
        <f t="shared" si="1"/>
        <v>0</v>
      </c>
      <c r="K19" s="84">
        <f t="shared" si="2"/>
        <v>0</v>
      </c>
      <c r="L19" s="3"/>
      <c r="M19" s="21">
        <f t="shared" si="3"/>
        <v>0</v>
      </c>
      <c r="N19" s="80">
        <f t="shared" si="4"/>
        <v>0</v>
      </c>
      <c r="O19" s="79">
        <f t="shared" si="5"/>
        <v>0</v>
      </c>
      <c r="P19" s="80" t="s">
        <v>48</v>
      </c>
    </row>
    <row r="20" spans="1:16" x14ac:dyDescent="0.25">
      <c r="A20" s="1">
        <v>8</v>
      </c>
      <c r="B20" s="79"/>
      <c r="C20" s="79"/>
      <c r="D20" s="16">
        <f t="shared" si="0"/>
        <v>1</v>
      </c>
      <c r="E20" s="43"/>
      <c r="F20" s="57"/>
      <c r="G20" s="72"/>
      <c r="H20" s="43"/>
      <c r="I20" s="79"/>
      <c r="J20" s="6">
        <f t="shared" si="1"/>
        <v>0</v>
      </c>
      <c r="K20" s="84">
        <f t="shared" si="2"/>
        <v>0</v>
      </c>
      <c r="L20" s="3"/>
      <c r="M20" s="21">
        <f t="shared" si="3"/>
        <v>0</v>
      </c>
      <c r="N20" s="80">
        <f t="shared" si="4"/>
        <v>0</v>
      </c>
      <c r="O20" s="79">
        <f t="shared" si="5"/>
        <v>0</v>
      </c>
      <c r="P20" s="80" t="s">
        <v>47</v>
      </c>
    </row>
    <row r="21" spans="1:16" x14ac:dyDescent="0.25">
      <c r="A21" s="1">
        <v>9</v>
      </c>
      <c r="B21" s="79"/>
      <c r="C21" s="79"/>
      <c r="D21" s="16">
        <f t="shared" si="0"/>
        <v>1</v>
      </c>
      <c r="E21" s="44"/>
      <c r="F21" s="25"/>
      <c r="G21" s="73"/>
      <c r="H21" s="44"/>
      <c r="I21" s="79"/>
      <c r="J21" s="6">
        <f t="shared" si="1"/>
        <v>0</v>
      </c>
      <c r="K21" s="84">
        <f t="shared" si="2"/>
        <v>0</v>
      </c>
      <c r="L21" s="3"/>
      <c r="M21" s="21">
        <f t="shared" si="3"/>
        <v>0</v>
      </c>
      <c r="N21" s="80">
        <f t="shared" si="4"/>
        <v>0</v>
      </c>
      <c r="O21" s="79">
        <f t="shared" si="5"/>
        <v>0</v>
      </c>
      <c r="P21" s="80" t="s">
        <v>46</v>
      </c>
    </row>
    <row r="22" spans="1:16" x14ac:dyDescent="0.25">
      <c r="A22" s="1">
        <v>10</v>
      </c>
      <c r="B22" s="79"/>
      <c r="C22" s="79"/>
      <c r="D22" s="16">
        <f t="shared" si="0"/>
        <v>1</v>
      </c>
      <c r="E22" s="45"/>
      <c r="F22" s="26"/>
      <c r="G22" s="74"/>
      <c r="H22" s="45"/>
      <c r="I22" s="79"/>
      <c r="J22" s="6">
        <f t="shared" si="1"/>
        <v>0</v>
      </c>
      <c r="K22" s="84">
        <f t="shared" si="2"/>
        <v>0</v>
      </c>
      <c r="L22" s="3"/>
      <c r="M22" s="21">
        <f t="shared" si="3"/>
        <v>0</v>
      </c>
      <c r="N22" s="80">
        <f t="shared" si="4"/>
        <v>0</v>
      </c>
      <c r="O22" s="79">
        <f t="shared" si="5"/>
        <v>0</v>
      </c>
      <c r="P22" s="80" t="s">
        <v>46</v>
      </c>
    </row>
    <row r="23" spans="1:16" x14ac:dyDescent="0.25">
      <c r="A23" s="1">
        <v>11</v>
      </c>
      <c r="B23" s="79"/>
      <c r="C23" s="79"/>
      <c r="D23" s="16">
        <f t="shared" si="0"/>
        <v>1</v>
      </c>
      <c r="E23" s="46"/>
      <c r="F23" s="58"/>
      <c r="G23" s="26"/>
      <c r="H23" s="46"/>
      <c r="I23" s="79"/>
      <c r="J23" s="6">
        <f t="shared" si="1"/>
        <v>0</v>
      </c>
      <c r="K23" s="84">
        <f t="shared" si="2"/>
        <v>0</v>
      </c>
      <c r="L23" s="3"/>
      <c r="M23" s="21">
        <f t="shared" si="3"/>
        <v>0</v>
      </c>
      <c r="N23" s="80">
        <f t="shared" si="4"/>
        <v>0</v>
      </c>
      <c r="O23" s="79">
        <f t="shared" si="5"/>
        <v>0</v>
      </c>
      <c r="P23" s="80" t="s">
        <v>46</v>
      </c>
    </row>
    <row r="24" spans="1:16" x14ac:dyDescent="0.25">
      <c r="A24" s="1">
        <v>12</v>
      </c>
      <c r="B24" s="79"/>
      <c r="C24" s="79"/>
      <c r="D24" s="16">
        <f t="shared" si="0"/>
        <v>1</v>
      </c>
      <c r="E24" s="32"/>
      <c r="F24" s="27"/>
      <c r="G24" s="28"/>
      <c r="H24" s="32"/>
      <c r="I24" s="79"/>
      <c r="J24" s="6">
        <f t="shared" si="1"/>
        <v>0</v>
      </c>
      <c r="K24" s="84">
        <f t="shared" si="2"/>
        <v>0</v>
      </c>
      <c r="L24" s="3"/>
      <c r="M24" s="21">
        <f t="shared" si="3"/>
        <v>0</v>
      </c>
      <c r="N24" s="80">
        <f t="shared" si="4"/>
        <v>0</v>
      </c>
      <c r="O24" s="79">
        <f t="shared" si="5"/>
        <v>0</v>
      </c>
      <c r="P24" s="80" t="s">
        <v>46</v>
      </c>
    </row>
    <row r="25" spans="1:16" x14ac:dyDescent="0.25">
      <c r="A25" s="1">
        <v>13</v>
      </c>
      <c r="B25" s="79"/>
      <c r="C25" s="79"/>
      <c r="D25" s="16">
        <f t="shared" si="0"/>
        <v>1</v>
      </c>
      <c r="E25" s="47"/>
      <c r="F25" s="59"/>
      <c r="G25" s="63"/>
      <c r="H25" s="47"/>
      <c r="I25" s="79"/>
      <c r="J25" s="6">
        <f t="shared" si="1"/>
        <v>0</v>
      </c>
      <c r="K25" s="84">
        <f t="shared" si="2"/>
        <v>0</v>
      </c>
      <c r="L25" s="3"/>
      <c r="M25" s="21">
        <f t="shared" si="3"/>
        <v>0</v>
      </c>
      <c r="N25" s="80">
        <f t="shared" si="4"/>
        <v>0</v>
      </c>
      <c r="O25" s="79">
        <f t="shared" si="5"/>
        <v>0</v>
      </c>
      <c r="P25" s="80" t="s">
        <v>46</v>
      </c>
    </row>
    <row r="26" spans="1:16" x14ac:dyDescent="0.25">
      <c r="A26" s="1">
        <v>14</v>
      </c>
      <c r="B26" s="79"/>
      <c r="C26" s="79"/>
      <c r="D26" s="16">
        <f t="shared" si="0"/>
        <v>1</v>
      </c>
      <c r="E26" s="48"/>
      <c r="F26" s="31"/>
      <c r="G26" s="75"/>
      <c r="H26" s="48"/>
      <c r="I26" s="79"/>
      <c r="J26" s="6">
        <f t="shared" si="1"/>
        <v>0</v>
      </c>
      <c r="K26" s="84">
        <f t="shared" si="2"/>
        <v>0</v>
      </c>
      <c r="L26" s="3"/>
      <c r="M26" s="21">
        <f t="shared" si="3"/>
        <v>0</v>
      </c>
      <c r="N26" s="80">
        <f t="shared" si="4"/>
        <v>0</v>
      </c>
      <c r="O26" s="79">
        <f t="shared" si="5"/>
        <v>0</v>
      </c>
      <c r="P26" s="80" t="s">
        <v>46</v>
      </c>
    </row>
    <row r="27" spans="1:16" x14ac:dyDescent="0.25">
      <c r="A27" s="1">
        <v>15</v>
      </c>
      <c r="B27" s="79"/>
      <c r="C27" s="79"/>
      <c r="D27" s="16">
        <f t="shared" si="0"/>
        <v>1</v>
      </c>
      <c r="E27" s="29"/>
      <c r="F27" s="60"/>
      <c r="G27" s="29"/>
      <c r="H27" s="29"/>
      <c r="I27" s="79"/>
      <c r="J27" s="6">
        <f t="shared" si="1"/>
        <v>0</v>
      </c>
      <c r="K27" s="84">
        <f t="shared" si="2"/>
        <v>0</v>
      </c>
      <c r="L27" s="3"/>
      <c r="M27" s="21">
        <f t="shared" si="3"/>
        <v>0</v>
      </c>
      <c r="N27" s="80">
        <f t="shared" si="4"/>
        <v>0</v>
      </c>
      <c r="O27" s="79">
        <f t="shared" si="5"/>
        <v>0</v>
      </c>
      <c r="P27" s="80" t="s">
        <v>46</v>
      </c>
    </row>
    <row r="28" spans="1:16" x14ac:dyDescent="0.25">
      <c r="A28" s="1" t="s">
        <v>51</v>
      </c>
      <c r="B28" s="79"/>
      <c r="C28" s="79"/>
      <c r="D28" s="16">
        <f t="shared" si="0"/>
        <v>1</v>
      </c>
      <c r="E28" s="30"/>
      <c r="F28" s="61"/>
      <c r="G28" s="60"/>
      <c r="H28" s="30"/>
      <c r="I28" s="79"/>
      <c r="J28" s="6">
        <f t="shared" si="1"/>
        <v>0</v>
      </c>
      <c r="K28" s="84">
        <f t="shared" si="2"/>
        <v>0</v>
      </c>
      <c r="L28" s="3"/>
      <c r="M28" s="21">
        <f t="shared" si="3"/>
        <v>0</v>
      </c>
      <c r="N28" s="80">
        <f t="shared" si="4"/>
        <v>0</v>
      </c>
      <c r="O28" s="79">
        <f t="shared" si="5"/>
        <v>0</v>
      </c>
      <c r="P28" s="80" t="s">
        <v>46</v>
      </c>
    </row>
    <row r="29" spans="1:16" x14ac:dyDescent="0.25">
      <c r="A29" s="1">
        <v>17</v>
      </c>
      <c r="B29" s="79"/>
      <c r="C29" s="79"/>
      <c r="D29" s="16">
        <f t="shared" si="0"/>
        <v>1</v>
      </c>
      <c r="E29" s="49"/>
      <c r="F29" s="50"/>
      <c r="G29" s="76"/>
      <c r="H29" s="49"/>
      <c r="I29" s="79"/>
      <c r="J29" s="6">
        <f t="shared" si="1"/>
        <v>0</v>
      </c>
      <c r="K29" s="84">
        <f t="shared" si="2"/>
        <v>0</v>
      </c>
      <c r="L29" s="3"/>
      <c r="M29" s="21">
        <f t="shared" si="3"/>
        <v>0</v>
      </c>
      <c r="N29" s="80">
        <f t="shared" si="4"/>
        <v>0</v>
      </c>
      <c r="O29" s="79">
        <f t="shared" si="5"/>
        <v>0</v>
      </c>
      <c r="P29" s="80" t="s">
        <v>46</v>
      </c>
    </row>
    <row r="30" spans="1:16" x14ac:dyDescent="0.25">
      <c r="A30" s="1">
        <v>18</v>
      </c>
      <c r="B30" s="79"/>
      <c r="C30" s="79"/>
      <c r="D30" s="16">
        <f t="shared" si="0"/>
        <v>1</v>
      </c>
      <c r="E30" s="50"/>
      <c r="F30" s="34"/>
      <c r="G30" s="49"/>
      <c r="H30" s="50"/>
      <c r="I30" s="79"/>
      <c r="J30" s="6">
        <f t="shared" si="1"/>
        <v>0</v>
      </c>
      <c r="K30" s="84">
        <f t="shared" si="2"/>
        <v>0</v>
      </c>
      <c r="L30" s="3"/>
      <c r="M30" s="21">
        <f t="shared" si="3"/>
        <v>0</v>
      </c>
      <c r="N30" s="80">
        <f t="shared" si="4"/>
        <v>0</v>
      </c>
      <c r="O30" s="79">
        <f t="shared" si="5"/>
        <v>0</v>
      </c>
      <c r="P30" s="80" t="s">
        <v>46</v>
      </c>
    </row>
    <row r="31" spans="1:16" x14ac:dyDescent="0.25">
      <c r="A31" s="1">
        <v>19</v>
      </c>
      <c r="B31" s="79"/>
      <c r="C31" s="79"/>
      <c r="D31" s="16">
        <f t="shared" si="0"/>
        <v>1</v>
      </c>
      <c r="E31" s="33"/>
      <c r="F31" s="62"/>
      <c r="G31" s="34"/>
      <c r="H31" s="33"/>
      <c r="I31" s="79"/>
      <c r="J31" s="6">
        <f t="shared" si="1"/>
        <v>0</v>
      </c>
      <c r="K31" s="84">
        <f t="shared" si="2"/>
        <v>0</v>
      </c>
      <c r="L31" s="3"/>
      <c r="M31" s="21">
        <f t="shared" si="3"/>
        <v>0</v>
      </c>
      <c r="N31" s="80">
        <f t="shared" si="4"/>
        <v>0</v>
      </c>
      <c r="O31" s="79">
        <f t="shared" si="5"/>
        <v>0</v>
      </c>
      <c r="P31" s="80" t="s">
        <v>46</v>
      </c>
    </row>
    <row r="33" spans="2:26" ht="17.25" thickBot="1" x14ac:dyDescent="0.3">
      <c r="C33" s="1" t="s">
        <v>9</v>
      </c>
      <c r="I33" s="1" t="s">
        <v>10</v>
      </c>
      <c r="J33" s="1" t="s">
        <v>11</v>
      </c>
      <c r="K33" s="1" t="s">
        <v>12</v>
      </c>
      <c r="M33" s="113" t="s">
        <v>13</v>
      </c>
      <c r="N33" s="113"/>
      <c r="O33" s="99"/>
      <c r="P33" s="99"/>
      <c r="R33" s="113" t="s">
        <v>40</v>
      </c>
      <c r="S33" s="99"/>
      <c r="T33" s="99"/>
      <c r="U33" s="99"/>
    </row>
    <row r="34" spans="2:26" x14ac:dyDescent="0.25">
      <c r="B34" s="1">
        <v>1</v>
      </c>
      <c r="C34" s="1">
        <f t="shared" ref="C34:C53" si="6">VLOOKUP(J34,$N$35:$O$298,2,TRUE)</f>
        <v>0</v>
      </c>
      <c r="I34" s="1">
        <f t="shared" ref="I34:I53" si="7">VLOOKUP(K34,$N$35:$O$298,2,TRUE)</f>
        <v>4.5</v>
      </c>
      <c r="J34" s="1">
        <f t="shared" ref="J34:J53" si="8">VLOOKUP(ROUNDUP(I12,1),$M$35:$N$298,2,TRUE)</f>
        <v>0</v>
      </c>
      <c r="K34" s="1">
        <f t="shared" ref="K34:K53" si="9">VLOOKUP(ROUNDUP(I12,1),$M$35:$N$298,2,TRUE)+1</f>
        <v>1</v>
      </c>
      <c r="M34" s="7" t="s">
        <v>14</v>
      </c>
      <c r="N34" s="1" t="s">
        <v>15</v>
      </c>
      <c r="O34" s="1" t="s">
        <v>14</v>
      </c>
      <c r="P34" s="1" t="s">
        <v>16</v>
      </c>
      <c r="R34" s="94" t="s">
        <v>15</v>
      </c>
      <c r="S34" s="87" t="s">
        <v>14</v>
      </c>
      <c r="T34" s="7" t="s">
        <v>15</v>
      </c>
      <c r="U34" s="98" t="s">
        <v>16</v>
      </c>
      <c r="W34" s="97"/>
      <c r="X34" s="97" t="s">
        <v>60</v>
      </c>
      <c r="Y34" s="97"/>
    </row>
    <row r="35" spans="2:26" x14ac:dyDescent="0.25">
      <c r="B35" s="1">
        <v>2</v>
      </c>
      <c r="C35" s="1">
        <f t="shared" si="6"/>
        <v>0</v>
      </c>
      <c r="I35" s="1">
        <f t="shared" si="7"/>
        <v>4.5</v>
      </c>
      <c r="J35" s="1">
        <f t="shared" si="8"/>
        <v>0</v>
      </c>
      <c r="K35" s="1">
        <f t="shared" si="9"/>
        <v>1</v>
      </c>
      <c r="M35" s="8">
        <f>O35</f>
        <v>0</v>
      </c>
      <c r="N35" s="1">
        <v>0</v>
      </c>
      <c r="O35" s="1">
        <f>VALUE(MID(T2,1,SEARCH(" ",T2,1)-1))/J9</f>
        <v>0</v>
      </c>
      <c r="P35" s="1">
        <v>0</v>
      </c>
      <c r="R35" s="95">
        <v>0</v>
      </c>
      <c r="S35" s="89">
        <v>0</v>
      </c>
      <c r="T35" s="7">
        <v>0</v>
      </c>
      <c r="U35" s="98">
        <v>0</v>
      </c>
      <c r="V35" s="7">
        <f>ROUND(S35*$J$9,0)</f>
        <v>0</v>
      </c>
      <c r="W35" s="97"/>
      <c r="X35" s="97" t="s">
        <v>61</v>
      </c>
      <c r="Y35" s="97"/>
    </row>
    <row r="36" spans="2:26" x14ac:dyDescent="0.25">
      <c r="B36" s="1">
        <v>3</v>
      </c>
      <c r="C36" s="1">
        <f t="shared" si="6"/>
        <v>0</v>
      </c>
      <c r="I36" s="1">
        <f t="shared" si="7"/>
        <v>4.5</v>
      </c>
      <c r="J36" s="1">
        <f t="shared" si="8"/>
        <v>0</v>
      </c>
      <c r="K36" s="1">
        <f t="shared" si="9"/>
        <v>1</v>
      </c>
      <c r="M36" s="8">
        <f t="shared" ref="M36:M53" si="10">O36</f>
        <v>4.5</v>
      </c>
      <c r="N36" s="1">
        <v>1</v>
      </c>
      <c r="O36" s="1">
        <f>VALUE(MID($T$2,FIND("*",SUBSTITUTE($T$2," ","*",N36),1)+1,FIND("*",SUBSTITUTE($T$2," ","*",N37),1)-FIND("*",SUBSTITUTE($T$2," ","*",N36),1)-1))/J9</f>
        <v>4.5</v>
      </c>
      <c r="P36" s="1">
        <f>O36-O35</f>
        <v>4.5</v>
      </c>
      <c r="R36" s="95">
        <v>1</v>
      </c>
      <c r="S36" s="89">
        <f>S35+U36</f>
        <v>4.5</v>
      </c>
      <c r="T36" s="7">
        <v>4.5</v>
      </c>
      <c r="U36" s="98">
        <v>4.5</v>
      </c>
      <c r="V36" s="7">
        <f t="shared" ref="V36:V99" si="11">ROUND(S36*$J$9,0)</f>
        <v>18</v>
      </c>
      <c r="W36" s="97"/>
      <c r="X36" s="97" t="s">
        <v>62</v>
      </c>
      <c r="Y36" s="97"/>
    </row>
    <row r="37" spans="2:26" x14ac:dyDescent="0.25">
      <c r="B37" s="1">
        <v>4</v>
      </c>
      <c r="C37" s="1">
        <f t="shared" si="6"/>
        <v>0</v>
      </c>
      <c r="I37" s="1">
        <f t="shared" si="7"/>
        <v>4.5</v>
      </c>
      <c r="J37" s="1">
        <f t="shared" si="8"/>
        <v>0</v>
      </c>
      <c r="K37" s="1">
        <f t="shared" si="9"/>
        <v>1</v>
      </c>
      <c r="M37" s="8">
        <f t="shared" si="10"/>
        <v>7.5</v>
      </c>
      <c r="N37" s="1">
        <v>2</v>
      </c>
      <c r="O37" s="1">
        <f>VALUE(MID($T$2,FIND("*",SUBSTITUTE($T$2," ","*",N37),1)+1,FIND("*",SUBSTITUTE($T$2," ","*",N38),1)-FIND("*",SUBSTITUTE($T$2," ","*",N37),1)-1))/J9</f>
        <v>7.5</v>
      </c>
      <c r="P37" s="1">
        <f t="shared" ref="P37:P53" si="12">O37-O36</f>
        <v>3</v>
      </c>
      <c r="R37" s="95">
        <v>2</v>
      </c>
      <c r="S37" s="89">
        <f t="shared" ref="S37:S53" si="13">S36+U37</f>
        <v>7.5</v>
      </c>
      <c r="T37" s="7">
        <v>7.5</v>
      </c>
      <c r="U37" s="98">
        <v>3</v>
      </c>
      <c r="V37" s="7">
        <f t="shared" si="11"/>
        <v>30</v>
      </c>
    </row>
    <row r="38" spans="2:26" x14ac:dyDescent="0.25">
      <c r="B38" s="1">
        <v>5</v>
      </c>
      <c r="C38" s="1">
        <f t="shared" si="6"/>
        <v>0</v>
      </c>
      <c r="I38" s="1">
        <f t="shared" si="7"/>
        <v>4.5</v>
      </c>
      <c r="J38" s="1">
        <f t="shared" si="8"/>
        <v>0</v>
      </c>
      <c r="K38" s="1">
        <f t="shared" si="9"/>
        <v>1</v>
      </c>
      <c r="M38" s="8">
        <f t="shared" si="10"/>
        <v>10.5</v>
      </c>
      <c r="N38" s="1">
        <v>3</v>
      </c>
      <c r="O38" s="1">
        <f>VALUE(MID($T$2,FIND("*",SUBSTITUTE($T$2," ","*",N38),1)+1,FIND("*",SUBSTITUTE($T$2," ","*",N39),1)-FIND("*",SUBSTITUTE($T$2," ","*",N38),1)-1))/J9</f>
        <v>10.5</v>
      </c>
      <c r="P38" s="1">
        <f t="shared" si="12"/>
        <v>3</v>
      </c>
      <c r="R38" s="95">
        <v>3</v>
      </c>
      <c r="S38" s="89">
        <f t="shared" si="13"/>
        <v>10.5</v>
      </c>
      <c r="T38" s="7">
        <v>10.5</v>
      </c>
      <c r="U38" s="98">
        <v>3</v>
      </c>
      <c r="V38" s="7">
        <f t="shared" si="11"/>
        <v>42</v>
      </c>
    </row>
    <row r="39" spans="2:26" x14ac:dyDescent="0.25">
      <c r="B39" s="1">
        <v>6</v>
      </c>
      <c r="C39" s="1">
        <f t="shared" si="6"/>
        <v>0</v>
      </c>
      <c r="I39" s="1">
        <f t="shared" si="7"/>
        <v>4.5</v>
      </c>
      <c r="J39" s="1">
        <f t="shared" si="8"/>
        <v>0</v>
      </c>
      <c r="K39" s="1">
        <f t="shared" si="9"/>
        <v>1</v>
      </c>
      <c r="M39" s="8">
        <f t="shared" si="10"/>
        <v>13.5</v>
      </c>
      <c r="N39" s="1">
        <v>4</v>
      </c>
      <c r="O39" s="1">
        <f>VALUE(MID($T$2,FIND("*",SUBSTITUTE($T$2," ","*",N39),1)+1,FIND("*",SUBSTITUTE($T$2," ","*",N40),1)-FIND("*",SUBSTITUTE($T$2," ","*",N39),1)-1))/J9</f>
        <v>13.5</v>
      </c>
      <c r="P39" s="1">
        <f t="shared" si="12"/>
        <v>3</v>
      </c>
      <c r="R39" s="95">
        <v>4</v>
      </c>
      <c r="S39" s="89">
        <f t="shared" si="13"/>
        <v>13.5</v>
      </c>
      <c r="T39" s="7">
        <v>13.5</v>
      </c>
      <c r="U39" s="98">
        <v>3</v>
      </c>
      <c r="V39" s="7">
        <f t="shared" si="11"/>
        <v>54</v>
      </c>
    </row>
    <row r="40" spans="2:26" ht="17.25" thickBot="1" x14ac:dyDescent="0.3">
      <c r="B40" s="1">
        <v>7</v>
      </c>
      <c r="C40" s="1">
        <f t="shared" si="6"/>
        <v>0</v>
      </c>
      <c r="I40" s="1">
        <f t="shared" si="7"/>
        <v>4.5</v>
      </c>
      <c r="J40" s="1">
        <f t="shared" si="8"/>
        <v>0</v>
      </c>
      <c r="K40" s="1">
        <f t="shared" si="9"/>
        <v>1</v>
      </c>
      <c r="M40" s="8">
        <f t="shared" si="10"/>
        <v>16.5</v>
      </c>
      <c r="N40" s="1">
        <v>5</v>
      </c>
      <c r="O40" s="1">
        <f>VALUE(MID($T$2,FIND("*",SUBSTITUTE($T$2," ","*",N40),1)+1,FIND("*",SUBSTITUTE($T$2," ","*",N41),1)-FIND("*",SUBSTITUTE($T$2," ","*",N40),1)-1))/J9</f>
        <v>16.5</v>
      </c>
      <c r="P40" s="1">
        <f t="shared" si="12"/>
        <v>3</v>
      </c>
      <c r="R40" s="95">
        <v>5</v>
      </c>
      <c r="S40" s="89">
        <f t="shared" si="13"/>
        <v>16.5</v>
      </c>
      <c r="T40" s="7">
        <v>16.5</v>
      </c>
      <c r="U40" s="98">
        <v>3</v>
      </c>
      <c r="V40" s="7">
        <f t="shared" si="11"/>
        <v>66</v>
      </c>
    </row>
    <row r="41" spans="2:26" x14ac:dyDescent="0.25">
      <c r="B41" s="1">
        <v>8</v>
      </c>
      <c r="C41" s="1">
        <f t="shared" si="6"/>
        <v>0</v>
      </c>
      <c r="I41" s="1">
        <f t="shared" si="7"/>
        <v>4.5</v>
      </c>
      <c r="J41" s="1">
        <f t="shared" si="8"/>
        <v>0</v>
      </c>
      <c r="K41" s="1">
        <f t="shared" si="9"/>
        <v>1</v>
      </c>
      <c r="M41" s="8">
        <f t="shared" si="10"/>
        <v>19.5</v>
      </c>
      <c r="N41" s="1">
        <v>6</v>
      </c>
      <c r="O41" s="1">
        <f>VALUE(MID($T$2,FIND("*",SUBSTITUTE($T$2," ","*",N41),1)+1,FIND("*",SUBSTITUTE($T$2," ","*",N42),1)-FIND("*",SUBSTITUTE($T$2," ","*",N41),1)-1))/J9</f>
        <v>19.5</v>
      </c>
      <c r="P41" s="1">
        <f t="shared" si="12"/>
        <v>3</v>
      </c>
      <c r="R41" s="95">
        <v>6</v>
      </c>
      <c r="S41" s="89">
        <f t="shared" si="13"/>
        <v>19.5</v>
      </c>
      <c r="T41" s="7">
        <v>19.5</v>
      </c>
      <c r="U41" s="98">
        <v>3</v>
      </c>
      <c r="V41" s="7">
        <f t="shared" si="11"/>
        <v>78</v>
      </c>
      <c r="W41" s="85" t="s">
        <v>56</v>
      </c>
      <c r="X41" s="86"/>
      <c r="Y41" s="86"/>
      <c r="Z41" s="87"/>
    </row>
    <row r="42" spans="2:26" x14ac:dyDescent="0.25">
      <c r="B42" s="1">
        <v>9</v>
      </c>
      <c r="C42" s="1">
        <f t="shared" si="6"/>
        <v>0</v>
      </c>
      <c r="I42" s="1">
        <f t="shared" si="7"/>
        <v>4.5</v>
      </c>
      <c r="J42" s="1">
        <f t="shared" si="8"/>
        <v>0</v>
      </c>
      <c r="K42" s="1">
        <f t="shared" si="9"/>
        <v>1</v>
      </c>
      <c r="M42" s="8">
        <f t="shared" si="10"/>
        <v>23</v>
      </c>
      <c r="N42" s="1">
        <v>7</v>
      </c>
      <c r="O42" s="1">
        <f>VALUE(MID($T$2,FIND("*",SUBSTITUTE($T$2," ","*",N42),1)+1,FIND("*",SUBSTITUTE($T$2," ","*",N43),1)-FIND("*",SUBSTITUTE($T$2," ","*",N42),1)-1))/J9</f>
        <v>23</v>
      </c>
      <c r="P42" s="1">
        <f t="shared" si="12"/>
        <v>3.5</v>
      </c>
      <c r="R42" s="95">
        <v>7</v>
      </c>
      <c r="S42" s="89">
        <f t="shared" si="13"/>
        <v>23</v>
      </c>
      <c r="T42" s="7">
        <v>23</v>
      </c>
      <c r="U42" s="98">
        <v>3.5</v>
      </c>
      <c r="V42" s="7">
        <f t="shared" si="11"/>
        <v>92</v>
      </c>
      <c r="W42" s="88" t="s">
        <v>57</v>
      </c>
      <c r="Z42" s="89"/>
    </row>
    <row r="43" spans="2:26" x14ac:dyDescent="0.25">
      <c r="B43" s="1">
        <v>10</v>
      </c>
      <c r="C43" s="1">
        <f t="shared" si="6"/>
        <v>0</v>
      </c>
      <c r="I43" s="1">
        <f t="shared" si="7"/>
        <v>4.5</v>
      </c>
      <c r="J43" s="1">
        <f t="shared" si="8"/>
        <v>0</v>
      </c>
      <c r="K43" s="1">
        <f t="shared" si="9"/>
        <v>1</v>
      </c>
      <c r="M43" s="8">
        <f t="shared" si="10"/>
        <v>26.5</v>
      </c>
      <c r="N43" s="1">
        <v>8</v>
      </c>
      <c r="O43" s="1">
        <f>VALUE(MID($T$2,FIND("*",SUBSTITUTE($T$2," ","*",N43),1)+1,FIND("*",SUBSTITUTE($T$2," ","*",N44),1)-FIND("*",SUBSTITUTE($T$2," ","*",N43),1)-1))/J9</f>
        <v>26.5</v>
      </c>
      <c r="P43" s="1">
        <f t="shared" si="12"/>
        <v>3.5</v>
      </c>
      <c r="R43" s="95">
        <v>8</v>
      </c>
      <c r="S43" s="89">
        <f t="shared" si="13"/>
        <v>26.5</v>
      </c>
      <c r="T43" s="7">
        <v>26.5</v>
      </c>
      <c r="U43" s="98">
        <v>3.5</v>
      </c>
      <c r="V43" s="7">
        <f t="shared" si="11"/>
        <v>106</v>
      </c>
      <c r="W43" s="90" t="s">
        <v>58</v>
      </c>
      <c r="Z43" s="89"/>
    </row>
    <row r="44" spans="2:26" ht="17.25" thickBot="1" x14ac:dyDescent="0.3">
      <c r="B44" s="1">
        <v>11</v>
      </c>
      <c r="C44" s="1">
        <f t="shared" si="6"/>
        <v>0</v>
      </c>
      <c r="I44" s="1">
        <f t="shared" si="7"/>
        <v>4.5</v>
      </c>
      <c r="J44" s="1">
        <f t="shared" si="8"/>
        <v>0</v>
      </c>
      <c r="K44" s="1">
        <f t="shared" si="9"/>
        <v>1</v>
      </c>
      <c r="M44" s="8">
        <f t="shared" si="10"/>
        <v>29.5</v>
      </c>
      <c r="N44" s="1">
        <v>9</v>
      </c>
      <c r="O44" s="1">
        <f>VALUE(MID($T$2,FIND("*",SUBSTITUTE($T$2," ","*",N44),1)+1,FIND("*",SUBSTITUTE($T$2," ","*",N45),1)-FIND("*",SUBSTITUTE($T$2," ","*",N44),1)-1))/J9</f>
        <v>29.5</v>
      </c>
      <c r="P44" s="1">
        <f t="shared" si="12"/>
        <v>3</v>
      </c>
      <c r="R44" s="95">
        <v>9</v>
      </c>
      <c r="S44" s="89">
        <f t="shared" si="13"/>
        <v>29.5</v>
      </c>
      <c r="T44" s="7">
        <v>29.5</v>
      </c>
      <c r="U44" s="98">
        <v>3</v>
      </c>
      <c r="V44" s="7">
        <f t="shared" si="11"/>
        <v>118</v>
      </c>
      <c r="W44" s="91" t="s">
        <v>59</v>
      </c>
      <c r="X44" s="92"/>
      <c r="Y44" s="92"/>
      <c r="Z44" s="93"/>
    </row>
    <row r="45" spans="2:26" x14ac:dyDescent="0.25">
      <c r="B45" s="1">
        <v>12</v>
      </c>
      <c r="C45" s="1">
        <f t="shared" si="6"/>
        <v>0</v>
      </c>
      <c r="I45" s="1">
        <f t="shared" si="7"/>
        <v>4.5</v>
      </c>
      <c r="J45" s="1">
        <f t="shared" si="8"/>
        <v>0</v>
      </c>
      <c r="K45" s="1">
        <f t="shared" si="9"/>
        <v>1</v>
      </c>
      <c r="M45" s="8">
        <f t="shared" si="10"/>
        <v>33.25</v>
      </c>
      <c r="N45" s="1">
        <v>10</v>
      </c>
      <c r="O45" s="1">
        <f>VALUE(MID($T$2,FIND("*",SUBSTITUTE($T$2," ","*",N45),1)+1,FIND("*",SUBSTITUTE($T$2," ","*",N46),1)-FIND("*",SUBSTITUTE($T$2," ","*",N45),1)-1))/J9</f>
        <v>33.25</v>
      </c>
      <c r="P45" s="1">
        <f t="shared" si="12"/>
        <v>3.75</v>
      </c>
      <c r="R45" s="95">
        <v>10</v>
      </c>
      <c r="S45" s="89">
        <f t="shared" si="13"/>
        <v>33.25</v>
      </c>
      <c r="T45" s="7">
        <v>33.25</v>
      </c>
      <c r="U45" s="98">
        <v>3.75</v>
      </c>
      <c r="V45" s="7">
        <f t="shared" si="11"/>
        <v>133</v>
      </c>
    </row>
    <row r="46" spans="2:26" x14ac:dyDescent="0.25">
      <c r="B46" s="1">
        <v>13</v>
      </c>
      <c r="C46" s="1">
        <f t="shared" si="6"/>
        <v>0</v>
      </c>
      <c r="I46" s="1">
        <f t="shared" si="7"/>
        <v>4.5</v>
      </c>
      <c r="J46" s="1">
        <f t="shared" si="8"/>
        <v>0</v>
      </c>
      <c r="K46" s="1">
        <f t="shared" si="9"/>
        <v>1</v>
      </c>
      <c r="M46" s="8">
        <f t="shared" si="10"/>
        <v>36.75</v>
      </c>
      <c r="N46" s="1">
        <v>11</v>
      </c>
      <c r="O46" s="1">
        <f>VALUE(MID($T$2,FIND("*",SUBSTITUTE($T$2," ","*",N46),1)+1,FIND("*",SUBSTITUTE($T$2," ","*",N47),1)-FIND("*",SUBSTITUTE($T$2," ","*",N46),1)-1))/J9</f>
        <v>36.75</v>
      </c>
      <c r="P46" s="1">
        <f t="shared" si="12"/>
        <v>3.5</v>
      </c>
      <c r="R46" s="95">
        <v>11</v>
      </c>
      <c r="S46" s="89">
        <f t="shared" si="13"/>
        <v>36.75</v>
      </c>
      <c r="T46" s="7">
        <v>36.75</v>
      </c>
      <c r="U46" s="98">
        <v>3.5</v>
      </c>
      <c r="V46" s="7">
        <f t="shared" si="11"/>
        <v>147</v>
      </c>
    </row>
    <row r="47" spans="2:26" x14ac:dyDescent="0.25">
      <c r="B47" s="1">
        <v>14</v>
      </c>
      <c r="C47" s="1">
        <f t="shared" si="6"/>
        <v>0</v>
      </c>
      <c r="I47" s="1">
        <f t="shared" si="7"/>
        <v>4.5</v>
      </c>
      <c r="J47" s="1">
        <f t="shared" si="8"/>
        <v>0</v>
      </c>
      <c r="K47" s="1">
        <f t="shared" si="9"/>
        <v>1</v>
      </c>
      <c r="M47" s="8">
        <f t="shared" si="10"/>
        <v>39.75</v>
      </c>
      <c r="N47" s="1">
        <v>12</v>
      </c>
      <c r="O47" s="1">
        <f>VALUE(MID($T$2,FIND("*",SUBSTITUTE($T$2," ","*",N47),1)+1,FIND("*",SUBSTITUTE($T$2," ","*",N48),1)-FIND("*",SUBSTITUTE($T$2," ","*",N47),1)-1))/J9</f>
        <v>39.75</v>
      </c>
      <c r="P47" s="1">
        <f t="shared" si="12"/>
        <v>3</v>
      </c>
      <c r="R47" s="95">
        <v>12</v>
      </c>
      <c r="S47" s="89">
        <f t="shared" si="13"/>
        <v>39.75</v>
      </c>
      <c r="T47" s="7">
        <v>39.75</v>
      </c>
      <c r="U47" s="98">
        <v>3</v>
      </c>
      <c r="V47" s="7">
        <f t="shared" si="11"/>
        <v>159</v>
      </c>
    </row>
    <row r="48" spans="2:26" x14ac:dyDescent="0.25">
      <c r="B48" s="1">
        <v>15</v>
      </c>
      <c r="C48" s="1">
        <f t="shared" si="6"/>
        <v>0</v>
      </c>
      <c r="I48" s="1">
        <f t="shared" si="7"/>
        <v>4.5</v>
      </c>
      <c r="J48" s="1">
        <f t="shared" si="8"/>
        <v>0</v>
      </c>
      <c r="K48" s="1">
        <f t="shared" si="9"/>
        <v>1</v>
      </c>
      <c r="M48" s="8">
        <f t="shared" si="10"/>
        <v>42.75</v>
      </c>
      <c r="N48" s="1">
        <v>13</v>
      </c>
      <c r="O48" s="1">
        <f>VALUE(MID($T$2,FIND("*",SUBSTITUTE($T$2," ","*",N48),1)+1,FIND("*",SUBSTITUTE($T$2," ","*",N49),1)-FIND("*",SUBSTITUTE($T$2," ","*",N48),1)-1))/J9</f>
        <v>42.75</v>
      </c>
      <c r="P48" s="1">
        <f t="shared" si="12"/>
        <v>3</v>
      </c>
      <c r="R48" s="95">
        <v>13</v>
      </c>
      <c r="S48" s="89">
        <f t="shared" si="13"/>
        <v>42.75</v>
      </c>
      <c r="T48" s="7">
        <v>42.75</v>
      </c>
      <c r="U48" s="98">
        <v>3</v>
      </c>
      <c r="V48" s="7">
        <f t="shared" si="11"/>
        <v>171</v>
      </c>
    </row>
    <row r="49" spans="2:22" x14ac:dyDescent="0.25">
      <c r="B49" s="1">
        <v>16</v>
      </c>
      <c r="C49" s="1">
        <f t="shared" si="6"/>
        <v>0</v>
      </c>
      <c r="I49" s="1">
        <f t="shared" si="7"/>
        <v>4.5</v>
      </c>
      <c r="J49" s="1">
        <f t="shared" si="8"/>
        <v>0</v>
      </c>
      <c r="K49" s="1">
        <f t="shared" si="9"/>
        <v>1</v>
      </c>
      <c r="M49" s="8">
        <f t="shared" si="10"/>
        <v>45.75</v>
      </c>
      <c r="N49" s="1">
        <v>14</v>
      </c>
      <c r="O49" s="1">
        <f>VALUE(MID($T$2,FIND("*",SUBSTITUTE($T$2," ","*",N49),1)+1,FIND("*",SUBSTITUTE($T$2," ","*",N50),1)-FIND("*",SUBSTITUTE($T$2," ","*",N49),1)-1))/J9</f>
        <v>45.75</v>
      </c>
      <c r="P49" s="1">
        <f t="shared" si="12"/>
        <v>3</v>
      </c>
      <c r="R49" s="95">
        <v>14</v>
      </c>
      <c r="S49" s="89">
        <f t="shared" si="13"/>
        <v>45.75</v>
      </c>
      <c r="T49" s="7">
        <v>45.75</v>
      </c>
      <c r="U49" s="98">
        <v>3</v>
      </c>
      <c r="V49" s="7">
        <f t="shared" si="11"/>
        <v>183</v>
      </c>
    </row>
    <row r="50" spans="2:22" x14ac:dyDescent="0.25">
      <c r="B50" s="1">
        <v>17</v>
      </c>
      <c r="C50" s="1">
        <f t="shared" si="6"/>
        <v>0</v>
      </c>
      <c r="I50" s="1">
        <f t="shared" si="7"/>
        <v>4.5</v>
      </c>
      <c r="J50" s="1">
        <f t="shared" si="8"/>
        <v>0</v>
      </c>
      <c r="K50" s="1">
        <f t="shared" si="9"/>
        <v>1</v>
      </c>
      <c r="M50" s="8">
        <f t="shared" si="10"/>
        <v>48.75</v>
      </c>
      <c r="N50" s="1">
        <v>15</v>
      </c>
      <c r="O50" s="1">
        <f>VALUE(MID($T$2,FIND("*",SUBSTITUTE($T$2," ","*",N50),1)+1,FIND("*",SUBSTITUTE($T$2," ","*",N51),1)-FIND("*",SUBSTITUTE($T$2," ","*",N50),1)-1))/J9</f>
        <v>48.75</v>
      </c>
      <c r="P50" s="1">
        <f t="shared" si="12"/>
        <v>3</v>
      </c>
      <c r="R50" s="95">
        <v>15</v>
      </c>
      <c r="S50" s="89">
        <f t="shared" si="13"/>
        <v>48.75</v>
      </c>
      <c r="T50" s="7">
        <v>48.75</v>
      </c>
      <c r="U50" s="98">
        <v>3</v>
      </c>
      <c r="V50" s="7">
        <f t="shared" si="11"/>
        <v>195</v>
      </c>
    </row>
    <row r="51" spans="2:22" x14ac:dyDescent="0.25">
      <c r="B51" s="1">
        <v>18</v>
      </c>
      <c r="C51" s="1">
        <f t="shared" si="6"/>
        <v>0</v>
      </c>
      <c r="I51" s="1">
        <f t="shared" si="7"/>
        <v>4.5</v>
      </c>
      <c r="J51" s="1">
        <f t="shared" si="8"/>
        <v>0</v>
      </c>
      <c r="K51" s="1">
        <f t="shared" si="9"/>
        <v>1</v>
      </c>
      <c r="M51" s="8">
        <f t="shared" si="10"/>
        <v>51.75</v>
      </c>
      <c r="N51" s="1">
        <v>16</v>
      </c>
      <c r="O51" s="1">
        <f>VALUE(MID($T$2,FIND("*",SUBSTITUTE($T$2," ","*",N51),1)+1,FIND("*",SUBSTITUTE($T$2," ","*",N52),1)-FIND("*",SUBSTITUTE($T$2," ","*",N51),1)-1))/J9</f>
        <v>51.75</v>
      </c>
      <c r="P51" s="1">
        <f t="shared" si="12"/>
        <v>3</v>
      </c>
      <c r="R51" s="95">
        <v>16</v>
      </c>
      <c r="S51" s="89">
        <f t="shared" si="13"/>
        <v>51.75</v>
      </c>
      <c r="T51" s="7">
        <v>51.75</v>
      </c>
      <c r="U51" s="98">
        <v>3</v>
      </c>
      <c r="V51" s="7">
        <f t="shared" si="11"/>
        <v>207</v>
      </c>
    </row>
    <row r="52" spans="2:22" x14ac:dyDescent="0.25">
      <c r="B52" s="1">
        <v>19</v>
      </c>
      <c r="C52" s="1">
        <f t="shared" si="6"/>
        <v>0</v>
      </c>
      <c r="I52" s="1">
        <f t="shared" si="7"/>
        <v>4.5</v>
      </c>
      <c r="J52" s="1">
        <f t="shared" si="8"/>
        <v>0</v>
      </c>
      <c r="K52" s="1">
        <f t="shared" si="9"/>
        <v>1</v>
      </c>
      <c r="M52" s="8">
        <f t="shared" si="10"/>
        <v>54.25</v>
      </c>
      <c r="N52" s="1">
        <v>17</v>
      </c>
      <c r="O52" s="1">
        <f>VALUE(MID($T$2,FIND("*",SUBSTITUTE($T$2," ","*",N52),1)+1,FIND("*",SUBSTITUTE($T$2," ","*",N53),1)-FIND("*",SUBSTITUTE($T$2," ","*",N52),1)-1))/J9</f>
        <v>54.25</v>
      </c>
      <c r="P52" s="1">
        <f t="shared" si="12"/>
        <v>2.5</v>
      </c>
      <c r="R52" s="95">
        <v>17</v>
      </c>
      <c r="S52" s="89">
        <f t="shared" si="13"/>
        <v>54.25</v>
      </c>
      <c r="T52" s="7">
        <v>54.25</v>
      </c>
      <c r="U52" s="98">
        <v>2.5</v>
      </c>
      <c r="V52" s="7">
        <f t="shared" si="11"/>
        <v>217</v>
      </c>
    </row>
    <row r="53" spans="2:22" x14ac:dyDescent="0.25">
      <c r="B53" s="1">
        <v>20</v>
      </c>
      <c r="C53" s="1">
        <f t="shared" si="6"/>
        <v>0</v>
      </c>
      <c r="I53" s="1">
        <f t="shared" si="7"/>
        <v>4.5</v>
      </c>
      <c r="J53" s="1">
        <f t="shared" si="8"/>
        <v>0</v>
      </c>
      <c r="K53" s="1">
        <f t="shared" si="9"/>
        <v>1</v>
      </c>
      <c r="M53" s="8">
        <f t="shared" si="10"/>
        <v>56.75</v>
      </c>
      <c r="N53" s="1">
        <v>18</v>
      </c>
      <c r="O53" s="1">
        <f>VALUE(MID($T$2,FIND("*",SUBSTITUTE($T$2," ","*",N53),1)+1,FIND("*",SUBSTITUTE($T$2," ","*",N54),1)-FIND("*",SUBSTITUTE($T$2," ","*",N53),1)-1))/J9</f>
        <v>56.75</v>
      </c>
      <c r="P53" s="1">
        <f t="shared" si="12"/>
        <v>2.5</v>
      </c>
      <c r="R53" s="95">
        <v>18</v>
      </c>
      <c r="S53" s="89">
        <f t="shared" si="13"/>
        <v>56.75</v>
      </c>
      <c r="T53" s="7">
        <v>56.75</v>
      </c>
      <c r="U53" s="98">
        <v>2.5</v>
      </c>
      <c r="V53" s="7">
        <f t="shared" si="11"/>
        <v>227</v>
      </c>
    </row>
    <row r="54" spans="2:22" x14ac:dyDescent="0.25">
      <c r="M54" s="8">
        <f t="shared" ref="M54:M99" si="14">O54</f>
        <v>59.75</v>
      </c>
      <c r="N54" s="1">
        <v>19</v>
      </c>
      <c r="O54" s="1">
        <f>VALUE(MID($T$2,FIND("*",SUBSTITUTE($T$2," ","*",N54),1)+1,FIND("*",SUBSTITUTE($T$2," ","*",N55),1)-FIND("*",SUBSTITUTE($T$2," ","*",N54),1)-1))/J9</f>
        <v>59.75</v>
      </c>
      <c r="P54" s="1">
        <f t="shared" ref="P54:P100" si="15">O54-O53</f>
        <v>3</v>
      </c>
      <c r="R54" s="95">
        <v>19</v>
      </c>
      <c r="S54" s="89">
        <f t="shared" ref="S54:S100" si="16">S53+U54</f>
        <v>59.75</v>
      </c>
      <c r="T54" s="7">
        <v>59.75</v>
      </c>
      <c r="U54" s="98">
        <v>3</v>
      </c>
      <c r="V54" s="7">
        <f t="shared" si="11"/>
        <v>239</v>
      </c>
    </row>
    <row r="55" spans="2:22" x14ac:dyDescent="0.25">
      <c r="C55" s="1" t="s">
        <v>9</v>
      </c>
      <c r="I55" s="1" t="s">
        <v>10</v>
      </c>
      <c r="J55" s="1" t="s">
        <v>11</v>
      </c>
      <c r="K55" s="1" t="s">
        <v>12</v>
      </c>
      <c r="M55" s="8">
        <f t="shared" si="14"/>
        <v>62.25</v>
      </c>
      <c r="N55" s="1">
        <v>20</v>
      </c>
      <c r="O55" s="1">
        <f>VALUE(MID($T$2,FIND("*",SUBSTITUTE($T$2," ","*",N55),1)+1,FIND("*",SUBSTITUTE($T$2," ","*",N56),1)-FIND("*",SUBSTITUTE($T$2," ","*",N55),1)-1))/J9</f>
        <v>62.25</v>
      </c>
      <c r="P55" s="1">
        <f t="shared" si="15"/>
        <v>2.5</v>
      </c>
      <c r="R55" s="95">
        <v>20</v>
      </c>
      <c r="S55" s="89">
        <f t="shared" si="16"/>
        <v>62.25</v>
      </c>
      <c r="T55" s="7">
        <v>62.25</v>
      </c>
      <c r="U55" s="98">
        <v>2.5</v>
      </c>
      <c r="V55" s="7">
        <f t="shared" si="11"/>
        <v>249</v>
      </c>
    </row>
    <row r="56" spans="2:22" x14ac:dyDescent="0.25">
      <c r="B56" s="1">
        <v>1</v>
      </c>
      <c r="C56" s="9">
        <f t="shared" ref="C56:C75" si="17">VLOOKUP(J56,$N$35:$O$298,2,TRUE)</f>
        <v>0</v>
      </c>
      <c r="D56" s="9"/>
      <c r="E56" s="9"/>
      <c r="F56" s="9"/>
      <c r="G56" s="9"/>
      <c r="H56" s="9"/>
      <c r="I56" s="9">
        <f t="shared" ref="I56:I75" si="18">VLOOKUP(K56,$N$35:$O$298,2,TRUE)</f>
        <v>4.5</v>
      </c>
      <c r="J56" s="9">
        <f t="shared" ref="J56:J75" si="19">VLOOKUP(ROUNDUP(C12,1),$M$35:$N$298,2,TRUE)</f>
        <v>0</v>
      </c>
      <c r="K56" s="9">
        <f t="shared" ref="K56:K75" si="20">VLOOKUP(ROUNDUP(C12,1),$M$35:$N$298,2,TRUE)+1</f>
        <v>1</v>
      </c>
      <c r="M56" s="8">
        <f t="shared" si="14"/>
        <v>64.75</v>
      </c>
      <c r="N56" s="1">
        <v>21</v>
      </c>
      <c r="O56" s="1">
        <f>VALUE(MID($T$2,FIND("*",SUBSTITUTE($T$2," ","*",N56),1)+1,FIND("*",SUBSTITUTE($T$2," ","*",N57),1)-FIND("*",SUBSTITUTE($T$2," ","*",N56),1)-1))/J9</f>
        <v>64.75</v>
      </c>
      <c r="P56" s="1">
        <f t="shared" si="15"/>
        <v>2.5</v>
      </c>
      <c r="R56" s="95">
        <v>21</v>
      </c>
      <c r="S56" s="89">
        <f t="shared" si="16"/>
        <v>64.75</v>
      </c>
      <c r="T56" s="7">
        <v>64.75</v>
      </c>
      <c r="U56" s="98">
        <v>2.5</v>
      </c>
      <c r="V56" s="7">
        <f t="shared" si="11"/>
        <v>259</v>
      </c>
    </row>
    <row r="57" spans="2:22" x14ac:dyDescent="0.25">
      <c r="B57" s="1">
        <v>2</v>
      </c>
      <c r="C57" s="9">
        <f t="shared" si="17"/>
        <v>0</v>
      </c>
      <c r="D57" s="9"/>
      <c r="E57" s="9"/>
      <c r="F57" s="9"/>
      <c r="G57" s="9"/>
      <c r="H57" s="9"/>
      <c r="I57" s="9">
        <f t="shared" si="18"/>
        <v>4.5</v>
      </c>
      <c r="J57" s="9">
        <f t="shared" si="19"/>
        <v>0</v>
      </c>
      <c r="K57" s="9">
        <f t="shared" si="20"/>
        <v>1</v>
      </c>
      <c r="M57" s="8">
        <f t="shared" si="14"/>
        <v>67.25</v>
      </c>
      <c r="N57" s="1">
        <v>22</v>
      </c>
      <c r="O57" s="1">
        <f>VALUE(MID($T$2,FIND("*",SUBSTITUTE($T$2," ","*",N57),1)+1,FIND("*",SUBSTITUTE($T$2," ","*",N58),1)-FIND("*",SUBSTITUTE($T$2," ","*",N57),1)-1))/J9</f>
        <v>67.25</v>
      </c>
      <c r="P57" s="1">
        <f t="shared" si="15"/>
        <v>2.5</v>
      </c>
      <c r="R57" s="95">
        <v>22</v>
      </c>
      <c r="S57" s="89">
        <f t="shared" si="16"/>
        <v>67.25</v>
      </c>
      <c r="T57" s="7">
        <v>67.25</v>
      </c>
      <c r="U57" s="98">
        <v>2.5</v>
      </c>
      <c r="V57" s="7">
        <f t="shared" si="11"/>
        <v>269</v>
      </c>
    </row>
    <row r="58" spans="2:22" x14ac:dyDescent="0.25">
      <c r="B58" s="1">
        <v>3</v>
      </c>
      <c r="C58" s="9">
        <f t="shared" si="17"/>
        <v>0</v>
      </c>
      <c r="D58" s="9"/>
      <c r="E58" s="9"/>
      <c r="F58" s="9"/>
      <c r="G58" s="9"/>
      <c r="H58" s="9"/>
      <c r="I58" s="9">
        <f t="shared" si="18"/>
        <v>4.5</v>
      </c>
      <c r="J58" s="9">
        <f t="shared" si="19"/>
        <v>0</v>
      </c>
      <c r="K58" s="9">
        <f t="shared" si="20"/>
        <v>1</v>
      </c>
      <c r="M58" s="8">
        <f t="shared" si="14"/>
        <v>69.25</v>
      </c>
      <c r="N58" s="1">
        <v>23</v>
      </c>
      <c r="O58" s="1">
        <f>VALUE(MID($T$2,FIND("*",SUBSTITUTE($T$2," ","*",N58),1)+1,FIND("*",SUBSTITUTE($T$2," ","*",N59),1)-FIND("*",SUBSTITUTE($T$2," ","*",N58),1)-1))/J9</f>
        <v>69.25</v>
      </c>
      <c r="P58" s="1">
        <f t="shared" si="15"/>
        <v>2</v>
      </c>
      <c r="R58" s="95">
        <v>23</v>
      </c>
      <c r="S58" s="89">
        <f t="shared" si="16"/>
        <v>69.25</v>
      </c>
      <c r="T58" s="7">
        <v>69.25</v>
      </c>
      <c r="U58" s="98">
        <v>2</v>
      </c>
      <c r="V58" s="7">
        <f t="shared" si="11"/>
        <v>277</v>
      </c>
    </row>
    <row r="59" spans="2:22" x14ac:dyDescent="0.25">
      <c r="B59" s="1">
        <v>4</v>
      </c>
      <c r="C59" s="9">
        <f t="shared" si="17"/>
        <v>0</v>
      </c>
      <c r="D59" s="9"/>
      <c r="E59" s="9"/>
      <c r="F59" s="9"/>
      <c r="G59" s="9"/>
      <c r="H59" s="9"/>
      <c r="I59" s="9">
        <f t="shared" si="18"/>
        <v>4.5</v>
      </c>
      <c r="J59" s="9">
        <f t="shared" si="19"/>
        <v>0</v>
      </c>
      <c r="K59" s="9">
        <f t="shared" si="20"/>
        <v>1</v>
      </c>
      <c r="M59" s="8">
        <f t="shared" si="14"/>
        <v>71.75</v>
      </c>
      <c r="N59" s="1">
        <v>24</v>
      </c>
      <c r="O59" s="1">
        <f>VALUE(MID($T$2,FIND("*",SUBSTITUTE($T$2," ","*",N59),1)+1,FIND("*",SUBSTITUTE($T$2," ","*",N60),1)-FIND("*",SUBSTITUTE($T$2," ","*",N59),1)-1))/J9</f>
        <v>71.75</v>
      </c>
      <c r="P59" s="1">
        <f t="shared" si="15"/>
        <v>2.5</v>
      </c>
      <c r="R59" s="95">
        <v>24</v>
      </c>
      <c r="S59" s="89">
        <f t="shared" si="16"/>
        <v>71.75</v>
      </c>
      <c r="T59" s="7">
        <v>71.75</v>
      </c>
      <c r="U59" s="98">
        <v>2.5</v>
      </c>
      <c r="V59" s="7">
        <f t="shared" si="11"/>
        <v>287</v>
      </c>
    </row>
    <row r="60" spans="2:22" x14ac:dyDescent="0.25">
      <c r="B60" s="1">
        <v>5</v>
      </c>
      <c r="C60" s="9">
        <f t="shared" si="17"/>
        <v>0</v>
      </c>
      <c r="D60" s="9"/>
      <c r="E60" s="9"/>
      <c r="F60" s="9"/>
      <c r="G60" s="9"/>
      <c r="H60" s="9"/>
      <c r="I60" s="9">
        <f t="shared" si="18"/>
        <v>4.5</v>
      </c>
      <c r="J60" s="9">
        <f t="shared" si="19"/>
        <v>0</v>
      </c>
      <c r="K60" s="9">
        <f t="shared" si="20"/>
        <v>1</v>
      </c>
      <c r="M60" s="8">
        <f t="shared" si="14"/>
        <v>74.25</v>
      </c>
      <c r="N60" s="1">
        <v>25</v>
      </c>
      <c r="O60" s="1">
        <f>VALUE(MID($T$2,FIND("*",SUBSTITUTE($T$2," ","*",N60),1)+1,FIND("*",SUBSTITUTE($T$2," ","*",N61),1)-FIND("*",SUBSTITUTE($T$2," ","*",N60),1)-1))/J9</f>
        <v>74.25</v>
      </c>
      <c r="P60" s="1">
        <f t="shared" si="15"/>
        <v>2.5</v>
      </c>
      <c r="R60" s="95">
        <v>25</v>
      </c>
      <c r="S60" s="89">
        <f t="shared" si="16"/>
        <v>74.25</v>
      </c>
      <c r="T60" s="7">
        <v>74.25</v>
      </c>
      <c r="U60" s="98">
        <v>2.5</v>
      </c>
      <c r="V60" s="7">
        <f t="shared" si="11"/>
        <v>297</v>
      </c>
    </row>
    <row r="61" spans="2:22" x14ac:dyDescent="0.25">
      <c r="B61" s="1">
        <v>6</v>
      </c>
      <c r="C61" s="9">
        <f t="shared" si="17"/>
        <v>0</v>
      </c>
      <c r="D61" s="9"/>
      <c r="E61" s="9"/>
      <c r="F61" s="9"/>
      <c r="G61" s="9"/>
      <c r="H61" s="9"/>
      <c r="I61" s="9">
        <f t="shared" si="18"/>
        <v>4.5</v>
      </c>
      <c r="J61" s="9">
        <f t="shared" si="19"/>
        <v>0</v>
      </c>
      <c r="K61" s="9">
        <f t="shared" si="20"/>
        <v>1</v>
      </c>
      <c r="M61" s="8">
        <f t="shared" si="14"/>
        <v>76.25</v>
      </c>
      <c r="N61" s="1">
        <v>26</v>
      </c>
      <c r="O61" s="1">
        <f>VALUE(MID($T$2,FIND("*",SUBSTITUTE($T$2," ","*",N61),1)+1,FIND("*",SUBSTITUTE($T$2," ","*",N62),1)-FIND("*",SUBSTITUTE($T$2," ","*",N61),1)-1))/J9</f>
        <v>76.25</v>
      </c>
      <c r="P61" s="1">
        <f t="shared" si="15"/>
        <v>2</v>
      </c>
      <c r="R61" s="95">
        <v>26</v>
      </c>
      <c r="S61" s="89">
        <f t="shared" si="16"/>
        <v>76.25</v>
      </c>
      <c r="T61" s="7">
        <v>76.25</v>
      </c>
      <c r="U61" s="98">
        <v>2</v>
      </c>
      <c r="V61" s="7">
        <f t="shared" si="11"/>
        <v>305</v>
      </c>
    </row>
    <row r="62" spans="2:22" x14ac:dyDescent="0.25">
      <c r="B62" s="1">
        <v>7</v>
      </c>
      <c r="C62" s="9">
        <f t="shared" si="17"/>
        <v>0</v>
      </c>
      <c r="D62" s="9"/>
      <c r="E62" s="9"/>
      <c r="F62" s="9"/>
      <c r="G62" s="9"/>
      <c r="H62" s="9"/>
      <c r="I62" s="9">
        <f t="shared" si="18"/>
        <v>4.5</v>
      </c>
      <c r="J62" s="9">
        <f t="shared" si="19"/>
        <v>0</v>
      </c>
      <c r="K62" s="9">
        <f t="shared" si="20"/>
        <v>1</v>
      </c>
      <c r="M62" s="8">
        <f t="shared" si="14"/>
        <v>78.25</v>
      </c>
      <c r="N62" s="1">
        <v>27</v>
      </c>
      <c r="O62" s="1">
        <f>VALUE(MID($T$2,FIND("*",SUBSTITUTE($T$2," ","*",N62),1)+1,FIND("*",SUBSTITUTE($T$2," ","*",N63),1)-FIND("*",SUBSTITUTE($T$2," ","*",N62),1)-1))/J9</f>
        <v>78.25</v>
      </c>
      <c r="P62" s="1">
        <f t="shared" si="15"/>
        <v>2</v>
      </c>
      <c r="R62" s="95">
        <v>27</v>
      </c>
      <c r="S62" s="89">
        <f t="shared" si="16"/>
        <v>78.25</v>
      </c>
      <c r="T62" s="7">
        <v>78.25</v>
      </c>
      <c r="U62" s="98">
        <v>2</v>
      </c>
      <c r="V62" s="7">
        <f t="shared" si="11"/>
        <v>313</v>
      </c>
    </row>
    <row r="63" spans="2:22" x14ac:dyDescent="0.25">
      <c r="B63" s="1">
        <v>8</v>
      </c>
      <c r="C63" s="9">
        <f t="shared" si="17"/>
        <v>0</v>
      </c>
      <c r="D63" s="9"/>
      <c r="E63" s="9"/>
      <c r="F63" s="9"/>
      <c r="G63" s="9"/>
      <c r="H63" s="9"/>
      <c r="I63" s="9">
        <f t="shared" si="18"/>
        <v>4.5</v>
      </c>
      <c r="J63" s="9">
        <f t="shared" si="19"/>
        <v>0</v>
      </c>
      <c r="K63" s="9">
        <f t="shared" si="20"/>
        <v>1</v>
      </c>
      <c r="M63" s="8">
        <f t="shared" si="14"/>
        <v>80.25</v>
      </c>
      <c r="N63" s="1">
        <v>28</v>
      </c>
      <c r="O63" s="1">
        <f>VALUE(MID($T$2,FIND("*",SUBSTITUTE($T$2," ","*",N63),1)+1,FIND("*",SUBSTITUTE($T$2," ","*",N64),1)-FIND("*",SUBSTITUTE($T$2," ","*",N63),1)-1))/J9</f>
        <v>80.25</v>
      </c>
      <c r="P63" s="1">
        <f t="shared" si="15"/>
        <v>2</v>
      </c>
      <c r="R63" s="95">
        <v>28</v>
      </c>
      <c r="S63" s="89">
        <f t="shared" si="16"/>
        <v>80.25</v>
      </c>
      <c r="T63" s="7">
        <v>80.25</v>
      </c>
      <c r="U63" s="98">
        <v>2</v>
      </c>
      <c r="V63" s="7">
        <f t="shared" si="11"/>
        <v>321</v>
      </c>
    </row>
    <row r="64" spans="2:22" x14ac:dyDescent="0.25">
      <c r="B64" s="1">
        <v>9</v>
      </c>
      <c r="C64" s="9">
        <f t="shared" si="17"/>
        <v>0</v>
      </c>
      <c r="D64" s="9"/>
      <c r="E64" s="9"/>
      <c r="F64" s="9"/>
      <c r="G64" s="9"/>
      <c r="H64" s="9"/>
      <c r="I64" s="9">
        <f t="shared" si="18"/>
        <v>4.5</v>
      </c>
      <c r="J64" s="9">
        <f t="shared" si="19"/>
        <v>0</v>
      </c>
      <c r="K64" s="9">
        <f t="shared" si="20"/>
        <v>1</v>
      </c>
      <c r="M64" s="8">
        <f t="shared" si="14"/>
        <v>82.25</v>
      </c>
      <c r="N64" s="1">
        <v>29</v>
      </c>
      <c r="O64" s="1">
        <f>VALUE(MID($T$2,FIND("*",SUBSTITUTE($T$2," ","*",N64),1)+1,FIND("*",SUBSTITUTE($T$2," ","*",N65),1)-FIND("*",SUBSTITUTE($T$2," ","*",N64),1)-1))/J9</f>
        <v>82.25</v>
      </c>
      <c r="P64" s="1">
        <f t="shared" si="15"/>
        <v>2</v>
      </c>
      <c r="R64" s="95">
        <v>29</v>
      </c>
      <c r="S64" s="89">
        <f t="shared" si="16"/>
        <v>82.25</v>
      </c>
      <c r="T64" s="7">
        <v>82.25</v>
      </c>
      <c r="U64" s="98">
        <v>2</v>
      </c>
      <c r="V64" s="7">
        <f t="shared" si="11"/>
        <v>329</v>
      </c>
    </row>
    <row r="65" spans="2:22" x14ac:dyDescent="0.25">
      <c r="B65" s="1">
        <v>10</v>
      </c>
      <c r="C65" s="9">
        <f t="shared" si="17"/>
        <v>0</v>
      </c>
      <c r="D65" s="9"/>
      <c r="E65" s="9"/>
      <c r="F65" s="9"/>
      <c r="G65" s="9"/>
      <c r="H65" s="9"/>
      <c r="I65" s="9">
        <f t="shared" si="18"/>
        <v>4.5</v>
      </c>
      <c r="J65" s="9">
        <f t="shared" si="19"/>
        <v>0</v>
      </c>
      <c r="K65" s="9">
        <f t="shared" si="20"/>
        <v>1</v>
      </c>
      <c r="M65" s="8">
        <f t="shared" si="14"/>
        <v>84.25</v>
      </c>
      <c r="N65" s="1">
        <v>30</v>
      </c>
      <c r="O65" s="1">
        <f>VALUE(MID($T$2,FIND("*",SUBSTITUTE($T$2," ","*",N65),1)+1,FIND("*",SUBSTITUTE($T$2," ","*",N66),1)-FIND("*",SUBSTITUTE($T$2," ","*",N65),1)-1))/J9</f>
        <v>84.25</v>
      </c>
      <c r="P65" s="1">
        <f t="shared" si="15"/>
        <v>2</v>
      </c>
      <c r="R65" s="95">
        <v>30</v>
      </c>
      <c r="S65" s="89">
        <f t="shared" si="16"/>
        <v>84.25</v>
      </c>
      <c r="T65" s="7">
        <v>84.25</v>
      </c>
      <c r="U65" s="98">
        <v>2</v>
      </c>
      <c r="V65" s="7">
        <f t="shared" si="11"/>
        <v>337</v>
      </c>
    </row>
    <row r="66" spans="2:22" x14ac:dyDescent="0.25">
      <c r="B66" s="1">
        <v>11</v>
      </c>
      <c r="C66" s="9">
        <f t="shared" si="17"/>
        <v>0</v>
      </c>
      <c r="D66" s="9"/>
      <c r="E66" s="9"/>
      <c r="F66" s="9"/>
      <c r="G66" s="9"/>
      <c r="H66" s="9"/>
      <c r="I66" s="9">
        <f t="shared" si="18"/>
        <v>4.5</v>
      </c>
      <c r="J66" s="9">
        <f t="shared" si="19"/>
        <v>0</v>
      </c>
      <c r="K66" s="9">
        <f t="shared" si="20"/>
        <v>1</v>
      </c>
      <c r="M66" s="8">
        <f t="shared" si="14"/>
        <v>86.25</v>
      </c>
      <c r="N66" s="1">
        <v>31</v>
      </c>
      <c r="O66" s="1">
        <f>VALUE(MID($T$2,FIND("*",SUBSTITUTE($T$2," ","*",N66),1)+1,FIND("*",SUBSTITUTE($T$2," ","*",N67),1)-FIND("*",SUBSTITUTE($T$2," ","*",N66),1)-1))/J9</f>
        <v>86.25</v>
      </c>
      <c r="P66" s="1">
        <f t="shared" si="15"/>
        <v>2</v>
      </c>
      <c r="R66" s="95">
        <v>31</v>
      </c>
      <c r="S66" s="89">
        <f t="shared" si="16"/>
        <v>86.25</v>
      </c>
      <c r="T66" s="7">
        <v>86.25</v>
      </c>
      <c r="U66" s="98">
        <v>2</v>
      </c>
      <c r="V66" s="7">
        <f t="shared" si="11"/>
        <v>345</v>
      </c>
    </row>
    <row r="67" spans="2:22" x14ac:dyDescent="0.25">
      <c r="B67" s="1">
        <v>12</v>
      </c>
      <c r="C67" s="9">
        <f t="shared" si="17"/>
        <v>0</v>
      </c>
      <c r="D67" s="9"/>
      <c r="E67" s="9"/>
      <c r="F67" s="9"/>
      <c r="G67" s="9"/>
      <c r="H67" s="9"/>
      <c r="I67" s="9">
        <f t="shared" si="18"/>
        <v>4.5</v>
      </c>
      <c r="J67" s="9">
        <f t="shared" si="19"/>
        <v>0</v>
      </c>
      <c r="K67" s="9">
        <f t="shared" si="20"/>
        <v>1</v>
      </c>
      <c r="M67" s="8">
        <f t="shared" si="14"/>
        <v>87.75</v>
      </c>
      <c r="N67" s="1">
        <v>32</v>
      </c>
      <c r="O67" s="1">
        <f>VALUE(MID($T$2,FIND("*",SUBSTITUTE($T$2," ","*",N67),1)+1,FIND("*",SUBSTITUTE($T$2," ","*",N68),1)-FIND("*",SUBSTITUTE($T$2," ","*",N67),1)-1))/J9</f>
        <v>87.75</v>
      </c>
      <c r="P67" s="1">
        <f t="shared" si="15"/>
        <v>1.5</v>
      </c>
      <c r="R67" s="95">
        <v>32</v>
      </c>
      <c r="S67" s="89">
        <f t="shared" si="16"/>
        <v>87.75</v>
      </c>
      <c r="T67" s="7">
        <v>87.75</v>
      </c>
      <c r="U67" s="98">
        <v>1.5</v>
      </c>
      <c r="V67" s="7">
        <f t="shared" si="11"/>
        <v>351</v>
      </c>
    </row>
    <row r="68" spans="2:22" x14ac:dyDescent="0.25">
      <c r="B68" s="1">
        <v>13</v>
      </c>
      <c r="C68" s="9">
        <f t="shared" si="17"/>
        <v>0</v>
      </c>
      <c r="D68" s="9"/>
      <c r="E68" s="9"/>
      <c r="F68" s="9"/>
      <c r="G68" s="9"/>
      <c r="H68" s="9"/>
      <c r="I68" s="9">
        <f t="shared" si="18"/>
        <v>4.5</v>
      </c>
      <c r="J68" s="9">
        <f t="shared" si="19"/>
        <v>0</v>
      </c>
      <c r="K68" s="9">
        <f t="shared" si="20"/>
        <v>1</v>
      </c>
      <c r="M68" s="8">
        <f t="shared" si="14"/>
        <v>89.25</v>
      </c>
      <c r="N68" s="1">
        <v>33</v>
      </c>
      <c r="O68" s="1">
        <f>VALUE(MID($T$2,FIND("*",SUBSTITUTE($T$2," ","*",N68),1)+1,FIND("*",SUBSTITUTE($T$2," ","*",N69),1)-FIND("*",SUBSTITUTE($T$2," ","*",N68),1)-1))/J9</f>
        <v>89.25</v>
      </c>
      <c r="P68" s="1">
        <f t="shared" si="15"/>
        <v>1.5</v>
      </c>
      <c r="R68" s="95">
        <v>33</v>
      </c>
      <c r="S68" s="89">
        <f t="shared" si="16"/>
        <v>89.25</v>
      </c>
      <c r="T68" s="7">
        <v>89.25</v>
      </c>
      <c r="U68" s="98">
        <v>1.5</v>
      </c>
      <c r="V68" s="7">
        <f t="shared" si="11"/>
        <v>357</v>
      </c>
    </row>
    <row r="69" spans="2:22" x14ac:dyDescent="0.25">
      <c r="B69" s="1">
        <v>14</v>
      </c>
      <c r="C69" s="9">
        <f t="shared" si="17"/>
        <v>0</v>
      </c>
      <c r="D69" s="9"/>
      <c r="E69" s="9"/>
      <c r="F69" s="9"/>
      <c r="G69" s="9"/>
      <c r="H69" s="9"/>
      <c r="I69" s="9">
        <f t="shared" si="18"/>
        <v>4.5</v>
      </c>
      <c r="J69" s="9">
        <f t="shared" si="19"/>
        <v>0</v>
      </c>
      <c r="K69" s="9">
        <f t="shared" si="20"/>
        <v>1</v>
      </c>
      <c r="M69" s="8">
        <f t="shared" si="14"/>
        <v>91.25</v>
      </c>
      <c r="N69" s="1">
        <v>34</v>
      </c>
      <c r="O69" s="1">
        <f>VALUE(MID($T$2,FIND("*",SUBSTITUTE($T$2," ","*",N69),1)+1,FIND("*",SUBSTITUTE($T$2," ","*",N70),1)-FIND("*",SUBSTITUTE($T$2," ","*",N69),1)-1))/J9</f>
        <v>91.25</v>
      </c>
      <c r="P69" s="1">
        <f t="shared" si="15"/>
        <v>2</v>
      </c>
      <c r="R69" s="95">
        <v>34</v>
      </c>
      <c r="S69" s="89">
        <f t="shared" si="16"/>
        <v>91.25</v>
      </c>
      <c r="T69" s="7">
        <v>91.25</v>
      </c>
      <c r="U69" s="98">
        <v>2</v>
      </c>
      <c r="V69" s="7">
        <f t="shared" si="11"/>
        <v>365</v>
      </c>
    </row>
    <row r="70" spans="2:22" x14ac:dyDescent="0.25">
      <c r="B70" s="1">
        <v>15</v>
      </c>
      <c r="C70" s="9">
        <f t="shared" si="17"/>
        <v>0</v>
      </c>
      <c r="D70" s="9"/>
      <c r="E70" s="9"/>
      <c r="F70" s="9"/>
      <c r="G70" s="9"/>
      <c r="H70" s="9"/>
      <c r="I70" s="9">
        <f t="shared" si="18"/>
        <v>4.5</v>
      </c>
      <c r="J70" s="9">
        <f t="shared" si="19"/>
        <v>0</v>
      </c>
      <c r="K70" s="9">
        <f t="shared" si="20"/>
        <v>1</v>
      </c>
      <c r="M70" s="8">
        <f t="shared" si="14"/>
        <v>93.25</v>
      </c>
      <c r="N70" s="1">
        <v>35</v>
      </c>
      <c r="O70" s="1">
        <f>VALUE(MID($T$2,FIND("*",SUBSTITUTE($T$2," ","*",N70),1)+1,FIND("*",SUBSTITUTE($T$2," ","*",N71),1)-FIND("*",SUBSTITUTE($T$2," ","*",N70),1)-1))/J9</f>
        <v>93.25</v>
      </c>
      <c r="P70" s="1">
        <f t="shared" si="15"/>
        <v>2</v>
      </c>
      <c r="R70" s="95">
        <v>35</v>
      </c>
      <c r="S70" s="89">
        <f t="shared" si="16"/>
        <v>93.25</v>
      </c>
      <c r="T70" s="7">
        <v>93.25</v>
      </c>
      <c r="U70" s="98">
        <v>2</v>
      </c>
      <c r="V70" s="7">
        <f t="shared" si="11"/>
        <v>373</v>
      </c>
    </row>
    <row r="71" spans="2:22" x14ac:dyDescent="0.25">
      <c r="B71" s="1">
        <v>16</v>
      </c>
      <c r="C71" s="9">
        <f t="shared" si="17"/>
        <v>0</v>
      </c>
      <c r="D71" s="9"/>
      <c r="E71" s="9"/>
      <c r="F71" s="9"/>
      <c r="G71" s="9"/>
      <c r="H71" s="9"/>
      <c r="I71" s="9">
        <f t="shared" si="18"/>
        <v>4.5</v>
      </c>
      <c r="J71" s="9">
        <f t="shared" si="19"/>
        <v>0</v>
      </c>
      <c r="K71" s="9">
        <f t="shared" si="20"/>
        <v>1</v>
      </c>
      <c r="M71" s="8">
        <f t="shared" si="14"/>
        <v>95.25</v>
      </c>
      <c r="N71" s="1">
        <v>36</v>
      </c>
      <c r="O71" s="1">
        <f>VALUE(MID($T$2,FIND("*",SUBSTITUTE($T$2," ","*",N71),1)+1,FIND("*",SUBSTITUTE($T$2," ","*",N72),1)-FIND("*",SUBSTITUTE($T$2," ","*",N71),1)-1))/J9</f>
        <v>95.25</v>
      </c>
      <c r="P71" s="1">
        <f t="shared" si="15"/>
        <v>2</v>
      </c>
      <c r="R71" s="95">
        <v>36</v>
      </c>
      <c r="S71" s="89">
        <f t="shared" si="16"/>
        <v>95.25</v>
      </c>
      <c r="T71" s="7">
        <v>95.25</v>
      </c>
      <c r="U71" s="98">
        <v>2</v>
      </c>
      <c r="V71" s="7">
        <f t="shared" si="11"/>
        <v>381</v>
      </c>
    </row>
    <row r="72" spans="2:22" x14ac:dyDescent="0.25">
      <c r="B72" s="1">
        <v>17</v>
      </c>
      <c r="C72" s="9">
        <f t="shared" si="17"/>
        <v>0</v>
      </c>
      <c r="D72" s="9"/>
      <c r="E72" s="9"/>
      <c r="F72" s="9"/>
      <c r="G72" s="9"/>
      <c r="H72" s="9"/>
      <c r="I72" s="9">
        <f t="shared" si="18"/>
        <v>4.5</v>
      </c>
      <c r="J72" s="9">
        <f t="shared" si="19"/>
        <v>0</v>
      </c>
      <c r="K72" s="9">
        <f t="shared" si="20"/>
        <v>1</v>
      </c>
      <c r="M72" s="8">
        <f t="shared" si="14"/>
        <v>97</v>
      </c>
      <c r="N72" s="1">
        <v>37</v>
      </c>
      <c r="O72" s="1">
        <f>VALUE(MID($T$2,FIND("*",SUBSTITUTE($T$2," ","*",N72),1)+1,FIND("*",SUBSTITUTE($T$2," ","*",N73),1)-FIND("*",SUBSTITUTE($T$2," ","*",N72),1)-1))/J9</f>
        <v>97</v>
      </c>
      <c r="P72" s="1">
        <f t="shared" si="15"/>
        <v>1.75</v>
      </c>
      <c r="R72" s="95">
        <v>37</v>
      </c>
      <c r="S72" s="89">
        <f t="shared" si="16"/>
        <v>97</v>
      </c>
      <c r="T72" s="7">
        <v>97</v>
      </c>
      <c r="U72" s="98">
        <v>1.75</v>
      </c>
      <c r="V72" s="7">
        <f t="shared" si="11"/>
        <v>388</v>
      </c>
    </row>
    <row r="73" spans="2:22" x14ac:dyDescent="0.25">
      <c r="B73" s="1">
        <v>18</v>
      </c>
      <c r="C73" s="9">
        <f t="shared" si="17"/>
        <v>0</v>
      </c>
      <c r="D73" s="9"/>
      <c r="E73" s="9"/>
      <c r="F73" s="9"/>
      <c r="G73" s="9"/>
      <c r="H73" s="9"/>
      <c r="I73" s="9">
        <f t="shared" si="18"/>
        <v>4.5</v>
      </c>
      <c r="J73" s="9">
        <f t="shared" si="19"/>
        <v>0</v>
      </c>
      <c r="K73" s="9">
        <f t="shared" si="20"/>
        <v>1</v>
      </c>
      <c r="M73" s="8">
        <f t="shared" si="14"/>
        <v>98.5</v>
      </c>
      <c r="N73" s="1">
        <v>38</v>
      </c>
      <c r="O73" s="1">
        <f>VALUE(MID($T$2,FIND("*",SUBSTITUTE($T$2," ","*",N73),1)+1,FIND("*",SUBSTITUTE($T$2," ","*",N74),1)-FIND("*",SUBSTITUTE($T$2," ","*",N73),1)-1))/J9</f>
        <v>98.5</v>
      </c>
      <c r="P73" s="1">
        <f t="shared" si="15"/>
        <v>1.5</v>
      </c>
      <c r="R73" s="95">
        <v>38</v>
      </c>
      <c r="S73" s="89">
        <f t="shared" si="16"/>
        <v>98.5</v>
      </c>
      <c r="T73" s="7">
        <v>98.5</v>
      </c>
      <c r="U73" s="98">
        <v>1.5</v>
      </c>
      <c r="V73" s="7">
        <f t="shared" si="11"/>
        <v>394</v>
      </c>
    </row>
    <row r="74" spans="2:22" x14ac:dyDescent="0.25">
      <c r="B74" s="1">
        <v>19</v>
      </c>
      <c r="C74" s="9">
        <f t="shared" si="17"/>
        <v>0</v>
      </c>
      <c r="D74" s="9"/>
      <c r="E74" s="9"/>
      <c r="F74" s="9"/>
      <c r="G74" s="9"/>
      <c r="H74" s="9"/>
      <c r="I74" s="9">
        <f t="shared" si="18"/>
        <v>4.5</v>
      </c>
      <c r="J74" s="9">
        <f t="shared" si="19"/>
        <v>0</v>
      </c>
      <c r="K74" s="9">
        <f t="shared" si="20"/>
        <v>1</v>
      </c>
      <c r="M74" s="8">
        <f t="shared" si="14"/>
        <v>100</v>
      </c>
      <c r="N74" s="1">
        <v>39</v>
      </c>
      <c r="O74" s="1">
        <f>VALUE(MID($T$2,FIND("*",SUBSTITUTE($T$2," ","*",N74),1)+1,FIND("*",SUBSTITUTE($T$2," ","*",N75),1)-FIND("*",SUBSTITUTE($T$2," ","*",N74),1)-1))/J9</f>
        <v>100</v>
      </c>
      <c r="P74" s="1">
        <f t="shared" si="15"/>
        <v>1.5</v>
      </c>
      <c r="R74" s="95">
        <v>39</v>
      </c>
      <c r="S74" s="89">
        <f t="shared" si="16"/>
        <v>100</v>
      </c>
      <c r="T74" s="7">
        <v>100</v>
      </c>
      <c r="U74" s="98">
        <v>1.5</v>
      </c>
      <c r="V74" s="7">
        <f t="shared" si="11"/>
        <v>400</v>
      </c>
    </row>
    <row r="75" spans="2:22" x14ac:dyDescent="0.25">
      <c r="B75" s="1">
        <v>20</v>
      </c>
      <c r="C75" s="9">
        <f t="shared" si="17"/>
        <v>0</v>
      </c>
      <c r="D75" s="9"/>
      <c r="E75" s="9"/>
      <c r="F75" s="9"/>
      <c r="G75" s="9"/>
      <c r="H75" s="9"/>
      <c r="I75" s="9">
        <f t="shared" si="18"/>
        <v>4.5</v>
      </c>
      <c r="J75" s="9">
        <f t="shared" si="19"/>
        <v>0</v>
      </c>
      <c r="K75" s="9">
        <f t="shared" si="20"/>
        <v>1</v>
      </c>
      <c r="M75" s="8">
        <f t="shared" si="14"/>
        <v>101.5</v>
      </c>
      <c r="N75" s="1">
        <v>40</v>
      </c>
      <c r="O75" s="1">
        <f>VALUE(MID($T$2,FIND("*",SUBSTITUTE($T$2," ","*",N75),1)+1,FIND("*",SUBSTITUTE($T$2," ","*",N76),1)-FIND("*",SUBSTITUTE($T$2," ","*",N75),1)-1))/J9</f>
        <v>101.5</v>
      </c>
      <c r="P75" s="1">
        <f t="shared" si="15"/>
        <v>1.5</v>
      </c>
      <c r="R75" s="95">
        <v>40</v>
      </c>
      <c r="S75" s="89">
        <f t="shared" si="16"/>
        <v>101.5</v>
      </c>
      <c r="T75" s="7">
        <v>101.5</v>
      </c>
      <c r="U75" s="98">
        <v>1.5</v>
      </c>
      <c r="V75" s="7">
        <f t="shared" si="11"/>
        <v>406</v>
      </c>
    </row>
    <row r="76" spans="2:22" x14ac:dyDescent="0.25">
      <c r="M76" s="8">
        <f t="shared" si="14"/>
        <v>103.5</v>
      </c>
      <c r="N76" s="1">
        <v>41</v>
      </c>
      <c r="O76" s="1">
        <f>VALUE(MID($T$2,FIND("*",SUBSTITUTE($T$2," ","*",N76),1)+1,FIND("*",SUBSTITUTE($T$2," ","*",N77),1)-FIND("*",SUBSTITUTE($T$2," ","*",N76),1)-1))/J9</f>
        <v>103.5</v>
      </c>
      <c r="P76" s="1">
        <f t="shared" si="15"/>
        <v>2</v>
      </c>
      <c r="R76" s="95">
        <v>41</v>
      </c>
      <c r="S76" s="89">
        <f t="shared" si="16"/>
        <v>103.5</v>
      </c>
      <c r="T76" s="7">
        <v>103.5</v>
      </c>
      <c r="U76" s="98">
        <v>2</v>
      </c>
      <c r="V76" s="7">
        <f t="shared" si="11"/>
        <v>414</v>
      </c>
    </row>
    <row r="77" spans="2:22" x14ac:dyDescent="0.25">
      <c r="C77" s="1" t="s">
        <v>9</v>
      </c>
      <c r="I77" s="1" t="s">
        <v>10</v>
      </c>
      <c r="J77" s="1" t="s">
        <v>11</v>
      </c>
      <c r="K77" s="1" t="s">
        <v>12</v>
      </c>
      <c r="M77" s="8">
        <f t="shared" si="14"/>
        <v>105</v>
      </c>
      <c r="N77" s="1">
        <v>42</v>
      </c>
      <c r="O77" s="1">
        <f>VALUE(MID($T$2,FIND("*",SUBSTITUTE($T$2," ","*",N77),1)+1,FIND("*",SUBSTITUTE($T$2," ","*",N78),1)-FIND("*",SUBSTITUTE($T$2," ","*",N77),1)-1))/J9</f>
        <v>105</v>
      </c>
      <c r="P77" s="1">
        <f t="shared" si="15"/>
        <v>1.5</v>
      </c>
      <c r="R77" s="95">
        <v>42</v>
      </c>
      <c r="S77" s="89">
        <f t="shared" si="16"/>
        <v>105</v>
      </c>
      <c r="T77" s="7">
        <v>105</v>
      </c>
      <c r="U77" s="98">
        <v>1.5</v>
      </c>
      <c r="V77" s="7">
        <f t="shared" si="11"/>
        <v>420</v>
      </c>
    </row>
    <row r="78" spans="2:22" x14ac:dyDescent="0.25">
      <c r="B78" s="1">
        <v>1</v>
      </c>
      <c r="C78" s="9">
        <f t="shared" ref="C78:C97" si="21">ROUNDDOWN(J12,0)</f>
        <v>0</v>
      </c>
      <c r="D78" s="9"/>
      <c r="E78" s="9"/>
      <c r="F78" s="9"/>
      <c r="G78" s="9"/>
      <c r="H78" s="9"/>
      <c r="I78" s="9">
        <f t="shared" ref="I78:I97" si="22">ROUNDUP(J12,0)</f>
        <v>0</v>
      </c>
      <c r="J78" s="9">
        <f>VLOOKUP(C78,$R$35:$S$298,2,TRUE)</f>
        <v>0</v>
      </c>
      <c r="K78" s="9">
        <f>VLOOKUP(I78,$R$35:$S$298,2,TRUE)</f>
        <v>0</v>
      </c>
      <c r="M78" s="8">
        <f t="shared" si="14"/>
        <v>106.5</v>
      </c>
      <c r="N78" s="1">
        <v>43</v>
      </c>
      <c r="O78" s="1">
        <f>VALUE(MID($T$2,FIND("*",SUBSTITUTE($T$2," ","*",N78),1)+1,FIND("*",SUBSTITUTE($T$2," ","*",N79),1)-FIND("*",SUBSTITUTE($T$2," ","*",N78),1)-1))/J9</f>
        <v>106.5</v>
      </c>
      <c r="P78" s="1">
        <f t="shared" si="15"/>
        <v>1.5</v>
      </c>
      <c r="R78" s="95">
        <v>43</v>
      </c>
      <c r="S78" s="89">
        <f t="shared" si="16"/>
        <v>106.5</v>
      </c>
      <c r="T78" s="7">
        <v>106.5</v>
      </c>
      <c r="U78" s="98">
        <v>1.5</v>
      </c>
      <c r="V78" s="7">
        <f t="shared" si="11"/>
        <v>426</v>
      </c>
    </row>
    <row r="79" spans="2:22" x14ac:dyDescent="0.25">
      <c r="B79" s="1">
        <v>2</v>
      </c>
      <c r="C79" s="9">
        <f t="shared" si="21"/>
        <v>0</v>
      </c>
      <c r="D79" s="9"/>
      <c r="E79" s="9"/>
      <c r="F79" s="9"/>
      <c r="G79" s="9"/>
      <c r="H79" s="9"/>
      <c r="I79" s="9">
        <f t="shared" si="22"/>
        <v>0</v>
      </c>
      <c r="J79" s="9">
        <f t="shared" ref="J79:J97" si="23">VLOOKUP(C79,$R$35:$S$298,2,TRUE)</f>
        <v>0</v>
      </c>
      <c r="K79" s="9">
        <f t="shared" ref="K79:K97" si="24">VLOOKUP(I79,$R$35:$S$298,2,TRUE)</f>
        <v>0</v>
      </c>
      <c r="M79" s="8">
        <f t="shared" si="14"/>
        <v>108.5</v>
      </c>
      <c r="N79" s="1">
        <v>44</v>
      </c>
      <c r="O79" s="1">
        <f>VALUE(MID($T$2,FIND("*",SUBSTITUTE($T$2," ","*",N79),1)+1,FIND("*",SUBSTITUTE($T$2," ","*",N80),1)-FIND("*",SUBSTITUTE($T$2," ","*",N79),1)-1))/J9</f>
        <v>108.5</v>
      </c>
      <c r="P79" s="1">
        <f t="shared" si="15"/>
        <v>2</v>
      </c>
      <c r="R79" s="95">
        <v>44</v>
      </c>
      <c r="S79" s="89">
        <f t="shared" si="16"/>
        <v>108.5</v>
      </c>
      <c r="T79" s="7">
        <v>108.5</v>
      </c>
      <c r="U79" s="98">
        <v>2</v>
      </c>
      <c r="V79" s="7">
        <f t="shared" si="11"/>
        <v>434</v>
      </c>
    </row>
    <row r="80" spans="2:22" x14ac:dyDescent="0.25">
      <c r="B80" s="1">
        <v>3</v>
      </c>
      <c r="C80" s="9">
        <f t="shared" si="21"/>
        <v>0</v>
      </c>
      <c r="D80" s="9"/>
      <c r="E80" s="9"/>
      <c r="F80" s="9"/>
      <c r="G80" s="9"/>
      <c r="H80" s="9"/>
      <c r="I80" s="9">
        <f t="shared" si="22"/>
        <v>0</v>
      </c>
      <c r="J80" s="9">
        <f t="shared" si="23"/>
        <v>0</v>
      </c>
      <c r="K80" s="9">
        <f t="shared" si="24"/>
        <v>0</v>
      </c>
      <c r="M80" s="8">
        <f t="shared" si="14"/>
        <v>110</v>
      </c>
      <c r="N80" s="1">
        <v>45</v>
      </c>
      <c r="O80" s="1">
        <f>VALUE(MID($T$2,FIND("*",SUBSTITUTE($T$2," ","*",N80),1)+1,FIND("*",SUBSTITUTE($T$2," ","*",N81),1)-FIND("*",SUBSTITUTE($T$2," ","*",N80),1)-1))/J9</f>
        <v>110</v>
      </c>
      <c r="P80" s="1">
        <f t="shared" si="15"/>
        <v>1.5</v>
      </c>
      <c r="R80" s="95">
        <v>45</v>
      </c>
      <c r="S80" s="89">
        <f t="shared" si="16"/>
        <v>110</v>
      </c>
      <c r="T80" s="7">
        <v>110</v>
      </c>
      <c r="U80" s="98">
        <v>1.5</v>
      </c>
      <c r="V80" s="7">
        <f t="shared" si="11"/>
        <v>440</v>
      </c>
    </row>
    <row r="81" spans="2:22" x14ac:dyDescent="0.25">
      <c r="B81" s="1">
        <v>4</v>
      </c>
      <c r="C81" s="9">
        <f t="shared" si="21"/>
        <v>0</v>
      </c>
      <c r="D81" s="9"/>
      <c r="E81" s="9"/>
      <c r="F81" s="9"/>
      <c r="G81" s="9"/>
      <c r="H81" s="9"/>
      <c r="I81" s="9">
        <f t="shared" si="22"/>
        <v>0</v>
      </c>
      <c r="J81" s="9">
        <f t="shared" si="23"/>
        <v>0</v>
      </c>
      <c r="K81" s="9">
        <f t="shared" si="24"/>
        <v>0</v>
      </c>
      <c r="M81" s="8">
        <f t="shared" si="14"/>
        <v>111</v>
      </c>
      <c r="N81" s="1">
        <v>46</v>
      </c>
      <c r="O81" s="1">
        <f>VALUE(MID($T$2,FIND("*",SUBSTITUTE($T$2," ","*",N81),1)+1,FIND("*",SUBSTITUTE($T$2," ","*",N82),1)-FIND("*",SUBSTITUTE($T$2," ","*",N81),1)-1))/J9</f>
        <v>111</v>
      </c>
      <c r="P81" s="1">
        <f t="shared" si="15"/>
        <v>1</v>
      </c>
      <c r="R81" s="95">
        <v>46</v>
      </c>
      <c r="S81" s="89">
        <f t="shared" si="16"/>
        <v>111</v>
      </c>
      <c r="T81" s="7">
        <v>111</v>
      </c>
      <c r="U81" s="98">
        <v>1</v>
      </c>
      <c r="V81" s="7">
        <f t="shared" si="11"/>
        <v>444</v>
      </c>
    </row>
    <row r="82" spans="2:22" x14ac:dyDescent="0.25">
      <c r="B82" s="1">
        <v>5</v>
      </c>
      <c r="C82" s="9">
        <f t="shared" si="21"/>
        <v>0</v>
      </c>
      <c r="D82" s="9"/>
      <c r="E82" s="9"/>
      <c r="F82" s="9"/>
      <c r="G82" s="9"/>
      <c r="H82" s="9"/>
      <c r="I82" s="9">
        <f t="shared" si="22"/>
        <v>0</v>
      </c>
      <c r="J82" s="9">
        <f t="shared" si="23"/>
        <v>0</v>
      </c>
      <c r="K82" s="9">
        <f t="shared" si="24"/>
        <v>0</v>
      </c>
      <c r="M82" s="8">
        <f t="shared" si="14"/>
        <v>112.5</v>
      </c>
      <c r="N82" s="1">
        <v>47</v>
      </c>
      <c r="O82" s="1">
        <f>VALUE(MID($T$2,FIND("*",SUBSTITUTE($T$2," ","*",N82),1)+1,FIND("*",SUBSTITUTE($T$2," ","*",N83),1)-FIND("*",SUBSTITUTE($T$2," ","*",N82),1)-1))/J9</f>
        <v>112.5</v>
      </c>
      <c r="P82" s="1">
        <f t="shared" si="15"/>
        <v>1.5</v>
      </c>
      <c r="R82" s="95">
        <v>47</v>
      </c>
      <c r="S82" s="89">
        <f t="shared" si="16"/>
        <v>112.5</v>
      </c>
      <c r="T82" s="7">
        <v>112.5</v>
      </c>
      <c r="U82" s="98">
        <v>1.5</v>
      </c>
      <c r="V82" s="7">
        <f t="shared" si="11"/>
        <v>450</v>
      </c>
    </row>
    <row r="83" spans="2:22" x14ac:dyDescent="0.25">
      <c r="B83" s="1">
        <v>6</v>
      </c>
      <c r="C83" s="9">
        <f t="shared" si="21"/>
        <v>0</v>
      </c>
      <c r="D83" s="9"/>
      <c r="E83" s="9"/>
      <c r="F83" s="9"/>
      <c r="G83" s="9"/>
      <c r="H83" s="9"/>
      <c r="I83" s="9">
        <f t="shared" si="22"/>
        <v>0</v>
      </c>
      <c r="J83" s="9">
        <f t="shared" si="23"/>
        <v>0</v>
      </c>
      <c r="K83" s="9">
        <f t="shared" si="24"/>
        <v>0</v>
      </c>
      <c r="M83" s="8">
        <f t="shared" si="14"/>
        <v>114.5</v>
      </c>
      <c r="N83" s="1">
        <v>48</v>
      </c>
      <c r="O83" s="1">
        <f>VALUE(MID($T$2,FIND("*",SUBSTITUTE($T$2," ","*",N83),1)+1,FIND("*",SUBSTITUTE($T$2," ","*",N84),1)-FIND("*",SUBSTITUTE($T$2," ","*",N83),1)-1))/J9</f>
        <v>114.5</v>
      </c>
      <c r="P83" s="1">
        <f t="shared" si="15"/>
        <v>2</v>
      </c>
      <c r="R83" s="95">
        <v>48</v>
      </c>
      <c r="S83" s="89">
        <f t="shared" si="16"/>
        <v>114.5</v>
      </c>
      <c r="T83" s="7">
        <v>114.5</v>
      </c>
      <c r="U83" s="98">
        <v>2</v>
      </c>
      <c r="V83" s="7">
        <f t="shared" si="11"/>
        <v>458</v>
      </c>
    </row>
    <row r="84" spans="2:22" x14ac:dyDescent="0.25">
      <c r="B84" s="1">
        <v>7</v>
      </c>
      <c r="C84" s="9">
        <f t="shared" si="21"/>
        <v>0</v>
      </c>
      <c r="D84" s="9"/>
      <c r="E84" s="9"/>
      <c r="F84" s="9"/>
      <c r="G84" s="9"/>
      <c r="H84" s="9"/>
      <c r="I84" s="9">
        <f t="shared" si="22"/>
        <v>0</v>
      </c>
      <c r="J84" s="9">
        <f t="shared" si="23"/>
        <v>0</v>
      </c>
      <c r="K84" s="9">
        <f t="shared" si="24"/>
        <v>0</v>
      </c>
      <c r="M84" s="8">
        <f t="shared" si="14"/>
        <v>116</v>
      </c>
      <c r="N84" s="1">
        <v>49</v>
      </c>
      <c r="O84" s="1">
        <f>VALUE(MID($T$2,FIND("*",SUBSTITUTE($T$2," ","*",N84),1)+1,FIND("*",SUBSTITUTE($T$2," ","*",N85),1)-FIND("*",SUBSTITUTE($T$2," ","*",N84),1)-1))/J9</f>
        <v>116</v>
      </c>
      <c r="P84" s="1">
        <f t="shared" si="15"/>
        <v>1.5</v>
      </c>
      <c r="R84" s="95">
        <v>49</v>
      </c>
      <c r="S84" s="89">
        <f t="shared" si="16"/>
        <v>116</v>
      </c>
      <c r="T84" s="7">
        <v>116</v>
      </c>
      <c r="U84" s="98">
        <v>1.5</v>
      </c>
      <c r="V84" s="7">
        <f t="shared" si="11"/>
        <v>464</v>
      </c>
    </row>
    <row r="85" spans="2:22" x14ac:dyDescent="0.25">
      <c r="B85" s="1">
        <v>8</v>
      </c>
      <c r="C85" s="9">
        <f t="shared" si="21"/>
        <v>0</v>
      </c>
      <c r="D85" s="9"/>
      <c r="E85" s="9"/>
      <c r="F85" s="9"/>
      <c r="G85" s="9"/>
      <c r="H85" s="9"/>
      <c r="I85" s="9">
        <f t="shared" si="22"/>
        <v>0</v>
      </c>
      <c r="J85" s="9">
        <f t="shared" si="23"/>
        <v>0</v>
      </c>
      <c r="K85" s="9">
        <f t="shared" si="24"/>
        <v>0</v>
      </c>
      <c r="M85" s="8">
        <f t="shared" si="14"/>
        <v>117</v>
      </c>
      <c r="N85" s="1">
        <v>50</v>
      </c>
      <c r="O85" s="1">
        <f>VALUE(MID($T$2,FIND("*",SUBSTITUTE($T$2," ","*",N85),1)+1,FIND("*",SUBSTITUTE($T$2," ","*",N86),1)-FIND("*",SUBSTITUTE($T$2," ","*",N85),1)-1))/J9</f>
        <v>117</v>
      </c>
      <c r="P85" s="1">
        <f t="shared" si="15"/>
        <v>1</v>
      </c>
      <c r="R85" s="95">
        <v>50</v>
      </c>
      <c r="S85" s="89">
        <f t="shared" si="16"/>
        <v>117</v>
      </c>
      <c r="T85" s="7">
        <v>117</v>
      </c>
      <c r="U85" s="98">
        <v>1</v>
      </c>
      <c r="V85" s="7">
        <f t="shared" si="11"/>
        <v>468</v>
      </c>
    </row>
    <row r="86" spans="2:22" x14ac:dyDescent="0.25">
      <c r="B86" s="1">
        <v>9</v>
      </c>
      <c r="C86" s="9">
        <f t="shared" si="21"/>
        <v>0</v>
      </c>
      <c r="D86" s="9"/>
      <c r="E86" s="9"/>
      <c r="F86" s="9"/>
      <c r="G86" s="9"/>
      <c r="H86" s="9"/>
      <c r="I86" s="9">
        <f t="shared" si="22"/>
        <v>0</v>
      </c>
      <c r="J86" s="9">
        <f t="shared" si="23"/>
        <v>0</v>
      </c>
      <c r="K86" s="9">
        <f t="shared" si="24"/>
        <v>0</v>
      </c>
      <c r="M86" s="8">
        <f t="shared" si="14"/>
        <v>118.5</v>
      </c>
      <c r="N86" s="1">
        <v>51</v>
      </c>
      <c r="O86" s="1">
        <f>VALUE(MID($T$2,FIND("*",SUBSTITUTE($T$2," ","*",N86),1)+1,FIND("*",SUBSTITUTE($T$2," ","*",N87),1)-FIND("*",SUBSTITUTE($T$2," ","*",N86),1)-1))/J9</f>
        <v>118.5</v>
      </c>
      <c r="P86" s="1">
        <f t="shared" si="15"/>
        <v>1.5</v>
      </c>
      <c r="R86" s="95">
        <v>51</v>
      </c>
      <c r="S86" s="89">
        <f t="shared" si="16"/>
        <v>118.5</v>
      </c>
      <c r="T86" s="7">
        <v>118.5</v>
      </c>
      <c r="U86" s="98">
        <v>1.5</v>
      </c>
      <c r="V86" s="7">
        <f t="shared" si="11"/>
        <v>474</v>
      </c>
    </row>
    <row r="87" spans="2:22" x14ac:dyDescent="0.25">
      <c r="B87" s="1">
        <v>10</v>
      </c>
      <c r="C87" s="9">
        <f t="shared" si="21"/>
        <v>0</v>
      </c>
      <c r="D87" s="9"/>
      <c r="E87" s="9"/>
      <c r="F87" s="9"/>
      <c r="G87" s="9"/>
      <c r="H87" s="9"/>
      <c r="I87" s="9">
        <f t="shared" si="22"/>
        <v>0</v>
      </c>
      <c r="J87" s="9">
        <f t="shared" si="23"/>
        <v>0</v>
      </c>
      <c r="K87" s="9">
        <f t="shared" si="24"/>
        <v>0</v>
      </c>
      <c r="M87" s="8">
        <f t="shared" si="14"/>
        <v>120</v>
      </c>
      <c r="N87" s="1">
        <v>52</v>
      </c>
      <c r="O87" s="1">
        <f>VALUE(MID($T$2,FIND("*",SUBSTITUTE($T$2," ","*",N87),1)+1,FIND("*",SUBSTITUTE($T$2," ","*",N88),1)-FIND("*",SUBSTITUTE($T$2," ","*",N87),1)-1))/J9</f>
        <v>120</v>
      </c>
      <c r="P87" s="1">
        <f t="shared" si="15"/>
        <v>1.5</v>
      </c>
      <c r="R87" s="95">
        <v>52</v>
      </c>
      <c r="S87" s="89">
        <f t="shared" si="16"/>
        <v>120</v>
      </c>
      <c r="T87" s="7">
        <v>120</v>
      </c>
      <c r="U87" s="98">
        <v>1.5</v>
      </c>
      <c r="V87" s="7">
        <f t="shared" si="11"/>
        <v>480</v>
      </c>
    </row>
    <row r="88" spans="2:22" x14ac:dyDescent="0.25">
      <c r="B88" s="1">
        <v>11</v>
      </c>
      <c r="C88" s="9">
        <f t="shared" si="21"/>
        <v>0</v>
      </c>
      <c r="D88" s="9"/>
      <c r="E88" s="9"/>
      <c r="F88" s="9"/>
      <c r="G88" s="9"/>
      <c r="H88" s="9"/>
      <c r="I88" s="9">
        <f t="shared" si="22"/>
        <v>0</v>
      </c>
      <c r="J88" s="9">
        <f t="shared" si="23"/>
        <v>0</v>
      </c>
      <c r="K88" s="9">
        <f t="shared" si="24"/>
        <v>0</v>
      </c>
      <c r="M88" s="8">
        <f t="shared" si="14"/>
        <v>121.5</v>
      </c>
      <c r="N88" s="1">
        <v>53</v>
      </c>
      <c r="O88" s="1">
        <f>VALUE(MID($T$2,FIND("*",SUBSTITUTE($T$2," ","*",N88),1)+1,FIND("*",SUBSTITUTE($T$2," ","*",N89),1)-FIND("*",SUBSTITUTE($T$2," ","*",N88),1)-1))/J9</f>
        <v>121.5</v>
      </c>
      <c r="P88" s="1">
        <f t="shared" si="15"/>
        <v>1.5</v>
      </c>
      <c r="R88" s="95">
        <v>53</v>
      </c>
      <c r="S88" s="89">
        <f t="shared" si="16"/>
        <v>121.5</v>
      </c>
      <c r="T88" s="7">
        <v>121.5</v>
      </c>
      <c r="U88" s="98">
        <v>1.5</v>
      </c>
      <c r="V88" s="7">
        <f t="shared" si="11"/>
        <v>486</v>
      </c>
    </row>
    <row r="89" spans="2:22" x14ac:dyDescent="0.25">
      <c r="B89" s="1">
        <v>12</v>
      </c>
      <c r="C89" s="9">
        <f t="shared" si="21"/>
        <v>0</v>
      </c>
      <c r="D89" s="9"/>
      <c r="E89" s="9"/>
      <c r="F89" s="9"/>
      <c r="G89" s="9"/>
      <c r="H89" s="9"/>
      <c r="I89" s="9">
        <f t="shared" si="22"/>
        <v>0</v>
      </c>
      <c r="J89" s="9">
        <f t="shared" si="23"/>
        <v>0</v>
      </c>
      <c r="K89" s="9">
        <f t="shared" si="24"/>
        <v>0</v>
      </c>
      <c r="M89" s="8">
        <f t="shared" si="14"/>
        <v>123</v>
      </c>
      <c r="N89" s="1">
        <v>54</v>
      </c>
      <c r="O89" s="1">
        <f>VALUE(MID($T$2,FIND("*",SUBSTITUTE($T$2," ","*",N89),1)+1,FIND("*",SUBSTITUTE($T$2," ","*",N90),1)-FIND("*",SUBSTITUTE($T$2," ","*",N89),1)-1))/J9</f>
        <v>123</v>
      </c>
      <c r="P89" s="1">
        <f t="shared" si="15"/>
        <v>1.5</v>
      </c>
      <c r="R89" s="95">
        <v>54</v>
      </c>
      <c r="S89" s="89">
        <f t="shared" si="16"/>
        <v>123</v>
      </c>
      <c r="T89" s="7">
        <v>123</v>
      </c>
      <c r="U89" s="98">
        <v>1.5</v>
      </c>
      <c r="V89" s="7">
        <f t="shared" si="11"/>
        <v>492</v>
      </c>
    </row>
    <row r="90" spans="2:22" x14ac:dyDescent="0.25">
      <c r="B90" s="1">
        <v>13</v>
      </c>
      <c r="C90" s="9">
        <f t="shared" si="21"/>
        <v>0</v>
      </c>
      <c r="D90" s="9"/>
      <c r="E90" s="9"/>
      <c r="F90" s="9"/>
      <c r="G90" s="9"/>
      <c r="H90" s="9"/>
      <c r="I90" s="9">
        <f t="shared" si="22"/>
        <v>0</v>
      </c>
      <c r="J90" s="9">
        <f t="shared" si="23"/>
        <v>0</v>
      </c>
      <c r="K90" s="9">
        <f t="shared" si="24"/>
        <v>0</v>
      </c>
      <c r="M90" s="8">
        <f t="shared" si="14"/>
        <v>124</v>
      </c>
      <c r="N90" s="1">
        <v>55</v>
      </c>
      <c r="O90" s="1">
        <f>VALUE(MID($T$2,FIND("*",SUBSTITUTE($T$2," ","*",N90),1)+1,FIND("*",SUBSTITUTE($T$2," ","*",N91),1)-FIND("*",SUBSTITUTE($T$2," ","*",N90),1)-1))/J9</f>
        <v>124</v>
      </c>
      <c r="P90" s="1">
        <f t="shared" si="15"/>
        <v>1</v>
      </c>
      <c r="R90" s="95">
        <v>55</v>
      </c>
      <c r="S90" s="89">
        <f t="shared" si="16"/>
        <v>124</v>
      </c>
      <c r="T90" s="7">
        <v>124</v>
      </c>
      <c r="U90" s="98">
        <v>1</v>
      </c>
      <c r="V90" s="7">
        <f t="shared" si="11"/>
        <v>496</v>
      </c>
    </row>
    <row r="91" spans="2:22" x14ac:dyDescent="0.25">
      <c r="B91" s="1">
        <v>14</v>
      </c>
      <c r="C91" s="9">
        <f t="shared" si="21"/>
        <v>0</v>
      </c>
      <c r="D91" s="9"/>
      <c r="E91" s="9"/>
      <c r="F91" s="9"/>
      <c r="G91" s="9"/>
      <c r="H91" s="9"/>
      <c r="I91" s="9">
        <f t="shared" si="22"/>
        <v>0</v>
      </c>
      <c r="J91" s="9">
        <f t="shared" si="23"/>
        <v>0</v>
      </c>
      <c r="K91" s="9">
        <f t="shared" si="24"/>
        <v>0</v>
      </c>
      <c r="M91" s="8">
        <f t="shared" si="14"/>
        <v>125.5</v>
      </c>
      <c r="N91" s="1">
        <v>56</v>
      </c>
      <c r="O91" s="1">
        <f>VALUE(MID($T$2,FIND("*",SUBSTITUTE($T$2," ","*",N91),1)+1,FIND("*",SUBSTITUTE($T$2," ","*",N92),1)-FIND("*",SUBSTITUTE($T$2," ","*",N91),1)-1))/J9</f>
        <v>125.5</v>
      </c>
      <c r="P91" s="1">
        <f t="shared" si="15"/>
        <v>1.5</v>
      </c>
      <c r="R91" s="95">
        <v>56</v>
      </c>
      <c r="S91" s="89">
        <f t="shared" si="16"/>
        <v>125.5</v>
      </c>
      <c r="T91" s="7">
        <v>125.5</v>
      </c>
      <c r="U91" s="98">
        <v>1.5</v>
      </c>
      <c r="V91" s="7">
        <f t="shared" si="11"/>
        <v>502</v>
      </c>
    </row>
    <row r="92" spans="2:22" x14ac:dyDescent="0.25">
      <c r="B92" s="1">
        <v>15</v>
      </c>
      <c r="C92" s="9">
        <f t="shared" si="21"/>
        <v>0</v>
      </c>
      <c r="D92" s="9"/>
      <c r="E92" s="9"/>
      <c r="F92" s="9"/>
      <c r="G92" s="9"/>
      <c r="H92" s="9"/>
      <c r="I92" s="9">
        <f t="shared" si="22"/>
        <v>0</v>
      </c>
      <c r="J92" s="9">
        <f t="shared" si="23"/>
        <v>0</v>
      </c>
      <c r="K92" s="9">
        <f t="shared" si="24"/>
        <v>0</v>
      </c>
      <c r="M92" s="8">
        <f t="shared" si="14"/>
        <v>127</v>
      </c>
      <c r="N92" s="1">
        <v>57</v>
      </c>
      <c r="O92" s="1">
        <f>VALUE(MID($T$2,FIND("*",SUBSTITUTE($T$2," ","*",N92),1)+1,FIND("*",SUBSTITUTE($T$2," ","*",N93),1)-FIND("*",SUBSTITUTE($T$2," ","*",N92),1)-1))/J9</f>
        <v>127</v>
      </c>
      <c r="P92" s="1">
        <f t="shared" si="15"/>
        <v>1.5</v>
      </c>
      <c r="R92" s="95">
        <v>57</v>
      </c>
      <c r="S92" s="89">
        <f t="shared" si="16"/>
        <v>127</v>
      </c>
      <c r="T92" s="7">
        <v>127</v>
      </c>
      <c r="U92" s="98">
        <v>1.5</v>
      </c>
      <c r="V92" s="7">
        <f t="shared" si="11"/>
        <v>508</v>
      </c>
    </row>
    <row r="93" spans="2:22" x14ac:dyDescent="0.25">
      <c r="B93" s="1">
        <v>16</v>
      </c>
      <c r="C93" s="9">
        <f t="shared" si="21"/>
        <v>0</v>
      </c>
      <c r="D93" s="9"/>
      <c r="E93" s="9"/>
      <c r="F93" s="9"/>
      <c r="G93" s="9"/>
      <c r="H93" s="9"/>
      <c r="I93" s="9">
        <f t="shared" si="22"/>
        <v>0</v>
      </c>
      <c r="J93" s="9">
        <f t="shared" si="23"/>
        <v>0</v>
      </c>
      <c r="K93" s="9">
        <f t="shared" si="24"/>
        <v>0</v>
      </c>
      <c r="M93" s="8">
        <f t="shared" si="14"/>
        <v>128</v>
      </c>
      <c r="N93" s="1">
        <v>58</v>
      </c>
      <c r="O93" s="1">
        <f>VALUE(MID($T$2,FIND("*",SUBSTITUTE($T$2," ","*",N93),1)+1,FIND("*",SUBSTITUTE($T$2," ","*",N94),1)-FIND("*",SUBSTITUTE($T$2," ","*",N93),1)-1))/J9</f>
        <v>128</v>
      </c>
      <c r="P93" s="1">
        <f t="shared" si="15"/>
        <v>1</v>
      </c>
      <c r="R93" s="95">
        <v>58</v>
      </c>
      <c r="S93" s="89">
        <f t="shared" si="16"/>
        <v>128</v>
      </c>
      <c r="T93" s="7">
        <v>128</v>
      </c>
      <c r="U93" s="98">
        <v>1</v>
      </c>
      <c r="V93" s="7">
        <f t="shared" si="11"/>
        <v>512</v>
      </c>
    </row>
    <row r="94" spans="2:22" x14ac:dyDescent="0.25">
      <c r="B94" s="1">
        <v>17</v>
      </c>
      <c r="C94" s="9">
        <f t="shared" si="21"/>
        <v>0</v>
      </c>
      <c r="D94" s="9"/>
      <c r="E94" s="9"/>
      <c r="F94" s="9"/>
      <c r="G94" s="9"/>
      <c r="H94" s="9"/>
      <c r="I94" s="9">
        <f t="shared" si="22"/>
        <v>0</v>
      </c>
      <c r="J94" s="9">
        <f t="shared" si="23"/>
        <v>0</v>
      </c>
      <c r="K94" s="9">
        <f t="shared" si="24"/>
        <v>0</v>
      </c>
      <c r="M94" s="8">
        <f t="shared" si="14"/>
        <v>129.5</v>
      </c>
      <c r="N94" s="1">
        <v>59</v>
      </c>
      <c r="O94" s="1">
        <f>VALUE(MID($T$2,FIND("*",SUBSTITUTE($T$2," ","*",N94),1)+1,FIND("*",SUBSTITUTE($T$2," ","*",N95),1)-FIND("*",SUBSTITUTE($T$2," ","*",N94),1)-1))/J9</f>
        <v>129.5</v>
      </c>
      <c r="P94" s="1">
        <f t="shared" si="15"/>
        <v>1.5</v>
      </c>
      <c r="R94" s="95">
        <v>59</v>
      </c>
      <c r="S94" s="89">
        <f t="shared" si="16"/>
        <v>129.5</v>
      </c>
      <c r="T94" s="7">
        <v>129.5</v>
      </c>
      <c r="U94" s="98">
        <v>1.5</v>
      </c>
      <c r="V94" s="7">
        <f t="shared" si="11"/>
        <v>518</v>
      </c>
    </row>
    <row r="95" spans="2:22" x14ac:dyDescent="0.25">
      <c r="B95" s="1">
        <v>18</v>
      </c>
      <c r="C95" s="9">
        <f t="shared" si="21"/>
        <v>0</v>
      </c>
      <c r="D95" s="9"/>
      <c r="E95" s="9"/>
      <c r="F95" s="9"/>
      <c r="G95" s="9"/>
      <c r="H95" s="9"/>
      <c r="I95" s="9">
        <f t="shared" si="22"/>
        <v>0</v>
      </c>
      <c r="J95" s="9">
        <f t="shared" si="23"/>
        <v>0</v>
      </c>
      <c r="K95" s="9">
        <f t="shared" si="24"/>
        <v>0</v>
      </c>
      <c r="M95" s="8">
        <f t="shared" si="14"/>
        <v>131</v>
      </c>
      <c r="N95" s="1">
        <v>60</v>
      </c>
      <c r="O95" s="1">
        <f>VALUE(MID($T$2,FIND("*",SUBSTITUTE($T$2," ","*",N95),1)+1,FIND("*",SUBSTITUTE($T$2," ","*",N96),1)-FIND("*",SUBSTITUTE($T$2," ","*",N95),1)-1))/J9</f>
        <v>131</v>
      </c>
      <c r="P95" s="1">
        <f t="shared" si="15"/>
        <v>1.5</v>
      </c>
      <c r="R95" s="95">
        <v>60</v>
      </c>
      <c r="S95" s="89">
        <f t="shared" si="16"/>
        <v>131</v>
      </c>
      <c r="T95" s="7">
        <v>131</v>
      </c>
      <c r="U95" s="98">
        <v>1.5</v>
      </c>
      <c r="V95" s="7">
        <f t="shared" si="11"/>
        <v>524</v>
      </c>
    </row>
    <row r="96" spans="2:22" x14ac:dyDescent="0.25">
      <c r="B96" s="1">
        <v>19</v>
      </c>
      <c r="C96" s="9">
        <f t="shared" si="21"/>
        <v>0</v>
      </c>
      <c r="D96" s="9"/>
      <c r="E96" s="9"/>
      <c r="F96" s="9"/>
      <c r="G96" s="9"/>
      <c r="H96" s="9"/>
      <c r="I96" s="9">
        <f t="shared" si="22"/>
        <v>0</v>
      </c>
      <c r="J96" s="9">
        <f t="shared" si="23"/>
        <v>0</v>
      </c>
      <c r="K96" s="9">
        <f t="shared" si="24"/>
        <v>0</v>
      </c>
      <c r="M96" s="8">
        <f t="shared" si="14"/>
        <v>132</v>
      </c>
      <c r="N96" s="1">
        <v>61</v>
      </c>
      <c r="O96" s="1">
        <f>VALUE(MID($T$2,FIND("*",SUBSTITUTE($T$2," ","*",N96),1)+1,FIND("*",SUBSTITUTE($T$2," ","*",N97),1)-FIND("*",SUBSTITUTE($T$2," ","*",N96),1)-1))/J9</f>
        <v>132</v>
      </c>
      <c r="P96" s="1">
        <f t="shared" si="15"/>
        <v>1</v>
      </c>
      <c r="R96" s="95">
        <v>61</v>
      </c>
      <c r="S96" s="89">
        <f t="shared" si="16"/>
        <v>132</v>
      </c>
      <c r="T96" s="7">
        <v>132</v>
      </c>
      <c r="U96" s="98">
        <v>1</v>
      </c>
      <c r="V96" s="7">
        <f t="shared" si="11"/>
        <v>528</v>
      </c>
    </row>
    <row r="97" spans="2:22" x14ac:dyDescent="0.25">
      <c r="B97" s="1">
        <v>20</v>
      </c>
      <c r="C97" s="9">
        <f t="shared" si="21"/>
        <v>0</v>
      </c>
      <c r="D97" s="9"/>
      <c r="E97" s="9"/>
      <c r="F97" s="9"/>
      <c r="G97" s="9"/>
      <c r="H97" s="9"/>
      <c r="I97" s="9">
        <f t="shared" si="22"/>
        <v>0</v>
      </c>
      <c r="J97" s="9">
        <f t="shared" si="23"/>
        <v>0</v>
      </c>
      <c r="K97" s="9">
        <f t="shared" si="24"/>
        <v>0</v>
      </c>
      <c r="M97" s="8">
        <f t="shared" si="14"/>
        <v>133.5</v>
      </c>
      <c r="N97" s="1">
        <v>62</v>
      </c>
      <c r="O97" s="1">
        <f>VALUE(MID($T$2,FIND("*",SUBSTITUTE($T$2," ","*",N97),1)+1,FIND("*",SUBSTITUTE($T$2," ","*",N98),1)-FIND("*",SUBSTITUTE($T$2," ","*",N97),1)-1))/J9</f>
        <v>133.5</v>
      </c>
      <c r="P97" s="1">
        <f t="shared" si="15"/>
        <v>1.5</v>
      </c>
      <c r="R97" s="95">
        <v>62</v>
      </c>
      <c r="S97" s="89">
        <f t="shared" si="16"/>
        <v>133.5</v>
      </c>
      <c r="T97" s="7">
        <v>133.5</v>
      </c>
      <c r="U97" s="98">
        <v>1.5</v>
      </c>
      <c r="V97" s="7">
        <f t="shared" si="11"/>
        <v>534</v>
      </c>
    </row>
    <row r="98" spans="2:22" x14ac:dyDescent="0.25">
      <c r="M98" s="8">
        <f t="shared" si="14"/>
        <v>134.5</v>
      </c>
      <c r="N98" s="1">
        <v>63</v>
      </c>
      <c r="O98" s="1">
        <f>VALUE(MID($T$2,FIND("*",SUBSTITUTE($T$2," ","*",N98),1)+1,FIND("*",SUBSTITUTE($T$2," ","*",N99),1)-FIND("*",SUBSTITUTE($T$2," ","*",N98),1)-1))/J9</f>
        <v>134.5</v>
      </c>
      <c r="P98" s="1">
        <f t="shared" si="15"/>
        <v>1</v>
      </c>
      <c r="R98" s="95">
        <v>63</v>
      </c>
      <c r="S98" s="89">
        <f t="shared" si="16"/>
        <v>134.5</v>
      </c>
      <c r="T98" s="7">
        <v>134.5</v>
      </c>
      <c r="U98" s="98">
        <v>1</v>
      </c>
      <c r="V98" s="7">
        <f t="shared" si="11"/>
        <v>538</v>
      </c>
    </row>
    <row r="99" spans="2:22" x14ac:dyDescent="0.25">
      <c r="B99" s="141" t="str">
        <f>_xlfn.CONCAT(V35," ",V36," ",V37," ",V38," ",V39," ",V40," ",V41," ",V42," ",V43," ",V44," ",V45," ",V46," ",V47," ",V48," ",V49," ",V50," ",V51," ",V52," ",V53," ",V54," ",V55," ",V56," ",V57," ",V58," ",V59," ",V60," ",V61," ",V62," ",V63," ",V64," ",V65," ",V66," ",V67," ",V68," ",V69," ",V70," ",V71," ",V72," ",V73," ",V74," ",V75," ",V76," ",V77," ",V78," ",V79," ",V80," ",V81," ",V82," ",V83," ",V84," ",V85," ",V86," ",V87," ",V88," ",V89," ",V90," ",V91," ",V92," ",V93," ",V94," ",V95," ",V96," ",V97," ",V98," ",V99," ",V100," ",V101," ",V102," ",V103," ",V104," ",V105," ",V106," ",V107," ",V108," ",V109," ",V110," ",V111," ",V112," ",V113," ",V114," ",V115," ",V116," ",V117," ",V118," ",V119," ",V120," ",V121," ",V122," ",V123," ",V124," ",V125," ",V126," ",V127," ",V128," ",V129," ",V130," ",V131," ",V132," ",V133," ",V134," ",V135," ",V136," ",V137," ",V138," ",V139," ",V140," ",V141," ",V142," ",V143," ",V144," ",V145," ",V146," ",V147," ",V148," ",V149," ",V150," ",V151," ",V152," ",V153," ",V154," ",V155," ",V156," ",V157," ",V158," ",V159," ",V160," ",V161)</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v>
      </c>
      <c r="C99" s="141"/>
      <c r="M99" s="8">
        <f t="shared" si="14"/>
        <v>135.5</v>
      </c>
      <c r="N99" s="1">
        <v>64</v>
      </c>
      <c r="O99" s="1">
        <f>VALUE(MID($T$2,FIND("*",SUBSTITUTE($T$2," ","*",N99),1)+1,FIND("*",SUBSTITUTE($T$2," ","*",N100),1)-FIND("*",SUBSTITUTE($T$2," ","*",N99),1)-1))/J9</f>
        <v>135.5</v>
      </c>
      <c r="P99" s="1">
        <f t="shared" si="15"/>
        <v>1</v>
      </c>
      <c r="R99" s="95">
        <v>64</v>
      </c>
      <c r="S99" s="89">
        <f t="shared" si="16"/>
        <v>135.5</v>
      </c>
      <c r="T99" s="7">
        <v>135.5</v>
      </c>
      <c r="U99" s="98">
        <v>1</v>
      </c>
      <c r="V99" s="7">
        <f t="shared" si="11"/>
        <v>542</v>
      </c>
    </row>
    <row r="100" spans="2:22" x14ac:dyDescent="0.25">
      <c r="B100" s="141"/>
      <c r="C100" s="141"/>
      <c r="M100" s="8">
        <f t="shared" ref="M100:M163" si="25">O100</f>
        <v>137</v>
      </c>
      <c r="N100" s="1">
        <v>65</v>
      </c>
      <c r="O100" s="1">
        <f>VALUE(MID($T$2,FIND("*",SUBSTITUTE($T$2," ","*",N100),1)+1,FIND("*",SUBSTITUTE($T$2," ","*",N101),1)-FIND("*",SUBSTITUTE($T$2," ","*",N100),1)-1))/J9</f>
        <v>137</v>
      </c>
      <c r="P100" s="1">
        <f t="shared" si="15"/>
        <v>1.5</v>
      </c>
      <c r="R100" s="95">
        <v>65</v>
      </c>
      <c r="S100" s="89">
        <f t="shared" si="16"/>
        <v>137</v>
      </c>
      <c r="T100" s="7">
        <v>137</v>
      </c>
      <c r="U100" s="98">
        <v>1.5</v>
      </c>
      <c r="V100" s="7">
        <f t="shared" ref="V100:V163" si="26">ROUND(S100*$J$9,0)</f>
        <v>548</v>
      </c>
    </row>
    <row r="101" spans="2:22" x14ac:dyDescent="0.25">
      <c r="B101" s="141"/>
      <c r="C101" s="141"/>
      <c r="M101" s="8">
        <f t="shared" si="25"/>
        <v>138</v>
      </c>
      <c r="N101" s="1">
        <v>66</v>
      </c>
      <c r="O101" s="1">
        <f>VALUE(MID($T$2,FIND("*",SUBSTITUTE($T$2," ","*",N101),1)+1,FIND("*",SUBSTITUTE($T$2," ","*",N102),1)-FIND("*",SUBSTITUTE($T$2," ","*",N101),1)-1))/J9</f>
        <v>138</v>
      </c>
      <c r="P101" s="1">
        <f t="shared" ref="P101:P164" si="27">O101-O100</f>
        <v>1</v>
      </c>
      <c r="R101" s="95">
        <v>66</v>
      </c>
      <c r="S101" s="89">
        <f t="shared" ref="S101:S164" si="28">S100+U101</f>
        <v>138</v>
      </c>
      <c r="T101" s="7">
        <v>138</v>
      </c>
      <c r="U101" s="98">
        <v>1</v>
      </c>
      <c r="V101" s="7">
        <f t="shared" si="26"/>
        <v>552</v>
      </c>
    </row>
    <row r="102" spans="2:22" x14ac:dyDescent="0.25">
      <c r="B102" s="141"/>
      <c r="C102" s="141"/>
      <c r="M102" s="8">
        <f t="shared" si="25"/>
        <v>139.5</v>
      </c>
      <c r="N102" s="1">
        <v>67</v>
      </c>
      <c r="O102" s="1">
        <f>VALUE(MID($T$2,FIND("*",SUBSTITUTE($T$2," ","*",N102),1)+1,FIND("*",SUBSTITUTE($T$2," ","*",N103),1)-FIND("*",SUBSTITUTE($T$2," ","*",N102),1)-1))/J9</f>
        <v>139.5</v>
      </c>
      <c r="P102" s="1">
        <f t="shared" si="27"/>
        <v>1.5</v>
      </c>
      <c r="R102" s="95">
        <v>67</v>
      </c>
      <c r="S102" s="89">
        <f t="shared" si="28"/>
        <v>139.5</v>
      </c>
      <c r="T102" s="7">
        <v>139.5</v>
      </c>
      <c r="U102" s="98">
        <v>1.5</v>
      </c>
      <c r="V102" s="7">
        <f t="shared" si="26"/>
        <v>558</v>
      </c>
    </row>
    <row r="103" spans="2:22" x14ac:dyDescent="0.25">
      <c r="B103" s="141" t="str">
        <f>_xlfn.CONCAT(V162," ",V163," ",V164," ",V165," ",V166," ",V167," ",V168," ",V169," ",V170," ",V171," ",V172," ",V173," ",V174," ",V175," ",V176," ",V177," ",V178," ",V179," ",V180," ",V181," ",V182," ",V183," ",V184," ",V185," ",V186," ",V187," ",V188," ",V189," ",V190," ",V191," ",V192," ",V193," ",V194," ",V195," ",V196," ",V197," ",V198," ",V199," ",V200," ",V201," ",V202," ",V203," ",V204," ",V205," ",V206," ",V207," ",V208," ",V209," ",V210," ",V211," ",V212," ",V213," ",V214," ",V215," ",V216," ",V217," ",V218," ",V219," ",V220," ",V221," ",V222," ",V223," ",V224," ",V225," ",V226," ",V227," ",V228," ",V229," ",V230," ",V231)</f>
        <v>768 771 773 776 779 781 784 787 789 792 795 797 800 803 805 808 811 813 816 819 821 823 825 827 829 831 833 836 839 841 844 846 848 851 853 855 857 859 861 864 866 868 870 872 874 876 878 880 882 884 886 888 890 892 894 896 898 900 903 905 907 909 911 913 915 916 918 920 922 923</v>
      </c>
      <c r="C103" s="141"/>
      <c r="M103" s="8">
        <f t="shared" si="25"/>
        <v>141</v>
      </c>
      <c r="N103" s="1">
        <v>68</v>
      </c>
      <c r="O103" s="1">
        <f>VALUE(MID($T$2,FIND("*",SUBSTITUTE($T$2," ","*",N103),1)+1,FIND("*",SUBSTITUTE($T$2," ","*",N104),1)-FIND("*",SUBSTITUTE($T$2," ","*",N103),1)-1))/J9</f>
        <v>141</v>
      </c>
      <c r="P103" s="1">
        <f t="shared" si="27"/>
        <v>1.5</v>
      </c>
      <c r="R103" s="95">
        <v>68</v>
      </c>
      <c r="S103" s="89">
        <f t="shared" si="28"/>
        <v>141</v>
      </c>
      <c r="T103" s="7">
        <v>141</v>
      </c>
      <c r="U103" s="98">
        <v>1.5</v>
      </c>
      <c r="V103" s="7">
        <f t="shared" si="26"/>
        <v>564</v>
      </c>
    </row>
    <row r="104" spans="2:22" x14ac:dyDescent="0.25">
      <c r="B104" s="141"/>
      <c r="C104" s="141"/>
      <c r="M104" s="8">
        <f t="shared" si="25"/>
        <v>142</v>
      </c>
      <c r="N104" s="1">
        <v>69</v>
      </c>
      <c r="O104" s="1">
        <f>VALUE(MID($T$2,FIND("*",SUBSTITUTE($T$2," ","*",N104),1)+1,FIND("*",SUBSTITUTE($T$2," ","*",N105),1)-FIND("*",SUBSTITUTE($T$2," ","*",N104),1)-1))/J9</f>
        <v>142</v>
      </c>
      <c r="P104" s="1">
        <f t="shared" si="27"/>
        <v>1</v>
      </c>
      <c r="R104" s="95">
        <v>69</v>
      </c>
      <c r="S104" s="89">
        <f t="shared" si="28"/>
        <v>142</v>
      </c>
      <c r="T104" s="7">
        <v>142</v>
      </c>
      <c r="U104" s="98">
        <v>1</v>
      </c>
      <c r="V104" s="7">
        <f t="shared" si="26"/>
        <v>568</v>
      </c>
    </row>
    <row r="105" spans="2:22" x14ac:dyDescent="0.25">
      <c r="B105" s="141"/>
      <c r="C105" s="141"/>
      <c r="M105" s="8">
        <f t="shared" si="25"/>
        <v>143</v>
      </c>
      <c r="N105" s="1">
        <v>70</v>
      </c>
      <c r="O105" s="1">
        <f>VALUE(MID($T$2,FIND("*",SUBSTITUTE($T$2," ","*",N105),1)+1,FIND("*",SUBSTITUTE($T$2," ","*",N106),1)-FIND("*",SUBSTITUTE($T$2," ","*",N105),1)-1))/J9</f>
        <v>143</v>
      </c>
      <c r="P105" s="1">
        <f t="shared" si="27"/>
        <v>1</v>
      </c>
      <c r="R105" s="95">
        <v>70</v>
      </c>
      <c r="S105" s="89">
        <f t="shared" si="28"/>
        <v>143</v>
      </c>
      <c r="T105" s="7">
        <v>143</v>
      </c>
      <c r="U105" s="98">
        <v>1</v>
      </c>
      <c r="V105" s="7">
        <f t="shared" si="26"/>
        <v>572</v>
      </c>
    </row>
    <row r="106" spans="2:22" x14ac:dyDescent="0.25">
      <c r="B106" s="141"/>
      <c r="C106" s="141"/>
      <c r="M106" s="8">
        <f t="shared" si="25"/>
        <v>144</v>
      </c>
      <c r="N106" s="1">
        <v>71</v>
      </c>
      <c r="O106" s="1">
        <f>VALUE(MID($T$2,FIND("*",SUBSTITUTE($T$2," ","*",N106),1)+1,FIND("*",SUBSTITUTE($T$2," ","*",N107),1)-FIND("*",SUBSTITUTE($T$2," ","*",N106),1)-1))/J9</f>
        <v>144</v>
      </c>
      <c r="P106" s="1">
        <f t="shared" si="27"/>
        <v>1</v>
      </c>
      <c r="R106" s="95">
        <v>71</v>
      </c>
      <c r="S106" s="89">
        <f t="shared" si="28"/>
        <v>144</v>
      </c>
      <c r="T106" s="7">
        <v>144</v>
      </c>
      <c r="U106" s="98">
        <v>1</v>
      </c>
      <c r="V106" s="7">
        <f t="shared" si="26"/>
        <v>576</v>
      </c>
    </row>
    <row r="107" spans="2:22" x14ac:dyDescent="0.25">
      <c r="B107" s="142" t="str">
        <f>_xlfn.CONCAT(V232," ",V233," ",V234," ",V235," ",V236," ",V237," ",V238," ",V239," ",V240," ",V241," ",V242," ",V243," ",V244," ",V245," ",V246," ",V247," ",V248," ",V249," ",V250," ",V251," ",V252," ",V253," ",V254," ",V255," ",V256," ",V257," ",V258," ",V259," ",V260," ",V261," ",V262," ",V263," ",V264," ",V265," ",V266," ",V267," ",V268," ",V269," ",V270," ",V271," ",V272," ",V273," ",V274," ",V275," ",V276," ",V277," ",V278," ",V279," ",V280," ",V281," ",V282," ",V283," ",V284," ",V285," ",V286," ",V287," ",V288," ",V289," ",V290," ",V291)</f>
        <v>925 927 929 931 932 934 935 937 939 941 943 945 947 948 950 952 954 955 957 959 961 963 964 966 967 969 971 972 974 975 976 978 980 982 983 985 987 988 990 992 994 995 997 999 1001 1003 1004 1005 1007 1008 1010 1011 1013 1015 1016 1017 1019 1020 1022 1023</v>
      </c>
      <c r="C107" s="143"/>
      <c r="M107" s="8">
        <f t="shared" si="25"/>
        <v>145</v>
      </c>
      <c r="N107" s="1">
        <v>72</v>
      </c>
      <c r="O107" s="1">
        <f>VALUE(MID($T$2,FIND("*",SUBSTITUTE($T$2," ","*",N107),1)+1,FIND("*",SUBSTITUTE($T$2," ","*",N108),1)-FIND("*",SUBSTITUTE($T$2," ","*",N107),1)-1))/J9</f>
        <v>145</v>
      </c>
      <c r="P107" s="1">
        <f t="shared" si="27"/>
        <v>1</v>
      </c>
      <c r="R107" s="95">
        <v>72</v>
      </c>
      <c r="S107" s="89">
        <f t="shared" si="28"/>
        <v>145</v>
      </c>
      <c r="T107" s="7">
        <v>145</v>
      </c>
      <c r="U107" s="98">
        <v>1</v>
      </c>
      <c r="V107" s="7">
        <f t="shared" si="26"/>
        <v>580</v>
      </c>
    </row>
    <row r="108" spans="2:22" x14ac:dyDescent="0.25">
      <c r="B108" s="144"/>
      <c r="C108" s="145"/>
      <c r="M108" s="8">
        <f t="shared" si="25"/>
        <v>146</v>
      </c>
      <c r="N108" s="1">
        <v>73</v>
      </c>
      <c r="O108" s="1">
        <f>VALUE(MID($T$2,FIND("*",SUBSTITUTE($T$2," ","*",N108),1)+1,FIND("*",SUBSTITUTE($T$2," ","*",N109),1)-FIND("*",SUBSTITUTE($T$2," ","*",N108),1)-1))/J9</f>
        <v>146</v>
      </c>
      <c r="P108" s="1">
        <f t="shared" si="27"/>
        <v>1</v>
      </c>
      <c r="R108" s="95">
        <v>73</v>
      </c>
      <c r="S108" s="89">
        <f t="shared" si="28"/>
        <v>146</v>
      </c>
      <c r="T108" s="7">
        <v>146</v>
      </c>
      <c r="U108" s="98">
        <v>1</v>
      </c>
      <c r="V108" s="7">
        <f t="shared" si="26"/>
        <v>584</v>
      </c>
    </row>
    <row r="109" spans="2:22" x14ac:dyDescent="0.25">
      <c r="B109" s="144"/>
      <c r="C109" s="145"/>
      <c r="M109" s="8">
        <f t="shared" si="25"/>
        <v>147</v>
      </c>
      <c r="N109" s="1">
        <v>74</v>
      </c>
      <c r="O109" s="1">
        <f>VALUE(MID($T$2,FIND("*",SUBSTITUTE($T$2," ","*",N109),1)+1,FIND("*",SUBSTITUTE($T$2," ","*",N110),1)-FIND("*",SUBSTITUTE($T$2," ","*",N109),1)-1))/J9</f>
        <v>147</v>
      </c>
      <c r="P109" s="1">
        <f t="shared" si="27"/>
        <v>1</v>
      </c>
      <c r="R109" s="95">
        <v>74</v>
      </c>
      <c r="S109" s="89">
        <f t="shared" si="28"/>
        <v>147</v>
      </c>
      <c r="T109" s="7">
        <v>147</v>
      </c>
      <c r="U109" s="98">
        <v>1</v>
      </c>
      <c r="V109" s="7">
        <f t="shared" si="26"/>
        <v>588</v>
      </c>
    </row>
    <row r="110" spans="2:22" x14ac:dyDescent="0.25">
      <c r="B110" s="146"/>
      <c r="C110" s="147"/>
      <c r="M110" s="8">
        <f t="shared" si="25"/>
        <v>148</v>
      </c>
      <c r="N110" s="1">
        <v>75</v>
      </c>
      <c r="O110" s="1">
        <f>VALUE(MID($T$2,FIND("*",SUBSTITUTE($T$2," ","*",N110),1)+1,FIND("*",SUBSTITUTE($T$2," ","*",N111),1)-FIND("*",SUBSTITUTE($T$2," ","*",N110),1)-1))/J9</f>
        <v>148</v>
      </c>
      <c r="P110" s="1">
        <f t="shared" si="27"/>
        <v>1</v>
      </c>
      <c r="R110" s="95">
        <v>75</v>
      </c>
      <c r="S110" s="89">
        <f t="shared" si="28"/>
        <v>148</v>
      </c>
      <c r="T110" s="7">
        <v>148</v>
      </c>
      <c r="U110" s="98">
        <v>1</v>
      </c>
      <c r="V110" s="7">
        <f t="shared" si="26"/>
        <v>592</v>
      </c>
    </row>
    <row r="111" spans="2:22" x14ac:dyDescent="0.25">
      <c r="M111" s="8">
        <f t="shared" si="25"/>
        <v>149.5</v>
      </c>
      <c r="N111" s="1">
        <v>76</v>
      </c>
      <c r="O111" s="1">
        <f>VALUE(MID($T$2,FIND("*",SUBSTITUTE($T$2," ","*",N111),1)+1,FIND("*",SUBSTITUTE($T$2," ","*",N112),1)-FIND("*",SUBSTITUTE($T$2," ","*",N111),1)-1))/J9</f>
        <v>149.5</v>
      </c>
      <c r="P111" s="1">
        <f t="shared" si="27"/>
        <v>1.5</v>
      </c>
      <c r="R111" s="95">
        <v>76</v>
      </c>
      <c r="S111" s="89">
        <f t="shared" si="28"/>
        <v>149.5</v>
      </c>
      <c r="T111" s="7">
        <v>149.5</v>
      </c>
      <c r="U111" s="98">
        <v>1.5</v>
      </c>
      <c r="V111" s="7">
        <f t="shared" si="26"/>
        <v>598</v>
      </c>
    </row>
    <row r="112" spans="2:22" x14ac:dyDescent="0.25">
      <c r="C112" s="9"/>
      <c r="D112" s="9"/>
      <c r="E112" s="9"/>
      <c r="F112" s="9"/>
      <c r="G112" s="9"/>
      <c r="H112" s="9"/>
      <c r="I112" s="9"/>
      <c r="J112" s="9"/>
      <c r="K112" s="9"/>
      <c r="M112" s="8">
        <f t="shared" si="25"/>
        <v>150.5</v>
      </c>
      <c r="N112" s="1">
        <v>77</v>
      </c>
      <c r="O112" s="1">
        <f>VALUE(MID($T$2,FIND("*",SUBSTITUTE($T$2," ","*",N112),1)+1,FIND("*",SUBSTITUTE($T$2," ","*",N113),1)-FIND("*",SUBSTITUTE($T$2," ","*",N112),1)-1))/J9</f>
        <v>150.5</v>
      </c>
      <c r="P112" s="1">
        <f t="shared" si="27"/>
        <v>1</v>
      </c>
      <c r="R112" s="95">
        <v>77</v>
      </c>
      <c r="S112" s="89">
        <f t="shared" si="28"/>
        <v>150.5</v>
      </c>
      <c r="T112" s="7">
        <v>150.5</v>
      </c>
      <c r="U112" s="98">
        <v>1</v>
      </c>
      <c r="V112" s="7">
        <f t="shared" si="26"/>
        <v>602</v>
      </c>
    </row>
    <row r="113" spans="3:22" x14ac:dyDescent="0.25">
      <c r="C113" s="9"/>
      <c r="D113" s="9"/>
      <c r="E113" s="9"/>
      <c r="F113" s="9"/>
      <c r="G113" s="9"/>
      <c r="H113" s="9"/>
      <c r="I113" s="9"/>
      <c r="J113" s="9"/>
      <c r="K113" s="9"/>
      <c r="M113" s="8">
        <f t="shared" si="25"/>
        <v>151.5</v>
      </c>
      <c r="N113" s="1">
        <v>78</v>
      </c>
      <c r="O113" s="1">
        <f>VALUE(MID($T$2,FIND("*",SUBSTITUTE($T$2," ","*",N113),1)+1,FIND("*",SUBSTITUTE($T$2," ","*",N114),1)-FIND("*",SUBSTITUTE($T$2," ","*",N113),1)-1))/J9</f>
        <v>151.5</v>
      </c>
      <c r="P113" s="1">
        <f t="shared" si="27"/>
        <v>1</v>
      </c>
      <c r="R113" s="95">
        <v>78</v>
      </c>
      <c r="S113" s="89">
        <f t="shared" si="28"/>
        <v>151.5</v>
      </c>
      <c r="T113" s="7">
        <v>151.5</v>
      </c>
      <c r="U113" s="98">
        <v>1</v>
      </c>
      <c r="V113" s="7">
        <f t="shared" si="26"/>
        <v>606</v>
      </c>
    </row>
    <row r="114" spans="3:22" x14ac:dyDescent="0.25">
      <c r="C114" s="9"/>
      <c r="D114" s="9"/>
      <c r="E114" s="9"/>
      <c r="F114" s="9"/>
      <c r="G114" s="9"/>
      <c r="H114" s="9"/>
      <c r="I114" s="9"/>
      <c r="J114" s="9"/>
      <c r="K114" s="9"/>
      <c r="M114" s="8">
        <f t="shared" si="25"/>
        <v>152.5</v>
      </c>
      <c r="N114" s="1">
        <v>79</v>
      </c>
      <c r="O114" s="1">
        <f>VALUE(MID($T$2,FIND("*",SUBSTITUTE($T$2," ","*",N114),1)+1,FIND("*",SUBSTITUTE($T$2," ","*",N115),1)-FIND("*",SUBSTITUTE($T$2," ","*",N114),1)-1))/J9</f>
        <v>152.5</v>
      </c>
      <c r="P114" s="1">
        <f t="shared" si="27"/>
        <v>1</v>
      </c>
      <c r="R114" s="95">
        <v>79</v>
      </c>
      <c r="S114" s="89">
        <f t="shared" si="28"/>
        <v>152.5</v>
      </c>
      <c r="T114" s="7">
        <v>152.5</v>
      </c>
      <c r="U114" s="98">
        <v>1</v>
      </c>
      <c r="V114" s="7">
        <f t="shared" si="26"/>
        <v>610</v>
      </c>
    </row>
    <row r="115" spans="3:22" x14ac:dyDescent="0.25">
      <c r="C115" s="9"/>
      <c r="D115" s="9"/>
      <c r="E115" s="9"/>
      <c r="F115" s="9"/>
      <c r="G115" s="9"/>
      <c r="H115" s="9"/>
      <c r="I115" s="9"/>
      <c r="J115" s="9"/>
      <c r="K115" s="9"/>
      <c r="M115" s="8">
        <f t="shared" si="25"/>
        <v>153.5</v>
      </c>
      <c r="N115" s="1">
        <v>80</v>
      </c>
      <c r="O115" s="1">
        <f>VALUE(MID($T$2,FIND("*",SUBSTITUTE($T$2," ","*",N115),1)+1,FIND("*",SUBSTITUTE($T$2," ","*",N116),1)-FIND("*",SUBSTITUTE($T$2," ","*",N115),1)-1))/J9</f>
        <v>153.5</v>
      </c>
      <c r="P115" s="1">
        <f t="shared" si="27"/>
        <v>1</v>
      </c>
      <c r="R115" s="95">
        <v>80</v>
      </c>
      <c r="S115" s="89">
        <f t="shared" si="28"/>
        <v>153.5</v>
      </c>
      <c r="T115" s="7">
        <v>153.5</v>
      </c>
      <c r="U115" s="98">
        <v>1</v>
      </c>
      <c r="V115" s="7">
        <f t="shared" si="26"/>
        <v>614</v>
      </c>
    </row>
    <row r="116" spans="3:22" x14ac:dyDescent="0.25">
      <c r="C116" s="9"/>
      <c r="D116" s="9"/>
      <c r="E116" s="9"/>
      <c r="F116" s="9"/>
      <c r="G116" s="9"/>
      <c r="H116" s="9"/>
      <c r="I116" s="9"/>
      <c r="J116" s="9"/>
      <c r="K116" s="9"/>
      <c r="M116" s="8">
        <f t="shared" si="25"/>
        <v>154.5</v>
      </c>
      <c r="N116" s="1">
        <v>81</v>
      </c>
      <c r="O116" s="1">
        <f>VALUE(MID($T$2,FIND("*",SUBSTITUTE($T$2," ","*",N116),1)+1,FIND("*",SUBSTITUTE($T$2," ","*",N117),1)-FIND("*",SUBSTITUTE($T$2," ","*",N116),1)-1))/J9</f>
        <v>154.5</v>
      </c>
      <c r="P116" s="1">
        <f t="shared" si="27"/>
        <v>1</v>
      </c>
      <c r="R116" s="95">
        <v>81</v>
      </c>
      <c r="S116" s="89">
        <f t="shared" si="28"/>
        <v>154.5</v>
      </c>
      <c r="T116" s="7">
        <v>154.5</v>
      </c>
      <c r="U116" s="98">
        <v>1</v>
      </c>
      <c r="V116" s="7">
        <f t="shared" si="26"/>
        <v>618</v>
      </c>
    </row>
    <row r="117" spans="3:22" x14ac:dyDescent="0.25">
      <c r="C117" s="9"/>
      <c r="D117" s="9"/>
      <c r="E117" s="9"/>
      <c r="F117" s="9"/>
      <c r="G117" s="9"/>
      <c r="H117" s="9"/>
      <c r="I117" s="9"/>
      <c r="J117" s="9"/>
      <c r="K117" s="9"/>
      <c r="M117" s="8">
        <f t="shared" si="25"/>
        <v>155.5</v>
      </c>
      <c r="N117" s="1">
        <v>82</v>
      </c>
      <c r="O117" s="1">
        <f>VALUE(MID($T$2,FIND("*",SUBSTITUTE($T$2," ","*",N117),1)+1,FIND("*",SUBSTITUTE($T$2," ","*",N118),1)-FIND("*",SUBSTITUTE($T$2," ","*",N117),1)-1))/J9</f>
        <v>155.5</v>
      </c>
      <c r="P117" s="1">
        <f t="shared" si="27"/>
        <v>1</v>
      </c>
      <c r="R117" s="95">
        <v>82</v>
      </c>
      <c r="S117" s="89">
        <f t="shared" si="28"/>
        <v>155.5</v>
      </c>
      <c r="T117" s="7">
        <v>155.5</v>
      </c>
      <c r="U117" s="98">
        <v>1</v>
      </c>
      <c r="V117" s="7">
        <f t="shared" si="26"/>
        <v>622</v>
      </c>
    </row>
    <row r="118" spans="3:22" x14ac:dyDescent="0.25">
      <c r="C118" s="9"/>
      <c r="D118" s="9"/>
      <c r="E118" s="9"/>
      <c r="F118" s="9"/>
      <c r="G118" s="9"/>
      <c r="H118" s="9"/>
      <c r="I118" s="9"/>
      <c r="J118" s="9"/>
      <c r="K118" s="9"/>
      <c r="M118" s="8">
        <f t="shared" si="25"/>
        <v>156.5</v>
      </c>
      <c r="N118" s="1">
        <v>83</v>
      </c>
      <c r="O118" s="1">
        <f>VALUE(MID($T$2,FIND("*",SUBSTITUTE($T$2," ","*",N118),1)+1,FIND("*",SUBSTITUTE($T$2," ","*",N119),1)-FIND("*",SUBSTITUTE($T$2," ","*",N118),1)-1))/J9</f>
        <v>156.5</v>
      </c>
      <c r="P118" s="1">
        <f t="shared" si="27"/>
        <v>1</v>
      </c>
      <c r="R118" s="95">
        <v>83</v>
      </c>
      <c r="S118" s="89">
        <f t="shared" si="28"/>
        <v>156.5</v>
      </c>
      <c r="T118" s="7">
        <v>156.5</v>
      </c>
      <c r="U118" s="98">
        <v>1</v>
      </c>
      <c r="V118" s="7">
        <f t="shared" si="26"/>
        <v>626</v>
      </c>
    </row>
    <row r="119" spans="3:22" x14ac:dyDescent="0.25">
      <c r="D119" s="2"/>
      <c r="M119" s="8">
        <f t="shared" si="25"/>
        <v>157.5</v>
      </c>
      <c r="N119" s="1">
        <v>84</v>
      </c>
      <c r="O119" s="1">
        <f>VALUE(MID($T$2,FIND("*",SUBSTITUTE($T$2," ","*",N119),1)+1,FIND("*",SUBSTITUTE($T$2," ","*",N120),1)-FIND("*",SUBSTITUTE($T$2," ","*",N119),1)-1))/J9</f>
        <v>157.5</v>
      </c>
      <c r="P119" s="1">
        <f t="shared" si="27"/>
        <v>1</v>
      </c>
      <c r="R119" s="95">
        <v>84</v>
      </c>
      <c r="S119" s="89">
        <f t="shared" si="28"/>
        <v>157.5</v>
      </c>
      <c r="T119" s="7">
        <v>157.5</v>
      </c>
      <c r="U119" s="98">
        <v>1</v>
      </c>
      <c r="V119" s="7">
        <f t="shared" si="26"/>
        <v>630</v>
      </c>
    </row>
    <row r="120" spans="3:22" x14ac:dyDescent="0.25">
      <c r="D120" s="2"/>
      <c r="M120" s="8">
        <f t="shared" si="25"/>
        <v>158</v>
      </c>
      <c r="N120" s="1">
        <v>85</v>
      </c>
      <c r="O120" s="1">
        <f>VALUE(MID($T$2,FIND("*",SUBSTITUTE($T$2," ","*",N120),1)+1,FIND("*",SUBSTITUTE($T$2," ","*",N121),1)-FIND("*",SUBSTITUTE($T$2," ","*",N120),1)-1))/J9</f>
        <v>158</v>
      </c>
      <c r="P120" s="1">
        <f t="shared" si="27"/>
        <v>0.5</v>
      </c>
      <c r="R120" s="95">
        <v>85</v>
      </c>
      <c r="S120" s="89">
        <f t="shared" si="28"/>
        <v>158</v>
      </c>
      <c r="T120" s="7">
        <v>158</v>
      </c>
      <c r="U120" s="98">
        <v>0.5</v>
      </c>
      <c r="V120" s="7">
        <f t="shared" si="26"/>
        <v>632</v>
      </c>
    </row>
    <row r="121" spans="3:22" x14ac:dyDescent="0.25">
      <c r="D121" s="2"/>
      <c r="M121" s="8">
        <f t="shared" si="25"/>
        <v>159</v>
      </c>
      <c r="N121" s="1">
        <v>86</v>
      </c>
      <c r="O121" s="1">
        <f>VALUE(MID($T$2,FIND("*",SUBSTITUTE($T$2," ","*",N121),1)+1,FIND("*",SUBSTITUTE($T$2," ","*",N122),1)-FIND("*",SUBSTITUTE($T$2," ","*",N121),1)-1))/J9</f>
        <v>159</v>
      </c>
      <c r="P121" s="1">
        <f t="shared" si="27"/>
        <v>1</v>
      </c>
      <c r="R121" s="95">
        <v>86</v>
      </c>
      <c r="S121" s="89">
        <f t="shared" si="28"/>
        <v>159</v>
      </c>
      <c r="T121" s="7">
        <v>159</v>
      </c>
      <c r="U121" s="98">
        <v>1</v>
      </c>
      <c r="V121" s="7">
        <f t="shared" si="26"/>
        <v>636</v>
      </c>
    </row>
    <row r="122" spans="3:22" x14ac:dyDescent="0.25">
      <c r="D122" s="2"/>
      <c r="M122" s="8">
        <f t="shared" si="25"/>
        <v>160</v>
      </c>
      <c r="N122" s="1">
        <v>87</v>
      </c>
      <c r="O122" s="1">
        <f>VALUE(MID($T$2,FIND("*",SUBSTITUTE($T$2," ","*",N122),1)+1,FIND("*",SUBSTITUTE($T$2," ","*",N123),1)-FIND("*",SUBSTITUTE($T$2," ","*",N122),1)-1))/J9</f>
        <v>160</v>
      </c>
      <c r="P122" s="1">
        <f t="shared" si="27"/>
        <v>1</v>
      </c>
      <c r="R122" s="95">
        <v>87</v>
      </c>
      <c r="S122" s="89">
        <f t="shared" si="28"/>
        <v>160</v>
      </c>
      <c r="T122" s="7">
        <v>160</v>
      </c>
      <c r="U122" s="98">
        <v>1</v>
      </c>
      <c r="V122" s="7">
        <f t="shared" si="26"/>
        <v>640</v>
      </c>
    </row>
    <row r="123" spans="3:22" x14ac:dyDescent="0.25">
      <c r="D123" s="2"/>
      <c r="M123" s="8">
        <f t="shared" si="25"/>
        <v>161.25</v>
      </c>
      <c r="N123" s="1">
        <v>88</v>
      </c>
      <c r="O123" s="1">
        <f>VALUE(MID($T$2,FIND("*",SUBSTITUTE($T$2," ","*",N123),1)+1,FIND("*",SUBSTITUTE($T$2," ","*",N124),1)-FIND("*",SUBSTITUTE($T$2," ","*",N123),1)-1))/J9</f>
        <v>161.25</v>
      </c>
      <c r="P123" s="1">
        <f t="shared" si="27"/>
        <v>1.25</v>
      </c>
      <c r="R123" s="95">
        <v>88</v>
      </c>
      <c r="S123" s="89">
        <f t="shared" si="28"/>
        <v>161.25</v>
      </c>
      <c r="T123" s="7">
        <v>161.25</v>
      </c>
      <c r="U123" s="98">
        <v>1.25</v>
      </c>
      <c r="V123" s="7">
        <f t="shared" si="26"/>
        <v>645</v>
      </c>
    </row>
    <row r="124" spans="3:22" x14ac:dyDescent="0.25">
      <c r="D124" s="2"/>
      <c r="M124" s="8">
        <f t="shared" si="25"/>
        <v>162.25</v>
      </c>
      <c r="N124" s="1">
        <v>89</v>
      </c>
      <c r="O124" s="1">
        <f>VALUE(MID($T$2,FIND("*",SUBSTITUTE($T$2," ","*",N124),1)+1,FIND("*",SUBSTITUTE($T$2," ","*",N125),1)-FIND("*",SUBSTITUTE($T$2," ","*",N124),1)-1))/J9</f>
        <v>162.25</v>
      </c>
      <c r="P124" s="1">
        <f t="shared" si="27"/>
        <v>1</v>
      </c>
      <c r="R124" s="95">
        <v>89</v>
      </c>
      <c r="S124" s="89">
        <f t="shared" si="28"/>
        <v>162.25</v>
      </c>
      <c r="T124" s="7">
        <v>162.25</v>
      </c>
      <c r="U124" s="98">
        <v>1</v>
      </c>
      <c r="V124" s="7">
        <f t="shared" si="26"/>
        <v>649</v>
      </c>
    </row>
    <row r="125" spans="3:22" x14ac:dyDescent="0.25">
      <c r="M125" s="8">
        <f t="shared" si="25"/>
        <v>163.25</v>
      </c>
      <c r="N125" s="1">
        <v>90</v>
      </c>
      <c r="O125" s="1">
        <f>VALUE(MID($T$2,FIND("*",SUBSTITUTE($T$2," ","*",N125),1)+1,FIND("*",SUBSTITUTE($T$2," ","*",N126),1)-FIND("*",SUBSTITUTE($T$2," ","*",N125),1)-1))/J9</f>
        <v>163.25</v>
      </c>
      <c r="P125" s="1">
        <f t="shared" si="27"/>
        <v>1</v>
      </c>
      <c r="R125" s="95">
        <v>90</v>
      </c>
      <c r="S125" s="89">
        <f t="shared" si="28"/>
        <v>163.25</v>
      </c>
      <c r="T125" s="7">
        <v>163.25</v>
      </c>
      <c r="U125" s="98">
        <v>1</v>
      </c>
      <c r="V125" s="7">
        <f t="shared" si="26"/>
        <v>653</v>
      </c>
    </row>
    <row r="126" spans="3:22" x14ac:dyDescent="0.25">
      <c r="M126" s="8">
        <f t="shared" si="25"/>
        <v>164.25</v>
      </c>
      <c r="N126" s="1">
        <v>91</v>
      </c>
      <c r="O126" s="1">
        <f>VALUE(MID($T$2,FIND("*",SUBSTITUTE($T$2," ","*",N126),1)+1,FIND("*",SUBSTITUTE($T$2," ","*",N127),1)-FIND("*",SUBSTITUTE($T$2," ","*",N126),1)-1))/J9</f>
        <v>164.25</v>
      </c>
      <c r="P126" s="1">
        <f t="shared" si="27"/>
        <v>1</v>
      </c>
      <c r="R126" s="95">
        <v>91</v>
      </c>
      <c r="S126" s="89">
        <f t="shared" si="28"/>
        <v>164.25</v>
      </c>
      <c r="T126" s="7">
        <v>164.25</v>
      </c>
      <c r="U126" s="98">
        <v>1</v>
      </c>
      <c r="V126" s="7">
        <f t="shared" si="26"/>
        <v>657</v>
      </c>
    </row>
    <row r="127" spans="3:22" x14ac:dyDescent="0.25">
      <c r="M127" s="8">
        <f t="shared" si="25"/>
        <v>165.25</v>
      </c>
      <c r="N127" s="1">
        <v>92</v>
      </c>
      <c r="O127" s="1">
        <f>VALUE(MID($T$2,FIND("*",SUBSTITUTE($T$2," ","*",N127),1)+1,FIND("*",SUBSTITUTE($T$2," ","*",N128),1)-FIND("*",SUBSTITUTE($T$2," ","*",N127),1)-1))/J9</f>
        <v>165.25</v>
      </c>
      <c r="P127" s="1">
        <f t="shared" si="27"/>
        <v>1</v>
      </c>
      <c r="R127" s="95">
        <v>92</v>
      </c>
      <c r="S127" s="89">
        <f t="shared" si="28"/>
        <v>165.25</v>
      </c>
      <c r="T127" s="7">
        <v>165.25</v>
      </c>
      <c r="U127" s="98">
        <v>1</v>
      </c>
      <c r="V127" s="7">
        <f t="shared" si="26"/>
        <v>661</v>
      </c>
    </row>
    <row r="128" spans="3:22" x14ac:dyDescent="0.25">
      <c r="M128" s="8">
        <f t="shared" si="25"/>
        <v>166.25</v>
      </c>
      <c r="N128" s="1">
        <v>93</v>
      </c>
      <c r="O128" s="1">
        <f>VALUE(MID($T$2,FIND("*",SUBSTITUTE($T$2," ","*",N128),1)+1,FIND("*",SUBSTITUTE($T$2," ","*",N129),1)-FIND("*",SUBSTITUTE($T$2," ","*",N128),1)-1))/J9</f>
        <v>166.25</v>
      </c>
      <c r="P128" s="1">
        <f t="shared" si="27"/>
        <v>1</v>
      </c>
      <c r="R128" s="95">
        <v>93</v>
      </c>
      <c r="S128" s="89">
        <f t="shared" si="28"/>
        <v>166.25</v>
      </c>
      <c r="T128" s="7">
        <v>166.25</v>
      </c>
      <c r="U128" s="98">
        <v>1</v>
      </c>
      <c r="V128" s="7">
        <f t="shared" si="26"/>
        <v>665</v>
      </c>
    </row>
    <row r="129" spans="13:22" x14ac:dyDescent="0.25">
      <c r="M129" s="8">
        <f t="shared" si="25"/>
        <v>167.25</v>
      </c>
      <c r="N129" s="1">
        <v>94</v>
      </c>
      <c r="O129" s="1">
        <f>VALUE(MID($T$2,FIND("*",SUBSTITUTE($T$2," ","*",N129),1)+1,FIND("*",SUBSTITUTE($T$2," ","*",N130),1)-FIND("*",SUBSTITUTE($T$2," ","*",N129),1)-1))/J9</f>
        <v>167.25</v>
      </c>
      <c r="P129" s="1">
        <f t="shared" si="27"/>
        <v>1</v>
      </c>
      <c r="R129" s="95">
        <v>94</v>
      </c>
      <c r="S129" s="89">
        <f t="shared" si="28"/>
        <v>167.25</v>
      </c>
      <c r="T129" s="7">
        <v>167.25</v>
      </c>
      <c r="U129" s="98">
        <v>1</v>
      </c>
      <c r="V129" s="7">
        <f t="shared" si="26"/>
        <v>669</v>
      </c>
    </row>
    <row r="130" spans="13:22" x14ac:dyDescent="0.25">
      <c r="M130" s="8">
        <f t="shared" si="25"/>
        <v>168</v>
      </c>
      <c r="N130" s="1">
        <v>95</v>
      </c>
      <c r="O130" s="1">
        <f>VALUE(MID($T$2,FIND("*",SUBSTITUTE($T$2," ","*",N130),1)+1,FIND("*",SUBSTITUTE($T$2," ","*",N131),1)-FIND("*",SUBSTITUTE($T$2," ","*",N130),1)-1))/J9</f>
        <v>168</v>
      </c>
      <c r="P130" s="1">
        <f t="shared" si="27"/>
        <v>0.75</v>
      </c>
      <c r="R130" s="95">
        <v>95</v>
      </c>
      <c r="S130" s="89">
        <f t="shared" si="28"/>
        <v>168</v>
      </c>
      <c r="T130" s="7">
        <v>168</v>
      </c>
      <c r="U130" s="98">
        <v>0.75</v>
      </c>
      <c r="V130" s="7">
        <f t="shared" si="26"/>
        <v>672</v>
      </c>
    </row>
    <row r="131" spans="13:22" x14ac:dyDescent="0.25">
      <c r="M131" s="8">
        <f t="shared" si="25"/>
        <v>168.75</v>
      </c>
      <c r="N131" s="1">
        <v>96</v>
      </c>
      <c r="O131" s="1">
        <f>VALUE(MID($T$2,FIND("*",SUBSTITUTE($T$2," ","*",N131),1)+1,FIND("*",SUBSTITUTE($T$2," ","*",N132),1)-FIND("*",SUBSTITUTE($T$2," ","*",N131),1)-1))/J9</f>
        <v>168.75</v>
      </c>
      <c r="P131" s="1">
        <f t="shared" si="27"/>
        <v>0.75</v>
      </c>
      <c r="R131" s="95">
        <v>96</v>
      </c>
      <c r="S131" s="89">
        <f t="shared" si="28"/>
        <v>168.75</v>
      </c>
      <c r="T131" s="7">
        <v>168.75</v>
      </c>
      <c r="U131" s="98">
        <v>0.75</v>
      </c>
      <c r="V131" s="7">
        <f t="shared" si="26"/>
        <v>675</v>
      </c>
    </row>
    <row r="132" spans="13:22" x14ac:dyDescent="0.25">
      <c r="M132" s="8">
        <f t="shared" si="25"/>
        <v>169.75</v>
      </c>
      <c r="N132" s="1">
        <v>97</v>
      </c>
      <c r="O132" s="1">
        <f>VALUE(MID($T$2,FIND("*",SUBSTITUTE($T$2," ","*",N132),1)+1,FIND("*",SUBSTITUTE($T$2," ","*",N133),1)-FIND("*",SUBSTITUTE($T$2," ","*",N132),1)-1))/J9</f>
        <v>169.75</v>
      </c>
      <c r="P132" s="1">
        <f t="shared" si="27"/>
        <v>1</v>
      </c>
      <c r="R132" s="95">
        <v>97</v>
      </c>
      <c r="S132" s="89">
        <f t="shared" si="28"/>
        <v>169.75</v>
      </c>
      <c r="T132" s="7">
        <v>169.75</v>
      </c>
      <c r="U132" s="98">
        <v>1</v>
      </c>
      <c r="V132" s="7">
        <f t="shared" si="26"/>
        <v>679</v>
      </c>
    </row>
    <row r="133" spans="13:22" x14ac:dyDescent="0.25">
      <c r="M133" s="8">
        <f t="shared" si="25"/>
        <v>170.25</v>
      </c>
      <c r="N133" s="1">
        <v>98</v>
      </c>
      <c r="O133" s="1">
        <f>VALUE(MID($T$2,FIND("*",SUBSTITUTE($T$2," ","*",N133),1)+1,FIND("*",SUBSTITUTE($T$2," ","*",N134),1)-FIND("*",SUBSTITUTE($T$2," ","*",N133),1)-1))/J9</f>
        <v>170.25</v>
      </c>
      <c r="P133" s="1">
        <f t="shared" si="27"/>
        <v>0.5</v>
      </c>
      <c r="R133" s="95">
        <v>98</v>
      </c>
      <c r="S133" s="89">
        <f t="shared" si="28"/>
        <v>170.25</v>
      </c>
      <c r="T133" s="7">
        <v>170.25</v>
      </c>
      <c r="U133" s="98">
        <v>0.5</v>
      </c>
      <c r="V133" s="7">
        <f t="shared" si="26"/>
        <v>681</v>
      </c>
    </row>
    <row r="134" spans="13:22" x14ac:dyDescent="0.25">
      <c r="M134" s="8">
        <f t="shared" si="25"/>
        <v>171.25</v>
      </c>
      <c r="N134" s="1">
        <v>99</v>
      </c>
      <c r="O134" s="1">
        <f>VALUE(MID($T$2,FIND("*",SUBSTITUTE($T$2," ","*",N134),1)+1,FIND("*",SUBSTITUTE($T$2," ","*",N135),1)-FIND("*",SUBSTITUTE($T$2," ","*",N134),1)-1))/J9</f>
        <v>171.25</v>
      </c>
      <c r="P134" s="1">
        <f t="shared" si="27"/>
        <v>1</v>
      </c>
      <c r="R134" s="95">
        <v>99</v>
      </c>
      <c r="S134" s="89">
        <f t="shared" si="28"/>
        <v>171.25</v>
      </c>
      <c r="T134" s="7">
        <v>171.25</v>
      </c>
      <c r="U134" s="98">
        <v>1</v>
      </c>
      <c r="V134" s="7">
        <f t="shared" si="26"/>
        <v>685</v>
      </c>
    </row>
    <row r="135" spans="13:22" x14ac:dyDescent="0.25">
      <c r="M135" s="8">
        <f t="shared" si="25"/>
        <v>172</v>
      </c>
      <c r="N135" s="1">
        <v>100</v>
      </c>
      <c r="O135" s="1">
        <f>VALUE(MID($T$2,FIND("*",SUBSTITUTE($T$2," ","*",N135),1)+1,FIND("*",SUBSTITUTE($T$2," ","*",N136),1)-FIND("*",SUBSTITUTE($T$2," ","*",N135),1)-1))/J9</f>
        <v>172</v>
      </c>
      <c r="P135" s="1">
        <f t="shared" si="27"/>
        <v>0.75</v>
      </c>
      <c r="R135" s="95">
        <v>100</v>
      </c>
      <c r="S135" s="89">
        <f t="shared" si="28"/>
        <v>172</v>
      </c>
      <c r="T135" s="7">
        <v>172</v>
      </c>
      <c r="U135" s="98">
        <v>0.75</v>
      </c>
      <c r="V135" s="7">
        <f t="shared" si="26"/>
        <v>688</v>
      </c>
    </row>
    <row r="136" spans="13:22" x14ac:dyDescent="0.25">
      <c r="M136" s="8">
        <f t="shared" si="25"/>
        <v>172.75</v>
      </c>
      <c r="N136" s="1">
        <v>101</v>
      </c>
      <c r="O136" s="1">
        <f>VALUE(MID($T$2,FIND("*",SUBSTITUTE($T$2," ","*",N136),1)+1,FIND("*",SUBSTITUTE($T$2," ","*",N137),1)-FIND("*",SUBSTITUTE($T$2," ","*",N136),1)-1))/J9</f>
        <v>172.75</v>
      </c>
      <c r="P136" s="1">
        <f t="shared" si="27"/>
        <v>0.75</v>
      </c>
      <c r="R136" s="95">
        <v>101</v>
      </c>
      <c r="S136" s="89">
        <f t="shared" si="28"/>
        <v>172.75</v>
      </c>
      <c r="T136" s="7">
        <v>172.75</v>
      </c>
      <c r="U136" s="98">
        <v>0.75</v>
      </c>
      <c r="V136" s="7">
        <f t="shared" si="26"/>
        <v>691</v>
      </c>
    </row>
    <row r="137" spans="13:22" x14ac:dyDescent="0.25">
      <c r="M137" s="8">
        <f t="shared" si="25"/>
        <v>173.75</v>
      </c>
      <c r="N137" s="1">
        <v>102</v>
      </c>
      <c r="O137" s="1">
        <f>VALUE(MID($T$2,FIND("*",SUBSTITUTE($T$2," ","*",N137),1)+1,FIND("*",SUBSTITUTE($T$2," ","*",N138),1)-FIND("*",SUBSTITUTE($T$2," ","*",N137),1)-1))/J9</f>
        <v>173.75</v>
      </c>
      <c r="P137" s="1">
        <f t="shared" si="27"/>
        <v>1</v>
      </c>
      <c r="R137" s="95">
        <v>102</v>
      </c>
      <c r="S137" s="89">
        <f t="shared" si="28"/>
        <v>173.75</v>
      </c>
      <c r="T137" s="7">
        <v>173.75</v>
      </c>
      <c r="U137" s="98">
        <v>1</v>
      </c>
      <c r="V137" s="7">
        <f t="shared" si="26"/>
        <v>695</v>
      </c>
    </row>
    <row r="138" spans="13:22" x14ac:dyDescent="0.25">
      <c r="M138" s="8">
        <f t="shared" si="25"/>
        <v>174.75</v>
      </c>
      <c r="N138" s="1">
        <v>103</v>
      </c>
      <c r="O138" s="1">
        <f>VALUE(MID($T$2,FIND("*",SUBSTITUTE($T$2," ","*",N138),1)+1,FIND("*",SUBSTITUTE($T$2," ","*",N139),1)-FIND("*",SUBSTITUTE($T$2," ","*",N138),1)-1))/J9</f>
        <v>174.75</v>
      </c>
      <c r="P138" s="1">
        <f t="shared" si="27"/>
        <v>1</v>
      </c>
      <c r="R138" s="95">
        <v>103</v>
      </c>
      <c r="S138" s="89">
        <f t="shared" si="28"/>
        <v>174.75</v>
      </c>
      <c r="T138" s="7">
        <v>174.75</v>
      </c>
      <c r="U138" s="98">
        <v>1</v>
      </c>
      <c r="V138" s="7">
        <f t="shared" si="26"/>
        <v>699</v>
      </c>
    </row>
    <row r="139" spans="13:22" x14ac:dyDescent="0.25">
      <c r="M139" s="8">
        <f t="shared" si="25"/>
        <v>175.25</v>
      </c>
      <c r="N139" s="1">
        <v>104</v>
      </c>
      <c r="O139" s="1">
        <f>VALUE(MID($T$2,FIND("*",SUBSTITUTE($T$2," ","*",N139),1)+1,FIND("*",SUBSTITUTE($T$2," ","*",N140),1)-FIND("*",SUBSTITUTE($T$2," ","*",N139),1)-1))/J9</f>
        <v>175.25</v>
      </c>
      <c r="P139" s="1">
        <f t="shared" si="27"/>
        <v>0.5</v>
      </c>
      <c r="R139" s="95">
        <v>104</v>
      </c>
      <c r="S139" s="89">
        <f t="shared" si="28"/>
        <v>175.25</v>
      </c>
      <c r="T139" s="7">
        <v>175.25</v>
      </c>
      <c r="U139" s="98">
        <v>0.5</v>
      </c>
      <c r="V139" s="7">
        <f t="shared" si="26"/>
        <v>701</v>
      </c>
    </row>
    <row r="140" spans="13:22" x14ac:dyDescent="0.25">
      <c r="M140" s="8">
        <f t="shared" si="25"/>
        <v>176</v>
      </c>
      <c r="N140" s="1">
        <v>105</v>
      </c>
      <c r="O140" s="1">
        <f>VALUE(MID($T$2,FIND("*",SUBSTITUTE($T$2," ","*",N140),1)+1,FIND("*",SUBSTITUTE($T$2," ","*",N141),1)-FIND("*",SUBSTITUTE($T$2," ","*",N140),1)-1))/J9</f>
        <v>176</v>
      </c>
      <c r="P140" s="1">
        <f t="shared" si="27"/>
        <v>0.75</v>
      </c>
      <c r="R140" s="95">
        <v>105</v>
      </c>
      <c r="S140" s="89">
        <f t="shared" si="28"/>
        <v>176</v>
      </c>
      <c r="T140" s="7">
        <v>176</v>
      </c>
      <c r="U140" s="98">
        <v>0.75</v>
      </c>
      <c r="V140" s="7">
        <f t="shared" si="26"/>
        <v>704</v>
      </c>
    </row>
    <row r="141" spans="13:22" x14ac:dyDescent="0.25">
      <c r="M141" s="8">
        <f t="shared" si="25"/>
        <v>176.75</v>
      </c>
      <c r="N141" s="1">
        <v>106</v>
      </c>
      <c r="O141" s="1">
        <f>VALUE(MID($T$2,FIND("*",SUBSTITUTE($T$2," ","*",N141),1)+1,FIND("*",SUBSTITUTE($T$2," ","*",N142),1)-FIND("*",SUBSTITUTE($T$2," ","*",N141),1)-1))/J9</f>
        <v>176.75</v>
      </c>
      <c r="P141" s="1">
        <f t="shared" si="27"/>
        <v>0.75</v>
      </c>
      <c r="R141" s="95">
        <v>106</v>
      </c>
      <c r="S141" s="89">
        <f t="shared" si="28"/>
        <v>176.75</v>
      </c>
      <c r="T141" s="7">
        <v>176.75</v>
      </c>
      <c r="U141" s="98">
        <v>0.75</v>
      </c>
      <c r="V141" s="7">
        <f t="shared" si="26"/>
        <v>707</v>
      </c>
    </row>
    <row r="142" spans="13:22" x14ac:dyDescent="0.25">
      <c r="M142" s="8">
        <f t="shared" si="25"/>
        <v>177.75</v>
      </c>
      <c r="N142" s="1">
        <v>107</v>
      </c>
      <c r="O142" s="1">
        <f>VALUE(MID($T$2,FIND("*",SUBSTITUTE($T$2," ","*",N142),1)+1,FIND("*",SUBSTITUTE($T$2," ","*",N143),1)-FIND("*",SUBSTITUTE($T$2," ","*",N142),1)-1))/J9</f>
        <v>177.75</v>
      </c>
      <c r="P142" s="1">
        <f t="shared" si="27"/>
        <v>1</v>
      </c>
      <c r="R142" s="95">
        <v>107</v>
      </c>
      <c r="S142" s="89">
        <f t="shared" si="28"/>
        <v>177.75</v>
      </c>
      <c r="T142" s="7">
        <v>177.75</v>
      </c>
      <c r="U142" s="98">
        <v>1</v>
      </c>
      <c r="V142" s="7">
        <f t="shared" si="26"/>
        <v>711</v>
      </c>
    </row>
    <row r="143" spans="13:22" x14ac:dyDescent="0.25">
      <c r="M143" s="8">
        <f t="shared" si="25"/>
        <v>178.25</v>
      </c>
      <c r="N143" s="1">
        <v>108</v>
      </c>
      <c r="O143" s="1">
        <f>VALUE(MID($T$2,FIND("*",SUBSTITUTE($T$2," ","*",N143),1)+1,FIND("*",SUBSTITUTE($T$2," ","*",N144),1)-FIND("*",SUBSTITUTE($T$2," ","*",N143),1)-1))/J9</f>
        <v>178.25</v>
      </c>
      <c r="P143" s="1">
        <f t="shared" si="27"/>
        <v>0.5</v>
      </c>
      <c r="R143" s="95">
        <v>108</v>
      </c>
      <c r="S143" s="89">
        <f t="shared" si="28"/>
        <v>178.25</v>
      </c>
      <c r="T143" s="7">
        <v>178.25</v>
      </c>
      <c r="U143" s="98">
        <v>0.5</v>
      </c>
      <c r="V143" s="7">
        <f t="shared" si="26"/>
        <v>713</v>
      </c>
    </row>
    <row r="144" spans="13:22" x14ac:dyDescent="0.25">
      <c r="M144" s="8">
        <f t="shared" si="25"/>
        <v>179</v>
      </c>
      <c r="N144" s="1">
        <v>109</v>
      </c>
      <c r="O144" s="1">
        <f>VALUE(MID($T$2,FIND("*",SUBSTITUTE($T$2," ","*",N144),1)+1,FIND("*",SUBSTITUTE($T$2," ","*",N145),1)-FIND("*",SUBSTITUTE($T$2," ","*",N144),1)-1))/J9</f>
        <v>179</v>
      </c>
      <c r="P144" s="1">
        <f t="shared" si="27"/>
        <v>0.75</v>
      </c>
      <c r="R144" s="95">
        <v>109</v>
      </c>
      <c r="S144" s="89">
        <f t="shared" si="28"/>
        <v>179</v>
      </c>
      <c r="T144" s="7">
        <v>179</v>
      </c>
      <c r="U144" s="98">
        <v>0.75</v>
      </c>
      <c r="V144" s="7">
        <f t="shared" si="26"/>
        <v>716</v>
      </c>
    </row>
    <row r="145" spans="13:22" x14ac:dyDescent="0.25">
      <c r="M145" s="8">
        <f t="shared" si="25"/>
        <v>179.75</v>
      </c>
      <c r="N145" s="1">
        <v>110</v>
      </c>
      <c r="O145" s="1">
        <f>VALUE(MID($T$2,FIND("*",SUBSTITUTE($T$2," ","*",N145),1)+1,FIND("*",SUBSTITUTE($T$2," ","*",N146),1)-FIND("*",SUBSTITUTE($T$2," ","*",N145),1)-1))/J9</f>
        <v>179.75</v>
      </c>
      <c r="P145" s="1">
        <f t="shared" si="27"/>
        <v>0.75</v>
      </c>
      <c r="R145" s="95">
        <v>110</v>
      </c>
      <c r="S145" s="89">
        <f t="shared" si="28"/>
        <v>179.75</v>
      </c>
      <c r="T145" s="7">
        <v>179.75</v>
      </c>
      <c r="U145" s="98">
        <v>0.75</v>
      </c>
      <c r="V145" s="7">
        <f t="shared" si="26"/>
        <v>719</v>
      </c>
    </row>
    <row r="146" spans="13:22" x14ac:dyDescent="0.25">
      <c r="M146" s="8">
        <f t="shared" si="25"/>
        <v>180.75</v>
      </c>
      <c r="N146" s="1">
        <v>111</v>
      </c>
      <c r="O146" s="1">
        <f>VALUE(MID($T$2,FIND("*",SUBSTITUTE($T$2," ","*",N146),1)+1,FIND("*",SUBSTITUTE($T$2," ","*",N147),1)-FIND("*",SUBSTITUTE($T$2," ","*",N146),1)-1))/J9</f>
        <v>180.75</v>
      </c>
      <c r="P146" s="1">
        <f t="shared" si="27"/>
        <v>1</v>
      </c>
      <c r="R146" s="95">
        <v>111</v>
      </c>
      <c r="S146" s="89">
        <f t="shared" si="28"/>
        <v>180.75</v>
      </c>
      <c r="T146" s="7">
        <v>180.75</v>
      </c>
      <c r="U146" s="98">
        <v>1</v>
      </c>
      <c r="V146" s="7">
        <f t="shared" si="26"/>
        <v>723</v>
      </c>
    </row>
    <row r="147" spans="13:22" x14ac:dyDescent="0.25">
      <c r="M147" s="8">
        <f t="shared" si="25"/>
        <v>181.25</v>
      </c>
      <c r="N147" s="1">
        <v>112</v>
      </c>
      <c r="O147" s="1">
        <f>VALUE(MID($T$2,FIND("*",SUBSTITUTE($T$2," ","*",N147),1)+1,FIND("*",SUBSTITUTE($T$2," ","*",N148),1)-FIND("*",SUBSTITUTE($T$2," ","*",N147),1)-1))/J9</f>
        <v>181.25</v>
      </c>
      <c r="P147" s="1">
        <f t="shared" si="27"/>
        <v>0.5</v>
      </c>
      <c r="R147" s="95">
        <v>112</v>
      </c>
      <c r="S147" s="89">
        <f t="shared" si="28"/>
        <v>181.25</v>
      </c>
      <c r="T147" s="7">
        <v>181.25</v>
      </c>
      <c r="U147" s="98">
        <v>0.5</v>
      </c>
      <c r="V147" s="7">
        <f t="shared" si="26"/>
        <v>725</v>
      </c>
    </row>
    <row r="148" spans="13:22" x14ac:dyDescent="0.25">
      <c r="M148" s="8">
        <f t="shared" si="25"/>
        <v>182</v>
      </c>
      <c r="N148" s="1">
        <v>113</v>
      </c>
      <c r="O148" s="1">
        <f>VALUE(MID($T$2,FIND("*",SUBSTITUTE($T$2," ","*",N148),1)+1,FIND("*",SUBSTITUTE($T$2," ","*",N149),1)-FIND("*",SUBSTITUTE($T$2," ","*",N148),1)-1))/J9</f>
        <v>182</v>
      </c>
      <c r="P148" s="1">
        <f t="shared" si="27"/>
        <v>0.75</v>
      </c>
      <c r="R148" s="95">
        <v>113</v>
      </c>
      <c r="S148" s="89">
        <f t="shared" si="28"/>
        <v>182</v>
      </c>
      <c r="T148" s="7">
        <v>182</v>
      </c>
      <c r="U148" s="98">
        <v>0.75</v>
      </c>
      <c r="V148" s="7">
        <f t="shared" si="26"/>
        <v>728</v>
      </c>
    </row>
    <row r="149" spans="13:22" x14ac:dyDescent="0.25">
      <c r="M149" s="8">
        <f t="shared" si="25"/>
        <v>182.75</v>
      </c>
      <c r="N149" s="1">
        <v>114</v>
      </c>
      <c r="O149" s="1">
        <f>VALUE(MID($T$2,FIND("*",SUBSTITUTE($T$2," ","*",N149),1)+1,FIND("*",SUBSTITUTE($T$2," ","*",N150),1)-FIND("*",SUBSTITUTE($T$2," ","*",N149),1)-1))/J9</f>
        <v>182.75</v>
      </c>
      <c r="P149" s="1">
        <f t="shared" si="27"/>
        <v>0.75</v>
      </c>
      <c r="R149" s="95">
        <v>114</v>
      </c>
      <c r="S149" s="89">
        <f t="shared" si="28"/>
        <v>182.75</v>
      </c>
      <c r="T149" s="7">
        <v>182.75</v>
      </c>
      <c r="U149" s="98">
        <v>0.75</v>
      </c>
      <c r="V149" s="7">
        <f t="shared" si="26"/>
        <v>731</v>
      </c>
    </row>
    <row r="150" spans="13:22" x14ac:dyDescent="0.25">
      <c r="M150" s="8">
        <f t="shared" si="25"/>
        <v>183.75</v>
      </c>
      <c r="N150" s="1">
        <v>115</v>
      </c>
      <c r="O150" s="1">
        <f>VALUE(MID($T$2,FIND("*",SUBSTITUTE($T$2," ","*",N150),1)+1,FIND("*",SUBSTITUTE($T$2," ","*",N151),1)-FIND("*",SUBSTITUTE($T$2," ","*",N150),1)-1))/J9</f>
        <v>183.75</v>
      </c>
      <c r="P150" s="1">
        <f t="shared" si="27"/>
        <v>1</v>
      </c>
      <c r="R150" s="95">
        <v>115</v>
      </c>
      <c r="S150" s="89">
        <f t="shared" si="28"/>
        <v>183.75</v>
      </c>
      <c r="T150" s="7">
        <v>183.75</v>
      </c>
      <c r="U150" s="98">
        <v>1</v>
      </c>
      <c r="V150" s="7">
        <f t="shared" si="26"/>
        <v>735</v>
      </c>
    </row>
    <row r="151" spans="13:22" x14ac:dyDescent="0.25">
      <c r="M151" s="8">
        <f t="shared" si="25"/>
        <v>184.25</v>
      </c>
      <c r="N151" s="1">
        <v>116</v>
      </c>
      <c r="O151" s="1">
        <f>VALUE(MID($T$2,FIND("*",SUBSTITUTE($T$2," ","*",N151),1)+1,FIND("*",SUBSTITUTE($T$2," ","*",N152),1)-FIND("*",SUBSTITUTE($T$2," ","*",N151),1)-1))/J9</f>
        <v>184.25</v>
      </c>
      <c r="P151" s="1">
        <f t="shared" si="27"/>
        <v>0.5</v>
      </c>
      <c r="R151" s="95">
        <v>116</v>
      </c>
      <c r="S151" s="89">
        <f t="shared" si="28"/>
        <v>184.25</v>
      </c>
      <c r="T151" s="7">
        <v>184.25</v>
      </c>
      <c r="U151" s="98">
        <v>0.5</v>
      </c>
      <c r="V151" s="7">
        <f t="shared" si="26"/>
        <v>737</v>
      </c>
    </row>
    <row r="152" spans="13:22" x14ac:dyDescent="0.25">
      <c r="M152" s="8">
        <f t="shared" si="25"/>
        <v>185.25</v>
      </c>
      <c r="N152" s="1">
        <v>117</v>
      </c>
      <c r="O152" s="1">
        <f>VALUE(MID($T$2,FIND("*",SUBSTITUTE($T$2," ","*",N152),1)+1,FIND("*",SUBSTITUTE($T$2," ","*",N153),1)-FIND("*",SUBSTITUTE($T$2," ","*",N152),1)-1))/J9</f>
        <v>185.25</v>
      </c>
      <c r="P152" s="1">
        <f t="shared" si="27"/>
        <v>1</v>
      </c>
      <c r="R152" s="95">
        <v>117</v>
      </c>
      <c r="S152" s="89">
        <f t="shared" si="28"/>
        <v>185.25</v>
      </c>
      <c r="T152" s="7">
        <v>185.25</v>
      </c>
      <c r="U152" s="98">
        <v>1</v>
      </c>
      <c r="V152" s="7">
        <f t="shared" si="26"/>
        <v>741</v>
      </c>
    </row>
    <row r="153" spans="13:22" x14ac:dyDescent="0.25">
      <c r="M153" s="8">
        <f t="shared" si="25"/>
        <v>186</v>
      </c>
      <c r="N153" s="1">
        <v>118</v>
      </c>
      <c r="O153" s="1">
        <f>VALUE(MID($T$2,FIND("*",SUBSTITUTE($T$2," ","*",N153),1)+1,FIND("*",SUBSTITUTE($T$2," ","*",N154),1)-FIND("*",SUBSTITUTE($T$2," ","*",N153),1)-1))/J9</f>
        <v>186</v>
      </c>
      <c r="P153" s="1">
        <f t="shared" si="27"/>
        <v>0.75</v>
      </c>
      <c r="R153" s="95">
        <v>118</v>
      </c>
      <c r="S153" s="89">
        <f t="shared" si="28"/>
        <v>186</v>
      </c>
      <c r="T153" s="7">
        <v>186</v>
      </c>
      <c r="U153" s="98">
        <v>0.75</v>
      </c>
      <c r="V153" s="7">
        <f t="shared" si="26"/>
        <v>744</v>
      </c>
    </row>
    <row r="154" spans="13:22" x14ac:dyDescent="0.25">
      <c r="M154" s="8">
        <f t="shared" si="25"/>
        <v>186.75</v>
      </c>
      <c r="N154" s="1">
        <v>119</v>
      </c>
      <c r="O154" s="1">
        <f>VALUE(MID($T$2,FIND("*",SUBSTITUTE($T$2," ","*",N154),1)+1,FIND("*",SUBSTITUTE($T$2," ","*",N155),1)-FIND("*",SUBSTITUTE($T$2," ","*",N154),1)-1))/J9</f>
        <v>186.75</v>
      </c>
      <c r="P154" s="1">
        <f t="shared" si="27"/>
        <v>0.75</v>
      </c>
      <c r="R154" s="95">
        <v>119</v>
      </c>
      <c r="S154" s="89">
        <f t="shared" si="28"/>
        <v>186.75</v>
      </c>
      <c r="T154" s="7">
        <v>186.75</v>
      </c>
      <c r="U154" s="98">
        <v>0.75</v>
      </c>
      <c r="V154" s="7">
        <f t="shared" si="26"/>
        <v>747</v>
      </c>
    </row>
    <row r="155" spans="13:22" x14ac:dyDescent="0.25">
      <c r="M155" s="8">
        <f t="shared" si="25"/>
        <v>187.25</v>
      </c>
      <c r="N155" s="1">
        <v>120</v>
      </c>
      <c r="O155" s="1">
        <f>VALUE(MID($T$2,FIND("*",SUBSTITUTE($T$2," ","*",N155),1)+1,FIND("*",SUBSTITUTE($T$2," ","*",N156),1)-FIND("*",SUBSTITUTE($T$2," ","*",N155),1)-1))/J9</f>
        <v>187.25</v>
      </c>
      <c r="P155" s="1">
        <f t="shared" si="27"/>
        <v>0.5</v>
      </c>
      <c r="R155" s="95">
        <v>120</v>
      </c>
      <c r="S155" s="89">
        <f t="shared" si="28"/>
        <v>187.25</v>
      </c>
      <c r="T155" s="7">
        <v>187.25</v>
      </c>
      <c r="U155" s="98">
        <v>0.5</v>
      </c>
      <c r="V155" s="7">
        <f t="shared" si="26"/>
        <v>749</v>
      </c>
    </row>
    <row r="156" spans="13:22" x14ac:dyDescent="0.25">
      <c r="M156" s="8">
        <f t="shared" si="25"/>
        <v>188</v>
      </c>
      <c r="N156" s="1">
        <v>121</v>
      </c>
      <c r="O156" s="1">
        <f>VALUE(MID($T$2,FIND("*",SUBSTITUTE($T$2," ","*",N156),1)+1,FIND("*",SUBSTITUTE($T$2," ","*",N157),1)-FIND("*",SUBSTITUTE($T$2," ","*",N156),1)-1))/J9</f>
        <v>188</v>
      </c>
      <c r="P156" s="1">
        <f t="shared" si="27"/>
        <v>0.75</v>
      </c>
      <c r="R156" s="95">
        <v>121</v>
      </c>
      <c r="S156" s="89">
        <f t="shared" si="28"/>
        <v>188</v>
      </c>
      <c r="T156" s="7">
        <v>188</v>
      </c>
      <c r="U156" s="98">
        <v>0.75</v>
      </c>
      <c r="V156" s="7">
        <f t="shared" si="26"/>
        <v>752</v>
      </c>
    </row>
    <row r="157" spans="13:22" x14ac:dyDescent="0.25">
      <c r="M157" s="8">
        <f t="shared" si="25"/>
        <v>188.75</v>
      </c>
      <c r="N157" s="1">
        <v>122</v>
      </c>
      <c r="O157" s="1">
        <f>VALUE(MID($T$2,FIND("*",SUBSTITUTE($T$2," ","*",N157),1)+1,FIND("*",SUBSTITUTE($T$2," ","*",N158),1)-FIND("*",SUBSTITUTE($T$2," ","*",N157),1)-1))/J9</f>
        <v>188.75</v>
      </c>
      <c r="P157" s="1">
        <f t="shared" si="27"/>
        <v>0.75</v>
      </c>
      <c r="R157" s="95">
        <v>122</v>
      </c>
      <c r="S157" s="89">
        <f t="shared" si="28"/>
        <v>188.75</v>
      </c>
      <c r="T157" s="7">
        <v>188.75</v>
      </c>
      <c r="U157" s="98">
        <v>0.75</v>
      </c>
      <c r="V157" s="7">
        <f t="shared" si="26"/>
        <v>755</v>
      </c>
    </row>
    <row r="158" spans="13:22" x14ac:dyDescent="0.25">
      <c r="M158" s="8">
        <f t="shared" si="25"/>
        <v>189.25</v>
      </c>
      <c r="N158" s="1">
        <v>123</v>
      </c>
      <c r="O158" s="1">
        <f>VALUE(MID($T$2,FIND("*",SUBSTITUTE($T$2," ","*",N158),1)+1,FIND("*",SUBSTITUTE($T$2," ","*",N159),1)-FIND("*",SUBSTITUTE($T$2," ","*",N158),1)-1))/J9</f>
        <v>189.25</v>
      </c>
      <c r="P158" s="1">
        <f t="shared" si="27"/>
        <v>0.5</v>
      </c>
      <c r="R158" s="95">
        <v>123</v>
      </c>
      <c r="S158" s="89">
        <f t="shared" si="28"/>
        <v>189.25</v>
      </c>
      <c r="T158" s="7">
        <v>189.25</v>
      </c>
      <c r="U158" s="98">
        <v>0.5</v>
      </c>
      <c r="V158" s="7">
        <f t="shared" si="26"/>
        <v>757</v>
      </c>
    </row>
    <row r="159" spans="13:22" x14ac:dyDescent="0.25">
      <c r="M159" s="8">
        <f t="shared" si="25"/>
        <v>190</v>
      </c>
      <c r="N159" s="1">
        <v>124</v>
      </c>
      <c r="O159" s="1">
        <f>VALUE(MID($T$2,FIND("*",SUBSTITUTE($T$2," ","*",N159),1)+1,FIND("*",SUBSTITUTE($T$2," ","*",N160),1)-FIND("*",SUBSTITUTE($T$2," ","*",N159),1)-1))/J9</f>
        <v>190</v>
      </c>
      <c r="P159" s="1">
        <f t="shared" si="27"/>
        <v>0.75</v>
      </c>
      <c r="R159" s="95">
        <v>124</v>
      </c>
      <c r="S159" s="89">
        <f t="shared" si="28"/>
        <v>190</v>
      </c>
      <c r="T159" s="7">
        <v>190</v>
      </c>
      <c r="U159" s="98">
        <v>0.75</v>
      </c>
      <c r="V159" s="7">
        <f t="shared" si="26"/>
        <v>760</v>
      </c>
    </row>
    <row r="160" spans="13:22" x14ac:dyDescent="0.25">
      <c r="M160" s="8">
        <f t="shared" si="25"/>
        <v>190.75</v>
      </c>
      <c r="N160" s="1">
        <v>125</v>
      </c>
      <c r="O160" s="1">
        <f>VALUE(MID($T$2,FIND("*",SUBSTITUTE($T$2," ","*",N160),1)+1,FIND("*",SUBSTITUTE($T$2," ","*",N161),1)-FIND("*",SUBSTITUTE($T$2," ","*",N160),1)-1))/J9</f>
        <v>190.75</v>
      </c>
      <c r="P160" s="1">
        <f t="shared" si="27"/>
        <v>0.75</v>
      </c>
      <c r="R160" s="95">
        <v>125</v>
      </c>
      <c r="S160" s="89">
        <f t="shared" si="28"/>
        <v>190.75</v>
      </c>
      <c r="T160" s="7">
        <v>190.75</v>
      </c>
      <c r="U160" s="98">
        <v>0.75</v>
      </c>
      <c r="V160" s="7">
        <f t="shared" si="26"/>
        <v>763</v>
      </c>
    </row>
    <row r="161" spans="13:22" x14ac:dyDescent="0.25">
      <c r="M161" s="8">
        <f t="shared" si="25"/>
        <v>191.25</v>
      </c>
      <c r="N161" s="1">
        <v>126</v>
      </c>
      <c r="O161" s="1">
        <f>VALUE(MID($T$2,FIND("*",SUBSTITUTE($T$2," ","*",N161),1)+1,FIND("*",SUBSTITUTE($T$2," ","*",N162),1)-FIND("*",SUBSTITUTE($T$2," ","*",N161),1)-1))/J9</f>
        <v>191.25</v>
      </c>
      <c r="P161" s="1">
        <f t="shared" si="27"/>
        <v>0.5</v>
      </c>
      <c r="R161" s="95">
        <v>126</v>
      </c>
      <c r="S161" s="89">
        <f t="shared" si="28"/>
        <v>191.25</v>
      </c>
      <c r="T161" s="7">
        <v>191.25</v>
      </c>
      <c r="U161" s="98">
        <v>0.5</v>
      </c>
      <c r="V161" s="7">
        <f t="shared" si="26"/>
        <v>765</v>
      </c>
    </row>
    <row r="162" spans="13:22" x14ac:dyDescent="0.25">
      <c r="M162" s="8">
        <f t="shared" si="25"/>
        <v>192</v>
      </c>
      <c r="N162" s="1">
        <v>127</v>
      </c>
      <c r="O162" s="1">
        <f>VALUE(MID($T$2,FIND("*",SUBSTITUTE($T$2," ","*",N162),1)+1,FIND("*",SUBSTITUTE($T$2," ","*",N163),1)-FIND("*",SUBSTITUTE($T$2," ","*",N162),1)-1))/J9</f>
        <v>192</v>
      </c>
      <c r="P162" s="1">
        <f t="shared" si="27"/>
        <v>0.75</v>
      </c>
      <c r="R162" s="95">
        <v>127</v>
      </c>
      <c r="S162" s="89">
        <f t="shared" si="28"/>
        <v>192</v>
      </c>
      <c r="T162" s="7">
        <v>192</v>
      </c>
      <c r="U162" s="98">
        <v>0.75</v>
      </c>
      <c r="V162" s="7">
        <f t="shared" si="26"/>
        <v>768</v>
      </c>
    </row>
    <row r="163" spans="13:22" x14ac:dyDescent="0.25">
      <c r="M163" s="8">
        <f t="shared" si="25"/>
        <v>192.75</v>
      </c>
      <c r="N163" s="1">
        <v>128</v>
      </c>
      <c r="O163" s="1">
        <f>VALUE(MID($T$2,FIND("*",SUBSTITUTE($T$2," ","*",N163),1)+1,FIND("*",SUBSTITUTE($T$2," ","*",N164),1)-FIND("*",SUBSTITUTE($T$2," ","*",N163),1)-1))/J9</f>
        <v>192.75</v>
      </c>
      <c r="P163" s="1">
        <f t="shared" si="27"/>
        <v>0.75</v>
      </c>
      <c r="R163" s="95">
        <v>128</v>
      </c>
      <c r="S163" s="89">
        <f t="shared" si="28"/>
        <v>192.75</v>
      </c>
      <c r="T163" s="7">
        <v>192.75</v>
      </c>
      <c r="U163" s="98">
        <v>0.75</v>
      </c>
      <c r="V163" s="7">
        <f t="shared" si="26"/>
        <v>771</v>
      </c>
    </row>
    <row r="164" spans="13:22" x14ac:dyDescent="0.25">
      <c r="M164" s="8">
        <f t="shared" ref="M164:M227" si="29">O164</f>
        <v>193.25</v>
      </c>
      <c r="N164" s="1">
        <v>129</v>
      </c>
      <c r="O164" s="1">
        <f>VALUE(MID($T$2,FIND("*",SUBSTITUTE($T$2," ","*",N164),1)+1,FIND("*",SUBSTITUTE($T$2," ","*",N165),1)-FIND("*",SUBSTITUTE($T$2," ","*",N164),1)-1))/J9</f>
        <v>193.25</v>
      </c>
      <c r="P164" s="1">
        <f t="shared" si="27"/>
        <v>0.5</v>
      </c>
      <c r="R164" s="95">
        <v>129</v>
      </c>
      <c r="S164" s="89">
        <f t="shared" si="28"/>
        <v>193.25</v>
      </c>
      <c r="T164" s="7">
        <v>193.25</v>
      </c>
      <c r="U164" s="98">
        <v>0.5</v>
      </c>
      <c r="V164" s="7">
        <f t="shared" ref="V164:V227" si="30">ROUND(S164*$J$9,0)</f>
        <v>773</v>
      </c>
    </row>
    <row r="165" spans="13:22" x14ac:dyDescent="0.25">
      <c r="M165" s="8">
        <f t="shared" si="29"/>
        <v>194</v>
      </c>
      <c r="N165" s="1">
        <v>130</v>
      </c>
      <c r="O165" s="1">
        <f>VALUE(MID($T$2,FIND("*",SUBSTITUTE($T$2," ","*",N165),1)+1,FIND("*",SUBSTITUTE($T$2," ","*",N166),1)-FIND("*",SUBSTITUTE($T$2," ","*",N165),1)-1))/J9</f>
        <v>194</v>
      </c>
      <c r="P165" s="1">
        <f t="shared" ref="P165:P228" si="31">O165-O164</f>
        <v>0.75</v>
      </c>
      <c r="R165" s="95">
        <v>130</v>
      </c>
      <c r="S165" s="89">
        <f t="shared" ref="S165:S228" si="32">S164+U165</f>
        <v>194</v>
      </c>
      <c r="T165" s="7">
        <v>194</v>
      </c>
      <c r="U165" s="98">
        <v>0.75</v>
      </c>
      <c r="V165" s="7">
        <f t="shared" si="30"/>
        <v>776</v>
      </c>
    </row>
    <row r="166" spans="13:22" x14ac:dyDescent="0.25">
      <c r="M166" s="8">
        <f t="shared" si="29"/>
        <v>194.75</v>
      </c>
      <c r="N166" s="1">
        <v>131</v>
      </c>
      <c r="O166" s="1">
        <f>VALUE(MID($T$2,FIND("*",SUBSTITUTE($T$2," ","*",N166),1)+1,FIND("*",SUBSTITUTE($T$2," ","*",N167),1)-FIND("*",SUBSTITUTE($T$2," ","*",N166),1)-1))/J9</f>
        <v>194.75</v>
      </c>
      <c r="P166" s="1">
        <f t="shared" si="31"/>
        <v>0.75</v>
      </c>
      <c r="R166" s="95">
        <v>131</v>
      </c>
      <c r="S166" s="89">
        <f t="shared" si="32"/>
        <v>194.75</v>
      </c>
      <c r="T166" s="7">
        <v>194.75</v>
      </c>
      <c r="U166" s="98">
        <v>0.75</v>
      </c>
      <c r="V166" s="7">
        <f t="shared" si="30"/>
        <v>779</v>
      </c>
    </row>
    <row r="167" spans="13:22" x14ac:dyDescent="0.25">
      <c r="M167" s="8">
        <f t="shared" si="29"/>
        <v>195.25</v>
      </c>
      <c r="N167" s="1">
        <v>132</v>
      </c>
      <c r="O167" s="1">
        <f>VALUE(MID($T$2,FIND("*",SUBSTITUTE($T$2," ","*",N167),1)+1,FIND("*",SUBSTITUTE($T$2," ","*",N168),1)-FIND("*",SUBSTITUTE($T$2," ","*",N167),1)-1))/J9</f>
        <v>195.25</v>
      </c>
      <c r="P167" s="1">
        <f t="shared" si="31"/>
        <v>0.5</v>
      </c>
      <c r="R167" s="95">
        <v>132</v>
      </c>
      <c r="S167" s="89">
        <f t="shared" si="32"/>
        <v>195.25</v>
      </c>
      <c r="T167" s="7">
        <v>195.25</v>
      </c>
      <c r="U167" s="98">
        <v>0.5</v>
      </c>
      <c r="V167" s="7">
        <f t="shared" si="30"/>
        <v>781</v>
      </c>
    </row>
    <row r="168" spans="13:22" x14ac:dyDescent="0.25">
      <c r="M168" s="8">
        <f t="shared" si="29"/>
        <v>196</v>
      </c>
      <c r="N168" s="1">
        <v>133</v>
      </c>
      <c r="O168" s="1">
        <f>VALUE(MID($T$2,FIND("*",SUBSTITUTE($T$2," ","*",N168),1)+1,FIND("*",SUBSTITUTE($T$2," ","*",N169),1)-FIND("*",SUBSTITUTE($T$2," ","*",N168),1)-1))/J9</f>
        <v>196</v>
      </c>
      <c r="P168" s="1">
        <f t="shared" si="31"/>
        <v>0.75</v>
      </c>
      <c r="R168" s="95">
        <v>133</v>
      </c>
      <c r="S168" s="89">
        <f t="shared" si="32"/>
        <v>196</v>
      </c>
      <c r="T168" s="7">
        <v>196</v>
      </c>
      <c r="U168" s="98">
        <v>0.75</v>
      </c>
      <c r="V168" s="7">
        <f t="shared" si="30"/>
        <v>784</v>
      </c>
    </row>
    <row r="169" spans="13:22" x14ac:dyDescent="0.25">
      <c r="M169" s="8">
        <f t="shared" si="29"/>
        <v>196.75</v>
      </c>
      <c r="N169" s="1">
        <v>134</v>
      </c>
      <c r="O169" s="1">
        <f>VALUE(MID($T$2,FIND("*",SUBSTITUTE($T$2," ","*",N169),1)+1,FIND("*",SUBSTITUTE($T$2," ","*",N170),1)-FIND("*",SUBSTITUTE($T$2," ","*",N169),1)-1))/J9</f>
        <v>196.75</v>
      </c>
      <c r="P169" s="1">
        <f t="shared" si="31"/>
        <v>0.75</v>
      </c>
      <c r="R169" s="95">
        <v>134</v>
      </c>
      <c r="S169" s="89">
        <f t="shared" si="32"/>
        <v>196.75</v>
      </c>
      <c r="T169" s="7">
        <v>196.75</v>
      </c>
      <c r="U169" s="98">
        <v>0.75</v>
      </c>
      <c r="V169" s="7">
        <f t="shared" si="30"/>
        <v>787</v>
      </c>
    </row>
    <row r="170" spans="13:22" x14ac:dyDescent="0.25">
      <c r="M170" s="8">
        <f t="shared" si="29"/>
        <v>197.25</v>
      </c>
      <c r="N170" s="1">
        <v>135</v>
      </c>
      <c r="O170" s="1">
        <f>VALUE(MID($T$2,FIND("*",SUBSTITUTE($T$2," ","*",N170),1)+1,FIND("*",SUBSTITUTE($T$2," ","*",N171),1)-FIND("*",SUBSTITUTE($T$2," ","*",N170),1)-1))/J9</f>
        <v>197.25</v>
      </c>
      <c r="P170" s="1">
        <f t="shared" si="31"/>
        <v>0.5</v>
      </c>
      <c r="R170" s="95">
        <v>135</v>
      </c>
      <c r="S170" s="89">
        <f t="shared" si="32"/>
        <v>197.25</v>
      </c>
      <c r="T170" s="7">
        <v>197.25</v>
      </c>
      <c r="U170" s="98">
        <v>0.5</v>
      </c>
      <c r="V170" s="7">
        <f t="shared" si="30"/>
        <v>789</v>
      </c>
    </row>
    <row r="171" spans="13:22" x14ac:dyDescent="0.25">
      <c r="M171" s="8">
        <f t="shared" si="29"/>
        <v>198</v>
      </c>
      <c r="N171" s="1">
        <v>136</v>
      </c>
      <c r="O171" s="1">
        <f>VALUE(MID($T$2,FIND("*",SUBSTITUTE($T$2," ","*",N171),1)+1,FIND("*",SUBSTITUTE($T$2," ","*",N172),1)-FIND("*",SUBSTITUTE($T$2," ","*",N171),1)-1))/J9</f>
        <v>198</v>
      </c>
      <c r="P171" s="1">
        <f t="shared" si="31"/>
        <v>0.75</v>
      </c>
      <c r="R171" s="95">
        <v>136</v>
      </c>
      <c r="S171" s="89">
        <f t="shared" si="32"/>
        <v>198</v>
      </c>
      <c r="T171" s="7">
        <v>198</v>
      </c>
      <c r="U171" s="98">
        <v>0.75</v>
      </c>
      <c r="V171" s="7">
        <f t="shared" si="30"/>
        <v>792</v>
      </c>
    </row>
    <row r="172" spans="13:22" x14ac:dyDescent="0.25">
      <c r="M172" s="8">
        <f t="shared" si="29"/>
        <v>198.75</v>
      </c>
      <c r="N172" s="1">
        <v>137</v>
      </c>
      <c r="O172" s="1">
        <f>VALUE(MID($T$2,FIND("*",SUBSTITUTE($T$2," ","*",N172),1)+1,FIND("*",SUBSTITUTE($T$2," ","*",N173),1)-FIND("*",SUBSTITUTE($T$2," ","*",N172),1)-1))/J9</f>
        <v>198.75</v>
      </c>
      <c r="P172" s="1">
        <f t="shared" si="31"/>
        <v>0.75</v>
      </c>
      <c r="R172" s="95">
        <v>137</v>
      </c>
      <c r="S172" s="89">
        <f t="shared" si="32"/>
        <v>198.75</v>
      </c>
      <c r="T172" s="7">
        <v>198.75</v>
      </c>
      <c r="U172" s="98">
        <v>0.75</v>
      </c>
      <c r="V172" s="7">
        <f t="shared" si="30"/>
        <v>795</v>
      </c>
    </row>
    <row r="173" spans="13:22" x14ac:dyDescent="0.25">
      <c r="M173" s="8">
        <f t="shared" si="29"/>
        <v>199.25</v>
      </c>
      <c r="N173" s="1">
        <v>138</v>
      </c>
      <c r="O173" s="1">
        <f>VALUE(MID($T$2,FIND("*",SUBSTITUTE($T$2," ","*",N173),1)+1,FIND("*",SUBSTITUTE($T$2," ","*",N174),1)-FIND("*",SUBSTITUTE($T$2," ","*",N173),1)-1))/J9</f>
        <v>199.25</v>
      </c>
      <c r="P173" s="1">
        <f t="shared" si="31"/>
        <v>0.5</v>
      </c>
      <c r="R173" s="95">
        <v>138</v>
      </c>
      <c r="S173" s="89">
        <f t="shared" si="32"/>
        <v>199.25</v>
      </c>
      <c r="T173" s="7">
        <v>199.25</v>
      </c>
      <c r="U173" s="98">
        <v>0.5</v>
      </c>
      <c r="V173" s="7">
        <f t="shared" si="30"/>
        <v>797</v>
      </c>
    </row>
    <row r="174" spans="13:22" x14ac:dyDescent="0.25">
      <c r="M174" s="8">
        <f t="shared" si="29"/>
        <v>200</v>
      </c>
      <c r="N174" s="1">
        <v>139</v>
      </c>
      <c r="O174" s="1">
        <f>VALUE(MID($T$2,FIND("*",SUBSTITUTE($T$2," ","*",N174),1)+1,FIND("*",SUBSTITUTE($T$2," ","*",N175),1)-FIND("*",SUBSTITUTE($T$2," ","*",N174),1)-1))/J9</f>
        <v>200</v>
      </c>
      <c r="P174" s="1">
        <f t="shared" si="31"/>
        <v>0.75</v>
      </c>
      <c r="R174" s="95">
        <v>139</v>
      </c>
      <c r="S174" s="89">
        <f t="shared" si="32"/>
        <v>200</v>
      </c>
      <c r="T174" s="7">
        <v>200</v>
      </c>
      <c r="U174" s="98">
        <v>0.75</v>
      </c>
      <c r="V174" s="7">
        <f t="shared" si="30"/>
        <v>800</v>
      </c>
    </row>
    <row r="175" spans="13:22" x14ac:dyDescent="0.25">
      <c r="M175" s="8">
        <f t="shared" si="29"/>
        <v>200.75</v>
      </c>
      <c r="N175" s="1">
        <v>140</v>
      </c>
      <c r="O175" s="1">
        <f>VALUE(MID($T$2,FIND("*",SUBSTITUTE($T$2," ","*",N175),1)+1,FIND("*",SUBSTITUTE($T$2," ","*",N176),1)-FIND("*",SUBSTITUTE($T$2," ","*",N175),1)-1))/J9</f>
        <v>200.75</v>
      </c>
      <c r="P175" s="1">
        <f t="shared" si="31"/>
        <v>0.75</v>
      </c>
      <c r="R175" s="95">
        <v>140</v>
      </c>
      <c r="S175" s="89">
        <f t="shared" si="32"/>
        <v>200.75</v>
      </c>
      <c r="T175" s="7">
        <v>200.75</v>
      </c>
      <c r="U175" s="98">
        <v>0.75</v>
      </c>
      <c r="V175" s="7">
        <f t="shared" si="30"/>
        <v>803</v>
      </c>
    </row>
    <row r="176" spans="13:22" x14ac:dyDescent="0.25">
      <c r="M176" s="8">
        <f t="shared" si="29"/>
        <v>201.25</v>
      </c>
      <c r="N176" s="1">
        <v>141</v>
      </c>
      <c r="O176" s="1">
        <f>VALUE(MID($T$2,FIND("*",SUBSTITUTE($T$2," ","*",N176),1)+1,FIND("*",SUBSTITUTE($T$2," ","*",N177),1)-FIND("*",SUBSTITUTE($T$2," ","*",N176),1)-1))/J9</f>
        <v>201.25</v>
      </c>
      <c r="P176" s="1">
        <f t="shared" si="31"/>
        <v>0.5</v>
      </c>
      <c r="R176" s="95">
        <v>141</v>
      </c>
      <c r="S176" s="89">
        <f t="shared" si="32"/>
        <v>201.25</v>
      </c>
      <c r="T176" s="7">
        <v>201.25</v>
      </c>
      <c r="U176" s="98">
        <v>0.5</v>
      </c>
      <c r="V176" s="7">
        <f t="shared" si="30"/>
        <v>805</v>
      </c>
    </row>
    <row r="177" spans="13:22" x14ac:dyDescent="0.25">
      <c r="M177" s="8">
        <f t="shared" si="29"/>
        <v>202</v>
      </c>
      <c r="N177" s="1">
        <v>142</v>
      </c>
      <c r="O177" s="1">
        <f>VALUE(MID($T$2,FIND("*",SUBSTITUTE($T$2," ","*",N177),1)+1,FIND("*",SUBSTITUTE($T$2," ","*",N178),1)-FIND("*",SUBSTITUTE($T$2," ","*",N177),1)-1))/J9</f>
        <v>202</v>
      </c>
      <c r="P177" s="1">
        <f t="shared" si="31"/>
        <v>0.75</v>
      </c>
      <c r="R177" s="95">
        <v>142</v>
      </c>
      <c r="S177" s="89">
        <f t="shared" si="32"/>
        <v>202</v>
      </c>
      <c r="T177" s="7">
        <v>202</v>
      </c>
      <c r="U177" s="98">
        <v>0.75</v>
      </c>
      <c r="V177" s="7">
        <f t="shared" si="30"/>
        <v>808</v>
      </c>
    </row>
    <row r="178" spans="13:22" x14ac:dyDescent="0.25">
      <c r="M178" s="8">
        <f t="shared" si="29"/>
        <v>202.75</v>
      </c>
      <c r="N178" s="1">
        <v>143</v>
      </c>
      <c r="O178" s="1">
        <f>VALUE(MID($T$2,FIND("*",SUBSTITUTE($T$2," ","*",N178),1)+1,FIND("*",SUBSTITUTE($T$2," ","*",N179),1)-FIND("*",SUBSTITUTE($T$2," ","*",N178),1)-1))/J9</f>
        <v>202.75</v>
      </c>
      <c r="P178" s="1">
        <f t="shared" si="31"/>
        <v>0.75</v>
      </c>
      <c r="R178" s="95">
        <v>143</v>
      </c>
      <c r="S178" s="89">
        <f t="shared" si="32"/>
        <v>202.75</v>
      </c>
      <c r="T178" s="7">
        <v>202.75</v>
      </c>
      <c r="U178" s="98">
        <v>0.75</v>
      </c>
      <c r="V178" s="7">
        <f t="shared" si="30"/>
        <v>811</v>
      </c>
    </row>
    <row r="179" spans="13:22" x14ac:dyDescent="0.25">
      <c r="M179" s="8">
        <f t="shared" si="29"/>
        <v>203.25</v>
      </c>
      <c r="N179" s="1">
        <v>144</v>
      </c>
      <c r="O179" s="1">
        <f>VALUE(MID($T$2,FIND("*",SUBSTITUTE($T$2," ","*",N179),1)+1,FIND("*",SUBSTITUTE($T$2," ","*",N180),1)-FIND("*",SUBSTITUTE($T$2," ","*",N179),1)-1))/J9</f>
        <v>203.25</v>
      </c>
      <c r="P179" s="1">
        <f t="shared" si="31"/>
        <v>0.5</v>
      </c>
      <c r="R179" s="95">
        <v>144</v>
      </c>
      <c r="S179" s="89">
        <f t="shared" si="32"/>
        <v>203.25</v>
      </c>
      <c r="T179" s="7">
        <v>203.25</v>
      </c>
      <c r="U179" s="98">
        <v>0.5</v>
      </c>
      <c r="V179" s="7">
        <f t="shared" si="30"/>
        <v>813</v>
      </c>
    </row>
    <row r="180" spans="13:22" x14ac:dyDescent="0.25">
      <c r="M180" s="8">
        <f t="shared" si="29"/>
        <v>204</v>
      </c>
      <c r="N180" s="1">
        <v>145</v>
      </c>
      <c r="O180" s="1">
        <f>VALUE(MID($T$2,FIND("*",SUBSTITUTE($T$2," ","*",N180),1)+1,FIND("*",SUBSTITUTE($T$2," ","*",N181),1)-FIND("*",SUBSTITUTE($T$2," ","*",N180),1)-1))/J9</f>
        <v>204</v>
      </c>
      <c r="P180" s="1">
        <f t="shared" si="31"/>
        <v>0.75</v>
      </c>
      <c r="R180" s="95">
        <v>145</v>
      </c>
      <c r="S180" s="89">
        <f t="shared" si="32"/>
        <v>204</v>
      </c>
      <c r="T180" s="7">
        <v>204</v>
      </c>
      <c r="U180" s="98">
        <v>0.75</v>
      </c>
      <c r="V180" s="7">
        <f t="shared" si="30"/>
        <v>816</v>
      </c>
    </row>
    <row r="181" spans="13:22" x14ac:dyDescent="0.25">
      <c r="M181" s="8">
        <f t="shared" si="29"/>
        <v>204.75</v>
      </c>
      <c r="N181" s="1">
        <v>146</v>
      </c>
      <c r="O181" s="1">
        <f>VALUE(MID($T$2,FIND("*",SUBSTITUTE($T$2," ","*",N181),1)+1,FIND("*",SUBSTITUTE($T$2," ","*",N182),1)-FIND("*",SUBSTITUTE($T$2," ","*",N181),1)-1))/J9</f>
        <v>204.75</v>
      </c>
      <c r="P181" s="1">
        <f t="shared" si="31"/>
        <v>0.75</v>
      </c>
      <c r="R181" s="95">
        <v>146</v>
      </c>
      <c r="S181" s="89">
        <f t="shared" si="32"/>
        <v>204.75</v>
      </c>
      <c r="T181" s="7">
        <v>204.75</v>
      </c>
      <c r="U181" s="98">
        <v>0.75</v>
      </c>
      <c r="V181" s="7">
        <f t="shared" si="30"/>
        <v>819</v>
      </c>
    </row>
    <row r="182" spans="13:22" x14ac:dyDescent="0.25">
      <c r="M182" s="8">
        <f t="shared" si="29"/>
        <v>205.25</v>
      </c>
      <c r="N182" s="1">
        <v>147</v>
      </c>
      <c r="O182" s="1">
        <f>VALUE(MID($T$2,FIND("*",SUBSTITUTE($T$2," ","*",N182),1)+1,FIND("*",SUBSTITUTE($T$2," ","*",N183),1)-FIND("*",SUBSTITUTE($T$2," ","*",N182),1)-1))/J9</f>
        <v>205.25</v>
      </c>
      <c r="P182" s="1">
        <f t="shared" si="31"/>
        <v>0.5</v>
      </c>
      <c r="R182" s="95">
        <v>147</v>
      </c>
      <c r="S182" s="89">
        <f t="shared" si="32"/>
        <v>205.25</v>
      </c>
      <c r="T182" s="7">
        <v>205.25</v>
      </c>
      <c r="U182" s="98">
        <v>0.5</v>
      </c>
      <c r="V182" s="7">
        <f t="shared" si="30"/>
        <v>821</v>
      </c>
    </row>
    <row r="183" spans="13:22" x14ac:dyDescent="0.25">
      <c r="M183" s="8">
        <f t="shared" si="29"/>
        <v>205.75</v>
      </c>
      <c r="N183" s="1">
        <v>148</v>
      </c>
      <c r="O183" s="1">
        <f>VALUE(MID($T$2,FIND("*",SUBSTITUTE($T$2," ","*",N183),1)+1,FIND("*",SUBSTITUTE($T$2," ","*",N184),1)-FIND("*",SUBSTITUTE($T$2," ","*",N183),1)-1))/J9</f>
        <v>205.75</v>
      </c>
      <c r="P183" s="1">
        <f t="shared" si="31"/>
        <v>0.5</v>
      </c>
      <c r="R183" s="95">
        <v>148</v>
      </c>
      <c r="S183" s="89">
        <f t="shared" si="32"/>
        <v>205.75</v>
      </c>
      <c r="T183" s="7">
        <v>205.75</v>
      </c>
      <c r="U183" s="98">
        <v>0.5</v>
      </c>
      <c r="V183" s="7">
        <f t="shared" si="30"/>
        <v>823</v>
      </c>
    </row>
    <row r="184" spans="13:22" x14ac:dyDescent="0.25">
      <c r="M184" s="8">
        <f t="shared" si="29"/>
        <v>206.25</v>
      </c>
      <c r="N184" s="1">
        <v>149</v>
      </c>
      <c r="O184" s="1">
        <f>VALUE(MID($T$2,FIND("*",SUBSTITUTE($T$2," ","*",N184),1)+1,FIND("*",SUBSTITUTE($T$2," ","*",N185),1)-FIND("*",SUBSTITUTE($T$2," ","*",N184),1)-1))/J9</f>
        <v>206.25</v>
      </c>
      <c r="P184" s="1">
        <f t="shared" si="31"/>
        <v>0.5</v>
      </c>
      <c r="R184" s="95">
        <v>149</v>
      </c>
      <c r="S184" s="89">
        <f t="shared" si="32"/>
        <v>206.25</v>
      </c>
      <c r="T184" s="7">
        <v>206.25</v>
      </c>
      <c r="U184" s="98">
        <v>0.5</v>
      </c>
      <c r="V184" s="7">
        <f t="shared" si="30"/>
        <v>825</v>
      </c>
    </row>
    <row r="185" spans="13:22" x14ac:dyDescent="0.25">
      <c r="M185" s="8">
        <f t="shared" si="29"/>
        <v>206.75</v>
      </c>
      <c r="N185" s="1">
        <v>150</v>
      </c>
      <c r="O185" s="1">
        <f>VALUE(MID($T$2,FIND("*",SUBSTITUTE($T$2," ","*",N185),1)+1,FIND("*",SUBSTITUTE($T$2," ","*",N186),1)-FIND("*",SUBSTITUTE($T$2," ","*",N185),1)-1))/J9</f>
        <v>206.75</v>
      </c>
      <c r="P185" s="1">
        <f t="shared" si="31"/>
        <v>0.5</v>
      </c>
      <c r="R185" s="95">
        <v>150</v>
      </c>
      <c r="S185" s="89">
        <f t="shared" si="32"/>
        <v>206.75</v>
      </c>
      <c r="T185" s="7">
        <v>206.75</v>
      </c>
      <c r="U185" s="98">
        <v>0.5</v>
      </c>
      <c r="V185" s="7">
        <f t="shared" si="30"/>
        <v>827</v>
      </c>
    </row>
    <row r="186" spans="13:22" x14ac:dyDescent="0.25">
      <c r="M186" s="8">
        <f t="shared" si="29"/>
        <v>207.25</v>
      </c>
      <c r="N186" s="1">
        <v>151</v>
      </c>
      <c r="O186" s="1">
        <f>VALUE(MID($T$2,FIND("*",SUBSTITUTE($T$2," ","*",N186),1)+1,FIND("*",SUBSTITUTE($T$2," ","*",N187),1)-FIND("*",SUBSTITUTE($T$2," ","*",N186),1)-1))/J9</f>
        <v>207.25</v>
      </c>
      <c r="P186" s="1">
        <f t="shared" si="31"/>
        <v>0.5</v>
      </c>
      <c r="R186" s="95">
        <v>151</v>
      </c>
      <c r="S186" s="89">
        <f t="shared" si="32"/>
        <v>207.25</v>
      </c>
      <c r="T186" s="7">
        <v>207.25</v>
      </c>
      <c r="U186" s="98">
        <v>0.5</v>
      </c>
      <c r="V186" s="7">
        <f t="shared" si="30"/>
        <v>829</v>
      </c>
    </row>
    <row r="187" spans="13:22" x14ac:dyDescent="0.25">
      <c r="M187" s="8">
        <f t="shared" si="29"/>
        <v>207.75</v>
      </c>
      <c r="N187" s="1">
        <v>152</v>
      </c>
      <c r="O187" s="1">
        <f>VALUE(MID($T$2,FIND("*",SUBSTITUTE($T$2," ","*",N187),1)+1,FIND("*",SUBSTITUTE($T$2," ","*",N188),1)-FIND("*",SUBSTITUTE($T$2," ","*",N187),1)-1))/J9</f>
        <v>207.75</v>
      </c>
      <c r="P187" s="1">
        <f t="shared" si="31"/>
        <v>0.5</v>
      </c>
      <c r="R187" s="95">
        <v>152</v>
      </c>
      <c r="S187" s="89">
        <f t="shared" si="32"/>
        <v>207.75</v>
      </c>
      <c r="T187" s="7">
        <v>207.75</v>
      </c>
      <c r="U187" s="98">
        <v>0.5</v>
      </c>
      <c r="V187" s="7">
        <f t="shared" si="30"/>
        <v>831</v>
      </c>
    </row>
    <row r="188" spans="13:22" x14ac:dyDescent="0.25">
      <c r="M188" s="8">
        <f t="shared" si="29"/>
        <v>208.25</v>
      </c>
      <c r="N188" s="1">
        <v>153</v>
      </c>
      <c r="O188" s="1">
        <f>VALUE(MID($T$2,FIND("*",SUBSTITUTE($T$2," ","*",N188),1)+1,FIND("*",SUBSTITUTE($T$2," ","*",N189),1)-FIND("*",SUBSTITUTE($T$2," ","*",N188),1)-1))/J9</f>
        <v>208.25</v>
      </c>
      <c r="P188" s="1">
        <f t="shared" si="31"/>
        <v>0.5</v>
      </c>
      <c r="R188" s="95">
        <v>153</v>
      </c>
      <c r="S188" s="89">
        <f t="shared" si="32"/>
        <v>208.25</v>
      </c>
      <c r="T188" s="7">
        <v>208.25</v>
      </c>
      <c r="U188" s="98">
        <v>0.5</v>
      </c>
      <c r="V188" s="7">
        <f t="shared" si="30"/>
        <v>833</v>
      </c>
    </row>
    <row r="189" spans="13:22" x14ac:dyDescent="0.25">
      <c r="M189" s="8">
        <f t="shared" si="29"/>
        <v>209</v>
      </c>
      <c r="N189" s="1">
        <v>154</v>
      </c>
      <c r="O189" s="1">
        <f>VALUE(MID($T$2,FIND("*",SUBSTITUTE($T$2," ","*",N189),1)+1,FIND("*",SUBSTITUTE($T$2," ","*",N190),1)-FIND("*",SUBSTITUTE($T$2," ","*",N189),1)-1))/J9</f>
        <v>209</v>
      </c>
      <c r="P189" s="1">
        <f t="shared" si="31"/>
        <v>0.75</v>
      </c>
      <c r="R189" s="95">
        <v>154</v>
      </c>
      <c r="S189" s="89">
        <f t="shared" si="32"/>
        <v>209</v>
      </c>
      <c r="T189" s="7">
        <v>209</v>
      </c>
      <c r="U189" s="98">
        <v>0.75</v>
      </c>
      <c r="V189" s="7">
        <f t="shared" si="30"/>
        <v>836</v>
      </c>
    </row>
    <row r="190" spans="13:22" x14ac:dyDescent="0.25">
      <c r="M190" s="8">
        <f t="shared" si="29"/>
        <v>209.75</v>
      </c>
      <c r="N190" s="1">
        <v>155</v>
      </c>
      <c r="O190" s="1">
        <f>VALUE(MID($T$2,FIND("*",SUBSTITUTE($T$2," ","*",N190),1)+1,FIND("*",SUBSTITUTE($T$2," ","*",N191),1)-FIND("*",SUBSTITUTE($T$2," ","*",N190),1)-1))/J9</f>
        <v>209.75</v>
      </c>
      <c r="P190" s="1">
        <f t="shared" si="31"/>
        <v>0.75</v>
      </c>
      <c r="R190" s="95">
        <v>155</v>
      </c>
      <c r="S190" s="89">
        <f t="shared" si="32"/>
        <v>209.75</v>
      </c>
      <c r="T190" s="7">
        <v>209.75</v>
      </c>
      <c r="U190" s="98">
        <v>0.75</v>
      </c>
      <c r="V190" s="7">
        <f t="shared" si="30"/>
        <v>839</v>
      </c>
    </row>
    <row r="191" spans="13:22" x14ac:dyDescent="0.25">
      <c r="M191" s="8">
        <f t="shared" si="29"/>
        <v>210.25</v>
      </c>
      <c r="N191" s="1">
        <v>156</v>
      </c>
      <c r="O191" s="1">
        <f>VALUE(MID($T$2,FIND("*",SUBSTITUTE($T$2," ","*",N191),1)+1,FIND("*",SUBSTITUTE($T$2," ","*",N192),1)-FIND("*",SUBSTITUTE($T$2," ","*",N191),1)-1))/J9</f>
        <v>210.25</v>
      </c>
      <c r="P191" s="1">
        <f t="shared" si="31"/>
        <v>0.5</v>
      </c>
      <c r="R191" s="95">
        <v>156</v>
      </c>
      <c r="S191" s="89">
        <f t="shared" si="32"/>
        <v>210.25</v>
      </c>
      <c r="T191" s="7">
        <v>210.25</v>
      </c>
      <c r="U191" s="98">
        <v>0.5</v>
      </c>
      <c r="V191" s="7">
        <f t="shared" si="30"/>
        <v>841</v>
      </c>
    </row>
    <row r="192" spans="13:22" x14ac:dyDescent="0.25">
      <c r="M192" s="8">
        <f t="shared" si="29"/>
        <v>211</v>
      </c>
      <c r="N192" s="1">
        <v>157</v>
      </c>
      <c r="O192" s="1">
        <f>VALUE(MID($T$2,FIND("*",SUBSTITUTE($T$2," ","*",N192),1)+1,FIND("*",SUBSTITUTE($T$2," ","*",N193),1)-FIND("*",SUBSTITUTE($T$2," ","*",N192),1)-1))/J9</f>
        <v>211</v>
      </c>
      <c r="P192" s="1">
        <f t="shared" si="31"/>
        <v>0.75</v>
      </c>
      <c r="R192" s="95">
        <v>157</v>
      </c>
      <c r="S192" s="89">
        <f t="shared" si="32"/>
        <v>211</v>
      </c>
      <c r="T192" s="7">
        <v>211</v>
      </c>
      <c r="U192" s="98">
        <v>0.75</v>
      </c>
      <c r="V192" s="7">
        <f t="shared" si="30"/>
        <v>844</v>
      </c>
    </row>
    <row r="193" spans="13:22" x14ac:dyDescent="0.25">
      <c r="M193" s="8">
        <f t="shared" si="29"/>
        <v>211.5</v>
      </c>
      <c r="N193" s="1">
        <v>158</v>
      </c>
      <c r="O193" s="1">
        <f>VALUE(MID($T$2,FIND("*",SUBSTITUTE($T$2," ","*",N193),1)+1,FIND("*",SUBSTITUTE($T$2," ","*",N194),1)-FIND("*",SUBSTITUTE($T$2," ","*",N193),1)-1))/J9</f>
        <v>211.5</v>
      </c>
      <c r="P193" s="1">
        <f t="shared" si="31"/>
        <v>0.5</v>
      </c>
      <c r="R193" s="95">
        <v>158</v>
      </c>
      <c r="S193" s="89">
        <f t="shared" si="32"/>
        <v>211.5</v>
      </c>
      <c r="T193" s="7">
        <v>211.5</v>
      </c>
      <c r="U193" s="98">
        <v>0.5</v>
      </c>
      <c r="V193" s="7">
        <f t="shared" si="30"/>
        <v>846</v>
      </c>
    </row>
    <row r="194" spans="13:22" x14ac:dyDescent="0.25">
      <c r="M194" s="8">
        <f t="shared" si="29"/>
        <v>212</v>
      </c>
      <c r="N194" s="1">
        <v>159</v>
      </c>
      <c r="O194" s="1">
        <f>VALUE(MID($T$2,FIND("*",SUBSTITUTE($T$2," ","*",N194),1)+1,FIND("*",SUBSTITUTE($T$2," ","*",N195),1)-FIND("*",SUBSTITUTE($T$2," ","*",N194),1)-1))/J9</f>
        <v>212</v>
      </c>
      <c r="P194" s="1">
        <f t="shared" si="31"/>
        <v>0.5</v>
      </c>
      <c r="R194" s="95">
        <v>159</v>
      </c>
      <c r="S194" s="89">
        <f t="shared" si="32"/>
        <v>212</v>
      </c>
      <c r="T194" s="7">
        <v>212</v>
      </c>
      <c r="U194" s="98">
        <v>0.5</v>
      </c>
      <c r="V194" s="7">
        <f t="shared" si="30"/>
        <v>848</v>
      </c>
    </row>
    <row r="195" spans="13:22" x14ac:dyDescent="0.25">
      <c r="M195" s="8">
        <f t="shared" si="29"/>
        <v>212.75</v>
      </c>
      <c r="N195" s="1">
        <v>160</v>
      </c>
      <c r="O195" s="1">
        <f>VALUE(MID($T$2,FIND("*",SUBSTITUTE($T$2," ","*",N195),1)+1,FIND("*",SUBSTITUTE($T$2," ","*",N196),1)-FIND("*",SUBSTITUTE($T$2," ","*",N195),1)-1))/J9</f>
        <v>212.75</v>
      </c>
      <c r="P195" s="1">
        <f t="shared" si="31"/>
        <v>0.75</v>
      </c>
      <c r="R195" s="95">
        <v>160</v>
      </c>
      <c r="S195" s="89">
        <f t="shared" si="32"/>
        <v>212.75</v>
      </c>
      <c r="T195" s="7">
        <v>212.75</v>
      </c>
      <c r="U195" s="98">
        <v>0.75</v>
      </c>
      <c r="V195" s="7">
        <f t="shared" si="30"/>
        <v>851</v>
      </c>
    </row>
    <row r="196" spans="13:22" x14ac:dyDescent="0.25">
      <c r="M196" s="8">
        <f t="shared" si="29"/>
        <v>213.25</v>
      </c>
      <c r="N196" s="1">
        <v>161</v>
      </c>
      <c r="O196" s="1">
        <f>VALUE(MID($T$2,FIND("*",SUBSTITUTE($T$2," ","*",N196),1)+1,FIND("*",SUBSTITUTE($T$2," ","*",N197),1)-FIND("*",SUBSTITUTE($T$2," ","*",N196),1)-1))/J9</f>
        <v>213.25</v>
      </c>
      <c r="P196" s="1">
        <f t="shared" si="31"/>
        <v>0.5</v>
      </c>
      <c r="R196" s="95">
        <v>161</v>
      </c>
      <c r="S196" s="89">
        <f t="shared" si="32"/>
        <v>213.25</v>
      </c>
      <c r="T196" s="7">
        <v>213.25</v>
      </c>
      <c r="U196" s="98">
        <v>0.5</v>
      </c>
      <c r="V196" s="7">
        <f t="shared" si="30"/>
        <v>853</v>
      </c>
    </row>
    <row r="197" spans="13:22" x14ac:dyDescent="0.25">
      <c r="M197" s="8">
        <f t="shared" si="29"/>
        <v>213.75</v>
      </c>
      <c r="N197" s="1">
        <v>162</v>
      </c>
      <c r="O197" s="1">
        <f>VALUE(MID($T$2,FIND("*",SUBSTITUTE($T$2," ","*",N197),1)+1,FIND("*",SUBSTITUTE($T$2," ","*",N198),1)-FIND("*",SUBSTITUTE($T$2," ","*",N197),1)-1))/J9</f>
        <v>213.75</v>
      </c>
      <c r="P197" s="1">
        <f t="shared" si="31"/>
        <v>0.5</v>
      </c>
      <c r="R197" s="95">
        <v>162</v>
      </c>
      <c r="S197" s="89">
        <f t="shared" si="32"/>
        <v>213.75</v>
      </c>
      <c r="T197" s="7">
        <v>213.75</v>
      </c>
      <c r="U197" s="98">
        <v>0.5</v>
      </c>
      <c r="V197" s="7">
        <f t="shared" si="30"/>
        <v>855</v>
      </c>
    </row>
    <row r="198" spans="13:22" x14ac:dyDescent="0.25">
      <c r="M198" s="8">
        <f t="shared" si="29"/>
        <v>214.25</v>
      </c>
      <c r="N198" s="1">
        <v>163</v>
      </c>
      <c r="O198" s="1">
        <f>VALUE(MID($T$2,FIND("*",SUBSTITUTE($T$2," ","*",N198),1)+1,FIND("*",SUBSTITUTE($T$2," ","*",N199),1)-FIND("*",SUBSTITUTE($T$2," ","*",N198),1)-1))/J9</f>
        <v>214.25</v>
      </c>
      <c r="P198" s="1">
        <f t="shared" si="31"/>
        <v>0.5</v>
      </c>
      <c r="R198" s="95">
        <v>163</v>
      </c>
      <c r="S198" s="89">
        <f t="shared" si="32"/>
        <v>214.25</v>
      </c>
      <c r="T198" s="7">
        <v>214.25</v>
      </c>
      <c r="U198" s="98">
        <v>0.5</v>
      </c>
      <c r="V198" s="7">
        <f t="shared" si="30"/>
        <v>857</v>
      </c>
    </row>
    <row r="199" spans="13:22" x14ac:dyDescent="0.25">
      <c r="M199" s="8">
        <f t="shared" si="29"/>
        <v>214.75</v>
      </c>
      <c r="N199" s="1">
        <v>164</v>
      </c>
      <c r="O199" s="1">
        <f>VALUE(MID($T$2,FIND("*",SUBSTITUTE($T$2," ","*",N199),1)+1,FIND("*",SUBSTITUTE($T$2," ","*",N200),1)-FIND("*",SUBSTITUTE($T$2," ","*",N199),1)-1))/J9</f>
        <v>214.75</v>
      </c>
      <c r="P199" s="1">
        <f t="shared" si="31"/>
        <v>0.5</v>
      </c>
      <c r="R199" s="95">
        <v>164</v>
      </c>
      <c r="S199" s="89">
        <f t="shared" si="32"/>
        <v>214.75</v>
      </c>
      <c r="T199" s="7">
        <v>214.75</v>
      </c>
      <c r="U199" s="98">
        <v>0.5</v>
      </c>
      <c r="V199" s="7">
        <f t="shared" si="30"/>
        <v>859</v>
      </c>
    </row>
    <row r="200" spans="13:22" x14ac:dyDescent="0.25">
      <c r="M200" s="8">
        <f t="shared" si="29"/>
        <v>215.25</v>
      </c>
      <c r="N200" s="1">
        <v>165</v>
      </c>
      <c r="O200" s="1">
        <f>VALUE(MID($T$2,FIND("*",SUBSTITUTE($T$2," ","*",N200),1)+1,FIND("*",SUBSTITUTE($T$2," ","*",N201),1)-FIND("*",SUBSTITUTE($T$2," ","*",N200),1)-1))/J9</f>
        <v>215.25</v>
      </c>
      <c r="P200" s="1">
        <f t="shared" si="31"/>
        <v>0.5</v>
      </c>
      <c r="R200" s="95">
        <v>165</v>
      </c>
      <c r="S200" s="89">
        <f t="shared" si="32"/>
        <v>215.25</v>
      </c>
      <c r="T200" s="7">
        <v>215.25</v>
      </c>
      <c r="U200" s="98">
        <v>0.5</v>
      </c>
      <c r="V200" s="7">
        <f t="shared" si="30"/>
        <v>861</v>
      </c>
    </row>
    <row r="201" spans="13:22" x14ac:dyDescent="0.25">
      <c r="M201" s="8">
        <f t="shared" si="29"/>
        <v>216</v>
      </c>
      <c r="N201" s="1">
        <v>166</v>
      </c>
      <c r="O201" s="1">
        <f>VALUE(MID($T$2,FIND("*",SUBSTITUTE($T$2," ","*",N201),1)+1,FIND("*",SUBSTITUTE($T$2," ","*",N202),1)-FIND("*",SUBSTITUTE($T$2," ","*",N201),1)-1))/J9</f>
        <v>216</v>
      </c>
      <c r="P201" s="1">
        <f t="shared" si="31"/>
        <v>0.75</v>
      </c>
      <c r="R201" s="95">
        <v>166</v>
      </c>
      <c r="S201" s="89">
        <f t="shared" si="32"/>
        <v>216</v>
      </c>
      <c r="T201" s="7">
        <v>216</v>
      </c>
      <c r="U201" s="98">
        <v>0.75</v>
      </c>
      <c r="V201" s="7">
        <f t="shared" si="30"/>
        <v>864</v>
      </c>
    </row>
    <row r="202" spans="13:22" x14ac:dyDescent="0.25">
      <c r="M202" s="8">
        <f t="shared" si="29"/>
        <v>216.5</v>
      </c>
      <c r="N202" s="1">
        <v>167</v>
      </c>
      <c r="O202" s="1">
        <f>VALUE(MID($T$2,FIND("*",SUBSTITUTE($T$2," ","*",N202),1)+1,FIND("*",SUBSTITUTE($T$2," ","*",N203),1)-FIND("*",SUBSTITUTE($T$2," ","*",N202),1)-1))/J9</f>
        <v>216.5</v>
      </c>
      <c r="P202" s="1">
        <f t="shared" si="31"/>
        <v>0.5</v>
      </c>
      <c r="R202" s="95">
        <v>167</v>
      </c>
      <c r="S202" s="89">
        <f t="shared" si="32"/>
        <v>216.5</v>
      </c>
      <c r="T202" s="7">
        <v>216.5</v>
      </c>
      <c r="U202" s="98">
        <v>0.5</v>
      </c>
      <c r="V202" s="7">
        <f t="shared" si="30"/>
        <v>866</v>
      </c>
    </row>
    <row r="203" spans="13:22" x14ac:dyDescent="0.25">
      <c r="M203" s="8">
        <f t="shared" si="29"/>
        <v>217</v>
      </c>
      <c r="N203" s="1">
        <v>168</v>
      </c>
      <c r="O203" s="1">
        <f>VALUE(MID($T$2,FIND("*",SUBSTITUTE($T$2," ","*",N203),1)+1,FIND("*",SUBSTITUTE($T$2," ","*",N204),1)-FIND("*",SUBSTITUTE($T$2," ","*",N203),1)-1))/J9</f>
        <v>217</v>
      </c>
      <c r="P203" s="1">
        <f t="shared" si="31"/>
        <v>0.5</v>
      </c>
      <c r="R203" s="95">
        <v>168</v>
      </c>
      <c r="S203" s="89">
        <f t="shared" si="32"/>
        <v>217</v>
      </c>
      <c r="T203" s="7">
        <v>217</v>
      </c>
      <c r="U203" s="98">
        <v>0.5</v>
      </c>
      <c r="V203" s="7">
        <f t="shared" si="30"/>
        <v>868</v>
      </c>
    </row>
    <row r="204" spans="13:22" x14ac:dyDescent="0.25">
      <c r="M204" s="8">
        <f t="shared" si="29"/>
        <v>217.5</v>
      </c>
      <c r="N204" s="1">
        <v>169</v>
      </c>
      <c r="O204" s="1">
        <f>VALUE(MID($T$2,FIND("*",SUBSTITUTE($T$2," ","*",N204),1)+1,FIND("*",SUBSTITUTE($T$2," ","*",N205),1)-FIND("*",SUBSTITUTE($T$2," ","*",N204),1)-1))/J9</f>
        <v>217.5</v>
      </c>
      <c r="P204" s="1">
        <f t="shared" si="31"/>
        <v>0.5</v>
      </c>
      <c r="R204" s="95">
        <v>169</v>
      </c>
      <c r="S204" s="89">
        <f t="shared" si="32"/>
        <v>217.5</v>
      </c>
      <c r="T204" s="7">
        <v>217.5</v>
      </c>
      <c r="U204" s="98">
        <v>0.5</v>
      </c>
      <c r="V204" s="7">
        <f t="shared" si="30"/>
        <v>870</v>
      </c>
    </row>
    <row r="205" spans="13:22" x14ac:dyDescent="0.25">
      <c r="M205" s="8">
        <f t="shared" si="29"/>
        <v>218</v>
      </c>
      <c r="N205" s="1">
        <v>170</v>
      </c>
      <c r="O205" s="1">
        <f>VALUE(MID($T$2,FIND("*",SUBSTITUTE($T$2," ","*",N205),1)+1,FIND("*",SUBSTITUTE($T$2," ","*",N206),1)-FIND("*",SUBSTITUTE($T$2," ","*",N205),1)-1))/J9</f>
        <v>218</v>
      </c>
      <c r="P205" s="1">
        <f t="shared" si="31"/>
        <v>0.5</v>
      </c>
      <c r="R205" s="95">
        <v>170</v>
      </c>
      <c r="S205" s="89">
        <f t="shared" si="32"/>
        <v>218</v>
      </c>
      <c r="T205" s="7">
        <v>218</v>
      </c>
      <c r="U205" s="98">
        <v>0.5</v>
      </c>
      <c r="V205" s="7">
        <f t="shared" si="30"/>
        <v>872</v>
      </c>
    </row>
    <row r="206" spans="13:22" x14ac:dyDescent="0.25">
      <c r="M206" s="8">
        <f t="shared" si="29"/>
        <v>218.5</v>
      </c>
      <c r="N206" s="1">
        <v>171</v>
      </c>
      <c r="O206" s="1">
        <f>VALUE(MID($T$2,FIND("*",SUBSTITUTE($T$2," ","*",N206),1)+1,FIND("*",SUBSTITUTE($T$2," ","*",N207),1)-FIND("*",SUBSTITUTE($T$2," ","*",N206),1)-1))/J9</f>
        <v>218.5</v>
      </c>
      <c r="P206" s="1">
        <f t="shared" si="31"/>
        <v>0.5</v>
      </c>
      <c r="R206" s="95">
        <v>171</v>
      </c>
      <c r="S206" s="89">
        <f t="shared" si="32"/>
        <v>218.5</v>
      </c>
      <c r="T206" s="7">
        <v>218.5</v>
      </c>
      <c r="U206" s="98">
        <v>0.5</v>
      </c>
      <c r="V206" s="7">
        <f t="shared" si="30"/>
        <v>874</v>
      </c>
    </row>
    <row r="207" spans="13:22" x14ac:dyDescent="0.25">
      <c r="M207" s="8">
        <f t="shared" si="29"/>
        <v>219</v>
      </c>
      <c r="N207" s="1">
        <v>172</v>
      </c>
      <c r="O207" s="1">
        <f>VALUE(MID($T$2,FIND("*",SUBSTITUTE($T$2," ","*",N207),1)+1,FIND("*",SUBSTITUTE($T$2," ","*",N208),1)-FIND("*",SUBSTITUTE($T$2," ","*",N207),1)-1))/J9</f>
        <v>219</v>
      </c>
      <c r="P207" s="1">
        <f t="shared" si="31"/>
        <v>0.5</v>
      </c>
      <c r="R207" s="95">
        <v>172</v>
      </c>
      <c r="S207" s="89">
        <f t="shared" si="32"/>
        <v>219</v>
      </c>
      <c r="T207" s="7">
        <v>219</v>
      </c>
      <c r="U207" s="98">
        <v>0.5</v>
      </c>
      <c r="V207" s="7">
        <f t="shared" si="30"/>
        <v>876</v>
      </c>
    </row>
    <row r="208" spans="13:22" x14ac:dyDescent="0.25">
      <c r="M208" s="8">
        <f t="shared" si="29"/>
        <v>219.5</v>
      </c>
      <c r="N208" s="1">
        <v>173</v>
      </c>
      <c r="O208" s="1">
        <f>VALUE(MID($T$2,FIND("*",SUBSTITUTE($T$2," ","*",N208),1)+1,FIND("*",SUBSTITUTE($T$2," ","*",N209),1)-FIND("*",SUBSTITUTE($T$2," ","*",N208),1)-1))/J9</f>
        <v>219.5</v>
      </c>
      <c r="P208" s="1">
        <f t="shared" si="31"/>
        <v>0.5</v>
      </c>
      <c r="R208" s="95">
        <v>173</v>
      </c>
      <c r="S208" s="89">
        <f t="shared" si="32"/>
        <v>219.5</v>
      </c>
      <c r="T208" s="7">
        <v>219.5</v>
      </c>
      <c r="U208" s="98">
        <v>0.5</v>
      </c>
      <c r="V208" s="7">
        <f t="shared" si="30"/>
        <v>878</v>
      </c>
    </row>
    <row r="209" spans="13:22" x14ac:dyDescent="0.25">
      <c r="M209" s="8">
        <f t="shared" si="29"/>
        <v>220</v>
      </c>
      <c r="N209" s="1">
        <v>174</v>
      </c>
      <c r="O209" s="1">
        <f>VALUE(MID($T$2,FIND("*",SUBSTITUTE($T$2," ","*",N209),1)+1,FIND("*",SUBSTITUTE($T$2," ","*",N210),1)-FIND("*",SUBSTITUTE($T$2," ","*",N209),1)-1))/J9</f>
        <v>220</v>
      </c>
      <c r="P209" s="1">
        <f t="shared" si="31"/>
        <v>0.5</v>
      </c>
      <c r="R209" s="95">
        <v>174</v>
      </c>
      <c r="S209" s="89">
        <f t="shared" si="32"/>
        <v>220</v>
      </c>
      <c r="T209" s="7">
        <v>220</v>
      </c>
      <c r="U209" s="98">
        <v>0.5</v>
      </c>
      <c r="V209" s="7">
        <f t="shared" si="30"/>
        <v>880</v>
      </c>
    </row>
    <row r="210" spans="13:22" x14ac:dyDescent="0.25">
      <c r="M210" s="8">
        <f t="shared" si="29"/>
        <v>220.5</v>
      </c>
      <c r="N210" s="1">
        <v>175</v>
      </c>
      <c r="O210" s="1">
        <f>VALUE(MID($T$2,FIND("*",SUBSTITUTE($T$2," ","*",N210),1)+1,FIND("*",SUBSTITUTE($T$2," ","*",N211),1)-FIND("*",SUBSTITUTE($T$2," ","*",N210),1)-1))/J9</f>
        <v>220.5</v>
      </c>
      <c r="P210" s="1">
        <f t="shared" si="31"/>
        <v>0.5</v>
      </c>
      <c r="R210" s="95">
        <v>175</v>
      </c>
      <c r="S210" s="89">
        <f t="shared" si="32"/>
        <v>220.5</v>
      </c>
      <c r="T210" s="7">
        <v>220.5</v>
      </c>
      <c r="U210" s="98">
        <v>0.5</v>
      </c>
      <c r="V210" s="7">
        <f t="shared" si="30"/>
        <v>882</v>
      </c>
    </row>
    <row r="211" spans="13:22" x14ac:dyDescent="0.25">
      <c r="M211" s="8">
        <f t="shared" si="29"/>
        <v>221</v>
      </c>
      <c r="N211" s="1">
        <v>176</v>
      </c>
      <c r="O211" s="1">
        <f>VALUE(MID($T$2,FIND("*",SUBSTITUTE($T$2," ","*",N211),1)+1,FIND("*",SUBSTITUTE($T$2," ","*",N212),1)-FIND("*",SUBSTITUTE($T$2," ","*",N211),1)-1))/J9</f>
        <v>221</v>
      </c>
      <c r="P211" s="1">
        <f t="shared" si="31"/>
        <v>0.5</v>
      </c>
      <c r="R211" s="95">
        <v>176</v>
      </c>
      <c r="S211" s="89">
        <f t="shared" si="32"/>
        <v>221</v>
      </c>
      <c r="T211" s="7">
        <v>221</v>
      </c>
      <c r="U211" s="98">
        <v>0.5</v>
      </c>
      <c r="V211" s="7">
        <f t="shared" si="30"/>
        <v>884</v>
      </c>
    </row>
    <row r="212" spans="13:22" x14ac:dyDescent="0.25">
      <c r="M212" s="8">
        <f t="shared" si="29"/>
        <v>221.5</v>
      </c>
      <c r="N212" s="1">
        <v>177</v>
      </c>
      <c r="O212" s="1">
        <f>VALUE(MID($T$2,FIND("*",SUBSTITUTE($T$2," ","*",N212),1)+1,FIND("*",SUBSTITUTE($T$2," ","*",N213),1)-FIND("*",SUBSTITUTE($T$2," ","*",N212),1)-1))/J9</f>
        <v>221.5</v>
      </c>
      <c r="P212" s="1">
        <f t="shared" si="31"/>
        <v>0.5</v>
      </c>
      <c r="R212" s="95">
        <v>177</v>
      </c>
      <c r="S212" s="89">
        <f t="shared" si="32"/>
        <v>221.5</v>
      </c>
      <c r="T212" s="7">
        <v>221.5</v>
      </c>
      <c r="U212" s="98">
        <v>0.5</v>
      </c>
      <c r="V212" s="7">
        <f t="shared" si="30"/>
        <v>886</v>
      </c>
    </row>
    <row r="213" spans="13:22" x14ac:dyDescent="0.25">
      <c r="M213" s="8">
        <f t="shared" si="29"/>
        <v>222</v>
      </c>
      <c r="N213" s="1">
        <v>178</v>
      </c>
      <c r="O213" s="1">
        <f>VALUE(MID($T$2,FIND("*",SUBSTITUTE($T$2," ","*",N213),1)+1,FIND("*",SUBSTITUTE($T$2," ","*",N214),1)-FIND("*",SUBSTITUTE($T$2," ","*",N213),1)-1))/J9</f>
        <v>222</v>
      </c>
      <c r="P213" s="1">
        <f t="shared" si="31"/>
        <v>0.5</v>
      </c>
      <c r="R213" s="95">
        <v>178</v>
      </c>
      <c r="S213" s="89">
        <f t="shared" si="32"/>
        <v>222</v>
      </c>
      <c r="T213" s="7">
        <v>222</v>
      </c>
      <c r="U213" s="98">
        <v>0.5</v>
      </c>
      <c r="V213" s="7">
        <f t="shared" si="30"/>
        <v>888</v>
      </c>
    </row>
    <row r="214" spans="13:22" x14ac:dyDescent="0.25">
      <c r="M214" s="8">
        <f t="shared" si="29"/>
        <v>222.5</v>
      </c>
      <c r="N214" s="1">
        <v>179</v>
      </c>
      <c r="O214" s="1">
        <f>VALUE(MID($T$2,FIND("*",SUBSTITUTE($T$2," ","*",N214),1)+1,FIND("*",SUBSTITUTE($T$2," ","*",N215),1)-FIND("*",SUBSTITUTE($T$2," ","*",N214),1)-1))/J9</f>
        <v>222.5</v>
      </c>
      <c r="P214" s="1">
        <f t="shared" si="31"/>
        <v>0.5</v>
      </c>
      <c r="R214" s="95">
        <v>179</v>
      </c>
      <c r="S214" s="89">
        <f t="shared" si="32"/>
        <v>222.5</v>
      </c>
      <c r="T214" s="7">
        <v>222.5</v>
      </c>
      <c r="U214" s="98">
        <v>0.5</v>
      </c>
      <c r="V214" s="7">
        <f t="shared" si="30"/>
        <v>890</v>
      </c>
    </row>
    <row r="215" spans="13:22" x14ac:dyDescent="0.25">
      <c r="M215" s="8">
        <f t="shared" si="29"/>
        <v>223</v>
      </c>
      <c r="N215" s="1">
        <v>180</v>
      </c>
      <c r="O215" s="1">
        <f>VALUE(MID($T$2,FIND("*",SUBSTITUTE($T$2," ","*",N215),1)+1,FIND("*",SUBSTITUTE($T$2," ","*",N216),1)-FIND("*",SUBSTITUTE($T$2," ","*",N215),1)-1))/J9</f>
        <v>223</v>
      </c>
      <c r="P215" s="1">
        <f t="shared" si="31"/>
        <v>0.5</v>
      </c>
      <c r="R215" s="95">
        <v>180</v>
      </c>
      <c r="S215" s="89">
        <f t="shared" si="32"/>
        <v>223</v>
      </c>
      <c r="T215" s="7">
        <v>223</v>
      </c>
      <c r="U215" s="98">
        <v>0.5</v>
      </c>
      <c r="V215" s="7">
        <f t="shared" si="30"/>
        <v>892</v>
      </c>
    </row>
    <row r="216" spans="13:22" x14ac:dyDescent="0.25">
      <c r="M216" s="8">
        <f t="shared" si="29"/>
        <v>223.5</v>
      </c>
      <c r="N216" s="1">
        <v>181</v>
      </c>
      <c r="O216" s="1">
        <f>VALUE(MID($T$2,FIND("*",SUBSTITUTE($T$2," ","*",N216),1)+1,FIND("*",SUBSTITUTE($T$2," ","*",N217),1)-FIND("*",SUBSTITUTE($T$2," ","*",N216),1)-1))/J9</f>
        <v>223.5</v>
      </c>
      <c r="P216" s="1">
        <f t="shared" si="31"/>
        <v>0.5</v>
      </c>
      <c r="R216" s="95">
        <v>181</v>
      </c>
      <c r="S216" s="89">
        <f t="shared" si="32"/>
        <v>223.5</v>
      </c>
      <c r="T216" s="7">
        <v>223.5</v>
      </c>
      <c r="U216" s="98">
        <v>0.5</v>
      </c>
      <c r="V216" s="7">
        <f t="shared" si="30"/>
        <v>894</v>
      </c>
    </row>
    <row r="217" spans="13:22" x14ac:dyDescent="0.25">
      <c r="M217" s="8">
        <f t="shared" si="29"/>
        <v>224</v>
      </c>
      <c r="N217" s="1">
        <v>182</v>
      </c>
      <c r="O217" s="1">
        <f>VALUE(MID($T$2,FIND("*",SUBSTITUTE($T$2," ","*",N217),1)+1,FIND("*",SUBSTITUTE($T$2," ","*",N218),1)-FIND("*",SUBSTITUTE($T$2," ","*",N217),1)-1))/J9</f>
        <v>224</v>
      </c>
      <c r="P217" s="1">
        <f t="shared" si="31"/>
        <v>0.5</v>
      </c>
      <c r="R217" s="95">
        <v>182</v>
      </c>
      <c r="S217" s="89">
        <f t="shared" si="32"/>
        <v>224</v>
      </c>
      <c r="T217" s="7">
        <v>224</v>
      </c>
      <c r="U217" s="98">
        <v>0.5</v>
      </c>
      <c r="V217" s="7">
        <f t="shared" si="30"/>
        <v>896</v>
      </c>
    </row>
    <row r="218" spans="13:22" x14ac:dyDescent="0.25">
      <c r="M218" s="8">
        <f t="shared" si="29"/>
        <v>224.5</v>
      </c>
      <c r="N218" s="1">
        <v>183</v>
      </c>
      <c r="O218" s="1">
        <f>VALUE(MID($T$2,FIND("*",SUBSTITUTE($T$2," ","*",N218),1)+1,FIND("*",SUBSTITUTE($T$2," ","*",N219),1)-FIND("*",SUBSTITUTE($T$2," ","*",N218),1)-1))/J9</f>
        <v>224.5</v>
      </c>
      <c r="P218" s="1">
        <f t="shared" si="31"/>
        <v>0.5</v>
      </c>
      <c r="R218" s="95">
        <v>183</v>
      </c>
      <c r="S218" s="89">
        <f t="shared" si="32"/>
        <v>224.5</v>
      </c>
      <c r="T218" s="7">
        <v>224.5</v>
      </c>
      <c r="U218" s="98">
        <v>0.5</v>
      </c>
      <c r="V218" s="7">
        <f t="shared" si="30"/>
        <v>898</v>
      </c>
    </row>
    <row r="219" spans="13:22" x14ac:dyDescent="0.25">
      <c r="M219" s="8">
        <f t="shared" si="29"/>
        <v>225</v>
      </c>
      <c r="N219" s="1">
        <v>184</v>
      </c>
      <c r="O219" s="1">
        <f>VALUE(MID($T$2,FIND("*",SUBSTITUTE($T$2," ","*",N219),1)+1,FIND("*",SUBSTITUTE($T$2," ","*",N220),1)-FIND("*",SUBSTITUTE($T$2," ","*",N219),1)-1))/J9</f>
        <v>225</v>
      </c>
      <c r="P219" s="1">
        <f t="shared" si="31"/>
        <v>0.5</v>
      </c>
      <c r="R219" s="95">
        <v>184</v>
      </c>
      <c r="S219" s="89">
        <f t="shared" si="32"/>
        <v>225</v>
      </c>
      <c r="T219" s="7">
        <v>225</v>
      </c>
      <c r="U219" s="98">
        <v>0.5</v>
      </c>
      <c r="V219" s="7">
        <f t="shared" si="30"/>
        <v>900</v>
      </c>
    </row>
    <row r="220" spans="13:22" x14ac:dyDescent="0.25">
      <c r="M220" s="8">
        <f t="shared" si="29"/>
        <v>225.75</v>
      </c>
      <c r="N220" s="1">
        <v>185</v>
      </c>
      <c r="O220" s="1">
        <f>VALUE(MID($T$2,FIND("*",SUBSTITUTE($T$2," ","*",N220),1)+1,FIND("*",SUBSTITUTE($T$2," ","*",N221),1)-FIND("*",SUBSTITUTE($T$2," ","*",N220),1)-1))/J9</f>
        <v>225.75</v>
      </c>
      <c r="P220" s="1">
        <f t="shared" si="31"/>
        <v>0.75</v>
      </c>
      <c r="R220" s="95">
        <v>185</v>
      </c>
      <c r="S220" s="89">
        <f t="shared" si="32"/>
        <v>225.75</v>
      </c>
      <c r="T220" s="7">
        <v>225.75</v>
      </c>
      <c r="U220" s="98">
        <v>0.75</v>
      </c>
      <c r="V220" s="7">
        <f t="shared" si="30"/>
        <v>903</v>
      </c>
    </row>
    <row r="221" spans="13:22" x14ac:dyDescent="0.25">
      <c r="M221" s="8">
        <f t="shared" si="29"/>
        <v>226.25</v>
      </c>
      <c r="N221" s="1">
        <v>186</v>
      </c>
      <c r="O221" s="1">
        <f>VALUE(MID($T$2,FIND("*",SUBSTITUTE($T$2," ","*",N221),1)+1,FIND("*",SUBSTITUTE($T$2," ","*",N222),1)-FIND("*",SUBSTITUTE($T$2," ","*",N221),1)-1))/J9</f>
        <v>226.25</v>
      </c>
      <c r="P221" s="1">
        <f t="shared" si="31"/>
        <v>0.5</v>
      </c>
      <c r="R221" s="95">
        <v>186</v>
      </c>
      <c r="S221" s="89">
        <f t="shared" si="32"/>
        <v>226.25</v>
      </c>
      <c r="T221" s="7">
        <v>226.25</v>
      </c>
      <c r="U221" s="98">
        <v>0.5</v>
      </c>
      <c r="V221" s="7">
        <f t="shared" si="30"/>
        <v>905</v>
      </c>
    </row>
    <row r="222" spans="13:22" x14ac:dyDescent="0.25">
      <c r="M222" s="8">
        <f t="shared" si="29"/>
        <v>226.75</v>
      </c>
      <c r="N222" s="1">
        <v>187</v>
      </c>
      <c r="O222" s="1">
        <f>VALUE(MID($T$2,FIND("*",SUBSTITUTE($T$2," ","*",N222),1)+1,FIND("*",SUBSTITUTE($T$2," ","*",N223),1)-FIND("*",SUBSTITUTE($T$2," ","*",N222),1)-1))/J9</f>
        <v>226.75</v>
      </c>
      <c r="P222" s="1">
        <f t="shared" si="31"/>
        <v>0.5</v>
      </c>
      <c r="R222" s="95">
        <v>187</v>
      </c>
      <c r="S222" s="89">
        <f t="shared" si="32"/>
        <v>226.75</v>
      </c>
      <c r="T222" s="7">
        <v>226.75</v>
      </c>
      <c r="U222" s="98">
        <v>0.5</v>
      </c>
      <c r="V222" s="7">
        <f t="shared" si="30"/>
        <v>907</v>
      </c>
    </row>
    <row r="223" spans="13:22" x14ac:dyDescent="0.25">
      <c r="M223" s="8">
        <f t="shared" si="29"/>
        <v>227.25</v>
      </c>
      <c r="N223" s="1">
        <v>188</v>
      </c>
      <c r="O223" s="1">
        <f>VALUE(MID($T$2,FIND("*",SUBSTITUTE($T$2," ","*",N223),1)+1,FIND("*",SUBSTITUTE($T$2," ","*",N224),1)-FIND("*",SUBSTITUTE($T$2," ","*",N223),1)-1))/J9</f>
        <v>227.25</v>
      </c>
      <c r="P223" s="1">
        <f t="shared" si="31"/>
        <v>0.5</v>
      </c>
      <c r="R223" s="95">
        <v>188</v>
      </c>
      <c r="S223" s="89">
        <f t="shared" si="32"/>
        <v>227.25</v>
      </c>
      <c r="T223" s="7">
        <v>227.25</v>
      </c>
      <c r="U223" s="98">
        <v>0.5</v>
      </c>
      <c r="V223" s="7">
        <f t="shared" si="30"/>
        <v>909</v>
      </c>
    </row>
    <row r="224" spans="13:22" x14ac:dyDescent="0.25">
      <c r="M224" s="8">
        <f t="shared" si="29"/>
        <v>227.75</v>
      </c>
      <c r="N224" s="1">
        <v>189</v>
      </c>
      <c r="O224" s="1">
        <f>VALUE(MID($T$2,FIND("*",SUBSTITUTE($T$2," ","*",N224),1)+1,FIND("*",SUBSTITUTE($T$2," ","*",N225),1)-FIND("*",SUBSTITUTE($T$2," ","*",N224),1)-1))/J9</f>
        <v>227.75</v>
      </c>
      <c r="P224" s="1">
        <f t="shared" si="31"/>
        <v>0.5</v>
      </c>
      <c r="R224" s="95">
        <v>189</v>
      </c>
      <c r="S224" s="89">
        <f t="shared" si="32"/>
        <v>227.75</v>
      </c>
      <c r="T224" s="7">
        <v>227.75</v>
      </c>
      <c r="U224" s="98">
        <v>0.5</v>
      </c>
      <c r="V224" s="7">
        <f t="shared" si="30"/>
        <v>911</v>
      </c>
    </row>
    <row r="225" spans="13:22" x14ac:dyDescent="0.25">
      <c r="M225" s="8">
        <f t="shared" si="29"/>
        <v>228.25</v>
      </c>
      <c r="N225" s="1">
        <v>190</v>
      </c>
      <c r="O225" s="1">
        <f>VALUE(MID($T$2,FIND("*",SUBSTITUTE($T$2," ","*",N225),1)+1,FIND("*",SUBSTITUTE($T$2," ","*",N226),1)-FIND("*",SUBSTITUTE($T$2," ","*",N225),1)-1))/J9</f>
        <v>228.25</v>
      </c>
      <c r="P225" s="1">
        <f t="shared" si="31"/>
        <v>0.5</v>
      </c>
      <c r="R225" s="95">
        <v>190</v>
      </c>
      <c r="S225" s="89">
        <f t="shared" si="32"/>
        <v>228.25</v>
      </c>
      <c r="T225" s="7">
        <v>228.25</v>
      </c>
      <c r="U225" s="98">
        <v>0.5</v>
      </c>
      <c r="V225" s="7">
        <f t="shared" si="30"/>
        <v>913</v>
      </c>
    </row>
    <row r="226" spans="13:22" x14ac:dyDescent="0.25">
      <c r="M226" s="8">
        <f t="shared" si="29"/>
        <v>228.75</v>
      </c>
      <c r="N226" s="1">
        <v>191</v>
      </c>
      <c r="O226" s="1">
        <f>VALUE(MID($T$2,FIND("*",SUBSTITUTE($T$2," ","*",N226),1)+1,FIND("*",SUBSTITUTE($T$2," ","*",N227),1)-FIND("*",SUBSTITUTE($T$2," ","*",N226),1)-1))/J9</f>
        <v>228.75</v>
      </c>
      <c r="P226" s="1">
        <f t="shared" si="31"/>
        <v>0.5</v>
      </c>
      <c r="R226" s="95">
        <v>191</v>
      </c>
      <c r="S226" s="89">
        <f t="shared" si="32"/>
        <v>228.75</v>
      </c>
      <c r="T226" s="7">
        <v>228.75</v>
      </c>
      <c r="U226" s="98">
        <v>0.5</v>
      </c>
      <c r="V226" s="7">
        <f t="shared" si="30"/>
        <v>915</v>
      </c>
    </row>
    <row r="227" spans="13:22" x14ac:dyDescent="0.25">
      <c r="M227" s="8">
        <f t="shared" si="29"/>
        <v>229</v>
      </c>
      <c r="N227" s="1">
        <v>192</v>
      </c>
      <c r="O227" s="1">
        <f>VALUE(MID($T$2,FIND("*",SUBSTITUTE($T$2," ","*",N227),1)+1,FIND("*",SUBSTITUTE($T$2," ","*",N228),1)-FIND("*",SUBSTITUTE($T$2," ","*",N227),1)-1))/J9</f>
        <v>229</v>
      </c>
      <c r="P227" s="1">
        <f t="shared" si="31"/>
        <v>0.25</v>
      </c>
      <c r="R227" s="95">
        <v>192</v>
      </c>
      <c r="S227" s="89">
        <f t="shared" si="32"/>
        <v>229</v>
      </c>
      <c r="T227" s="7">
        <v>229</v>
      </c>
      <c r="U227" s="98">
        <v>0.25</v>
      </c>
      <c r="V227" s="7">
        <f t="shared" si="30"/>
        <v>916</v>
      </c>
    </row>
    <row r="228" spans="13:22" x14ac:dyDescent="0.25">
      <c r="M228" s="8">
        <f t="shared" ref="M228:M291" si="33">O228</f>
        <v>229.5</v>
      </c>
      <c r="N228" s="1">
        <v>193</v>
      </c>
      <c r="O228" s="1">
        <f>VALUE(MID($T$2,FIND("*",SUBSTITUTE($T$2," ","*",N228),1)+1,FIND("*",SUBSTITUTE($T$2," ","*",N229),1)-FIND("*",SUBSTITUTE($T$2," ","*",N228),1)-1))/J9</f>
        <v>229.5</v>
      </c>
      <c r="P228" s="1">
        <f t="shared" si="31"/>
        <v>0.5</v>
      </c>
      <c r="R228" s="95">
        <v>193</v>
      </c>
      <c r="S228" s="89">
        <f t="shared" si="32"/>
        <v>229.5</v>
      </c>
      <c r="T228" s="7">
        <v>229.5</v>
      </c>
      <c r="U228" s="98">
        <v>0.5</v>
      </c>
      <c r="V228" s="7">
        <f t="shared" ref="V228:V291" si="34">ROUND(S228*$J$9,0)</f>
        <v>918</v>
      </c>
    </row>
    <row r="229" spans="13:22" x14ac:dyDescent="0.25">
      <c r="M229" s="8">
        <f t="shared" si="33"/>
        <v>230</v>
      </c>
      <c r="N229" s="1">
        <v>194</v>
      </c>
      <c r="O229" s="1">
        <f>VALUE(MID($T$2,FIND("*",SUBSTITUTE($T$2," ","*",N229),1)+1,FIND("*",SUBSTITUTE($T$2," ","*",N230),1)-FIND("*",SUBSTITUTE($T$2," ","*",N229),1)-1))/J9</f>
        <v>230</v>
      </c>
      <c r="P229" s="1">
        <f t="shared" ref="P229:P291" si="35">O229-O228</f>
        <v>0.5</v>
      </c>
      <c r="R229" s="95">
        <v>194</v>
      </c>
      <c r="S229" s="89">
        <f t="shared" ref="S229:S291" si="36">S228+U229</f>
        <v>230</v>
      </c>
      <c r="T229" s="7">
        <v>230</v>
      </c>
      <c r="U229" s="98">
        <v>0.5</v>
      </c>
      <c r="V229" s="7">
        <f t="shared" si="34"/>
        <v>920</v>
      </c>
    </row>
    <row r="230" spans="13:22" x14ac:dyDescent="0.25">
      <c r="M230" s="8">
        <f t="shared" si="33"/>
        <v>230.5</v>
      </c>
      <c r="N230" s="1">
        <v>195</v>
      </c>
      <c r="O230" s="1">
        <f>VALUE(MID($T$2,FIND("*",SUBSTITUTE($T$2," ","*",N230),1)+1,FIND("*",SUBSTITUTE($T$2," ","*",N231),1)-FIND("*",SUBSTITUTE($T$2," ","*",N230),1)-1))/J9</f>
        <v>230.5</v>
      </c>
      <c r="P230" s="1">
        <f t="shared" si="35"/>
        <v>0.5</v>
      </c>
      <c r="R230" s="95">
        <v>195</v>
      </c>
      <c r="S230" s="89">
        <f t="shared" si="36"/>
        <v>230.5</v>
      </c>
      <c r="T230" s="7">
        <v>230.5</v>
      </c>
      <c r="U230" s="98">
        <v>0.5</v>
      </c>
      <c r="V230" s="7">
        <f t="shared" si="34"/>
        <v>922</v>
      </c>
    </row>
    <row r="231" spans="13:22" x14ac:dyDescent="0.25">
      <c r="M231" s="8">
        <f t="shared" si="33"/>
        <v>230.75</v>
      </c>
      <c r="N231" s="1">
        <v>196</v>
      </c>
      <c r="O231" s="1">
        <f>VALUE(MID($T$2,FIND("*",SUBSTITUTE($T$2," ","*",N231),1)+1,FIND("*",SUBSTITUTE($T$2," ","*",N232),1)-FIND("*",SUBSTITUTE($T$2," ","*",N231),1)-1))/J9</f>
        <v>230.75</v>
      </c>
      <c r="P231" s="1">
        <f t="shared" si="35"/>
        <v>0.25</v>
      </c>
      <c r="R231" s="95">
        <v>196</v>
      </c>
      <c r="S231" s="89">
        <f t="shared" si="36"/>
        <v>230.75</v>
      </c>
      <c r="T231" s="7">
        <v>230.75</v>
      </c>
      <c r="U231" s="98">
        <v>0.25</v>
      </c>
      <c r="V231" s="7">
        <f t="shared" si="34"/>
        <v>923</v>
      </c>
    </row>
    <row r="232" spans="13:22" x14ac:dyDescent="0.25">
      <c r="M232" s="8">
        <f t="shared" si="33"/>
        <v>231.25</v>
      </c>
      <c r="N232" s="1">
        <v>197</v>
      </c>
      <c r="O232" s="1">
        <f>VALUE(MID($T$2,FIND("*",SUBSTITUTE($T$2," ","*",N232),1)+1,FIND("*",SUBSTITUTE($T$2," ","*",N233),1)-FIND("*",SUBSTITUTE($T$2," ","*",N232),1)-1))/J9</f>
        <v>231.25</v>
      </c>
      <c r="P232" s="1">
        <f t="shared" si="35"/>
        <v>0.5</v>
      </c>
      <c r="R232" s="95">
        <v>197</v>
      </c>
      <c r="S232" s="89">
        <f t="shared" si="36"/>
        <v>231.25</v>
      </c>
      <c r="T232" s="7">
        <v>231.25</v>
      </c>
      <c r="U232" s="98">
        <v>0.5</v>
      </c>
      <c r="V232" s="7">
        <f t="shared" si="34"/>
        <v>925</v>
      </c>
    </row>
    <row r="233" spans="13:22" x14ac:dyDescent="0.25">
      <c r="M233" s="8">
        <f t="shared" si="33"/>
        <v>231.75</v>
      </c>
      <c r="N233" s="1">
        <v>198</v>
      </c>
      <c r="O233" s="1">
        <f>VALUE(MID($T$2,FIND("*",SUBSTITUTE($T$2," ","*",N233),1)+1,FIND("*",SUBSTITUTE($T$2," ","*",N234),1)-FIND("*",SUBSTITUTE($T$2," ","*",N233),1)-1))/J9</f>
        <v>231.75</v>
      </c>
      <c r="P233" s="1">
        <f t="shared" si="35"/>
        <v>0.5</v>
      </c>
      <c r="R233" s="95">
        <v>198</v>
      </c>
      <c r="S233" s="89">
        <f t="shared" si="36"/>
        <v>231.75</v>
      </c>
      <c r="T233" s="7">
        <v>231.75</v>
      </c>
      <c r="U233" s="98">
        <v>0.5</v>
      </c>
      <c r="V233" s="7">
        <f t="shared" si="34"/>
        <v>927</v>
      </c>
    </row>
    <row r="234" spans="13:22" x14ac:dyDescent="0.25">
      <c r="M234" s="8">
        <f t="shared" si="33"/>
        <v>232.25</v>
      </c>
      <c r="N234" s="1">
        <v>199</v>
      </c>
      <c r="O234" s="1">
        <f>VALUE(MID($T$2,FIND("*",SUBSTITUTE($T$2," ","*",N234),1)+1,FIND("*",SUBSTITUTE($T$2," ","*",N235),1)-FIND("*",SUBSTITUTE($T$2," ","*",N234),1)-1))/J9</f>
        <v>232.25</v>
      </c>
      <c r="P234" s="1">
        <f t="shared" si="35"/>
        <v>0.5</v>
      </c>
      <c r="R234" s="95">
        <v>199</v>
      </c>
      <c r="S234" s="89">
        <f t="shared" si="36"/>
        <v>232.25</v>
      </c>
      <c r="T234" s="7">
        <v>232.25</v>
      </c>
      <c r="U234" s="98">
        <v>0.5</v>
      </c>
      <c r="V234" s="7">
        <f t="shared" si="34"/>
        <v>929</v>
      </c>
    </row>
    <row r="235" spans="13:22" x14ac:dyDescent="0.25">
      <c r="M235" s="8">
        <f t="shared" si="33"/>
        <v>232.75</v>
      </c>
      <c r="N235" s="1">
        <v>200</v>
      </c>
      <c r="O235" s="1">
        <f>VALUE(MID($T$2,FIND("*",SUBSTITUTE($T$2," ","*",N235),1)+1,FIND("*",SUBSTITUTE($T$2," ","*",N236),1)-FIND("*",SUBSTITUTE($T$2," ","*",N235),1)-1))/J9</f>
        <v>232.75</v>
      </c>
      <c r="P235" s="1">
        <f t="shared" si="35"/>
        <v>0.5</v>
      </c>
      <c r="R235" s="95">
        <v>200</v>
      </c>
      <c r="S235" s="89">
        <f t="shared" si="36"/>
        <v>232.75</v>
      </c>
      <c r="T235" s="7">
        <v>232.75</v>
      </c>
      <c r="U235" s="98">
        <v>0.5</v>
      </c>
      <c r="V235" s="7">
        <f t="shared" si="34"/>
        <v>931</v>
      </c>
    </row>
    <row r="236" spans="13:22" x14ac:dyDescent="0.25">
      <c r="M236" s="8">
        <f t="shared" si="33"/>
        <v>233</v>
      </c>
      <c r="N236" s="1">
        <v>201</v>
      </c>
      <c r="O236" s="1">
        <f>VALUE(MID($T$2,FIND("*",SUBSTITUTE($T$2," ","*",N236),1)+1,FIND("*",SUBSTITUTE($T$2," ","*",N237),1)-FIND("*",SUBSTITUTE($T$2," ","*",N236),1)-1))/J9</f>
        <v>233</v>
      </c>
      <c r="P236" s="1">
        <f t="shared" si="35"/>
        <v>0.25</v>
      </c>
      <c r="R236" s="95">
        <v>201</v>
      </c>
      <c r="S236" s="89">
        <f t="shared" si="36"/>
        <v>233</v>
      </c>
      <c r="T236" s="7">
        <v>233</v>
      </c>
      <c r="U236" s="98">
        <v>0.25</v>
      </c>
      <c r="V236" s="7">
        <f t="shared" si="34"/>
        <v>932</v>
      </c>
    </row>
    <row r="237" spans="13:22" x14ac:dyDescent="0.25">
      <c r="M237" s="8">
        <f t="shared" si="33"/>
        <v>233.5</v>
      </c>
      <c r="N237" s="1">
        <v>202</v>
      </c>
      <c r="O237" s="1">
        <f>VALUE(MID($T$2,FIND("*",SUBSTITUTE($T$2," ","*",N237),1)+1,FIND("*",SUBSTITUTE($T$2," ","*",N238),1)-FIND("*",SUBSTITUTE($T$2," ","*",N237),1)-1))/J9</f>
        <v>233.5</v>
      </c>
      <c r="P237" s="1">
        <f t="shared" si="35"/>
        <v>0.5</v>
      </c>
      <c r="R237" s="95">
        <v>202</v>
      </c>
      <c r="S237" s="89">
        <f t="shared" si="36"/>
        <v>233.5</v>
      </c>
      <c r="T237" s="7">
        <v>233.5</v>
      </c>
      <c r="U237" s="98">
        <v>0.5</v>
      </c>
      <c r="V237" s="7">
        <f t="shared" si="34"/>
        <v>934</v>
      </c>
    </row>
    <row r="238" spans="13:22" x14ac:dyDescent="0.25">
      <c r="M238" s="8">
        <f t="shared" si="33"/>
        <v>233.75</v>
      </c>
      <c r="N238" s="1">
        <v>203</v>
      </c>
      <c r="O238" s="1">
        <f>VALUE(MID($T$2,FIND("*",SUBSTITUTE($T$2," ","*",N238),1)+1,FIND("*",SUBSTITUTE($T$2," ","*",N239),1)-FIND("*",SUBSTITUTE($T$2," ","*",N238),1)-1))/J9</f>
        <v>233.75</v>
      </c>
      <c r="P238" s="1">
        <f t="shared" si="35"/>
        <v>0.25</v>
      </c>
      <c r="R238" s="95">
        <v>203</v>
      </c>
      <c r="S238" s="89">
        <f t="shared" si="36"/>
        <v>233.75</v>
      </c>
      <c r="T238" s="7">
        <v>233.75</v>
      </c>
      <c r="U238" s="98">
        <v>0.25</v>
      </c>
      <c r="V238" s="7">
        <f t="shared" si="34"/>
        <v>935</v>
      </c>
    </row>
    <row r="239" spans="13:22" x14ac:dyDescent="0.25">
      <c r="M239" s="8">
        <f t="shared" si="33"/>
        <v>234.25</v>
      </c>
      <c r="N239" s="1">
        <v>204</v>
      </c>
      <c r="O239" s="1">
        <f>VALUE(MID($T$2,FIND("*",SUBSTITUTE($T$2," ","*",N239),1)+1,FIND("*",SUBSTITUTE($T$2," ","*",N240),1)-FIND("*",SUBSTITUTE($T$2," ","*",N239),1)-1))/J9</f>
        <v>234.25</v>
      </c>
      <c r="P239" s="1">
        <f t="shared" si="35"/>
        <v>0.5</v>
      </c>
      <c r="R239" s="95">
        <v>204</v>
      </c>
      <c r="S239" s="89">
        <f t="shared" si="36"/>
        <v>234.25</v>
      </c>
      <c r="T239" s="7">
        <v>234.25</v>
      </c>
      <c r="U239" s="98">
        <v>0.5</v>
      </c>
      <c r="V239" s="7">
        <f t="shared" si="34"/>
        <v>937</v>
      </c>
    </row>
    <row r="240" spans="13:22" x14ac:dyDescent="0.25">
      <c r="M240" s="8">
        <f t="shared" si="33"/>
        <v>234.75</v>
      </c>
      <c r="N240" s="1">
        <v>205</v>
      </c>
      <c r="O240" s="1">
        <f>VALUE(MID($T$2,FIND("*",SUBSTITUTE($T$2," ","*",N240),1)+1,FIND("*",SUBSTITUTE($T$2," ","*",N241),1)-FIND("*",SUBSTITUTE($T$2," ","*",N240),1)-1))/J9</f>
        <v>234.75</v>
      </c>
      <c r="P240" s="1">
        <f t="shared" si="35"/>
        <v>0.5</v>
      </c>
      <c r="R240" s="95">
        <v>205</v>
      </c>
      <c r="S240" s="89">
        <f t="shared" si="36"/>
        <v>234.75</v>
      </c>
      <c r="T240" s="7">
        <v>234.75</v>
      </c>
      <c r="U240" s="98">
        <v>0.5</v>
      </c>
      <c r="V240" s="7">
        <f t="shared" si="34"/>
        <v>939</v>
      </c>
    </row>
    <row r="241" spans="13:22" x14ac:dyDescent="0.25">
      <c r="M241" s="8">
        <f t="shared" si="33"/>
        <v>235.25</v>
      </c>
      <c r="N241" s="1">
        <v>206</v>
      </c>
      <c r="O241" s="1">
        <f>VALUE(MID($T$2,FIND("*",SUBSTITUTE($T$2," ","*",N241),1)+1,FIND("*",SUBSTITUTE($T$2," ","*",N242),1)-FIND("*",SUBSTITUTE($T$2," ","*",N241),1)-1))/J9</f>
        <v>235.25</v>
      </c>
      <c r="P241" s="1">
        <f t="shared" si="35"/>
        <v>0.5</v>
      </c>
      <c r="R241" s="95">
        <v>206</v>
      </c>
      <c r="S241" s="89">
        <f t="shared" si="36"/>
        <v>235.25</v>
      </c>
      <c r="T241" s="7">
        <v>235.25</v>
      </c>
      <c r="U241" s="98">
        <v>0.5</v>
      </c>
      <c r="V241" s="7">
        <f t="shared" si="34"/>
        <v>941</v>
      </c>
    </row>
    <row r="242" spans="13:22" x14ac:dyDescent="0.25">
      <c r="M242" s="8">
        <f t="shared" si="33"/>
        <v>235.75</v>
      </c>
      <c r="N242" s="1">
        <v>207</v>
      </c>
      <c r="O242" s="1">
        <f>VALUE(MID($T$2,FIND("*",SUBSTITUTE($T$2," ","*",N242),1)+1,FIND("*",SUBSTITUTE($T$2," ","*",N243),1)-FIND("*",SUBSTITUTE($T$2," ","*",N242),1)-1))/J9</f>
        <v>235.75</v>
      </c>
      <c r="P242" s="1">
        <f t="shared" si="35"/>
        <v>0.5</v>
      </c>
      <c r="R242" s="95">
        <v>207</v>
      </c>
      <c r="S242" s="89">
        <f t="shared" si="36"/>
        <v>235.75</v>
      </c>
      <c r="T242" s="7">
        <v>235.75</v>
      </c>
      <c r="U242" s="98">
        <v>0.5</v>
      </c>
      <c r="V242" s="7">
        <f t="shared" si="34"/>
        <v>943</v>
      </c>
    </row>
    <row r="243" spans="13:22" x14ac:dyDescent="0.25">
      <c r="M243" s="8">
        <f t="shared" si="33"/>
        <v>236.25</v>
      </c>
      <c r="N243" s="1">
        <v>208</v>
      </c>
      <c r="O243" s="1">
        <f>VALUE(MID($T$2,FIND("*",SUBSTITUTE($T$2," ","*",N243),1)+1,FIND("*",SUBSTITUTE($T$2," ","*",N244),1)-FIND("*",SUBSTITUTE($T$2," ","*",N243),1)-1))/J9</f>
        <v>236.25</v>
      </c>
      <c r="P243" s="1">
        <f t="shared" si="35"/>
        <v>0.5</v>
      </c>
      <c r="R243" s="95">
        <v>208</v>
      </c>
      <c r="S243" s="89">
        <f t="shared" si="36"/>
        <v>236.25</v>
      </c>
      <c r="T243" s="7">
        <v>236.25</v>
      </c>
      <c r="U243" s="98">
        <v>0.5</v>
      </c>
      <c r="V243" s="7">
        <f t="shared" si="34"/>
        <v>945</v>
      </c>
    </row>
    <row r="244" spans="13:22" x14ac:dyDescent="0.25">
      <c r="M244" s="8">
        <f t="shared" si="33"/>
        <v>236.75</v>
      </c>
      <c r="N244" s="1">
        <v>209</v>
      </c>
      <c r="O244" s="1">
        <f>VALUE(MID($T$2,FIND("*",SUBSTITUTE($T$2," ","*",N244),1)+1,FIND("*",SUBSTITUTE($T$2," ","*",N245),1)-FIND("*",SUBSTITUTE($T$2," ","*",N244),1)-1))/J9</f>
        <v>236.75</v>
      </c>
      <c r="P244" s="1">
        <f t="shared" si="35"/>
        <v>0.5</v>
      </c>
      <c r="R244" s="95">
        <v>209</v>
      </c>
      <c r="S244" s="89">
        <f t="shared" si="36"/>
        <v>236.75</v>
      </c>
      <c r="T244" s="7">
        <v>236.75</v>
      </c>
      <c r="U244" s="98">
        <v>0.5</v>
      </c>
      <c r="V244" s="7">
        <f t="shared" si="34"/>
        <v>947</v>
      </c>
    </row>
    <row r="245" spans="13:22" x14ac:dyDescent="0.25">
      <c r="M245" s="8">
        <f t="shared" si="33"/>
        <v>237</v>
      </c>
      <c r="N245" s="1">
        <v>210</v>
      </c>
      <c r="O245" s="1">
        <f>VALUE(MID($T$2,FIND("*",SUBSTITUTE($T$2," ","*",N245),1)+1,FIND("*",SUBSTITUTE($T$2," ","*",N246),1)-FIND("*",SUBSTITUTE($T$2," ","*",N245),1)-1))/J9</f>
        <v>237</v>
      </c>
      <c r="P245" s="1">
        <f t="shared" si="35"/>
        <v>0.25</v>
      </c>
      <c r="R245" s="95">
        <v>210</v>
      </c>
      <c r="S245" s="89">
        <f t="shared" si="36"/>
        <v>237</v>
      </c>
      <c r="T245" s="7">
        <v>237</v>
      </c>
      <c r="U245" s="98">
        <v>0.25</v>
      </c>
      <c r="V245" s="7">
        <f t="shared" si="34"/>
        <v>948</v>
      </c>
    </row>
    <row r="246" spans="13:22" x14ac:dyDescent="0.25">
      <c r="M246" s="8">
        <f t="shared" si="33"/>
        <v>237.5</v>
      </c>
      <c r="N246" s="1">
        <v>211</v>
      </c>
      <c r="O246" s="1">
        <f>VALUE(MID($T$2,FIND("*",SUBSTITUTE($T$2," ","*",N246),1)+1,FIND("*",SUBSTITUTE($T$2," ","*",N247),1)-FIND("*",SUBSTITUTE($T$2," ","*",N246),1)-1))/J9</f>
        <v>237.5</v>
      </c>
      <c r="P246" s="1">
        <f t="shared" si="35"/>
        <v>0.5</v>
      </c>
      <c r="R246" s="95">
        <v>211</v>
      </c>
      <c r="S246" s="89">
        <f t="shared" si="36"/>
        <v>237.5</v>
      </c>
      <c r="T246" s="7">
        <v>237.5</v>
      </c>
      <c r="U246" s="98">
        <v>0.5</v>
      </c>
      <c r="V246" s="7">
        <f t="shared" si="34"/>
        <v>950</v>
      </c>
    </row>
    <row r="247" spans="13:22" x14ac:dyDescent="0.25">
      <c r="M247" s="8">
        <f t="shared" si="33"/>
        <v>238</v>
      </c>
      <c r="N247" s="1">
        <v>212</v>
      </c>
      <c r="O247" s="1">
        <f>VALUE(MID($T$2,FIND("*",SUBSTITUTE($T$2," ","*",N247),1)+1,FIND("*",SUBSTITUTE($T$2," ","*",N248),1)-FIND("*",SUBSTITUTE($T$2," ","*",N247),1)-1))/J9</f>
        <v>238</v>
      </c>
      <c r="P247" s="1">
        <f t="shared" si="35"/>
        <v>0.5</v>
      </c>
      <c r="R247" s="95">
        <v>212</v>
      </c>
      <c r="S247" s="89">
        <f t="shared" si="36"/>
        <v>238</v>
      </c>
      <c r="T247" s="7">
        <v>238</v>
      </c>
      <c r="U247" s="98">
        <v>0.5</v>
      </c>
      <c r="V247" s="7">
        <f t="shared" si="34"/>
        <v>952</v>
      </c>
    </row>
    <row r="248" spans="13:22" x14ac:dyDescent="0.25">
      <c r="M248" s="8">
        <f t="shared" si="33"/>
        <v>238.5</v>
      </c>
      <c r="N248" s="1">
        <v>213</v>
      </c>
      <c r="O248" s="1">
        <f>VALUE(MID($T$2,FIND("*",SUBSTITUTE($T$2," ","*",N248),1)+1,FIND("*",SUBSTITUTE($T$2," ","*",N249),1)-FIND("*",SUBSTITUTE($T$2," ","*",N248),1)-1))/J9</f>
        <v>238.5</v>
      </c>
      <c r="P248" s="1">
        <f t="shared" si="35"/>
        <v>0.5</v>
      </c>
      <c r="R248" s="95">
        <v>213</v>
      </c>
      <c r="S248" s="89">
        <f t="shared" si="36"/>
        <v>238.5</v>
      </c>
      <c r="T248" s="7">
        <v>238.5</v>
      </c>
      <c r="U248" s="98">
        <v>0.5</v>
      </c>
      <c r="V248" s="7">
        <f t="shared" si="34"/>
        <v>954</v>
      </c>
    </row>
    <row r="249" spans="13:22" x14ac:dyDescent="0.25">
      <c r="M249" s="8">
        <f t="shared" si="33"/>
        <v>238.75</v>
      </c>
      <c r="N249" s="1">
        <v>214</v>
      </c>
      <c r="O249" s="1">
        <f>VALUE(MID($T$2,FIND("*",SUBSTITUTE($T$2," ","*",N249),1)+1,FIND("*",SUBSTITUTE($T$2," ","*",N250),1)-FIND("*",SUBSTITUTE($T$2," ","*",N249),1)-1))/J9</f>
        <v>238.75</v>
      </c>
      <c r="P249" s="1">
        <f t="shared" si="35"/>
        <v>0.25</v>
      </c>
      <c r="R249" s="95">
        <v>214</v>
      </c>
      <c r="S249" s="89">
        <f t="shared" si="36"/>
        <v>238.75</v>
      </c>
      <c r="T249" s="7">
        <v>238.75</v>
      </c>
      <c r="U249" s="98">
        <v>0.25</v>
      </c>
      <c r="V249" s="7">
        <f t="shared" si="34"/>
        <v>955</v>
      </c>
    </row>
    <row r="250" spans="13:22" x14ac:dyDescent="0.25">
      <c r="M250" s="8">
        <f t="shared" si="33"/>
        <v>239.25</v>
      </c>
      <c r="N250" s="1">
        <v>215</v>
      </c>
      <c r="O250" s="1">
        <f>VALUE(MID($T$2,FIND("*",SUBSTITUTE($T$2," ","*",N250),1)+1,FIND("*",SUBSTITUTE($T$2," ","*",N251),1)-FIND("*",SUBSTITUTE($T$2," ","*",N250),1)-1))/J9</f>
        <v>239.25</v>
      </c>
      <c r="P250" s="1">
        <f t="shared" si="35"/>
        <v>0.5</v>
      </c>
      <c r="R250" s="95">
        <v>215</v>
      </c>
      <c r="S250" s="89">
        <f t="shared" si="36"/>
        <v>239.25</v>
      </c>
      <c r="T250" s="7">
        <v>239.25</v>
      </c>
      <c r="U250" s="98">
        <v>0.5</v>
      </c>
      <c r="V250" s="7">
        <f t="shared" si="34"/>
        <v>957</v>
      </c>
    </row>
    <row r="251" spans="13:22" x14ac:dyDescent="0.25">
      <c r="M251" s="8">
        <f t="shared" si="33"/>
        <v>239.75</v>
      </c>
      <c r="N251" s="1">
        <v>216</v>
      </c>
      <c r="O251" s="1">
        <f>VALUE(MID($T$2,FIND("*",SUBSTITUTE($T$2," ","*",N251),1)+1,FIND("*",SUBSTITUTE($T$2," ","*",N252),1)-FIND("*",SUBSTITUTE($T$2," ","*",N251),1)-1))/J9</f>
        <v>239.75</v>
      </c>
      <c r="P251" s="1">
        <f t="shared" si="35"/>
        <v>0.5</v>
      </c>
      <c r="R251" s="95">
        <v>216</v>
      </c>
      <c r="S251" s="89">
        <f t="shared" si="36"/>
        <v>239.75</v>
      </c>
      <c r="T251" s="7">
        <v>239.75</v>
      </c>
      <c r="U251" s="98">
        <v>0.5</v>
      </c>
      <c r="V251" s="7">
        <f t="shared" si="34"/>
        <v>959</v>
      </c>
    </row>
    <row r="252" spans="13:22" x14ac:dyDescent="0.25">
      <c r="M252" s="8">
        <f t="shared" si="33"/>
        <v>240.25</v>
      </c>
      <c r="N252" s="1">
        <v>217</v>
      </c>
      <c r="O252" s="1">
        <f>VALUE(MID($T$2,FIND("*",SUBSTITUTE($T$2," ","*",N252),1)+1,FIND("*",SUBSTITUTE($T$2," ","*",N253),1)-FIND("*",SUBSTITUTE($T$2," ","*",N252),1)-1))/J9</f>
        <v>240.25</v>
      </c>
      <c r="P252" s="1">
        <f t="shared" si="35"/>
        <v>0.5</v>
      </c>
      <c r="R252" s="95">
        <v>217</v>
      </c>
      <c r="S252" s="89">
        <f t="shared" si="36"/>
        <v>240.25</v>
      </c>
      <c r="T252" s="7">
        <v>240.25</v>
      </c>
      <c r="U252" s="98">
        <v>0.5</v>
      </c>
      <c r="V252" s="7">
        <f t="shared" si="34"/>
        <v>961</v>
      </c>
    </row>
    <row r="253" spans="13:22" x14ac:dyDescent="0.25">
      <c r="M253" s="8">
        <f t="shared" si="33"/>
        <v>240.75</v>
      </c>
      <c r="N253" s="1">
        <v>218</v>
      </c>
      <c r="O253" s="1">
        <f>VALUE(MID($T$2,FIND("*",SUBSTITUTE($T$2," ","*",N253),1)+1,FIND("*",SUBSTITUTE($T$2," ","*",N254),1)-FIND("*",SUBSTITUTE($T$2," ","*",N253),1)-1))/J9</f>
        <v>240.75</v>
      </c>
      <c r="P253" s="1">
        <f t="shared" si="35"/>
        <v>0.5</v>
      </c>
      <c r="R253" s="95">
        <v>218</v>
      </c>
      <c r="S253" s="89">
        <f t="shared" si="36"/>
        <v>240.75</v>
      </c>
      <c r="T253" s="7">
        <v>240.75</v>
      </c>
      <c r="U253" s="98">
        <v>0.5</v>
      </c>
      <c r="V253" s="7">
        <f t="shared" si="34"/>
        <v>963</v>
      </c>
    </row>
    <row r="254" spans="13:22" x14ac:dyDescent="0.25">
      <c r="M254" s="8">
        <f t="shared" si="33"/>
        <v>241</v>
      </c>
      <c r="N254" s="1">
        <v>219</v>
      </c>
      <c r="O254" s="1">
        <f>VALUE(MID($T$2,FIND("*",SUBSTITUTE($T$2," ","*",N254),1)+1,FIND("*",SUBSTITUTE($T$2," ","*",N255),1)-FIND("*",SUBSTITUTE($T$2," ","*",N254),1)-1))/J9</f>
        <v>241</v>
      </c>
      <c r="P254" s="1">
        <f t="shared" si="35"/>
        <v>0.25</v>
      </c>
      <c r="R254" s="95">
        <v>219</v>
      </c>
      <c r="S254" s="89">
        <f t="shared" si="36"/>
        <v>241</v>
      </c>
      <c r="T254" s="7">
        <v>241</v>
      </c>
      <c r="U254" s="98">
        <v>0.25</v>
      </c>
      <c r="V254" s="7">
        <f t="shared" si="34"/>
        <v>964</v>
      </c>
    </row>
    <row r="255" spans="13:22" x14ac:dyDescent="0.25">
      <c r="M255" s="8">
        <f t="shared" si="33"/>
        <v>241.5</v>
      </c>
      <c r="N255" s="1">
        <v>220</v>
      </c>
      <c r="O255" s="1">
        <f>VALUE(MID($T$2,FIND("*",SUBSTITUTE($T$2," ","*",N255),1)+1,FIND("*",SUBSTITUTE($T$2," ","*",N256),1)-FIND("*",SUBSTITUTE($T$2," ","*",N255),1)-1))/J9</f>
        <v>241.5</v>
      </c>
      <c r="P255" s="1">
        <f t="shared" si="35"/>
        <v>0.5</v>
      </c>
      <c r="R255" s="95">
        <v>220</v>
      </c>
      <c r="S255" s="89">
        <f t="shared" si="36"/>
        <v>241.5</v>
      </c>
      <c r="T255" s="7">
        <v>241.5</v>
      </c>
      <c r="U255" s="98">
        <v>0.5</v>
      </c>
      <c r="V255" s="7">
        <f t="shared" si="34"/>
        <v>966</v>
      </c>
    </row>
    <row r="256" spans="13:22" x14ac:dyDescent="0.25">
      <c r="M256" s="8">
        <f t="shared" si="33"/>
        <v>241.75</v>
      </c>
      <c r="N256" s="1">
        <v>221</v>
      </c>
      <c r="O256" s="1">
        <f>VALUE(MID($T$2,FIND("*",SUBSTITUTE($T$2," ","*",N256),1)+1,FIND("*",SUBSTITUTE($T$2," ","*",N257),1)-FIND("*",SUBSTITUTE($T$2," ","*",N256),1)-1))/J9</f>
        <v>241.75</v>
      </c>
      <c r="P256" s="1">
        <f t="shared" si="35"/>
        <v>0.25</v>
      </c>
      <c r="R256" s="95">
        <v>221</v>
      </c>
      <c r="S256" s="89">
        <f t="shared" si="36"/>
        <v>241.75</v>
      </c>
      <c r="T256" s="7">
        <v>241.75</v>
      </c>
      <c r="U256" s="98">
        <v>0.25</v>
      </c>
      <c r="V256" s="7">
        <f t="shared" si="34"/>
        <v>967</v>
      </c>
    </row>
    <row r="257" spans="13:22" x14ac:dyDescent="0.25">
      <c r="M257" s="8">
        <f t="shared" si="33"/>
        <v>242.25</v>
      </c>
      <c r="N257" s="1">
        <v>222</v>
      </c>
      <c r="O257" s="1">
        <f>VALUE(MID($T$2,FIND("*",SUBSTITUTE($T$2," ","*",N257),1)+1,FIND("*",SUBSTITUTE($T$2," ","*",N258),1)-FIND("*",SUBSTITUTE($T$2," ","*",N257),1)-1))/J9</f>
        <v>242.25</v>
      </c>
      <c r="P257" s="1">
        <f t="shared" si="35"/>
        <v>0.5</v>
      </c>
      <c r="R257" s="95">
        <v>222</v>
      </c>
      <c r="S257" s="89">
        <f t="shared" si="36"/>
        <v>242.25</v>
      </c>
      <c r="T257" s="7">
        <v>242.25</v>
      </c>
      <c r="U257" s="98">
        <v>0.5</v>
      </c>
      <c r="V257" s="7">
        <f t="shared" si="34"/>
        <v>969</v>
      </c>
    </row>
    <row r="258" spans="13:22" x14ac:dyDescent="0.25">
      <c r="M258" s="8">
        <f t="shared" si="33"/>
        <v>242.75</v>
      </c>
      <c r="N258" s="1">
        <v>223</v>
      </c>
      <c r="O258" s="1">
        <f>VALUE(MID($T$2,FIND("*",SUBSTITUTE($T$2," ","*",N258),1)+1,FIND("*",SUBSTITUTE($T$2," ","*",N259),1)-FIND("*",SUBSTITUTE($T$2," ","*",N258),1)-1))/J9</f>
        <v>242.75</v>
      </c>
      <c r="P258" s="1">
        <f t="shared" si="35"/>
        <v>0.5</v>
      </c>
      <c r="R258" s="95">
        <v>223</v>
      </c>
      <c r="S258" s="89">
        <f t="shared" si="36"/>
        <v>242.75</v>
      </c>
      <c r="T258" s="7">
        <v>242.75</v>
      </c>
      <c r="U258" s="98">
        <v>0.5</v>
      </c>
      <c r="V258" s="7">
        <f t="shared" si="34"/>
        <v>971</v>
      </c>
    </row>
    <row r="259" spans="13:22" x14ac:dyDescent="0.25">
      <c r="M259" s="8">
        <f t="shared" si="33"/>
        <v>243</v>
      </c>
      <c r="N259" s="1">
        <v>224</v>
      </c>
      <c r="O259" s="1">
        <f>VALUE(MID($T$2,FIND("*",SUBSTITUTE($T$2," ","*",N259),1)+1,FIND("*",SUBSTITUTE($T$2," ","*",N260),1)-FIND("*",SUBSTITUTE($T$2," ","*",N259),1)-1))/J9</f>
        <v>243</v>
      </c>
      <c r="P259" s="1">
        <f t="shared" si="35"/>
        <v>0.25</v>
      </c>
      <c r="R259" s="95">
        <v>224</v>
      </c>
      <c r="S259" s="89">
        <f t="shared" si="36"/>
        <v>243</v>
      </c>
      <c r="T259" s="7">
        <v>243</v>
      </c>
      <c r="U259" s="98">
        <v>0.25</v>
      </c>
      <c r="V259" s="7">
        <f t="shared" si="34"/>
        <v>972</v>
      </c>
    </row>
    <row r="260" spans="13:22" x14ac:dyDescent="0.25">
      <c r="M260" s="8">
        <f t="shared" si="33"/>
        <v>243.5</v>
      </c>
      <c r="N260" s="1">
        <v>225</v>
      </c>
      <c r="O260" s="1">
        <f>VALUE(MID($T$2,FIND("*",SUBSTITUTE($T$2," ","*",N260),1)+1,FIND("*",SUBSTITUTE($T$2," ","*",N261),1)-FIND("*",SUBSTITUTE($T$2," ","*",N260),1)-1))/J9</f>
        <v>243.5</v>
      </c>
      <c r="P260" s="1">
        <f t="shared" si="35"/>
        <v>0.5</v>
      </c>
      <c r="R260" s="95">
        <v>225</v>
      </c>
      <c r="S260" s="89">
        <f t="shared" si="36"/>
        <v>243.5</v>
      </c>
      <c r="T260" s="7">
        <v>243.5</v>
      </c>
      <c r="U260" s="98">
        <v>0.5</v>
      </c>
      <c r="V260" s="7">
        <f t="shared" si="34"/>
        <v>974</v>
      </c>
    </row>
    <row r="261" spans="13:22" x14ac:dyDescent="0.25">
      <c r="M261" s="8">
        <f t="shared" si="33"/>
        <v>243.75</v>
      </c>
      <c r="N261" s="1">
        <v>226</v>
      </c>
      <c r="O261" s="1">
        <f>VALUE(MID($T$2,FIND("*",SUBSTITUTE($T$2," ","*",N261),1)+1,FIND("*",SUBSTITUTE($T$2," ","*",N262),1)-FIND("*",SUBSTITUTE($T$2," ","*",N261),1)-1))/J9</f>
        <v>243.75</v>
      </c>
      <c r="P261" s="1">
        <f t="shared" si="35"/>
        <v>0.25</v>
      </c>
      <c r="R261" s="95">
        <v>226</v>
      </c>
      <c r="S261" s="89">
        <f t="shared" si="36"/>
        <v>243.75</v>
      </c>
      <c r="T261" s="7">
        <v>243.75</v>
      </c>
      <c r="U261" s="98">
        <v>0.25</v>
      </c>
      <c r="V261" s="7">
        <f t="shared" si="34"/>
        <v>975</v>
      </c>
    </row>
    <row r="262" spans="13:22" x14ac:dyDescent="0.25">
      <c r="M262" s="8">
        <f t="shared" si="33"/>
        <v>244</v>
      </c>
      <c r="N262" s="1">
        <v>227</v>
      </c>
      <c r="O262" s="1">
        <f>VALUE(MID($T$2,FIND("*",SUBSTITUTE($T$2," ","*",N262),1)+1,FIND("*",SUBSTITUTE($T$2," ","*",N263),1)-FIND("*",SUBSTITUTE($T$2," ","*",N262),1)-1))/J9</f>
        <v>244</v>
      </c>
      <c r="P262" s="1">
        <f t="shared" si="35"/>
        <v>0.25</v>
      </c>
      <c r="R262" s="95">
        <v>227</v>
      </c>
      <c r="S262" s="89">
        <f t="shared" si="36"/>
        <v>244</v>
      </c>
      <c r="T262" s="7">
        <v>244</v>
      </c>
      <c r="U262" s="98">
        <v>0.25</v>
      </c>
      <c r="V262" s="7">
        <f t="shared" si="34"/>
        <v>976</v>
      </c>
    </row>
    <row r="263" spans="13:22" x14ac:dyDescent="0.25">
      <c r="M263" s="8">
        <f t="shared" si="33"/>
        <v>244.5</v>
      </c>
      <c r="N263" s="1">
        <v>228</v>
      </c>
      <c r="O263" s="1">
        <f>VALUE(MID($T$2,FIND("*",SUBSTITUTE($T$2," ","*",N263),1)+1,FIND("*",SUBSTITUTE($T$2," ","*",N264),1)-FIND("*",SUBSTITUTE($T$2," ","*",N263),1)-1))/J9</f>
        <v>244.5</v>
      </c>
      <c r="P263" s="1">
        <f t="shared" si="35"/>
        <v>0.5</v>
      </c>
      <c r="R263" s="95">
        <v>228</v>
      </c>
      <c r="S263" s="89">
        <f t="shared" si="36"/>
        <v>244.5</v>
      </c>
      <c r="T263" s="7">
        <v>244.5</v>
      </c>
      <c r="U263" s="98">
        <v>0.5</v>
      </c>
      <c r="V263" s="7">
        <f t="shared" si="34"/>
        <v>978</v>
      </c>
    </row>
    <row r="264" spans="13:22" x14ac:dyDescent="0.25">
      <c r="M264" s="8">
        <f t="shared" si="33"/>
        <v>245</v>
      </c>
      <c r="N264" s="1">
        <v>229</v>
      </c>
      <c r="O264" s="1">
        <f>VALUE(MID($T$2,FIND("*",SUBSTITUTE($T$2," ","*",N264),1)+1,FIND("*",SUBSTITUTE($T$2," ","*",N265),1)-FIND("*",SUBSTITUTE($T$2," ","*",N264),1)-1))/J9</f>
        <v>245</v>
      </c>
      <c r="P264" s="1">
        <f t="shared" si="35"/>
        <v>0.5</v>
      </c>
      <c r="R264" s="95">
        <v>229</v>
      </c>
      <c r="S264" s="89">
        <f t="shared" si="36"/>
        <v>245</v>
      </c>
      <c r="T264" s="7">
        <v>245</v>
      </c>
      <c r="U264" s="98">
        <v>0.5</v>
      </c>
      <c r="V264" s="7">
        <f t="shared" si="34"/>
        <v>980</v>
      </c>
    </row>
    <row r="265" spans="13:22" x14ac:dyDescent="0.25">
      <c r="M265" s="8">
        <f t="shared" si="33"/>
        <v>245.5</v>
      </c>
      <c r="N265" s="1">
        <v>230</v>
      </c>
      <c r="O265" s="1">
        <f>VALUE(MID($T$2,FIND("*",SUBSTITUTE($T$2," ","*",N265),1)+1,FIND("*",SUBSTITUTE($T$2," ","*",N266),1)-FIND("*",SUBSTITUTE($T$2," ","*",N265),1)-1))/J9</f>
        <v>245.5</v>
      </c>
      <c r="P265" s="1">
        <f t="shared" si="35"/>
        <v>0.5</v>
      </c>
      <c r="R265" s="95">
        <v>230</v>
      </c>
      <c r="S265" s="89">
        <f t="shared" si="36"/>
        <v>245.5</v>
      </c>
      <c r="T265" s="7">
        <v>245.5</v>
      </c>
      <c r="U265" s="98">
        <v>0.5</v>
      </c>
      <c r="V265" s="7">
        <f t="shared" si="34"/>
        <v>982</v>
      </c>
    </row>
    <row r="266" spans="13:22" x14ac:dyDescent="0.25">
      <c r="M266" s="8">
        <f t="shared" si="33"/>
        <v>245.75</v>
      </c>
      <c r="N266" s="1">
        <v>231</v>
      </c>
      <c r="O266" s="1">
        <f>VALUE(MID($T$2,FIND("*",SUBSTITUTE($T$2," ","*",N266),1)+1,FIND("*",SUBSTITUTE($T$2," ","*",N267),1)-FIND("*",SUBSTITUTE($T$2," ","*",N266),1)-1))/J9</f>
        <v>245.75</v>
      </c>
      <c r="P266" s="1">
        <f t="shared" si="35"/>
        <v>0.25</v>
      </c>
      <c r="R266" s="95">
        <v>231</v>
      </c>
      <c r="S266" s="89">
        <f t="shared" si="36"/>
        <v>245.75</v>
      </c>
      <c r="T266" s="7">
        <v>245.75</v>
      </c>
      <c r="U266" s="98">
        <v>0.25</v>
      </c>
      <c r="V266" s="7">
        <f t="shared" si="34"/>
        <v>983</v>
      </c>
    </row>
    <row r="267" spans="13:22" x14ac:dyDescent="0.25">
      <c r="M267" s="8">
        <f t="shared" si="33"/>
        <v>246.25</v>
      </c>
      <c r="N267" s="1">
        <v>232</v>
      </c>
      <c r="O267" s="1">
        <f>VALUE(MID($T$2,FIND("*",SUBSTITUTE($T$2," ","*",N267),1)+1,FIND("*",SUBSTITUTE($T$2," ","*",N268),1)-FIND("*",SUBSTITUTE($T$2," ","*",N267),1)-1))/J9</f>
        <v>246.25</v>
      </c>
      <c r="P267" s="1">
        <f t="shared" si="35"/>
        <v>0.5</v>
      </c>
      <c r="R267" s="95">
        <v>232</v>
      </c>
      <c r="S267" s="89">
        <f t="shared" si="36"/>
        <v>246.25</v>
      </c>
      <c r="T267" s="7">
        <v>246.25</v>
      </c>
      <c r="U267" s="98">
        <v>0.5</v>
      </c>
      <c r="V267" s="7">
        <f t="shared" si="34"/>
        <v>985</v>
      </c>
    </row>
    <row r="268" spans="13:22" x14ac:dyDescent="0.25">
      <c r="M268" s="8">
        <f t="shared" si="33"/>
        <v>246.75</v>
      </c>
      <c r="N268" s="1">
        <v>233</v>
      </c>
      <c r="O268" s="1">
        <f>VALUE(MID($T$2,FIND("*",SUBSTITUTE($T$2," ","*",N268),1)+1,FIND("*",SUBSTITUTE($T$2," ","*",N269),1)-FIND("*",SUBSTITUTE($T$2," ","*",N268),1)-1))/J9</f>
        <v>246.75</v>
      </c>
      <c r="P268" s="1">
        <f t="shared" si="35"/>
        <v>0.5</v>
      </c>
      <c r="R268" s="95">
        <v>233</v>
      </c>
      <c r="S268" s="89">
        <f t="shared" si="36"/>
        <v>246.75</v>
      </c>
      <c r="T268" s="7">
        <v>246.75</v>
      </c>
      <c r="U268" s="98">
        <v>0.5</v>
      </c>
      <c r="V268" s="7">
        <f t="shared" si="34"/>
        <v>987</v>
      </c>
    </row>
    <row r="269" spans="13:22" x14ac:dyDescent="0.25">
      <c r="M269" s="8">
        <f t="shared" si="33"/>
        <v>247</v>
      </c>
      <c r="N269" s="1">
        <v>234</v>
      </c>
      <c r="O269" s="1">
        <f>VALUE(MID($T$2,FIND("*",SUBSTITUTE($T$2," ","*",N269),1)+1,FIND("*",SUBSTITUTE($T$2," ","*",N270),1)-FIND("*",SUBSTITUTE($T$2," ","*",N269),1)-1))/J9</f>
        <v>247</v>
      </c>
      <c r="P269" s="1">
        <f t="shared" si="35"/>
        <v>0.25</v>
      </c>
      <c r="R269" s="95">
        <v>234</v>
      </c>
      <c r="S269" s="89">
        <f t="shared" si="36"/>
        <v>247</v>
      </c>
      <c r="T269" s="7">
        <v>247</v>
      </c>
      <c r="U269" s="98">
        <v>0.25</v>
      </c>
      <c r="V269" s="7">
        <f t="shared" si="34"/>
        <v>988</v>
      </c>
    </row>
    <row r="270" spans="13:22" x14ac:dyDescent="0.25">
      <c r="M270" s="8">
        <f t="shared" si="33"/>
        <v>247.5</v>
      </c>
      <c r="N270" s="1">
        <v>235</v>
      </c>
      <c r="O270" s="1">
        <f>VALUE(MID($T$2,FIND("*",SUBSTITUTE($T$2," ","*",N270),1)+1,FIND("*",SUBSTITUTE($T$2," ","*",N271),1)-FIND("*",SUBSTITUTE($T$2," ","*",N270),1)-1))/J9</f>
        <v>247.5</v>
      </c>
      <c r="P270" s="1">
        <f t="shared" si="35"/>
        <v>0.5</v>
      </c>
      <c r="R270" s="95">
        <v>235</v>
      </c>
      <c r="S270" s="89">
        <f t="shared" si="36"/>
        <v>247.5</v>
      </c>
      <c r="T270" s="7">
        <v>247.5</v>
      </c>
      <c r="U270" s="98">
        <v>0.5</v>
      </c>
      <c r="V270" s="7">
        <f t="shared" si="34"/>
        <v>990</v>
      </c>
    </row>
    <row r="271" spans="13:22" x14ac:dyDescent="0.25">
      <c r="M271" s="8">
        <f t="shared" si="33"/>
        <v>248</v>
      </c>
      <c r="N271" s="1">
        <v>236</v>
      </c>
      <c r="O271" s="1">
        <f>VALUE(MID($T$2,FIND("*",SUBSTITUTE($T$2," ","*",N271),1)+1,FIND("*",SUBSTITUTE($T$2," ","*",N272),1)-FIND("*",SUBSTITUTE($T$2," ","*",N271),1)-1))/J9</f>
        <v>248</v>
      </c>
      <c r="P271" s="1">
        <f t="shared" si="35"/>
        <v>0.5</v>
      </c>
      <c r="R271" s="95">
        <v>236</v>
      </c>
      <c r="S271" s="89">
        <f t="shared" si="36"/>
        <v>248</v>
      </c>
      <c r="T271" s="7">
        <v>248</v>
      </c>
      <c r="U271" s="98">
        <v>0.5</v>
      </c>
      <c r="V271" s="7">
        <f t="shared" si="34"/>
        <v>992</v>
      </c>
    </row>
    <row r="272" spans="13:22" x14ac:dyDescent="0.25">
      <c r="M272" s="8">
        <f t="shared" si="33"/>
        <v>248.5</v>
      </c>
      <c r="N272" s="1">
        <v>237</v>
      </c>
      <c r="O272" s="1">
        <f>VALUE(MID($T$2,FIND("*",SUBSTITUTE($T$2," ","*",N272),1)+1,FIND("*",SUBSTITUTE($T$2," ","*",N273),1)-FIND("*",SUBSTITUTE($T$2," ","*",N272),1)-1))/J9</f>
        <v>248.5</v>
      </c>
      <c r="P272" s="1">
        <f t="shared" si="35"/>
        <v>0.5</v>
      </c>
      <c r="R272" s="95">
        <v>237</v>
      </c>
      <c r="S272" s="89">
        <f t="shared" si="36"/>
        <v>248.5</v>
      </c>
      <c r="T272" s="7">
        <v>248.5</v>
      </c>
      <c r="U272" s="98">
        <v>0.5</v>
      </c>
      <c r="V272" s="7">
        <f t="shared" si="34"/>
        <v>994</v>
      </c>
    </row>
    <row r="273" spans="13:22" x14ac:dyDescent="0.25">
      <c r="M273" s="8">
        <f t="shared" si="33"/>
        <v>248.75</v>
      </c>
      <c r="N273" s="1">
        <v>238</v>
      </c>
      <c r="O273" s="1">
        <f>VALUE(MID($T$2,FIND("*",SUBSTITUTE($T$2," ","*",N273),1)+1,FIND("*",SUBSTITUTE($T$2," ","*",N274),1)-FIND("*",SUBSTITUTE($T$2," ","*",N273),1)-1))/J9</f>
        <v>248.75</v>
      </c>
      <c r="P273" s="1">
        <f t="shared" si="35"/>
        <v>0.25</v>
      </c>
      <c r="R273" s="95">
        <v>238</v>
      </c>
      <c r="S273" s="89">
        <f t="shared" si="36"/>
        <v>248.75</v>
      </c>
      <c r="T273" s="7">
        <v>248.75</v>
      </c>
      <c r="U273" s="98">
        <v>0.25</v>
      </c>
      <c r="V273" s="7">
        <f t="shared" si="34"/>
        <v>995</v>
      </c>
    </row>
    <row r="274" spans="13:22" x14ac:dyDescent="0.25">
      <c r="M274" s="8">
        <f t="shared" si="33"/>
        <v>249.25</v>
      </c>
      <c r="N274" s="1">
        <v>239</v>
      </c>
      <c r="O274" s="1">
        <f>VALUE(MID($T$2,FIND("*",SUBSTITUTE($T$2," ","*",N274),1)+1,FIND("*",SUBSTITUTE($T$2," ","*",N275),1)-FIND("*",SUBSTITUTE($T$2," ","*",N274),1)-1))/J9</f>
        <v>249.25</v>
      </c>
      <c r="P274" s="1">
        <f t="shared" si="35"/>
        <v>0.5</v>
      </c>
      <c r="R274" s="95">
        <v>239</v>
      </c>
      <c r="S274" s="89">
        <f t="shared" si="36"/>
        <v>249.25</v>
      </c>
      <c r="T274" s="7">
        <v>249.25</v>
      </c>
      <c r="U274" s="98">
        <v>0.5</v>
      </c>
      <c r="V274" s="7">
        <f t="shared" si="34"/>
        <v>997</v>
      </c>
    </row>
    <row r="275" spans="13:22" x14ac:dyDescent="0.25">
      <c r="M275" s="8">
        <f t="shared" si="33"/>
        <v>249.75</v>
      </c>
      <c r="N275" s="1">
        <v>240</v>
      </c>
      <c r="O275" s="1">
        <f>VALUE(MID($T$2,FIND("*",SUBSTITUTE($T$2," ","*",N275),1)+1,FIND("*",SUBSTITUTE($T$2," ","*",N276),1)-FIND("*",SUBSTITUTE($T$2," ","*",N275),1)-1))/J9</f>
        <v>249.75</v>
      </c>
      <c r="P275" s="1">
        <f t="shared" si="35"/>
        <v>0.5</v>
      </c>
      <c r="R275" s="95">
        <v>240</v>
      </c>
      <c r="S275" s="89">
        <f t="shared" si="36"/>
        <v>249.75</v>
      </c>
      <c r="T275" s="7">
        <v>249.75</v>
      </c>
      <c r="U275" s="98">
        <v>0.5</v>
      </c>
      <c r="V275" s="7">
        <f t="shared" si="34"/>
        <v>999</v>
      </c>
    </row>
    <row r="276" spans="13:22" x14ac:dyDescent="0.25">
      <c r="M276" s="8">
        <f t="shared" si="33"/>
        <v>250.25</v>
      </c>
      <c r="N276" s="1">
        <v>241</v>
      </c>
      <c r="O276" s="1">
        <f>VALUE(MID($T$2,FIND("*",SUBSTITUTE($T$2," ","*",N276),1)+1,FIND("*",SUBSTITUTE($T$2," ","*",N277),1)-FIND("*",SUBSTITUTE($T$2," ","*",N276),1)-1))/J9</f>
        <v>250.25</v>
      </c>
      <c r="P276" s="1">
        <f t="shared" si="35"/>
        <v>0.5</v>
      </c>
      <c r="R276" s="95">
        <v>241</v>
      </c>
      <c r="S276" s="89">
        <f t="shared" si="36"/>
        <v>250.25</v>
      </c>
      <c r="T276" s="7">
        <v>250.25</v>
      </c>
      <c r="U276" s="98">
        <v>0.5</v>
      </c>
      <c r="V276" s="7">
        <f t="shared" si="34"/>
        <v>1001</v>
      </c>
    </row>
    <row r="277" spans="13:22" x14ac:dyDescent="0.25">
      <c r="M277" s="8">
        <f t="shared" si="33"/>
        <v>250.75</v>
      </c>
      <c r="N277" s="1">
        <v>242</v>
      </c>
      <c r="O277" s="1">
        <f>VALUE(MID($T$2,FIND("*",SUBSTITUTE($T$2," ","*",N277),1)+1,FIND("*",SUBSTITUTE($T$2," ","*",N278),1)-FIND("*",SUBSTITUTE($T$2," ","*",N277),1)-1))/J9</f>
        <v>250.75</v>
      </c>
      <c r="P277" s="1">
        <f t="shared" si="35"/>
        <v>0.5</v>
      </c>
      <c r="R277" s="95">
        <v>242</v>
      </c>
      <c r="S277" s="89">
        <f t="shared" si="36"/>
        <v>250.75</v>
      </c>
      <c r="T277" s="7">
        <v>250.75</v>
      </c>
      <c r="U277" s="98">
        <v>0.5</v>
      </c>
      <c r="V277" s="7">
        <f t="shared" si="34"/>
        <v>1003</v>
      </c>
    </row>
    <row r="278" spans="13:22" x14ac:dyDescent="0.25">
      <c r="M278" s="8">
        <f t="shared" si="33"/>
        <v>251</v>
      </c>
      <c r="N278" s="1">
        <v>243</v>
      </c>
      <c r="O278" s="1">
        <f>VALUE(MID($T$2,FIND("*",SUBSTITUTE($T$2," ","*",N278),1)+1,FIND("*",SUBSTITUTE($T$2," ","*",N279),1)-FIND("*",SUBSTITUTE($T$2," ","*",N278),1)-1))/J9</f>
        <v>251</v>
      </c>
      <c r="P278" s="1">
        <f t="shared" si="35"/>
        <v>0.25</v>
      </c>
      <c r="R278" s="95">
        <v>243</v>
      </c>
      <c r="S278" s="89">
        <f t="shared" si="36"/>
        <v>251</v>
      </c>
      <c r="T278" s="7">
        <v>251</v>
      </c>
      <c r="U278" s="98">
        <v>0.25</v>
      </c>
      <c r="V278" s="7">
        <f t="shared" si="34"/>
        <v>1004</v>
      </c>
    </row>
    <row r="279" spans="13:22" x14ac:dyDescent="0.25">
      <c r="M279" s="8">
        <f t="shared" si="33"/>
        <v>251.25</v>
      </c>
      <c r="N279" s="1">
        <v>244</v>
      </c>
      <c r="O279" s="1">
        <f>VALUE(MID($T$2,FIND("*",SUBSTITUTE($T$2," ","*",N279),1)+1,FIND("*",SUBSTITUTE($T$2," ","*",N280),1)-FIND("*",SUBSTITUTE($T$2," ","*",N279),1)-1))/J9</f>
        <v>251.25</v>
      </c>
      <c r="P279" s="1">
        <f t="shared" si="35"/>
        <v>0.25</v>
      </c>
      <c r="R279" s="95">
        <v>244</v>
      </c>
      <c r="S279" s="89">
        <f t="shared" si="36"/>
        <v>251.25</v>
      </c>
      <c r="T279" s="7">
        <v>251.25</v>
      </c>
      <c r="U279" s="98">
        <v>0.25</v>
      </c>
      <c r="V279" s="7">
        <f t="shared" si="34"/>
        <v>1005</v>
      </c>
    </row>
    <row r="280" spans="13:22" x14ac:dyDescent="0.25">
      <c r="M280" s="8">
        <f t="shared" si="33"/>
        <v>251.75</v>
      </c>
      <c r="N280" s="1">
        <v>245</v>
      </c>
      <c r="O280" s="1">
        <f>VALUE(MID($T$2,FIND("*",SUBSTITUTE($T$2," ","*",N280),1)+1,FIND("*",SUBSTITUTE($T$2," ","*",N281),1)-FIND("*",SUBSTITUTE($T$2," ","*",N280),1)-1))/J9</f>
        <v>251.75</v>
      </c>
      <c r="P280" s="1">
        <f t="shared" si="35"/>
        <v>0.5</v>
      </c>
      <c r="R280" s="95">
        <v>245</v>
      </c>
      <c r="S280" s="89">
        <f t="shared" si="36"/>
        <v>251.75</v>
      </c>
      <c r="T280" s="7">
        <v>251.75</v>
      </c>
      <c r="U280" s="98">
        <v>0.5</v>
      </c>
      <c r="V280" s="7">
        <f t="shared" si="34"/>
        <v>1007</v>
      </c>
    </row>
    <row r="281" spans="13:22" x14ac:dyDescent="0.25">
      <c r="M281" s="8">
        <f t="shared" si="33"/>
        <v>252</v>
      </c>
      <c r="N281" s="1">
        <v>246</v>
      </c>
      <c r="O281" s="1">
        <f>VALUE(MID($T$2,FIND("*",SUBSTITUTE($T$2," ","*",N281),1)+1,FIND("*",SUBSTITUTE($T$2," ","*",N282),1)-FIND("*",SUBSTITUTE($T$2," ","*",N281),1)-1))/J9</f>
        <v>252</v>
      </c>
      <c r="P281" s="1">
        <f t="shared" si="35"/>
        <v>0.25</v>
      </c>
      <c r="R281" s="95">
        <v>246</v>
      </c>
      <c r="S281" s="89">
        <f t="shared" si="36"/>
        <v>252</v>
      </c>
      <c r="T281" s="7">
        <v>252</v>
      </c>
      <c r="U281" s="98">
        <v>0.25</v>
      </c>
      <c r="V281" s="7">
        <f t="shared" si="34"/>
        <v>1008</v>
      </c>
    </row>
    <row r="282" spans="13:22" x14ac:dyDescent="0.25">
      <c r="M282" s="8">
        <f t="shared" si="33"/>
        <v>252.5</v>
      </c>
      <c r="N282" s="1">
        <v>247</v>
      </c>
      <c r="O282" s="1">
        <f>VALUE(MID($T$2,FIND("*",SUBSTITUTE($T$2," ","*",N282),1)+1,FIND("*",SUBSTITUTE($T$2," ","*",N283),1)-FIND("*",SUBSTITUTE($T$2," ","*",N282),1)-1))/J9</f>
        <v>252.5</v>
      </c>
      <c r="P282" s="1">
        <f t="shared" si="35"/>
        <v>0.5</v>
      </c>
      <c r="R282" s="95">
        <v>247</v>
      </c>
      <c r="S282" s="89">
        <f t="shared" si="36"/>
        <v>252.5</v>
      </c>
      <c r="T282" s="7">
        <v>252.5</v>
      </c>
      <c r="U282" s="98">
        <v>0.5</v>
      </c>
      <c r="V282" s="7">
        <f t="shared" si="34"/>
        <v>1010</v>
      </c>
    </row>
    <row r="283" spans="13:22" x14ac:dyDescent="0.25">
      <c r="M283" s="8">
        <f t="shared" si="33"/>
        <v>252.75</v>
      </c>
      <c r="N283" s="1">
        <v>248</v>
      </c>
      <c r="O283" s="1">
        <f>VALUE(MID($T$2,FIND("*",SUBSTITUTE($T$2," ","*",N283),1)+1,FIND("*",SUBSTITUTE($T$2," ","*",N284),1)-FIND("*",SUBSTITUTE($T$2," ","*",N283),1)-1))/J9</f>
        <v>252.75</v>
      </c>
      <c r="P283" s="1">
        <f t="shared" si="35"/>
        <v>0.25</v>
      </c>
      <c r="R283" s="95">
        <v>248</v>
      </c>
      <c r="S283" s="89">
        <f t="shared" si="36"/>
        <v>252.75</v>
      </c>
      <c r="T283" s="7">
        <v>252.75</v>
      </c>
      <c r="U283" s="98">
        <v>0.25</v>
      </c>
      <c r="V283" s="7">
        <f t="shared" si="34"/>
        <v>1011</v>
      </c>
    </row>
    <row r="284" spans="13:22" x14ac:dyDescent="0.25">
      <c r="M284" s="8">
        <f t="shared" si="33"/>
        <v>253.25</v>
      </c>
      <c r="N284" s="1">
        <v>249</v>
      </c>
      <c r="O284" s="1">
        <f>VALUE(MID($T$2,FIND("*",SUBSTITUTE($T$2," ","*",N284),1)+1,FIND("*",SUBSTITUTE($T$2," ","*",N285),1)-FIND("*",SUBSTITUTE($T$2," ","*",N284),1)-1))/J9</f>
        <v>253.25</v>
      </c>
      <c r="P284" s="1">
        <f t="shared" si="35"/>
        <v>0.5</v>
      </c>
      <c r="R284" s="95">
        <v>249</v>
      </c>
      <c r="S284" s="89">
        <f t="shared" si="36"/>
        <v>253.25</v>
      </c>
      <c r="T284" s="7">
        <v>253.25</v>
      </c>
      <c r="U284" s="98">
        <v>0.5</v>
      </c>
      <c r="V284" s="7">
        <f t="shared" si="34"/>
        <v>1013</v>
      </c>
    </row>
    <row r="285" spans="13:22" x14ac:dyDescent="0.25">
      <c r="M285" s="8">
        <f t="shared" si="33"/>
        <v>253.75</v>
      </c>
      <c r="N285" s="1">
        <v>250</v>
      </c>
      <c r="O285" s="1">
        <f>VALUE(MID($T$2,FIND("*",SUBSTITUTE($T$2," ","*",N285),1)+1,FIND("*",SUBSTITUTE($T$2," ","*",N286),1)-FIND("*",SUBSTITUTE($T$2," ","*",N285),1)-1))/J9</f>
        <v>253.75</v>
      </c>
      <c r="P285" s="1">
        <f t="shared" si="35"/>
        <v>0.5</v>
      </c>
      <c r="R285" s="95">
        <v>250</v>
      </c>
      <c r="S285" s="89">
        <f t="shared" si="36"/>
        <v>253.75</v>
      </c>
      <c r="T285" s="7">
        <v>253.75</v>
      </c>
      <c r="U285" s="98">
        <v>0.5</v>
      </c>
      <c r="V285" s="7">
        <f t="shared" si="34"/>
        <v>1015</v>
      </c>
    </row>
    <row r="286" spans="13:22" x14ac:dyDescent="0.25">
      <c r="M286" s="8">
        <f t="shared" si="33"/>
        <v>254</v>
      </c>
      <c r="N286" s="1">
        <v>251</v>
      </c>
      <c r="O286" s="1">
        <f>VALUE(MID($T$2,FIND("*",SUBSTITUTE($T$2," ","*",N286),1)+1,FIND("*",SUBSTITUTE($T$2," ","*",N287),1)-FIND("*",SUBSTITUTE($T$2," ","*",N286),1)-1))/J9</f>
        <v>254</v>
      </c>
      <c r="P286" s="1">
        <f t="shared" si="35"/>
        <v>0.25</v>
      </c>
      <c r="R286" s="95">
        <v>251</v>
      </c>
      <c r="S286" s="89">
        <f t="shared" si="36"/>
        <v>254</v>
      </c>
      <c r="T286" s="7">
        <v>254</v>
      </c>
      <c r="U286" s="98">
        <v>0.25</v>
      </c>
      <c r="V286" s="7">
        <f t="shared" si="34"/>
        <v>1016</v>
      </c>
    </row>
    <row r="287" spans="13:22" x14ac:dyDescent="0.25">
      <c r="M287" s="8">
        <f t="shared" si="33"/>
        <v>254.25</v>
      </c>
      <c r="N287" s="1">
        <v>252</v>
      </c>
      <c r="O287" s="1">
        <f>VALUE(MID($T$2,FIND("*",SUBSTITUTE($T$2," ","*",N287),1)+1,FIND("*",SUBSTITUTE($T$2," ","*",N288),1)-FIND("*",SUBSTITUTE($T$2," ","*",N287),1)-1))/J9</f>
        <v>254.25</v>
      </c>
      <c r="P287" s="1">
        <f t="shared" si="35"/>
        <v>0.25</v>
      </c>
      <c r="R287" s="95">
        <v>252</v>
      </c>
      <c r="S287" s="89">
        <f t="shared" si="36"/>
        <v>254.25</v>
      </c>
      <c r="T287" s="7">
        <v>254.25</v>
      </c>
      <c r="U287" s="98">
        <v>0.25</v>
      </c>
      <c r="V287" s="7">
        <f t="shared" si="34"/>
        <v>1017</v>
      </c>
    </row>
    <row r="288" spans="13:22" x14ac:dyDescent="0.25">
      <c r="M288" s="8">
        <f t="shared" si="33"/>
        <v>254.75</v>
      </c>
      <c r="N288" s="1">
        <v>253</v>
      </c>
      <c r="O288" s="1">
        <f>VALUE(MID($T$2,FIND("*",SUBSTITUTE($T$2," ","*",N288),1)+1,FIND("*",SUBSTITUTE($T$2," ","*",N289),1)-FIND("*",SUBSTITUTE($T$2," ","*",N288),1)-1))/J9</f>
        <v>254.75</v>
      </c>
      <c r="P288" s="1">
        <f t="shared" si="35"/>
        <v>0.5</v>
      </c>
      <c r="R288" s="95">
        <v>253</v>
      </c>
      <c r="S288" s="89">
        <f t="shared" si="36"/>
        <v>254.75</v>
      </c>
      <c r="T288" s="7">
        <v>254.75</v>
      </c>
      <c r="U288" s="98">
        <v>0.5</v>
      </c>
      <c r="V288" s="7">
        <f t="shared" si="34"/>
        <v>1019</v>
      </c>
    </row>
    <row r="289" spans="13:22" x14ac:dyDescent="0.25">
      <c r="M289" s="8">
        <f t="shared" si="33"/>
        <v>255</v>
      </c>
      <c r="N289" s="1">
        <v>254</v>
      </c>
      <c r="O289" s="1">
        <f>VALUE(MID($T$2,FIND("*",SUBSTITUTE($T$2," ","*",N289),1)+1,FIND("*",SUBSTITUTE($T$2," ","*",N290),1)-FIND("*",SUBSTITUTE($T$2," ","*",N289),1)-1))/J9</f>
        <v>255</v>
      </c>
      <c r="P289" s="1">
        <f t="shared" si="35"/>
        <v>0.25</v>
      </c>
      <c r="R289" s="95">
        <v>254</v>
      </c>
      <c r="S289" s="89">
        <f t="shared" si="36"/>
        <v>255</v>
      </c>
      <c r="T289" s="7">
        <v>255</v>
      </c>
      <c r="U289" s="98">
        <v>0.25</v>
      </c>
      <c r="V289" s="7">
        <f t="shared" si="34"/>
        <v>1020</v>
      </c>
    </row>
    <row r="290" spans="13:22" x14ac:dyDescent="0.25">
      <c r="M290" s="8">
        <f t="shared" si="33"/>
        <v>255.5</v>
      </c>
      <c r="N290" s="1">
        <v>255</v>
      </c>
      <c r="O290" s="1">
        <f>VALUE(MID($T$2,FIND("*",SUBSTITUTE($T$2," ","*",N290),1)+1,FIND("*",SUBSTITUTE($T$2," ","*",N291),1)-FIND("*",SUBSTITUTE($T$2," ","*",N290),1)-1))/J9</f>
        <v>255.5</v>
      </c>
      <c r="P290" s="1">
        <f t="shared" si="35"/>
        <v>0.5</v>
      </c>
      <c r="R290" s="95">
        <v>255</v>
      </c>
      <c r="S290" s="89">
        <f t="shared" si="36"/>
        <v>255.5</v>
      </c>
      <c r="T290" s="7">
        <v>255.5</v>
      </c>
      <c r="U290" s="98">
        <v>0.5</v>
      </c>
      <c r="V290" s="7">
        <f t="shared" si="34"/>
        <v>1022</v>
      </c>
    </row>
    <row r="291" spans="13:22" ht="17.25" thickBot="1" x14ac:dyDescent="0.3">
      <c r="M291" s="8">
        <f t="shared" si="33"/>
        <v>255.75</v>
      </c>
      <c r="N291" s="1">
        <v>256</v>
      </c>
      <c r="O291" s="1">
        <f>VALUE(RIGHT($T$2,LEN($T$2)-FIND("*",SUBSTITUTE($T$2," ","*",256),1)))/J9</f>
        <v>255.75</v>
      </c>
      <c r="P291" s="1">
        <f t="shared" si="35"/>
        <v>0.25</v>
      </c>
      <c r="R291" s="96">
        <v>256</v>
      </c>
      <c r="S291" s="93">
        <f t="shared" si="36"/>
        <v>255.75</v>
      </c>
      <c r="T291" s="7">
        <v>255.75</v>
      </c>
      <c r="U291" s="98">
        <v>0.25</v>
      </c>
      <c r="V291" s="7">
        <f t="shared" si="34"/>
        <v>1023</v>
      </c>
    </row>
    <row r="292" spans="13:22" x14ac:dyDescent="0.25">
      <c r="U292" s="1"/>
    </row>
    <row r="293" spans="13:22" x14ac:dyDescent="0.25">
      <c r="U293" s="1"/>
    </row>
    <row r="294" spans="13:22" x14ac:dyDescent="0.25">
      <c r="U294" s="1"/>
    </row>
    <row r="295" spans="13:22" x14ac:dyDescent="0.25">
      <c r="U295" s="1"/>
    </row>
    <row r="296" spans="13:22" x14ac:dyDescent="0.25">
      <c r="U296" s="1"/>
    </row>
    <row r="297" spans="13:22" x14ac:dyDescent="0.25">
      <c r="U297" s="1"/>
    </row>
    <row r="298" spans="13:22" x14ac:dyDescent="0.25">
      <c r="U298" s="1"/>
    </row>
  </sheetData>
  <mergeCells count="21">
    <mergeCell ref="M33:P33"/>
    <mergeCell ref="R33:U33"/>
    <mergeCell ref="B99:C102"/>
    <mergeCell ref="B103:C106"/>
    <mergeCell ref="B107:C110"/>
    <mergeCell ref="Y2:AC5"/>
    <mergeCell ref="K4:K6"/>
    <mergeCell ref="M6:N6"/>
    <mergeCell ref="M7:N7"/>
    <mergeCell ref="P2:P5"/>
    <mergeCell ref="R2:S5"/>
    <mergeCell ref="T2:X5"/>
    <mergeCell ref="B8:B9"/>
    <mergeCell ref="M8:N8"/>
    <mergeCell ref="M9:N9"/>
    <mergeCell ref="B2:J6"/>
    <mergeCell ref="K2:K3"/>
    <mergeCell ref="M2:O5"/>
    <mergeCell ref="C8:I9"/>
    <mergeCell ref="J8:K8"/>
    <mergeCell ref="J9:K9"/>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zero">
                <anchor moveWithCells="1" sizeWithCells="1">
                  <from>
                    <xdr:col>19</xdr:col>
                    <xdr:colOff>628650</xdr:colOff>
                    <xdr:row>32</xdr:row>
                    <xdr:rowOff>0</xdr:rowOff>
                  </from>
                  <to>
                    <xdr:col>20</xdr:col>
                    <xdr:colOff>209550</xdr:colOff>
                    <xdr:row>33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9D751-FE4D-4C05-BFA3-74CFC5E0787F}">
  <sheetPr codeName="工作表1"/>
  <dimension ref="A1:N23"/>
  <sheetViews>
    <sheetView zoomScaleNormal="100" workbookViewId="0">
      <selection activeCell="B2" sqref="B2:N6"/>
    </sheetView>
  </sheetViews>
  <sheetFormatPr defaultRowHeight="16.5" x14ac:dyDescent="0.25"/>
  <cols>
    <col min="1" max="1" width="3.75" customWidth="1"/>
    <col min="2" max="3" width="9" customWidth="1"/>
    <col min="4" max="6" width="9" style="1" customWidth="1"/>
    <col min="7" max="7" width="3.75" style="1" customWidth="1"/>
    <col min="8" max="10" width="9" style="1"/>
    <col min="11" max="11" width="3.75" customWidth="1"/>
    <col min="14" max="14" width="9" style="1"/>
    <col min="15" max="15" width="3.75" customWidth="1"/>
  </cols>
  <sheetData>
    <row r="1" spans="1:14" x14ac:dyDescent="0.25">
      <c r="A1" s="1"/>
      <c r="B1" s="1"/>
      <c r="C1" s="1"/>
    </row>
    <row r="2" spans="1:14" ht="16.5" customHeight="1" x14ac:dyDescent="0.25">
      <c r="A2" s="1"/>
      <c r="B2" s="100" t="s">
        <v>41</v>
      </c>
      <c r="C2" s="100"/>
      <c r="D2" s="100"/>
      <c r="E2" s="100"/>
      <c r="F2" s="100"/>
      <c r="G2" s="100"/>
      <c r="H2" s="100"/>
      <c r="I2" s="100"/>
      <c r="J2" s="100"/>
      <c r="K2" s="100"/>
      <c r="L2" s="100"/>
      <c r="M2" s="100"/>
      <c r="N2" s="100"/>
    </row>
    <row r="3" spans="1:14" ht="16.5" customHeight="1" x14ac:dyDescent="0.25">
      <c r="A3" s="1"/>
      <c r="B3" s="100"/>
      <c r="C3" s="100"/>
      <c r="D3" s="100"/>
      <c r="E3" s="100"/>
      <c r="F3" s="100"/>
      <c r="G3" s="100"/>
      <c r="H3" s="100"/>
      <c r="I3" s="100"/>
      <c r="J3" s="100"/>
      <c r="K3" s="100"/>
      <c r="L3" s="100"/>
      <c r="M3" s="100"/>
      <c r="N3" s="100"/>
    </row>
    <row r="4" spans="1:14" ht="16.5" customHeight="1" x14ac:dyDescent="0.25">
      <c r="A4" s="1"/>
      <c r="B4" s="100"/>
      <c r="C4" s="100"/>
      <c r="D4" s="100"/>
      <c r="E4" s="100"/>
      <c r="F4" s="100"/>
      <c r="G4" s="100"/>
      <c r="H4" s="100"/>
      <c r="I4" s="100"/>
      <c r="J4" s="100"/>
      <c r="K4" s="100"/>
      <c r="L4" s="100"/>
      <c r="M4" s="100"/>
      <c r="N4" s="100"/>
    </row>
    <row r="5" spans="1:14" ht="16.5" customHeight="1" x14ac:dyDescent="0.25">
      <c r="A5" s="1"/>
      <c r="B5" s="100"/>
      <c r="C5" s="100"/>
      <c r="D5" s="100"/>
      <c r="E5" s="100"/>
      <c r="F5" s="100"/>
      <c r="G5" s="100"/>
      <c r="H5" s="100"/>
      <c r="I5" s="100"/>
      <c r="J5" s="100"/>
      <c r="K5" s="100"/>
      <c r="L5" s="100"/>
      <c r="M5" s="100"/>
      <c r="N5" s="100"/>
    </row>
    <row r="6" spans="1:14" ht="16.5" customHeight="1" x14ac:dyDescent="0.25">
      <c r="A6" s="1"/>
      <c r="B6" s="100"/>
      <c r="C6" s="100"/>
      <c r="D6" s="100"/>
      <c r="E6" s="100"/>
      <c r="F6" s="100"/>
      <c r="G6" s="100"/>
      <c r="H6" s="100"/>
      <c r="I6" s="100"/>
      <c r="J6" s="100"/>
      <c r="K6" s="100"/>
      <c r="L6" s="100"/>
      <c r="M6" s="100"/>
      <c r="N6" s="100"/>
    </row>
    <row r="7" spans="1:14" x14ac:dyDescent="0.25">
      <c r="A7" s="1"/>
      <c r="D7"/>
      <c r="E7"/>
      <c r="F7"/>
      <c r="G7"/>
      <c r="H7"/>
      <c r="I7"/>
      <c r="K7" s="1"/>
    </row>
    <row r="8" spans="1:14" ht="16.5" customHeight="1" x14ac:dyDescent="0.25">
      <c r="A8" s="1"/>
      <c r="B8" s="101" t="s">
        <v>43</v>
      </c>
      <c r="C8" s="101"/>
      <c r="D8" s="101"/>
      <c r="E8" s="101"/>
      <c r="F8" s="101"/>
      <c r="G8" s="101"/>
      <c r="H8" s="101"/>
      <c r="I8" s="101"/>
      <c r="J8" s="101"/>
      <c r="K8" s="101"/>
      <c r="L8" s="101"/>
      <c r="M8" s="101"/>
      <c r="N8" s="101"/>
    </row>
    <row r="9" spans="1:14" ht="16.5" customHeight="1" x14ac:dyDescent="0.25">
      <c r="A9" s="1"/>
      <c r="B9" s="101"/>
      <c r="C9" s="101"/>
      <c r="D9" s="101"/>
      <c r="E9" s="101"/>
      <c r="F9" s="101"/>
      <c r="G9" s="101"/>
      <c r="H9" s="101"/>
      <c r="I9" s="101"/>
      <c r="J9" s="101"/>
      <c r="K9" s="101"/>
      <c r="L9" s="101"/>
      <c r="M9" s="101"/>
      <c r="N9" s="101"/>
    </row>
    <row r="10" spans="1:14" ht="18.75" customHeight="1" x14ac:dyDescent="0.25">
      <c r="A10" s="1"/>
      <c r="B10" s="101"/>
      <c r="C10" s="101"/>
      <c r="D10" s="101"/>
      <c r="E10" s="101"/>
      <c r="F10" s="101"/>
      <c r="G10" s="101"/>
      <c r="H10" s="101"/>
      <c r="I10" s="101"/>
      <c r="J10" s="101"/>
      <c r="K10" s="101"/>
      <c r="L10" s="101"/>
      <c r="M10" s="101"/>
      <c r="N10" s="101"/>
    </row>
    <row r="11" spans="1:14" x14ac:dyDescent="0.25">
      <c r="H11" s="99" t="s">
        <v>3</v>
      </c>
      <c r="I11" s="99"/>
      <c r="J11" s="99"/>
      <c r="K11" s="1"/>
      <c r="L11" s="99" t="s">
        <v>19</v>
      </c>
      <c r="M11" s="99"/>
      <c r="N11" s="99"/>
    </row>
    <row r="12" spans="1:14" x14ac:dyDescent="0.25">
      <c r="B12" s="1" t="s">
        <v>0</v>
      </c>
      <c r="C12" s="13" t="s">
        <v>1</v>
      </c>
      <c r="D12" s="13" t="s">
        <v>20</v>
      </c>
      <c r="E12" s="13" t="s">
        <v>2</v>
      </c>
      <c r="F12" s="1" t="s">
        <v>16</v>
      </c>
      <c r="G12"/>
      <c r="H12" s="14" t="s">
        <v>4</v>
      </c>
      <c r="I12" s="13" t="s">
        <v>5</v>
      </c>
      <c r="J12" s="1" t="s">
        <v>18</v>
      </c>
      <c r="K12" s="1"/>
      <c r="L12" s="15" t="s">
        <v>4</v>
      </c>
      <c r="M12" s="1" t="s">
        <v>5</v>
      </c>
      <c r="N12" s="1" t="s">
        <v>18</v>
      </c>
    </row>
    <row r="13" spans="1:14" x14ac:dyDescent="0.25">
      <c r="B13" s="1">
        <v>4</v>
      </c>
      <c r="C13" s="1"/>
      <c r="F13" s="1">
        <f t="shared" ref="F13:F23" si="0">D13-E13</f>
        <v>0</v>
      </c>
      <c r="G13"/>
      <c r="J13" s="1">
        <f>'(gamma)_2'!F16</f>
        <v>0</v>
      </c>
      <c r="K13" s="1"/>
      <c r="L13" s="12" t="e">
        <f t="shared" ref="L13:L23" si="1">H13*N13/J13</f>
        <v>#DIV/0!</v>
      </c>
      <c r="M13" s="1">
        <f>E13</f>
        <v>0</v>
      </c>
      <c r="N13" s="1">
        <f>'(gamma)_2'!D16</f>
        <v>0</v>
      </c>
    </row>
    <row r="14" spans="1:14" x14ac:dyDescent="0.25">
      <c r="B14" s="1">
        <v>5</v>
      </c>
      <c r="C14" s="1"/>
      <c r="F14" s="1">
        <f t="shared" si="0"/>
        <v>0</v>
      </c>
      <c r="G14"/>
      <c r="J14" s="1">
        <f>'(gamma)_2'!F17</f>
        <v>0</v>
      </c>
      <c r="L14" s="12" t="e">
        <f t="shared" si="1"/>
        <v>#DIV/0!</v>
      </c>
      <c r="M14" s="1">
        <f t="shared" ref="M14:M23" si="2">E14</f>
        <v>0</v>
      </c>
      <c r="N14" s="1">
        <f>'(gamma)_2'!D17</f>
        <v>0</v>
      </c>
    </row>
    <row r="15" spans="1:14" x14ac:dyDescent="0.25">
      <c r="B15" s="1">
        <v>6</v>
      </c>
      <c r="C15" s="1"/>
      <c r="F15" s="1">
        <f t="shared" si="0"/>
        <v>0</v>
      </c>
      <c r="G15"/>
      <c r="J15" s="1">
        <f>'(gamma)_2'!F18</f>
        <v>0</v>
      </c>
      <c r="L15" s="12" t="e">
        <f t="shared" si="1"/>
        <v>#DIV/0!</v>
      </c>
      <c r="M15" s="1">
        <f t="shared" si="2"/>
        <v>0</v>
      </c>
      <c r="N15" s="1">
        <f>'(gamma)_2'!D18</f>
        <v>0</v>
      </c>
    </row>
    <row r="16" spans="1:14" x14ac:dyDescent="0.25">
      <c r="B16" s="1">
        <v>7</v>
      </c>
      <c r="C16" s="1"/>
      <c r="F16" s="1">
        <f t="shared" si="0"/>
        <v>0</v>
      </c>
      <c r="G16"/>
      <c r="J16" s="1">
        <f>'(gamma)_2'!F19</f>
        <v>0</v>
      </c>
      <c r="L16" s="12" t="e">
        <f t="shared" si="1"/>
        <v>#DIV/0!</v>
      </c>
      <c r="M16" s="1">
        <f t="shared" si="2"/>
        <v>0</v>
      </c>
      <c r="N16" s="1">
        <f>'(gamma)_2'!D19</f>
        <v>0</v>
      </c>
    </row>
    <row r="17" spans="2:14" x14ac:dyDescent="0.25">
      <c r="B17" s="1">
        <v>8</v>
      </c>
      <c r="C17" s="1"/>
      <c r="F17" s="1">
        <f t="shared" si="0"/>
        <v>0</v>
      </c>
      <c r="G17"/>
      <c r="J17" s="1">
        <f>'(gamma)_2'!F20</f>
        <v>0</v>
      </c>
      <c r="L17" s="12" t="e">
        <f t="shared" si="1"/>
        <v>#DIV/0!</v>
      </c>
      <c r="M17" s="1">
        <f t="shared" si="2"/>
        <v>0</v>
      </c>
      <c r="N17" s="1">
        <f>'(gamma)_2'!D20</f>
        <v>0</v>
      </c>
    </row>
    <row r="18" spans="2:14" x14ac:dyDescent="0.25">
      <c r="B18" s="1">
        <v>9</v>
      </c>
      <c r="C18" s="1"/>
      <c r="F18" s="1">
        <f t="shared" si="0"/>
        <v>0</v>
      </c>
      <c r="G18"/>
      <c r="J18" s="1">
        <f>'(gamma)_2'!F21</f>
        <v>0</v>
      </c>
      <c r="L18" s="12" t="e">
        <f t="shared" si="1"/>
        <v>#DIV/0!</v>
      </c>
      <c r="M18" s="1">
        <f t="shared" si="2"/>
        <v>0</v>
      </c>
      <c r="N18" s="1">
        <f>'(gamma)_2'!D21</f>
        <v>0</v>
      </c>
    </row>
    <row r="19" spans="2:14" x14ac:dyDescent="0.25">
      <c r="B19" s="1">
        <v>10</v>
      </c>
      <c r="C19" s="1"/>
      <c r="F19" s="1">
        <f t="shared" si="0"/>
        <v>0</v>
      </c>
      <c r="G19"/>
      <c r="J19" s="1">
        <f>'(gamma)_2'!F22</f>
        <v>0</v>
      </c>
      <c r="L19" s="12" t="e">
        <f t="shared" si="1"/>
        <v>#DIV/0!</v>
      </c>
      <c r="M19" s="1">
        <f t="shared" si="2"/>
        <v>0</v>
      </c>
      <c r="N19" s="1">
        <f>'(gamma)_2'!D22</f>
        <v>0</v>
      </c>
    </row>
    <row r="20" spans="2:14" x14ac:dyDescent="0.25">
      <c r="B20" s="1">
        <v>11</v>
      </c>
      <c r="C20" s="1"/>
      <c r="F20" s="1">
        <f t="shared" si="0"/>
        <v>0</v>
      </c>
      <c r="G20"/>
      <c r="J20" s="1">
        <f>'(gamma)_2'!F23</f>
        <v>0</v>
      </c>
      <c r="L20" s="12" t="e">
        <f t="shared" si="1"/>
        <v>#DIV/0!</v>
      </c>
      <c r="M20" s="1">
        <f t="shared" si="2"/>
        <v>0</v>
      </c>
      <c r="N20" s="1">
        <f>'(gamma)_2'!D23</f>
        <v>0</v>
      </c>
    </row>
    <row r="21" spans="2:14" x14ac:dyDescent="0.25">
      <c r="B21" s="1">
        <v>12</v>
      </c>
      <c r="C21" s="1"/>
      <c r="F21" s="1">
        <f t="shared" si="0"/>
        <v>0</v>
      </c>
      <c r="G21"/>
      <c r="J21" s="1">
        <f>'(gamma)_2'!F24</f>
        <v>0</v>
      </c>
      <c r="L21" s="12" t="e">
        <f t="shared" si="1"/>
        <v>#DIV/0!</v>
      </c>
      <c r="M21" s="1">
        <f t="shared" si="2"/>
        <v>0</v>
      </c>
      <c r="N21" s="1">
        <f>'(gamma)_2'!D24</f>
        <v>0</v>
      </c>
    </row>
    <row r="22" spans="2:14" x14ac:dyDescent="0.25">
      <c r="B22" s="1">
        <v>13</v>
      </c>
      <c r="C22" s="1"/>
      <c r="F22" s="1">
        <f t="shared" si="0"/>
        <v>0</v>
      </c>
      <c r="G22"/>
      <c r="J22" s="1">
        <f>'(gamma)_2'!F25</f>
        <v>0</v>
      </c>
      <c r="L22" s="12" t="e">
        <f t="shared" si="1"/>
        <v>#DIV/0!</v>
      </c>
      <c r="M22" s="1">
        <f t="shared" si="2"/>
        <v>0</v>
      </c>
      <c r="N22" s="1">
        <f>'(gamma)_2'!D25</f>
        <v>0</v>
      </c>
    </row>
    <row r="23" spans="2:14" x14ac:dyDescent="0.25">
      <c r="B23" s="1">
        <v>14</v>
      </c>
      <c r="C23" s="1"/>
      <c r="F23" s="1">
        <f t="shared" si="0"/>
        <v>0</v>
      </c>
      <c r="G23"/>
      <c r="J23" s="1">
        <f>'(gamma)_2'!F26</f>
        <v>0</v>
      </c>
      <c r="L23" s="12" t="e">
        <f t="shared" si="1"/>
        <v>#DIV/0!</v>
      </c>
      <c r="M23" s="1">
        <f t="shared" si="2"/>
        <v>0</v>
      </c>
      <c r="N23" s="1">
        <f>'(gamma)_2'!D26</f>
        <v>0</v>
      </c>
    </row>
  </sheetData>
  <mergeCells count="4">
    <mergeCell ref="H11:J11"/>
    <mergeCell ref="L11:N11"/>
    <mergeCell ref="B2:N6"/>
    <mergeCell ref="B8:N10"/>
  </mergeCells>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1C758-99D3-4C6C-9F74-954D38EFA657}">
  <sheetPr codeName="工作表6"/>
  <dimension ref="B2:AA282"/>
  <sheetViews>
    <sheetView zoomScaleNormal="100" workbookViewId="0">
      <selection activeCell="B2" sqref="B2:F9"/>
    </sheetView>
  </sheetViews>
  <sheetFormatPr defaultColWidth="9" defaultRowHeight="16.5" x14ac:dyDescent="0.25"/>
  <cols>
    <col min="1" max="1" width="3.375" style="1" customWidth="1"/>
    <col min="2" max="6" width="10.875" style="1" customWidth="1"/>
    <col min="7" max="7" width="3.375" style="1" customWidth="1"/>
    <col min="8" max="11" width="10.875" style="1" customWidth="1"/>
    <col min="12" max="12" width="3.375" style="1" customWidth="1"/>
    <col min="13" max="24" width="10.875" style="1" customWidth="1"/>
    <col min="25" max="25" width="3.375" style="1" customWidth="1"/>
    <col min="26" max="43" width="9.125" style="1" customWidth="1"/>
    <col min="44" max="59" width="9" style="1"/>
    <col min="60" max="60" width="9" style="1" customWidth="1"/>
    <col min="61" max="16384" width="9" style="1"/>
  </cols>
  <sheetData>
    <row r="2" spans="2:27" ht="16.5" customHeight="1" x14ac:dyDescent="0.25">
      <c r="B2" s="100" t="s">
        <v>6</v>
      </c>
      <c r="C2" s="100"/>
      <c r="D2" s="100"/>
      <c r="E2" s="100"/>
      <c r="F2" s="100"/>
      <c r="H2" s="113" t="s">
        <v>13</v>
      </c>
      <c r="I2" s="113"/>
      <c r="J2" s="99"/>
      <c r="K2" s="99"/>
      <c r="M2" s="114" t="s">
        <v>7</v>
      </c>
      <c r="N2" s="115"/>
      <c r="O2" s="104" t="s">
        <v>17</v>
      </c>
      <c r="P2" s="105"/>
      <c r="Q2" s="105"/>
      <c r="R2" s="105"/>
      <c r="S2" s="106"/>
      <c r="T2" s="10"/>
      <c r="Y2"/>
      <c r="AA2" s="2"/>
    </row>
    <row r="3" spans="2:27" ht="16.5" customHeight="1" x14ac:dyDescent="0.25">
      <c r="B3" s="100"/>
      <c r="C3" s="100"/>
      <c r="D3" s="100"/>
      <c r="E3" s="100"/>
      <c r="F3" s="100"/>
      <c r="H3" s="7" t="s">
        <v>14</v>
      </c>
      <c r="I3" s="1" t="s">
        <v>15</v>
      </c>
      <c r="J3" s="1" t="s">
        <v>14</v>
      </c>
      <c r="K3" s="1" t="s">
        <v>16</v>
      </c>
      <c r="M3" s="116"/>
      <c r="N3" s="115"/>
      <c r="O3" s="107"/>
      <c r="P3" s="108"/>
      <c r="Q3" s="108"/>
      <c r="R3" s="108"/>
      <c r="S3" s="109"/>
      <c r="T3"/>
      <c r="Y3"/>
    </row>
    <row r="4" spans="2:27" ht="16.5" customHeight="1" x14ac:dyDescent="0.25">
      <c r="B4" s="100"/>
      <c r="C4" s="100"/>
      <c r="D4" s="100"/>
      <c r="E4" s="100"/>
      <c r="F4" s="100"/>
      <c r="H4" s="8">
        <f>J4</f>
        <v>0</v>
      </c>
      <c r="I4" s="1">
        <v>0</v>
      </c>
      <c r="J4" s="1">
        <f>VALUE(MID(O2,1,SEARCH(" ",O2,1)-1))/4</f>
        <v>0</v>
      </c>
      <c r="K4" s="1">
        <v>0</v>
      </c>
      <c r="L4" s="3"/>
      <c r="M4" s="116"/>
      <c r="N4" s="115"/>
      <c r="O4" s="107"/>
      <c r="P4" s="108"/>
      <c r="Q4" s="108"/>
      <c r="R4" s="108"/>
      <c r="S4" s="109"/>
      <c r="T4"/>
      <c r="Y4"/>
    </row>
    <row r="5" spans="2:27" ht="16.5" customHeight="1" x14ac:dyDescent="0.25">
      <c r="B5" s="100"/>
      <c r="C5" s="100"/>
      <c r="D5" s="100"/>
      <c r="E5" s="100"/>
      <c r="F5" s="100"/>
      <c r="H5" s="8">
        <f t="shared" ref="H5:H68" si="0">J5</f>
        <v>4.5</v>
      </c>
      <c r="I5" s="1">
        <v>1</v>
      </c>
      <c r="J5" s="1">
        <f>VALUE(MID($O$2,FIND("*",SUBSTITUTE($O$2," ","*",I5),1)+1,FIND("*",SUBSTITUTE($O$2," ","*",I6),1)-FIND("*",SUBSTITUTE($O$2," ","*",I5),1)-1))/4</f>
        <v>4.5</v>
      </c>
      <c r="K5" s="1">
        <f>J5-J4</f>
        <v>4.5</v>
      </c>
      <c r="L5" s="3"/>
      <c r="M5" s="116"/>
      <c r="N5" s="115"/>
      <c r="O5" s="110"/>
      <c r="P5" s="111"/>
      <c r="Q5" s="111"/>
      <c r="R5" s="111"/>
      <c r="S5" s="112"/>
      <c r="T5"/>
      <c r="Y5"/>
    </row>
    <row r="6" spans="2:27" ht="16.5" customHeight="1" x14ac:dyDescent="0.25">
      <c r="B6" s="100"/>
      <c r="C6" s="100"/>
      <c r="D6" s="100"/>
      <c r="E6" s="100"/>
      <c r="F6" s="100"/>
      <c r="H6" s="8">
        <f t="shared" si="0"/>
        <v>7.5</v>
      </c>
      <c r="I6" s="1">
        <v>2</v>
      </c>
      <c r="J6" s="1">
        <f t="shared" ref="J6:J69" si="1">VALUE(MID($O$2,FIND("*",SUBSTITUTE($O$2," ","*",I6),1)+1,FIND("*",SUBSTITUTE($O$2," ","*",I7),1)-FIND("*",SUBSTITUTE($O$2," ","*",I6),1)-1))/4</f>
        <v>7.5</v>
      </c>
      <c r="K6" s="1">
        <f t="shared" ref="K6:K69" si="2">J6-J5</f>
        <v>3</v>
      </c>
      <c r="L6" s="3"/>
    </row>
    <row r="7" spans="2:27" x14ac:dyDescent="0.25">
      <c r="B7" s="100"/>
      <c r="C7" s="100"/>
      <c r="D7" s="100"/>
      <c r="E7" s="100"/>
      <c r="F7" s="100"/>
      <c r="H7" s="8">
        <f t="shared" si="0"/>
        <v>10.5</v>
      </c>
      <c r="I7" s="1">
        <v>3</v>
      </c>
      <c r="J7" s="1">
        <f t="shared" si="1"/>
        <v>10.5</v>
      </c>
      <c r="K7" s="1">
        <f t="shared" si="2"/>
        <v>3</v>
      </c>
      <c r="L7" s="3"/>
    </row>
    <row r="8" spans="2:27" x14ac:dyDescent="0.25">
      <c r="B8" s="100"/>
      <c r="C8" s="100"/>
      <c r="D8" s="100"/>
      <c r="E8" s="100"/>
      <c r="F8" s="100"/>
      <c r="G8"/>
      <c r="H8" s="8">
        <f t="shared" si="0"/>
        <v>13.5</v>
      </c>
      <c r="I8" s="1">
        <v>4</v>
      </c>
      <c r="J8" s="1">
        <f t="shared" si="1"/>
        <v>13.5</v>
      </c>
      <c r="K8" s="1">
        <f t="shared" si="2"/>
        <v>3</v>
      </c>
      <c r="L8" s="5"/>
    </row>
    <row r="9" spans="2:27" x14ac:dyDescent="0.25">
      <c r="B9" s="100"/>
      <c r="C9" s="100"/>
      <c r="D9" s="100"/>
      <c r="E9" s="100"/>
      <c r="F9" s="100"/>
      <c r="G9"/>
      <c r="H9" s="8">
        <f t="shared" si="0"/>
        <v>16.5</v>
      </c>
      <c r="I9" s="1">
        <v>5</v>
      </c>
      <c r="J9" s="1">
        <f t="shared" si="1"/>
        <v>16.5</v>
      </c>
      <c r="K9" s="1">
        <f t="shared" si="2"/>
        <v>3</v>
      </c>
      <c r="L9" s="5"/>
    </row>
    <row r="10" spans="2:27" x14ac:dyDescent="0.25">
      <c r="H10" s="8">
        <f t="shared" si="0"/>
        <v>19.5</v>
      </c>
      <c r="I10" s="1">
        <v>6</v>
      </c>
      <c r="J10" s="1">
        <f t="shared" si="1"/>
        <v>19.5</v>
      </c>
      <c r="K10" s="1">
        <f t="shared" si="2"/>
        <v>3</v>
      </c>
    </row>
    <row r="11" spans="2:27" x14ac:dyDescent="0.25">
      <c r="B11" s="102" t="s">
        <v>23</v>
      </c>
      <c r="C11" s="103"/>
      <c r="D11" s="103"/>
      <c r="E11" s="103"/>
      <c r="F11" s="103"/>
      <c r="H11" s="8">
        <f t="shared" si="0"/>
        <v>23</v>
      </c>
      <c r="I11" s="1">
        <v>7</v>
      </c>
      <c r="J11" s="1">
        <f t="shared" si="1"/>
        <v>23</v>
      </c>
      <c r="K11" s="1">
        <f t="shared" si="2"/>
        <v>3.5</v>
      </c>
    </row>
    <row r="12" spans="2:27" x14ac:dyDescent="0.25">
      <c r="B12" s="103"/>
      <c r="C12" s="103"/>
      <c r="D12" s="103"/>
      <c r="E12" s="103"/>
      <c r="F12" s="103"/>
      <c r="H12" s="8">
        <f t="shared" si="0"/>
        <v>26.5</v>
      </c>
      <c r="I12" s="1">
        <v>8</v>
      </c>
      <c r="J12" s="1">
        <f t="shared" si="1"/>
        <v>26.5</v>
      </c>
      <c r="K12" s="1">
        <f t="shared" si="2"/>
        <v>3.5</v>
      </c>
    </row>
    <row r="13" spans="2:27" x14ac:dyDescent="0.25">
      <c r="B13" s="103"/>
      <c r="C13" s="103"/>
      <c r="D13" s="103"/>
      <c r="E13" s="103"/>
      <c r="F13" s="103"/>
      <c r="H13" s="8">
        <f t="shared" si="0"/>
        <v>29.5</v>
      </c>
      <c r="I13" s="1">
        <v>9</v>
      </c>
      <c r="J13" s="1">
        <f t="shared" si="1"/>
        <v>29.5</v>
      </c>
      <c r="K13" s="1">
        <f t="shared" si="2"/>
        <v>3</v>
      </c>
    </row>
    <row r="14" spans="2:27" x14ac:dyDescent="0.25">
      <c r="H14" s="8">
        <f t="shared" si="0"/>
        <v>33.25</v>
      </c>
      <c r="I14" s="1">
        <v>10</v>
      </c>
      <c r="J14" s="1">
        <f t="shared" si="1"/>
        <v>33.25</v>
      </c>
      <c r="K14" s="1">
        <f t="shared" si="2"/>
        <v>3.75</v>
      </c>
    </row>
    <row r="15" spans="2:27" x14ac:dyDescent="0.25">
      <c r="B15" s="19" t="s">
        <v>22</v>
      </c>
      <c r="C15" s="1" t="s">
        <v>2</v>
      </c>
      <c r="D15" s="1" t="s">
        <v>8</v>
      </c>
      <c r="E15" s="1" t="s">
        <v>3</v>
      </c>
      <c r="F15" s="1" t="s">
        <v>8</v>
      </c>
      <c r="H15" s="8">
        <f t="shared" si="0"/>
        <v>36.75</v>
      </c>
      <c r="I15" s="1">
        <v>11</v>
      </c>
      <c r="J15" s="1">
        <f t="shared" si="1"/>
        <v>36.75</v>
      </c>
      <c r="K15" s="1">
        <f t="shared" si="2"/>
        <v>3.5</v>
      </c>
    </row>
    <row r="16" spans="2:27" x14ac:dyDescent="0.25">
      <c r="B16" s="1">
        <f>LSB!B13</f>
        <v>4</v>
      </c>
      <c r="C16" s="1">
        <f>LSB!E13</f>
        <v>0</v>
      </c>
      <c r="D16" s="6">
        <f t="shared" ref="D16:D21" si="3">((F29-E29)*C16)/(D29-C29)+E29-(C29*((F29-E29)/(D29-C29)))</f>
        <v>0</v>
      </c>
      <c r="E16" s="1">
        <f>LSB!I13</f>
        <v>0</v>
      </c>
      <c r="F16" s="16">
        <f t="shared" ref="F16:F21" si="4">((F42-E42)*E16)/(D42-C42)+E42-(C42*((F42-E42)/(D42-C42)))</f>
        <v>0</v>
      </c>
      <c r="H16" s="8">
        <f t="shared" si="0"/>
        <v>39.75</v>
      </c>
      <c r="I16" s="1">
        <v>12</v>
      </c>
      <c r="J16" s="1">
        <f t="shared" si="1"/>
        <v>39.75</v>
      </c>
      <c r="K16" s="1">
        <f t="shared" si="2"/>
        <v>3</v>
      </c>
    </row>
    <row r="17" spans="2:18" x14ac:dyDescent="0.25">
      <c r="B17" s="1">
        <f>LSB!B14</f>
        <v>5</v>
      </c>
      <c r="C17" s="1">
        <f>LSB!E14</f>
        <v>0</v>
      </c>
      <c r="D17" s="6">
        <f t="shared" si="3"/>
        <v>0</v>
      </c>
      <c r="E17" s="1">
        <f>LSB!I14</f>
        <v>0</v>
      </c>
      <c r="F17" s="16">
        <f t="shared" si="4"/>
        <v>0</v>
      </c>
      <c r="H17" s="8">
        <f t="shared" si="0"/>
        <v>42.75</v>
      </c>
      <c r="I17" s="1">
        <v>13</v>
      </c>
      <c r="J17" s="1">
        <f t="shared" si="1"/>
        <v>42.75</v>
      </c>
      <c r="K17" s="1">
        <f t="shared" si="2"/>
        <v>3</v>
      </c>
    </row>
    <row r="18" spans="2:18" x14ac:dyDescent="0.25">
      <c r="B18" s="1">
        <f>LSB!B15</f>
        <v>6</v>
      </c>
      <c r="C18" s="1">
        <f>LSB!E15</f>
        <v>0</v>
      </c>
      <c r="D18" s="6">
        <f t="shared" si="3"/>
        <v>0</v>
      </c>
      <c r="E18" s="1">
        <f>LSB!I15</f>
        <v>0</v>
      </c>
      <c r="F18" s="16">
        <f t="shared" si="4"/>
        <v>0</v>
      </c>
      <c r="H18" s="8">
        <f t="shared" si="0"/>
        <v>45.75</v>
      </c>
      <c r="I18" s="1">
        <v>14</v>
      </c>
      <c r="J18" s="1">
        <f t="shared" si="1"/>
        <v>45.75</v>
      </c>
      <c r="K18" s="1">
        <f t="shared" si="2"/>
        <v>3</v>
      </c>
    </row>
    <row r="19" spans="2:18" x14ac:dyDescent="0.25">
      <c r="B19" s="1">
        <f>LSB!B16</f>
        <v>7</v>
      </c>
      <c r="C19" s="1">
        <f>LSB!E16</f>
        <v>0</v>
      </c>
      <c r="D19" s="6">
        <f t="shared" si="3"/>
        <v>0</v>
      </c>
      <c r="E19" s="1">
        <f>LSB!I16</f>
        <v>0</v>
      </c>
      <c r="F19" s="16">
        <f t="shared" si="4"/>
        <v>0</v>
      </c>
      <c r="H19" s="8">
        <f t="shared" si="0"/>
        <v>48.75</v>
      </c>
      <c r="I19" s="1">
        <v>15</v>
      </c>
      <c r="J19" s="1">
        <f t="shared" si="1"/>
        <v>48.75</v>
      </c>
      <c r="K19" s="1">
        <f t="shared" si="2"/>
        <v>3</v>
      </c>
    </row>
    <row r="20" spans="2:18" x14ac:dyDescent="0.25">
      <c r="B20" s="1">
        <f>LSB!B17</f>
        <v>8</v>
      </c>
      <c r="C20" s="1">
        <f>LSB!E17</f>
        <v>0</v>
      </c>
      <c r="D20" s="6">
        <f t="shared" si="3"/>
        <v>0</v>
      </c>
      <c r="E20" s="1">
        <f>LSB!I17</f>
        <v>0</v>
      </c>
      <c r="F20" s="16">
        <f t="shared" si="4"/>
        <v>0</v>
      </c>
      <c r="H20" s="8">
        <f t="shared" si="0"/>
        <v>51.75</v>
      </c>
      <c r="I20" s="1">
        <v>16</v>
      </c>
      <c r="J20" s="1">
        <f t="shared" si="1"/>
        <v>51.75</v>
      </c>
      <c r="K20" s="1">
        <f t="shared" si="2"/>
        <v>3</v>
      </c>
    </row>
    <row r="21" spans="2:18" x14ac:dyDescent="0.25">
      <c r="B21" s="1">
        <f>LSB!B18</f>
        <v>9</v>
      </c>
      <c r="C21" s="1">
        <f>LSB!E18</f>
        <v>0</v>
      </c>
      <c r="D21" s="6">
        <f t="shared" si="3"/>
        <v>0</v>
      </c>
      <c r="E21" s="1">
        <f>LSB!I18</f>
        <v>0</v>
      </c>
      <c r="F21" s="16">
        <f t="shared" si="4"/>
        <v>0</v>
      </c>
      <c r="H21" s="8">
        <f t="shared" si="0"/>
        <v>54.25</v>
      </c>
      <c r="I21" s="1">
        <v>17</v>
      </c>
      <c r="J21" s="1">
        <f t="shared" si="1"/>
        <v>54.25</v>
      </c>
      <c r="K21" s="1">
        <f t="shared" si="2"/>
        <v>2.5</v>
      </c>
    </row>
    <row r="22" spans="2:18" x14ac:dyDescent="0.25">
      <c r="B22" s="1">
        <f>LSB!B19</f>
        <v>10</v>
      </c>
      <c r="C22" s="1">
        <f>LSB!E19</f>
        <v>0</v>
      </c>
      <c r="D22" s="6">
        <f>((F35-E35)*C22)/(D35-C35)+E35-(C35*((F35-E35)/(D35-C35)))</f>
        <v>0</v>
      </c>
      <c r="E22" s="1">
        <f>LSB!I19</f>
        <v>0</v>
      </c>
      <c r="F22" s="16">
        <f>((F48-E48)*E22)/(D48-C48)+E48-(C48*((F48-E48)/(D48-C48)))</f>
        <v>0</v>
      </c>
      <c r="H22" s="8">
        <f t="shared" si="0"/>
        <v>56.75</v>
      </c>
      <c r="I22" s="1">
        <v>18</v>
      </c>
      <c r="J22" s="1">
        <f t="shared" si="1"/>
        <v>56.75</v>
      </c>
      <c r="K22" s="1">
        <f t="shared" si="2"/>
        <v>2.5</v>
      </c>
    </row>
    <row r="23" spans="2:18" x14ac:dyDescent="0.25">
      <c r="B23" s="1">
        <f>LSB!B20</f>
        <v>11</v>
      </c>
      <c r="C23" s="1">
        <f>LSB!E20</f>
        <v>0</v>
      </c>
      <c r="D23" s="6">
        <f>((F36-E36)*C23)/(D36-C36)+E36-(C36*((F36-E36)/(D36-C36)))</f>
        <v>0</v>
      </c>
      <c r="E23" s="1">
        <f>LSB!I20</f>
        <v>0</v>
      </c>
      <c r="F23" s="16">
        <f>((F49-E49)*E23)/(D49-C49)+E49-(C49*((F49-E49)/(D49-C49)))</f>
        <v>0</v>
      </c>
      <c r="H23" s="8">
        <f t="shared" si="0"/>
        <v>59.75</v>
      </c>
      <c r="I23" s="1">
        <v>19</v>
      </c>
      <c r="J23" s="1">
        <f t="shared" si="1"/>
        <v>59.75</v>
      </c>
      <c r="K23" s="1">
        <f t="shared" si="2"/>
        <v>3</v>
      </c>
    </row>
    <row r="24" spans="2:18" x14ac:dyDescent="0.25">
      <c r="B24" s="1">
        <f>LSB!B21</f>
        <v>12</v>
      </c>
      <c r="C24" s="1">
        <f>LSB!E21</f>
        <v>0</v>
      </c>
      <c r="D24" s="6">
        <f>((F37-E37)*C24)/(D37-C37)+E37-(C37*((F37-E37)/(D37-C37)))</f>
        <v>0</v>
      </c>
      <c r="E24" s="1">
        <f>LSB!I21</f>
        <v>0</v>
      </c>
      <c r="F24" s="16">
        <f>((F50-E50)*E24)/(D50-C50)+E50-(C50*((F50-E50)/(D50-C50)))</f>
        <v>0</v>
      </c>
      <c r="H24" s="8">
        <f t="shared" si="0"/>
        <v>62.25</v>
      </c>
      <c r="I24" s="1">
        <v>20</v>
      </c>
      <c r="J24" s="1">
        <f t="shared" si="1"/>
        <v>62.25</v>
      </c>
      <c r="K24" s="1">
        <f t="shared" si="2"/>
        <v>2.5</v>
      </c>
      <c r="M24"/>
      <c r="N24"/>
      <c r="O24"/>
      <c r="P24"/>
      <c r="Q24"/>
    </row>
    <row r="25" spans="2:18" x14ac:dyDescent="0.25">
      <c r="B25" s="1">
        <f>LSB!B22</f>
        <v>13</v>
      </c>
      <c r="C25" s="1">
        <f>LSB!E22</f>
        <v>0</v>
      </c>
      <c r="D25" s="6">
        <f>((F38-E38)*C25)/(D38-C38)+E38-(C38*((F38-E38)/(D38-C38)))</f>
        <v>0</v>
      </c>
      <c r="E25" s="1">
        <f>LSB!I22</f>
        <v>0</v>
      </c>
      <c r="F25" s="16">
        <f>((F51-E51)*E25)/(D51-C51)+E51-(C51*((F51-E51)/(D51-C51)))</f>
        <v>0</v>
      </c>
      <c r="H25" s="8">
        <f t="shared" si="0"/>
        <v>64.75</v>
      </c>
      <c r="I25" s="1">
        <v>21</v>
      </c>
      <c r="J25" s="1">
        <f t="shared" si="1"/>
        <v>64.75</v>
      </c>
      <c r="K25" s="1">
        <f t="shared" si="2"/>
        <v>2.5</v>
      </c>
      <c r="M25"/>
      <c r="N25"/>
      <c r="O25"/>
      <c r="P25"/>
      <c r="Q25"/>
      <c r="R25"/>
    </row>
    <row r="26" spans="2:18" x14ac:dyDescent="0.25">
      <c r="B26" s="1">
        <f>LSB!B23</f>
        <v>14</v>
      </c>
      <c r="C26" s="1">
        <f>LSB!E23</f>
        <v>0</v>
      </c>
      <c r="D26" s="6">
        <f>((F39-E39)*C26)/(D39-C39)+E39-(C39*((F39-E39)/(D39-C39)))</f>
        <v>0</v>
      </c>
      <c r="E26" s="1">
        <f>LSB!I23</f>
        <v>0</v>
      </c>
      <c r="F26" s="16">
        <f>((F52-E52)*E26)/(D52-C52)+E52-(C52*((F52-E52)/(D52-C52)))</f>
        <v>0</v>
      </c>
      <c r="H26" s="8">
        <f t="shared" si="0"/>
        <v>67.25</v>
      </c>
      <c r="I26" s="1">
        <v>22</v>
      </c>
      <c r="J26" s="1">
        <f t="shared" si="1"/>
        <v>67.25</v>
      </c>
      <c r="K26" s="1">
        <f t="shared" si="2"/>
        <v>2.5</v>
      </c>
      <c r="M26"/>
      <c r="N26"/>
      <c r="O26"/>
      <c r="P26"/>
      <c r="Q26"/>
      <c r="R26"/>
    </row>
    <row r="27" spans="2:18" x14ac:dyDescent="0.25">
      <c r="H27" s="8">
        <f t="shared" si="0"/>
        <v>69.25</v>
      </c>
      <c r="I27" s="1">
        <v>23</v>
      </c>
      <c r="J27" s="1">
        <f t="shared" si="1"/>
        <v>69.25</v>
      </c>
      <c r="K27" s="1">
        <f t="shared" si="2"/>
        <v>2</v>
      </c>
      <c r="M27"/>
      <c r="N27"/>
      <c r="O27"/>
      <c r="P27"/>
      <c r="Q27"/>
      <c r="R27"/>
    </row>
    <row r="28" spans="2:18" x14ac:dyDescent="0.25">
      <c r="C28" s="1" t="s">
        <v>9</v>
      </c>
      <c r="D28" s="1" t="s">
        <v>10</v>
      </c>
      <c r="E28" s="1" t="s">
        <v>11</v>
      </c>
      <c r="F28" s="1" t="s">
        <v>12</v>
      </c>
      <c r="H28" s="8">
        <f t="shared" si="0"/>
        <v>71.75</v>
      </c>
      <c r="I28" s="1">
        <v>24</v>
      </c>
      <c r="J28" s="1">
        <f t="shared" si="1"/>
        <v>71.75</v>
      </c>
      <c r="K28" s="1">
        <f t="shared" si="2"/>
        <v>2.5</v>
      </c>
      <c r="M28"/>
      <c r="N28"/>
      <c r="O28"/>
      <c r="P28"/>
      <c r="Q28"/>
      <c r="R28"/>
    </row>
    <row r="29" spans="2:18" x14ac:dyDescent="0.25">
      <c r="B29" s="1">
        <v>1</v>
      </c>
      <c r="C29" s="1">
        <f t="shared" ref="C29:D34" si="5">VLOOKUP(E29,$I$4:$J$260,2,TRUE)</f>
        <v>0</v>
      </c>
      <c r="D29" s="1">
        <f t="shared" si="5"/>
        <v>4.5</v>
      </c>
      <c r="E29" s="1">
        <f t="shared" ref="E29:E34" si="6">VLOOKUP(ROUNDUP(C16,1),$H$4:$I$260,2,TRUE)</f>
        <v>0</v>
      </c>
      <c r="F29" s="1">
        <f t="shared" ref="F29:F34" si="7">VLOOKUP(ROUNDUP(C16,1),$H$4:$I$260,2,TRUE)+1</f>
        <v>1</v>
      </c>
      <c r="H29" s="8">
        <f t="shared" si="0"/>
        <v>74.25</v>
      </c>
      <c r="I29" s="1">
        <v>25</v>
      </c>
      <c r="J29" s="1">
        <f t="shared" si="1"/>
        <v>74.25</v>
      </c>
      <c r="K29" s="1">
        <f t="shared" si="2"/>
        <v>2.5</v>
      </c>
      <c r="M29"/>
      <c r="N29"/>
      <c r="O29"/>
      <c r="P29"/>
      <c r="Q29"/>
      <c r="R29"/>
    </row>
    <row r="30" spans="2:18" x14ac:dyDescent="0.25">
      <c r="B30" s="1">
        <v>2</v>
      </c>
      <c r="C30" s="1">
        <f t="shared" si="5"/>
        <v>0</v>
      </c>
      <c r="D30" s="1">
        <f t="shared" si="5"/>
        <v>4.5</v>
      </c>
      <c r="E30" s="1">
        <f t="shared" si="6"/>
        <v>0</v>
      </c>
      <c r="F30" s="1">
        <f t="shared" si="7"/>
        <v>1</v>
      </c>
      <c r="H30" s="8">
        <f t="shared" si="0"/>
        <v>76.25</v>
      </c>
      <c r="I30" s="1">
        <v>26</v>
      </c>
      <c r="J30" s="1">
        <f t="shared" si="1"/>
        <v>76.25</v>
      </c>
      <c r="K30" s="1">
        <f t="shared" si="2"/>
        <v>2</v>
      </c>
      <c r="M30"/>
      <c r="N30"/>
      <c r="O30"/>
      <c r="P30"/>
      <c r="Q30"/>
      <c r="R30"/>
    </row>
    <row r="31" spans="2:18" x14ac:dyDescent="0.25">
      <c r="B31" s="1">
        <v>3</v>
      </c>
      <c r="C31" s="1">
        <f t="shared" si="5"/>
        <v>0</v>
      </c>
      <c r="D31" s="1">
        <f t="shared" si="5"/>
        <v>4.5</v>
      </c>
      <c r="E31" s="1">
        <f t="shared" si="6"/>
        <v>0</v>
      </c>
      <c r="F31" s="1">
        <f t="shared" si="7"/>
        <v>1</v>
      </c>
      <c r="H31" s="8">
        <f t="shared" si="0"/>
        <v>78.25</v>
      </c>
      <c r="I31" s="1">
        <v>27</v>
      </c>
      <c r="J31" s="1">
        <f t="shared" si="1"/>
        <v>78.25</v>
      </c>
      <c r="K31" s="1">
        <f t="shared" si="2"/>
        <v>2</v>
      </c>
      <c r="M31"/>
      <c r="N31"/>
      <c r="O31"/>
      <c r="P31"/>
      <c r="Q31"/>
      <c r="R31"/>
    </row>
    <row r="32" spans="2:18" x14ac:dyDescent="0.25">
      <c r="B32" s="1">
        <v>4</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25">
      <c r="B33" s="1">
        <v>5</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25">
      <c r="B34" s="1">
        <v>6</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25">
      <c r="B35" s="1">
        <v>7</v>
      </c>
      <c r="C35" s="1">
        <f t="shared" ref="C35:D39" si="8">VLOOKUP(E35,$I$4:$J$260,2,TRUE)</f>
        <v>0</v>
      </c>
      <c r="D35" s="1">
        <f t="shared" si="8"/>
        <v>4.5</v>
      </c>
      <c r="E35" s="1">
        <f>VLOOKUP(ROUNDUP(C22,1),$H$4:$I$260,2,TRUE)</f>
        <v>0</v>
      </c>
      <c r="F35" s="1">
        <f>VLOOKUP(ROUNDUP(C22,1),$H$4:$I$260,2,TRUE)+1</f>
        <v>1</v>
      </c>
      <c r="H35" s="8">
        <f t="shared" si="0"/>
        <v>86.25</v>
      </c>
      <c r="I35" s="1">
        <v>31</v>
      </c>
      <c r="J35" s="1">
        <f t="shared" si="1"/>
        <v>86.25</v>
      </c>
      <c r="K35" s="1">
        <f t="shared" si="2"/>
        <v>2</v>
      </c>
      <c r="M35"/>
      <c r="N35"/>
      <c r="O35"/>
      <c r="P35"/>
      <c r="Q35"/>
      <c r="R35"/>
    </row>
    <row r="36" spans="2:18" x14ac:dyDescent="0.25">
      <c r="B36" s="1">
        <v>8</v>
      </c>
      <c r="C36" s="1">
        <f t="shared" si="8"/>
        <v>0</v>
      </c>
      <c r="D36" s="1">
        <f t="shared" si="8"/>
        <v>4.5</v>
      </c>
      <c r="E36" s="1">
        <f>VLOOKUP(ROUNDUP(C23,1),$H$4:$I$260,2,TRUE)</f>
        <v>0</v>
      </c>
      <c r="F36" s="1">
        <f>VLOOKUP(ROUNDUP(C23,1),$H$4:$I$260,2,TRUE)+1</f>
        <v>1</v>
      </c>
      <c r="H36" s="8">
        <f t="shared" si="0"/>
        <v>87.75</v>
      </c>
      <c r="I36" s="1">
        <v>32</v>
      </c>
      <c r="J36" s="1">
        <f t="shared" si="1"/>
        <v>87.75</v>
      </c>
      <c r="K36" s="1">
        <f t="shared" si="2"/>
        <v>1.5</v>
      </c>
      <c r="M36"/>
      <c r="N36"/>
      <c r="O36"/>
      <c r="P36"/>
      <c r="Q36"/>
      <c r="R36"/>
    </row>
    <row r="37" spans="2:18" x14ac:dyDescent="0.25">
      <c r="B37" s="1">
        <v>9</v>
      </c>
      <c r="C37" s="1">
        <f t="shared" si="8"/>
        <v>0</v>
      </c>
      <c r="D37" s="1">
        <f t="shared" si="8"/>
        <v>4.5</v>
      </c>
      <c r="E37" s="1">
        <f>VLOOKUP(ROUNDUP(C24,1),$H$4:$I$260,2,TRUE)</f>
        <v>0</v>
      </c>
      <c r="F37" s="1">
        <f>VLOOKUP(ROUNDUP(C24,1),$H$4:$I$260,2,TRUE)+1</f>
        <v>1</v>
      </c>
      <c r="H37" s="8">
        <f t="shared" si="0"/>
        <v>89.25</v>
      </c>
      <c r="I37" s="1">
        <v>33</v>
      </c>
      <c r="J37" s="1">
        <f t="shared" si="1"/>
        <v>89.25</v>
      </c>
      <c r="K37" s="1">
        <f t="shared" si="2"/>
        <v>1.5</v>
      </c>
      <c r="M37"/>
      <c r="N37"/>
      <c r="O37"/>
      <c r="P37"/>
      <c r="Q37"/>
      <c r="R37"/>
    </row>
    <row r="38" spans="2:18" x14ac:dyDescent="0.25">
      <c r="B38" s="1">
        <v>10</v>
      </c>
      <c r="C38" s="1">
        <f t="shared" si="8"/>
        <v>0</v>
      </c>
      <c r="D38" s="1">
        <f t="shared" si="8"/>
        <v>4.5</v>
      </c>
      <c r="E38" s="1">
        <f>VLOOKUP(ROUNDUP(C25,1),$H$4:$I$260,2,TRUE)</f>
        <v>0</v>
      </c>
      <c r="F38" s="1">
        <f>VLOOKUP(ROUNDUP(C25,1),$H$4:$I$260,2,TRUE)+1</f>
        <v>1</v>
      </c>
      <c r="H38" s="8">
        <f t="shared" si="0"/>
        <v>91.25</v>
      </c>
      <c r="I38" s="1">
        <v>34</v>
      </c>
      <c r="J38" s="1">
        <f t="shared" si="1"/>
        <v>91.25</v>
      </c>
      <c r="K38" s="1">
        <f t="shared" si="2"/>
        <v>2</v>
      </c>
      <c r="M38"/>
      <c r="N38"/>
      <c r="O38"/>
      <c r="P38"/>
      <c r="Q38"/>
      <c r="R38"/>
    </row>
    <row r="39" spans="2:18" x14ac:dyDescent="0.25">
      <c r="B39" s="1">
        <v>11</v>
      </c>
      <c r="C39" s="1">
        <f t="shared" si="8"/>
        <v>0</v>
      </c>
      <c r="D39" s="1">
        <f t="shared" si="8"/>
        <v>4.5</v>
      </c>
      <c r="E39" s="1">
        <f>VLOOKUP(ROUNDUP(C26,1),$H$4:$I$260,2,TRUE)</f>
        <v>0</v>
      </c>
      <c r="F39" s="1">
        <f>VLOOKUP(ROUNDUP(C26,1),$H$4:$I$260,2,TRUE)+1</f>
        <v>1</v>
      </c>
      <c r="H39" s="8">
        <f t="shared" si="0"/>
        <v>93.25</v>
      </c>
      <c r="I39" s="1">
        <v>35</v>
      </c>
      <c r="J39" s="1">
        <f t="shared" si="1"/>
        <v>93.25</v>
      </c>
      <c r="K39" s="1">
        <f t="shared" si="2"/>
        <v>2</v>
      </c>
      <c r="M39"/>
      <c r="N39"/>
      <c r="O39"/>
      <c r="P39"/>
      <c r="Q39"/>
      <c r="R39"/>
    </row>
    <row r="40" spans="2:18" x14ac:dyDescent="0.25">
      <c r="H40" s="8">
        <f t="shared" si="0"/>
        <v>95.25</v>
      </c>
      <c r="I40" s="1">
        <v>36</v>
      </c>
      <c r="J40" s="1">
        <f t="shared" si="1"/>
        <v>95.25</v>
      </c>
      <c r="K40" s="1">
        <f t="shared" si="2"/>
        <v>2</v>
      </c>
      <c r="M40"/>
      <c r="N40"/>
      <c r="O40"/>
      <c r="P40"/>
      <c r="Q40"/>
      <c r="R40"/>
    </row>
    <row r="41" spans="2:18" x14ac:dyDescent="0.25">
      <c r="C41" s="1" t="s">
        <v>9</v>
      </c>
      <c r="D41" s="1" t="s">
        <v>10</v>
      </c>
      <c r="E41" s="1" t="s">
        <v>11</v>
      </c>
      <c r="F41" s="1" t="s">
        <v>12</v>
      </c>
      <c r="H41" s="8">
        <f t="shared" si="0"/>
        <v>97</v>
      </c>
      <c r="I41" s="1">
        <v>37</v>
      </c>
      <c r="J41" s="1">
        <f t="shared" si="1"/>
        <v>97</v>
      </c>
      <c r="K41" s="1">
        <f t="shared" si="2"/>
        <v>1.75</v>
      </c>
      <c r="M41"/>
      <c r="N41"/>
      <c r="O41"/>
      <c r="P41"/>
      <c r="Q41"/>
      <c r="R41"/>
    </row>
    <row r="42" spans="2:18" x14ac:dyDescent="0.25">
      <c r="B42" s="1">
        <v>1</v>
      </c>
      <c r="C42" s="9">
        <f t="shared" ref="C42:D47" si="9">VLOOKUP(E42,$I$4:$J$260,2,TRUE)</f>
        <v>0</v>
      </c>
      <c r="D42" s="9">
        <f t="shared" si="9"/>
        <v>4.5</v>
      </c>
      <c r="E42" s="9">
        <f t="shared" ref="E42:E47" si="10">VLOOKUP(ROUNDUP(E16,1),$H$4:$I$260,2,TRUE)</f>
        <v>0</v>
      </c>
      <c r="F42" s="9">
        <f t="shared" ref="F42:F47" si="11">VLOOKUP(ROUNDUP(E16,1),$H$4:$I$260,2,TRUE)+1</f>
        <v>1</v>
      </c>
      <c r="H42" s="8">
        <f t="shared" si="0"/>
        <v>98.5</v>
      </c>
      <c r="I42" s="1">
        <v>38</v>
      </c>
      <c r="J42" s="1">
        <f t="shared" si="1"/>
        <v>98.5</v>
      </c>
      <c r="K42" s="1">
        <f t="shared" si="2"/>
        <v>1.5</v>
      </c>
      <c r="M42"/>
      <c r="N42"/>
      <c r="O42"/>
      <c r="P42"/>
      <c r="Q42"/>
      <c r="R42"/>
    </row>
    <row r="43" spans="2:18" x14ac:dyDescent="0.25">
      <c r="B43" s="1">
        <v>2</v>
      </c>
      <c r="C43" s="9">
        <f t="shared" si="9"/>
        <v>0</v>
      </c>
      <c r="D43" s="9">
        <f t="shared" si="9"/>
        <v>4.5</v>
      </c>
      <c r="E43" s="9">
        <f t="shared" si="10"/>
        <v>0</v>
      </c>
      <c r="F43" s="9">
        <f t="shared" si="11"/>
        <v>1</v>
      </c>
      <c r="H43" s="8">
        <f t="shared" si="0"/>
        <v>100</v>
      </c>
      <c r="I43" s="1">
        <v>39</v>
      </c>
      <c r="J43" s="1">
        <f t="shared" si="1"/>
        <v>100</v>
      </c>
      <c r="K43" s="1">
        <f t="shared" si="2"/>
        <v>1.5</v>
      </c>
      <c r="M43"/>
      <c r="N43"/>
      <c r="O43"/>
      <c r="P43"/>
      <c r="Q43"/>
      <c r="R43"/>
    </row>
    <row r="44" spans="2:18" x14ac:dyDescent="0.25">
      <c r="B44" s="1">
        <v>3</v>
      </c>
      <c r="C44" s="9">
        <f t="shared" si="9"/>
        <v>0</v>
      </c>
      <c r="D44" s="9">
        <f t="shared" si="9"/>
        <v>4.5</v>
      </c>
      <c r="E44" s="9">
        <f t="shared" si="10"/>
        <v>0</v>
      </c>
      <c r="F44" s="9">
        <f t="shared" si="11"/>
        <v>1</v>
      </c>
      <c r="H44" s="8">
        <f t="shared" si="0"/>
        <v>101.5</v>
      </c>
      <c r="I44" s="1">
        <v>40</v>
      </c>
      <c r="J44" s="1">
        <f t="shared" si="1"/>
        <v>101.5</v>
      </c>
      <c r="K44" s="1">
        <f t="shared" si="2"/>
        <v>1.5</v>
      </c>
      <c r="M44"/>
      <c r="N44"/>
      <c r="O44"/>
      <c r="P44"/>
      <c r="Q44"/>
      <c r="R44"/>
    </row>
    <row r="45" spans="2:18" x14ac:dyDescent="0.25">
      <c r="B45" s="1">
        <v>4</v>
      </c>
      <c r="C45" s="9">
        <f t="shared" si="9"/>
        <v>0</v>
      </c>
      <c r="D45" s="9">
        <f t="shared" si="9"/>
        <v>4.5</v>
      </c>
      <c r="E45" s="9">
        <f t="shared" si="10"/>
        <v>0</v>
      </c>
      <c r="F45" s="9">
        <f t="shared" si="11"/>
        <v>1</v>
      </c>
      <c r="H45" s="8">
        <f t="shared" si="0"/>
        <v>103.5</v>
      </c>
      <c r="I45" s="1">
        <v>41</v>
      </c>
      <c r="J45" s="1">
        <f t="shared" si="1"/>
        <v>103.5</v>
      </c>
      <c r="K45" s="1">
        <f t="shared" si="2"/>
        <v>2</v>
      </c>
      <c r="M45"/>
      <c r="N45"/>
      <c r="O45"/>
      <c r="P45"/>
      <c r="Q45"/>
    </row>
    <row r="46" spans="2:18" x14ac:dyDescent="0.25">
      <c r="B46" s="1">
        <v>5</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25">
      <c r="B47" s="1">
        <v>6</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25">
      <c r="B48" s="1">
        <v>7</v>
      </c>
      <c r="C48" s="9">
        <f t="shared" ref="C48:D52" si="12">VLOOKUP(E48,$I$4:$J$260,2,TRUE)</f>
        <v>0</v>
      </c>
      <c r="D48" s="9">
        <f t="shared" si="12"/>
        <v>4.5</v>
      </c>
      <c r="E48" s="9">
        <f>VLOOKUP(ROUNDUP(E22,1),$H$4:$I$260,2,TRUE)</f>
        <v>0</v>
      </c>
      <c r="F48" s="9">
        <f>VLOOKUP(ROUNDUP(E22,1),$H$4:$I$260,2,TRUE)+1</f>
        <v>1</v>
      </c>
      <c r="H48" s="8">
        <f t="shared" si="0"/>
        <v>108.5</v>
      </c>
      <c r="I48" s="1">
        <v>44</v>
      </c>
      <c r="J48" s="1">
        <f t="shared" si="1"/>
        <v>108.5</v>
      </c>
      <c r="K48" s="1">
        <f t="shared" si="2"/>
        <v>2</v>
      </c>
      <c r="M48"/>
      <c r="N48"/>
      <c r="O48"/>
      <c r="P48"/>
      <c r="Q48"/>
    </row>
    <row r="49" spans="2:17" x14ac:dyDescent="0.25">
      <c r="B49" s="1">
        <v>8</v>
      </c>
      <c r="C49" s="9">
        <f t="shared" si="12"/>
        <v>0</v>
      </c>
      <c r="D49" s="9">
        <f t="shared" si="12"/>
        <v>4.5</v>
      </c>
      <c r="E49" s="9">
        <f>VLOOKUP(ROUNDUP(E23,1),$H$4:$I$260,2,TRUE)</f>
        <v>0</v>
      </c>
      <c r="F49" s="9">
        <f>VLOOKUP(ROUNDUP(E23,1),$H$4:$I$260,2,TRUE)+1</f>
        <v>1</v>
      </c>
      <c r="H49" s="8">
        <f t="shared" si="0"/>
        <v>110</v>
      </c>
      <c r="I49" s="1">
        <v>45</v>
      </c>
      <c r="J49" s="1">
        <f t="shared" si="1"/>
        <v>110</v>
      </c>
      <c r="K49" s="1">
        <f t="shared" si="2"/>
        <v>1.5</v>
      </c>
      <c r="M49"/>
      <c r="N49"/>
      <c r="O49"/>
      <c r="P49"/>
      <c r="Q49"/>
    </row>
    <row r="50" spans="2:17" x14ac:dyDescent="0.25">
      <c r="B50" s="1">
        <v>9</v>
      </c>
      <c r="C50" s="9">
        <f t="shared" si="12"/>
        <v>0</v>
      </c>
      <c r="D50" s="9">
        <f t="shared" si="12"/>
        <v>4.5</v>
      </c>
      <c r="E50" s="9">
        <f>VLOOKUP(ROUNDUP(E24,1),$H$4:$I$260,2,TRUE)</f>
        <v>0</v>
      </c>
      <c r="F50" s="9">
        <f>VLOOKUP(ROUNDUP(E24,1),$H$4:$I$260,2,TRUE)+1</f>
        <v>1</v>
      </c>
      <c r="H50" s="8">
        <f t="shared" si="0"/>
        <v>111</v>
      </c>
      <c r="I50" s="1">
        <v>46</v>
      </c>
      <c r="J50" s="1">
        <f t="shared" si="1"/>
        <v>111</v>
      </c>
      <c r="K50" s="1">
        <f t="shared" si="2"/>
        <v>1</v>
      </c>
      <c r="M50"/>
      <c r="N50"/>
      <c r="O50"/>
      <c r="P50"/>
      <c r="Q50"/>
    </row>
    <row r="51" spans="2:17" x14ac:dyDescent="0.25">
      <c r="B51" s="1">
        <v>10</v>
      </c>
      <c r="C51" s="9">
        <f t="shared" si="12"/>
        <v>0</v>
      </c>
      <c r="D51" s="9">
        <f t="shared" si="12"/>
        <v>4.5</v>
      </c>
      <c r="E51" s="9">
        <f>VLOOKUP(ROUNDUP(E25,1),$H$4:$I$260,2,TRUE)</f>
        <v>0</v>
      </c>
      <c r="F51" s="9">
        <f>VLOOKUP(ROUNDUP(E25,1),$H$4:$I$260,2,TRUE)+1</f>
        <v>1</v>
      </c>
      <c r="H51" s="8">
        <f t="shared" si="0"/>
        <v>112.5</v>
      </c>
      <c r="I51" s="1">
        <v>47</v>
      </c>
      <c r="J51" s="1">
        <f t="shared" si="1"/>
        <v>112.5</v>
      </c>
      <c r="K51" s="1">
        <f t="shared" si="2"/>
        <v>1.5</v>
      </c>
      <c r="M51"/>
      <c r="N51"/>
      <c r="O51"/>
      <c r="P51"/>
      <c r="Q51"/>
    </row>
    <row r="52" spans="2:17" x14ac:dyDescent="0.25">
      <c r="B52" s="1">
        <v>11</v>
      </c>
      <c r="C52" s="9">
        <f t="shared" si="12"/>
        <v>0</v>
      </c>
      <c r="D52" s="9">
        <f t="shared" si="12"/>
        <v>4.5</v>
      </c>
      <c r="E52" s="9">
        <f>VLOOKUP(ROUNDUP(E26,1),$H$4:$I$260,2,TRUE)</f>
        <v>0</v>
      </c>
      <c r="F52" s="9">
        <f>VLOOKUP(ROUNDUP(E26,1),$H$4:$I$260,2,TRUE)+1</f>
        <v>1</v>
      </c>
      <c r="H52" s="8">
        <f t="shared" si="0"/>
        <v>114.5</v>
      </c>
      <c r="I52" s="1">
        <v>48</v>
      </c>
      <c r="J52" s="1">
        <f t="shared" si="1"/>
        <v>114.5</v>
      </c>
      <c r="K52" s="1">
        <f t="shared" si="2"/>
        <v>2</v>
      </c>
      <c r="M52"/>
      <c r="N52"/>
      <c r="O52"/>
      <c r="P52"/>
      <c r="Q52"/>
    </row>
    <row r="53" spans="2:17" x14ac:dyDescent="0.25">
      <c r="H53" s="8">
        <f t="shared" si="0"/>
        <v>116</v>
      </c>
      <c r="I53" s="1">
        <v>49</v>
      </c>
      <c r="J53" s="1">
        <f t="shared" si="1"/>
        <v>116</v>
      </c>
      <c r="K53" s="1">
        <f t="shared" si="2"/>
        <v>1.5</v>
      </c>
      <c r="M53"/>
      <c r="N53"/>
      <c r="O53"/>
      <c r="P53"/>
      <c r="Q53"/>
    </row>
    <row r="54" spans="2:17" x14ac:dyDescent="0.25">
      <c r="B54" s="11" t="str">
        <f>_xlfn.CONCAT(Q153,"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f>
        <v xml:space="preserve">                                                                     </v>
      </c>
      <c r="C54" s="11"/>
      <c r="H54" s="8">
        <f t="shared" si="0"/>
        <v>117</v>
      </c>
      <c r="I54" s="1">
        <v>50</v>
      </c>
      <c r="J54" s="1">
        <f t="shared" si="1"/>
        <v>117</v>
      </c>
      <c r="K54" s="1">
        <f t="shared" si="2"/>
        <v>1</v>
      </c>
      <c r="M54"/>
      <c r="N54"/>
      <c r="O54"/>
      <c r="P54"/>
      <c r="Q54"/>
    </row>
    <row r="55" spans="2:17" x14ac:dyDescent="0.25">
      <c r="B55" s="11"/>
      <c r="C55" s="11"/>
      <c r="H55" s="8">
        <f t="shared" si="0"/>
        <v>118.5</v>
      </c>
      <c r="I55" s="1">
        <v>51</v>
      </c>
      <c r="J55" s="1">
        <f t="shared" si="1"/>
        <v>118.5</v>
      </c>
      <c r="K55" s="1">
        <f t="shared" si="2"/>
        <v>1.5</v>
      </c>
      <c r="M55"/>
      <c r="N55"/>
      <c r="O55"/>
      <c r="P55"/>
      <c r="Q55"/>
    </row>
    <row r="56" spans="2:17" x14ac:dyDescent="0.25">
      <c r="H56" s="8">
        <f t="shared" si="0"/>
        <v>120</v>
      </c>
      <c r="I56" s="1">
        <v>52</v>
      </c>
      <c r="J56" s="1">
        <f t="shared" si="1"/>
        <v>120</v>
      </c>
      <c r="K56" s="1">
        <f t="shared" si="2"/>
        <v>1.5</v>
      </c>
      <c r="M56"/>
      <c r="N56"/>
      <c r="O56"/>
      <c r="P56"/>
      <c r="Q56"/>
    </row>
    <row r="57" spans="2:17" x14ac:dyDescent="0.25">
      <c r="H57" s="8">
        <f t="shared" si="0"/>
        <v>121.5</v>
      </c>
      <c r="I57" s="1">
        <v>53</v>
      </c>
      <c r="J57" s="1">
        <f t="shared" si="1"/>
        <v>121.5</v>
      </c>
      <c r="K57" s="1">
        <f t="shared" si="2"/>
        <v>1.5</v>
      </c>
      <c r="M57"/>
      <c r="N57"/>
      <c r="O57"/>
      <c r="P57"/>
      <c r="Q57"/>
    </row>
    <row r="58" spans="2:17" x14ac:dyDescent="0.25">
      <c r="H58" s="8">
        <f t="shared" si="0"/>
        <v>123</v>
      </c>
      <c r="I58" s="1">
        <v>54</v>
      </c>
      <c r="J58" s="1">
        <f t="shared" si="1"/>
        <v>123</v>
      </c>
      <c r="K58" s="1">
        <f t="shared" si="2"/>
        <v>1.5</v>
      </c>
      <c r="M58"/>
      <c r="N58"/>
      <c r="O58"/>
      <c r="P58"/>
      <c r="Q58"/>
    </row>
    <row r="59" spans="2:17" x14ac:dyDescent="0.25">
      <c r="H59" s="8">
        <f t="shared" si="0"/>
        <v>124</v>
      </c>
      <c r="I59" s="1">
        <v>55</v>
      </c>
      <c r="J59" s="1">
        <f t="shared" si="1"/>
        <v>124</v>
      </c>
      <c r="K59" s="1">
        <f t="shared" si="2"/>
        <v>1</v>
      </c>
      <c r="M59"/>
      <c r="N59"/>
      <c r="O59"/>
      <c r="P59"/>
      <c r="Q59"/>
    </row>
    <row r="60" spans="2:17" x14ac:dyDescent="0.25">
      <c r="H60" s="8">
        <f t="shared" si="0"/>
        <v>125.5</v>
      </c>
      <c r="I60" s="1">
        <v>56</v>
      </c>
      <c r="J60" s="1">
        <f t="shared" si="1"/>
        <v>125.5</v>
      </c>
      <c r="K60" s="1">
        <f t="shared" si="2"/>
        <v>1.5</v>
      </c>
      <c r="M60"/>
      <c r="N60"/>
      <c r="O60"/>
      <c r="P60"/>
      <c r="Q60"/>
    </row>
    <row r="61" spans="2:17" x14ac:dyDescent="0.25">
      <c r="H61" s="8">
        <f t="shared" si="0"/>
        <v>127</v>
      </c>
      <c r="I61" s="1">
        <v>57</v>
      </c>
      <c r="J61" s="1">
        <f t="shared" si="1"/>
        <v>127</v>
      </c>
      <c r="K61" s="1">
        <f t="shared" si="2"/>
        <v>1.5</v>
      </c>
      <c r="M61"/>
      <c r="N61"/>
      <c r="O61"/>
      <c r="P61"/>
      <c r="Q61"/>
    </row>
    <row r="62" spans="2:17" x14ac:dyDescent="0.25">
      <c r="H62" s="8">
        <f t="shared" si="0"/>
        <v>128</v>
      </c>
      <c r="I62" s="1">
        <v>58</v>
      </c>
      <c r="J62" s="1">
        <f t="shared" si="1"/>
        <v>128</v>
      </c>
      <c r="K62" s="1">
        <f t="shared" si="2"/>
        <v>1</v>
      </c>
      <c r="M62"/>
      <c r="N62"/>
      <c r="O62"/>
      <c r="P62"/>
      <c r="Q62"/>
    </row>
    <row r="63" spans="2:17" x14ac:dyDescent="0.25">
      <c r="H63" s="8">
        <f t="shared" si="0"/>
        <v>129.5</v>
      </c>
      <c r="I63" s="1">
        <v>59</v>
      </c>
      <c r="J63" s="1">
        <f t="shared" si="1"/>
        <v>129.5</v>
      </c>
      <c r="K63" s="1">
        <f t="shared" si="2"/>
        <v>1.5</v>
      </c>
      <c r="M63"/>
      <c r="N63"/>
      <c r="O63"/>
      <c r="P63"/>
      <c r="Q63"/>
    </row>
    <row r="64" spans="2:17" x14ac:dyDescent="0.25">
      <c r="H64" s="8">
        <f t="shared" si="0"/>
        <v>131</v>
      </c>
      <c r="I64" s="1">
        <v>60</v>
      </c>
      <c r="J64" s="1">
        <f t="shared" si="1"/>
        <v>131</v>
      </c>
      <c r="K64" s="1">
        <f t="shared" si="2"/>
        <v>1.5</v>
      </c>
      <c r="M64"/>
      <c r="N64"/>
      <c r="O64"/>
      <c r="P64"/>
      <c r="Q64"/>
    </row>
    <row r="65" spans="8:17" x14ac:dyDescent="0.25">
      <c r="H65" s="8">
        <f t="shared" si="0"/>
        <v>132</v>
      </c>
      <c r="I65" s="1">
        <v>61</v>
      </c>
      <c r="J65" s="1">
        <f t="shared" si="1"/>
        <v>132</v>
      </c>
      <c r="K65" s="1">
        <f t="shared" si="2"/>
        <v>1</v>
      </c>
      <c r="M65"/>
      <c r="N65"/>
      <c r="O65"/>
      <c r="P65"/>
      <c r="Q65"/>
    </row>
    <row r="66" spans="8:17" x14ac:dyDescent="0.25">
      <c r="H66" s="8">
        <f t="shared" si="0"/>
        <v>133.5</v>
      </c>
      <c r="I66" s="1">
        <v>62</v>
      </c>
      <c r="J66" s="1">
        <f t="shared" si="1"/>
        <v>133.5</v>
      </c>
      <c r="K66" s="1">
        <f t="shared" si="2"/>
        <v>1.5</v>
      </c>
      <c r="M66"/>
      <c r="N66"/>
      <c r="O66"/>
      <c r="P66"/>
      <c r="Q66"/>
    </row>
    <row r="67" spans="8:17" x14ac:dyDescent="0.25">
      <c r="H67" s="8">
        <f t="shared" si="0"/>
        <v>134.5</v>
      </c>
      <c r="I67" s="1">
        <v>63</v>
      </c>
      <c r="J67" s="1">
        <f t="shared" si="1"/>
        <v>134.5</v>
      </c>
      <c r="K67" s="1">
        <f t="shared" si="2"/>
        <v>1</v>
      </c>
      <c r="M67"/>
      <c r="N67"/>
      <c r="O67"/>
      <c r="P67"/>
      <c r="Q67"/>
    </row>
    <row r="68" spans="8:17" x14ac:dyDescent="0.25">
      <c r="H68" s="8">
        <f t="shared" si="0"/>
        <v>135.5</v>
      </c>
      <c r="I68" s="1">
        <v>64</v>
      </c>
      <c r="J68" s="1">
        <f t="shared" si="1"/>
        <v>135.5</v>
      </c>
      <c r="K68" s="1">
        <f t="shared" si="2"/>
        <v>1</v>
      </c>
      <c r="M68"/>
      <c r="N68"/>
      <c r="O68"/>
      <c r="P68"/>
      <c r="Q68"/>
    </row>
    <row r="69" spans="8:17" x14ac:dyDescent="0.25">
      <c r="H69" s="8">
        <f t="shared" ref="H69:H132" si="13">J69</f>
        <v>137</v>
      </c>
      <c r="I69" s="1">
        <v>65</v>
      </c>
      <c r="J69" s="1">
        <f t="shared" si="1"/>
        <v>137</v>
      </c>
      <c r="K69" s="1">
        <f t="shared" si="2"/>
        <v>1.5</v>
      </c>
      <c r="M69"/>
      <c r="N69"/>
      <c r="O69"/>
      <c r="P69"/>
      <c r="Q69"/>
    </row>
    <row r="70" spans="8:17" x14ac:dyDescent="0.25">
      <c r="H70" s="8">
        <f t="shared" si="13"/>
        <v>138</v>
      </c>
      <c r="I70" s="1">
        <v>66</v>
      </c>
      <c r="J70" s="1">
        <f t="shared" ref="J70:J133" si="14">VALUE(MID($O$2,FIND("*",SUBSTITUTE($O$2," ","*",I70),1)+1,FIND("*",SUBSTITUTE($O$2," ","*",I71),1)-FIND("*",SUBSTITUTE($O$2," ","*",I70),1)-1))/4</f>
        <v>138</v>
      </c>
      <c r="K70" s="1">
        <f t="shared" ref="K70:K133" si="15">J70-J69</f>
        <v>1</v>
      </c>
      <c r="M70"/>
      <c r="N70"/>
      <c r="O70"/>
      <c r="P70"/>
      <c r="Q70"/>
    </row>
    <row r="71" spans="8:17" x14ac:dyDescent="0.25">
      <c r="H71" s="8">
        <f t="shared" si="13"/>
        <v>139.5</v>
      </c>
      <c r="I71" s="1">
        <v>67</v>
      </c>
      <c r="J71" s="1">
        <f t="shared" si="14"/>
        <v>139.5</v>
      </c>
      <c r="K71" s="1">
        <f t="shared" si="15"/>
        <v>1.5</v>
      </c>
      <c r="M71"/>
      <c r="N71"/>
      <c r="O71"/>
      <c r="P71"/>
      <c r="Q71"/>
    </row>
    <row r="72" spans="8:17" x14ac:dyDescent="0.25">
      <c r="H72" s="8">
        <f t="shared" si="13"/>
        <v>141</v>
      </c>
      <c r="I72" s="1">
        <v>68</v>
      </c>
      <c r="J72" s="1">
        <f t="shared" si="14"/>
        <v>141</v>
      </c>
      <c r="K72" s="1">
        <f t="shared" si="15"/>
        <v>1.5</v>
      </c>
      <c r="M72"/>
      <c r="N72"/>
      <c r="O72"/>
      <c r="P72"/>
      <c r="Q72"/>
    </row>
    <row r="73" spans="8:17" x14ac:dyDescent="0.25">
      <c r="H73" s="8">
        <f t="shared" si="13"/>
        <v>142</v>
      </c>
      <c r="I73" s="1">
        <v>69</v>
      </c>
      <c r="J73" s="1">
        <f t="shared" si="14"/>
        <v>142</v>
      </c>
      <c r="K73" s="1">
        <f t="shared" si="15"/>
        <v>1</v>
      </c>
      <c r="M73"/>
      <c r="N73"/>
      <c r="O73"/>
      <c r="P73"/>
      <c r="Q73"/>
    </row>
    <row r="74" spans="8:17" x14ac:dyDescent="0.25">
      <c r="H74" s="8">
        <f t="shared" si="13"/>
        <v>143</v>
      </c>
      <c r="I74" s="1">
        <v>70</v>
      </c>
      <c r="J74" s="1">
        <f t="shared" si="14"/>
        <v>143</v>
      </c>
      <c r="K74" s="1">
        <f t="shared" si="15"/>
        <v>1</v>
      </c>
      <c r="M74"/>
      <c r="N74"/>
      <c r="O74"/>
      <c r="P74"/>
      <c r="Q74"/>
    </row>
    <row r="75" spans="8:17" x14ac:dyDescent="0.25">
      <c r="H75" s="8">
        <f t="shared" si="13"/>
        <v>144</v>
      </c>
      <c r="I75" s="1">
        <v>71</v>
      </c>
      <c r="J75" s="1">
        <f t="shared" si="14"/>
        <v>144</v>
      </c>
      <c r="K75" s="1">
        <f t="shared" si="15"/>
        <v>1</v>
      </c>
      <c r="M75"/>
      <c r="N75"/>
      <c r="O75"/>
      <c r="P75"/>
      <c r="Q75"/>
    </row>
    <row r="76" spans="8:17" x14ac:dyDescent="0.25">
      <c r="H76" s="8">
        <f t="shared" si="13"/>
        <v>145</v>
      </c>
      <c r="I76" s="1">
        <v>72</v>
      </c>
      <c r="J76" s="1">
        <f t="shared" si="14"/>
        <v>145</v>
      </c>
      <c r="K76" s="1">
        <f t="shared" si="15"/>
        <v>1</v>
      </c>
      <c r="M76"/>
      <c r="N76"/>
      <c r="O76"/>
      <c r="P76"/>
      <c r="Q76"/>
    </row>
    <row r="77" spans="8:17" x14ac:dyDescent="0.25">
      <c r="H77" s="8">
        <f t="shared" si="13"/>
        <v>146</v>
      </c>
      <c r="I77" s="1">
        <v>73</v>
      </c>
      <c r="J77" s="1">
        <f t="shared" si="14"/>
        <v>146</v>
      </c>
      <c r="K77" s="1">
        <f t="shared" si="15"/>
        <v>1</v>
      </c>
      <c r="M77"/>
      <c r="N77"/>
      <c r="O77"/>
      <c r="P77"/>
      <c r="Q77"/>
    </row>
    <row r="78" spans="8:17" x14ac:dyDescent="0.25">
      <c r="H78" s="8">
        <f t="shared" si="13"/>
        <v>147</v>
      </c>
      <c r="I78" s="1">
        <v>74</v>
      </c>
      <c r="J78" s="1">
        <f t="shared" si="14"/>
        <v>147</v>
      </c>
      <c r="K78" s="1">
        <f t="shared" si="15"/>
        <v>1</v>
      </c>
      <c r="M78"/>
      <c r="N78"/>
      <c r="O78"/>
      <c r="P78"/>
      <c r="Q78"/>
    </row>
    <row r="79" spans="8:17" x14ac:dyDescent="0.25">
      <c r="H79" s="8">
        <f t="shared" si="13"/>
        <v>148</v>
      </c>
      <c r="I79" s="1">
        <v>75</v>
      </c>
      <c r="J79" s="1">
        <f t="shared" si="14"/>
        <v>148</v>
      </c>
      <c r="K79" s="1">
        <f t="shared" si="15"/>
        <v>1</v>
      </c>
      <c r="M79"/>
      <c r="N79"/>
      <c r="O79"/>
      <c r="P79"/>
      <c r="Q79"/>
    </row>
    <row r="80" spans="8:17" x14ac:dyDescent="0.25">
      <c r="H80" s="8">
        <f t="shared" si="13"/>
        <v>149.5</v>
      </c>
      <c r="I80" s="1">
        <v>76</v>
      </c>
      <c r="J80" s="1">
        <f t="shared" si="14"/>
        <v>149.5</v>
      </c>
      <c r="K80" s="1">
        <f t="shared" si="15"/>
        <v>1.5</v>
      </c>
      <c r="M80"/>
      <c r="N80"/>
      <c r="O80"/>
      <c r="P80"/>
      <c r="Q80"/>
    </row>
    <row r="81" spans="8:17" x14ac:dyDescent="0.25">
      <c r="H81" s="8">
        <f t="shared" si="13"/>
        <v>150.5</v>
      </c>
      <c r="I81" s="1">
        <v>77</v>
      </c>
      <c r="J81" s="1">
        <f t="shared" si="14"/>
        <v>150.5</v>
      </c>
      <c r="K81" s="1">
        <f t="shared" si="15"/>
        <v>1</v>
      </c>
      <c r="M81"/>
      <c r="N81"/>
      <c r="O81"/>
      <c r="P81"/>
      <c r="Q81"/>
    </row>
    <row r="82" spans="8:17" x14ac:dyDescent="0.25">
      <c r="H82" s="8">
        <f t="shared" si="13"/>
        <v>151.5</v>
      </c>
      <c r="I82" s="1">
        <v>78</v>
      </c>
      <c r="J82" s="1">
        <f t="shared" si="14"/>
        <v>151.5</v>
      </c>
      <c r="K82" s="1">
        <f t="shared" si="15"/>
        <v>1</v>
      </c>
      <c r="M82"/>
      <c r="N82"/>
      <c r="O82"/>
      <c r="P82"/>
      <c r="Q82"/>
    </row>
    <row r="83" spans="8:17" x14ac:dyDescent="0.25">
      <c r="H83" s="8">
        <f t="shared" si="13"/>
        <v>152.5</v>
      </c>
      <c r="I83" s="1">
        <v>79</v>
      </c>
      <c r="J83" s="1">
        <f t="shared" si="14"/>
        <v>152.5</v>
      </c>
      <c r="K83" s="1">
        <f t="shared" si="15"/>
        <v>1</v>
      </c>
      <c r="M83"/>
      <c r="N83"/>
      <c r="O83"/>
      <c r="P83"/>
      <c r="Q83"/>
    </row>
    <row r="84" spans="8:17" x14ac:dyDescent="0.25">
      <c r="H84" s="8">
        <f t="shared" si="13"/>
        <v>153.5</v>
      </c>
      <c r="I84" s="1">
        <v>80</v>
      </c>
      <c r="J84" s="1">
        <f t="shared" si="14"/>
        <v>153.5</v>
      </c>
      <c r="K84" s="1">
        <f t="shared" si="15"/>
        <v>1</v>
      </c>
      <c r="M84"/>
      <c r="N84"/>
      <c r="O84"/>
      <c r="P84"/>
      <c r="Q84"/>
    </row>
    <row r="85" spans="8:17" x14ac:dyDescent="0.25">
      <c r="H85" s="8">
        <f t="shared" si="13"/>
        <v>154.5</v>
      </c>
      <c r="I85" s="1">
        <v>81</v>
      </c>
      <c r="J85" s="1">
        <f t="shared" si="14"/>
        <v>154.5</v>
      </c>
      <c r="K85" s="1">
        <f t="shared" si="15"/>
        <v>1</v>
      </c>
      <c r="M85"/>
      <c r="N85"/>
      <c r="O85"/>
      <c r="P85"/>
      <c r="Q85"/>
    </row>
    <row r="86" spans="8:17" x14ac:dyDescent="0.25">
      <c r="H86" s="8">
        <f t="shared" si="13"/>
        <v>155.5</v>
      </c>
      <c r="I86" s="1">
        <v>82</v>
      </c>
      <c r="J86" s="1">
        <f t="shared" si="14"/>
        <v>155.5</v>
      </c>
      <c r="K86" s="1">
        <f t="shared" si="15"/>
        <v>1</v>
      </c>
      <c r="M86"/>
      <c r="N86"/>
      <c r="O86"/>
      <c r="P86"/>
      <c r="Q86"/>
    </row>
    <row r="87" spans="8:17" x14ac:dyDescent="0.25">
      <c r="H87" s="8">
        <f t="shared" si="13"/>
        <v>156.5</v>
      </c>
      <c r="I87" s="1">
        <v>83</v>
      </c>
      <c r="J87" s="1">
        <f t="shared" si="14"/>
        <v>156.5</v>
      </c>
      <c r="K87" s="1">
        <f t="shared" si="15"/>
        <v>1</v>
      </c>
      <c r="M87"/>
      <c r="N87"/>
      <c r="O87"/>
      <c r="P87"/>
      <c r="Q87"/>
    </row>
    <row r="88" spans="8:17" x14ac:dyDescent="0.25">
      <c r="H88" s="8">
        <f t="shared" si="13"/>
        <v>157.5</v>
      </c>
      <c r="I88" s="1">
        <v>84</v>
      </c>
      <c r="J88" s="1">
        <f t="shared" si="14"/>
        <v>157.5</v>
      </c>
      <c r="K88" s="1">
        <f t="shared" si="15"/>
        <v>1</v>
      </c>
      <c r="M88"/>
      <c r="N88"/>
      <c r="O88"/>
      <c r="P88"/>
      <c r="Q88"/>
    </row>
    <row r="89" spans="8:17" x14ac:dyDescent="0.25">
      <c r="H89" s="8">
        <f t="shared" si="13"/>
        <v>158</v>
      </c>
      <c r="I89" s="1">
        <v>85</v>
      </c>
      <c r="J89" s="1">
        <f t="shared" si="14"/>
        <v>158</v>
      </c>
      <c r="K89" s="1">
        <f t="shared" si="15"/>
        <v>0.5</v>
      </c>
      <c r="M89"/>
      <c r="N89"/>
      <c r="O89"/>
      <c r="P89"/>
      <c r="Q89"/>
    </row>
    <row r="90" spans="8:17" x14ac:dyDescent="0.25">
      <c r="H90" s="8">
        <f t="shared" si="13"/>
        <v>159</v>
      </c>
      <c r="I90" s="1">
        <v>86</v>
      </c>
      <c r="J90" s="1">
        <f t="shared" si="14"/>
        <v>159</v>
      </c>
      <c r="K90" s="1">
        <f t="shared" si="15"/>
        <v>1</v>
      </c>
      <c r="M90"/>
      <c r="N90"/>
      <c r="O90"/>
      <c r="P90"/>
      <c r="Q90"/>
    </row>
    <row r="91" spans="8:17" x14ac:dyDescent="0.25">
      <c r="H91" s="8">
        <f t="shared" si="13"/>
        <v>160</v>
      </c>
      <c r="I91" s="1">
        <v>87</v>
      </c>
      <c r="J91" s="1">
        <f t="shared" si="14"/>
        <v>160</v>
      </c>
      <c r="K91" s="1">
        <f t="shared" si="15"/>
        <v>1</v>
      </c>
      <c r="M91"/>
      <c r="N91"/>
      <c r="O91"/>
      <c r="P91"/>
      <c r="Q91"/>
    </row>
    <row r="92" spans="8:17" x14ac:dyDescent="0.25">
      <c r="H92" s="8">
        <f t="shared" si="13"/>
        <v>161.25</v>
      </c>
      <c r="I92" s="1">
        <v>88</v>
      </c>
      <c r="J92" s="1">
        <f t="shared" si="14"/>
        <v>161.25</v>
      </c>
      <c r="K92" s="1">
        <f t="shared" si="15"/>
        <v>1.25</v>
      </c>
      <c r="M92"/>
      <c r="N92"/>
      <c r="O92"/>
      <c r="P92"/>
      <c r="Q92"/>
    </row>
    <row r="93" spans="8:17" x14ac:dyDescent="0.25">
      <c r="H93" s="8">
        <f t="shared" si="13"/>
        <v>162.25</v>
      </c>
      <c r="I93" s="1">
        <v>89</v>
      </c>
      <c r="J93" s="1">
        <f t="shared" si="14"/>
        <v>162.25</v>
      </c>
      <c r="K93" s="1">
        <f t="shared" si="15"/>
        <v>1</v>
      </c>
      <c r="M93"/>
      <c r="N93"/>
      <c r="O93"/>
      <c r="P93"/>
      <c r="Q93"/>
    </row>
    <row r="94" spans="8:17" x14ac:dyDescent="0.25">
      <c r="H94" s="8">
        <f t="shared" si="13"/>
        <v>163.25</v>
      </c>
      <c r="I94" s="1">
        <v>90</v>
      </c>
      <c r="J94" s="1">
        <f t="shared" si="14"/>
        <v>163.25</v>
      </c>
      <c r="K94" s="1">
        <f t="shared" si="15"/>
        <v>1</v>
      </c>
      <c r="M94"/>
      <c r="N94"/>
      <c r="O94"/>
      <c r="P94"/>
      <c r="Q94"/>
    </row>
    <row r="95" spans="8:17" x14ac:dyDescent="0.25">
      <c r="H95" s="8">
        <f t="shared" si="13"/>
        <v>164.25</v>
      </c>
      <c r="I95" s="1">
        <v>91</v>
      </c>
      <c r="J95" s="1">
        <f t="shared" si="14"/>
        <v>164.25</v>
      </c>
      <c r="K95" s="1">
        <f t="shared" si="15"/>
        <v>1</v>
      </c>
      <c r="M95"/>
      <c r="N95"/>
      <c r="O95"/>
      <c r="P95"/>
      <c r="Q95"/>
    </row>
    <row r="96" spans="8:17" x14ac:dyDescent="0.25">
      <c r="H96" s="8">
        <f t="shared" si="13"/>
        <v>165.25</v>
      </c>
      <c r="I96" s="1">
        <v>92</v>
      </c>
      <c r="J96" s="1">
        <f t="shared" si="14"/>
        <v>165.25</v>
      </c>
      <c r="K96" s="1">
        <f t="shared" si="15"/>
        <v>1</v>
      </c>
      <c r="M96"/>
      <c r="N96"/>
      <c r="O96"/>
      <c r="P96"/>
      <c r="Q96"/>
    </row>
    <row r="97" spans="8:17" x14ac:dyDescent="0.25">
      <c r="H97" s="8">
        <f t="shared" si="13"/>
        <v>166.25</v>
      </c>
      <c r="I97" s="1">
        <v>93</v>
      </c>
      <c r="J97" s="1">
        <f t="shared" si="14"/>
        <v>166.25</v>
      </c>
      <c r="K97" s="1">
        <f t="shared" si="15"/>
        <v>1</v>
      </c>
      <c r="M97"/>
      <c r="N97"/>
      <c r="O97"/>
      <c r="P97"/>
      <c r="Q97"/>
    </row>
    <row r="98" spans="8:17" x14ac:dyDescent="0.25">
      <c r="H98" s="8">
        <f t="shared" si="13"/>
        <v>167.25</v>
      </c>
      <c r="I98" s="1">
        <v>94</v>
      </c>
      <c r="J98" s="1">
        <f t="shared" si="14"/>
        <v>167.25</v>
      </c>
      <c r="K98" s="1">
        <f t="shared" si="15"/>
        <v>1</v>
      </c>
      <c r="M98"/>
      <c r="N98"/>
      <c r="O98"/>
      <c r="P98"/>
      <c r="Q98"/>
    </row>
    <row r="99" spans="8:17" x14ac:dyDescent="0.25">
      <c r="H99" s="8">
        <f t="shared" si="13"/>
        <v>168</v>
      </c>
      <c r="I99" s="1">
        <v>95</v>
      </c>
      <c r="J99" s="1">
        <f t="shared" si="14"/>
        <v>168</v>
      </c>
      <c r="K99" s="1">
        <f t="shared" si="15"/>
        <v>0.75</v>
      </c>
      <c r="M99"/>
      <c r="N99"/>
      <c r="O99"/>
      <c r="P99"/>
      <c r="Q99"/>
    </row>
    <row r="100" spans="8:17" x14ac:dyDescent="0.25">
      <c r="H100" s="8">
        <f t="shared" si="13"/>
        <v>168.75</v>
      </c>
      <c r="I100" s="1">
        <v>96</v>
      </c>
      <c r="J100" s="1">
        <f t="shared" si="14"/>
        <v>168.75</v>
      </c>
      <c r="K100" s="1">
        <f t="shared" si="15"/>
        <v>0.75</v>
      </c>
      <c r="M100"/>
      <c r="N100"/>
      <c r="O100"/>
      <c r="P100"/>
      <c r="Q100"/>
    </row>
    <row r="101" spans="8:17" x14ac:dyDescent="0.25">
      <c r="H101" s="8">
        <f t="shared" si="13"/>
        <v>169.75</v>
      </c>
      <c r="I101" s="1">
        <v>97</v>
      </c>
      <c r="J101" s="1">
        <f t="shared" si="14"/>
        <v>169.75</v>
      </c>
      <c r="K101" s="1">
        <f t="shared" si="15"/>
        <v>1</v>
      </c>
      <c r="M101"/>
      <c r="N101"/>
      <c r="O101"/>
      <c r="P101"/>
      <c r="Q101"/>
    </row>
    <row r="102" spans="8:17" x14ac:dyDescent="0.25">
      <c r="H102" s="8">
        <f t="shared" si="13"/>
        <v>170.25</v>
      </c>
      <c r="I102" s="1">
        <v>98</v>
      </c>
      <c r="J102" s="1">
        <f t="shared" si="14"/>
        <v>170.25</v>
      </c>
      <c r="K102" s="1">
        <f t="shared" si="15"/>
        <v>0.5</v>
      </c>
      <c r="M102"/>
      <c r="N102"/>
      <c r="O102"/>
      <c r="P102"/>
      <c r="Q102"/>
    </row>
    <row r="103" spans="8:17" x14ac:dyDescent="0.25">
      <c r="H103" s="8">
        <f t="shared" si="13"/>
        <v>171.25</v>
      </c>
      <c r="I103" s="1">
        <v>99</v>
      </c>
      <c r="J103" s="1">
        <f t="shared" si="14"/>
        <v>171.25</v>
      </c>
      <c r="K103" s="1">
        <f t="shared" si="15"/>
        <v>1</v>
      </c>
      <c r="M103"/>
      <c r="N103"/>
      <c r="O103"/>
      <c r="P103"/>
      <c r="Q103"/>
    </row>
    <row r="104" spans="8:17" x14ac:dyDescent="0.25">
      <c r="H104" s="8">
        <f t="shared" si="13"/>
        <v>172</v>
      </c>
      <c r="I104" s="1">
        <v>100</v>
      </c>
      <c r="J104" s="1">
        <f t="shared" si="14"/>
        <v>172</v>
      </c>
      <c r="K104" s="1">
        <f t="shared" si="15"/>
        <v>0.75</v>
      </c>
      <c r="M104"/>
      <c r="N104"/>
      <c r="O104"/>
      <c r="P104"/>
      <c r="Q104"/>
    </row>
    <row r="105" spans="8:17" x14ac:dyDescent="0.25">
      <c r="H105" s="8">
        <f t="shared" si="13"/>
        <v>172.75</v>
      </c>
      <c r="I105" s="1">
        <v>101</v>
      </c>
      <c r="J105" s="1">
        <f t="shared" si="14"/>
        <v>172.75</v>
      </c>
      <c r="K105" s="1">
        <f t="shared" si="15"/>
        <v>0.75</v>
      </c>
      <c r="M105"/>
      <c r="N105"/>
      <c r="O105"/>
      <c r="P105"/>
      <c r="Q105"/>
    </row>
    <row r="106" spans="8:17" x14ac:dyDescent="0.25">
      <c r="H106" s="8">
        <f t="shared" si="13"/>
        <v>173.75</v>
      </c>
      <c r="I106" s="1">
        <v>102</v>
      </c>
      <c r="J106" s="1">
        <f t="shared" si="14"/>
        <v>173.75</v>
      </c>
      <c r="K106" s="1">
        <f t="shared" si="15"/>
        <v>1</v>
      </c>
      <c r="M106"/>
      <c r="N106"/>
      <c r="O106"/>
      <c r="P106"/>
      <c r="Q106"/>
    </row>
    <row r="107" spans="8:17" x14ac:dyDescent="0.25">
      <c r="H107" s="8">
        <f t="shared" si="13"/>
        <v>174.75</v>
      </c>
      <c r="I107" s="1">
        <v>103</v>
      </c>
      <c r="J107" s="1">
        <f t="shared" si="14"/>
        <v>174.75</v>
      </c>
      <c r="K107" s="1">
        <f t="shared" si="15"/>
        <v>1</v>
      </c>
      <c r="M107"/>
      <c r="N107"/>
      <c r="O107"/>
      <c r="P107"/>
      <c r="Q107"/>
    </row>
    <row r="108" spans="8:17" x14ac:dyDescent="0.25">
      <c r="H108" s="8">
        <f t="shared" si="13"/>
        <v>175.25</v>
      </c>
      <c r="I108" s="1">
        <v>104</v>
      </c>
      <c r="J108" s="1">
        <f t="shared" si="14"/>
        <v>175.25</v>
      </c>
      <c r="K108" s="1">
        <f t="shared" si="15"/>
        <v>0.5</v>
      </c>
      <c r="M108"/>
      <c r="N108"/>
      <c r="O108"/>
      <c r="P108"/>
      <c r="Q108"/>
    </row>
    <row r="109" spans="8:17" x14ac:dyDescent="0.25">
      <c r="H109" s="8">
        <f t="shared" si="13"/>
        <v>176</v>
      </c>
      <c r="I109" s="1">
        <v>105</v>
      </c>
      <c r="J109" s="1">
        <f t="shared" si="14"/>
        <v>176</v>
      </c>
      <c r="K109" s="1">
        <f t="shared" si="15"/>
        <v>0.75</v>
      </c>
      <c r="M109"/>
      <c r="N109"/>
      <c r="O109"/>
      <c r="P109"/>
      <c r="Q109"/>
    </row>
    <row r="110" spans="8:17" x14ac:dyDescent="0.25">
      <c r="H110" s="8">
        <f t="shared" si="13"/>
        <v>176.75</v>
      </c>
      <c r="I110" s="1">
        <v>106</v>
      </c>
      <c r="J110" s="1">
        <f t="shared" si="14"/>
        <v>176.75</v>
      </c>
      <c r="K110" s="1">
        <f t="shared" si="15"/>
        <v>0.75</v>
      </c>
      <c r="M110"/>
      <c r="N110"/>
      <c r="O110"/>
      <c r="P110"/>
      <c r="Q110"/>
    </row>
    <row r="111" spans="8:17" x14ac:dyDescent="0.25">
      <c r="H111" s="8">
        <f t="shared" si="13"/>
        <v>177.75</v>
      </c>
      <c r="I111" s="1">
        <v>107</v>
      </c>
      <c r="J111" s="1">
        <f t="shared" si="14"/>
        <v>177.75</v>
      </c>
      <c r="K111" s="1">
        <f t="shared" si="15"/>
        <v>1</v>
      </c>
      <c r="M111"/>
      <c r="N111"/>
      <c r="O111"/>
      <c r="P111"/>
      <c r="Q111"/>
    </row>
    <row r="112" spans="8:17" x14ac:dyDescent="0.25">
      <c r="H112" s="8">
        <f t="shared" si="13"/>
        <v>178.25</v>
      </c>
      <c r="I112" s="1">
        <v>108</v>
      </c>
      <c r="J112" s="1">
        <f t="shared" si="14"/>
        <v>178.25</v>
      </c>
      <c r="K112" s="1">
        <f t="shared" si="15"/>
        <v>0.5</v>
      </c>
      <c r="M112"/>
      <c r="N112"/>
      <c r="O112"/>
      <c r="P112"/>
      <c r="Q112"/>
    </row>
    <row r="113" spans="8:17" x14ac:dyDescent="0.25">
      <c r="H113" s="8">
        <f t="shared" si="13"/>
        <v>179</v>
      </c>
      <c r="I113" s="1">
        <v>109</v>
      </c>
      <c r="J113" s="1">
        <f t="shared" si="14"/>
        <v>179</v>
      </c>
      <c r="K113" s="1">
        <f t="shared" si="15"/>
        <v>0.75</v>
      </c>
      <c r="M113"/>
      <c r="N113"/>
      <c r="O113"/>
      <c r="P113"/>
      <c r="Q113"/>
    </row>
    <row r="114" spans="8:17" x14ac:dyDescent="0.25">
      <c r="H114" s="8">
        <f t="shared" si="13"/>
        <v>179.75</v>
      </c>
      <c r="I114" s="1">
        <v>110</v>
      </c>
      <c r="J114" s="1">
        <f t="shared" si="14"/>
        <v>179.75</v>
      </c>
      <c r="K114" s="1">
        <f t="shared" si="15"/>
        <v>0.75</v>
      </c>
      <c r="M114"/>
      <c r="N114"/>
      <c r="O114"/>
      <c r="P114"/>
      <c r="Q114"/>
    </row>
    <row r="115" spans="8:17" x14ac:dyDescent="0.25">
      <c r="H115" s="8">
        <f t="shared" si="13"/>
        <v>180.75</v>
      </c>
      <c r="I115" s="1">
        <v>111</v>
      </c>
      <c r="J115" s="1">
        <f t="shared" si="14"/>
        <v>180.75</v>
      </c>
      <c r="K115" s="1">
        <f t="shared" si="15"/>
        <v>1</v>
      </c>
      <c r="M115"/>
      <c r="N115"/>
      <c r="O115"/>
      <c r="P115"/>
      <c r="Q115"/>
    </row>
    <row r="116" spans="8:17" x14ac:dyDescent="0.25">
      <c r="H116" s="8">
        <f t="shared" si="13"/>
        <v>181.25</v>
      </c>
      <c r="I116" s="1">
        <v>112</v>
      </c>
      <c r="J116" s="1">
        <f t="shared" si="14"/>
        <v>181.25</v>
      </c>
      <c r="K116" s="1">
        <f t="shared" si="15"/>
        <v>0.5</v>
      </c>
      <c r="M116"/>
      <c r="N116"/>
      <c r="O116"/>
      <c r="P116"/>
      <c r="Q116"/>
    </row>
    <row r="117" spans="8:17" x14ac:dyDescent="0.25">
      <c r="H117" s="8">
        <f t="shared" si="13"/>
        <v>182</v>
      </c>
      <c r="I117" s="1">
        <v>113</v>
      </c>
      <c r="J117" s="1">
        <f t="shared" si="14"/>
        <v>182</v>
      </c>
      <c r="K117" s="1">
        <f t="shared" si="15"/>
        <v>0.75</v>
      </c>
      <c r="M117"/>
      <c r="N117"/>
      <c r="O117"/>
      <c r="P117"/>
      <c r="Q117"/>
    </row>
    <row r="118" spans="8:17" x14ac:dyDescent="0.25">
      <c r="H118" s="8">
        <f t="shared" si="13"/>
        <v>182.75</v>
      </c>
      <c r="I118" s="1">
        <v>114</v>
      </c>
      <c r="J118" s="1">
        <f t="shared" si="14"/>
        <v>182.75</v>
      </c>
      <c r="K118" s="1">
        <f t="shared" si="15"/>
        <v>0.75</v>
      </c>
      <c r="M118"/>
      <c r="N118"/>
      <c r="O118"/>
      <c r="P118"/>
      <c r="Q118"/>
    </row>
    <row r="119" spans="8:17" x14ac:dyDescent="0.25">
      <c r="H119" s="8">
        <f t="shared" si="13"/>
        <v>183.75</v>
      </c>
      <c r="I119" s="1">
        <v>115</v>
      </c>
      <c r="J119" s="1">
        <f t="shared" si="14"/>
        <v>183.75</v>
      </c>
      <c r="K119" s="1">
        <f t="shared" si="15"/>
        <v>1</v>
      </c>
      <c r="M119"/>
      <c r="N119"/>
      <c r="O119"/>
      <c r="P119"/>
      <c r="Q119"/>
    </row>
    <row r="120" spans="8:17" x14ac:dyDescent="0.25">
      <c r="H120" s="8">
        <f t="shared" si="13"/>
        <v>184.25</v>
      </c>
      <c r="I120" s="1">
        <v>116</v>
      </c>
      <c r="J120" s="1">
        <f t="shared" si="14"/>
        <v>184.25</v>
      </c>
      <c r="K120" s="1">
        <f t="shared" si="15"/>
        <v>0.5</v>
      </c>
      <c r="M120"/>
      <c r="N120"/>
      <c r="O120"/>
      <c r="P120"/>
      <c r="Q120"/>
    </row>
    <row r="121" spans="8:17" x14ac:dyDescent="0.25">
      <c r="H121" s="8">
        <f t="shared" si="13"/>
        <v>185.25</v>
      </c>
      <c r="I121" s="1">
        <v>117</v>
      </c>
      <c r="J121" s="1">
        <f t="shared" si="14"/>
        <v>185.25</v>
      </c>
      <c r="K121" s="1">
        <f t="shared" si="15"/>
        <v>1</v>
      </c>
      <c r="M121"/>
      <c r="N121"/>
      <c r="O121"/>
      <c r="P121"/>
      <c r="Q121"/>
    </row>
    <row r="122" spans="8:17" x14ac:dyDescent="0.25">
      <c r="H122" s="8">
        <f t="shared" si="13"/>
        <v>186</v>
      </c>
      <c r="I122" s="1">
        <v>118</v>
      </c>
      <c r="J122" s="1">
        <f t="shared" si="14"/>
        <v>186</v>
      </c>
      <c r="K122" s="1">
        <f t="shared" si="15"/>
        <v>0.75</v>
      </c>
      <c r="M122"/>
      <c r="N122"/>
      <c r="O122"/>
      <c r="P122"/>
      <c r="Q122"/>
    </row>
    <row r="123" spans="8:17" x14ac:dyDescent="0.25">
      <c r="H123" s="8">
        <f t="shared" si="13"/>
        <v>186.75</v>
      </c>
      <c r="I123" s="1">
        <v>119</v>
      </c>
      <c r="J123" s="1">
        <f t="shared" si="14"/>
        <v>186.75</v>
      </c>
      <c r="K123" s="1">
        <f t="shared" si="15"/>
        <v>0.75</v>
      </c>
      <c r="M123"/>
      <c r="N123"/>
      <c r="O123"/>
      <c r="P123"/>
      <c r="Q123"/>
    </row>
    <row r="124" spans="8:17" x14ac:dyDescent="0.25">
      <c r="H124" s="8">
        <f t="shared" si="13"/>
        <v>187.25</v>
      </c>
      <c r="I124" s="1">
        <v>120</v>
      </c>
      <c r="J124" s="1">
        <f t="shared" si="14"/>
        <v>187.25</v>
      </c>
      <c r="K124" s="1">
        <f t="shared" si="15"/>
        <v>0.5</v>
      </c>
      <c r="M124"/>
      <c r="N124"/>
      <c r="O124"/>
      <c r="P124"/>
      <c r="Q124"/>
    </row>
    <row r="125" spans="8:17" x14ac:dyDescent="0.25">
      <c r="H125" s="8">
        <f t="shared" si="13"/>
        <v>188</v>
      </c>
      <c r="I125" s="1">
        <v>121</v>
      </c>
      <c r="J125" s="1">
        <f t="shared" si="14"/>
        <v>188</v>
      </c>
      <c r="K125" s="1">
        <f t="shared" si="15"/>
        <v>0.75</v>
      </c>
      <c r="M125"/>
      <c r="N125"/>
      <c r="O125"/>
      <c r="P125"/>
      <c r="Q125"/>
    </row>
    <row r="126" spans="8:17" x14ac:dyDescent="0.25">
      <c r="H126" s="8">
        <f t="shared" si="13"/>
        <v>188.75</v>
      </c>
      <c r="I126" s="1">
        <v>122</v>
      </c>
      <c r="J126" s="1">
        <f t="shared" si="14"/>
        <v>188.75</v>
      </c>
      <c r="K126" s="1">
        <f t="shared" si="15"/>
        <v>0.75</v>
      </c>
      <c r="M126"/>
      <c r="N126"/>
      <c r="O126"/>
      <c r="P126"/>
      <c r="Q126"/>
    </row>
    <row r="127" spans="8:17" x14ac:dyDescent="0.25">
      <c r="H127" s="8">
        <f t="shared" si="13"/>
        <v>189.25</v>
      </c>
      <c r="I127" s="1">
        <v>123</v>
      </c>
      <c r="J127" s="1">
        <f t="shared" si="14"/>
        <v>189.25</v>
      </c>
      <c r="K127" s="1">
        <f t="shared" si="15"/>
        <v>0.5</v>
      </c>
      <c r="M127"/>
      <c r="N127"/>
      <c r="O127"/>
      <c r="P127"/>
      <c r="Q127"/>
    </row>
    <row r="128" spans="8:17" x14ac:dyDescent="0.25">
      <c r="H128" s="8">
        <f t="shared" si="13"/>
        <v>190</v>
      </c>
      <c r="I128" s="1">
        <v>124</v>
      </c>
      <c r="J128" s="1">
        <f t="shared" si="14"/>
        <v>190</v>
      </c>
      <c r="K128" s="1">
        <f t="shared" si="15"/>
        <v>0.75</v>
      </c>
      <c r="M128"/>
      <c r="N128"/>
      <c r="O128"/>
      <c r="P128"/>
      <c r="Q128"/>
    </row>
    <row r="129" spans="8:17" x14ac:dyDescent="0.25">
      <c r="H129" s="8">
        <f t="shared" si="13"/>
        <v>190.75</v>
      </c>
      <c r="I129" s="1">
        <v>125</v>
      </c>
      <c r="J129" s="1">
        <f t="shared" si="14"/>
        <v>190.75</v>
      </c>
      <c r="K129" s="1">
        <f t="shared" si="15"/>
        <v>0.75</v>
      </c>
      <c r="M129"/>
      <c r="N129"/>
      <c r="O129"/>
      <c r="P129"/>
      <c r="Q129"/>
    </row>
    <row r="130" spans="8:17" x14ac:dyDescent="0.25">
      <c r="H130" s="8">
        <f t="shared" si="13"/>
        <v>191.25</v>
      </c>
      <c r="I130" s="1">
        <v>126</v>
      </c>
      <c r="J130" s="1">
        <f t="shared" si="14"/>
        <v>191.25</v>
      </c>
      <c r="K130" s="1">
        <f t="shared" si="15"/>
        <v>0.5</v>
      </c>
      <c r="M130"/>
      <c r="N130"/>
      <c r="O130"/>
      <c r="P130"/>
      <c r="Q130"/>
    </row>
    <row r="131" spans="8:17" x14ac:dyDescent="0.25">
      <c r="H131" s="8">
        <f t="shared" si="13"/>
        <v>192</v>
      </c>
      <c r="I131" s="1">
        <v>127</v>
      </c>
      <c r="J131" s="1">
        <f t="shared" si="14"/>
        <v>192</v>
      </c>
      <c r="K131" s="1">
        <f t="shared" si="15"/>
        <v>0.75</v>
      </c>
      <c r="M131"/>
      <c r="N131"/>
      <c r="O131"/>
      <c r="P131"/>
      <c r="Q131"/>
    </row>
    <row r="132" spans="8:17" x14ac:dyDescent="0.25">
      <c r="H132" s="8">
        <f t="shared" si="13"/>
        <v>192.75</v>
      </c>
      <c r="I132" s="1">
        <v>128</v>
      </c>
      <c r="J132" s="1">
        <f t="shared" si="14"/>
        <v>192.75</v>
      </c>
      <c r="K132" s="1">
        <f t="shared" si="15"/>
        <v>0.75</v>
      </c>
      <c r="M132"/>
      <c r="N132"/>
      <c r="O132"/>
      <c r="P132"/>
      <c r="Q132"/>
    </row>
    <row r="133" spans="8:17" x14ac:dyDescent="0.25">
      <c r="H133" s="8">
        <f t="shared" ref="H133:H196" si="16">J133</f>
        <v>193.25</v>
      </c>
      <c r="I133" s="1">
        <v>129</v>
      </c>
      <c r="J133" s="1">
        <f t="shared" si="14"/>
        <v>193.25</v>
      </c>
      <c r="K133" s="1">
        <f t="shared" si="15"/>
        <v>0.5</v>
      </c>
      <c r="M133"/>
      <c r="N133"/>
      <c r="O133"/>
      <c r="P133"/>
      <c r="Q133"/>
    </row>
    <row r="134" spans="8:17" x14ac:dyDescent="0.25">
      <c r="H134" s="8">
        <f t="shared" si="16"/>
        <v>194</v>
      </c>
      <c r="I134" s="1">
        <v>130</v>
      </c>
      <c r="J134" s="1">
        <f t="shared" ref="J134:J197" si="17">VALUE(MID($O$2,FIND("*",SUBSTITUTE($O$2," ","*",I134),1)+1,FIND("*",SUBSTITUTE($O$2," ","*",I135),1)-FIND("*",SUBSTITUTE($O$2," ","*",I134),1)-1))/4</f>
        <v>194</v>
      </c>
      <c r="K134" s="1">
        <f t="shared" ref="K134:K197" si="18">J134-J133</f>
        <v>0.75</v>
      </c>
      <c r="M134"/>
      <c r="N134"/>
      <c r="O134"/>
      <c r="P134"/>
      <c r="Q134"/>
    </row>
    <row r="135" spans="8:17" x14ac:dyDescent="0.25">
      <c r="H135" s="8">
        <f t="shared" si="16"/>
        <v>194.75</v>
      </c>
      <c r="I135" s="1">
        <v>131</v>
      </c>
      <c r="J135" s="1">
        <f t="shared" si="17"/>
        <v>194.75</v>
      </c>
      <c r="K135" s="1">
        <f t="shared" si="18"/>
        <v>0.75</v>
      </c>
      <c r="M135"/>
      <c r="N135"/>
      <c r="O135"/>
      <c r="P135"/>
      <c r="Q135"/>
    </row>
    <row r="136" spans="8:17" x14ac:dyDescent="0.25">
      <c r="H136" s="8">
        <f t="shared" si="16"/>
        <v>195.25</v>
      </c>
      <c r="I136" s="1">
        <v>132</v>
      </c>
      <c r="J136" s="1">
        <f t="shared" si="17"/>
        <v>195.25</v>
      </c>
      <c r="K136" s="1">
        <f t="shared" si="18"/>
        <v>0.5</v>
      </c>
      <c r="M136"/>
      <c r="N136"/>
      <c r="O136"/>
      <c r="P136"/>
      <c r="Q136"/>
    </row>
    <row r="137" spans="8:17" x14ac:dyDescent="0.25">
      <c r="H137" s="8">
        <f t="shared" si="16"/>
        <v>196</v>
      </c>
      <c r="I137" s="1">
        <v>133</v>
      </c>
      <c r="J137" s="1">
        <f t="shared" si="17"/>
        <v>196</v>
      </c>
      <c r="K137" s="1">
        <f t="shared" si="18"/>
        <v>0.75</v>
      </c>
      <c r="M137"/>
      <c r="N137"/>
      <c r="O137"/>
      <c r="P137"/>
      <c r="Q137"/>
    </row>
    <row r="138" spans="8:17" x14ac:dyDescent="0.25">
      <c r="H138" s="8">
        <f t="shared" si="16"/>
        <v>196.75</v>
      </c>
      <c r="I138" s="1">
        <v>134</v>
      </c>
      <c r="J138" s="1">
        <f t="shared" si="17"/>
        <v>196.75</v>
      </c>
      <c r="K138" s="1">
        <f t="shared" si="18"/>
        <v>0.75</v>
      </c>
      <c r="M138"/>
      <c r="N138"/>
      <c r="O138"/>
      <c r="P138"/>
      <c r="Q138"/>
    </row>
    <row r="139" spans="8:17" x14ac:dyDescent="0.25">
      <c r="H139" s="8">
        <f t="shared" si="16"/>
        <v>197.25</v>
      </c>
      <c r="I139" s="1">
        <v>135</v>
      </c>
      <c r="J139" s="1">
        <f t="shared" si="17"/>
        <v>197.25</v>
      </c>
      <c r="K139" s="1">
        <f t="shared" si="18"/>
        <v>0.5</v>
      </c>
      <c r="M139"/>
      <c r="N139"/>
      <c r="O139"/>
      <c r="P139"/>
      <c r="Q139"/>
    </row>
    <row r="140" spans="8:17" x14ac:dyDescent="0.25">
      <c r="H140" s="8">
        <f t="shared" si="16"/>
        <v>198</v>
      </c>
      <c r="I140" s="1">
        <v>136</v>
      </c>
      <c r="J140" s="1">
        <f t="shared" si="17"/>
        <v>198</v>
      </c>
      <c r="K140" s="1">
        <f t="shared" si="18"/>
        <v>0.75</v>
      </c>
      <c r="M140"/>
      <c r="N140"/>
      <c r="O140"/>
      <c r="P140"/>
      <c r="Q140"/>
    </row>
    <row r="141" spans="8:17" x14ac:dyDescent="0.25">
      <c r="H141" s="8">
        <f t="shared" si="16"/>
        <v>198.75</v>
      </c>
      <c r="I141" s="1">
        <v>137</v>
      </c>
      <c r="J141" s="1">
        <f t="shared" si="17"/>
        <v>198.75</v>
      </c>
      <c r="K141" s="1">
        <f t="shared" si="18"/>
        <v>0.75</v>
      </c>
      <c r="M141"/>
      <c r="N141"/>
      <c r="O141"/>
      <c r="P141"/>
      <c r="Q141"/>
    </row>
    <row r="142" spans="8:17" x14ac:dyDescent="0.25">
      <c r="H142" s="8">
        <f t="shared" si="16"/>
        <v>199.25</v>
      </c>
      <c r="I142" s="1">
        <v>138</v>
      </c>
      <c r="J142" s="1">
        <f t="shared" si="17"/>
        <v>199.25</v>
      </c>
      <c r="K142" s="1">
        <f t="shared" si="18"/>
        <v>0.5</v>
      </c>
      <c r="M142"/>
      <c r="N142"/>
      <c r="O142"/>
      <c r="P142"/>
      <c r="Q142"/>
    </row>
    <row r="143" spans="8:17" x14ac:dyDescent="0.25">
      <c r="H143" s="8">
        <f t="shared" si="16"/>
        <v>200</v>
      </c>
      <c r="I143" s="1">
        <v>139</v>
      </c>
      <c r="J143" s="1">
        <f t="shared" si="17"/>
        <v>200</v>
      </c>
      <c r="K143" s="1">
        <f t="shared" si="18"/>
        <v>0.75</v>
      </c>
      <c r="M143"/>
      <c r="N143"/>
      <c r="O143"/>
      <c r="P143"/>
      <c r="Q143"/>
    </row>
    <row r="144" spans="8:17" x14ac:dyDescent="0.25">
      <c r="H144" s="8">
        <f t="shared" si="16"/>
        <v>200.75</v>
      </c>
      <c r="I144" s="1">
        <v>140</v>
      </c>
      <c r="J144" s="1">
        <f t="shared" si="17"/>
        <v>200.75</v>
      </c>
      <c r="K144" s="1">
        <f t="shared" si="18"/>
        <v>0.75</v>
      </c>
      <c r="M144"/>
      <c r="N144"/>
      <c r="O144"/>
      <c r="P144"/>
      <c r="Q144"/>
    </row>
    <row r="145" spans="8:17" x14ac:dyDescent="0.25">
      <c r="H145" s="8">
        <f t="shared" si="16"/>
        <v>201.25</v>
      </c>
      <c r="I145" s="1">
        <v>141</v>
      </c>
      <c r="J145" s="1">
        <f t="shared" si="17"/>
        <v>201.25</v>
      </c>
      <c r="K145" s="1">
        <f t="shared" si="18"/>
        <v>0.5</v>
      </c>
      <c r="M145"/>
      <c r="N145"/>
      <c r="O145"/>
      <c r="P145"/>
      <c r="Q145"/>
    </row>
    <row r="146" spans="8:17" x14ac:dyDescent="0.25">
      <c r="H146" s="8">
        <f t="shared" si="16"/>
        <v>202</v>
      </c>
      <c r="I146" s="1">
        <v>142</v>
      </c>
      <c r="J146" s="1">
        <f t="shared" si="17"/>
        <v>202</v>
      </c>
      <c r="K146" s="1">
        <f t="shared" si="18"/>
        <v>0.75</v>
      </c>
      <c r="M146"/>
      <c r="N146"/>
      <c r="O146"/>
      <c r="P146"/>
      <c r="Q146"/>
    </row>
    <row r="147" spans="8:17" x14ac:dyDescent="0.25">
      <c r="H147" s="8">
        <f t="shared" si="16"/>
        <v>202.75</v>
      </c>
      <c r="I147" s="1">
        <v>143</v>
      </c>
      <c r="J147" s="1">
        <f t="shared" si="17"/>
        <v>202.75</v>
      </c>
      <c r="K147" s="1">
        <f t="shared" si="18"/>
        <v>0.75</v>
      </c>
      <c r="M147"/>
      <c r="N147"/>
      <c r="O147"/>
      <c r="P147"/>
      <c r="Q147"/>
    </row>
    <row r="148" spans="8:17" x14ac:dyDescent="0.25">
      <c r="H148" s="8">
        <f t="shared" si="16"/>
        <v>203.25</v>
      </c>
      <c r="I148" s="1">
        <v>144</v>
      </c>
      <c r="J148" s="1">
        <f t="shared" si="17"/>
        <v>203.25</v>
      </c>
      <c r="K148" s="1">
        <f t="shared" si="18"/>
        <v>0.5</v>
      </c>
      <c r="M148"/>
      <c r="N148"/>
      <c r="O148"/>
      <c r="P148"/>
      <c r="Q148"/>
    </row>
    <row r="149" spans="8:17" x14ac:dyDescent="0.25">
      <c r="H149" s="8">
        <f t="shared" si="16"/>
        <v>204</v>
      </c>
      <c r="I149" s="1">
        <v>145</v>
      </c>
      <c r="J149" s="1">
        <f t="shared" si="17"/>
        <v>204</v>
      </c>
      <c r="K149" s="1">
        <f t="shared" si="18"/>
        <v>0.75</v>
      </c>
      <c r="M149"/>
      <c r="N149"/>
      <c r="O149"/>
      <c r="P149"/>
      <c r="Q149"/>
    </row>
    <row r="150" spans="8:17" x14ac:dyDescent="0.25">
      <c r="H150" s="8">
        <f t="shared" si="16"/>
        <v>204.75</v>
      </c>
      <c r="I150" s="1">
        <v>146</v>
      </c>
      <c r="J150" s="1">
        <f t="shared" si="17"/>
        <v>204.75</v>
      </c>
      <c r="K150" s="1">
        <f t="shared" si="18"/>
        <v>0.75</v>
      </c>
      <c r="M150"/>
      <c r="N150"/>
      <c r="O150"/>
      <c r="P150"/>
      <c r="Q150"/>
    </row>
    <row r="151" spans="8:17" x14ac:dyDescent="0.25">
      <c r="H151" s="8">
        <f t="shared" si="16"/>
        <v>205.25</v>
      </c>
      <c r="I151" s="1">
        <v>147</v>
      </c>
      <c r="J151" s="1">
        <f t="shared" si="17"/>
        <v>205.25</v>
      </c>
      <c r="K151" s="1">
        <f t="shared" si="18"/>
        <v>0.5</v>
      </c>
      <c r="M151"/>
      <c r="N151"/>
      <c r="O151"/>
      <c r="P151"/>
      <c r="Q151"/>
    </row>
    <row r="152" spans="8:17" x14ac:dyDescent="0.25">
      <c r="H152" s="8">
        <f t="shared" si="16"/>
        <v>205.75</v>
      </c>
      <c r="I152" s="1">
        <v>148</v>
      </c>
      <c r="J152" s="1">
        <f t="shared" si="17"/>
        <v>205.75</v>
      </c>
      <c r="K152" s="1">
        <f t="shared" si="18"/>
        <v>0.5</v>
      </c>
      <c r="M152"/>
      <c r="N152"/>
      <c r="O152"/>
      <c r="P152"/>
      <c r="Q152"/>
    </row>
    <row r="153" spans="8:17" x14ac:dyDescent="0.25">
      <c r="H153" s="8">
        <f t="shared" si="16"/>
        <v>206.25</v>
      </c>
      <c r="I153" s="1">
        <v>149</v>
      </c>
      <c r="J153" s="1">
        <f t="shared" si="17"/>
        <v>206.25</v>
      </c>
      <c r="K153" s="1">
        <f t="shared" si="18"/>
        <v>0.5</v>
      </c>
      <c r="M153"/>
      <c r="N153"/>
      <c r="O153"/>
      <c r="P153"/>
      <c r="Q153"/>
    </row>
    <row r="154" spans="8:17" x14ac:dyDescent="0.25">
      <c r="H154" s="8">
        <f t="shared" si="16"/>
        <v>206.75</v>
      </c>
      <c r="I154" s="1">
        <v>150</v>
      </c>
      <c r="J154" s="1">
        <f t="shared" si="17"/>
        <v>206.75</v>
      </c>
      <c r="K154" s="1">
        <f t="shared" si="18"/>
        <v>0.5</v>
      </c>
      <c r="M154"/>
      <c r="N154"/>
      <c r="O154"/>
      <c r="P154"/>
      <c r="Q154"/>
    </row>
    <row r="155" spans="8:17" x14ac:dyDescent="0.25">
      <c r="H155" s="8">
        <f t="shared" si="16"/>
        <v>207.25</v>
      </c>
      <c r="I155" s="1">
        <v>151</v>
      </c>
      <c r="J155" s="1">
        <f t="shared" si="17"/>
        <v>207.25</v>
      </c>
      <c r="K155" s="1">
        <f t="shared" si="18"/>
        <v>0.5</v>
      </c>
      <c r="M155"/>
      <c r="N155"/>
      <c r="O155"/>
      <c r="P155"/>
      <c r="Q155"/>
    </row>
    <row r="156" spans="8:17" x14ac:dyDescent="0.25">
      <c r="H156" s="8">
        <f t="shared" si="16"/>
        <v>207.75</v>
      </c>
      <c r="I156" s="1">
        <v>152</v>
      </c>
      <c r="J156" s="1">
        <f t="shared" si="17"/>
        <v>207.75</v>
      </c>
      <c r="K156" s="1">
        <f t="shared" si="18"/>
        <v>0.5</v>
      </c>
      <c r="M156"/>
      <c r="N156"/>
      <c r="O156"/>
      <c r="P156"/>
      <c r="Q156"/>
    </row>
    <row r="157" spans="8:17" x14ac:dyDescent="0.25">
      <c r="H157" s="8">
        <f t="shared" si="16"/>
        <v>208.25</v>
      </c>
      <c r="I157" s="1">
        <v>153</v>
      </c>
      <c r="J157" s="1">
        <f t="shared" si="17"/>
        <v>208.25</v>
      </c>
      <c r="K157" s="1">
        <f t="shared" si="18"/>
        <v>0.5</v>
      </c>
      <c r="M157"/>
      <c r="N157"/>
      <c r="O157"/>
      <c r="P157"/>
      <c r="Q157"/>
    </row>
    <row r="158" spans="8:17" x14ac:dyDescent="0.25">
      <c r="H158" s="8">
        <f t="shared" si="16"/>
        <v>209</v>
      </c>
      <c r="I158" s="1">
        <v>154</v>
      </c>
      <c r="J158" s="1">
        <f t="shared" si="17"/>
        <v>209</v>
      </c>
      <c r="K158" s="1">
        <f t="shared" si="18"/>
        <v>0.75</v>
      </c>
      <c r="M158"/>
      <c r="N158"/>
      <c r="O158"/>
      <c r="P158"/>
      <c r="Q158"/>
    </row>
    <row r="159" spans="8:17" x14ac:dyDescent="0.25">
      <c r="H159" s="8">
        <f t="shared" si="16"/>
        <v>209.75</v>
      </c>
      <c r="I159" s="1">
        <v>155</v>
      </c>
      <c r="J159" s="1">
        <f t="shared" si="17"/>
        <v>209.75</v>
      </c>
      <c r="K159" s="1">
        <f t="shared" si="18"/>
        <v>0.75</v>
      </c>
      <c r="M159"/>
      <c r="N159"/>
      <c r="O159"/>
      <c r="P159"/>
      <c r="Q159"/>
    </row>
    <row r="160" spans="8:17" x14ac:dyDescent="0.25">
      <c r="H160" s="8">
        <f t="shared" si="16"/>
        <v>210.25</v>
      </c>
      <c r="I160" s="1">
        <v>156</v>
      </c>
      <c r="J160" s="1">
        <f t="shared" si="17"/>
        <v>210.25</v>
      </c>
      <c r="K160" s="1">
        <f t="shared" si="18"/>
        <v>0.5</v>
      </c>
      <c r="M160"/>
      <c r="N160"/>
      <c r="O160"/>
      <c r="P160"/>
      <c r="Q160"/>
    </row>
    <row r="161" spans="8:17" x14ac:dyDescent="0.25">
      <c r="H161" s="8">
        <f t="shared" si="16"/>
        <v>211</v>
      </c>
      <c r="I161" s="1">
        <v>157</v>
      </c>
      <c r="J161" s="1">
        <f t="shared" si="17"/>
        <v>211</v>
      </c>
      <c r="K161" s="1">
        <f t="shared" si="18"/>
        <v>0.75</v>
      </c>
      <c r="M161"/>
      <c r="N161"/>
      <c r="O161"/>
      <c r="P161"/>
      <c r="Q161"/>
    </row>
    <row r="162" spans="8:17" x14ac:dyDescent="0.25">
      <c r="H162" s="8">
        <f t="shared" si="16"/>
        <v>211.5</v>
      </c>
      <c r="I162" s="1">
        <v>158</v>
      </c>
      <c r="J162" s="1">
        <f t="shared" si="17"/>
        <v>211.5</v>
      </c>
      <c r="K162" s="1">
        <f t="shared" si="18"/>
        <v>0.5</v>
      </c>
      <c r="M162"/>
      <c r="N162"/>
      <c r="O162"/>
      <c r="P162"/>
      <c r="Q162"/>
    </row>
    <row r="163" spans="8:17" x14ac:dyDescent="0.25">
      <c r="H163" s="8">
        <f t="shared" si="16"/>
        <v>212</v>
      </c>
      <c r="I163" s="1">
        <v>159</v>
      </c>
      <c r="J163" s="1">
        <f t="shared" si="17"/>
        <v>212</v>
      </c>
      <c r="K163" s="1">
        <f t="shared" si="18"/>
        <v>0.5</v>
      </c>
      <c r="M163"/>
      <c r="N163"/>
      <c r="O163"/>
      <c r="P163"/>
      <c r="Q163"/>
    </row>
    <row r="164" spans="8:17" x14ac:dyDescent="0.25">
      <c r="H164" s="8">
        <f t="shared" si="16"/>
        <v>212.75</v>
      </c>
      <c r="I164" s="1">
        <v>160</v>
      </c>
      <c r="J164" s="1">
        <f t="shared" si="17"/>
        <v>212.75</v>
      </c>
      <c r="K164" s="1">
        <f t="shared" si="18"/>
        <v>0.75</v>
      </c>
      <c r="M164"/>
      <c r="N164"/>
      <c r="O164"/>
      <c r="P164"/>
      <c r="Q164"/>
    </row>
    <row r="165" spans="8:17" x14ac:dyDescent="0.25">
      <c r="H165" s="8">
        <f t="shared" si="16"/>
        <v>213.25</v>
      </c>
      <c r="I165" s="1">
        <v>161</v>
      </c>
      <c r="J165" s="1">
        <f t="shared" si="17"/>
        <v>213.25</v>
      </c>
      <c r="K165" s="1">
        <f t="shared" si="18"/>
        <v>0.5</v>
      </c>
      <c r="M165"/>
      <c r="N165"/>
      <c r="O165"/>
      <c r="P165"/>
      <c r="Q165"/>
    </row>
    <row r="166" spans="8:17" x14ac:dyDescent="0.25">
      <c r="H166" s="8">
        <f t="shared" si="16"/>
        <v>213.75</v>
      </c>
      <c r="I166" s="1">
        <v>162</v>
      </c>
      <c r="J166" s="1">
        <f t="shared" si="17"/>
        <v>213.75</v>
      </c>
      <c r="K166" s="1">
        <f t="shared" si="18"/>
        <v>0.5</v>
      </c>
      <c r="M166"/>
      <c r="N166"/>
      <c r="O166"/>
      <c r="P166"/>
      <c r="Q166"/>
    </row>
    <row r="167" spans="8:17" x14ac:dyDescent="0.25">
      <c r="H167" s="8">
        <f t="shared" si="16"/>
        <v>214.25</v>
      </c>
      <c r="I167" s="1">
        <v>163</v>
      </c>
      <c r="J167" s="1">
        <f t="shared" si="17"/>
        <v>214.25</v>
      </c>
      <c r="K167" s="1">
        <f t="shared" si="18"/>
        <v>0.5</v>
      </c>
      <c r="M167"/>
      <c r="N167"/>
      <c r="O167"/>
      <c r="P167"/>
      <c r="Q167"/>
    </row>
    <row r="168" spans="8:17" x14ac:dyDescent="0.25">
      <c r="H168" s="8">
        <f t="shared" si="16"/>
        <v>214.75</v>
      </c>
      <c r="I168" s="1">
        <v>164</v>
      </c>
      <c r="J168" s="1">
        <f t="shared" si="17"/>
        <v>214.75</v>
      </c>
      <c r="K168" s="1">
        <f t="shared" si="18"/>
        <v>0.5</v>
      </c>
      <c r="M168"/>
      <c r="N168"/>
      <c r="O168"/>
      <c r="P168"/>
      <c r="Q168"/>
    </row>
    <row r="169" spans="8:17" x14ac:dyDescent="0.25">
      <c r="H169" s="8">
        <f t="shared" si="16"/>
        <v>215.25</v>
      </c>
      <c r="I169" s="1">
        <v>165</v>
      </c>
      <c r="J169" s="1">
        <f t="shared" si="17"/>
        <v>215.25</v>
      </c>
      <c r="K169" s="1">
        <f t="shared" si="18"/>
        <v>0.5</v>
      </c>
      <c r="M169"/>
      <c r="N169"/>
      <c r="O169"/>
      <c r="P169"/>
      <c r="Q169"/>
    </row>
    <row r="170" spans="8:17" x14ac:dyDescent="0.25">
      <c r="H170" s="8">
        <f t="shared" si="16"/>
        <v>216</v>
      </c>
      <c r="I170" s="1">
        <v>166</v>
      </c>
      <c r="J170" s="1">
        <f t="shared" si="17"/>
        <v>216</v>
      </c>
      <c r="K170" s="1">
        <f t="shared" si="18"/>
        <v>0.75</v>
      </c>
      <c r="M170"/>
      <c r="N170"/>
      <c r="O170"/>
      <c r="P170"/>
      <c r="Q170"/>
    </row>
    <row r="171" spans="8:17" x14ac:dyDescent="0.25">
      <c r="H171" s="8">
        <f t="shared" si="16"/>
        <v>216.5</v>
      </c>
      <c r="I171" s="1">
        <v>167</v>
      </c>
      <c r="J171" s="1">
        <f t="shared" si="17"/>
        <v>216.5</v>
      </c>
      <c r="K171" s="1">
        <f t="shared" si="18"/>
        <v>0.5</v>
      </c>
      <c r="M171"/>
      <c r="N171"/>
      <c r="O171"/>
      <c r="P171"/>
      <c r="Q171"/>
    </row>
    <row r="172" spans="8:17" x14ac:dyDescent="0.25">
      <c r="H172" s="8">
        <f t="shared" si="16"/>
        <v>217</v>
      </c>
      <c r="I172" s="1">
        <v>168</v>
      </c>
      <c r="J172" s="1">
        <f t="shared" si="17"/>
        <v>217</v>
      </c>
      <c r="K172" s="1">
        <f t="shared" si="18"/>
        <v>0.5</v>
      </c>
      <c r="M172"/>
      <c r="N172"/>
      <c r="O172"/>
      <c r="P172"/>
      <c r="Q172"/>
    </row>
    <row r="173" spans="8:17" x14ac:dyDescent="0.25">
      <c r="H173" s="8">
        <f t="shared" si="16"/>
        <v>217.5</v>
      </c>
      <c r="I173" s="1">
        <v>169</v>
      </c>
      <c r="J173" s="1">
        <f t="shared" si="17"/>
        <v>217.5</v>
      </c>
      <c r="K173" s="1">
        <f t="shared" si="18"/>
        <v>0.5</v>
      </c>
      <c r="M173"/>
      <c r="N173"/>
      <c r="O173"/>
      <c r="P173"/>
      <c r="Q173"/>
    </row>
    <row r="174" spans="8:17" x14ac:dyDescent="0.25">
      <c r="H174" s="8">
        <f t="shared" si="16"/>
        <v>218</v>
      </c>
      <c r="I174" s="1">
        <v>170</v>
      </c>
      <c r="J174" s="1">
        <f t="shared" si="17"/>
        <v>218</v>
      </c>
      <c r="K174" s="1">
        <f t="shared" si="18"/>
        <v>0.5</v>
      </c>
      <c r="M174"/>
      <c r="N174"/>
      <c r="O174"/>
      <c r="P174"/>
      <c r="Q174"/>
    </row>
    <row r="175" spans="8:17" x14ac:dyDescent="0.25">
      <c r="H175" s="8">
        <f t="shared" si="16"/>
        <v>218.5</v>
      </c>
      <c r="I175" s="1">
        <v>171</v>
      </c>
      <c r="J175" s="1">
        <f t="shared" si="17"/>
        <v>218.5</v>
      </c>
      <c r="K175" s="1">
        <f t="shared" si="18"/>
        <v>0.5</v>
      </c>
      <c r="M175"/>
      <c r="N175"/>
      <c r="O175"/>
      <c r="P175"/>
      <c r="Q175"/>
    </row>
    <row r="176" spans="8:17" x14ac:dyDescent="0.25">
      <c r="H176" s="8">
        <f t="shared" si="16"/>
        <v>219</v>
      </c>
      <c r="I176" s="1">
        <v>172</v>
      </c>
      <c r="J176" s="1">
        <f t="shared" si="17"/>
        <v>219</v>
      </c>
      <c r="K176" s="1">
        <f t="shared" si="18"/>
        <v>0.5</v>
      </c>
      <c r="M176"/>
      <c r="N176"/>
      <c r="O176"/>
      <c r="P176"/>
      <c r="Q176"/>
    </row>
    <row r="177" spans="8:17" x14ac:dyDescent="0.25">
      <c r="H177" s="8">
        <f t="shared" si="16"/>
        <v>219.5</v>
      </c>
      <c r="I177" s="1">
        <v>173</v>
      </c>
      <c r="J177" s="1">
        <f t="shared" si="17"/>
        <v>219.5</v>
      </c>
      <c r="K177" s="1">
        <f t="shared" si="18"/>
        <v>0.5</v>
      </c>
      <c r="M177"/>
      <c r="N177"/>
      <c r="O177"/>
      <c r="P177"/>
      <c r="Q177"/>
    </row>
    <row r="178" spans="8:17" x14ac:dyDescent="0.25">
      <c r="H178" s="8">
        <f t="shared" si="16"/>
        <v>220</v>
      </c>
      <c r="I178" s="1">
        <v>174</v>
      </c>
      <c r="J178" s="1">
        <f t="shared" si="17"/>
        <v>220</v>
      </c>
      <c r="K178" s="1">
        <f t="shared" si="18"/>
        <v>0.5</v>
      </c>
      <c r="M178"/>
      <c r="N178"/>
      <c r="O178"/>
      <c r="P178"/>
      <c r="Q178"/>
    </row>
    <row r="179" spans="8:17" x14ac:dyDescent="0.25">
      <c r="H179" s="8">
        <f t="shared" si="16"/>
        <v>220.5</v>
      </c>
      <c r="I179" s="1">
        <v>175</v>
      </c>
      <c r="J179" s="1">
        <f t="shared" si="17"/>
        <v>220.5</v>
      </c>
      <c r="K179" s="1">
        <f t="shared" si="18"/>
        <v>0.5</v>
      </c>
      <c r="M179"/>
      <c r="N179"/>
      <c r="O179"/>
      <c r="P179"/>
      <c r="Q179"/>
    </row>
    <row r="180" spans="8:17" x14ac:dyDescent="0.25">
      <c r="H180" s="8">
        <f t="shared" si="16"/>
        <v>221</v>
      </c>
      <c r="I180" s="1">
        <v>176</v>
      </c>
      <c r="J180" s="1">
        <f t="shared" si="17"/>
        <v>221</v>
      </c>
      <c r="K180" s="1">
        <f t="shared" si="18"/>
        <v>0.5</v>
      </c>
      <c r="M180"/>
      <c r="N180"/>
      <c r="O180"/>
      <c r="P180"/>
      <c r="Q180"/>
    </row>
    <row r="181" spans="8:17" x14ac:dyDescent="0.25">
      <c r="H181" s="8">
        <f t="shared" si="16"/>
        <v>221.5</v>
      </c>
      <c r="I181" s="1">
        <v>177</v>
      </c>
      <c r="J181" s="1">
        <f t="shared" si="17"/>
        <v>221.5</v>
      </c>
      <c r="K181" s="1">
        <f t="shared" si="18"/>
        <v>0.5</v>
      </c>
      <c r="M181"/>
      <c r="N181"/>
      <c r="O181"/>
      <c r="P181"/>
      <c r="Q181"/>
    </row>
    <row r="182" spans="8:17" x14ac:dyDescent="0.25">
      <c r="H182" s="8">
        <f t="shared" si="16"/>
        <v>222</v>
      </c>
      <c r="I182" s="1">
        <v>178</v>
      </c>
      <c r="J182" s="1">
        <f t="shared" si="17"/>
        <v>222</v>
      </c>
      <c r="K182" s="1">
        <f t="shared" si="18"/>
        <v>0.5</v>
      </c>
      <c r="M182"/>
      <c r="N182"/>
      <c r="O182"/>
      <c r="P182"/>
      <c r="Q182"/>
    </row>
    <row r="183" spans="8:17" x14ac:dyDescent="0.25">
      <c r="H183" s="8">
        <f t="shared" si="16"/>
        <v>222.5</v>
      </c>
      <c r="I183" s="1">
        <v>179</v>
      </c>
      <c r="J183" s="1">
        <f t="shared" si="17"/>
        <v>222.5</v>
      </c>
      <c r="K183" s="1">
        <f t="shared" si="18"/>
        <v>0.5</v>
      </c>
      <c r="M183"/>
      <c r="N183"/>
      <c r="O183"/>
      <c r="P183"/>
      <c r="Q183"/>
    </row>
    <row r="184" spans="8:17" x14ac:dyDescent="0.25">
      <c r="H184" s="8">
        <f t="shared" si="16"/>
        <v>223</v>
      </c>
      <c r="I184" s="1">
        <v>180</v>
      </c>
      <c r="J184" s="1">
        <f t="shared" si="17"/>
        <v>223</v>
      </c>
      <c r="K184" s="1">
        <f t="shared" si="18"/>
        <v>0.5</v>
      </c>
      <c r="M184"/>
      <c r="N184"/>
      <c r="O184"/>
      <c r="P184"/>
      <c r="Q184"/>
    </row>
    <row r="185" spans="8:17" x14ac:dyDescent="0.25">
      <c r="H185" s="8">
        <f t="shared" si="16"/>
        <v>223.5</v>
      </c>
      <c r="I185" s="1">
        <v>181</v>
      </c>
      <c r="J185" s="1">
        <f t="shared" si="17"/>
        <v>223.5</v>
      </c>
      <c r="K185" s="1">
        <f t="shared" si="18"/>
        <v>0.5</v>
      </c>
      <c r="M185"/>
      <c r="N185"/>
      <c r="O185"/>
      <c r="P185"/>
      <c r="Q185"/>
    </row>
    <row r="186" spans="8:17" x14ac:dyDescent="0.25">
      <c r="H186" s="8">
        <f t="shared" si="16"/>
        <v>224</v>
      </c>
      <c r="I186" s="1">
        <v>182</v>
      </c>
      <c r="J186" s="1">
        <f t="shared" si="17"/>
        <v>224</v>
      </c>
      <c r="K186" s="1">
        <f t="shared" si="18"/>
        <v>0.5</v>
      </c>
      <c r="M186"/>
      <c r="N186"/>
      <c r="O186"/>
      <c r="P186"/>
      <c r="Q186"/>
    </row>
    <row r="187" spans="8:17" x14ac:dyDescent="0.25">
      <c r="H187" s="8">
        <f t="shared" si="16"/>
        <v>224.5</v>
      </c>
      <c r="I187" s="1">
        <v>183</v>
      </c>
      <c r="J187" s="1">
        <f t="shared" si="17"/>
        <v>224.5</v>
      </c>
      <c r="K187" s="1">
        <f t="shared" si="18"/>
        <v>0.5</v>
      </c>
      <c r="M187"/>
      <c r="N187"/>
      <c r="O187"/>
      <c r="P187"/>
      <c r="Q187"/>
    </row>
    <row r="188" spans="8:17" x14ac:dyDescent="0.25">
      <c r="H188" s="8">
        <f t="shared" si="16"/>
        <v>225</v>
      </c>
      <c r="I188" s="1">
        <v>184</v>
      </c>
      <c r="J188" s="1">
        <f t="shared" si="17"/>
        <v>225</v>
      </c>
      <c r="K188" s="1">
        <f t="shared" si="18"/>
        <v>0.5</v>
      </c>
      <c r="M188"/>
      <c r="N188"/>
      <c r="O188"/>
      <c r="P188"/>
      <c r="Q188"/>
    </row>
    <row r="189" spans="8:17" x14ac:dyDescent="0.25">
      <c r="H189" s="8">
        <f t="shared" si="16"/>
        <v>225.75</v>
      </c>
      <c r="I189" s="1">
        <v>185</v>
      </c>
      <c r="J189" s="1">
        <f t="shared" si="17"/>
        <v>225.75</v>
      </c>
      <c r="K189" s="1">
        <f t="shared" si="18"/>
        <v>0.75</v>
      </c>
      <c r="M189"/>
      <c r="N189"/>
      <c r="O189"/>
      <c r="P189"/>
      <c r="Q189"/>
    </row>
    <row r="190" spans="8:17" x14ac:dyDescent="0.25">
      <c r="H190" s="8">
        <f t="shared" si="16"/>
        <v>226.25</v>
      </c>
      <c r="I190" s="1">
        <v>186</v>
      </c>
      <c r="J190" s="1">
        <f t="shared" si="17"/>
        <v>226.25</v>
      </c>
      <c r="K190" s="1">
        <f t="shared" si="18"/>
        <v>0.5</v>
      </c>
      <c r="M190"/>
      <c r="N190"/>
      <c r="O190"/>
      <c r="P190"/>
      <c r="Q190"/>
    </row>
    <row r="191" spans="8:17" x14ac:dyDescent="0.25">
      <c r="H191" s="8">
        <f t="shared" si="16"/>
        <v>226.75</v>
      </c>
      <c r="I191" s="1">
        <v>187</v>
      </c>
      <c r="J191" s="1">
        <f t="shared" si="17"/>
        <v>226.75</v>
      </c>
      <c r="K191" s="1">
        <f t="shared" si="18"/>
        <v>0.5</v>
      </c>
      <c r="M191"/>
      <c r="N191"/>
      <c r="O191"/>
      <c r="P191"/>
      <c r="Q191"/>
    </row>
    <row r="192" spans="8:17" x14ac:dyDescent="0.25">
      <c r="H192" s="8">
        <f t="shared" si="16"/>
        <v>227.25</v>
      </c>
      <c r="I192" s="1">
        <v>188</v>
      </c>
      <c r="J192" s="1">
        <f t="shared" si="17"/>
        <v>227.25</v>
      </c>
      <c r="K192" s="1">
        <f t="shared" si="18"/>
        <v>0.5</v>
      </c>
      <c r="M192"/>
      <c r="N192"/>
      <c r="O192"/>
      <c r="P192"/>
      <c r="Q192"/>
    </row>
    <row r="193" spans="8:17" x14ac:dyDescent="0.25">
      <c r="H193" s="8">
        <f t="shared" si="16"/>
        <v>227.75</v>
      </c>
      <c r="I193" s="1">
        <v>189</v>
      </c>
      <c r="J193" s="1">
        <f t="shared" si="17"/>
        <v>227.75</v>
      </c>
      <c r="K193" s="1">
        <f t="shared" si="18"/>
        <v>0.5</v>
      </c>
      <c r="M193"/>
      <c r="N193"/>
      <c r="O193"/>
      <c r="P193"/>
      <c r="Q193"/>
    </row>
    <row r="194" spans="8:17" x14ac:dyDescent="0.25">
      <c r="H194" s="8">
        <f t="shared" si="16"/>
        <v>228.25</v>
      </c>
      <c r="I194" s="1">
        <v>190</v>
      </c>
      <c r="J194" s="1">
        <f t="shared" si="17"/>
        <v>228.25</v>
      </c>
      <c r="K194" s="1">
        <f t="shared" si="18"/>
        <v>0.5</v>
      </c>
      <c r="M194"/>
      <c r="N194"/>
      <c r="O194"/>
      <c r="P194"/>
      <c r="Q194"/>
    </row>
    <row r="195" spans="8:17" x14ac:dyDescent="0.25">
      <c r="H195" s="8">
        <f t="shared" si="16"/>
        <v>228.75</v>
      </c>
      <c r="I195" s="1">
        <v>191</v>
      </c>
      <c r="J195" s="1">
        <f t="shared" si="17"/>
        <v>228.75</v>
      </c>
      <c r="K195" s="1">
        <f t="shared" si="18"/>
        <v>0.5</v>
      </c>
      <c r="M195"/>
      <c r="N195"/>
      <c r="O195"/>
      <c r="P195"/>
      <c r="Q195"/>
    </row>
    <row r="196" spans="8:17" x14ac:dyDescent="0.25">
      <c r="H196" s="8">
        <f t="shared" si="16"/>
        <v>229</v>
      </c>
      <c r="I196" s="1">
        <v>192</v>
      </c>
      <c r="J196" s="1">
        <f t="shared" si="17"/>
        <v>229</v>
      </c>
      <c r="K196" s="1">
        <f t="shared" si="18"/>
        <v>0.25</v>
      </c>
      <c r="M196"/>
      <c r="N196"/>
      <c r="O196"/>
      <c r="P196"/>
      <c r="Q196"/>
    </row>
    <row r="197" spans="8:17" x14ac:dyDescent="0.25">
      <c r="H197" s="8">
        <f t="shared" ref="H197:H260" si="19">J197</f>
        <v>229.5</v>
      </c>
      <c r="I197" s="1">
        <v>193</v>
      </c>
      <c r="J197" s="1">
        <f t="shared" si="17"/>
        <v>229.5</v>
      </c>
      <c r="K197" s="1">
        <f t="shared" si="18"/>
        <v>0.5</v>
      </c>
      <c r="M197"/>
      <c r="N197"/>
      <c r="O197"/>
      <c r="P197"/>
      <c r="Q197"/>
    </row>
    <row r="198" spans="8:17" x14ac:dyDescent="0.25">
      <c r="H198" s="8">
        <f t="shared" si="19"/>
        <v>230</v>
      </c>
      <c r="I198" s="1">
        <v>194</v>
      </c>
      <c r="J198" s="1">
        <f t="shared" ref="J198:J259" si="20">VALUE(MID($O$2,FIND("*",SUBSTITUTE($O$2," ","*",I198),1)+1,FIND("*",SUBSTITUTE($O$2," ","*",I199),1)-FIND("*",SUBSTITUTE($O$2," ","*",I198),1)-1))/4</f>
        <v>230</v>
      </c>
      <c r="K198" s="1">
        <f t="shared" ref="K198:K260" si="21">J198-J197</f>
        <v>0.5</v>
      </c>
      <c r="M198"/>
      <c r="N198"/>
      <c r="O198"/>
      <c r="P198"/>
      <c r="Q198"/>
    </row>
    <row r="199" spans="8:17" x14ac:dyDescent="0.25">
      <c r="H199" s="8">
        <f t="shared" si="19"/>
        <v>230.5</v>
      </c>
      <c r="I199" s="1">
        <v>195</v>
      </c>
      <c r="J199" s="1">
        <f t="shared" si="20"/>
        <v>230.5</v>
      </c>
      <c r="K199" s="1">
        <f t="shared" si="21"/>
        <v>0.5</v>
      </c>
      <c r="M199"/>
      <c r="N199"/>
      <c r="O199"/>
      <c r="P199"/>
      <c r="Q199"/>
    </row>
    <row r="200" spans="8:17" x14ac:dyDescent="0.25">
      <c r="H200" s="8">
        <f t="shared" si="19"/>
        <v>230.75</v>
      </c>
      <c r="I200" s="1">
        <v>196</v>
      </c>
      <c r="J200" s="1">
        <f t="shared" si="20"/>
        <v>230.75</v>
      </c>
      <c r="K200" s="1">
        <f t="shared" si="21"/>
        <v>0.25</v>
      </c>
      <c r="M200"/>
      <c r="N200"/>
      <c r="O200"/>
      <c r="P200"/>
      <c r="Q200"/>
    </row>
    <row r="201" spans="8:17" x14ac:dyDescent="0.25">
      <c r="H201" s="8">
        <f t="shared" si="19"/>
        <v>231.25</v>
      </c>
      <c r="I201" s="1">
        <v>197</v>
      </c>
      <c r="J201" s="1">
        <f t="shared" si="20"/>
        <v>231.25</v>
      </c>
      <c r="K201" s="1">
        <f t="shared" si="21"/>
        <v>0.5</v>
      </c>
      <c r="M201"/>
      <c r="N201"/>
      <c r="O201"/>
      <c r="P201"/>
      <c r="Q201"/>
    </row>
    <row r="202" spans="8:17" x14ac:dyDescent="0.25">
      <c r="H202" s="8">
        <f t="shared" si="19"/>
        <v>231.75</v>
      </c>
      <c r="I202" s="1">
        <v>198</v>
      </c>
      <c r="J202" s="1">
        <f t="shared" si="20"/>
        <v>231.75</v>
      </c>
      <c r="K202" s="1">
        <f t="shared" si="21"/>
        <v>0.5</v>
      </c>
      <c r="M202"/>
      <c r="N202"/>
      <c r="O202"/>
      <c r="P202"/>
      <c r="Q202"/>
    </row>
    <row r="203" spans="8:17" x14ac:dyDescent="0.25">
      <c r="H203" s="8">
        <f t="shared" si="19"/>
        <v>232.25</v>
      </c>
      <c r="I203" s="1">
        <v>199</v>
      </c>
      <c r="J203" s="1">
        <f t="shared" si="20"/>
        <v>232.25</v>
      </c>
      <c r="K203" s="1">
        <f t="shared" si="21"/>
        <v>0.5</v>
      </c>
      <c r="M203"/>
      <c r="N203"/>
      <c r="O203"/>
      <c r="P203"/>
      <c r="Q203"/>
    </row>
    <row r="204" spans="8:17" x14ac:dyDescent="0.25">
      <c r="H204" s="8">
        <f t="shared" si="19"/>
        <v>232.75</v>
      </c>
      <c r="I204" s="1">
        <v>200</v>
      </c>
      <c r="J204" s="1">
        <f t="shared" si="20"/>
        <v>232.75</v>
      </c>
      <c r="K204" s="1">
        <f t="shared" si="21"/>
        <v>0.5</v>
      </c>
      <c r="M204"/>
      <c r="N204"/>
      <c r="O204"/>
      <c r="P204"/>
      <c r="Q204"/>
    </row>
    <row r="205" spans="8:17" x14ac:dyDescent="0.25">
      <c r="H205" s="8">
        <f t="shared" si="19"/>
        <v>233</v>
      </c>
      <c r="I205" s="1">
        <v>201</v>
      </c>
      <c r="J205" s="1">
        <f t="shared" si="20"/>
        <v>233</v>
      </c>
      <c r="K205" s="1">
        <f t="shared" si="21"/>
        <v>0.25</v>
      </c>
      <c r="M205"/>
      <c r="N205"/>
      <c r="O205"/>
      <c r="P205"/>
      <c r="Q205"/>
    </row>
    <row r="206" spans="8:17" x14ac:dyDescent="0.25">
      <c r="H206" s="8">
        <f t="shared" si="19"/>
        <v>233.5</v>
      </c>
      <c r="I206" s="1">
        <v>202</v>
      </c>
      <c r="J206" s="1">
        <f t="shared" si="20"/>
        <v>233.5</v>
      </c>
      <c r="K206" s="1">
        <f t="shared" si="21"/>
        <v>0.5</v>
      </c>
      <c r="M206"/>
      <c r="N206"/>
      <c r="O206"/>
      <c r="P206"/>
      <c r="Q206"/>
    </row>
    <row r="207" spans="8:17" x14ac:dyDescent="0.25">
      <c r="H207" s="8">
        <f t="shared" si="19"/>
        <v>233.75</v>
      </c>
      <c r="I207" s="1">
        <v>203</v>
      </c>
      <c r="J207" s="1">
        <f t="shared" si="20"/>
        <v>233.75</v>
      </c>
      <c r="K207" s="1">
        <f t="shared" si="21"/>
        <v>0.25</v>
      </c>
      <c r="M207"/>
      <c r="N207"/>
      <c r="O207"/>
      <c r="P207"/>
      <c r="Q207"/>
    </row>
    <row r="208" spans="8:17" x14ac:dyDescent="0.25">
      <c r="H208" s="8">
        <f t="shared" si="19"/>
        <v>234.25</v>
      </c>
      <c r="I208" s="1">
        <v>204</v>
      </c>
      <c r="J208" s="1">
        <f t="shared" si="20"/>
        <v>234.25</v>
      </c>
      <c r="K208" s="1">
        <f t="shared" si="21"/>
        <v>0.5</v>
      </c>
      <c r="M208"/>
      <c r="N208"/>
      <c r="O208"/>
      <c r="P208"/>
      <c r="Q208"/>
    </row>
    <row r="209" spans="8:17" x14ac:dyDescent="0.25">
      <c r="H209" s="8">
        <f t="shared" si="19"/>
        <v>234.75</v>
      </c>
      <c r="I209" s="1">
        <v>205</v>
      </c>
      <c r="J209" s="1">
        <f t="shared" si="20"/>
        <v>234.75</v>
      </c>
      <c r="K209" s="1">
        <f t="shared" si="21"/>
        <v>0.5</v>
      </c>
      <c r="M209"/>
      <c r="N209"/>
      <c r="O209"/>
      <c r="P209"/>
      <c r="Q209"/>
    </row>
    <row r="210" spans="8:17" x14ac:dyDescent="0.25">
      <c r="H210" s="8">
        <f t="shared" si="19"/>
        <v>235.25</v>
      </c>
      <c r="I210" s="1">
        <v>206</v>
      </c>
      <c r="J210" s="1">
        <f t="shared" si="20"/>
        <v>235.25</v>
      </c>
      <c r="K210" s="1">
        <f t="shared" si="21"/>
        <v>0.5</v>
      </c>
      <c r="M210"/>
      <c r="N210"/>
      <c r="O210"/>
      <c r="P210"/>
      <c r="Q210"/>
    </row>
    <row r="211" spans="8:17" x14ac:dyDescent="0.25">
      <c r="H211" s="8">
        <f t="shared" si="19"/>
        <v>235.75</v>
      </c>
      <c r="I211" s="1">
        <v>207</v>
      </c>
      <c r="J211" s="1">
        <f t="shared" si="20"/>
        <v>235.75</v>
      </c>
      <c r="K211" s="1">
        <f t="shared" si="21"/>
        <v>0.5</v>
      </c>
      <c r="M211"/>
      <c r="N211"/>
      <c r="O211"/>
      <c r="P211"/>
      <c r="Q211"/>
    </row>
    <row r="212" spans="8:17" x14ac:dyDescent="0.25">
      <c r="H212" s="8">
        <f t="shared" si="19"/>
        <v>236.25</v>
      </c>
      <c r="I212" s="1">
        <v>208</v>
      </c>
      <c r="J212" s="1">
        <f t="shared" si="20"/>
        <v>236.25</v>
      </c>
      <c r="K212" s="1">
        <f t="shared" si="21"/>
        <v>0.5</v>
      </c>
      <c r="M212"/>
      <c r="N212"/>
      <c r="O212"/>
      <c r="P212"/>
      <c r="Q212"/>
    </row>
    <row r="213" spans="8:17" x14ac:dyDescent="0.25">
      <c r="H213" s="8">
        <f t="shared" si="19"/>
        <v>236.75</v>
      </c>
      <c r="I213" s="1">
        <v>209</v>
      </c>
      <c r="J213" s="1">
        <f t="shared" si="20"/>
        <v>236.75</v>
      </c>
      <c r="K213" s="1">
        <f t="shared" si="21"/>
        <v>0.5</v>
      </c>
      <c r="M213"/>
      <c r="N213"/>
      <c r="O213"/>
      <c r="P213"/>
      <c r="Q213"/>
    </row>
    <row r="214" spans="8:17" x14ac:dyDescent="0.25">
      <c r="H214" s="8">
        <f t="shared" si="19"/>
        <v>237</v>
      </c>
      <c r="I214" s="1">
        <v>210</v>
      </c>
      <c r="J214" s="1">
        <f t="shared" si="20"/>
        <v>237</v>
      </c>
      <c r="K214" s="1">
        <f t="shared" si="21"/>
        <v>0.25</v>
      </c>
      <c r="M214"/>
      <c r="N214"/>
      <c r="O214"/>
      <c r="P214"/>
      <c r="Q214"/>
    </row>
    <row r="215" spans="8:17" x14ac:dyDescent="0.25">
      <c r="H215" s="8">
        <f t="shared" si="19"/>
        <v>237.5</v>
      </c>
      <c r="I215" s="1">
        <v>211</v>
      </c>
      <c r="J215" s="1">
        <f t="shared" si="20"/>
        <v>237.5</v>
      </c>
      <c r="K215" s="1">
        <f t="shared" si="21"/>
        <v>0.5</v>
      </c>
      <c r="M215"/>
      <c r="N215"/>
      <c r="O215"/>
      <c r="P215"/>
      <c r="Q215"/>
    </row>
    <row r="216" spans="8:17" x14ac:dyDescent="0.25">
      <c r="H216" s="8">
        <f t="shared" si="19"/>
        <v>238</v>
      </c>
      <c r="I216" s="1">
        <v>212</v>
      </c>
      <c r="J216" s="1">
        <f t="shared" si="20"/>
        <v>238</v>
      </c>
      <c r="K216" s="1">
        <f t="shared" si="21"/>
        <v>0.5</v>
      </c>
      <c r="M216"/>
      <c r="N216"/>
      <c r="O216"/>
      <c r="P216"/>
      <c r="Q216"/>
    </row>
    <row r="217" spans="8:17" x14ac:dyDescent="0.25">
      <c r="H217" s="8">
        <f t="shared" si="19"/>
        <v>238.5</v>
      </c>
      <c r="I217" s="1">
        <v>213</v>
      </c>
      <c r="J217" s="1">
        <f t="shared" si="20"/>
        <v>238.5</v>
      </c>
      <c r="K217" s="1">
        <f t="shared" si="21"/>
        <v>0.5</v>
      </c>
      <c r="M217"/>
      <c r="N217"/>
      <c r="O217"/>
      <c r="P217"/>
      <c r="Q217"/>
    </row>
    <row r="218" spans="8:17" x14ac:dyDescent="0.25">
      <c r="H218" s="8">
        <f t="shared" si="19"/>
        <v>238.75</v>
      </c>
      <c r="I218" s="1">
        <v>214</v>
      </c>
      <c r="J218" s="1">
        <f t="shared" si="20"/>
        <v>238.75</v>
      </c>
      <c r="K218" s="1">
        <f t="shared" si="21"/>
        <v>0.25</v>
      </c>
      <c r="M218"/>
      <c r="N218"/>
      <c r="O218"/>
      <c r="P218"/>
      <c r="Q218"/>
    </row>
    <row r="219" spans="8:17" x14ac:dyDescent="0.25">
      <c r="H219" s="8">
        <f t="shared" si="19"/>
        <v>239.25</v>
      </c>
      <c r="I219" s="1">
        <v>215</v>
      </c>
      <c r="J219" s="1">
        <f t="shared" si="20"/>
        <v>239.25</v>
      </c>
      <c r="K219" s="1">
        <f t="shared" si="21"/>
        <v>0.5</v>
      </c>
      <c r="M219"/>
      <c r="N219"/>
      <c r="O219"/>
      <c r="P219"/>
      <c r="Q219"/>
    </row>
    <row r="220" spans="8:17" x14ac:dyDescent="0.25">
      <c r="H220" s="8">
        <f t="shared" si="19"/>
        <v>239.75</v>
      </c>
      <c r="I220" s="1">
        <v>216</v>
      </c>
      <c r="J220" s="1">
        <f t="shared" si="20"/>
        <v>239.75</v>
      </c>
      <c r="K220" s="1">
        <f t="shared" si="21"/>
        <v>0.5</v>
      </c>
      <c r="M220"/>
      <c r="N220"/>
      <c r="O220"/>
      <c r="P220"/>
      <c r="Q220"/>
    </row>
    <row r="221" spans="8:17" x14ac:dyDescent="0.25">
      <c r="H221" s="8">
        <f t="shared" si="19"/>
        <v>240.25</v>
      </c>
      <c r="I221" s="1">
        <v>217</v>
      </c>
      <c r="J221" s="1">
        <f t="shared" si="20"/>
        <v>240.25</v>
      </c>
      <c r="K221" s="1">
        <f t="shared" si="21"/>
        <v>0.5</v>
      </c>
      <c r="M221"/>
      <c r="N221"/>
      <c r="O221"/>
      <c r="P221"/>
      <c r="Q221"/>
    </row>
    <row r="222" spans="8:17" x14ac:dyDescent="0.25">
      <c r="H222" s="8">
        <f t="shared" si="19"/>
        <v>240.75</v>
      </c>
      <c r="I222" s="1">
        <v>218</v>
      </c>
      <c r="J222" s="1">
        <f t="shared" si="20"/>
        <v>240.75</v>
      </c>
      <c r="K222" s="1">
        <f t="shared" si="21"/>
        <v>0.5</v>
      </c>
      <c r="M222"/>
      <c r="N222"/>
      <c r="O222"/>
      <c r="P222"/>
      <c r="Q222"/>
    </row>
    <row r="223" spans="8:17" x14ac:dyDescent="0.25">
      <c r="H223" s="8">
        <f t="shared" si="19"/>
        <v>241</v>
      </c>
      <c r="I223" s="1">
        <v>219</v>
      </c>
      <c r="J223" s="1">
        <f t="shared" si="20"/>
        <v>241</v>
      </c>
      <c r="K223" s="1">
        <f t="shared" si="21"/>
        <v>0.25</v>
      </c>
      <c r="M223"/>
      <c r="N223"/>
      <c r="O223"/>
      <c r="P223"/>
      <c r="Q223"/>
    </row>
    <row r="224" spans="8:17" x14ac:dyDescent="0.25">
      <c r="H224" s="8">
        <f t="shared" si="19"/>
        <v>241.5</v>
      </c>
      <c r="I224" s="1">
        <v>220</v>
      </c>
      <c r="J224" s="1">
        <f t="shared" si="20"/>
        <v>241.5</v>
      </c>
      <c r="K224" s="1">
        <f t="shared" si="21"/>
        <v>0.5</v>
      </c>
      <c r="M224"/>
      <c r="N224"/>
      <c r="O224"/>
      <c r="P224"/>
      <c r="Q224"/>
    </row>
    <row r="225" spans="8:17" x14ac:dyDescent="0.25">
      <c r="H225" s="8">
        <f t="shared" si="19"/>
        <v>241.75</v>
      </c>
      <c r="I225" s="1">
        <v>221</v>
      </c>
      <c r="J225" s="1">
        <f t="shared" si="20"/>
        <v>241.75</v>
      </c>
      <c r="K225" s="1">
        <f t="shared" si="21"/>
        <v>0.25</v>
      </c>
      <c r="M225"/>
      <c r="N225"/>
      <c r="O225"/>
      <c r="P225"/>
      <c r="Q225"/>
    </row>
    <row r="226" spans="8:17" x14ac:dyDescent="0.25">
      <c r="H226" s="8">
        <f t="shared" si="19"/>
        <v>242.25</v>
      </c>
      <c r="I226" s="1">
        <v>222</v>
      </c>
      <c r="J226" s="1">
        <f t="shared" si="20"/>
        <v>242.25</v>
      </c>
      <c r="K226" s="1">
        <f t="shared" si="21"/>
        <v>0.5</v>
      </c>
      <c r="M226"/>
      <c r="N226"/>
      <c r="O226"/>
      <c r="P226"/>
      <c r="Q226"/>
    </row>
    <row r="227" spans="8:17" x14ac:dyDescent="0.25">
      <c r="H227" s="8">
        <f t="shared" si="19"/>
        <v>242.75</v>
      </c>
      <c r="I227" s="1">
        <v>223</v>
      </c>
      <c r="J227" s="1">
        <f t="shared" si="20"/>
        <v>242.75</v>
      </c>
      <c r="K227" s="1">
        <f t="shared" si="21"/>
        <v>0.5</v>
      </c>
      <c r="M227"/>
      <c r="N227"/>
      <c r="O227"/>
      <c r="P227"/>
      <c r="Q227"/>
    </row>
    <row r="228" spans="8:17" x14ac:dyDescent="0.25">
      <c r="H228" s="8">
        <f t="shared" si="19"/>
        <v>243</v>
      </c>
      <c r="I228" s="1">
        <v>224</v>
      </c>
      <c r="J228" s="1">
        <f t="shared" si="20"/>
        <v>243</v>
      </c>
      <c r="K228" s="1">
        <f t="shared" si="21"/>
        <v>0.25</v>
      </c>
      <c r="M228"/>
      <c r="N228"/>
      <c r="O228"/>
      <c r="P228"/>
      <c r="Q228"/>
    </row>
    <row r="229" spans="8:17" x14ac:dyDescent="0.25">
      <c r="H229" s="8">
        <f t="shared" si="19"/>
        <v>243.5</v>
      </c>
      <c r="I229" s="1">
        <v>225</v>
      </c>
      <c r="J229" s="1">
        <f t="shared" si="20"/>
        <v>243.5</v>
      </c>
      <c r="K229" s="1">
        <f t="shared" si="21"/>
        <v>0.5</v>
      </c>
      <c r="M229"/>
      <c r="N229"/>
      <c r="O229"/>
      <c r="P229"/>
      <c r="Q229"/>
    </row>
    <row r="230" spans="8:17" x14ac:dyDescent="0.25">
      <c r="H230" s="8">
        <f t="shared" si="19"/>
        <v>243.75</v>
      </c>
      <c r="I230" s="1">
        <v>226</v>
      </c>
      <c r="J230" s="1">
        <f t="shared" si="20"/>
        <v>243.75</v>
      </c>
      <c r="K230" s="1">
        <f t="shared" si="21"/>
        <v>0.25</v>
      </c>
      <c r="M230"/>
      <c r="N230"/>
      <c r="O230"/>
      <c r="P230"/>
      <c r="Q230"/>
    </row>
    <row r="231" spans="8:17" x14ac:dyDescent="0.25">
      <c r="H231" s="8">
        <f t="shared" si="19"/>
        <v>244</v>
      </c>
      <c r="I231" s="1">
        <v>227</v>
      </c>
      <c r="J231" s="1">
        <f t="shared" si="20"/>
        <v>244</v>
      </c>
      <c r="K231" s="1">
        <f t="shared" si="21"/>
        <v>0.25</v>
      </c>
      <c r="M231"/>
      <c r="N231"/>
      <c r="O231"/>
      <c r="P231"/>
      <c r="Q231"/>
    </row>
    <row r="232" spans="8:17" x14ac:dyDescent="0.25">
      <c r="H232" s="8">
        <f t="shared" si="19"/>
        <v>244.5</v>
      </c>
      <c r="I232" s="1">
        <v>228</v>
      </c>
      <c r="J232" s="1">
        <f t="shared" si="20"/>
        <v>244.5</v>
      </c>
      <c r="K232" s="1">
        <f t="shared" si="21"/>
        <v>0.5</v>
      </c>
      <c r="M232"/>
      <c r="N232"/>
      <c r="O232"/>
      <c r="P232"/>
      <c r="Q232"/>
    </row>
    <row r="233" spans="8:17" x14ac:dyDescent="0.25">
      <c r="H233" s="8">
        <f t="shared" si="19"/>
        <v>245</v>
      </c>
      <c r="I233" s="1">
        <v>229</v>
      </c>
      <c r="J233" s="1">
        <f t="shared" si="20"/>
        <v>245</v>
      </c>
      <c r="K233" s="1">
        <f t="shared" si="21"/>
        <v>0.5</v>
      </c>
      <c r="M233"/>
      <c r="N233"/>
      <c r="O233"/>
      <c r="P233"/>
      <c r="Q233"/>
    </row>
    <row r="234" spans="8:17" x14ac:dyDescent="0.25">
      <c r="H234" s="8">
        <f t="shared" si="19"/>
        <v>245.5</v>
      </c>
      <c r="I234" s="1">
        <v>230</v>
      </c>
      <c r="J234" s="1">
        <f t="shared" si="20"/>
        <v>245.5</v>
      </c>
      <c r="K234" s="1">
        <f t="shared" si="21"/>
        <v>0.5</v>
      </c>
      <c r="M234"/>
      <c r="N234"/>
      <c r="O234"/>
      <c r="P234"/>
      <c r="Q234"/>
    </row>
    <row r="235" spans="8:17" x14ac:dyDescent="0.25">
      <c r="H235" s="8">
        <f t="shared" si="19"/>
        <v>245.75</v>
      </c>
      <c r="I235" s="1">
        <v>231</v>
      </c>
      <c r="J235" s="1">
        <f t="shared" si="20"/>
        <v>245.75</v>
      </c>
      <c r="K235" s="1">
        <f t="shared" si="21"/>
        <v>0.25</v>
      </c>
      <c r="M235"/>
      <c r="N235"/>
      <c r="O235"/>
      <c r="P235"/>
      <c r="Q235"/>
    </row>
    <row r="236" spans="8:17" x14ac:dyDescent="0.25">
      <c r="H236" s="8">
        <f t="shared" si="19"/>
        <v>246.25</v>
      </c>
      <c r="I236" s="1">
        <v>232</v>
      </c>
      <c r="J236" s="1">
        <f t="shared" si="20"/>
        <v>246.25</v>
      </c>
      <c r="K236" s="1">
        <f t="shared" si="21"/>
        <v>0.5</v>
      </c>
      <c r="M236"/>
      <c r="N236"/>
      <c r="O236"/>
      <c r="P236"/>
      <c r="Q236"/>
    </row>
    <row r="237" spans="8:17" x14ac:dyDescent="0.25">
      <c r="H237" s="8">
        <f t="shared" si="19"/>
        <v>246.75</v>
      </c>
      <c r="I237" s="1">
        <v>233</v>
      </c>
      <c r="J237" s="1">
        <f t="shared" si="20"/>
        <v>246.75</v>
      </c>
      <c r="K237" s="1">
        <f t="shared" si="21"/>
        <v>0.5</v>
      </c>
      <c r="M237"/>
      <c r="N237"/>
      <c r="O237"/>
      <c r="P237"/>
      <c r="Q237"/>
    </row>
    <row r="238" spans="8:17" x14ac:dyDescent="0.25">
      <c r="H238" s="8">
        <f t="shared" si="19"/>
        <v>247</v>
      </c>
      <c r="I238" s="1">
        <v>234</v>
      </c>
      <c r="J238" s="1">
        <f t="shared" si="20"/>
        <v>247</v>
      </c>
      <c r="K238" s="1">
        <f t="shared" si="21"/>
        <v>0.25</v>
      </c>
      <c r="M238"/>
      <c r="N238"/>
      <c r="O238"/>
      <c r="P238"/>
      <c r="Q238"/>
    </row>
    <row r="239" spans="8:17" x14ac:dyDescent="0.25">
      <c r="H239" s="8">
        <f t="shared" si="19"/>
        <v>247.5</v>
      </c>
      <c r="I239" s="1">
        <v>235</v>
      </c>
      <c r="J239" s="1">
        <f t="shared" si="20"/>
        <v>247.5</v>
      </c>
      <c r="K239" s="1">
        <f t="shared" si="21"/>
        <v>0.5</v>
      </c>
      <c r="M239"/>
      <c r="N239"/>
      <c r="O239"/>
      <c r="P239"/>
      <c r="Q239"/>
    </row>
    <row r="240" spans="8:17" x14ac:dyDescent="0.25">
      <c r="H240" s="8">
        <f t="shared" si="19"/>
        <v>248</v>
      </c>
      <c r="I240" s="1">
        <v>236</v>
      </c>
      <c r="J240" s="1">
        <f t="shared" si="20"/>
        <v>248</v>
      </c>
      <c r="K240" s="1">
        <f t="shared" si="21"/>
        <v>0.5</v>
      </c>
      <c r="M240"/>
      <c r="N240"/>
      <c r="O240"/>
      <c r="P240"/>
      <c r="Q240"/>
    </row>
    <row r="241" spans="8:17" x14ac:dyDescent="0.25">
      <c r="H241" s="8">
        <f t="shared" si="19"/>
        <v>248.5</v>
      </c>
      <c r="I241" s="1">
        <v>237</v>
      </c>
      <c r="J241" s="1">
        <f t="shared" si="20"/>
        <v>248.5</v>
      </c>
      <c r="K241" s="1">
        <f t="shared" si="21"/>
        <v>0.5</v>
      </c>
      <c r="M241"/>
      <c r="N241"/>
      <c r="O241"/>
      <c r="P241"/>
      <c r="Q241"/>
    </row>
    <row r="242" spans="8:17" x14ac:dyDescent="0.25">
      <c r="H242" s="8">
        <f t="shared" si="19"/>
        <v>248.75</v>
      </c>
      <c r="I242" s="1">
        <v>238</v>
      </c>
      <c r="J242" s="1">
        <f t="shared" si="20"/>
        <v>248.75</v>
      </c>
      <c r="K242" s="1">
        <f t="shared" si="21"/>
        <v>0.25</v>
      </c>
      <c r="M242"/>
      <c r="N242"/>
      <c r="O242"/>
      <c r="P242"/>
      <c r="Q242"/>
    </row>
    <row r="243" spans="8:17" x14ac:dyDescent="0.25">
      <c r="H243" s="8">
        <f t="shared" si="19"/>
        <v>249.25</v>
      </c>
      <c r="I243" s="1">
        <v>239</v>
      </c>
      <c r="J243" s="1">
        <f t="shared" si="20"/>
        <v>249.25</v>
      </c>
      <c r="K243" s="1">
        <f t="shared" si="21"/>
        <v>0.5</v>
      </c>
      <c r="M243"/>
      <c r="N243"/>
      <c r="O243"/>
      <c r="P243"/>
      <c r="Q243"/>
    </row>
    <row r="244" spans="8:17" x14ac:dyDescent="0.25">
      <c r="H244" s="8">
        <f t="shared" si="19"/>
        <v>249.75</v>
      </c>
      <c r="I244" s="1">
        <v>240</v>
      </c>
      <c r="J244" s="1">
        <f t="shared" si="20"/>
        <v>249.75</v>
      </c>
      <c r="K244" s="1">
        <f t="shared" si="21"/>
        <v>0.5</v>
      </c>
      <c r="M244"/>
      <c r="N244"/>
      <c r="O244"/>
      <c r="P244"/>
      <c r="Q244"/>
    </row>
    <row r="245" spans="8:17" x14ac:dyDescent="0.25">
      <c r="H245" s="8">
        <f t="shared" si="19"/>
        <v>250.25</v>
      </c>
      <c r="I245" s="1">
        <v>241</v>
      </c>
      <c r="J245" s="1">
        <f t="shared" si="20"/>
        <v>250.25</v>
      </c>
      <c r="K245" s="1">
        <f t="shared" si="21"/>
        <v>0.5</v>
      </c>
      <c r="M245"/>
      <c r="N245"/>
      <c r="O245"/>
      <c r="P245"/>
      <c r="Q245"/>
    </row>
    <row r="246" spans="8:17" x14ac:dyDescent="0.25">
      <c r="H246" s="8">
        <f t="shared" si="19"/>
        <v>250.75</v>
      </c>
      <c r="I246" s="1">
        <v>242</v>
      </c>
      <c r="J246" s="1">
        <f t="shared" si="20"/>
        <v>250.75</v>
      </c>
      <c r="K246" s="1">
        <f t="shared" si="21"/>
        <v>0.5</v>
      </c>
      <c r="M246"/>
      <c r="N246"/>
      <c r="O246"/>
      <c r="P246"/>
      <c r="Q246"/>
    </row>
    <row r="247" spans="8:17" x14ac:dyDescent="0.25">
      <c r="H247" s="8">
        <f t="shared" si="19"/>
        <v>251</v>
      </c>
      <c r="I247" s="1">
        <v>243</v>
      </c>
      <c r="J247" s="1">
        <f t="shared" si="20"/>
        <v>251</v>
      </c>
      <c r="K247" s="1">
        <f t="shared" si="21"/>
        <v>0.25</v>
      </c>
      <c r="M247"/>
      <c r="N247"/>
      <c r="O247"/>
      <c r="P247"/>
      <c r="Q247"/>
    </row>
    <row r="248" spans="8:17" x14ac:dyDescent="0.25">
      <c r="H248" s="8">
        <f t="shared" si="19"/>
        <v>251.25</v>
      </c>
      <c r="I248" s="1">
        <v>244</v>
      </c>
      <c r="J248" s="1">
        <f t="shared" si="20"/>
        <v>251.25</v>
      </c>
      <c r="K248" s="1">
        <f t="shared" si="21"/>
        <v>0.25</v>
      </c>
      <c r="M248"/>
      <c r="N248"/>
      <c r="O248"/>
      <c r="P248"/>
      <c r="Q248"/>
    </row>
    <row r="249" spans="8:17" x14ac:dyDescent="0.25">
      <c r="H249" s="8">
        <f t="shared" si="19"/>
        <v>251.75</v>
      </c>
      <c r="I249" s="1">
        <v>245</v>
      </c>
      <c r="J249" s="1">
        <f t="shared" si="20"/>
        <v>251.75</v>
      </c>
      <c r="K249" s="1">
        <f t="shared" si="21"/>
        <v>0.5</v>
      </c>
      <c r="M249"/>
      <c r="N249"/>
      <c r="O249"/>
      <c r="P249"/>
      <c r="Q249"/>
    </row>
    <row r="250" spans="8:17" x14ac:dyDescent="0.25">
      <c r="H250" s="8">
        <f t="shared" si="19"/>
        <v>252</v>
      </c>
      <c r="I250" s="1">
        <v>246</v>
      </c>
      <c r="J250" s="1">
        <f t="shared" si="20"/>
        <v>252</v>
      </c>
      <c r="K250" s="1">
        <f t="shared" si="21"/>
        <v>0.25</v>
      </c>
      <c r="M250"/>
      <c r="N250"/>
      <c r="O250"/>
      <c r="P250"/>
      <c r="Q250"/>
    </row>
    <row r="251" spans="8:17" x14ac:dyDescent="0.25">
      <c r="H251" s="8">
        <f t="shared" si="19"/>
        <v>252.5</v>
      </c>
      <c r="I251" s="1">
        <v>247</v>
      </c>
      <c r="J251" s="1">
        <f t="shared" si="20"/>
        <v>252.5</v>
      </c>
      <c r="K251" s="1">
        <f t="shared" si="21"/>
        <v>0.5</v>
      </c>
      <c r="M251"/>
      <c r="N251"/>
      <c r="O251"/>
      <c r="P251"/>
      <c r="Q251"/>
    </row>
    <row r="252" spans="8:17" x14ac:dyDescent="0.25">
      <c r="H252" s="8">
        <f t="shared" si="19"/>
        <v>252.75</v>
      </c>
      <c r="I252" s="1">
        <v>248</v>
      </c>
      <c r="J252" s="1">
        <f t="shared" si="20"/>
        <v>252.75</v>
      </c>
      <c r="K252" s="1">
        <f t="shared" si="21"/>
        <v>0.25</v>
      </c>
      <c r="M252"/>
      <c r="N252"/>
      <c r="O252"/>
      <c r="P252"/>
      <c r="Q252"/>
    </row>
    <row r="253" spans="8:17" x14ac:dyDescent="0.25">
      <c r="H253" s="8">
        <f t="shared" si="19"/>
        <v>253.25</v>
      </c>
      <c r="I253" s="1">
        <v>249</v>
      </c>
      <c r="J253" s="1">
        <f t="shared" si="20"/>
        <v>253.25</v>
      </c>
      <c r="K253" s="1">
        <f t="shared" si="21"/>
        <v>0.5</v>
      </c>
      <c r="M253"/>
      <c r="N253"/>
      <c r="O253"/>
      <c r="P253"/>
      <c r="Q253"/>
    </row>
    <row r="254" spans="8:17" x14ac:dyDescent="0.25">
      <c r="H254" s="8">
        <f t="shared" si="19"/>
        <v>253.75</v>
      </c>
      <c r="I254" s="1">
        <v>250</v>
      </c>
      <c r="J254" s="1">
        <f t="shared" si="20"/>
        <v>253.75</v>
      </c>
      <c r="K254" s="1">
        <f t="shared" si="21"/>
        <v>0.5</v>
      </c>
      <c r="M254"/>
      <c r="N254"/>
      <c r="O254"/>
      <c r="P254"/>
      <c r="Q254"/>
    </row>
    <row r="255" spans="8:17" x14ac:dyDescent="0.25">
      <c r="H255" s="8">
        <f t="shared" si="19"/>
        <v>254</v>
      </c>
      <c r="I255" s="1">
        <v>251</v>
      </c>
      <c r="J255" s="1">
        <f t="shared" si="20"/>
        <v>254</v>
      </c>
      <c r="K255" s="1">
        <f t="shared" si="21"/>
        <v>0.25</v>
      </c>
      <c r="M255"/>
      <c r="N255"/>
      <c r="O255"/>
      <c r="P255"/>
      <c r="Q255"/>
    </row>
    <row r="256" spans="8:17" x14ac:dyDescent="0.25">
      <c r="H256" s="8">
        <f t="shared" si="19"/>
        <v>254.25</v>
      </c>
      <c r="I256" s="1">
        <v>252</v>
      </c>
      <c r="J256" s="1">
        <f t="shared" si="20"/>
        <v>254.25</v>
      </c>
      <c r="K256" s="1">
        <f t="shared" si="21"/>
        <v>0.25</v>
      </c>
      <c r="M256"/>
      <c r="N256"/>
      <c r="O256"/>
      <c r="P256"/>
      <c r="Q256"/>
    </row>
    <row r="257" spans="8:17" x14ac:dyDescent="0.25">
      <c r="H257" s="8">
        <f t="shared" si="19"/>
        <v>254.75</v>
      </c>
      <c r="I257" s="1">
        <v>253</v>
      </c>
      <c r="J257" s="1">
        <f t="shared" si="20"/>
        <v>254.75</v>
      </c>
      <c r="K257" s="1">
        <f t="shared" si="21"/>
        <v>0.5</v>
      </c>
      <c r="M257"/>
      <c r="N257"/>
      <c r="O257"/>
      <c r="P257"/>
      <c r="Q257"/>
    </row>
    <row r="258" spans="8:17" x14ac:dyDescent="0.25">
      <c r="H258" s="8">
        <f t="shared" si="19"/>
        <v>255</v>
      </c>
      <c r="I258" s="1">
        <v>254</v>
      </c>
      <c r="J258" s="1">
        <f t="shared" si="20"/>
        <v>255</v>
      </c>
      <c r="K258" s="1">
        <f t="shared" si="21"/>
        <v>0.25</v>
      </c>
      <c r="M258"/>
      <c r="N258"/>
      <c r="O258"/>
      <c r="P258"/>
      <c r="Q258"/>
    </row>
    <row r="259" spans="8:17" x14ac:dyDescent="0.25">
      <c r="H259" s="8">
        <f t="shared" si="19"/>
        <v>255.5</v>
      </c>
      <c r="I259" s="1">
        <v>255</v>
      </c>
      <c r="J259" s="1">
        <f t="shared" si="20"/>
        <v>255.5</v>
      </c>
      <c r="K259" s="1">
        <f t="shared" si="21"/>
        <v>0.5</v>
      </c>
      <c r="M259"/>
      <c r="N259"/>
      <c r="O259"/>
      <c r="P259"/>
      <c r="Q259"/>
    </row>
    <row r="260" spans="8:17" x14ac:dyDescent="0.25">
      <c r="H260" s="8">
        <f t="shared" si="19"/>
        <v>255.75</v>
      </c>
      <c r="I260" s="1">
        <v>256</v>
      </c>
      <c r="J260" s="1">
        <f>VALUE(RIGHT($O$2,LEN($O$2)-FIND("*",SUBSTITUTE($O$2," ","*",256),1)))/4</f>
        <v>255.75</v>
      </c>
      <c r="K260" s="1">
        <f t="shared" si="21"/>
        <v>0.25</v>
      </c>
      <c r="M260"/>
      <c r="N260"/>
      <c r="O260"/>
      <c r="P260"/>
      <c r="Q260"/>
    </row>
    <row r="261" spans="8:17" x14ac:dyDescent="0.25">
      <c r="M261"/>
      <c r="N261"/>
      <c r="O261"/>
      <c r="P261"/>
      <c r="Q261"/>
    </row>
    <row r="262" spans="8:17" x14ac:dyDescent="0.25">
      <c r="M262"/>
      <c r="N262"/>
      <c r="O262"/>
      <c r="P262"/>
      <c r="Q262"/>
    </row>
    <row r="263" spans="8:17" x14ac:dyDescent="0.25">
      <c r="M263"/>
      <c r="N263"/>
      <c r="O263"/>
      <c r="P263"/>
      <c r="Q263"/>
    </row>
    <row r="264" spans="8:17" x14ac:dyDescent="0.25">
      <c r="M264"/>
      <c r="N264"/>
      <c r="O264"/>
      <c r="P264"/>
      <c r="Q264"/>
    </row>
    <row r="265" spans="8:17" x14ac:dyDescent="0.25">
      <c r="M265"/>
      <c r="N265"/>
      <c r="O265"/>
      <c r="P265"/>
      <c r="Q265"/>
    </row>
    <row r="266" spans="8:17" x14ac:dyDescent="0.25">
      <c r="M266"/>
      <c r="N266"/>
      <c r="O266"/>
      <c r="P266"/>
      <c r="Q266"/>
    </row>
    <row r="267" spans="8:17" x14ac:dyDescent="0.25">
      <c r="M267"/>
      <c r="N267"/>
      <c r="O267"/>
      <c r="P267"/>
      <c r="Q267"/>
    </row>
    <row r="268" spans="8:17" x14ac:dyDescent="0.25">
      <c r="M268"/>
      <c r="N268"/>
      <c r="O268"/>
      <c r="P268"/>
      <c r="Q268"/>
    </row>
    <row r="269" spans="8:17" x14ac:dyDescent="0.25">
      <c r="M269"/>
      <c r="N269"/>
      <c r="O269"/>
      <c r="P269"/>
      <c r="Q269"/>
    </row>
    <row r="270" spans="8:17" x14ac:dyDescent="0.25">
      <c r="M270"/>
      <c r="N270"/>
      <c r="O270"/>
      <c r="P270"/>
      <c r="Q270"/>
    </row>
    <row r="271" spans="8:17" x14ac:dyDescent="0.25">
      <c r="M271"/>
      <c r="N271"/>
      <c r="O271"/>
      <c r="P271"/>
      <c r="Q271"/>
    </row>
    <row r="272" spans="8:17" x14ac:dyDescent="0.25">
      <c r="M272"/>
      <c r="N272"/>
      <c r="O272"/>
      <c r="P272"/>
      <c r="Q272"/>
    </row>
    <row r="273" spans="13:17" x14ac:dyDescent="0.25">
      <c r="M273"/>
      <c r="N273"/>
      <c r="O273"/>
      <c r="P273"/>
      <c r="Q273"/>
    </row>
    <row r="274" spans="13:17" x14ac:dyDescent="0.25">
      <c r="M274"/>
      <c r="N274"/>
      <c r="O274"/>
      <c r="P274"/>
      <c r="Q274"/>
    </row>
    <row r="275" spans="13:17" x14ac:dyDescent="0.25">
      <c r="M275"/>
      <c r="N275"/>
      <c r="O275"/>
      <c r="P275"/>
      <c r="Q275"/>
    </row>
    <row r="276" spans="13:17" x14ac:dyDescent="0.25">
      <c r="M276"/>
      <c r="N276"/>
      <c r="O276"/>
      <c r="P276"/>
      <c r="Q276"/>
    </row>
    <row r="277" spans="13:17" x14ac:dyDescent="0.25">
      <c r="M277"/>
      <c r="N277"/>
      <c r="O277"/>
      <c r="P277"/>
      <c r="Q277"/>
    </row>
    <row r="278" spans="13:17" x14ac:dyDescent="0.25">
      <c r="M278"/>
      <c r="N278"/>
      <c r="O278"/>
      <c r="P278"/>
      <c r="Q278"/>
    </row>
    <row r="279" spans="13:17" x14ac:dyDescent="0.25">
      <c r="M279"/>
      <c r="N279"/>
      <c r="O279"/>
      <c r="P279"/>
      <c r="Q279"/>
    </row>
    <row r="280" spans="13:17" x14ac:dyDescent="0.25">
      <c r="M280"/>
      <c r="N280"/>
      <c r="O280"/>
      <c r="P280"/>
      <c r="Q280"/>
    </row>
    <row r="281" spans="13:17" x14ac:dyDescent="0.25">
      <c r="M281"/>
      <c r="N281"/>
      <c r="O281"/>
      <c r="P281"/>
      <c r="Q281"/>
    </row>
    <row r="282" spans="13:17" x14ac:dyDescent="0.25">
      <c r="M282"/>
      <c r="N282"/>
      <c r="O282"/>
      <c r="P282"/>
      <c r="Q282"/>
    </row>
  </sheetData>
  <mergeCells count="5">
    <mergeCell ref="B2:F9"/>
    <mergeCell ref="H2:K2"/>
    <mergeCell ref="M2:N5"/>
    <mergeCell ref="O2:S5"/>
    <mergeCell ref="B11:F13"/>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colorChecker</vt:lpstr>
      <vt:lpstr>(gamma)</vt:lpstr>
      <vt:lpstr>stepChart</vt:lpstr>
      <vt:lpstr>LSB</vt:lpstr>
      <vt:lpstr>(gamma)_2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TrevorEChen(陳恩)</dc:creator>
  <cp:lastModifiedBy>TrevorEChen(陳恩)</cp:lastModifiedBy>
  <dcterms:created xsi:type="dcterms:W3CDTF">2022-10-25T01:46:09Z</dcterms:created>
  <dcterms:modified xsi:type="dcterms:W3CDTF">2023-08-10T09:17:56Z</dcterms:modified>
</cp:coreProperties>
</file>