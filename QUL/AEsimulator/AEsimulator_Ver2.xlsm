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UL\AEsimulator\"/>
    </mc:Choice>
  </mc:AlternateContent>
  <xr:revisionPtr revIDLastSave="0" documentId="13_ncr:1_{16BCB601-794E-4A07-8CB0-35B61E596535}" xr6:coauthVersionLast="47" xr6:coauthVersionMax="47" xr10:uidLastSave="{00000000-0000-0000-0000-000000000000}"/>
  <bookViews>
    <workbookView xWindow="-108" yWindow="-108" windowWidth="23256" windowHeight="12456" activeTab="2"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73" i="6"/>
  <c r="D29" i="6" s="1"/>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<sst xmlns="http://schemas.openxmlformats.org/spreadsheetml/2006/main" count="221" uniqueCount="64">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</sst>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zoomScaleNormal="100" workbookViewId="0">
      <selection activeCell="B2" sqref="B2:N6"/>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0" t="s">
        <v>24</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E7"/>
      <c r="F7"/>
      <c r="G7"/>
      <c r="H7"/>
      <c r="I7"/>
      <c r="K7" s="1"/>
    </row>
    <row r="8" spans="1:14" ht="16.5" customHeight="1" x14ac:dyDescent="0.3">
      <c r="A8" s="1"/>
      <c r="B8" s="101" t="s">
        <v>25</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ht="18.75" customHeight="1" x14ac:dyDescent="0.3">
      <c r="A11" s="1"/>
      <c r="B11" s="17"/>
      <c r="C11" s="17"/>
      <c r="D11" s="4"/>
      <c r="E11" s="4"/>
      <c r="F11" s="4"/>
      <c r="G11" s="4"/>
      <c r="H11" s="4"/>
      <c r="I11" s="4"/>
      <c r="J11" s="4"/>
      <c r="K11" s="4"/>
      <c r="L11" s="4"/>
      <c r="M11" s="4"/>
      <c r="N11" s="4"/>
    </row>
    <row r="12" spans="1:14" x14ac:dyDescent="0.3">
      <c r="H12" s="99" t="s">
        <v>3</v>
      </c>
      <c r="I12" s="99"/>
      <c r="J12" s="99"/>
      <c r="K12" s="1"/>
      <c r="L12" s="99" t="s">
        <v>19</v>
      </c>
      <c r="M12" s="99"/>
      <c r="N12" s="99"/>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99"/>
      <c r="C14" s="99"/>
      <c r="D14" s="1">
        <v>255</v>
      </c>
      <c r="E14" s="1">
        <v>255</v>
      </c>
      <c r="F14" s="1">
        <f>D14-E14</f>
        <v>0</v>
      </c>
      <c r="G14"/>
      <c r="H14" s="99">
        <v>0</v>
      </c>
      <c r="I14" s="1">
        <v>132</v>
      </c>
      <c r="J14" s="1">
        <f>'(gamma)'!F16</f>
        <v>61</v>
      </c>
      <c r="K14" s="1"/>
      <c r="L14" s="64">
        <f>H14*N14/J14</f>
        <v>0</v>
      </c>
      <c r="M14" s="1">
        <f>E14</f>
        <v>255</v>
      </c>
      <c r="N14" s="1">
        <f>'(gamma)'!D16</f>
        <v>254</v>
      </c>
    </row>
    <row r="15" spans="1:14" x14ac:dyDescent="0.3">
      <c r="B15" s="99"/>
      <c r="C15" s="99"/>
      <c r="D15" s="1">
        <v>255</v>
      </c>
      <c r="E15" s="1">
        <v>255</v>
      </c>
      <c r="F15" s="1">
        <f>D15-E15</f>
        <v>0</v>
      </c>
      <c r="G15"/>
      <c r="H15" s="99"/>
      <c r="I15" s="1">
        <v>220</v>
      </c>
      <c r="J15" s="1">
        <f>'(gamma)'!F17</f>
        <v>174</v>
      </c>
      <c r="K15" s="1"/>
      <c r="L15" s="64">
        <f>H14*N15/J15</f>
        <v>0</v>
      </c>
      <c r="M15" s="1">
        <f>E15</f>
        <v>255</v>
      </c>
      <c r="N15" s="1">
        <f>'(gamma)'!D17</f>
        <v>254</v>
      </c>
    </row>
    <row r="16" spans="1:14" x14ac:dyDescent="0.3">
      <c r="B16" s="1"/>
      <c r="C16" s="1"/>
      <c r="D16" s="1"/>
      <c r="G16"/>
      <c r="H16"/>
      <c r="I16"/>
      <c r="J16"/>
      <c r="N16"/>
    </row>
    <row r="17" spans="2:14" x14ac:dyDescent="0.3">
      <c r="H17" s="99" t="s">
        <v>3</v>
      </c>
      <c r="I17" s="99"/>
      <c r="J17" s="99"/>
      <c r="K17" s="1"/>
      <c r="L17" s="99" t="s">
        <v>19</v>
      </c>
      <c r="M17" s="99"/>
      <c r="N17" s="99"/>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99"/>
      <c r="C19" s="99"/>
      <c r="D19" s="1"/>
      <c r="F19" s="1">
        <f>D19-E19</f>
        <v>0</v>
      </c>
      <c r="G19"/>
      <c r="H19" s="99"/>
      <c r="J19" s="1">
        <f>'(gamma)'!F18</f>
        <v>0</v>
      </c>
      <c r="K19" s="1"/>
      <c r="L19" s="64" t="e">
        <f>H19*N19/J19</f>
        <v>#DIV/0!</v>
      </c>
      <c r="M19" s="1">
        <f>E19</f>
        <v>0</v>
      </c>
      <c r="N19" s="1">
        <f>'(gamma)'!D18</f>
        <v>0</v>
      </c>
    </row>
    <row r="20" spans="2:14" x14ac:dyDescent="0.3">
      <c r="B20" s="99"/>
      <c r="C20" s="99"/>
      <c r="D20" s="1"/>
      <c r="F20" s="1">
        <f>D20-E20</f>
        <v>0</v>
      </c>
      <c r="G20"/>
      <c r="H20" s="99"/>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99" t="s">
        <v>3</v>
      </c>
      <c r="I22" s="99"/>
      <c r="J22" s="99"/>
      <c r="K22" s="1"/>
      <c r="L22" s="99" t="s">
        <v>19</v>
      </c>
      <c r="M22" s="99"/>
      <c r="N22" s="99"/>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99"/>
      <c r="C24" s="99"/>
      <c r="D24" s="1"/>
      <c r="F24" s="1">
        <f>D24-E24</f>
        <v>0</v>
      </c>
      <c r="G24"/>
      <c r="H24" s="99"/>
      <c r="J24" s="1">
        <f>'(gamma)'!F20</f>
        <v>0</v>
      </c>
      <c r="K24" s="1"/>
      <c r="L24" s="64" t="e">
        <f>H24*N24/J24</f>
        <v>#DIV/0!</v>
      </c>
      <c r="M24" s="1">
        <f>E24</f>
        <v>0</v>
      </c>
      <c r="N24" s="1">
        <f>'(gamma)'!D20</f>
        <v>0</v>
      </c>
    </row>
    <row r="25" spans="2:14" x14ac:dyDescent="0.3">
      <c r="B25" s="99"/>
      <c r="C25" s="99"/>
      <c r="D25" s="1"/>
      <c r="F25" s="1">
        <f>D25-E25</f>
        <v>0</v>
      </c>
      <c r="G25"/>
      <c r="H25" s="99"/>
      <c r="J25" s="1">
        <f>'(gamma)'!F21</f>
        <v>0</v>
      </c>
      <c r="K25" s="1"/>
      <c r="L25" s="64" t="e">
        <f>H24*N25/J25</f>
        <v>#DIV/0!</v>
      </c>
      <c r="M25" s="1">
        <f>E25</f>
        <v>0</v>
      </c>
      <c r="N25" s="1">
        <f>'(gamma)'!D21</f>
        <v>0</v>
      </c>
    </row>
    <row r="27" spans="2:14" x14ac:dyDescent="0.3">
      <c r="C27" s="19"/>
      <c r="E27"/>
      <c r="H27" s="99" t="s">
        <v>3</v>
      </c>
      <c r="I27" s="99"/>
      <c r="J27" s="99"/>
      <c r="K27" s="1"/>
      <c r="L27" s="99" t="s">
        <v>19</v>
      </c>
      <c r="M27" s="99"/>
      <c r="N27" s="99"/>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99"/>
      <c r="C29" s="99"/>
      <c r="D29" s="1"/>
      <c r="F29" s="1">
        <f>D29-E29</f>
        <v>0</v>
      </c>
      <c r="G29"/>
      <c r="H29" s="99"/>
      <c r="J29" s="1">
        <f>'(gamma)'!F22</f>
        <v>0</v>
      </c>
      <c r="K29" s="1"/>
      <c r="L29" s="64" t="e">
        <f>H29*N29/J29</f>
        <v>#DIV/0!</v>
      </c>
      <c r="M29" s="1">
        <f>E29</f>
        <v>0</v>
      </c>
      <c r="N29" s="1">
        <f>'(gamma)'!D22</f>
        <v>0</v>
      </c>
    </row>
    <row r="30" spans="2:14" x14ac:dyDescent="0.3">
      <c r="B30" s="99"/>
      <c r="C30" s="99"/>
      <c r="D30" s="1"/>
      <c r="F30" s="1">
        <f>D30-E30</f>
        <v>0</v>
      </c>
      <c r="G30"/>
      <c r="H30" s="99"/>
      <c r="J30" s="1">
        <f>'(gamma)'!F23</f>
        <v>0</v>
      </c>
      <c r="K30" s="1"/>
      <c r="L30" s="64" t="e">
        <f>H29*N30/J30</f>
        <v>#DIV/0!</v>
      </c>
      <c r="M30" s="1">
        <f>E30</f>
        <v>0</v>
      </c>
      <c r="N30" s="1">
        <f>'(gamma)'!D23</f>
        <v>0</v>
      </c>
    </row>
    <row r="32" spans="2:14" x14ac:dyDescent="0.3">
      <c r="C32" s="19"/>
      <c r="E32"/>
      <c r="H32" s="99" t="s">
        <v>3</v>
      </c>
      <c r="I32" s="99"/>
      <c r="J32" s="99"/>
      <c r="K32" s="1"/>
      <c r="L32" s="99" t="s">
        <v>19</v>
      </c>
      <c r="M32" s="99"/>
      <c r="N32" s="99"/>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99"/>
      <c r="C34" s="99"/>
      <c r="D34" s="1"/>
      <c r="F34" s="1">
        <f>D34-E34</f>
        <v>0</v>
      </c>
      <c r="G34"/>
      <c r="H34" s="99"/>
      <c r="J34" s="1">
        <f>'(gamma)'!F24</f>
        <v>0</v>
      </c>
      <c r="K34" s="1"/>
      <c r="L34" s="64" t="e">
        <f>H34*N34/J34</f>
        <v>#DIV/0!</v>
      </c>
      <c r="M34" s="1">
        <f>E34</f>
        <v>0</v>
      </c>
      <c r="N34" s="1">
        <f>'(gamma)'!D24</f>
        <v>0</v>
      </c>
    </row>
    <row r="35" spans="2:14" x14ac:dyDescent="0.3">
      <c r="B35" s="99"/>
      <c r="C35" s="99"/>
      <c r="D35" s="1"/>
      <c r="F35" s="1">
        <f>D35-E35</f>
        <v>0</v>
      </c>
      <c r="G35"/>
      <c r="H35" s="99"/>
      <c r="J35" s="1">
        <f>'(gamma)'!F25</f>
        <v>0</v>
      </c>
      <c r="K35" s="1"/>
      <c r="L35" s="64" t="e">
        <f>H35*N35/J35</f>
        <v>#DIV/0!</v>
      </c>
      <c r="M35" s="1">
        <f>E35</f>
        <v>0</v>
      </c>
      <c r="N35" s="1">
        <f>'(gamma)'!D25</f>
        <v>0</v>
      </c>
    </row>
    <row r="37" spans="2:14" x14ac:dyDescent="0.3">
      <c r="C37" s="19"/>
      <c r="E37"/>
      <c r="H37" s="99" t="s">
        <v>3</v>
      </c>
      <c r="I37" s="99"/>
      <c r="J37" s="99"/>
      <c r="K37" s="1"/>
      <c r="L37" s="99" t="s">
        <v>19</v>
      </c>
      <c r="M37" s="99"/>
      <c r="N37" s="99"/>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99"/>
      <c r="C39" s="99"/>
      <c r="D39" s="1"/>
      <c r="F39" s="1">
        <f>D39-E39</f>
        <v>0</v>
      </c>
      <c r="G39"/>
      <c r="H39" s="99"/>
      <c r="J39" s="1">
        <f>'(gamma)'!F26</f>
        <v>0</v>
      </c>
      <c r="K39" s="1"/>
      <c r="L39" s="64" t="e">
        <f>H39*N39/J39</f>
        <v>#DIV/0!</v>
      </c>
      <c r="M39" s="1">
        <f>E39</f>
        <v>0</v>
      </c>
      <c r="N39" s="1">
        <f>'(gamma)'!D26</f>
        <v>0</v>
      </c>
    </row>
    <row r="40" spans="2:14" x14ac:dyDescent="0.3">
      <c r="B40" s="99"/>
      <c r="C40" s="99"/>
      <c r="F40" s="1">
        <f>D40-E40</f>
        <v>0</v>
      </c>
      <c r="H40" s="99"/>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3">
      <c r="B3" s="100"/>
      <c r="C3" s="100"/>
      <c r="D3" s="100"/>
      <c r="E3" s="100"/>
      <c r="F3" s="100"/>
      <c r="H3" s="7" t="s">
        <v>14</v>
      </c>
      <c r="I3" s="1" t="s">
        <v>15</v>
      </c>
      <c r="J3" s="1" t="s">
        <v>14</v>
      </c>
      <c r="K3" s="1" t="s">
        <v>16</v>
      </c>
      <c r="M3" s="114"/>
      <c r="N3" s="113"/>
      <c r="O3" s="105"/>
      <c r="P3" s="106"/>
      <c r="Q3" s="106"/>
      <c r="R3" s="106"/>
      <c r="S3" s="107"/>
      <c r="T3"/>
      <c r="Y3"/>
    </row>
    <row r="4" spans="2:27" ht="16.5" customHeight="1" x14ac:dyDescent="0.3">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5" t="s">
        <v>23</v>
      </c>
      <c r="C11" s="116"/>
      <c r="D11" s="116"/>
      <c r="E11" s="116"/>
      <c r="F11" s="116"/>
      <c r="H11" s="8">
        <f t="shared" si="0"/>
        <v>23</v>
      </c>
      <c r="I11" s="1">
        <v>7</v>
      </c>
      <c r="J11" s="1">
        <f t="shared" si="1"/>
        <v>23</v>
      </c>
      <c r="K11" s="1">
        <f t="shared" si="2"/>
        <v>3.5</v>
      </c>
    </row>
    <row r="12" spans="2:27" x14ac:dyDescent="0.3">
      <c r="B12" s="116"/>
      <c r="C12" s="116"/>
      <c r="D12" s="116"/>
      <c r="E12" s="116"/>
      <c r="F12" s="116"/>
      <c r="H12" s="8">
        <f t="shared" si="0"/>
        <v>26.5</v>
      </c>
      <c r="I12" s="1">
        <v>8</v>
      </c>
      <c r="J12" s="1">
        <f t="shared" si="1"/>
        <v>26.5</v>
      </c>
      <c r="K12" s="1">
        <f t="shared" si="2"/>
        <v>3.5</v>
      </c>
    </row>
    <row r="13" spans="2:27" x14ac:dyDescent="0.3">
      <c r="B13" s="116"/>
      <c r="C13" s="116"/>
      <c r="D13" s="116"/>
      <c r="E13" s="116"/>
      <c r="F13" s="116"/>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99">
        <f>colorChecker!B14</f>
        <v>0</v>
      </c>
      <c r="C16" s="1">
        <f>colorChecker!E14</f>
        <v>255</v>
      </c>
      <c r="D16" s="6">
        <f t="shared" ref="D16:D25" si="3">((F30-E30)*C16)/(D30-C30)+E30-(C30*((F30-E30)/(D30-C30)))</f>
        <v>254</v>
      </c>
      <c r="E16" s="1">
        <f>colorChecker!I14</f>
        <v>132</v>
      </c>
      <c r="F16" s="16">
        <f t="shared" ref="F16:F27" si="4">((F44-E44)*E16)/(D44-C44)+E44-(C44*((F44-E44)/(D44-C44)))</f>
        <v>61</v>
      </c>
      <c r="H16" s="8">
        <f t="shared" si="0"/>
        <v>39.75</v>
      </c>
      <c r="I16" s="1">
        <v>12</v>
      </c>
      <c r="J16" s="1">
        <f t="shared" si="1"/>
        <v>39.75</v>
      </c>
      <c r="K16" s="1">
        <f t="shared" si="2"/>
        <v>3</v>
      </c>
    </row>
    <row r="17" spans="2:18" x14ac:dyDescent="0.3">
      <c r="B17" s="99"/>
      <c r="C17" s="1">
        <f>colorChecker!E15</f>
        <v>255</v>
      </c>
      <c r="D17" s="6">
        <f t="shared" si="3"/>
        <v>254</v>
      </c>
      <c r="E17" s="1">
        <f>colorChecker!I15</f>
        <v>220</v>
      </c>
      <c r="F17" s="16">
        <f t="shared" si="4"/>
        <v>174</v>
      </c>
      <c r="H17" s="8">
        <f t="shared" si="0"/>
        <v>42.75</v>
      </c>
      <c r="I17" s="1">
        <v>13</v>
      </c>
      <c r="J17" s="1">
        <f t="shared" si="1"/>
        <v>42.75</v>
      </c>
      <c r="K17" s="1">
        <f t="shared" si="2"/>
        <v>3</v>
      </c>
    </row>
    <row r="18" spans="2:18" x14ac:dyDescent="0.3">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255</v>
      </c>
      <c r="D30" s="1">
        <f t="shared" si="5"/>
        <v>255.5</v>
      </c>
      <c r="E30" s="1">
        <f t="shared" ref="E30:E39" si="6">VLOOKUP(ROUNDUP(C16,1),$H$4:$I$260,2,TRUE)</f>
        <v>254</v>
      </c>
      <c r="F30" s="1">
        <f t="shared" ref="F30:F39" si="7">VLOOKUP(ROUNDUP(C16,1),$H$4:$I$260,2,TRUE)+1</f>
        <v>255</v>
      </c>
      <c r="H30" s="8">
        <f t="shared" si="0"/>
        <v>76.25</v>
      </c>
      <c r="I30" s="1">
        <v>26</v>
      </c>
      <c r="J30" s="1">
        <f t="shared" si="1"/>
        <v>76.25</v>
      </c>
      <c r="K30" s="1">
        <f t="shared" si="2"/>
        <v>2</v>
      </c>
      <c r="M30"/>
      <c r="N30"/>
      <c r="O30"/>
      <c r="P30"/>
      <c r="Q30"/>
      <c r="R30"/>
    </row>
    <row r="31" spans="2:18" x14ac:dyDescent="0.3">
      <c r="B31" s="1">
        <v>2</v>
      </c>
      <c r="C31" s="1">
        <f t="shared" si="5"/>
        <v>255</v>
      </c>
      <c r="D31" s="1">
        <f t="shared" si="5"/>
        <v>255.5</v>
      </c>
      <c r="E31" s="1">
        <f t="shared" si="6"/>
        <v>254</v>
      </c>
      <c r="F31" s="1">
        <f t="shared" si="7"/>
        <v>255</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132</v>
      </c>
      <c r="D44" s="9">
        <f t="shared" si="9"/>
        <v>133.5</v>
      </c>
      <c r="E44" s="9">
        <f t="shared" ref="E44:E49" si="10">VLOOKUP(ROUNDUP(E16,1),$H$4:$I$260,2,TRUE)</f>
        <v>61</v>
      </c>
      <c r="F44" s="9">
        <f t="shared" ref="F44:F49" si="11">VLOOKUP(ROUNDUP(E16,1),$H$4:$I$260,2,TRUE)+1</f>
        <v>62</v>
      </c>
      <c r="H44" s="8">
        <f t="shared" si="0"/>
        <v>101.5</v>
      </c>
      <c r="I44" s="1">
        <v>40</v>
      </c>
      <c r="J44" s="1">
        <f t="shared" si="1"/>
        <v>101.5</v>
      </c>
      <c r="K44" s="1">
        <f t="shared" si="2"/>
        <v>1.5</v>
      </c>
      <c r="M44"/>
      <c r="N44"/>
      <c r="O44"/>
      <c r="P44"/>
      <c r="Q44"/>
      <c r="R44"/>
    </row>
    <row r="45" spans="2:18" x14ac:dyDescent="0.3">
      <c r="B45" s="1">
        <v>2</v>
      </c>
      <c r="C45" s="9">
        <f t="shared" si="9"/>
        <v>220</v>
      </c>
      <c r="D45" s="9">
        <f t="shared" si="9"/>
        <v>220.5</v>
      </c>
      <c r="E45" s="9">
        <f t="shared" si="10"/>
        <v>174</v>
      </c>
      <c r="F45" s="9">
        <f t="shared" si="11"/>
        <v>175</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tabSelected="1" topLeftCell="A7" zoomScaleNormal="100" workbookViewId="0">
      <selection activeCell="B2" sqref="B2:J6"/>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0" t="s">
        <v>42</v>
      </c>
      <c r="C2" s="113"/>
      <c r="D2" s="113"/>
      <c r="E2" s="113"/>
      <c r="F2" s="113"/>
      <c r="G2" s="113"/>
      <c r="H2" s="113"/>
      <c r="I2" s="113"/>
      <c r="J2" s="113"/>
      <c r="K2" s="114" t="s">
        <v>1</v>
      </c>
      <c r="M2" s="145" t="s">
        <v>26</v>
      </c>
      <c r="N2" s="113"/>
      <c r="O2" s="113"/>
      <c r="P2" s="131" t="s">
        <v>27</v>
      </c>
      <c r="Q2"/>
      <c r="R2" s="112" t="s">
        <v>7</v>
      </c>
      <c r="S2" s="113"/>
      <c r="T2" s="132" t="s">
        <v>17</v>
      </c>
      <c r="U2" s="133"/>
      <c r="V2" s="133"/>
      <c r="W2" s="133"/>
      <c r="X2" s="134"/>
      <c r="Y2" s="124"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5"/>
      <c r="AA2" s="125"/>
      <c r="AB2" s="125"/>
      <c r="AC2" s="125"/>
      <c r="AE2"/>
    </row>
    <row r="3" spans="1:31" x14ac:dyDescent="0.3">
      <c r="B3" s="113"/>
      <c r="C3" s="113"/>
      <c r="D3" s="113"/>
      <c r="E3" s="113"/>
      <c r="F3" s="113"/>
      <c r="G3" s="113"/>
      <c r="H3" s="113"/>
      <c r="I3" s="113"/>
      <c r="J3" s="113"/>
      <c r="K3" s="126"/>
      <c r="M3" s="113"/>
      <c r="N3" s="113"/>
      <c r="O3" s="113"/>
      <c r="P3" s="131"/>
      <c r="Q3"/>
      <c r="R3" s="114"/>
      <c r="S3" s="113"/>
      <c r="T3" s="135"/>
      <c r="U3" s="136"/>
      <c r="V3" s="136"/>
      <c r="W3" s="136"/>
      <c r="X3" s="137"/>
      <c r="Y3" s="125"/>
      <c r="Z3" s="125"/>
      <c r="AA3" s="125"/>
      <c r="AB3" s="125"/>
      <c r="AC3" s="125"/>
      <c r="AE3"/>
    </row>
    <row r="4" spans="1:31" x14ac:dyDescent="0.3">
      <c r="B4" s="113"/>
      <c r="C4" s="113"/>
      <c r="D4" s="113"/>
      <c r="E4" s="113"/>
      <c r="F4" s="113"/>
      <c r="G4" s="113"/>
      <c r="H4" s="113"/>
      <c r="I4" s="113"/>
      <c r="J4" s="113"/>
      <c r="K4" s="126"/>
      <c r="M4" s="113"/>
      <c r="N4" s="113"/>
      <c r="O4" s="113"/>
      <c r="P4" s="131"/>
      <c r="Q4"/>
      <c r="R4" s="114"/>
      <c r="S4" s="113"/>
      <c r="T4" s="135"/>
      <c r="U4" s="136"/>
      <c r="V4" s="136"/>
      <c r="W4" s="136"/>
      <c r="X4" s="137"/>
      <c r="Y4" s="125"/>
      <c r="Z4" s="125"/>
      <c r="AA4" s="125"/>
      <c r="AB4" s="125"/>
      <c r="AC4" s="125"/>
      <c r="AE4"/>
    </row>
    <row r="5" spans="1:31" x14ac:dyDescent="0.3">
      <c r="B5" s="113"/>
      <c r="C5" s="113"/>
      <c r="D5" s="113"/>
      <c r="E5" s="113"/>
      <c r="F5" s="113"/>
      <c r="G5" s="113"/>
      <c r="H5" s="113"/>
      <c r="I5" s="113"/>
      <c r="J5" s="113"/>
      <c r="K5" s="126"/>
      <c r="M5" s="113"/>
      <c r="N5" s="113"/>
      <c r="O5" s="113"/>
      <c r="P5" s="131"/>
      <c r="Q5"/>
      <c r="R5" s="114"/>
      <c r="S5" s="113"/>
      <c r="T5" s="138"/>
      <c r="U5" s="139"/>
      <c r="V5" s="139"/>
      <c r="W5" s="139"/>
      <c r="X5" s="140"/>
      <c r="Y5" s="125"/>
      <c r="Z5" s="125"/>
      <c r="AA5" s="125"/>
      <c r="AB5" s="125"/>
      <c r="AC5" s="125"/>
      <c r="AE5"/>
    </row>
    <row r="6" spans="1:31" x14ac:dyDescent="0.3">
      <c r="B6" s="113"/>
      <c r="C6" s="113"/>
      <c r="D6" s="113"/>
      <c r="E6" s="113"/>
      <c r="F6" s="113"/>
      <c r="G6" s="113"/>
      <c r="H6" s="113"/>
      <c r="I6" s="113"/>
      <c r="J6" s="113"/>
      <c r="K6" s="126"/>
      <c r="M6" s="127" t="s">
        <v>28</v>
      </c>
      <c r="N6" s="128"/>
      <c r="O6" s="81">
        <f>AVERAGE(M12:M31)</f>
        <v>141.0455</v>
      </c>
      <c r="P6" s="82">
        <f>AVERAGE(N12:N31)</f>
        <v>141.0455</v>
      </c>
      <c r="Q6"/>
      <c r="R6"/>
    </row>
    <row r="7" spans="1:31" x14ac:dyDescent="0.3">
      <c r="B7"/>
      <c r="C7"/>
      <c r="D7"/>
      <c r="E7"/>
      <c r="F7"/>
      <c r="G7"/>
      <c r="H7"/>
      <c r="I7"/>
      <c r="J7"/>
      <c r="K7"/>
      <c r="M7" s="129" t="s">
        <v>29</v>
      </c>
      <c r="N7" s="130"/>
      <c r="O7" s="81">
        <f>AVERAGE(M12:M15)</f>
        <v>133.63</v>
      </c>
      <c r="P7" s="81">
        <f>AVERAGE(N12:N15)</f>
        <v>133.63</v>
      </c>
      <c r="Q7"/>
      <c r="R7"/>
    </row>
    <row r="8" spans="1:31" ht="16.5" customHeight="1" x14ac:dyDescent="0.3">
      <c r="B8" s="141" t="s">
        <v>30</v>
      </c>
      <c r="C8" s="146" t="s">
        <v>44</v>
      </c>
      <c r="D8" s="146"/>
      <c r="E8" s="146"/>
      <c r="F8" s="146"/>
      <c r="G8" s="146"/>
      <c r="H8" s="146"/>
      <c r="I8" s="146"/>
      <c r="J8" s="147" t="s">
        <v>63</v>
      </c>
      <c r="K8" s="147"/>
      <c r="M8" s="129" t="s">
        <v>31</v>
      </c>
      <c r="N8" s="130"/>
      <c r="O8" s="81">
        <f>AVERAGE(M16:M31)</f>
        <v>142.89937499999996</v>
      </c>
      <c r="P8" s="81">
        <f>AVERAGE(N16:N31)</f>
        <v>142.89937499999996</v>
      </c>
      <c r="Q8"/>
      <c r="R8"/>
    </row>
    <row r="9" spans="1:31" x14ac:dyDescent="0.3">
      <c r="B9" s="142"/>
      <c r="C9" s="146"/>
      <c r="D9" s="146"/>
      <c r="E9" s="146"/>
      <c r="F9" s="146"/>
      <c r="G9" s="146"/>
      <c r="H9" s="146"/>
      <c r="I9" s="146"/>
      <c r="J9" s="126">
        <v>4</v>
      </c>
      <c r="K9" s="126"/>
      <c r="M9" s="143" t="s">
        <v>32</v>
      </c>
      <c r="N9" s="144"/>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v>79.84</v>
      </c>
      <c r="C12" s="79">
        <v>134.34</v>
      </c>
      <c r="D12" s="16">
        <f t="shared" ref="D12:D31" si="0">((K56-J56)*I56)/(I56-C56)+J56-(C56*((K56-J56)/(I56-C56)))</f>
        <v>63</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134.34</v>
      </c>
      <c r="N12" s="80">
        <f t="shared" ref="N12:N31" si="4">ABS(K12-C12)</f>
        <v>134.34</v>
      </c>
      <c r="O12" s="79">
        <f t="shared" ref="O12:O31" si="5">ABS(B12-C12)</f>
        <v>54.5</v>
      </c>
      <c r="P12" s="80" t="s">
        <v>46</v>
      </c>
    </row>
    <row r="13" spans="1:31" x14ac:dyDescent="0.3">
      <c r="A13" s="1">
        <v>1</v>
      </c>
      <c r="B13" s="79">
        <v>74.41</v>
      </c>
      <c r="C13" s="79">
        <v>134.12</v>
      </c>
      <c r="D13" s="16">
        <f t="shared" si="0"/>
        <v>63</v>
      </c>
      <c r="E13" s="36"/>
      <c r="F13" s="52"/>
      <c r="G13" s="67"/>
      <c r="H13" s="36"/>
      <c r="I13" s="79"/>
      <c r="J13" s="6">
        <f t="shared" si="1"/>
        <v>0</v>
      </c>
      <c r="K13" s="84">
        <f t="shared" si="2"/>
        <v>0</v>
      </c>
      <c r="L13" s="3"/>
      <c r="M13" s="21">
        <f t="shared" si="3"/>
        <v>134.12</v>
      </c>
      <c r="N13" s="80">
        <f t="shared" si="4"/>
        <v>134.12</v>
      </c>
      <c r="O13" s="79">
        <f t="shared" si="5"/>
        <v>59.710000000000008</v>
      </c>
      <c r="P13" s="80" t="s">
        <v>46</v>
      </c>
    </row>
    <row r="14" spans="1:31" x14ac:dyDescent="0.3">
      <c r="A14" s="1">
        <v>2</v>
      </c>
      <c r="B14" s="79">
        <v>73.59</v>
      </c>
      <c r="C14" s="79">
        <v>133.13999999999999</v>
      </c>
      <c r="D14" s="16">
        <f t="shared" si="0"/>
        <v>62</v>
      </c>
      <c r="E14" s="37"/>
      <c r="F14" s="53"/>
      <c r="G14" s="68"/>
      <c r="H14" s="37"/>
      <c r="I14" s="79"/>
      <c r="J14" s="6">
        <f t="shared" si="1"/>
        <v>0</v>
      </c>
      <c r="K14" s="84">
        <f t="shared" si="2"/>
        <v>0</v>
      </c>
      <c r="L14" s="3"/>
      <c r="M14" s="21">
        <f t="shared" si="3"/>
        <v>133.13999999999999</v>
      </c>
      <c r="N14" s="80">
        <f t="shared" si="4"/>
        <v>133.13999999999999</v>
      </c>
      <c r="O14" s="79">
        <f t="shared" si="5"/>
        <v>59.549999999999983</v>
      </c>
      <c r="P14" s="80" t="s">
        <v>47</v>
      </c>
    </row>
    <row r="15" spans="1:31" x14ac:dyDescent="0.3">
      <c r="A15" s="1">
        <v>3</v>
      </c>
      <c r="B15" s="79">
        <v>65.92</v>
      </c>
      <c r="C15" s="79">
        <v>132.91999999999999</v>
      </c>
      <c r="D15" s="16">
        <f t="shared" si="0"/>
        <v>62</v>
      </c>
      <c r="E15" s="38"/>
      <c r="F15" s="54"/>
      <c r="G15" s="69"/>
      <c r="H15" s="38"/>
      <c r="I15" s="79"/>
      <c r="J15" s="6">
        <f t="shared" si="1"/>
        <v>0</v>
      </c>
      <c r="K15" s="84">
        <f t="shared" si="2"/>
        <v>0</v>
      </c>
      <c r="L15" s="3"/>
      <c r="M15" s="21">
        <f t="shared" si="3"/>
        <v>132.91999999999999</v>
      </c>
      <c r="N15" s="80">
        <f t="shared" si="4"/>
        <v>132.91999999999999</v>
      </c>
      <c r="O15" s="79">
        <f t="shared" si="5"/>
        <v>66.999999999999986</v>
      </c>
      <c r="P15" s="80" t="s">
        <v>48</v>
      </c>
    </row>
    <row r="16" spans="1:31" x14ac:dyDescent="0.3">
      <c r="A16" s="1">
        <v>4</v>
      </c>
      <c r="B16" s="79">
        <v>135.66999999999999</v>
      </c>
      <c r="C16" s="79">
        <v>135.59</v>
      </c>
      <c r="D16" s="16">
        <f t="shared" si="0"/>
        <v>64.999999999999986</v>
      </c>
      <c r="E16" s="39"/>
      <c r="F16" s="55"/>
      <c r="G16" s="24"/>
      <c r="H16" s="39"/>
      <c r="I16" s="79"/>
      <c r="J16" s="6">
        <f t="shared" si="1"/>
        <v>0</v>
      </c>
      <c r="K16" s="84">
        <f t="shared" si="2"/>
        <v>0</v>
      </c>
      <c r="L16" s="3"/>
      <c r="M16" s="21">
        <f t="shared" si="3"/>
        <v>135.59</v>
      </c>
      <c r="N16" s="80">
        <f t="shared" si="4"/>
        <v>135.59</v>
      </c>
      <c r="O16" s="79">
        <f t="shared" si="5"/>
        <v>7.9999999999984084E-2</v>
      </c>
      <c r="P16" s="80" t="s">
        <v>48</v>
      </c>
    </row>
    <row r="17" spans="1:16" x14ac:dyDescent="0.3">
      <c r="A17" s="1">
        <v>5</v>
      </c>
      <c r="B17" s="79">
        <v>133.62</v>
      </c>
      <c r="C17" s="79">
        <v>136.72999999999999</v>
      </c>
      <c r="D17" s="16">
        <f t="shared" si="0"/>
        <v>64.999999999999986</v>
      </c>
      <c r="E17" s="40"/>
      <c r="F17" s="56"/>
      <c r="G17" s="65"/>
      <c r="H17" s="40"/>
      <c r="I17" s="79"/>
      <c r="J17" s="6">
        <f t="shared" si="1"/>
        <v>0</v>
      </c>
      <c r="K17" s="84">
        <f t="shared" si="2"/>
        <v>0</v>
      </c>
      <c r="L17" s="3"/>
      <c r="M17" s="21">
        <f t="shared" si="3"/>
        <v>136.72999999999999</v>
      </c>
      <c r="N17" s="80">
        <f t="shared" si="4"/>
        <v>136.72999999999999</v>
      </c>
      <c r="O17" s="79">
        <f t="shared" si="5"/>
        <v>3.1099999999999852</v>
      </c>
      <c r="P17" s="80" t="s">
        <v>48</v>
      </c>
    </row>
    <row r="18" spans="1:16" x14ac:dyDescent="0.3">
      <c r="A18" s="1">
        <v>6</v>
      </c>
      <c r="B18" s="79">
        <v>131.53</v>
      </c>
      <c r="C18" s="79">
        <v>137.30000000000001</v>
      </c>
      <c r="D18" s="16">
        <f t="shared" si="0"/>
        <v>66</v>
      </c>
      <c r="E18" s="41"/>
      <c r="F18" s="22"/>
      <c r="G18" s="70"/>
      <c r="H18" s="41"/>
      <c r="I18" s="79"/>
      <c r="J18" s="6">
        <f t="shared" si="1"/>
        <v>0</v>
      </c>
      <c r="K18" s="84">
        <f t="shared" si="2"/>
        <v>0</v>
      </c>
      <c r="L18" s="3"/>
      <c r="M18" s="21">
        <f t="shared" si="3"/>
        <v>137.30000000000001</v>
      </c>
      <c r="N18" s="80">
        <f t="shared" si="4"/>
        <v>137.30000000000001</v>
      </c>
      <c r="O18" s="79">
        <f t="shared" si="5"/>
        <v>5.7700000000000102</v>
      </c>
      <c r="P18" s="80" t="s">
        <v>48</v>
      </c>
    </row>
    <row r="19" spans="1:16" x14ac:dyDescent="0.3">
      <c r="A19" s="1" t="s">
        <v>50</v>
      </c>
      <c r="B19" s="79">
        <v>113.11</v>
      </c>
      <c r="C19" s="79">
        <v>136.79</v>
      </c>
      <c r="D19" s="16">
        <f t="shared" si="0"/>
        <v>64.999999999999986</v>
      </c>
      <c r="E19" s="42"/>
      <c r="F19" s="23"/>
      <c r="G19" s="71"/>
      <c r="H19" s="42"/>
      <c r="I19" s="79"/>
      <c r="J19" s="6">
        <f t="shared" si="1"/>
        <v>0</v>
      </c>
      <c r="K19" s="84">
        <f t="shared" si="2"/>
        <v>0</v>
      </c>
      <c r="L19" s="3"/>
      <c r="M19" s="21">
        <f t="shared" si="3"/>
        <v>136.79</v>
      </c>
      <c r="N19" s="80">
        <f t="shared" si="4"/>
        <v>136.79</v>
      </c>
      <c r="O19" s="79">
        <f t="shared" si="5"/>
        <v>23.679999999999993</v>
      </c>
      <c r="P19" s="80" t="s">
        <v>48</v>
      </c>
    </row>
    <row r="20" spans="1:16" x14ac:dyDescent="0.3">
      <c r="A20" s="1">
        <v>8</v>
      </c>
      <c r="B20" s="79">
        <v>112.79</v>
      </c>
      <c r="C20" s="79">
        <v>138.75</v>
      </c>
      <c r="D20" s="16">
        <f t="shared" si="0"/>
        <v>67</v>
      </c>
      <c r="E20" s="43"/>
      <c r="F20" s="57"/>
      <c r="G20" s="72"/>
      <c r="H20" s="43"/>
      <c r="I20" s="79"/>
      <c r="J20" s="6">
        <f t="shared" si="1"/>
        <v>0</v>
      </c>
      <c r="K20" s="84">
        <f t="shared" si="2"/>
        <v>0</v>
      </c>
      <c r="L20" s="3"/>
      <c r="M20" s="21">
        <f t="shared" si="3"/>
        <v>138.75</v>
      </c>
      <c r="N20" s="80">
        <f t="shared" si="4"/>
        <v>138.75</v>
      </c>
      <c r="O20" s="79">
        <f t="shared" si="5"/>
        <v>25.959999999999994</v>
      </c>
      <c r="P20" s="80" t="s">
        <v>47</v>
      </c>
    </row>
    <row r="21" spans="1:16" x14ac:dyDescent="0.3">
      <c r="A21" s="1">
        <v>9</v>
      </c>
      <c r="B21" s="79">
        <v>111.51</v>
      </c>
      <c r="C21" s="79">
        <v>140.22999999999999</v>
      </c>
      <c r="D21" s="16">
        <f t="shared" si="0"/>
        <v>68</v>
      </c>
      <c r="E21" s="44"/>
      <c r="F21" s="25"/>
      <c r="G21" s="73"/>
      <c r="H21" s="44"/>
      <c r="I21" s="79"/>
      <c r="J21" s="6">
        <f t="shared" si="1"/>
        <v>0</v>
      </c>
      <c r="K21" s="84">
        <f t="shared" si="2"/>
        <v>0</v>
      </c>
      <c r="L21" s="3"/>
      <c r="M21" s="21">
        <f t="shared" si="3"/>
        <v>140.22999999999999</v>
      </c>
      <c r="N21" s="80">
        <f t="shared" si="4"/>
        <v>140.22999999999999</v>
      </c>
      <c r="O21" s="79">
        <f t="shared" si="5"/>
        <v>28.719999999999985</v>
      </c>
      <c r="P21" s="80" t="s">
        <v>46</v>
      </c>
    </row>
    <row r="22" spans="1:16" x14ac:dyDescent="0.3">
      <c r="A22" s="1">
        <v>10</v>
      </c>
      <c r="B22" s="79">
        <v>81.27</v>
      </c>
      <c r="C22" s="79">
        <v>143.03</v>
      </c>
      <c r="D22" s="16">
        <f t="shared" si="0"/>
        <v>71</v>
      </c>
      <c r="E22" s="45"/>
      <c r="F22" s="26"/>
      <c r="G22" s="74"/>
      <c r="H22" s="45"/>
      <c r="I22" s="79"/>
      <c r="J22" s="6">
        <f t="shared" si="1"/>
        <v>0</v>
      </c>
      <c r="K22" s="84">
        <f t="shared" si="2"/>
        <v>0</v>
      </c>
      <c r="L22" s="3"/>
      <c r="M22" s="21">
        <f t="shared" si="3"/>
        <v>143.03</v>
      </c>
      <c r="N22" s="80">
        <f t="shared" si="4"/>
        <v>143.03</v>
      </c>
      <c r="O22" s="79">
        <f t="shared" si="5"/>
        <v>61.760000000000005</v>
      </c>
      <c r="P22" s="80" t="s">
        <v>46</v>
      </c>
    </row>
    <row r="23" spans="1:16" x14ac:dyDescent="0.3">
      <c r="A23" s="1">
        <v>11</v>
      </c>
      <c r="B23" s="79">
        <v>82.25</v>
      </c>
      <c r="C23" s="79">
        <v>151.41999999999999</v>
      </c>
      <c r="D23" s="16">
        <f t="shared" si="0"/>
        <v>79</v>
      </c>
      <c r="E23" s="46"/>
      <c r="F23" s="58"/>
      <c r="G23" s="26"/>
      <c r="H23" s="46"/>
      <c r="I23" s="79"/>
      <c r="J23" s="6">
        <f t="shared" si="1"/>
        <v>0</v>
      </c>
      <c r="K23" s="84">
        <f t="shared" si="2"/>
        <v>0</v>
      </c>
      <c r="L23" s="3"/>
      <c r="M23" s="21">
        <f t="shared" si="3"/>
        <v>151.41999999999999</v>
      </c>
      <c r="N23" s="80">
        <f t="shared" si="4"/>
        <v>151.41999999999999</v>
      </c>
      <c r="O23" s="79">
        <f t="shared" si="5"/>
        <v>69.169999999999987</v>
      </c>
      <c r="P23" s="80" t="s">
        <v>46</v>
      </c>
    </row>
    <row r="24" spans="1:16" x14ac:dyDescent="0.3">
      <c r="A24" s="1">
        <v>12</v>
      </c>
      <c r="B24" s="79">
        <v>81.75</v>
      </c>
      <c r="C24" s="79">
        <v>146.04</v>
      </c>
      <c r="D24" s="16">
        <f t="shared" si="0"/>
        <v>74</v>
      </c>
      <c r="E24" s="32"/>
      <c r="F24" s="27"/>
      <c r="G24" s="28"/>
      <c r="H24" s="32"/>
      <c r="I24" s="79"/>
      <c r="J24" s="6">
        <f t="shared" si="1"/>
        <v>0</v>
      </c>
      <c r="K24" s="84">
        <f t="shared" si="2"/>
        <v>0</v>
      </c>
      <c r="L24" s="3"/>
      <c r="M24" s="21">
        <f t="shared" si="3"/>
        <v>146.04</v>
      </c>
      <c r="N24" s="80">
        <f t="shared" si="4"/>
        <v>146.04</v>
      </c>
      <c r="O24" s="79">
        <f t="shared" si="5"/>
        <v>64.289999999999992</v>
      </c>
      <c r="P24" s="80" t="s">
        <v>46</v>
      </c>
    </row>
    <row r="25" spans="1:16" x14ac:dyDescent="0.3">
      <c r="A25" s="1">
        <v>13</v>
      </c>
      <c r="B25" s="79">
        <v>114.36</v>
      </c>
      <c r="C25" s="79">
        <v>146.08000000000001</v>
      </c>
      <c r="D25" s="16">
        <f t="shared" si="0"/>
        <v>74</v>
      </c>
      <c r="E25" s="47"/>
      <c r="F25" s="59"/>
      <c r="G25" s="63"/>
      <c r="H25" s="47"/>
      <c r="I25" s="79"/>
      <c r="J25" s="6">
        <f t="shared" si="1"/>
        <v>0</v>
      </c>
      <c r="K25" s="84">
        <f t="shared" si="2"/>
        <v>0</v>
      </c>
      <c r="L25" s="3"/>
      <c r="M25" s="21">
        <f t="shared" si="3"/>
        <v>146.08000000000001</v>
      </c>
      <c r="N25" s="80">
        <f t="shared" si="4"/>
        <v>146.08000000000001</v>
      </c>
      <c r="O25" s="79">
        <f t="shared" si="5"/>
        <v>31.720000000000013</v>
      </c>
      <c r="P25" s="80" t="s">
        <v>46</v>
      </c>
    </row>
    <row r="26" spans="1:16" x14ac:dyDescent="0.3">
      <c r="A26" s="1">
        <v>14</v>
      </c>
      <c r="B26" s="79">
        <v>122.34</v>
      </c>
      <c r="C26" s="79">
        <v>140.05000000000001</v>
      </c>
      <c r="D26" s="16">
        <f t="shared" si="0"/>
        <v>68</v>
      </c>
      <c r="E26" s="48"/>
      <c r="F26" s="31"/>
      <c r="G26" s="75"/>
      <c r="H26" s="48"/>
      <c r="I26" s="79"/>
      <c r="J26" s="6">
        <f t="shared" si="1"/>
        <v>0</v>
      </c>
      <c r="K26" s="84">
        <f t="shared" si="2"/>
        <v>0</v>
      </c>
      <c r="L26" s="3"/>
      <c r="M26" s="21">
        <f t="shared" si="3"/>
        <v>140.05000000000001</v>
      </c>
      <c r="N26" s="80">
        <f t="shared" si="4"/>
        <v>140.05000000000001</v>
      </c>
      <c r="O26" s="79">
        <f t="shared" si="5"/>
        <v>17.710000000000008</v>
      </c>
      <c r="P26" s="80" t="s">
        <v>46</v>
      </c>
    </row>
    <row r="27" spans="1:16" x14ac:dyDescent="0.3">
      <c r="A27" s="1">
        <v>15</v>
      </c>
      <c r="B27" s="79">
        <v>122.11</v>
      </c>
      <c r="C27" s="79">
        <v>146.6</v>
      </c>
      <c r="D27" s="16">
        <f t="shared" si="0"/>
        <v>74</v>
      </c>
      <c r="E27" s="29"/>
      <c r="F27" s="60"/>
      <c r="G27" s="29"/>
      <c r="H27" s="29"/>
      <c r="I27" s="79"/>
      <c r="J27" s="6">
        <f t="shared" si="1"/>
        <v>0</v>
      </c>
      <c r="K27" s="84">
        <f t="shared" si="2"/>
        <v>0</v>
      </c>
      <c r="L27" s="3"/>
      <c r="M27" s="21">
        <f t="shared" si="3"/>
        <v>146.6</v>
      </c>
      <c r="N27" s="80">
        <f t="shared" si="4"/>
        <v>146.6</v>
      </c>
      <c r="O27" s="79">
        <f t="shared" si="5"/>
        <v>24.489999999999995</v>
      </c>
      <c r="P27" s="80" t="s">
        <v>46</v>
      </c>
    </row>
    <row r="28" spans="1:16" x14ac:dyDescent="0.3">
      <c r="A28" s="1" t="s">
        <v>51</v>
      </c>
      <c r="B28" s="79">
        <v>125.06</v>
      </c>
      <c r="C28" s="79">
        <v>148.6</v>
      </c>
      <c r="D28" s="16">
        <f t="shared" si="0"/>
        <v>76.000000000000028</v>
      </c>
      <c r="E28" s="30"/>
      <c r="F28" s="61"/>
      <c r="G28" s="60"/>
      <c r="H28" s="30"/>
      <c r="I28" s="79"/>
      <c r="J28" s="6">
        <f t="shared" si="1"/>
        <v>0</v>
      </c>
      <c r="K28" s="84">
        <f t="shared" si="2"/>
        <v>0</v>
      </c>
      <c r="L28" s="3"/>
      <c r="M28" s="21">
        <f t="shared" si="3"/>
        <v>148.6</v>
      </c>
      <c r="N28" s="80">
        <f t="shared" si="4"/>
        <v>148.6</v>
      </c>
      <c r="O28" s="79">
        <f t="shared" si="5"/>
        <v>23.539999999999992</v>
      </c>
      <c r="P28" s="80" t="s">
        <v>46</v>
      </c>
    </row>
    <row r="29" spans="1:16" x14ac:dyDescent="0.3">
      <c r="A29" s="1">
        <v>17</v>
      </c>
      <c r="B29" s="79">
        <v>145.22</v>
      </c>
      <c r="C29" s="79">
        <v>139.51</v>
      </c>
      <c r="D29" s="16">
        <f t="shared" si="0"/>
        <v>68</v>
      </c>
      <c r="E29" s="49"/>
      <c r="F29" s="50"/>
      <c r="G29" s="76"/>
      <c r="H29" s="49"/>
      <c r="I29" s="79"/>
      <c r="J29" s="6">
        <f t="shared" si="1"/>
        <v>0</v>
      </c>
      <c r="K29" s="84">
        <f t="shared" si="2"/>
        <v>0</v>
      </c>
      <c r="L29" s="3"/>
      <c r="M29" s="21">
        <f t="shared" si="3"/>
        <v>139.51</v>
      </c>
      <c r="N29" s="80">
        <f t="shared" si="4"/>
        <v>139.51</v>
      </c>
      <c r="O29" s="79">
        <f t="shared" si="5"/>
        <v>5.710000000000008</v>
      </c>
      <c r="P29" s="80" t="s">
        <v>46</v>
      </c>
    </row>
    <row r="30" spans="1:16" x14ac:dyDescent="0.3">
      <c r="A30" s="1">
        <v>18</v>
      </c>
      <c r="B30" s="79">
        <v>145.07</v>
      </c>
      <c r="C30" s="79">
        <v>145.15</v>
      </c>
      <c r="D30" s="16">
        <f t="shared" si="0"/>
        <v>73</v>
      </c>
      <c r="E30" s="50"/>
      <c r="F30" s="34"/>
      <c r="G30" s="49"/>
      <c r="H30" s="50"/>
      <c r="I30" s="79"/>
      <c r="J30" s="6">
        <f t="shared" si="1"/>
        <v>0</v>
      </c>
      <c r="K30" s="84">
        <f t="shared" si="2"/>
        <v>0</v>
      </c>
      <c r="L30" s="3"/>
      <c r="M30" s="21">
        <f t="shared" si="3"/>
        <v>145.15</v>
      </c>
      <c r="N30" s="80">
        <f t="shared" si="4"/>
        <v>145.15</v>
      </c>
      <c r="O30" s="79">
        <f t="shared" si="5"/>
        <v>8.0000000000012506E-2</v>
      </c>
      <c r="P30" s="80" t="s">
        <v>46</v>
      </c>
    </row>
    <row r="31" spans="1:16" x14ac:dyDescent="0.3">
      <c r="A31" s="1">
        <v>19</v>
      </c>
      <c r="B31" s="79">
        <v>103.45</v>
      </c>
      <c r="C31" s="79">
        <v>154.52000000000001</v>
      </c>
      <c r="D31" s="16">
        <f t="shared" si="0"/>
        <v>82</v>
      </c>
      <c r="E31" s="33"/>
      <c r="F31" s="62"/>
      <c r="G31" s="34"/>
      <c r="H31" s="33"/>
      <c r="I31" s="79"/>
      <c r="J31" s="6">
        <f t="shared" si="1"/>
        <v>0</v>
      </c>
      <c r="K31" s="84">
        <f t="shared" si="2"/>
        <v>0</v>
      </c>
      <c r="L31" s="3"/>
      <c r="M31" s="21">
        <f t="shared" si="3"/>
        <v>154.52000000000001</v>
      </c>
      <c r="N31" s="80">
        <f t="shared" si="4"/>
        <v>154.52000000000001</v>
      </c>
      <c r="O31" s="79">
        <f t="shared" si="5"/>
        <v>51.070000000000007</v>
      </c>
      <c r="P31" s="80" t="s">
        <v>46</v>
      </c>
    </row>
    <row r="33" spans="2:26" ht="16.8" thickBot="1" x14ac:dyDescent="0.35">
      <c r="C33" s="1" t="s">
        <v>9</v>
      </c>
      <c r="I33" s="1" t="s">
        <v>10</v>
      </c>
      <c r="J33" s="1" t="s">
        <v>11</v>
      </c>
      <c r="K33" s="1" t="s">
        <v>12</v>
      </c>
      <c r="M33" s="111" t="s">
        <v>13</v>
      </c>
      <c r="N33" s="111"/>
      <c r="O33" s="99"/>
      <c r="P33" s="99"/>
      <c r="R33" s="111" t="s">
        <v>40</v>
      </c>
      <c r="S33" s="99"/>
      <c r="T33" s="99"/>
      <c r="U33" s="99"/>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3">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3">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3">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3">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3">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6.8" thickBot="1" x14ac:dyDescent="0.35">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3">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3">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6.8" thickBot="1" x14ac:dyDescent="0.35">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3">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3">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3">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3">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3">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3">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3">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3">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3">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3">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3">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3">
      <c r="B56" s="1">
        <v>1</v>
      </c>
      <c r="C56" s="9">
        <f t="shared" ref="C56:C75" si="17">VLOOKUP(J56,$N$35:$O$298,2,TRUE)</f>
        <v>133.5</v>
      </c>
      <c r="D56" s="9"/>
      <c r="E56" s="9"/>
      <c r="F56" s="9"/>
      <c r="G56" s="9"/>
      <c r="H56" s="9"/>
      <c r="I56" s="9">
        <f t="shared" ref="I56:I75" si="18">VLOOKUP(K56,$N$35:$O$298,2,TRUE)</f>
        <v>134.5</v>
      </c>
      <c r="J56" s="9">
        <f t="shared" ref="J56:J75" si="19">VLOOKUP(ROUNDUP(C12,1),$M$35:$N$298,2,TRUE)</f>
        <v>62</v>
      </c>
      <c r="K56" s="9">
        <f t="shared" ref="K56:K75" si="20">VLOOKUP(ROUNDUP(C12,1),$M$35:$N$298,2,TRUE)+1</f>
        <v>63</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3">
      <c r="B57" s="1">
        <v>2</v>
      </c>
      <c r="C57" s="9">
        <f t="shared" si="17"/>
        <v>133.5</v>
      </c>
      <c r="D57" s="9"/>
      <c r="E57" s="9"/>
      <c r="F57" s="9"/>
      <c r="G57" s="9"/>
      <c r="H57" s="9"/>
      <c r="I57" s="9">
        <f t="shared" si="18"/>
        <v>134.5</v>
      </c>
      <c r="J57" s="9">
        <f t="shared" si="19"/>
        <v>62</v>
      </c>
      <c r="K57" s="9">
        <f t="shared" si="20"/>
        <v>63</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3">
      <c r="B58" s="1">
        <v>3</v>
      </c>
      <c r="C58" s="9">
        <f t="shared" si="17"/>
        <v>132</v>
      </c>
      <c r="D58" s="9"/>
      <c r="E58" s="9"/>
      <c r="F58" s="9"/>
      <c r="G58" s="9"/>
      <c r="H58" s="9"/>
      <c r="I58" s="9">
        <f t="shared" si="18"/>
        <v>133.5</v>
      </c>
      <c r="J58" s="9">
        <f t="shared" si="19"/>
        <v>61</v>
      </c>
      <c r="K58" s="9">
        <f t="shared" si="20"/>
        <v>62</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3">
      <c r="B59" s="1">
        <v>4</v>
      </c>
      <c r="C59" s="9">
        <f t="shared" si="17"/>
        <v>132</v>
      </c>
      <c r="D59" s="9"/>
      <c r="E59" s="9"/>
      <c r="F59" s="9"/>
      <c r="G59" s="9"/>
      <c r="H59" s="9"/>
      <c r="I59" s="9">
        <f t="shared" si="18"/>
        <v>133.5</v>
      </c>
      <c r="J59" s="9">
        <f t="shared" si="19"/>
        <v>61</v>
      </c>
      <c r="K59" s="9">
        <f t="shared" si="20"/>
        <v>62</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3">
      <c r="B60" s="1">
        <v>5</v>
      </c>
      <c r="C60" s="9">
        <f t="shared" si="17"/>
        <v>135.5</v>
      </c>
      <c r="D60" s="9"/>
      <c r="E60" s="9"/>
      <c r="F60" s="9"/>
      <c r="G60" s="9"/>
      <c r="H60" s="9"/>
      <c r="I60" s="9">
        <f t="shared" si="18"/>
        <v>137</v>
      </c>
      <c r="J60" s="9">
        <f t="shared" si="19"/>
        <v>64</v>
      </c>
      <c r="K60" s="9">
        <f t="shared" si="20"/>
        <v>65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3">
      <c r="B61" s="1">
        <v>6</v>
      </c>
      <c r="C61" s="9">
        <f t="shared" si="17"/>
        <v>135.5</v>
      </c>
      <c r="D61" s="9"/>
      <c r="E61" s="9"/>
      <c r="F61" s="9"/>
      <c r="G61" s="9"/>
      <c r="H61" s="9"/>
      <c r="I61" s="9">
        <f t="shared" si="18"/>
        <v>137</v>
      </c>
      <c r="J61" s="9">
        <f t="shared" si="19"/>
        <v>64</v>
      </c>
      <c r="K61" s="9">
        <f t="shared" si="20"/>
        <v>65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3">
      <c r="B62" s="1">
        <v>7</v>
      </c>
      <c r="C62" s="9">
        <f t="shared" si="17"/>
        <v>137</v>
      </c>
      <c r="D62" s="9"/>
      <c r="E62" s="9"/>
      <c r="F62" s="9"/>
      <c r="G62" s="9"/>
      <c r="H62" s="9"/>
      <c r="I62" s="9">
        <f t="shared" si="18"/>
        <v>138</v>
      </c>
      <c r="J62" s="9">
        <f t="shared" si="19"/>
        <v>65</v>
      </c>
      <c r="K62" s="9">
        <f t="shared" si="20"/>
        <v>66</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3">
      <c r="B63" s="1">
        <v>8</v>
      </c>
      <c r="C63" s="9">
        <f t="shared" si="17"/>
        <v>135.5</v>
      </c>
      <c r="D63" s="9"/>
      <c r="E63" s="9"/>
      <c r="F63" s="9"/>
      <c r="G63" s="9"/>
      <c r="H63" s="9"/>
      <c r="I63" s="9">
        <f t="shared" si="18"/>
        <v>137</v>
      </c>
      <c r="J63" s="9">
        <f t="shared" si="19"/>
        <v>64</v>
      </c>
      <c r="K63" s="9">
        <f t="shared" si="20"/>
        <v>65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3">
      <c r="B64" s="1">
        <v>9</v>
      </c>
      <c r="C64" s="9">
        <f t="shared" si="17"/>
        <v>138</v>
      </c>
      <c r="D64" s="9"/>
      <c r="E64" s="9"/>
      <c r="F64" s="9"/>
      <c r="G64" s="9"/>
      <c r="H64" s="9"/>
      <c r="I64" s="9">
        <f t="shared" si="18"/>
        <v>139.5</v>
      </c>
      <c r="J64" s="9">
        <f t="shared" si="19"/>
        <v>66</v>
      </c>
      <c r="K64" s="9">
        <f t="shared" si="20"/>
        <v>67</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3">
      <c r="B65" s="1">
        <v>10</v>
      </c>
      <c r="C65" s="9">
        <f t="shared" si="17"/>
        <v>139.5</v>
      </c>
      <c r="D65" s="9"/>
      <c r="E65" s="9"/>
      <c r="F65" s="9"/>
      <c r="G65" s="9"/>
      <c r="H65" s="9"/>
      <c r="I65" s="9">
        <f t="shared" si="18"/>
        <v>141</v>
      </c>
      <c r="J65" s="9">
        <f t="shared" si="19"/>
        <v>67</v>
      </c>
      <c r="K65" s="9">
        <f t="shared" si="20"/>
        <v>68</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3">
      <c r="B66" s="1">
        <v>11</v>
      </c>
      <c r="C66" s="9">
        <f t="shared" si="17"/>
        <v>143</v>
      </c>
      <c r="D66" s="9"/>
      <c r="E66" s="9"/>
      <c r="F66" s="9"/>
      <c r="G66" s="9"/>
      <c r="H66" s="9"/>
      <c r="I66" s="9">
        <f t="shared" si="18"/>
        <v>144</v>
      </c>
      <c r="J66" s="9">
        <f t="shared" si="19"/>
        <v>70</v>
      </c>
      <c r="K66" s="9">
        <f t="shared" si="20"/>
        <v>71</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3">
      <c r="B67" s="1">
        <v>12</v>
      </c>
      <c r="C67" s="9">
        <f t="shared" si="17"/>
        <v>151.5</v>
      </c>
      <c r="D67" s="9"/>
      <c r="E67" s="9"/>
      <c r="F67" s="9"/>
      <c r="G67" s="9"/>
      <c r="H67" s="9"/>
      <c r="I67" s="9">
        <f t="shared" si="18"/>
        <v>152.5</v>
      </c>
      <c r="J67" s="9">
        <f t="shared" si="19"/>
        <v>78</v>
      </c>
      <c r="K67" s="9">
        <f t="shared" si="20"/>
        <v>79</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3">
      <c r="B68" s="1">
        <v>13</v>
      </c>
      <c r="C68" s="9">
        <f t="shared" si="17"/>
        <v>146</v>
      </c>
      <c r="D68" s="9"/>
      <c r="E68" s="9"/>
      <c r="F68" s="9"/>
      <c r="G68" s="9"/>
      <c r="H68" s="9"/>
      <c r="I68" s="9">
        <f t="shared" si="18"/>
        <v>147</v>
      </c>
      <c r="J68" s="9">
        <f t="shared" si="19"/>
        <v>73</v>
      </c>
      <c r="K68" s="9">
        <f t="shared" si="20"/>
        <v>74</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3">
      <c r="B69" s="1">
        <v>14</v>
      </c>
      <c r="C69" s="9">
        <f t="shared" si="17"/>
        <v>146</v>
      </c>
      <c r="D69" s="9"/>
      <c r="E69" s="9"/>
      <c r="F69" s="9"/>
      <c r="G69" s="9"/>
      <c r="H69" s="9"/>
      <c r="I69" s="9">
        <f t="shared" si="18"/>
        <v>147</v>
      </c>
      <c r="J69" s="9">
        <f t="shared" si="19"/>
        <v>73</v>
      </c>
      <c r="K69" s="9">
        <f t="shared" si="20"/>
        <v>74</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3">
      <c r="B70" s="1">
        <v>15</v>
      </c>
      <c r="C70" s="9">
        <f t="shared" si="17"/>
        <v>139.5</v>
      </c>
      <c r="D70" s="9"/>
      <c r="E70" s="9"/>
      <c r="F70" s="9"/>
      <c r="G70" s="9"/>
      <c r="H70" s="9"/>
      <c r="I70" s="9">
        <f t="shared" si="18"/>
        <v>141</v>
      </c>
      <c r="J70" s="9">
        <f t="shared" si="19"/>
        <v>67</v>
      </c>
      <c r="K70" s="9">
        <f t="shared" si="20"/>
        <v>68</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3">
      <c r="B71" s="1">
        <v>16</v>
      </c>
      <c r="C71" s="9">
        <f t="shared" si="17"/>
        <v>146</v>
      </c>
      <c r="D71" s="9"/>
      <c r="E71" s="9"/>
      <c r="F71" s="9"/>
      <c r="G71" s="9"/>
      <c r="H71" s="9"/>
      <c r="I71" s="9">
        <f t="shared" si="18"/>
        <v>147</v>
      </c>
      <c r="J71" s="9">
        <f t="shared" si="19"/>
        <v>73</v>
      </c>
      <c r="K71" s="9">
        <f t="shared" si="20"/>
        <v>74</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3">
      <c r="B72" s="1">
        <v>17</v>
      </c>
      <c r="C72" s="9">
        <f t="shared" si="17"/>
        <v>148</v>
      </c>
      <c r="D72" s="9"/>
      <c r="E72" s="9"/>
      <c r="F72" s="9"/>
      <c r="G72" s="9"/>
      <c r="H72" s="9"/>
      <c r="I72" s="9">
        <f t="shared" si="18"/>
        <v>149.5</v>
      </c>
      <c r="J72" s="9">
        <f t="shared" si="19"/>
        <v>75</v>
      </c>
      <c r="K72" s="9">
        <f t="shared" si="20"/>
        <v>76</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3">
      <c r="B73" s="1">
        <v>18</v>
      </c>
      <c r="C73" s="9">
        <f t="shared" si="17"/>
        <v>139.5</v>
      </c>
      <c r="D73" s="9"/>
      <c r="E73" s="9"/>
      <c r="F73" s="9"/>
      <c r="G73" s="9"/>
      <c r="H73" s="9"/>
      <c r="I73" s="9">
        <f t="shared" si="18"/>
        <v>141</v>
      </c>
      <c r="J73" s="9">
        <f t="shared" si="19"/>
        <v>67</v>
      </c>
      <c r="K73" s="9">
        <f t="shared" si="20"/>
        <v>68</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3">
      <c r="B74" s="1">
        <v>19</v>
      </c>
      <c r="C74" s="9">
        <f t="shared" si="17"/>
        <v>145</v>
      </c>
      <c r="D74" s="9"/>
      <c r="E74" s="9"/>
      <c r="F74" s="9"/>
      <c r="G74" s="9"/>
      <c r="H74" s="9"/>
      <c r="I74" s="9">
        <f t="shared" si="18"/>
        <v>146</v>
      </c>
      <c r="J74" s="9">
        <f t="shared" si="19"/>
        <v>72</v>
      </c>
      <c r="K74" s="9">
        <f t="shared" si="20"/>
        <v>73</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3">
      <c r="B75" s="1">
        <v>20</v>
      </c>
      <c r="C75" s="9">
        <f t="shared" si="17"/>
        <v>154.5</v>
      </c>
      <c r="D75" s="9"/>
      <c r="E75" s="9"/>
      <c r="F75" s="9"/>
      <c r="G75" s="9"/>
      <c r="H75" s="9"/>
      <c r="I75" s="9">
        <f t="shared" si="18"/>
        <v>155.5</v>
      </c>
      <c r="J75" s="9">
        <f t="shared" si="19"/>
        <v>81</v>
      </c>
      <c r="K75" s="9">
        <f t="shared" si="20"/>
        <v>82</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3">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3">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3">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3">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3">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3">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3">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3">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3">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3">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3">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3">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3">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3">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3">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3">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3">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3">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3">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3">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3">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3">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3">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3">
      <c r="B99" s="117"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7"/>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3">
      <c r="B100" s="117"/>
      <c r="C100" s="117"/>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3">
      <c r="B101" s="117"/>
      <c r="C101" s="117"/>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3">
      <c r="B102" s="117"/>
      <c r="C102" s="117"/>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3">
      <c r="B103" s="117"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7"/>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3">
      <c r="B104" s="117"/>
      <c r="C104" s="117"/>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3">
      <c r="B105" s="117"/>
      <c r="C105" s="117"/>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3">
      <c r="B106" s="117"/>
      <c r="C106" s="117"/>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3">
      <c r="B107" s="118"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19"/>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3">
      <c r="B108" s="120"/>
      <c r="C108" s="121"/>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3">
      <c r="B109" s="120"/>
      <c r="C109" s="121"/>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3">
      <c r="B110" s="122"/>
      <c r="C110" s="123"/>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3">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3">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3">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3">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3">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3">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3">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3">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3">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3">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3">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3">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3">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3">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3">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3">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3">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3">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3">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3">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3">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3">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3">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3">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3">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3">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3">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3">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3">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3">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3">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3">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3">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3">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3">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3">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3">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3">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3">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3">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3">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3">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3">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3">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3">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3">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3">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3">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3">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3">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3">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3">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3">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3">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3">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3">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3">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3">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3">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3">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3">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3">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3">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3">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3">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3">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3">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3">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3">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3">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3">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3">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3">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3">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3">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3">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3">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3">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3">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3">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3">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3">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3">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3">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3">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3">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3">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3">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3">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3">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3">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3">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3">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3">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3">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3">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3">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3">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3">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3">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3">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3">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3">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3">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3">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3">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3">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3">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3">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3">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3">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3">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3">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3">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3">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3">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3">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3">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3">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3">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3">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3">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3">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3">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3">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3">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3">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3">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3">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3">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3">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3">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3">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3">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3">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3">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3">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3">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3">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3">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3">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3">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3">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3">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3">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3">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3">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3">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3">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3">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3">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3">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3">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3">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3">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3">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3">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3">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3">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3">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3">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3">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3">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3">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3">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3">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3">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3">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3">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3">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3">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3">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3">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3">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3">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3">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3">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3">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3">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3">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6.8" thickBot="1" x14ac:dyDescent="0.35">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21">
    <mergeCell ref="B8:B9"/>
    <mergeCell ref="M8:N8"/>
    <mergeCell ref="M9:N9"/>
    <mergeCell ref="B2:J6"/>
    <mergeCell ref="K2:K3"/>
    <mergeCell ref="M2:O5"/>
    <mergeCell ref="C8:I9"/>
    <mergeCell ref="J8:K8"/>
    <mergeCell ref="J9:K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0" t="s">
        <v>41</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D7"/>
      <c r="E7"/>
      <c r="F7"/>
      <c r="G7"/>
      <c r="H7"/>
      <c r="I7"/>
      <c r="K7" s="1"/>
    </row>
    <row r="8" spans="1:14" ht="16.5" customHeight="1" x14ac:dyDescent="0.3">
      <c r="A8" s="1"/>
      <c r="B8" s="101" t="s">
        <v>43</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x14ac:dyDescent="0.3">
      <c r="H11" s="99" t="s">
        <v>3</v>
      </c>
      <c r="I11" s="99"/>
      <c r="J11" s="99"/>
      <c r="K11" s="1"/>
      <c r="L11" s="99" t="s">
        <v>19</v>
      </c>
      <c r="M11" s="99"/>
      <c r="N11" s="99"/>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3">
      <c r="B3" s="100"/>
      <c r="C3" s="100"/>
      <c r="D3" s="100"/>
      <c r="E3" s="100"/>
      <c r="F3" s="100"/>
      <c r="H3" s="7" t="s">
        <v>14</v>
      </c>
      <c r="I3" s="1" t="s">
        <v>15</v>
      </c>
      <c r="J3" s="1" t="s">
        <v>14</v>
      </c>
      <c r="K3" s="1" t="s">
        <v>16</v>
      </c>
      <c r="M3" s="114"/>
      <c r="N3" s="113"/>
      <c r="O3" s="105"/>
      <c r="P3" s="106"/>
      <c r="Q3" s="106"/>
      <c r="R3" s="106"/>
      <c r="S3" s="107"/>
      <c r="T3"/>
      <c r="Y3"/>
    </row>
    <row r="4" spans="2:27" ht="16.5" customHeight="1" x14ac:dyDescent="0.3">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5" t="s">
        <v>23</v>
      </c>
      <c r="C11" s="116"/>
      <c r="D11" s="116"/>
      <c r="E11" s="116"/>
      <c r="F11" s="116"/>
      <c r="H11" s="8">
        <f t="shared" si="0"/>
        <v>23</v>
      </c>
      <c r="I11" s="1">
        <v>7</v>
      </c>
      <c r="J11" s="1">
        <f t="shared" si="1"/>
        <v>23</v>
      </c>
      <c r="K11" s="1">
        <f t="shared" si="2"/>
        <v>3.5</v>
      </c>
    </row>
    <row r="12" spans="2:27" x14ac:dyDescent="0.3">
      <c r="B12" s="116"/>
      <c r="C12" s="116"/>
      <c r="D12" s="116"/>
      <c r="E12" s="116"/>
      <c r="F12" s="116"/>
      <c r="H12" s="8">
        <f t="shared" si="0"/>
        <v>26.5</v>
      </c>
      <c r="I12" s="1">
        <v>8</v>
      </c>
      <c r="J12" s="1">
        <f t="shared" si="1"/>
        <v>26.5</v>
      </c>
      <c r="K12" s="1">
        <f t="shared" si="2"/>
        <v>3.5</v>
      </c>
    </row>
    <row r="13" spans="2:27" x14ac:dyDescent="0.3">
      <c r="B13" s="116"/>
      <c r="C13" s="116"/>
      <c r="D13" s="116"/>
      <c r="E13" s="116"/>
      <c r="F13" s="116"/>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2023-08-30T08:05:44Z</dcterms:modified>
</cp:coreProperties>
</file>