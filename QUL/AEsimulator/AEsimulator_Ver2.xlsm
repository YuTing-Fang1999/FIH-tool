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github\FIH tool 整合\QUL\AEsimulator\"/>
    </mc:Choice>
  </mc:AlternateContent>
  <bookViews>
    <workbookView xWindow="-120" yWindow="-10910" windowWidth="29040" windowHeight="15840" activeTab="2"/>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6" i="6" l="1"/>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35" i="6"/>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O8" i="6"/>
  <c r="O7" i="6"/>
  <c r="O6" i="6"/>
  <c r="D51" i="5"/>
  <c r="F25" i="5" s="1"/>
  <c r="J22" i="1" s="1"/>
  <c r="D48" i="5"/>
  <c r="D52" i="5"/>
  <c r="F26" i="5" s="1"/>
  <c r="J23" i="1" s="1"/>
  <c r="D38" i="5"/>
  <c r="F32" i="5"/>
  <c r="D46" i="5"/>
  <c r="F45" i="5"/>
  <c r="D31" i="5"/>
  <c r="D18" i="5" s="1"/>
  <c r="N15" i="1" s="1"/>
  <c r="D44" i="5"/>
  <c r="F18" i="5" s="1"/>
  <c r="J15" i="1" s="1"/>
  <c r="D29" i="5"/>
  <c r="D33"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36" i="3" l="1"/>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L34" i="4"/>
  <c r="D16" i="3"/>
  <c r="N14" i="4" s="1"/>
  <c r="L14" i="4" s="1"/>
  <c r="D20" i="3"/>
  <c r="N24" i="4" s="1"/>
  <c r="L24" i="4" s="1"/>
  <c r="L16" i="1"/>
  <c r="L18" i="1"/>
  <c r="L14" i="1"/>
  <c r="L15" i="1"/>
  <c r="S42" i="6" l="1"/>
  <c r="L13" i="1"/>
  <c r="L17" i="1"/>
  <c r="S43" i="6" l="1"/>
  <c r="S44" i="6" l="1"/>
  <c r="S45" i="6" l="1"/>
  <c r="S46" i="6" l="1"/>
  <c r="S47" i="6" l="1"/>
  <c r="S48" i="6" l="1"/>
  <c r="S49" i="6" l="1"/>
  <c r="S50" i="6" l="1"/>
  <c r="S51" i="6" l="1"/>
  <c r="S52" i="6" l="1"/>
  <c r="S53" i="6" l="1"/>
  <c r="S54" i="6" l="1"/>
  <c r="S55" i="6" l="1"/>
  <c r="S56" i="6" l="1"/>
  <c r="S57" i="6" l="1"/>
  <c r="S58" i="6" l="1"/>
  <c r="S59" i="6" l="1"/>
  <c r="S60" i="6" l="1"/>
  <c r="S61" i="6" l="1"/>
  <c r="S62" i="6" l="1"/>
  <c r="S63" i="6" l="1"/>
  <c r="S64" i="6" l="1"/>
  <c r="S65" i="6" l="1"/>
  <c r="S66" i="6" l="1"/>
  <c r="S67" i="6" l="1"/>
  <c r="S68" i="6" l="1"/>
  <c r="S69" i="6" l="1"/>
  <c r="S70" i="6" l="1"/>
  <c r="S71" i="6" l="1"/>
  <c r="S72" i="6" l="1"/>
  <c r="S73" i="6" l="1"/>
  <c r="S74" i="6" l="1"/>
  <c r="S75" i="6" l="1"/>
  <c r="S76" i="6" l="1"/>
  <c r="S77" i="6" l="1"/>
  <c r="S78" i="6" l="1"/>
  <c r="S79" i="6" l="1"/>
  <c r="S80" i="6" l="1"/>
  <c r="S81" i="6" l="1"/>
  <c r="S82" i="6" l="1"/>
  <c r="S83" i="6" l="1"/>
  <c r="S84" i="6" l="1"/>
  <c r="S85" i="6" l="1"/>
  <c r="S86" i="6" l="1"/>
  <c r="S87" i="6" l="1"/>
  <c r="S88" i="6" l="1"/>
  <c r="S89" i="6" l="1"/>
  <c r="S90" i="6" l="1"/>
  <c r="S91" i="6" l="1"/>
  <c r="S92" i="6" l="1"/>
  <c r="S93" i="6" l="1"/>
  <c r="S94" i="6" l="1"/>
  <c r="S95" i="6" l="1"/>
  <c r="S96" i="6" l="1"/>
  <c r="S97" i="6" l="1"/>
  <c r="S98" i="6" l="1"/>
  <c r="S99" i="6" l="1"/>
  <c r="S100" i="6" l="1"/>
  <c r="S101" i="6" l="1"/>
  <c r="S102" i="6" l="1"/>
  <c r="S103" i="6" l="1"/>
  <c r="S104" i="6" l="1"/>
  <c r="S105" i="6" l="1"/>
  <c r="S106" i="6" l="1"/>
  <c r="S107" i="6" l="1"/>
  <c r="S108" i="6" l="1"/>
  <c r="S109" i="6" l="1"/>
  <c r="S110" i="6" l="1"/>
  <c r="S111" i="6" l="1"/>
  <c r="S112" i="6" l="1"/>
  <c r="S113" i="6" l="1"/>
  <c r="S114" i="6" l="1"/>
  <c r="S115" i="6" l="1"/>
  <c r="S116" i="6" l="1"/>
  <c r="S117" i="6" l="1"/>
  <c r="S118" i="6" l="1"/>
  <c r="S119" i="6" l="1"/>
  <c r="S120" i="6" l="1"/>
  <c r="S121" i="6" l="1"/>
  <c r="S122" i="6" l="1"/>
  <c r="S123" i="6" l="1"/>
  <c r="S124" i="6" l="1"/>
  <c r="S125" i="6" l="1"/>
  <c r="S126" i="6" l="1"/>
  <c r="S127" i="6" l="1"/>
  <c r="S128" i="6" l="1"/>
  <c r="S129" i="6" l="1"/>
  <c r="S130" i="6" l="1"/>
  <c r="S131" i="6" l="1"/>
  <c r="S132" i="6" l="1"/>
  <c r="S133" i="6" l="1"/>
  <c r="S134" i="6" l="1"/>
  <c r="S135" i="6" l="1"/>
  <c r="S136" i="6" l="1"/>
  <c r="S137" i="6" l="1"/>
  <c r="S138" i="6" l="1"/>
  <c r="S139" i="6" l="1"/>
  <c r="S140" i="6" l="1"/>
  <c r="S141" i="6" l="1"/>
  <c r="S142" i="6" l="1"/>
  <c r="S143" i="6" l="1"/>
  <c r="S144" i="6" l="1"/>
  <c r="S145" i="6" l="1"/>
  <c r="S146" i="6" l="1"/>
  <c r="S147" i="6" l="1"/>
  <c r="S148" i="6" l="1"/>
  <c r="S149" i="6" l="1"/>
  <c r="S150" i="6" l="1"/>
  <c r="S151" i="6" l="1"/>
  <c r="S152" i="6" l="1"/>
  <c r="S153" i="6" l="1"/>
  <c r="S154" i="6" l="1"/>
  <c r="S155" i="6" l="1"/>
  <c r="S156" i="6" l="1"/>
  <c r="S157" i="6" l="1"/>
  <c r="S158" i="6" l="1"/>
  <c r="S159" i="6" l="1"/>
  <c r="S160" i="6" l="1"/>
  <c r="S161" i="6" l="1"/>
  <c r="B99" i="6" l="1"/>
  <c r="S162" i="6"/>
  <c r="S163" i="6" l="1"/>
  <c r="S164" i="6" l="1"/>
  <c r="S165" i="6" l="1"/>
  <c r="S166" i="6" l="1"/>
  <c r="S167" i="6" l="1"/>
  <c r="S168" i="6" l="1"/>
  <c r="S169" i="6" l="1"/>
  <c r="S170" i="6" l="1"/>
  <c r="S171" i="6" l="1"/>
  <c r="S172" i="6" l="1"/>
  <c r="S173" i="6" l="1"/>
  <c r="S174" i="6" l="1"/>
  <c r="S175" i="6" l="1"/>
  <c r="S176" i="6" l="1"/>
  <c r="S177" i="6" l="1"/>
  <c r="S178" i="6" l="1"/>
  <c r="S179" i="6" l="1"/>
  <c r="S180" i="6" l="1"/>
  <c r="S181" i="6" l="1"/>
  <c r="S182" i="6" l="1"/>
  <c r="S183" i="6" l="1"/>
  <c r="S184" i="6" l="1"/>
  <c r="S185" i="6" l="1"/>
  <c r="S186" i="6" l="1"/>
  <c r="S187" i="6" l="1"/>
  <c r="S188" i="6" l="1"/>
  <c r="S189" i="6" l="1"/>
  <c r="S190" i="6" l="1"/>
  <c r="S191" i="6" l="1"/>
  <c r="S192" i="6" l="1"/>
  <c r="S193" i="6" l="1"/>
  <c r="S194" i="6" l="1"/>
  <c r="S195" i="6" l="1"/>
  <c r="S196" i="6" l="1"/>
  <c r="S197" i="6" l="1"/>
  <c r="S198" i="6" l="1"/>
  <c r="S199" i="6" l="1"/>
  <c r="S200" i="6" l="1"/>
  <c r="S201" i="6" l="1"/>
  <c r="S202" i="6" l="1"/>
  <c r="S203" i="6" l="1"/>
  <c r="S204" i="6" l="1"/>
  <c r="S205" i="6" l="1"/>
  <c r="S206" i="6" l="1"/>
  <c r="S207" i="6" l="1"/>
  <c r="S208" i="6" l="1"/>
  <c r="S209" i="6" l="1"/>
  <c r="S210" i="6" l="1"/>
  <c r="S211" i="6" l="1"/>
  <c r="S212" i="6" l="1"/>
  <c r="S213" i="6" l="1"/>
  <c r="S214" i="6" l="1"/>
  <c r="S215" i="6" l="1"/>
  <c r="S216" i="6" l="1"/>
  <c r="S217" i="6" l="1"/>
  <c r="S218" i="6" l="1"/>
  <c r="S219" i="6" l="1"/>
  <c r="S220" i="6" l="1"/>
  <c r="S221" i="6" l="1"/>
  <c r="S222" i="6" l="1"/>
  <c r="S223" i="6" l="1"/>
  <c r="S224" i="6" l="1"/>
  <c r="S225" i="6" l="1"/>
  <c r="S226" i="6" l="1"/>
  <c r="S227" i="6" l="1"/>
  <c r="S228" i="6" l="1"/>
  <c r="S229" i="6" l="1"/>
  <c r="S230" i="6" l="1"/>
  <c r="S231" i="6" l="1"/>
  <c r="B103" i="6" l="1"/>
  <c r="S232" i="6"/>
  <c r="S233" i="6" l="1"/>
  <c r="S234" i="6" l="1"/>
  <c r="S235" i="6" l="1"/>
  <c r="S236" i="6" l="1"/>
  <c r="S237" i="6" l="1"/>
  <c r="S238" i="6" l="1"/>
  <c r="S239" i="6" l="1"/>
  <c r="S240" i="6" l="1"/>
  <c r="S241" i="6" l="1"/>
  <c r="S242" i="6" l="1"/>
  <c r="S243" i="6" l="1"/>
  <c r="S244" i="6" l="1"/>
  <c r="S245" i="6" l="1"/>
  <c r="S246" i="6" l="1"/>
  <c r="S247" i="6" l="1"/>
  <c r="S248" i="6" l="1"/>
  <c r="S249" i="6" l="1"/>
  <c r="S250" i="6" l="1"/>
  <c r="S251" i="6" l="1"/>
  <c r="S252" i="6" l="1"/>
  <c r="S253" i="6" l="1"/>
  <c r="S254" i="6" l="1"/>
  <c r="S255" i="6" l="1"/>
  <c r="S256" i="6" l="1"/>
  <c r="S257" i="6" l="1"/>
  <c r="S258" i="6" l="1"/>
  <c r="S259" i="6" l="1"/>
  <c r="S260" i="6" l="1"/>
  <c r="S261" i="6" l="1"/>
  <c r="S262" i="6" l="1"/>
  <c r="S263" i="6" l="1"/>
  <c r="S264" i="6" l="1"/>
  <c r="S265" i="6" l="1"/>
  <c r="S266" i="6" l="1"/>
  <c r="S267" i="6" l="1"/>
  <c r="S268" i="6" l="1"/>
  <c r="S269" i="6" l="1"/>
  <c r="S270" i="6" l="1"/>
  <c r="S271" i="6" l="1"/>
  <c r="S272" i="6" l="1"/>
  <c r="S273" i="6" l="1"/>
  <c r="S274" i="6" l="1"/>
  <c r="S275" i="6" l="1"/>
  <c r="S276" i="6" l="1"/>
  <c r="S277" i="6" l="1"/>
  <c r="S278" i="6" l="1"/>
  <c r="S279" i="6" l="1"/>
  <c r="S280" i="6" l="1"/>
  <c r="S281" i="6" l="1"/>
  <c r="S282" i="6" l="1"/>
  <c r="S283" i="6" l="1"/>
  <c r="S284" i="6" l="1"/>
  <c r="S285" i="6" l="1"/>
  <c r="S286" i="6" l="1"/>
  <c r="S287" i="6" l="1"/>
  <c r="S288" i="6" l="1"/>
  <c r="S289" i="6" l="1"/>
  <c r="S290" i="6" l="1"/>
  <c r="S291" i="6" l="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P80" i="6"/>
  <c r="P81" i="6"/>
  <c r="M80" i="6"/>
  <c r="P90" i="6"/>
  <c r="M90" i="6"/>
  <c r="P99" i="6"/>
  <c r="M99" i="6"/>
  <c r="P112" i="6"/>
  <c r="M112" i="6"/>
  <c r="P122" i="6"/>
  <c r="M122" i="6"/>
  <c r="P57" i="6"/>
  <c r="M57" i="6"/>
  <c r="P69" i="6"/>
  <c r="M69" i="6"/>
  <c r="P91" i="6"/>
  <c r="M91" i="6"/>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P53" i="6"/>
  <c r="M53" i="6"/>
  <c r="P63" i="6"/>
  <c r="M63" i="6"/>
  <c r="P75" i="6"/>
  <c r="M75" i="6"/>
  <c r="P86" i="6"/>
  <c r="M86" i="6"/>
  <c r="P95" i="6"/>
  <c r="M95" i="6"/>
  <c r="P106" i="6"/>
  <c r="M106" i="6"/>
  <c r="P118" i="6"/>
  <c r="M118" i="6"/>
  <c r="M98" i="6"/>
  <c r="M45" i="6"/>
  <c r="P45" i="6"/>
  <c r="M46" i="6"/>
  <c r="P46" i="6"/>
  <c r="M44" i="6"/>
  <c r="P44" i="6"/>
  <c r="M43" i="6"/>
  <c r="P43" i="6"/>
  <c r="P47" i="6"/>
  <c r="P48" i="6"/>
  <c r="M47" i="6"/>
  <c r="M42" i="6"/>
  <c r="K53" i="6"/>
  <c r="K37" i="6"/>
  <c r="K49" i="6"/>
  <c r="K63" i="6"/>
  <c r="I63" i="6" s="1"/>
  <c r="K47" i="6"/>
  <c r="K61" i="6"/>
  <c r="I61" i="6" s="1"/>
  <c r="K65" i="6"/>
  <c r="I65" i="6" s="1"/>
  <c r="K66" i="6"/>
  <c r="K45" i="6"/>
  <c r="K71" i="6"/>
  <c r="K56" i="6"/>
  <c r="I56" i="6" s="1"/>
  <c r="K70" i="6"/>
  <c r="I70" i="6" s="1"/>
  <c r="K48" i="6"/>
  <c r="I48" i="6" s="1"/>
  <c r="K51" i="6"/>
  <c r="K46" i="6"/>
  <c r="K42" i="6"/>
  <c r="I42" i="6" s="1"/>
  <c r="K58" i="6"/>
  <c r="I58" i="6" s="1"/>
  <c r="K74" i="6"/>
  <c r="K75" i="6"/>
  <c r="K68" i="6"/>
  <c r="I68" i="6" s="1"/>
  <c r="K69" i="6"/>
  <c r="I69" i="6" s="1"/>
  <c r="K62" i="6"/>
  <c r="I62" i="6" s="1"/>
  <c r="K67" i="6"/>
  <c r="K59" i="6"/>
  <c r="I59" i="6" s="1"/>
  <c r="K73" i="6"/>
  <c r="K52" i="6"/>
  <c r="K38" i="6"/>
  <c r="I38" i="6" s="1"/>
  <c r="K44" i="6"/>
  <c r="K40" i="6"/>
  <c r="I40" i="6" s="1"/>
  <c r="K43" i="6"/>
  <c r="K64" i="6"/>
  <c r="I64" i="6" s="1"/>
  <c r="K50" i="6"/>
  <c r="I50" i="6" s="1"/>
  <c r="K39" i="6"/>
  <c r="K72" i="6"/>
  <c r="I72" i="6" s="1"/>
  <c r="K57" i="6"/>
  <c r="I57" i="6" s="1"/>
  <c r="K60" i="6"/>
  <c r="K41" i="6"/>
  <c r="I41" i="6" s="1"/>
  <c r="P39" i="6"/>
  <c r="P40" i="6"/>
  <c r="M40" i="6"/>
  <c r="M41" i="6"/>
  <c r="P42" i="6"/>
  <c r="P41" i="6"/>
  <c r="J71" i="6"/>
  <c r="C71" i="6" s="1"/>
  <c r="J41" i="6"/>
  <c r="C41" i="6" s="1"/>
  <c r="J66" i="6"/>
  <c r="C66" i="6" s="1"/>
  <c r="J75" i="6"/>
  <c r="C75" i="6" s="1"/>
  <c r="J44" i="6"/>
  <c r="C44" i="6" s="1"/>
  <c r="J50" i="6"/>
  <c r="C50" i="6" s="1"/>
  <c r="J63" i="6"/>
  <c r="C63" i="6" s="1"/>
  <c r="J56" i="6"/>
  <c r="C56" i="6" s="1"/>
  <c r="J62" i="6"/>
  <c r="C62" i="6" s="1"/>
  <c r="J65" i="6"/>
  <c r="C65" i="6" s="1"/>
  <c r="J34" i="6"/>
  <c r="J60" i="6"/>
  <c r="C60" i="6" s="1"/>
  <c r="J61" i="6"/>
  <c r="C61" i="6" s="1"/>
  <c r="J38" i="6"/>
  <c r="C38" i="6" s="1"/>
  <c r="J47" i="6"/>
  <c r="C47" i="6" s="1"/>
  <c r="J51" i="6"/>
  <c r="C51" i="6" s="1"/>
  <c r="J52" i="6"/>
  <c r="C52" i="6" s="1"/>
  <c r="J49" i="6"/>
  <c r="C49" i="6" s="1"/>
  <c r="J57" i="6"/>
  <c r="J68" i="6"/>
  <c r="J36" i="6"/>
  <c r="C36" i="6" s="1"/>
  <c r="J70" i="6"/>
  <c r="C70" i="6" s="1"/>
  <c r="J73" i="6"/>
  <c r="C73" i="6" s="1"/>
  <c r="J48" i="6"/>
  <c r="C48" i="6" s="1"/>
  <c r="J74" i="6"/>
  <c r="C74" i="6" s="1"/>
  <c r="J53" i="6"/>
  <c r="C53" i="6" s="1"/>
  <c r="J46" i="6"/>
  <c r="C46" i="6" s="1"/>
  <c r="J72" i="6"/>
  <c r="C72" i="6" s="1"/>
  <c r="J58" i="6"/>
  <c r="C58" i="6" s="1"/>
  <c r="J42" i="6"/>
  <c r="C42" i="6" s="1"/>
  <c r="J37" i="6"/>
  <c r="C37" i="6" s="1"/>
  <c r="J39" i="6"/>
  <c r="C39" i="6" s="1"/>
  <c r="J40" i="6"/>
  <c r="C40" i="6" s="1"/>
  <c r="J67" i="6"/>
  <c r="C67" i="6" s="1"/>
  <c r="J64" i="6"/>
  <c r="C64" i="6" s="1"/>
  <c r="J43" i="6"/>
  <c r="C43" i="6" s="1"/>
  <c r="J45" i="6"/>
  <c r="C45" i="6" s="1"/>
  <c r="J35" i="6"/>
  <c r="C35" i="6" s="1"/>
  <c r="J69" i="6"/>
  <c r="C69" i="6" s="1"/>
  <c r="J59" i="6"/>
  <c r="C59" i="6" s="1"/>
  <c r="K36" i="6"/>
  <c r="I36" i="6" s="1"/>
  <c r="K35" i="6"/>
  <c r="M39" i="6"/>
  <c r="K34" i="6"/>
  <c r="I34" i="6" s="1"/>
  <c r="I39" i="6" l="1"/>
  <c r="J17" i="6" s="1"/>
  <c r="D19" i="6"/>
  <c r="D14" i="6"/>
  <c r="D18" i="6"/>
  <c r="D12" i="6"/>
  <c r="J28" i="6"/>
  <c r="C94" i="6" s="1"/>
  <c r="J16" i="6"/>
  <c r="I82" i="6" s="1"/>
  <c r="K82" i="6" s="1"/>
  <c r="D21" i="6"/>
  <c r="J20" i="6"/>
  <c r="D26" i="6"/>
  <c r="D25" i="6"/>
  <c r="D28" i="6"/>
  <c r="I35" i="6"/>
  <c r="J13" i="6" s="1"/>
  <c r="C68" i="6"/>
  <c r="D24" i="6" s="1"/>
  <c r="I60" i="6"/>
  <c r="D16" i="6" s="1"/>
  <c r="I43" i="6"/>
  <c r="J21" i="6" s="1"/>
  <c r="I52" i="6"/>
  <c r="J30" i="6" s="1"/>
  <c r="I67" i="6"/>
  <c r="D23" i="6" s="1"/>
  <c r="I74" i="6"/>
  <c r="D30" i="6" s="1"/>
  <c r="I46" i="6"/>
  <c r="J24" i="6" s="1"/>
  <c r="I45" i="6"/>
  <c r="J23" i="6" s="1"/>
  <c r="D17" i="6"/>
  <c r="I49" i="6"/>
  <c r="J27" i="6" s="1"/>
  <c r="J18" i="6"/>
  <c r="C57" i="6"/>
  <c r="D13" i="6" s="1"/>
  <c r="C34" i="6"/>
  <c r="J12" i="6" s="1"/>
  <c r="I73" i="6"/>
  <c r="D29" i="6" s="1"/>
  <c r="I51" i="6"/>
  <c r="J29" i="6" s="1"/>
  <c r="I66" i="6"/>
  <c r="D22" i="6" s="1"/>
  <c r="I37" i="6"/>
  <c r="J15" i="6" s="1"/>
  <c r="J26" i="6"/>
  <c r="J19" i="6"/>
  <c r="I47" i="6"/>
  <c r="J25" i="6" s="1"/>
  <c r="J14" i="6"/>
  <c r="I44" i="6"/>
  <c r="J22" i="6" s="1"/>
  <c r="I53" i="6"/>
  <c r="J31" i="6" s="1"/>
  <c r="D20" i="6"/>
  <c r="D15" i="6"/>
  <c r="I75" i="6"/>
  <c r="D31" i="6" s="1"/>
  <c r="I71" i="6"/>
  <c r="D27" i="6" s="1"/>
  <c r="C82" i="6" l="1"/>
  <c r="J82" i="6" s="1"/>
  <c r="C83" i="6"/>
  <c r="J83" i="6" s="1"/>
  <c r="I83" i="6"/>
  <c r="K83" i="6" s="1"/>
  <c r="I94" i="6"/>
  <c r="K94" i="6" s="1"/>
  <c r="C78" i="6"/>
  <c r="I78" i="6"/>
  <c r="K78" i="6" s="1"/>
  <c r="I96" i="6"/>
  <c r="K96" i="6" s="1"/>
  <c r="C96" i="6"/>
  <c r="C95" i="6"/>
  <c r="I95" i="6"/>
  <c r="K95" i="6" s="1"/>
  <c r="C97" i="6"/>
  <c r="I97" i="6"/>
  <c r="K97" i="6" s="1"/>
  <c r="I93" i="6"/>
  <c r="K93" i="6" s="1"/>
  <c r="C93" i="6"/>
  <c r="I90" i="6"/>
  <c r="K90" i="6" s="1"/>
  <c r="C90" i="6"/>
  <c r="C81" i="6"/>
  <c r="I81" i="6"/>
  <c r="K81" i="6" s="1"/>
  <c r="C88" i="6"/>
  <c r="I88" i="6"/>
  <c r="K88" i="6" s="1"/>
  <c r="I89" i="6"/>
  <c r="K89" i="6" s="1"/>
  <c r="C89" i="6"/>
  <c r="I79" i="6"/>
  <c r="K79" i="6" s="1"/>
  <c r="C79" i="6"/>
  <c r="C87" i="6"/>
  <c r="I87" i="6"/>
  <c r="K87" i="6" s="1"/>
  <c r="C85" i="6"/>
  <c r="I85" i="6"/>
  <c r="K85" i="6" s="1"/>
  <c r="I84" i="6"/>
  <c r="K84" i="6" s="1"/>
  <c r="C84" i="6"/>
  <c r="C92" i="6"/>
  <c r="I92" i="6"/>
  <c r="K92" i="6" s="1"/>
  <c r="C91" i="6"/>
  <c r="I91" i="6"/>
  <c r="K91" i="6" s="1"/>
  <c r="J94" i="6"/>
  <c r="K28" i="6"/>
  <c r="N28" i="6" s="1"/>
  <c r="C86" i="6"/>
  <c r="I86" i="6"/>
  <c r="K86" i="6" s="1"/>
  <c r="I80" i="6"/>
  <c r="K80" i="6" s="1"/>
  <c r="C80" i="6"/>
  <c r="K17" i="6" l="1"/>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K19" i="6"/>
  <c r="N19" i="6" s="1"/>
  <c r="J78" i="6"/>
  <c r="K12" i="6"/>
  <c r="P8" i="6" l="1"/>
  <c r="N12" i="6"/>
  <c r="P9" i="6"/>
  <c r="P7" i="6" l="1"/>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<sst xmlns="http://schemas.openxmlformats.org/spreadsheetml/2006/main" count="221" uniqueCount="64">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</sst>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N40"/>
  <sheetViews>
    <sheetView zoomScaleNormal="100" workbookViewId="0">
      <selection activeCell="B2" sqref="B2:N6"/>
    </sheetView>
  </sheetViews>
  <sheetFormatPr defaultRowHeight="17" x14ac:dyDescent="0.4"/>
  <cols>
    <col min="1" max="1" width="3.7265625" customWidth="1"/>
    <col min="2" max="4" width="9" customWidth="1"/>
    <col min="5" max="6" width="9" style="1" customWidth="1"/>
    <col min="7" max="7" width="3.7265625" style="1" customWidth="1"/>
    <col min="8" max="10" width="9" style="1"/>
    <col min="11" max="11" width="3.7265625" customWidth="1"/>
    <col min="14" max="14" width="9" style="1"/>
    <col min="15" max="15" width="3.7265625" customWidth="1"/>
  </cols>
  <sheetData>
    <row r="1" spans="1:14" x14ac:dyDescent="0.4">
      <c r="A1" s="1"/>
      <c r="B1" s="1"/>
      <c r="C1" s="1"/>
      <c r="D1" s="1"/>
    </row>
    <row r="2" spans="1:14" ht="16.5" customHeight="1" x14ac:dyDescent="0.4">
      <c r="A2" s="1"/>
      <c r="B2" s="100" t="s">
        <v>24</v>
      </c>
      <c r="C2" s="100"/>
      <c r="D2" s="100"/>
      <c r="E2" s="100"/>
      <c r="F2" s="100"/>
      <c r="G2" s="100"/>
      <c r="H2" s="100"/>
      <c r="I2" s="100"/>
      <c r="J2" s="100"/>
      <c r="K2" s="100"/>
      <c r="L2" s="100"/>
      <c r="M2" s="100"/>
      <c r="N2" s="100"/>
    </row>
    <row r="3" spans="1:14" ht="16.5" customHeight="1" x14ac:dyDescent="0.4">
      <c r="A3" s="1"/>
      <c r="B3" s="100"/>
      <c r="C3" s="100"/>
      <c r="D3" s="100"/>
      <c r="E3" s="100"/>
      <c r="F3" s="100"/>
      <c r="G3" s="100"/>
      <c r="H3" s="100"/>
      <c r="I3" s="100"/>
      <c r="J3" s="100"/>
      <c r="K3" s="100"/>
      <c r="L3" s="100"/>
      <c r="M3" s="100"/>
      <c r="N3" s="100"/>
    </row>
    <row r="4" spans="1:14" ht="16.5" customHeight="1" x14ac:dyDescent="0.4">
      <c r="A4" s="1"/>
      <c r="B4" s="100"/>
      <c r="C4" s="100"/>
      <c r="D4" s="100"/>
      <c r="E4" s="100"/>
      <c r="F4" s="100"/>
      <c r="G4" s="100"/>
      <c r="H4" s="100"/>
      <c r="I4" s="100"/>
      <c r="J4" s="100"/>
      <c r="K4" s="100"/>
      <c r="L4" s="100"/>
      <c r="M4" s="100"/>
      <c r="N4" s="100"/>
    </row>
    <row r="5" spans="1:14" ht="16.5" customHeight="1" x14ac:dyDescent="0.4">
      <c r="A5" s="1"/>
      <c r="B5" s="100"/>
      <c r="C5" s="100"/>
      <c r="D5" s="100"/>
      <c r="E5" s="100"/>
      <c r="F5" s="100"/>
      <c r="G5" s="100"/>
      <c r="H5" s="100"/>
      <c r="I5" s="100"/>
      <c r="J5" s="100"/>
      <c r="K5" s="100"/>
      <c r="L5" s="100"/>
      <c r="M5" s="100"/>
      <c r="N5" s="100"/>
    </row>
    <row r="6" spans="1:14" ht="16.5" customHeight="1" x14ac:dyDescent="0.4">
      <c r="A6" s="1"/>
      <c r="B6" s="100"/>
      <c r="C6" s="100"/>
      <c r="D6" s="100"/>
      <c r="E6" s="100"/>
      <c r="F6" s="100"/>
      <c r="G6" s="100"/>
      <c r="H6" s="100"/>
      <c r="I6" s="100"/>
      <c r="J6" s="100"/>
      <c r="K6" s="100"/>
      <c r="L6" s="100"/>
      <c r="M6" s="100"/>
      <c r="N6" s="100"/>
    </row>
    <row r="7" spans="1:14" x14ac:dyDescent="0.4">
      <c r="A7" s="1"/>
      <c r="E7"/>
      <c r="F7"/>
      <c r="G7"/>
      <c r="H7"/>
      <c r="I7"/>
      <c r="K7" s="1"/>
    </row>
    <row r="8" spans="1:14" ht="16.5" customHeight="1" x14ac:dyDescent="0.4">
      <c r="A8" s="1"/>
      <c r="B8" s="101" t="s">
        <v>25</v>
      </c>
      <c r="C8" s="101"/>
      <c r="D8" s="101"/>
      <c r="E8" s="101"/>
      <c r="F8" s="101"/>
      <c r="G8" s="101"/>
      <c r="H8" s="101"/>
      <c r="I8" s="101"/>
      <c r="J8" s="101"/>
      <c r="K8" s="101"/>
      <c r="L8" s="101"/>
      <c r="M8" s="101"/>
      <c r="N8" s="101"/>
    </row>
    <row r="9" spans="1:14" ht="16.5" customHeight="1" x14ac:dyDescent="0.4">
      <c r="A9" s="1"/>
      <c r="B9" s="101"/>
      <c r="C9" s="101"/>
      <c r="D9" s="101"/>
      <c r="E9" s="101"/>
      <c r="F9" s="101"/>
      <c r="G9" s="101"/>
      <c r="H9" s="101"/>
      <c r="I9" s="101"/>
      <c r="J9" s="101"/>
      <c r="K9" s="101"/>
      <c r="L9" s="101"/>
      <c r="M9" s="101"/>
      <c r="N9" s="101"/>
    </row>
    <row r="10" spans="1:14" ht="18.75" customHeight="1" x14ac:dyDescent="0.4">
      <c r="A10" s="1"/>
      <c r="B10" s="101"/>
      <c r="C10" s="101"/>
      <c r="D10" s="101"/>
      <c r="E10" s="101"/>
      <c r="F10" s="101"/>
      <c r="G10" s="101"/>
      <c r="H10" s="101"/>
      <c r="I10" s="101"/>
      <c r="J10" s="101"/>
      <c r="K10" s="101"/>
      <c r="L10" s="101"/>
      <c r="M10" s="101"/>
      <c r="N10" s="101"/>
    </row>
    <row r="11" spans="1:14" ht="18.75" customHeight="1" x14ac:dyDescent="0.4">
      <c r="A11" s="1"/>
      <c r="B11" s="17"/>
      <c r="C11" s="17"/>
      <c r="D11" s="4"/>
      <c r="E11" s="4"/>
      <c r="F11" s="4"/>
      <c r="G11" s="4"/>
      <c r="H11" s="4"/>
      <c r="I11" s="4"/>
      <c r="J11" s="4"/>
      <c r="K11" s="4"/>
      <c r="L11" s="4"/>
      <c r="M11" s="4"/>
      <c r="N11" s="4"/>
    </row>
    <row r="12" spans="1:14" x14ac:dyDescent="0.4">
      <c r="H12" s="99" t="s">
        <v>3</v>
      </c>
      <c r="I12" s="99"/>
      <c r="J12" s="99"/>
      <c r="K12" s="1"/>
      <c r="L12" s="99" t="s">
        <v>19</v>
      </c>
      <c r="M12" s="99"/>
      <c r="N12" s="99"/>
    </row>
    <row r="13" spans="1:14" x14ac:dyDescent="0.4">
      <c r="B13" s="18" t="s">
        <v>22</v>
      </c>
      <c r="C13" s="18" t="s">
        <v>21</v>
      </c>
      <c r="D13" s="13" t="s">
        <v>20</v>
      </c>
      <c r="E13" s="13" t="s">
        <v>2</v>
      </c>
      <c r="F13" s="1" t="s">
        <v>16</v>
      </c>
      <c r="G13"/>
      <c r="H13" s="14" t="s">
        <v>4</v>
      </c>
      <c r="I13" s="13" t="s">
        <v>5</v>
      </c>
      <c r="J13" s="1" t="s">
        <v>18</v>
      </c>
      <c r="K13" s="1"/>
      <c r="L13" s="15" t="s">
        <v>4</v>
      </c>
      <c r="M13" s="1" t="s">
        <v>5</v>
      </c>
      <c r="N13" s="1" t="s">
        <v>18</v>
      </c>
    </row>
    <row r="14" spans="1:14" x14ac:dyDescent="0.4">
      <c r="B14" s="99"/>
      <c r="C14" s="99"/>
      <c r="D14" s="1">
        <v>10</v>
      </c>
      <c r="E14" s="1">
        <v>100</v>
      </c>
      <c r="F14" s="1">
        <f>D14-E14</f>
        <v>-90</v>
      </c>
      <c r="G14"/>
      <c r="H14" s="99">
        <v>0</v>
      </c>
      <c r="I14" s="1">
        <v>0</v>
      </c>
      <c r="J14" s="1">
        <f>'(gamma)'!F16</f>
        <v>0</v>
      </c>
      <c r="K14" s="1"/>
      <c r="L14" s="64" t="e">
        <f>H14*N14/J14</f>
        <v>#DIV/0!</v>
      </c>
      <c r="M14" s="1">
        <f>E14</f>
        <v>100</v>
      </c>
      <c r="N14" s="1">
        <f>'(gamma)'!D16</f>
        <v>39.000000000000014</v>
      </c>
    </row>
    <row r="15" spans="1:14" x14ac:dyDescent="0.4">
      <c r="B15" s="99"/>
      <c r="C15" s="99"/>
      <c r="D15" s="1">
        <v>10</v>
      </c>
      <c r="E15" s="1">
        <v>0</v>
      </c>
      <c r="F15" s="1">
        <f>D15-E15</f>
        <v>10</v>
      </c>
      <c r="G15"/>
      <c r="H15" s="99"/>
      <c r="I15" s="1">
        <v>0</v>
      </c>
      <c r="J15" s="1">
        <f>'(gamma)'!F17</f>
        <v>0</v>
      </c>
      <c r="K15" s="1"/>
      <c r="L15" s="64" t="e">
        <f>H14*N15/J15</f>
        <v>#DIV/0!</v>
      </c>
      <c r="M15" s="1">
        <f>E15</f>
        <v>0</v>
      </c>
      <c r="N15" s="1">
        <f>'(gamma)'!D17</f>
        <v>0</v>
      </c>
    </row>
    <row r="16" spans="1:14" x14ac:dyDescent="0.4">
      <c r="B16" s="1"/>
      <c r="C16" s="1"/>
      <c r="D16" s="1"/>
      <c r="G16"/>
      <c r="H16"/>
      <c r="I16"/>
      <c r="J16"/>
      <c r="N16"/>
    </row>
    <row r="17" spans="2:14" x14ac:dyDescent="0.4">
      <c r="H17" s="99" t="s">
        <v>3</v>
      </c>
      <c r="I17" s="99"/>
      <c r="J17" s="99"/>
      <c r="K17" s="1"/>
      <c r="L17" s="99" t="s">
        <v>19</v>
      </c>
      <c r="M17" s="99"/>
      <c r="N17" s="99"/>
    </row>
    <row r="18" spans="2:14" x14ac:dyDescent="0.4">
      <c r="B18" s="18" t="s">
        <v>22</v>
      </c>
      <c r="C18" s="18" t="s">
        <v>21</v>
      </c>
      <c r="D18" s="13" t="s">
        <v>20</v>
      </c>
      <c r="E18" s="13" t="s">
        <v>2</v>
      </c>
      <c r="F18" s="1" t="s">
        <v>16</v>
      </c>
      <c r="G18"/>
      <c r="H18" s="14" t="s">
        <v>4</v>
      </c>
      <c r="I18" s="13" t="s">
        <v>5</v>
      </c>
      <c r="J18" s="1" t="s">
        <v>18</v>
      </c>
      <c r="K18" s="1"/>
      <c r="L18" s="15" t="s">
        <v>4</v>
      </c>
      <c r="M18" s="1" t="s">
        <v>5</v>
      </c>
      <c r="N18" s="1" t="s">
        <v>18</v>
      </c>
    </row>
    <row r="19" spans="2:14" x14ac:dyDescent="0.4">
      <c r="B19" s="99"/>
      <c r="C19" s="99"/>
      <c r="D19" s="1"/>
      <c r="F19" s="1">
        <f>D19-E19</f>
        <v>0</v>
      </c>
      <c r="G19"/>
      <c r="H19" s="99"/>
      <c r="J19" s="1">
        <f>'(gamma)'!F18</f>
        <v>0</v>
      </c>
      <c r="K19" s="1"/>
      <c r="L19" s="64" t="e">
        <f>H19*N19/J19</f>
        <v>#DIV/0!</v>
      </c>
      <c r="M19" s="1">
        <f>E19</f>
        <v>0</v>
      </c>
      <c r="N19" s="1">
        <f>'(gamma)'!D18</f>
        <v>0</v>
      </c>
    </row>
    <row r="20" spans="2:14" x14ac:dyDescent="0.4">
      <c r="B20" s="99"/>
      <c r="C20" s="99"/>
      <c r="D20" s="1"/>
      <c r="F20" s="1">
        <f>D20-E20</f>
        <v>0</v>
      </c>
      <c r="G20"/>
      <c r="H20" s="99"/>
      <c r="J20" s="1">
        <f>'(gamma)'!F19</f>
        <v>0</v>
      </c>
      <c r="K20" s="1"/>
      <c r="L20" s="64" t="e">
        <f>H19*N20/J20</f>
        <v>#DIV/0!</v>
      </c>
      <c r="M20" s="1">
        <f>E20</f>
        <v>0</v>
      </c>
      <c r="N20" s="1">
        <f>'(gamma)'!D19</f>
        <v>0</v>
      </c>
    </row>
    <row r="21" spans="2:14" x14ac:dyDescent="0.4">
      <c r="B21" s="1"/>
      <c r="C21" s="1"/>
      <c r="D21" s="1"/>
      <c r="G21"/>
      <c r="H21"/>
      <c r="I21"/>
      <c r="J21"/>
      <c r="N21"/>
    </row>
    <row r="22" spans="2:14" x14ac:dyDescent="0.4">
      <c r="C22" s="19"/>
      <c r="E22"/>
      <c r="H22" s="99" t="s">
        <v>3</v>
      </c>
      <c r="I22" s="99"/>
      <c r="J22" s="99"/>
      <c r="K22" s="1"/>
      <c r="L22" s="99" t="s">
        <v>19</v>
      </c>
      <c r="M22" s="99"/>
      <c r="N22" s="99"/>
    </row>
    <row r="23" spans="2:14" x14ac:dyDescent="0.4">
      <c r="B23" s="18" t="s">
        <v>22</v>
      </c>
      <c r="C23" s="18" t="s">
        <v>1</v>
      </c>
      <c r="D23" s="13" t="s">
        <v>20</v>
      </c>
      <c r="E23" s="13" t="s">
        <v>2</v>
      </c>
      <c r="F23" s="1" t="s">
        <v>16</v>
      </c>
      <c r="G23"/>
      <c r="H23" s="14" t="s">
        <v>4</v>
      </c>
      <c r="I23" s="13" t="s">
        <v>5</v>
      </c>
      <c r="J23" s="1" t="s">
        <v>18</v>
      </c>
      <c r="K23" s="1"/>
      <c r="L23" s="15" t="s">
        <v>4</v>
      </c>
      <c r="M23" s="1" t="s">
        <v>5</v>
      </c>
      <c r="N23" s="1" t="s">
        <v>18</v>
      </c>
    </row>
    <row r="24" spans="2:14" x14ac:dyDescent="0.4">
      <c r="B24" s="99"/>
      <c r="C24" s="99"/>
      <c r="D24" s="1"/>
      <c r="F24" s="1">
        <f>D24-E24</f>
        <v>0</v>
      </c>
      <c r="G24"/>
      <c r="H24" s="99"/>
      <c r="J24" s="1">
        <f>'(gamma)'!F20</f>
        <v>0</v>
      </c>
      <c r="K24" s="1"/>
      <c r="L24" s="64" t="e">
        <f>H24*N24/J24</f>
        <v>#DIV/0!</v>
      </c>
      <c r="M24" s="1">
        <f>E24</f>
        <v>0</v>
      </c>
      <c r="N24" s="1">
        <f>'(gamma)'!D20</f>
        <v>0</v>
      </c>
    </row>
    <row r="25" spans="2:14" x14ac:dyDescent="0.4">
      <c r="B25" s="99"/>
      <c r="C25" s="99"/>
      <c r="D25" s="1"/>
      <c r="F25" s="1">
        <f>D25-E25</f>
        <v>0</v>
      </c>
      <c r="G25"/>
      <c r="H25" s="99"/>
      <c r="J25" s="1">
        <f>'(gamma)'!F21</f>
        <v>0</v>
      </c>
      <c r="K25" s="1"/>
      <c r="L25" s="64" t="e">
        <f>H24*N25/J25</f>
        <v>#DIV/0!</v>
      </c>
      <c r="M25" s="1">
        <f>E25</f>
        <v>0</v>
      </c>
      <c r="N25" s="1">
        <f>'(gamma)'!D21</f>
        <v>0</v>
      </c>
    </row>
    <row r="27" spans="2:14" x14ac:dyDescent="0.4">
      <c r="C27" s="19"/>
      <c r="E27"/>
      <c r="H27" s="99" t="s">
        <v>3</v>
      </c>
      <c r="I27" s="99"/>
      <c r="J27" s="99"/>
      <c r="K27" s="1"/>
      <c r="L27" s="99" t="s">
        <v>19</v>
      </c>
      <c r="M27" s="99"/>
      <c r="N27" s="99"/>
    </row>
    <row r="28" spans="2:14" x14ac:dyDescent="0.4">
      <c r="B28" s="18" t="s">
        <v>22</v>
      </c>
      <c r="C28" s="18" t="s">
        <v>21</v>
      </c>
      <c r="D28" s="13" t="s">
        <v>20</v>
      </c>
      <c r="E28" s="13" t="s">
        <v>2</v>
      </c>
      <c r="F28" s="1" t="s">
        <v>16</v>
      </c>
      <c r="G28"/>
      <c r="H28" s="14" t="s">
        <v>4</v>
      </c>
      <c r="I28" s="13" t="s">
        <v>5</v>
      </c>
      <c r="J28" s="1" t="s">
        <v>18</v>
      </c>
      <c r="K28" s="1"/>
      <c r="L28" s="15" t="s">
        <v>4</v>
      </c>
      <c r="M28" s="1" t="s">
        <v>5</v>
      </c>
      <c r="N28" s="1" t="s">
        <v>18</v>
      </c>
    </row>
    <row r="29" spans="2:14" x14ac:dyDescent="0.4">
      <c r="B29" s="99"/>
      <c r="C29" s="99"/>
      <c r="D29" s="1"/>
      <c r="F29" s="1">
        <f>D29-E29</f>
        <v>0</v>
      </c>
      <c r="G29"/>
      <c r="H29" s="99"/>
      <c r="J29" s="1">
        <f>'(gamma)'!F22</f>
        <v>0</v>
      </c>
      <c r="K29" s="1"/>
      <c r="L29" s="64" t="e">
        <f>H29*N29/J29</f>
        <v>#DIV/0!</v>
      </c>
      <c r="M29" s="1">
        <f>E29</f>
        <v>0</v>
      </c>
      <c r="N29" s="1">
        <f>'(gamma)'!D22</f>
        <v>0</v>
      </c>
    </row>
    <row r="30" spans="2:14" x14ac:dyDescent="0.4">
      <c r="B30" s="99"/>
      <c r="C30" s="99"/>
      <c r="D30" s="1"/>
      <c r="F30" s="1">
        <f>D30-E30</f>
        <v>0</v>
      </c>
      <c r="G30"/>
      <c r="H30" s="99"/>
      <c r="J30" s="1">
        <f>'(gamma)'!F23</f>
        <v>0</v>
      </c>
      <c r="K30" s="1"/>
      <c r="L30" s="64" t="e">
        <f>H29*N30/J30</f>
        <v>#DIV/0!</v>
      </c>
      <c r="M30" s="1">
        <f>E30</f>
        <v>0</v>
      </c>
      <c r="N30" s="1">
        <f>'(gamma)'!D23</f>
        <v>0</v>
      </c>
    </row>
    <row r="32" spans="2:14" x14ac:dyDescent="0.4">
      <c r="C32" s="19"/>
      <c r="E32"/>
      <c r="H32" s="99" t="s">
        <v>3</v>
      </c>
      <c r="I32" s="99"/>
      <c r="J32" s="99"/>
      <c r="K32" s="1"/>
      <c r="L32" s="99" t="s">
        <v>19</v>
      </c>
      <c r="M32" s="99"/>
      <c r="N32" s="99"/>
    </row>
    <row r="33" spans="2:14" x14ac:dyDescent="0.4">
      <c r="B33" s="18" t="s">
        <v>22</v>
      </c>
      <c r="C33" s="18" t="s">
        <v>21</v>
      </c>
      <c r="D33" s="13" t="s">
        <v>20</v>
      </c>
      <c r="E33" s="13" t="s">
        <v>2</v>
      </c>
      <c r="F33" s="1" t="s">
        <v>16</v>
      </c>
      <c r="G33"/>
      <c r="H33" s="14" t="s">
        <v>4</v>
      </c>
      <c r="I33" s="13" t="s">
        <v>5</v>
      </c>
      <c r="J33" s="1" t="s">
        <v>18</v>
      </c>
      <c r="K33" s="1"/>
      <c r="L33" s="15" t="s">
        <v>4</v>
      </c>
      <c r="M33" s="1" t="s">
        <v>5</v>
      </c>
      <c r="N33" s="1" t="s">
        <v>18</v>
      </c>
    </row>
    <row r="34" spans="2:14" x14ac:dyDescent="0.4">
      <c r="B34" s="99"/>
      <c r="C34" s="99"/>
      <c r="D34" s="1"/>
      <c r="F34" s="1">
        <f>D34-E34</f>
        <v>0</v>
      </c>
      <c r="G34"/>
      <c r="H34" s="99"/>
      <c r="J34" s="1">
        <f>'(gamma)'!F24</f>
        <v>0</v>
      </c>
      <c r="K34" s="1"/>
      <c r="L34" s="64" t="e">
        <f>H34*N34/J34</f>
        <v>#DIV/0!</v>
      </c>
      <c r="M34" s="1">
        <f>E34</f>
        <v>0</v>
      </c>
      <c r="N34" s="1">
        <f>'(gamma)'!D24</f>
        <v>0</v>
      </c>
    </row>
    <row r="35" spans="2:14" x14ac:dyDescent="0.4">
      <c r="B35" s="99"/>
      <c r="C35" s="99"/>
      <c r="D35" s="1"/>
      <c r="F35" s="1">
        <f>D35-E35</f>
        <v>0</v>
      </c>
      <c r="G35"/>
      <c r="H35" s="99"/>
      <c r="J35" s="1">
        <f>'(gamma)'!F25</f>
        <v>0</v>
      </c>
      <c r="K35" s="1"/>
      <c r="L35" s="64" t="e">
        <f>H35*N35/J35</f>
        <v>#DIV/0!</v>
      </c>
      <c r="M35" s="1">
        <f>E35</f>
        <v>0</v>
      </c>
      <c r="N35" s="1">
        <f>'(gamma)'!D25</f>
        <v>0</v>
      </c>
    </row>
    <row r="37" spans="2:14" x14ac:dyDescent="0.4">
      <c r="C37" s="19"/>
      <c r="E37"/>
      <c r="H37" s="99" t="s">
        <v>3</v>
      </c>
      <c r="I37" s="99"/>
      <c r="J37" s="99"/>
      <c r="K37" s="1"/>
      <c r="L37" s="99" t="s">
        <v>19</v>
      </c>
      <c r="M37" s="99"/>
      <c r="N37" s="99"/>
    </row>
    <row r="38" spans="2:14" x14ac:dyDescent="0.4">
      <c r="B38" s="18" t="s">
        <v>22</v>
      </c>
      <c r="C38" s="18" t="s">
        <v>21</v>
      </c>
      <c r="D38" s="13" t="s">
        <v>20</v>
      </c>
      <c r="E38" s="13" t="s">
        <v>2</v>
      </c>
      <c r="F38" s="1" t="s">
        <v>16</v>
      </c>
      <c r="G38"/>
      <c r="H38" s="14" t="s">
        <v>4</v>
      </c>
      <c r="I38" s="13" t="s">
        <v>5</v>
      </c>
      <c r="J38" s="1" t="s">
        <v>18</v>
      </c>
      <c r="K38" s="1"/>
      <c r="L38" s="15" t="s">
        <v>4</v>
      </c>
      <c r="M38" s="1" t="s">
        <v>5</v>
      </c>
      <c r="N38" s="1" t="s">
        <v>18</v>
      </c>
    </row>
    <row r="39" spans="2:14" x14ac:dyDescent="0.4">
      <c r="B39" s="99"/>
      <c r="C39" s="99"/>
      <c r="D39" s="1"/>
      <c r="F39" s="1">
        <f>D39-E39</f>
        <v>0</v>
      </c>
      <c r="G39"/>
      <c r="H39" s="99"/>
      <c r="J39" s="1">
        <f>'(gamma)'!F26</f>
        <v>0</v>
      </c>
      <c r="K39" s="1"/>
      <c r="L39" s="64" t="e">
        <f>H39*N39/J39</f>
        <v>#DIV/0!</v>
      </c>
      <c r="M39" s="1">
        <f>E39</f>
        <v>0</v>
      </c>
      <c r="N39" s="1">
        <f>'(gamma)'!D26</f>
        <v>0</v>
      </c>
    </row>
    <row r="40" spans="2:14" x14ac:dyDescent="0.4">
      <c r="B40" s="99"/>
      <c r="C40" s="99"/>
      <c r="F40" s="1">
        <f>D40-E40</f>
        <v>0</v>
      </c>
      <c r="H40" s="99"/>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B2:AA282"/>
  <sheetViews>
    <sheetView zoomScaleNormal="100" workbookViewId="0">
      <selection activeCell="C16" sqref="C16"/>
    </sheetView>
  </sheetViews>
  <sheetFormatPr defaultColWidth="9" defaultRowHeight="17" x14ac:dyDescent="0.4"/>
  <cols>
    <col min="1" max="1" width="3.36328125" style="1" customWidth="1"/>
    <col min="2" max="6" width="10.90625" style="1" customWidth="1"/>
    <col min="7" max="7" width="3.36328125" style="1" customWidth="1"/>
    <col min="8" max="11" width="10.90625" style="1" customWidth="1"/>
    <col min="12" max="12" width="3.36328125" style="1" customWidth="1"/>
    <col min="13" max="24" width="10.90625" style="1" customWidth="1"/>
    <col min="25" max="25" width="3.36328125" style="1" customWidth="1"/>
    <col min="26" max="43" width="9.08984375" style="1" customWidth="1"/>
    <col min="44" max="59" width="9" style="1"/>
    <col min="60" max="60" width="9" style="1" customWidth="1"/>
    <col min="61" max="16384" width="9" style="1"/>
  </cols>
  <sheetData>
    <row r="2" spans="2:27" ht="16.5" customHeight="1" x14ac:dyDescent="0.4">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4">
      <c r="B3" s="100"/>
      <c r="C3" s="100"/>
      <c r="D3" s="100"/>
      <c r="E3" s="100"/>
      <c r="F3" s="100"/>
      <c r="H3" s="7" t="s">
        <v>14</v>
      </c>
      <c r="I3" s="1" t="s">
        <v>15</v>
      </c>
      <c r="J3" s="1" t="s">
        <v>14</v>
      </c>
      <c r="K3" s="1" t="s">
        <v>16</v>
      </c>
      <c r="M3" s="114"/>
      <c r="N3" s="113"/>
      <c r="O3" s="105"/>
      <c r="P3" s="106"/>
      <c r="Q3" s="106"/>
      <c r="R3" s="106"/>
      <c r="S3" s="107"/>
      <c r="T3"/>
      <c r="Y3"/>
    </row>
    <row r="4" spans="2:27" ht="16.5" customHeight="1" x14ac:dyDescent="0.4">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4">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4">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4">
      <c r="B7" s="100"/>
      <c r="C7" s="100"/>
      <c r="D7" s="100"/>
      <c r="E7" s="100"/>
      <c r="F7" s="100"/>
      <c r="H7" s="8">
        <f t="shared" si="0"/>
        <v>10.5</v>
      </c>
      <c r="I7" s="1">
        <v>3</v>
      </c>
      <c r="J7" s="1">
        <f t="shared" si="1"/>
        <v>10.5</v>
      </c>
      <c r="K7" s="1">
        <f t="shared" si="2"/>
        <v>3</v>
      </c>
      <c r="L7" s="3"/>
    </row>
    <row r="8" spans="2:27" x14ac:dyDescent="0.4">
      <c r="B8" s="100"/>
      <c r="C8" s="100"/>
      <c r="D8" s="100"/>
      <c r="E8" s="100"/>
      <c r="F8" s="100"/>
      <c r="G8"/>
      <c r="H8" s="8">
        <f t="shared" si="0"/>
        <v>13.5</v>
      </c>
      <c r="I8" s="1">
        <v>4</v>
      </c>
      <c r="J8" s="1">
        <f t="shared" si="1"/>
        <v>13.5</v>
      </c>
      <c r="K8" s="1">
        <f t="shared" si="2"/>
        <v>3</v>
      </c>
      <c r="L8" s="5"/>
    </row>
    <row r="9" spans="2:27" x14ac:dyDescent="0.4">
      <c r="B9" s="100"/>
      <c r="C9" s="100"/>
      <c r="D9" s="100"/>
      <c r="E9" s="100"/>
      <c r="F9" s="100"/>
      <c r="G9"/>
      <c r="H9" s="8">
        <f t="shared" si="0"/>
        <v>16.5</v>
      </c>
      <c r="I9" s="1">
        <v>5</v>
      </c>
      <c r="J9" s="1">
        <f t="shared" si="1"/>
        <v>16.5</v>
      </c>
      <c r="K9" s="1">
        <f t="shared" si="2"/>
        <v>3</v>
      </c>
      <c r="L9" s="5"/>
    </row>
    <row r="10" spans="2:27" x14ac:dyDescent="0.4">
      <c r="H10" s="8">
        <f t="shared" si="0"/>
        <v>19.5</v>
      </c>
      <c r="I10" s="1">
        <v>6</v>
      </c>
      <c r="J10" s="1">
        <f t="shared" si="1"/>
        <v>19.5</v>
      </c>
      <c r="K10" s="1">
        <f t="shared" si="2"/>
        <v>3</v>
      </c>
    </row>
    <row r="11" spans="2:27" x14ac:dyDescent="0.4">
      <c r="B11" s="115" t="s">
        <v>23</v>
      </c>
      <c r="C11" s="116"/>
      <c r="D11" s="116"/>
      <c r="E11" s="116"/>
      <c r="F11" s="116"/>
      <c r="H11" s="8">
        <f t="shared" si="0"/>
        <v>23</v>
      </c>
      <c r="I11" s="1">
        <v>7</v>
      </c>
      <c r="J11" s="1">
        <f t="shared" si="1"/>
        <v>23</v>
      </c>
      <c r="K11" s="1">
        <f t="shared" si="2"/>
        <v>3.5</v>
      </c>
    </row>
    <row r="12" spans="2:27" x14ac:dyDescent="0.4">
      <c r="B12" s="116"/>
      <c r="C12" s="116"/>
      <c r="D12" s="116"/>
      <c r="E12" s="116"/>
      <c r="F12" s="116"/>
      <c r="H12" s="8">
        <f t="shared" si="0"/>
        <v>26.5</v>
      </c>
      <c r="I12" s="1">
        <v>8</v>
      </c>
      <c r="J12" s="1">
        <f t="shared" si="1"/>
        <v>26.5</v>
      </c>
      <c r="K12" s="1">
        <f t="shared" si="2"/>
        <v>3.5</v>
      </c>
    </row>
    <row r="13" spans="2:27" x14ac:dyDescent="0.4">
      <c r="B13" s="116"/>
      <c r="C13" s="116"/>
      <c r="D13" s="116"/>
      <c r="E13" s="116"/>
      <c r="F13" s="116"/>
      <c r="H13" s="8">
        <f t="shared" si="0"/>
        <v>29.5</v>
      </c>
      <c r="I13" s="1">
        <v>9</v>
      </c>
      <c r="J13" s="1">
        <f t="shared" si="1"/>
        <v>29.5</v>
      </c>
      <c r="K13" s="1">
        <f t="shared" si="2"/>
        <v>3</v>
      </c>
    </row>
    <row r="14" spans="2:27" x14ac:dyDescent="0.4">
      <c r="H14" s="8">
        <f t="shared" si="0"/>
        <v>33.25</v>
      </c>
      <c r="I14" s="1">
        <v>10</v>
      </c>
      <c r="J14" s="1">
        <f t="shared" si="1"/>
        <v>33.25</v>
      </c>
      <c r="K14" s="1">
        <f t="shared" si="2"/>
        <v>3.75</v>
      </c>
    </row>
    <row r="15" spans="2:27" x14ac:dyDescent="0.4">
      <c r="B15" s="19" t="s">
        <v>22</v>
      </c>
      <c r="C15" s="1" t="s">
        <v>2</v>
      </c>
      <c r="D15" s="1" t="s">
        <v>8</v>
      </c>
      <c r="E15" s="1" t="s">
        <v>3</v>
      </c>
      <c r="F15" s="1" t="s">
        <v>8</v>
      </c>
      <c r="H15" s="8">
        <f t="shared" si="0"/>
        <v>36.75</v>
      </c>
      <c r="I15" s="1">
        <v>11</v>
      </c>
      <c r="J15" s="1">
        <f t="shared" si="1"/>
        <v>36.75</v>
      </c>
      <c r="K15" s="1">
        <f t="shared" si="2"/>
        <v>3.5</v>
      </c>
    </row>
    <row r="16" spans="2:27" x14ac:dyDescent="0.4">
      <c r="B16" s="99">
        <f>colorChecker!B14</f>
        <v>0</v>
      </c>
      <c r="C16" s="1">
        <f>colorChecker!E14</f>
        <v>100</v>
      </c>
      <c r="D16" s="6">
        <f t="shared" ref="D16:D25" si="3">((F30-E30)*C16)/(D30-C30)+E30-(C30*((F30-E30)/(D30-C30)))</f>
        <v>39.000000000000014</v>
      </c>
      <c r="E16" s="1">
        <f>colorChecker!I14</f>
        <v>0</v>
      </c>
      <c r="F16" s="16">
        <f t="shared" ref="F16:F27" si="4">((F44-E44)*E16)/(D44-C44)+E44-(C44*((F44-E44)/(D44-C44)))</f>
        <v>0</v>
      </c>
      <c r="H16" s="8">
        <f t="shared" si="0"/>
        <v>39.75</v>
      </c>
      <c r="I16" s="1">
        <v>12</v>
      </c>
      <c r="J16" s="1">
        <f t="shared" si="1"/>
        <v>39.75</v>
      </c>
      <c r="K16" s="1">
        <f t="shared" si="2"/>
        <v>3</v>
      </c>
    </row>
    <row r="17" spans="2:18" x14ac:dyDescent="0.4">
      <c r="B17" s="99"/>
      <c r="C17" s="1">
        <f>colorChecker!E15</f>
        <v>0</v>
      </c>
      <c r="D17" s="6">
        <f t="shared" si="3"/>
        <v>0</v>
      </c>
      <c r="E17" s="1">
        <f>colorChecker!I15</f>
        <v>0</v>
      </c>
      <c r="F17" s="16">
        <f t="shared" si="4"/>
        <v>0</v>
      </c>
      <c r="H17" s="8">
        <f t="shared" si="0"/>
        <v>42.75</v>
      </c>
      <c r="I17" s="1">
        <v>13</v>
      </c>
      <c r="J17" s="1">
        <f t="shared" si="1"/>
        <v>42.75</v>
      </c>
      <c r="K17" s="1">
        <f t="shared" si="2"/>
        <v>3</v>
      </c>
    </row>
    <row r="18" spans="2:18" x14ac:dyDescent="0.4">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4">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4">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4">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4">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4">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4">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4">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4">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4">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4">
      <c r="H28" s="8">
        <f t="shared" si="0"/>
        <v>71.75</v>
      </c>
      <c r="I28" s="1">
        <v>24</v>
      </c>
      <c r="J28" s="1">
        <f t="shared" si="1"/>
        <v>71.75</v>
      </c>
      <c r="K28" s="1">
        <f t="shared" si="2"/>
        <v>2.5</v>
      </c>
      <c r="M28"/>
      <c r="N28"/>
      <c r="O28"/>
      <c r="P28"/>
      <c r="Q28"/>
      <c r="R28"/>
    </row>
    <row r="29" spans="2:18" x14ac:dyDescent="0.4">
      <c r="C29" s="1" t="s">
        <v>9</v>
      </c>
      <c r="D29" s="1" t="s">
        <v>10</v>
      </c>
      <c r="E29" s="1" t="s">
        <v>11</v>
      </c>
      <c r="F29" s="1" t="s">
        <v>12</v>
      </c>
      <c r="H29" s="8">
        <f t="shared" si="0"/>
        <v>74.25</v>
      </c>
      <c r="I29" s="1">
        <v>25</v>
      </c>
      <c r="J29" s="1">
        <f t="shared" si="1"/>
        <v>74.25</v>
      </c>
      <c r="K29" s="1">
        <f t="shared" si="2"/>
        <v>2.5</v>
      </c>
      <c r="M29"/>
      <c r="N29"/>
      <c r="O29"/>
      <c r="P29"/>
      <c r="Q29"/>
      <c r="R29"/>
    </row>
    <row r="30" spans="2:18" x14ac:dyDescent="0.4">
      <c r="B30" s="1">
        <v>1</v>
      </c>
      <c r="C30" s="1">
        <f t="shared" ref="C30:D35" si="5">VLOOKUP(E30,$I$4:$J$260,2,TRUE)</f>
        <v>100</v>
      </c>
      <c r="D30" s="1">
        <f t="shared" si="5"/>
        <v>101.5</v>
      </c>
      <c r="E30" s="1">
        <f t="shared" ref="E30:E39" si="6">VLOOKUP(ROUNDUP(C16,1),$H$4:$I$260,2,TRUE)</f>
        <v>39</v>
      </c>
      <c r="F30" s="1">
        <f t="shared" ref="F30:F39" si="7">VLOOKUP(ROUNDUP(C16,1),$H$4:$I$260,2,TRUE)+1</f>
        <v>40</v>
      </c>
      <c r="H30" s="8">
        <f t="shared" si="0"/>
        <v>76.25</v>
      </c>
      <c r="I30" s="1">
        <v>26</v>
      </c>
      <c r="J30" s="1">
        <f t="shared" si="1"/>
        <v>76.25</v>
      </c>
      <c r="K30" s="1">
        <f t="shared" si="2"/>
        <v>2</v>
      </c>
      <c r="M30"/>
      <c r="N30"/>
      <c r="O30"/>
      <c r="P30"/>
      <c r="Q30"/>
      <c r="R30"/>
    </row>
    <row r="31" spans="2:18" x14ac:dyDescent="0.4">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4">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4">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4">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4">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4">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4">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4">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4">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4">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4">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4">
      <c r="H42" s="8">
        <f t="shared" si="0"/>
        <v>98.5</v>
      </c>
      <c r="I42" s="1">
        <v>38</v>
      </c>
      <c r="J42" s="1">
        <f t="shared" si="1"/>
        <v>98.5</v>
      </c>
      <c r="K42" s="1">
        <f t="shared" si="2"/>
        <v>1.5</v>
      </c>
      <c r="M42"/>
      <c r="N42"/>
      <c r="O42"/>
      <c r="P42"/>
      <c r="Q42"/>
      <c r="R42"/>
    </row>
    <row r="43" spans="2:18" x14ac:dyDescent="0.4">
      <c r="C43" s="1" t="s">
        <v>9</v>
      </c>
      <c r="D43" s="1" t="s">
        <v>10</v>
      </c>
      <c r="E43" s="1" t="s">
        <v>11</v>
      </c>
      <c r="F43" s="1" t="s">
        <v>12</v>
      </c>
      <c r="H43" s="8">
        <f t="shared" si="0"/>
        <v>100</v>
      </c>
      <c r="I43" s="1">
        <v>39</v>
      </c>
      <c r="J43" s="1">
        <f t="shared" si="1"/>
        <v>100</v>
      </c>
      <c r="K43" s="1">
        <f t="shared" si="2"/>
        <v>1.5</v>
      </c>
      <c r="M43"/>
      <c r="N43"/>
      <c r="O43"/>
      <c r="P43"/>
      <c r="Q43"/>
      <c r="R43"/>
    </row>
    <row r="44" spans="2:18" x14ac:dyDescent="0.4">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4">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4">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4">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4">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4">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4">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4">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4">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4">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4">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4">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4">
      <c r="H56" s="8">
        <f t="shared" si="0"/>
        <v>120</v>
      </c>
      <c r="I56" s="1">
        <v>52</v>
      </c>
      <c r="J56" s="1">
        <f t="shared" si="1"/>
        <v>120</v>
      </c>
      <c r="K56" s="1">
        <f t="shared" si="2"/>
        <v>1.5</v>
      </c>
      <c r="M56"/>
      <c r="N56"/>
      <c r="O56"/>
      <c r="P56"/>
      <c r="Q56"/>
    </row>
    <row r="57" spans="2:17" x14ac:dyDescent="0.4">
      <c r="H57" s="8">
        <f t="shared" si="0"/>
        <v>121.5</v>
      </c>
      <c r="I57" s="1">
        <v>53</v>
      </c>
      <c r="J57" s="1">
        <f t="shared" si="1"/>
        <v>121.5</v>
      </c>
      <c r="K57" s="1">
        <f t="shared" si="2"/>
        <v>1.5</v>
      </c>
      <c r="M57"/>
      <c r="N57"/>
      <c r="O57"/>
      <c r="P57"/>
      <c r="Q57"/>
    </row>
    <row r="58" spans="2:17" x14ac:dyDescent="0.4">
      <c r="H58" s="8">
        <f t="shared" si="0"/>
        <v>123</v>
      </c>
      <c r="I58" s="1">
        <v>54</v>
      </c>
      <c r="J58" s="1">
        <f t="shared" si="1"/>
        <v>123</v>
      </c>
      <c r="K58" s="1">
        <f t="shared" si="2"/>
        <v>1.5</v>
      </c>
      <c r="M58"/>
      <c r="N58"/>
      <c r="O58"/>
      <c r="P58"/>
      <c r="Q58"/>
    </row>
    <row r="59" spans="2:17" x14ac:dyDescent="0.4">
      <c r="H59" s="8">
        <f t="shared" si="0"/>
        <v>124</v>
      </c>
      <c r="I59" s="1">
        <v>55</v>
      </c>
      <c r="J59" s="1">
        <f t="shared" si="1"/>
        <v>124</v>
      </c>
      <c r="K59" s="1">
        <f t="shared" si="2"/>
        <v>1</v>
      </c>
      <c r="M59"/>
      <c r="N59"/>
      <c r="O59"/>
      <c r="P59"/>
      <c r="Q59"/>
    </row>
    <row r="60" spans="2:17" x14ac:dyDescent="0.4">
      <c r="H60" s="8">
        <f t="shared" si="0"/>
        <v>125.5</v>
      </c>
      <c r="I60" s="1">
        <v>56</v>
      </c>
      <c r="J60" s="1">
        <f t="shared" si="1"/>
        <v>125.5</v>
      </c>
      <c r="K60" s="1">
        <f t="shared" si="2"/>
        <v>1.5</v>
      </c>
      <c r="M60"/>
      <c r="N60"/>
      <c r="O60"/>
      <c r="P60"/>
      <c r="Q60"/>
    </row>
    <row r="61" spans="2:17" x14ac:dyDescent="0.4">
      <c r="H61" s="8">
        <f t="shared" si="0"/>
        <v>127</v>
      </c>
      <c r="I61" s="1">
        <v>57</v>
      </c>
      <c r="J61" s="1">
        <f t="shared" si="1"/>
        <v>127</v>
      </c>
      <c r="K61" s="1">
        <f t="shared" si="2"/>
        <v>1.5</v>
      </c>
      <c r="M61"/>
      <c r="N61"/>
      <c r="O61"/>
      <c r="P61"/>
      <c r="Q61"/>
    </row>
    <row r="62" spans="2:17" x14ac:dyDescent="0.4">
      <c r="H62" s="8">
        <f t="shared" si="0"/>
        <v>128</v>
      </c>
      <c r="I62" s="1">
        <v>58</v>
      </c>
      <c r="J62" s="1">
        <f t="shared" si="1"/>
        <v>128</v>
      </c>
      <c r="K62" s="1">
        <f t="shared" si="2"/>
        <v>1</v>
      </c>
      <c r="M62"/>
      <c r="N62"/>
      <c r="O62"/>
      <c r="P62"/>
      <c r="Q62"/>
    </row>
    <row r="63" spans="2:17" x14ac:dyDescent="0.4">
      <c r="H63" s="8">
        <f t="shared" si="0"/>
        <v>129.5</v>
      </c>
      <c r="I63" s="1">
        <v>59</v>
      </c>
      <c r="J63" s="1">
        <f t="shared" si="1"/>
        <v>129.5</v>
      </c>
      <c r="K63" s="1">
        <f t="shared" si="2"/>
        <v>1.5</v>
      </c>
      <c r="M63"/>
      <c r="N63"/>
      <c r="O63"/>
      <c r="P63"/>
      <c r="Q63"/>
    </row>
    <row r="64" spans="2:17" x14ac:dyDescent="0.4">
      <c r="H64" s="8">
        <f t="shared" si="0"/>
        <v>131</v>
      </c>
      <c r="I64" s="1">
        <v>60</v>
      </c>
      <c r="J64" s="1">
        <f t="shared" si="1"/>
        <v>131</v>
      </c>
      <c r="K64" s="1">
        <f t="shared" si="2"/>
        <v>1.5</v>
      </c>
      <c r="M64"/>
      <c r="N64"/>
      <c r="O64"/>
      <c r="P64"/>
      <c r="Q64"/>
    </row>
    <row r="65" spans="8:17" x14ac:dyDescent="0.4">
      <c r="H65" s="8">
        <f t="shared" si="0"/>
        <v>132</v>
      </c>
      <c r="I65" s="1">
        <v>61</v>
      </c>
      <c r="J65" s="1">
        <f t="shared" si="1"/>
        <v>132</v>
      </c>
      <c r="K65" s="1">
        <f t="shared" si="2"/>
        <v>1</v>
      </c>
      <c r="M65"/>
      <c r="N65"/>
      <c r="O65"/>
      <c r="P65"/>
      <c r="Q65"/>
    </row>
    <row r="66" spans="8:17" x14ac:dyDescent="0.4">
      <c r="H66" s="8">
        <f t="shared" si="0"/>
        <v>133.5</v>
      </c>
      <c r="I66" s="1">
        <v>62</v>
      </c>
      <c r="J66" s="1">
        <f t="shared" si="1"/>
        <v>133.5</v>
      </c>
      <c r="K66" s="1">
        <f t="shared" si="2"/>
        <v>1.5</v>
      </c>
      <c r="M66"/>
      <c r="N66"/>
      <c r="O66"/>
      <c r="P66"/>
      <c r="Q66"/>
    </row>
    <row r="67" spans="8:17" x14ac:dyDescent="0.4">
      <c r="H67" s="8">
        <f t="shared" si="0"/>
        <v>134.5</v>
      </c>
      <c r="I67" s="1">
        <v>63</v>
      </c>
      <c r="J67" s="1">
        <f t="shared" si="1"/>
        <v>134.5</v>
      </c>
      <c r="K67" s="1">
        <f t="shared" si="2"/>
        <v>1</v>
      </c>
      <c r="M67"/>
      <c r="N67"/>
      <c r="O67"/>
      <c r="P67"/>
      <c r="Q67"/>
    </row>
    <row r="68" spans="8:17" x14ac:dyDescent="0.4">
      <c r="H68" s="8">
        <f t="shared" si="0"/>
        <v>135.5</v>
      </c>
      <c r="I68" s="1">
        <v>64</v>
      </c>
      <c r="J68" s="1">
        <f t="shared" si="1"/>
        <v>135.5</v>
      </c>
      <c r="K68" s="1">
        <f t="shared" si="2"/>
        <v>1</v>
      </c>
      <c r="M68"/>
      <c r="N68"/>
      <c r="O68"/>
      <c r="P68"/>
      <c r="Q68"/>
    </row>
    <row r="69" spans="8:17" x14ac:dyDescent="0.4">
      <c r="H69" s="8">
        <f t="shared" ref="H69:H132" si="15">J69</f>
        <v>137</v>
      </c>
      <c r="I69" s="1">
        <v>65</v>
      </c>
      <c r="J69" s="1">
        <f t="shared" si="1"/>
        <v>137</v>
      </c>
      <c r="K69" s="1">
        <f t="shared" si="2"/>
        <v>1.5</v>
      </c>
      <c r="M69"/>
      <c r="N69"/>
      <c r="O69"/>
      <c r="P69"/>
      <c r="Q69"/>
    </row>
    <row r="70" spans="8:17" x14ac:dyDescent="0.4">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4">
      <c r="H71" s="8">
        <f t="shared" si="15"/>
        <v>139.5</v>
      </c>
      <c r="I71" s="1">
        <v>67</v>
      </c>
      <c r="J71" s="1">
        <f t="shared" si="16"/>
        <v>139.5</v>
      </c>
      <c r="K71" s="1">
        <f t="shared" si="17"/>
        <v>1.5</v>
      </c>
      <c r="M71"/>
      <c r="N71"/>
      <c r="O71"/>
      <c r="P71"/>
      <c r="Q71"/>
    </row>
    <row r="72" spans="8:17" x14ac:dyDescent="0.4">
      <c r="H72" s="8">
        <f t="shared" si="15"/>
        <v>141</v>
      </c>
      <c r="I72" s="1">
        <v>68</v>
      </c>
      <c r="J72" s="1">
        <f t="shared" si="16"/>
        <v>141</v>
      </c>
      <c r="K72" s="1">
        <f t="shared" si="17"/>
        <v>1.5</v>
      </c>
      <c r="M72"/>
      <c r="N72"/>
      <c r="O72"/>
      <c r="P72"/>
      <c r="Q72"/>
    </row>
    <row r="73" spans="8:17" x14ac:dyDescent="0.4">
      <c r="H73" s="8">
        <f t="shared" si="15"/>
        <v>142</v>
      </c>
      <c r="I73" s="1">
        <v>69</v>
      </c>
      <c r="J73" s="1">
        <f t="shared" si="16"/>
        <v>142</v>
      </c>
      <c r="K73" s="1">
        <f t="shared" si="17"/>
        <v>1</v>
      </c>
      <c r="M73"/>
      <c r="N73"/>
      <c r="O73"/>
      <c r="P73"/>
      <c r="Q73"/>
    </row>
    <row r="74" spans="8:17" x14ac:dyDescent="0.4">
      <c r="H74" s="8">
        <f t="shared" si="15"/>
        <v>143</v>
      </c>
      <c r="I74" s="1">
        <v>70</v>
      </c>
      <c r="J74" s="1">
        <f t="shared" si="16"/>
        <v>143</v>
      </c>
      <c r="K74" s="1">
        <f t="shared" si="17"/>
        <v>1</v>
      </c>
      <c r="M74"/>
      <c r="N74"/>
      <c r="O74"/>
      <c r="P74"/>
      <c r="Q74"/>
    </row>
    <row r="75" spans="8:17" x14ac:dyDescent="0.4">
      <c r="H75" s="8">
        <f t="shared" si="15"/>
        <v>144</v>
      </c>
      <c r="I75" s="1">
        <v>71</v>
      </c>
      <c r="J75" s="1">
        <f t="shared" si="16"/>
        <v>144</v>
      </c>
      <c r="K75" s="1">
        <f t="shared" si="17"/>
        <v>1</v>
      </c>
      <c r="M75"/>
      <c r="N75"/>
      <c r="O75"/>
      <c r="P75"/>
      <c r="Q75"/>
    </row>
    <row r="76" spans="8:17" x14ac:dyDescent="0.4">
      <c r="H76" s="8">
        <f t="shared" si="15"/>
        <v>145</v>
      </c>
      <c r="I76" s="1">
        <v>72</v>
      </c>
      <c r="J76" s="1">
        <f t="shared" si="16"/>
        <v>145</v>
      </c>
      <c r="K76" s="1">
        <f t="shared" si="17"/>
        <v>1</v>
      </c>
      <c r="M76"/>
      <c r="N76"/>
      <c r="O76"/>
      <c r="P76"/>
      <c r="Q76"/>
    </row>
    <row r="77" spans="8:17" x14ac:dyDescent="0.4">
      <c r="H77" s="8">
        <f t="shared" si="15"/>
        <v>146</v>
      </c>
      <c r="I77" s="1">
        <v>73</v>
      </c>
      <c r="J77" s="1">
        <f t="shared" si="16"/>
        <v>146</v>
      </c>
      <c r="K77" s="1">
        <f t="shared" si="17"/>
        <v>1</v>
      </c>
      <c r="M77"/>
      <c r="N77"/>
      <c r="O77"/>
      <c r="P77"/>
      <c r="Q77"/>
    </row>
    <row r="78" spans="8:17" x14ac:dyDescent="0.4">
      <c r="H78" s="8">
        <f t="shared" si="15"/>
        <v>147</v>
      </c>
      <c r="I78" s="1">
        <v>74</v>
      </c>
      <c r="J78" s="1">
        <f t="shared" si="16"/>
        <v>147</v>
      </c>
      <c r="K78" s="1">
        <f t="shared" si="17"/>
        <v>1</v>
      </c>
      <c r="M78"/>
      <c r="N78"/>
      <c r="O78"/>
      <c r="P78"/>
      <c r="Q78"/>
    </row>
    <row r="79" spans="8:17" x14ac:dyDescent="0.4">
      <c r="H79" s="8">
        <f t="shared" si="15"/>
        <v>148</v>
      </c>
      <c r="I79" s="1">
        <v>75</v>
      </c>
      <c r="J79" s="1">
        <f t="shared" si="16"/>
        <v>148</v>
      </c>
      <c r="K79" s="1">
        <f t="shared" si="17"/>
        <v>1</v>
      </c>
      <c r="M79"/>
      <c r="N79"/>
      <c r="O79"/>
      <c r="P79"/>
      <c r="Q79"/>
    </row>
    <row r="80" spans="8:17" x14ac:dyDescent="0.4">
      <c r="H80" s="8">
        <f t="shared" si="15"/>
        <v>149.5</v>
      </c>
      <c r="I80" s="1">
        <v>76</v>
      </c>
      <c r="J80" s="1">
        <f t="shared" si="16"/>
        <v>149.5</v>
      </c>
      <c r="K80" s="1">
        <f t="shared" si="17"/>
        <v>1.5</v>
      </c>
      <c r="M80"/>
      <c r="N80"/>
      <c r="O80"/>
      <c r="P80"/>
      <c r="Q80"/>
    </row>
    <row r="81" spans="2:17" x14ac:dyDescent="0.4">
      <c r="H81" s="8">
        <f t="shared" si="15"/>
        <v>150.5</v>
      </c>
      <c r="I81" s="1">
        <v>77</v>
      </c>
      <c r="J81" s="1">
        <f t="shared" si="16"/>
        <v>150.5</v>
      </c>
      <c r="K81" s="1">
        <f t="shared" si="17"/>
        <v>1</v>
      </c>
      <c r="M81"/>
      <c r="N81"/>
      <c r="O81"/>
      <c r="P81"/>
      <c r="Q81"/>
    </row>
    <row r="82" spans="2:17" x14ac:dyDescent="0.4">
      <c r="H82" s="8">
        <f t="shared" si="15"/>
        <v>151.5</v>
      </c>
      <c r="I82" s="1">
        <v>78</v>
      </c>
      <c r="J82" s="1">
        <f t="shared" si="16"/>
        <v>151.5</v>
      </c>
      <c r="K82" s="1">
        <f t="shared" si="17"/>
        <v>1</v>
      </c>
      <c r="M82"/>
      <c r="N82"/>
      <c r="O82"/>
      <c r="P82"/>
      <c r="Q82"/>
    </row>
    <row r="83" spans="2:17" x14ac:dyDescent="0.4">
      <c r="H83" s="8">
        <f t="shared" si="15"/>
        <v>152.5</v>
      </c>
      <c r="I83" s="1">
        <v>79</v>
      </c>
      <c r="J83" s="1">
        <f t="shared" si="16"/>
        <v>152.5</v>
      </c>
      <c r="K83" s="1">
        <f t="shared" si="17"/>
        <v>1</v>
      </c>
      <c r="M83"/>
      <c r="N83"/>
      <c r="O83"/>
      <c r="P83"/>
      <c r="Q83"/>
    </row>
    <row r="84" spans="2:17" x14ac:dyDescent="0.4">
      <c r="B84" s="2"/>
      <c r="C84"/>
      <c r="H84" s="8">
        <f t="shared" si="15"/>
        <v>153.5</v>
      </c>
      <c r="I84" s="1">
        <v>80</v>
      </c>
      <c r="J84" s="1">
        <f t="shared" si="16"/>
        <v>153.5</v>
      </c>
      <c r="K84" s="1">
        <f t="shared" si="17"/>
        <v>1</v>
      </c>
      <c r="M84"/>
      <c r="N84"/>
      <c r="O84"/>
      <c r="P84"/>
      <c r="Q84"/>
    </row>
    <row r="85" spans="2:17" x14ac:dyDescent="0.4">
      <c r="B85"/>
      <c r="C85"/>
      <c r="H85" s="8">
        <f t="shared" si="15"/>
        <v>154.5</v>
      </c>
      <c r="I85" s="1">
        <v>81</v>
      </c>
      <c r="J85" s="1">
        <f t="shared" si="16"/>
        <v>154.5</v>
      </c>
      <c r="K85" s="1">
        <f t="shared" si="17"/>
        <v>1</v>
      </c>
      <c r="M85"/>
      <c r="N85"/>
      <c r="O85"/>
      <c r="P85"/>
      <c r="Q85"/>
    </row>
    <row r="86" spans="2:17" x14ac:dyDescent="0.4">
      <c r="B86"/>
      <c r="C86"/>
      <c r="H86" s="8">
        <f t="shared" si="15"/>
        <v>155.5</v>
      </c>
      <c r="I86" s="1">
        <v>82</v>
      </c>
      <c r="J86" s="1">
        <f t="shared" si="16"/>
        <v>155.5</v>
      </c>
      <c r="K86" s="1">
        <f t="shared" si="17"/>
        <v>1</v>
      </c>
      <c r="M86"/>
      <c r="N86"/>
      <c r="O86"/>
      <c r="P86"/>
      <c r="Q86"/>
    </row>
    <row r="87" spans="2:17" x14ac:dyDescent="0.4">
      <c r="B87"/>
      <c r="C87"/>
      <c r="H87" s="8">
        <f t="shared" si="15"/>
        <v>156.5</v>
      </c>
      <c r="I87" s="1">
        <v>83</v>
      </c>
      <c r="J87" s="1">
        <f t="shared" si="16"/>
        <v>156.5</v>
      </c>
      <c r="K87" s="1">
        <f t="shared" si="17"/>
        <v>1</v>
      </c>
      <c r="M87"/>
      <c r="N87"/>
      <c r="O87"/>
      <c r="P87"/>
      <c r="Q87"/>
    </row>
    <row r="88" spans="2:17" x14ac:dyDescent="0.4">
      <c r="H88" s="8">
        <f t="shared" si="15"/>
        <v>157.5</v>
      </c>
      <c r="I88" s="1">
        <v>84</v>
      </c>
      <c r="J88" s="1">
        <f t="shared" si="16"/>
        <v>157.5</v>
      </c>
      <c r="K88" s="1">
        <f t="shared" si="17"/>
        <v>1</v>
      </c>
      <c r="M88"/>
      <c r="N88"/>
      <c r="O88"/>
      <c r="P88"/>
      <c r="Q88"/>
    </row>
    <row r="89" spans="2:17" x14ac:dyDescent="0.4">
      <c r="H89" s="8">
        <f t="shared" si="15"/>
        <v>158</v>
      </c>
      <c r="I89" s="1">
        <v>85</v>
      </c>
      <c r="J89" s="1">
        <f t="shared" si="16"/>
        <v>158</v>
      </c>
      <c r="K89" s="1">
        <f t="shared" si="17"/>
        <v>0.5</v>
      </c>
      <c r="M89"/>
      <c r="N89"/>
      <c r="O89"/>
      <c r="P89"/>
      <c r="Q89"/>
    </row>
    <row r="90" spans="2:17" x14ac:dyDescent="0.4">
      <c r="H90" s="8">
        <f t="shared" si="15"/>
        <v>159</v>
      </c>
      <c r="I90" s="1">
        <v>86</v>
      </c>
      <c r="J90" s="1">
        <f t="shared" si="16"/>
        <v>159</v>
      </c>
      <c r="K90" s="1">
        <f t="shared" si="17"/>
        <v>1</v>
      </c>
      <c r="M90"/>
      <c r="N90"/>
      <c r="O90"/>
      <c r="P90"/>
      <c r="Q90"/>
    </row>
    <row r="91" spans="2:17" x14ac:dyDescent="0.4">
      <c r="H91" s="8">
        <f t="shared" si="15"/>
        <v>160</v>
      </c>
      <c r="I91" s="1">
        <v>87</v>
      </c>
      <c r="J91" s="1">
        <f t="shared" si="16"/>
        <v>160</v>
      </c>
      <c r="K91" s="1">
        <f t="shared" si="17"/>
        <v>1</v>
      </c>
      <c r="M91"/>
      <c r="N91"/>
      <c r="O91"/>
      <c r="P91"/>
      <c r="Q91"/>
    </row>
    <row r="92" spans="2:17" x14ac:dyDescent="0.4">
      <c r="H92" s="8">
        <f t="shared" si="15"/>
        <v>161.25</v>
      </c>
      <c r="I92" s="1">
        <v>88</v>
      </c>
      <c r="J92" s="1">
        <f t="shared" si="16"/>
        <v>161.25</v>
      </c>
      <c r="K92" s="1">
        <f t="shared" si="17"/>
        <v>1.25</v>
      </c>
      <c r="M92"/>
      <c r="N92"/>
      <c r="O92"/>
      <c r="P92"/>
      <c r="Q92"/>
    </row>
    <row r="93" spans="2:17" x14ac:dyDescent="0.4">
      <c r="H93" s="8">
        <f t="shared" si="15"/>
        <v>162.25</v>
      </c>
      <c r="I93" s="1">
        <v>89</v>
      </c>
      <c r="J93" s="1">
        <f t="shared" si="16"/>
        <v>162.25</v>
      </c>
      <c r="K93" s="1">
        <f t="shared" si="17"/>
        <v>1</v>
      </c>
      <c r="M93"/>
      <c r="N93"/>
      <c r="O93"/>
      <c r="P93"/>
      <c r="Q93"/>
    </row>
    <row r="94" spans="2:17" x14ac:dyDescent="0.4">
      <c r="H94" s="8">
        <f t="shared" si="15"/>
        <v>163.25</v>
      </c>
      <c r="I94" s="1">
        <v>90</v>
      </c>
      <c r="J94" s="1">
        <f t="shared" si="16"/>
        <v>163.25</v>
      </c>
      <c r="K94" s="1">
        <f t="shared" si="17"/>
        <v>1</v>
      </c>
      <c r="M94"/>
      <c r="N94"/>
      <c r="O94"/>
      <c r="P94"/>
      <c r="Q94"/>
    </row>
    <row r="95" spans="2:17" x14ac:dyDescent="0.4">
      <c r="H95" s="8">
        <f t="shared" si="15"/>
        <v>164.25</v>
      </c>
      <c r="I95" s="1">
        <v>91</v>
      </c>
      <c r="J95" s="1">
        <f t="shared" si="16"/>
        <v>164.25</v>
      </c>
      <c r="K95" s="1">
        <f t="shared" si="17"/>
        <v>1</v>
      </c>
      <c r="M95"/>
      <c r="N95"/>
      <c r="O95"/>
      <c r="P95"/>
      <c r="Q95"/>
    </row>
    <row r="96" spans="2:17" x14ac:dyDescent="0.4">
      <c r="H96" s="8">
        <f t="shared" si="15"/>
        <v>165.25</v>
      </c>
      <c r="I96" s="1">
        <v>92</v>
      </c>
      <c r="J96" s="1">
        <f t="shared" si="16"/>
        <v>165.25</v>
      </c>
      <c r="K96" s="1">
        <f t="shared" si="17"/>
        <v>1</v>
      </c>
      <c r="M96"/>
      <c r="N96"/>
      <c r="O96"/>
      <c r="P96"/>
      <c r="Q96"/>
    </row>
    <row r="97" spans="8:17" x14ac:dyDescent="0.4">
      <c r="H97" s="8">
        <f t="shared" si="15"/>
        <v>166.25</v>
      </c>
      <c r="I97" s="1">
        <v>93</v>
      </c>
      <c r="J97" s="1">
        <f t="shared" si="16"/>
        <v>166.25</v>
      </c>
      <c r="K97" s="1">
        <f t="shared" si="17"/>
        <v>1</v>
      </c>
      <c r="M97"/>
      <c r="N97"/>
      <c r="O97"/>
      <c r="P97"/>
      <c r="Q97"/>
    </row>
    <row r="98" spans="8:17" x14ac:dyDescent="0.4">
      <c r="H98" s="8">
        <f t="shared" si="15"/>
        <v>167.25</v>
      </c>
      <c r="I98" s="1">
        <v>94</v>
      </c>
      <c r="J98" s="1">
        <f t="shared" si="16"/>
        <v>167.25</v>
      </c>
      <c r="K98" s="1">
        <f t="shared" si="17"/>
        <v>1</v>
      </c>
      <c r="M98"/>
      <c r="N98"/>
      <c r="O98"/>
      <c r="P98"/>
      <c r="Q98"/>
    </row>
    <row r="99" spans="8:17" x14ac:dyDescent="0.4">
      <c r="H99" s="8">
        <f t="shared" si="15"/>
        <v>168</v>
      </c>
      <c r="I99" s="1">
        <v>95</v>
      </c>
      <c r="J99" s="1">
        <f t="shared" si="16"/>
        <v>168</v>
      </c>
      <c r="K99" s="1">
        <f t="shared" si="17"/>
        <v>0.75</v>
      </c>
      <c r="M99"/>
      <c r="N99"/>
      <c r="O99"/>
      <c r="P99"/>
      <c r="Q99"/>
    </row>
    <row r="100" spans="8:17" x14ac:dyDescent="0.4">
      <c r="H100" s="8">
        <f t="shared" si="15"/>
        <v>168.75</v>
      </c>
      <c r="I100" s="1">
        <v>96</v>
      </c>
      <c r="J100" s="1">
        <f t="shared" si="16"/>
        <v>168.75</v>
      </c>
      <c r="K100" s="1">
        <f t="shared" si="17"/>
        <v>0.75</v>
      </c>
      <c r="M100"/>
      <c r="N100"/>
      <c r="O100"/>
      <c r="P100"/>
      <c r="Q100"/>
    </row>
    <row r="101" spans="8:17" x14ac:dyDescent="0.4">
      <c r="H101" s="8">
        <f t="shared" si="15"/>
        <v>169.75</v>
      </c>
      <c r="I101" s="1">
        <v>97</v>
      </c>
      <c r="J101" s="1">
        <f t="shared" si="16"/>
        <v>169.75</v>
      </c>
      <c r="K101" s="1">
        <f t="shared" si="17"/>
        <v>1</v>
      </c>
      <c r="M101"/>
      <c r="N101"/>
      <c r="O101"/>
      <c r="P101"/>
      <c r="Q101"/>
    </row>
    <row r="102" spans="8:17" x14ac:dyDescent="0.4">
      <c r="H102" s="8">
        <f t="shared" si="15"/>
        <v>170.25</v>
      </c>
      <c r="I102" s="1">
        <v>98</v>
      </c>
      <c r="J102" s="1">
        <f t="shared" si="16"/>
        <v>170.25</v>
      </c>
      <c r="K102" s="1">
        <f t="shared" si="17"/>
        <v>0.5</v>
      </c>
      <c r="M102"/>
      <c r="N102"/>
      <c r="O102"/>
      <c r="P102"/>
      <c r="Q102"/>
    </row>
    <row r="103" spans="8:17" x14ac:dyDescent="0.4">
      <c r="H103" s="8">
        <f t="shared" si="15"/>
        <v>171.25</v>
      </c>
      <c r="I103" s="1">
        <v>99</v>
      </c>
      <c r="J103" s="1">
        <f t="shared" si="16"/>
        <v>171.25</v>
      </c>
      <c r="K103" s="1">
        <f t="shared" si="17"/>
        <v>1</v>
      </c>
      <c r="M103"/>
      <c r="N103"/>
      <c r="O103"/>
      <c r="P103"/>
      <c r="Q103"/>
    </row>
    <row r="104" spans="8:17" x14ac:dyDescent="0.4">
      <c r="H104" s="8">
        <f t="shared" si="15"/>
        <v>172</v>
      </c>
      <c r="I104" s="1">
        <v>100</v>
      </c>
      <c r="J104" s="1">
        <f t="shared" si="16"/>
        <v>172</v>
      </c>
      <c r="K104" s="1">
        <f t="shared" si="17"/>
        <v>0.75</v>
      </c>
      <c r="M104"/>
      <c r="N104"/>
      <c r="O104"/>
      <c r="P104"/>
      <c r="Q104"/>
    </row>
    <row r="105" spans="8:17" x14ac:dyDescent="0.4">
      <c r="H105" s="8">
        <f t="shared" si="15"/>
        <v>172.75</v>
      </c>
      <c r="I105" s="1">
        <v>101</v>
      </c>
      <c r="J105" s="1">
        <f t="shared" si="16"/>
        <v>172.75</v>
      </c>
      <c r="K105" s="1">
        <f t="shared" si="17"/>
        <v>0.75</v>
      </c>
      <c r="M105"/>
      <c r="N105"/>
      <c r="O105"/>
      <c r="P105"/>
      <c r="Q105"/>
    </row>
    <row r="106" spans="8:17" x14ac:dyDescent="0.4">
      <c r="H106" s="8">
        <f t="shared" si="15"/>
        <v>173.75</v>
      </c>
      <c r="I106" s="1">
        <v>102</v>
      </c>
      <c r="J106" s="1">
        <f t="shared" si="16"/>
        <v>173.75</v>
      </c>
      <c r="K106" s="1">
        <f t="shared" si="17"/>
        <v>1</v>
      </c>
      <c r="M106"/>
      <c r="N106"/>
      <c r="O106"/>
      <c r="P106"/>
      <c r="Q106"/>
    </row>
    <row r="107" spans="8:17" x14ac:dyDescent="0.4">
      <c r="H107" s="8">
        <f t="shared" si="15"/>
        <v>174.75</v>
      </c>
      <c r="I107" s="1">
        <v>103</v>
      </c>
      <c r="J107" s="1">
        <f t="shared" si="16"/>
        <v>174.75</v>
      </c>
      <c r="K107" s="1">
        <f t="shared" si="17"/>
        <v>1</v>
      </c>
      <c r="M107"/>
      <c r="N107"/>
      <c r="O107"/>
      <c r="P107"/>
      <c r="Q107"/>
    </row>
    <row r="108" spans="8:17" x14ac:dyDescent="0.4">
      <c r="H108" s="8">
        <f t="shared" si="15"/>
        <v>175.25</v>
      </c>
      <c r="I108" s="1">
        <v>104</v>
      </c>
      <c r="J108" s="1">
        <f t="shared" si="16"/>
        <v>175.25</v>
      </c>
      <c r="K108" s="1">
        <f t="shared" si="17"/>
        <v>0.5</v>
      </c>
      <c r="M108"/>
      <c r="N108"/>
      <c r="O108"/>
      <c r="P108"/>
      <c r="Q108"/>
    </row>
    <row r="109" spans="8:17" x14ac:dyDescent="0.4">
      <c r="H109" s="8">
        <f t="shared" si="15"/>
        <v>176</v>
      </c>
      <c r="I109" s="1">
        <v>105</v>
      </c>
      <c r="J109" s="1">
        <f t="shared" si="16"/>
        <v>176</v>
      </c>
      <c r="K109" s="1">
        <f t="shared" si="17"/>
        <v>0.75</v>
      </c>
      <c r="M109"/>
      <c r="N109"/>
      <c r="O109"/>
      <c r="P109"/>
      <c r="Q109"/>
    </row>
    <row r="110" spans="8:17" x14ac:dyDescent="0.4">
      <c r="H110" s="8">
        <f t="shared" si="15"/>
        <v>176.75</v>
      </c>
      <c r="I110" s="1">
        <v>106</v>
      </c>
      <c r="J110" s="1">
        <f t="shared" si="16"/>
        <v>176.75</v>
      </c>
      <c r="K110" s="1">
        <f t="shared" si="17"/>
        <v>0.75</v>
      </c>
      <c r="M110"/>
      <c r="N110"/>
      <c r="O110"/>
      <c r="P110"/>
      <c r="Q110"/>
    </row>
    <row r="111" spans="8:17" x14ac:dyDescent="0.4">
      <c r="H111" s="8">
        <f t="shared" si="15"/>
        <v>177.75</v>
      </c>
      <c r="I111" s="1">
        <v>107</v>
      </c>
      <c r="J111" s="1">
        <f t="shared" si="16"/>
        <v>177.75</v>
      </c>
      <c r="K111" s="1">
        <f t="shared" si="17"/>
        <v>1</v>
      </c>
      <c r="M111"/>
      <c r="N111"/>
      <c r="O111"/>
      <c r="P111"/>
      <c r="Q111"/>
    </row>
    <row r="112" spans="8:17" x14ac:dyDescent="0.4">
      <c r="H112" s="8">
        <f t="shared" si="15"/>
        <v>178.25</v>
      </c>
      <c r="I112" s="1">
        <v>108</v>
      </c>
      <c r="J112" s="1">
        <f t="shared" si="16"/>
        <v>178.25</v>
      </c>
      <c r="K112" s="1">
        <f t="shared" si="17"/>
        <v>0.5</v>
      </c>
      <c r="M112"/>
      <c r="N112"/>
      <c r="O112"/>
      <c r="P112"/>
      <c r="Q112"/>
    </row>
    <row r="113" spans="8:17" x14ac:dyDescent="0.4">
      <c r="H113" s="8">
        <f t="shared" si="15"/>
        <v>179</v>
      </c>
      <c r="I113" s="1">
        <v>109</v>
      </c>
      <c r="J113" s="1">
        <f t="shared" si="16"/>
        <v>179</v>
      </c>
      <c r="K113" s="1">
        <f t="shared" si="17"/>
        <v>0.75</v>
      </c>
      <c r="M113"/>
      <c r="N113"/>
      <c r="O113"/>
      <c r="P113"/>
      <c r="Q113"/>
    </row>
    <row r="114" spans="8:17" x14ac:dyDescent="0.4">
      <c r="H114" s="8">
        <f t="shared" si="15"/>
        <v>179.75</v>
      </c>
      <c r="I114" s="1">
        <v>110</v>
      </c>
      <c r="J114" s="1">
        <f t="shared" si="16"/>
        <v>179.75</v>
      </c>
      <c r="K114" s="1">
        <f t="shared" si="17"/>
        <v>0.75</v>
      </c>
      <c r="M114"/>
      <c r="N114"/>
      <c r="O114"/>
      <c r="P114"/>
      <c r="Q114"/>
    </row>
    <row r="115" spans="8:17" x14ac:dyDescent="0.4">
      <c r="H115" s="8">
        <f t="shared" si="15"/>
        <v>180.75</v>
      </c>
      <c r="I115" s="1">
        <v>111</v>
      </c>
      <c r="J115" s="1">
        <f t="shared" si="16"/>
        <v>180.75</v>
      </c>
      <c r="K115" s="1">
        <f t="shared" si="17"/>
        <v>1</v>
      </c>
      <c r="M115"/>
      <c r="N115"/>
      <c r="O115"/>
      <c r="P115"/>
      <c r="Q115"/>
    </row>
    <row r="116" spans="8:17" x14ac:dyDescent="0.4">
      <c r="H116" s="8">
        <f t="shared" si="15"/>
        <v>181.25</v>
      </c>
      <c r="I116" s="1">
        <v>112</v>
      </c>
      <c r="J116" s="1">
        <f t="shared" si="16"/>
        <v>181.25</v>
      </c>
      <c r="K116" s="1">
        <f t="shared" si="17"/>
        <v>0.5</v>
      </c>
      <c r="M116"/>
      <c r="N116"/>
      <c r="O116"/>
      <c r="P116"/>
      <c r="Q116"/>
    </row>
    <row r="117" spans="8:17" x14ac:dyDescent="0.4">
      <c r="H117" s="8">
        <f t="shared" si="15"/>
        <v>182</v>
      </c>
      <c r="I117" s="1">
        <v>113</v>
      </c>
      <c r="J117" s="1">
        <f t="shared" si="16"/>
        <v>182</v>
      </c>
      <c r="K117" s="1">
        <f t="shared" si="17"/>
        <v>0.75</v>
      </c>
      <c r="M117"/>
      <c r="N117"/>
      <c r="O117"/>
      <c r="P117"/>
      <c r="Q117"/>
    </row>
    <row r="118" spans="8:17" x14ac:dyDescent="0.4">
      <c r="H118" s="8">
        <f t="shared" si="15"/>
        <v>182.75</v>
      </c>
      <c r="I118" s="1">
        <v>114</v>
      </c>
      <c r="J118" s="1">
        <f t="shared" si="16"/>
        <v>182.75</v>
      </c>
      <c r="K118" s="1">
        <f t="shared" si="17"/>
        <v>0.75</v>
      </c>
      <c r="M118"/>
      <c r="N118"/>
      <c r="O118"/>
      <c r="P118"/>
      <c r="Q118"/>
    </row>
    <row r="119" spans="8:17" x14ac:dyDescent="0.4">
      <c r="H119" s="8">
        <f t="shared" si="15"/>
        <v>183.75</v>
      </c>
      <c r="I119" s="1">
        <v>115</v>
      </c>
      <c r="J119" s="1">
        <f t="shared" si="16"/>
        <v>183.75</v>
      </c>
      <c r="K119" s="1">
        <f t="shared" si="17"/>
        <v>1</v>
      </c>
      <c r="M119"/>
      <c r="N119"/>
      <c r="O119"/>
      <c r="P119"/>
      <c r="Q119"/>
    </row>
    <row r="120" spans="8:17" x14ac:dyDescent="0.4">
      <c r="H120" s="8">
        <f t="shared" si="15"/>
        <v>184.25</v>
      </c>
      <c r="I120" s="1">
        <v>116</v>
      </c>
      <c r="J120" s="1">
        <f t="shared" si="16"/>
        <v>184.25</v>
      </c>
      <c r="K120" s="1">
        <f t="shared" si="17"/>
        <v>0.5</v>
      </c>
      <c r="M120"/>
      <c r="N120"/>
      <c r="O120"/>
      <c r="P120"/>
      <c r="Q120"/>
    </row>
    <row r="121" spans="8:17" x14ac:dyDescent="0.4">
      <c r="H121" s="8">
        <f t="shared" si="15"/>
        <v>185.25</v>
      </c>
      <c r="I121" s="1">
        <v>117</v>
      </c>
      <c r="J121" s="1">
        <f t="shared" si="16"/>
        <v>185.25</v>
      </c>
      <c r="K121" s="1">
        <f t="shared" si="17"/>
        <v>1</v>
      </c>
      <c r="M121"/>
      <c r="N121"/>
      <c r="O121"/>
      <c r="P121"/>
      <c r="Q121"/>
    </row>
    <row r="122" spans="8:17" x14ac:dyDescent="0.4">
      <c r="H122" s="8">
        <f t="shared" si="15"/>
        <v>186</v>
      </c>
      <c r="I122" s="1">
        <v>118</v>
      </c>
      <c r="J122" s="1">
        <f t="shared" si="16"/>
        <v>186</v>
      </c>
      <c r="K122" s="1">
        <f t="shared" si="17"/>
        <v>0.75</v>
      </c>
      <c r="M122"/>
      <c r="N122"/>
      <c r="O122"/>
      <c r="P122"/>
      <c r="Q122"/>
    </row>
    <row r="123" spans="8:17" x14ac:dyDescent="0.4">
      <c r="H123" s="8">
        <f t="shared" si="15"/>
        <v>186.75</v>
      </c>
      <c r="I123" s="1">
        <v>119</v>
      </c>
      <c r="J123" s="1">
        <f t="shared" si="16"/>
        <v>186.75</v>
      </c>
      <c r="K123" s="1">
        <f t="shared" si="17"/>
        <v>0.75</v>
      </c>
      <c r="M123"/>
      <c r="N123"/>
      <c r="O123"/>
      <c r="P123"/>
      <c r="Q123"/>
    </row>
    <row r="124" spans="8:17" x14ac:dyDescent="0.4">
      <c r="H124" s="8">
        <f t="shared" si="15"/>
        <v>187.25</v>
      </c>
      <c r="I124" s="1">
        <v>120</v>
      </c>
      <c r="J124" s="1">
        <f t="shared" si="16"/>
        <v>187.25</v>
      </c>
      <c r="K124" s="1">
        <f t="shared" si="17"/>
        <v>0.5</v>
      </c>
      <c r="M124"/>
      <c r="N124"/>
      <c r="O124"/>
      <c r="P124"/>
      <c r="Q124"/>
    </row>
    <row r="125" spans="8:17" x14ac:dyDescent="0.4">
      <c r="H125" s="8">
        <f t="shared" si="15"/>
        <v>188</v>
      </c>
      <c r="I125" s="1">
        <v>121</v>
      </c>
      <c r="J125" s="1">
        <f t="shared" si="16"/>
        <v>188</v>
      </c>
      <c r="K125" s="1">
        <f t="shared" si="17"/>
        <v>0.75</v>
      </c>
      <c r="M125"/>
      <c r="N125"/>
      <c r="O125"/>
      <c r="P125"/>
      <c r="Q125"/>
    </row>
    <row r="126" spans="8:17" x14ac:dyDescent="0.4">
      <c r="H126" s="8">
        <f t="shared" si="15"/>
        <v>188.75</v>
      </c>
      <c r="I126" s="1">
        <v>122</v>
      </c>
      <c r="J126" s="1">
        <f t="shared" si="16"/>
        <v>188.75</v>
      </c>
      <c r="K126" s="1">
        <f t="shared" si="17"/>
        <v>0.75</v>
      </c>
      <c r="M126"/>
      <c r="N126"/>
      <c r="O126"/>
      <c r="P126"/>
      <c r="Q126"/>
    </row>
    <row r="127" spans="8:17" x14ac:dyDescent="0.4">
      <c r="H127" s="8">
        <f t="shared" si="15"/>
        <v>189.25</v>
      </c>
      <c r="I127" s="1">
        <v>123</v>
      </c>
      <c r="J127" s="1">
        <f t="shared" si="16"/>
        <v>189.25</v>
      </c>
      <c r="K127" s="1">
        <f t="shared" si="17"/>
        <v>0.5</v>
      </c>
      <c r="M127"/>
      <c r="N127"/>
      <c r="O127"/>
      <c r="P127"/>
      <c r="Q127"/>
    </row>
    <row r="128" spans="8:17" x14ac:dyDescent="0.4">
      <c r="H128" s="8">
        <f t="shared" si="15"/>
        <v>190</v>
      </c>
      <c r="I128" s="1">
        <v>124</v>
      </c>
      <c r="J128" s="1">
        <f t="shared" si="16"/>
        <v>190</v>
      </c>
      <c r="K128" s="1">
        <f t="shared" si="17"/>
        <v>0.75</v>
      </c>
      <c r="M128"/>
      <c r="N128"/>
      <c r="O128"/>
      <c r="P128"/>
      <c r="Q128"/>
    </row>
    <row r="129" spans="8:17" x14ac:dyDescent="0.4">
      <c r="H129" s="8">
        <f t="shared" si="15"/>
        <v>190.75</v>
      </c>
      <c r="I129" s="1">
        <v>125</v>
      </c>
      <c r="J129" s="1">
        <f t="shared" si="16"/>
        <v>190.75</v>
      </c>
      <c r="K129" s="1">
        <f t="shared" si="17"/>
        <v>0.75</v>
      </c>
      <c r="M129"/>
      <c r="N129"/>
      <c r="O129"/>
      <c r="P129"/>
      <c r="Q129"/>
    </row>
    <row r="130" spans="8:17" x14ac:dyDescent="0.4">
      <c r="H130" s="8">
        <f t="shared" si="15"/>
        <v>191.25</v>
      </c>
      <c r="I130" s="1">
        <v>126</v>
      </c>
      <c r="J130" s="1">
        <f t="shared" si="16"/>
        <v>191.25</v>
      </c>
      <c r="K130" s="1">
        <f t="shared" si="17"/>
        <v>0.5</v>
      </c>
      <c r="M130"/>
      <c r="N130"/>
      <c r="O130"/>
      <c r="P130"/>
      <c r="Q130"/>
    </row>
    <row r="131" spans="8:17" x14ac:dyDescent="0.4">
      <c r="H131" s="8">
        <f t="shared" si="15"/>
        <v>192</v>
      </c>
      <c r="I131" s="1">
        <v>127</v>
      </c>
      <c r="J131" s="1">
        <f t="shared" si="16"/>
        <v>192</v>
      </c>
      <c r="K131" s="1">
        <f t="shared" si="17"/>
        <v>0.75</v>
      </c>
      <c r="M131"/>
      <c r="N131"/>
      <c r="O131"/>
      <c r="P131"/>
      <c r="Q131"/>
    </row>
    <row r="132" spans="8:17" x14ac:dyDescent="0.4">
      <c r="H132" s="8">
        <f t="shared" si="15"/>
        <v>192.75</v>
      </c>
      <c r="I132" s="1">
        <v>128</v>
      </c>
      <c r="J132" s="1">
        <f t="shared" si="16"/>
        <v>192.75</v>
      </c>
      <c r="K132" s="1">
        <f t="shared" si="17"/>
        <v>0.75</v>
      </c>
      <c r="M132"/>
      <c r="N132"/>
      <c r="O132"/>
      <c r="P132"/>
      <c r="Q132"/>
    </row>
    <row r="133" spans="8:17" x14ac:dyDescent="0.4">
      <c r="H133" s="8">
        <f t="shared" ref="H133:H196" si="18">J133</f>
        <v>193.25</v>
      </c>
      <c r="I133" s="1">
        <v>129</v>
      </c>
      <c r="J133" s="1">
        <f t="shared" si="16"/>
        <v>193.25</v>
      </c>
      <c r="K133" s="1">
        <f t="shared" si="17"/>
        <v>0.5</v>
      </c>
      <c r="M133"/>
      <c r="N133"/>
      <c r="O133"/>
      <c r="P133"/>
      <c r="Q133"/>
    </row>
    <row r="134" spans="8:17" x14ac:dyDescent="0.4">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4">
      <c r="H135" s="8">
        <f t="shared" si="18"/>
        <v>194.75</v>
      </c>
      <c r="I135" s="1">
        <v>131</v>
      </c>
      <c r="J135" s="1">
        <f t="shared" si="19"/>
        <v>194.75</v>
      </c>
      <c r="K135" s="1">
        <f t="shared" si="20"/>
        <v>0.75</v>
      </c>
      <c r="M135"/>
      <c r="N135"/>
      <c r="O135"/>
      <c r="P135"/>
      <c r="Q135"/>
    </row>
    <row r="136" spans="8:17" x14ac:dyDescent="0.4">
      <c r="H136" s="8">
        <f t="shared" si="18"/>
        <v>195.25</v>
      </c>
      <c r="I136" s="1">
        <v>132</v>
      </c>
      <c r="J136" s="1">
        <f t="shared" si="19"/>
        <v>195.25</v>
      </c>
      <c r="K136" s="1">
        <f t="shared" si="20"/>
        <v>0.5</v>
      </c>
      <c r="M136"/>
      <c r="N136"/>
      <c r="O136"/>
      <c r="P136"/>
      <c r="Q136"/>
    </row>
    <row r="137" spans="8:17" x14ac:dyDescent="0.4">
      <c r="H137" s="8">
        <f t="shared" si="18"/>
        <v>196</v>
      </c>
      <c r="I137" s="1">
        <v>133</v>
      </c>
      <c r="J137" s="1">
        <f t="shared" si="19"/>
        <v>196</v>
      </c>
      <c r="K137" s="1">
        <f t="shared" si="20"/>
        <v>0.75</v>
      </c>
      <c r="M137"/>
      <c r="N137"/>
      <c r="O137"/>
      <c r="P137"/>
      <c r="Q137"/>
    </row>
    <row r="138" spans="8:17" x14ac:dyDescent="0.4">
      <c r="H138" s="8">
        <f t="shared" si="18"/>
        <v>196.75</v>
      </c>
      <c r="I138" s="1">
        <v>134</v>
      </c>
      <c r="J138" s="1">
        <f t="shared" si="19"/>
        <v>196.75</v>
      </c>
      <c r="K138" s="1">
        <f t="shared" si="20"/>
        <v>0.75</v>
      </c>
      <c r="M138"/>
      <c r="N138"/>
      <c r="O138"/>
      <c r="P138"/>
      <c r="Q138"/>
    </row>
    <row r="139" spans="8:17" x14ac:dyDescent="0.4">
      <c r="H139" s="8">
        <f t="shared" si="18"/>
        <v>197.25</v>
      </c>
      <c r="I139" s="1">
        <v>135</v>
      </c>
      <c r="J139" s="1">
        <f t="shared" si="19"/>
        <v>197.25</v>
      </c>
      <c r="K139" s="1">
        <f t="shared" si="20"/>
        <v>0.5</v>
      </c>
      <c r="M139"/>
      <c r="N139"/>
      <c r="O139"/>
      <c r="P139"/>
      <c r="Q139"/>
    </row>
    <row r="140" spans="8:17" x14ac:dyDescent="0.4">
      <c r="H140" s="8">
        <f t="shared" si="18"/>
        <v>198</v>
      </c>
      <c r="I140" s="1">
        <v>136</v>
      </c>
      <c r="J140" s="1">
        <f t="shared" si="19"/>
        <v>198</v>
      </c>
      <c r="K140" s="1">
        <f t="shared" si="20"/>
        <v>0.75</v>
      </c>
      <c r="M140"/>
      <c r="N140"/>
      <c r="O140"/>
      <c r="P140"/>
      <c r="Q140"/>
    </row>
    <row r="141" spans="8:17" x14ac:dyDescent="0.4">
      <c r="H141" s="8">
        <f t="shared" si="18"/>
        <v>198.75</v>
      </c>
      <c r="I141" s="1">
        <v>137</v>
      </c>
      <c r="J141" s="1">
        <f t="shared" si="19"/>
        <v>198.75</v>
      </c>
      <c r="K141" s="1">
        <f t="shared" si="20"/>
        <v>0.75</v>
      </c>
      <c r="M141"/>
      <c r="N141"/>
      <c r="O141"/>
      <c r="P141"/>
      <c r="Q141"/>
    </row>
    <row r="142" spans="8:17" x14ac:dyDescent="0.4">
      <c r="H142" s="8">
        <f t="shared" si="18"/>
        <v>199.25</v>
      </c>
      <c r="I142" s="1">
        <v>138</v>
      </c>
      <c r="J142" s="1">
        <f t="shared" si="19"/>
        <v>199.25</v>
      </c>
      <c r="K142" s="1">
        <f t="shared" si="20"/>
        <v>0.5</v>
      </c>
      <c r="M142"/>
      <c r="N142"/>
      <c r="O142"/>
      <c r="P142"/>
      <c r="Q142"/>
    </row>
    <row r="143" spans="8:17" x14ac:dyDescent="0.4">
      <c r="H143" s="8">
        <f t="shared" si="18"/>
        <v>200</v>
      </c>
      <c r="I143" s="1">
        <v>139</v>
      </c>
      <c r="J143" s="1">
        <f t="shared" si="19"/>
        <v>200</v>
      </c>
      <c r="K143" s="1">
        <f t="shared" si="20"/>
        <v>0.75</v>
      </c>
      <c r="M143"/>
      <c r="N143"/>
      <c r="O143"/>
      <c r="P143"/>
      <c r="Q143"/>
    </row>
    <row r="144" spans="8:17" x14ac:dyDescent="0.4">
      <c r="H144" s="8">
        <f t="shared" si="18"/>
        <v>200.75</v>
      </c>
      <c r="I144" s="1">
        <v>140</v>
      </c>
      <c r="J144" s="1">
        <f t="shared" si="19"/>
        <v>200.75</v>
      </c>
      <c r="K144" s="1">
        <f t="shared" si="20"/>
        <v>0.75</v>
      </c>
      <c r="M144"/>
      <c r="N144"/>
      <c r="O144"/>
      <c r="P144"/>
      <c r="Q144"/>
    </row>
    <row r="145" spans="8:17" x14ac:dyDescent="0.4">
      <c r="H145" s="8">
        <f t="shared" si="18"/>
        <v>201.25</v>
      </c>
      <c r="I145" s="1">
        <v>141</v>
      </c>
      <c r="J145" s="1">
        <f t="shared" si="19"/>
        <v>201.25</v>
      </c>
      <c r="K145" s="1">
        <f t="shared" si="20"/>
        <v>0.5</v>
      </c>
      <c r="M145"/>
      <c r="N145"/>
      <c r="O145"/>
      <c r="P145"/>
      <c r="Q145"/>
    </row>
    <row r="146" spans="8:17" x14ac:dyDescent="0.4">
      <c r="H146" s="8">
        <f t="shared" si="18"/>
        <v>202</v>
      </c>
      <c r="I146" s="1">
        <v>142</v>
      </c>
      <c r="J146" s="1">
        <f t="shared" si="19"/>
        <v>202</v>
      </c>
      <c r="K146" s="1">
        <f t="shared" si="20"/>
        <v>0.75</v>
      </c>
      <c r="M146"/>
      <c r="N146"/>
      <c r="O146"/>
      <c r="P146"/>
      <c r="Q146"/>
    </row>
    <row r="147" spans="8:17" x14ac:dyDescent="0.4">
      <c r="H147" s="8">
        <f t="shared" si="18"/>
        <v>202.75</v>
      </c>
      <c r="I147" s="1">
        <v>143</v>
      </c>
      <c r="J147" s="1">
        <f t="shared" si="19"/>
        <v>202.75</v>
      </c>
      <c r="K147" s="1">
        <f t="shared" si="20"/>
        <v>0.75</v>
      </c>
      <c r="M147"/>
      <c r="N147"/>
      <c r="O147"/>
      <c r="P147"/>
      <c r="Q147"/>
    </row>
    <row r="148" spans="8:17" x14ac:dyDescent="0.4">
      <c r="H148" s="8">
        <f t="shared" si="18"/>
        <v>203.25</v>
      </c>
      <c r="I148" s="1">
        <v>144</v>
      </c>
      <c r="J148" s="1">
        <f t="shared" si="19"/>
        <v>203.25</v>
      </c>
      <c r="K148" s="1">
        <f t="shared" si="20"/>
        <v>0.5</v>
      </c>
      <c r="M148"/>
      <c r="N148"/>
      <c r="O148"/>
      <c r="P148"/>
      <c r="Q148"/>
    </row>
    <row r="149" spans="8:17" x14ac:dyDescent="0.4">
      <c r="H149" s="8">
        <f t="shared" si="18"/>
        <v>204</v>
      </c>
      <c r="I149" s="1">
        <v>145</v>
      </c>
      <c r="J149" s="1">
        <f t="shared" si="19"/>
        <v>204</v>
      </c>
      <c r="K149" s="1">
        <f t="shared" si="20"/>
        <v>0.75</v>
      </c>
      <c r="M149"/>
      <c r="N149"/>
      <c r="O149"/>
      <c r="P149"/>
      <c r="Q149"/>
    </row>
    <row r="150" spans="8:17" x14ac:dyDescent="0.4">
      <c r="H150" s="8">
        <f t="shared" si="18"/>
        <v>204.75</v>
      </c>
      <c r="I150" s="1">
        <v>146</v>
      </c>
      <c r="J150" s="1">
        <f t="shared" si="19"/>
        <v>204.75</v>
      </c>
      <c r="K150" s="1">
        <f t="shared" si="20"/>
        <v>0.75</v>
      </c>
      <c r="M150"/>
      <c r="N150"/>
      <c r="O150"/>
      <c r="P150"/>
      <c r="Q150"/>
    </row>
    <row r="151" spans="8:17" x14ac:dyDescent="0.4">
      <c r="H151" s="8">
        <f t="shared" si="18"/>
        <v>205.25</v>
      </c>
      <c r="I151" s="1">
        <v>147</v>
      </c>
      <c r="J151" s="1">
        <f t="shared" si="19"/>
        <v>205.25</v>
      </c>
      <c r="K151" s="1">
        <f t="shared" si="20"/>
        <v>0.5</v>
      </c>
      <c r="M151"/>
      <c r="N151"/>
      <c r="O151"/>
      <c r="P151"/>
      <c r="Q151"/>
    </row>
    <row r="152" spans="8:17" x14ac:dyDescent="0.4">
      <c r="H152" s="8">
        <f t="shared" si="18"/>
        <v>205.75</v>
      </c>
      <c r="I152" s="1">
        <v>148</v>
      </c>
      <c r="J152" s="1">
        <f t="shared" si="19"/>
        <v>205.75</v>
      </c>
      <c r="K152" s="1">
        <f t="shared" si="20"/>
        <v>0.5</v>
      </c>
      <c r="M152"/>
      <c r="N152"/>
      <c r="O152"/>
      <c r="P152"/>
      <c r="Q152"/>
    </row>
    <row r="153" spans="8:17" x14ac:dyDescent="0.4">
      <c r="H153" s="8">
        <f t="shared" si="18"/>
        <v>206.25</v>
      </c>
      <c r="I153" s="1">
        <v>149</v>
      </c>
      <c r="J153" s="1">
        <f t="shared" si="19"/>
        <v>206.25</v>
      </c>
      <c r="K153" s="1">
        <f t="shared" si="20"/>
        <v>0.5</v>
      </c>
      <c r="M153"/>
      <c r="N153"/>
      <c r="O153"/>
      <c r="P153"/>
      <c r="Q153"/>
    </row>
    <row r="154" spans="8:17" x14ac:dyDescent="0.4">
      <c r="H154" s="8">
        <f t="shared" si="18"/>
        <v>206.75</v>
      </c>
      <c r="I154" s="1">
        <v>150</v>
      </c>
      <c r="J154" s="1">
        <f t="shared" si="19"/>
        <v>206.75</v>
      </c>
      <c r="K154" s="1">
        <f t="shared" si="20"/>
        <v>0.5</v>
      </c>
      <c r="M154"/>
      <c r="N154"/>
      <c r="O154"/>
      <c r="P154"/>
      <c r="Q154"/>
    </row>
    <row r="155" spans="8:17" x14ac:dyDescent="0.4">
      <c r="H155" s="8">
        <f t="shared" si="18"/>
        <v>207.25</v>
      </c>
      <c r="I155" s="1">
        <v>151</v>
      </c>
      <c r="J155" s="1">
        <f t="shared" si="19"/>
        <v>207.25</v>
      </c>
      <c r="K155" s="1">
        <f t="shared" si="20"/>
        <v>0.5</v>
      </c>
      <c r="M155"/>
      <c r="N155"/>
      <c r="O155"/>
      <c r="P155"/>
      <c r="Q155"/>
    </row>
    <row r="156" spans="8:17" x14ac:dyDescent="0.4">
      <c r="H156" s="8">
        <f t="shared" si="18"/>
        <v>207.75</v>
      </c>
      <c r="I156" s="1">
        <v>152</v>
      </c>
      <c r="J156" s="1">
        <f t="shared" si="19"/>
        <v>207.75</v>
      </c>
      <c r="K156" s="1">
        <f t="shared" si="20"/>
        <v>0.5</v>
      </c>
      <c r="M156"/>
      <c r="N156"/>
      <c r="O156"/>
      <c r="P156"/>
      <c r="Q156"/>
    </row>
    <row r="157" spans="8:17" x14ac:dyDescent="0.4">
      <c r="H157" s="8">
        <f t="shared" si="18"/>
        <v>208.25</v>
      </c>
      <c r="I157" s="1">
        <v>153</v>
      </c>
      <c r="J157" s="1">
        <f t="shared" si="19"/>
        <v>208.25</v>
      </c>
      <c r="K157" s="1">
        <f t="shared" si="20"/>
        <v>0.5</v>
      </c>
      <c r="M157"/>
      <c r="N157"/>
      <c r="O157"/>
      <c r="P157"/>
      <c r="Q157"/>
    </row>
    <row r="158" spans="8:17" x14ac:dyDescent="0.4">
      <c r="H158" s="8">
        <f t="shared" si="18"/>
        <v>209</v>
      </c>
      <c r="I158" s="1">
        <v>154</v>
      </c>
      <c r="J158" s="1">
        <f t="shared" si="19"/>
        <v>209</v>
      </c>
      <c r="K158" s="1">
        <f t="shared" si="20"/>
        <v>0.75</v>
      </c>
      <c r="M158"/>
      <c r="N158"/>
      <c r="O158"/>
      <c r="P158"/>
      <c r="Q158"/>
    </row>
    <row r="159" spans="8:17" x14ac:dyDescent="0.4">
      <c r="H159" s="8">
        <f t="shared" si="18"/>
        <v>209.75</v>
      </c>
      <c r="I159" s="1">
        <v>155</v>
      </c>
      <c r="J159" s="1">
        <f t="shared" si="19"/>
        <v>209.75</v>
      </c>
      <c r="K159" s="1">
        <f t="shared" si="20"/>
        <v>0.75</v>
      </c>
      <c r="M159"/>
      <c r="N159"/>
      <c r="O159"/>
      <c r="P159"/>
      <c r="Q159"/>
    </row>
    <row r="160" spans="8:17" x14ac:dyDescent="0.4">
      <c r="H160" s="8">
        <f t="shared" si="18"/>
        <v>210.25</v>
      </c>
      <c r="I160" s="1">
        <v>156</v>
      </c>
      <c r="J160" s="1">
        <f t="shared" si="19"/>
        <v>210.25</v>
      </c>
      <c r="K160" s="1">
        <f t="shared" si="20"/>
        <v>0.5</v>
      </c>
      <c r="M160"/>
      <c r="N160"/>
      <c r="O160"/>
      <c r="P160"/>
      <c r="Q160"/>
    </row>
    <row r="161" spans="8:17" x14ac:dyDescent="0.4">
      <c r="H161" s="8">
        <f t="shared" si="18"/>
        <v>211</v>
      </c>
      <c r="I161" s="1">
        <v>157</v>
      </c>
      <c r="J161" s="1">
        <f t="shared" si="19"/>
        <v>211</v>
      </c>
      <c r="K161" s="1">
        <f t="shared" si="20"/>
        <v>0.75</v>
      </c>
      <c r="M161"/>
      <c r="N161"/>
      <c r="O161"/>
      <c r="P161"/>
      <c r="Q161"/>
    </row>
    <row r="162" spans="8:17" x14ac:dyDescent="0.4">
      <c r="H162" s="8">
        <f t="shared" si="18"/>
        <v>211.5</v>
      </c>
      <c r="I162" s="1">
        <v>158</v>
      </c>
      <c r="J162" s="1">
        <f t="shared" si="19"/>
        <v>211.5</v>
      </c>
      <c r="K162" s="1">
        <f t="shared" si="20"/>
        <v>0.5</v>
      </c>
      <c r="M162"/>
      <c r="N162"/>
      <c r="O162"/>
      <c r="P162"/>
      <c r="Q162"/>
    </row>
    <row r="163" spans="8:17" x14ac:dyDescent="0.4">
      <c r="H163" s="8">
        <f t="shared" si="18"/>
        <v>212</v>
      </c>
      <c r="I163" s="1">
        <v>159</v>
      </c>
      <c r="J163" s="1">
        <f t="shared" si="19"/>
        <v>212</v>
      </c>
      <c r="K163" s="1">
        <f t="shared" si="20"/>
        <v>0.5</v>
      </c>
      <c r="M163"/>
      <c r="N163"/>
      <c r="O163"/>
      <c r="P163"/>
      <c r="Q163"/>
    </row>
    <row r="164" spans="8:17" x14ac:dyDescent="0.4">
      <c r="H164" s="8">
        <f t="shared" si="18"/>
        <v>212.75</v>
      </c>
      <c r="I164" s="1">
        <v>160</v>
      </c>
      <c r="J164" s="1">
        <f t="shared" si="19"/>
        <v>212.75</v>
      </c>
      <c r="K164" s="1">
        <f t="shared" si="20"/>
        <v>0.75</v>
      </c>
      <c r="M164"/>
      <c r="N164"/>
      <c r="O164"/>
      <c r="P164"/>
      <c r="Q164"/>
    </row>
    <row r="165" spans="8:17" x14ac:dyDescent="0.4">
      <c r="H165" s="8">
        <f t="shared" si="18"/>
        <v>213.25</v>
      </c>
      <c r="I165" s="1">
        <v>161</v>
      </c>
      <c r="J165" s="1">
        <f t="shared" si="19"/>
        <v>213.25</v>
      </c>
      <c r="K165" s="1">
        <f t="shared" si="20"/>
        <v>0.5</v>
      </c>
      <c r="M165"/>
      <c r="N165"/>
      <c r="O165"/>
      <c r="P165"/>
      <c r="Q165"/>
    </row>
    <row r="166" spans="8:17" x14ac:dyDescent="0.4">
      <c r="H166" s="8">
        <f t="shared" si="18"/>
        <v>213.75</v>
      </c>
      <c r="I166" s="1">
        <v>162</v>
      </c>
      <c r="J166" s="1">
        <f t="shared" si="19"/>
        <v>213.75</v>
      </c>
      <c r="K166" s="1">
        <f t="shared" si="20"/>
        <v>0.5</v>
      </c>
      <c r="M166"/>
      <c r="N166"/>
      <c r="O166"/>
      <c r="P166"/>
      <c r="Q166"/>
    </row>
    <row r="167" spans="8:17" x14ac:dyDescent="0.4">
      <c r="H167" s="8">
        <f t="shared" si="18"/>
        <v>214.25</v>
      </c>
      <c r="I167" s="1">
        <v>163</v>
      </c>
      <c r="J167" s="1">
        <f t="shared" si="19"/>
        <v>214.25</v>
      </c>
      <c r="K167" s="1">
        <f t="shared" si="20"/>
        <v>0.5</v>
      </c>
      <c r="M167"/>
      <c r="N167"/>
      <c r="O167"/>
      <c r="P167"/>
      <c r="Q167"/>
    </row>
    <row r="168" spans="8:17" x14ac:dyDescent="0.4">
      <c r="H168" s="8">
        <f t="shared" si="18"/>
        <v>214.75</v>
      </c>
      <c r="I168" s="1">
        <v>164</v>
      </c>
      <c r="J168" s="1">
        <f t="shared" si="19"/>
        <v>214.75</v>
      </c>
      <c r="K168" s="1">
        <f t="shared" si="20"/>
        <v>0.5</v>
      </c>
      <c r="M168"/>
      <c r="N168"/>
      <c r="O168"/>
      <c r="P168"/>
      <c r="Q168"/>
    </row>
    <row r="169" spans="8:17" x14ac:dyDescent="0.4">
      <c r="H169" s="8">
        <f t="shared" si="18"/>
        <v>215.25</v>
      </c>
      <c r="I169" s="1">
        <v>165</v>
      </c>
      <c r="J169" s="1">
        <f t="shared" si="19"/>
        <v>215.25</v>
      </c>
      <c r="K169" s="1">
        <f t="shared" si="20"/>
        <v>0.5</v>
      </c>
      <c r="M169"/>
      <c r="N169"/>
      <c r="O169"/>
      <c r="P169"/>
      <c r="Q169"/>
    </row>
    <row r="170" spans="8:17" x14ac:dyDescent="0.4">
      <c r="H170" s="8">
        <f t="shared" si="18"/>
        <v>216</v>
      </c>
      <c r="I170" s="1">
        <v>166</v>
      </c>
      <c r="J170" s="1">
        <f t="shared" si="19"/>
        <v>216</v>
      </c>
      <c r="K170" s="1">
        <f t="shared" si="20"/>
        <v>0.75</v>
      </c>
      <c r="M170"/>
      <c r="N170"/>
      <c r="O170"/>
      <c r="P170"/>
      <c r="Q170"/>
    </row>
    <row r="171" spans="8:17" x14ac:dyDescent="0.4">
      <c r="H171" s="8">
        <f t="shared" si="18"/>
        <v>216.5</v>
      </c>
      <c r="I171" s="1">
        <v>167</v>
      </c>
      <c r="J171" s="1">
        <f t="shared" si="19"/>
        <v>216.5</v>
      </c>
      <c r="K171" s="1">
        <f t="shared" si="20"/>
        <v>0.5</v>
      </c>
      <c r="M171"/>
      <c r="N171"/>
      <c r="O171"/>
      <c r="P171"/>
      <c r="Q171"/>
    </row>
    <row r="172" spans="8:17" x14ac:dyDescent="0.4">
      <c r="H172" s="8">
        <f t="shared" si="18"/>
        <v>217</v>
      </c>
      <c r="I172" s="1">
        <v>168</v>
      </c>
      <c r="J172" s="1">
        <f t="shared" si="19"/>
        <v>217</v>
      </c>
      <c r="K172" s="1">
        <f t="shared" si="20"/>
        <v>0.5</v>
      </c>
      <c r="M172"/>
      <c r="N172"/>
      <c r="O172"/>
      <c r="P172"/>
      <c r="Q172"/>
    </row>
    <row r="173" spans="8:17" x14ac:dyDescent="0.4">
      <c r="H173" s="8">
        <f t="shared" si="18"/>
        <v>217.5</v>
      </c>
      <c r="I173" s="1">
        <v>169</v>
      </c>
      <c r="J173" s="1">
        <f t="shared" si="19"/>
        <v>217.5</v>
      </c>
      <c r="K173" s="1">
        <f t="shared" si="20"/>
        <v>0.5</v>
      </c>
      <c r="M173"/>
      <c r="N173"/>
      <c r="O173"/>
      <c r="P173"/>
      <c r="Q173"/>
    </row>
    <row r="174" spans="8:17" x14ac:dyDescent="0.4">
      <c r="H174" s="8">
        <f t="shared" si="18"/>
        <v>218</v>
      </c>
      <c r="I174" s="1">
        <v>170</v>
      </c>
      <c r="J174" s="1">
        <f t="shared" si="19"/>
        <v>218</v>
      </c>
      <c r="K174" s="1">
        <f t="shared" si="20"/>
        <v>0.5</v>
      </c>
      <c r="M174"/>
      <c r="N174"/>
      <c r="O174"/>
      <c r="P174"/>
      <c r="Q174"/>
    </row>
    <row r="175" spans="8:17" x14ac:dyDescent="0.4">
      <c r="H175" s="8">
        <f t="shared" si="18"/>
        <v>218.5</v>
      </c>
      <c r="I175" s="1">
        <v>171</v>
      </c>
      <c r="J175" s="1">
        <f t="shared" si="19"/>
        <v>218.5</v>
      </c>
      <c r="K175" s="1">
        <f t="shared" si="20"/>
        <v>0.5</v>
      </c>
      <c r="M175"/>
      <c r="N175"/>
      <c r="O175"/>
      <c r="P175"/>
      <c r="Q175"/>
    </row>
    <row r="176" spans="8:17" x14ac:dyDescent="0.4">
      <c r="H176" s="8">
        <f t="shared" si="18"/>
        <v>219</v>
      </c>
      <c r="I176" s="1">
        <v>172</v>
      </c>
      <c r="J176" s="1">
        <f t="shared" si="19"/>
        <v>219</v>
      </c>
      <c r="K176" s="1">
        <f t="shared" si="20"/>
        <v>0.5</v>
      </c>
      <c r="M176"/>
      <c r="N176"/>
      <c r="O176"/>
      <c r="P176"/>
      <c r="Q176"/>
    </row>
    <row r="177" spans="8:17" x14ac:dyDescent="0.4">
      <c r="H177" s="8">
        <f t="shared" si="18"/>
        <v>219.5</v>
      </c>
      <c r="I177" s="1">
        <v>173</v>
      </c>
      <c r="J177" s="1">
        <f t="shared" si="19"/>
        <v>219.5</v>
      </c>
      <c r="K177" s="1">
        <f t="shared" si="20"/>
        <v>0.5</v>
      </c>
      <c r="M177"/>
      <c r="N177"/>
      <c r="O177"/>
      <c r="P177"/>
      <c r="Q177"/>
    </row>
    <row r="178" spans="8:17" x14ac:dyDescent="0.4">
      <c r="H178" s="8">
        <f t="shared" si="18"/>
        <v>220</v>
      </c>
      <c r="I178" s="1">
        <v>174</v>
      </c>
      <c r="J178" s="1">
        <f t="shared" si="19"/>
        <v>220</v>
      </c>
      <c r="K178" s="1">
        <f t="shared" si="20"/>
        <v>0.5</v>
      </c>
      <c r="M178"/>
      <c r="N178"/>
      <c r="O178"/>
      <c r="P178"/>
      <c r="Q178"/>
    </row>
    <row r="179" spans="8:17" x14ac:dyDescent="0.4">
      <c r="H179" s="8">
        <f t="shared" si="18"/>
        <v>220.5</v>
      </c>
      <c r="I179" s="1">
        <v>175</v>
      </c>
      <c r="J179" s="1">
        <f t="shared" si="19"/>
        <v>220.5</v>
      </c>
      <c r="K179" s="1">
        <f t="shared" si="20"/>
        <v>0.5</v>
      </c>
      <c r="M179"/>
      <c r="N179"/>
      <c r="O179"/>
      <c r="P179"/>
      <c r="Q179"/>
    </row>
    <row r="180" spans="8:17" x14ac:dyDescent="0.4">
      <c r="H180" s="8">
        <f t="shared" si="18"/>
        <v>221</v>
      </c>
      <c r="I180" s="1">
        <v>176</v>
      </c>
      <c r="J180" s="1">
        <f t="shared" si="19"/>
        <v>221</v>
      </c>
      <c r="K180" s="1">
        <f t="shared" si="20"/>
        <v>0.5</v>
      </c>
      <c r="M180"/>
      <c r="N180"/>
      <c r="O180"/>
      <c r="P180"/>
      <c r="Q180"/>
    </row>
    <row r="181" spans="8:17" x14ac:dyDescent="0.4">
      <c r="H181" s="8">
        <f t="shared" si="18"/>
        <v>221.5</v>
      </c>
      <c r="I181" s="1">
        <v>177</v>
      </c>
      <c r="J181" s="1">
        <f t="shared" si="19"/>
        <v>221.5</v>
      </c>
      <c r="K181" s="1">
        <f t="shared" si="20"/>
        <v>0.5</v>
      </c>
      <c r="M181"/>
      <c r="N181"/>
      <c r="O181"/>
      <c r="P181"/>
      <c r="Q181"/>
    </row>
    <row r="182" spans="8:17" x14ac:dyDescent="0.4">
      <c r="H182" s="8">
        <f t="shared" si="18"/>
        <v>222</v>
      </c>
      <c r="I182" s="1">
        <v>178</v>
      </c>
      <c r="J182" s="1">
        <f t="shared" si="19"/>
        <v>222</v>
      </c>
      <c r="K182" s="1">
        <f t="shared" si="20"/>
        <v>0.5</v>
      </c>
      <c r="M182"/>
      <c r="N182"/>
      <c r="O182"/>
      <c r="P182"/>
      <c r="Q182"/>
    </row>
    <row r="183" spans="8:17" x14ac:dyDescent="0.4">
      <c r="H183" s="8">
        <f t="shared" si="18"/>
        <v>222.5</v>
      </c>
      <c r="I183" s="1">
        <v>179</v>
      </c>
      <c r="J183" s="1">
        <f t="shared" si="19"/>
        <v>222.5</v>
      </c>
      <c r="K183" s="1">
        <f t="shared" si="20"/>
        <v>0.5</v>
      </c>
      <c r="M183"/>
      <c r="N183"/>
      <c r="O183"/>
      <c r="P183"/>
      <c r="Q183"/>
    </row>
    <row r="184" spans="8:17" x14ac:dyDescent="0.4">
      <c r="H184" s="8">
        <f t="shared" si="18"/>
        <v>223</v>
      </c>
      <c r="I184" s="1">
        <v>180</v>
      </c>
      <c r="J184" s="1">
        <f t="shared" si="19"/>
        <v>223</v>
      </c>
      <c r="K184" s="1">
        <f t="shared" si="20"/>
        <v>0.5</v>
      </c>
      <c r="M184"/>
      <c r="N184"/>
      <c r="O184"/>
      <c r="P184"/>
      <c r="Q184"/>
    </row>
    <row r="185" spans="8:17" x14ac:dyDescent="0.4">
      <c r="H185" s="8">
        <f t="shared" si="18"/>
        <v>223.5</v>
      </c>
      <c r="I185" s="1">
        <v>181</v>
      </c>
      <c r="J185" s="1">
        <f t="shared" si="19"/>
        <v>223.5</v>
      </c>
      <c r="K185" s="1">
        <f t="shared" si="20"/>
        <v>0.5</v>
      </c>
      <c r="M185"/>
      <c r="N185"/>
      <c r="O185"/>
      <c r="P185"/>
      <c r="Q185"/>
    </row>
    <row r="186" spans="8:17" x14ac:dyDescent="0.4">
      <c r="H186" s="8">
        <f t="shared" si="18"/>
        <v>224</v>
      </c>
      <c r="I186" s="1">
        <v>182</v>
      </c>
      <c r="J186" s="1">
        <f t="shared" si="19"/>
        <v>224</v>
      </c>
      <c r="K186" s="1">
        <f t="shared" si="20"/>
        <v>0.5</v>
      </c>
      <c r="M186"/>
      <c r="N186"/>
      <c r="O186"/>
      <c r="P186"/>
      <c r="Q186"/>
    </row>
    <row r="187" spans="8:17" x14ac:dyDescent="0.4">
      <c r="H187" s="8">
        <f t="shared" si="18"/>
        <v>224.5</v>
      </c>
      <c r="I187" s="1">
        <v>183</v>
      </c>
      <c r="J187" s="1">
        <f t="shared" si="19"/>
        <v>224.5</v>
      </c>
      <c r="K187" s="1">
        <f t="shared" si="20"/>
        <v>0.5</v>
      </c>
      <c r="M187"/>
      <c r="N187"/>
      <c r="O187"/>
      <c r="P187"/>
      <c r="Q187"/>
    </row>
    <row r="188" spans="8:17" x14ac:dyDescent="0.4">
      <c r="H188" s="8">
        <f t="shared" si="18"/>
        <v>225</v>
      </c>
      <c r="I188" s="1">
        <v>184</v>
      </c>
      <c r="J188" s="1">
        <f t="shared" si="19"/>
        <v>225</v>
      </c>
      <c r="K188" s="1">
        <f t="shared" si="20"/>
        <v>0.5</v>
      </c>
      <c r="M188"/>
      <c r="N188"/>
      <c r="O188"/>
      <c r="P188"/>
      <c r="Q188"/>
    </row>
    <row r="189" spans="8:17" x14ac:dyDescent="0.4">
      <c r="H189" s="8">
        <f t="shared" si="18"/>
        <v>225.75</v>
      </c>
      <c r="I189" s="1">
        <v>185</v>
      </c>
      <c r="J189" s="1">
        <f t="shared" si="19"/>
        <v>225.75</v>
      </c>
      <c r="K189" s="1">
        <f t="shared" si="20"/>
        <v>0.75</v>
      </c>
      <c r="M189"/>
      <c r="N189"/>
      <c r="O189"/>
      <c r="P189"/>
      <c r="Q189"/>
    </row>
    <row r="190" spans="8:17" x14ac:dyDescent="0.4">
      <c r="H190" s="8">
        <f t="shared" si="18"/>
        <v>226.25</v>
      </c>
      <c r="I190" s="1">
        <v>186</v>
      </c>
      <c r="J190" s="1">
        <f t="shared" si="19"/>
        <v>226.25</v>
      </c>
      <c r="K190" s="1">
        <f t="shared" si="20"/>
        <v>0.5</v>
      </c>
      <c r="M190"/>
      <c r="N190"/>
      <c r="O190"/>
      <c r="P190"/>
      <c r="Q190"/>
    </row>
    <row r="191" spans="8:17" x14ac:dyDescent="0.4">
      <c r="H191" s="8">
        <f t="shared" si="18"/>
        <v>226.75</v>
      </c>
      <c r="I191" s="1">
        <v>187</v>
      </c>
      <c r="J191" s="1">
        <f t="shared" si="19"/>
        <v>226.75</v>
      </c>
      <c r="K191" s="1">
        <f t="shared" si="20"/>
        <v>0.5</v>
      </c>
      <c r="M191"/>
      <c r="N191"/>
      <c r="O191"/>
      <c r="P191"/>
      <c r="Q191"/>
    </row>
    <row r="192" spans="8:17" x14ac:dyDescent="0.4">
      <c r="H192" s="8">
        <f t="shared" si="18"/>
        <v>227.25</v>
      </c>
      <c r="I192" s="1">
        <v>188</v>
      </c>
      <c r="J192" s="1">
        <f t="shared" si="19"/>
        <v>227.25</v>
      </c>
      <c r="K192" s="1">
        <f t="shared" si="20"/>
        <v>0.5</v>
      </c>
      <c r="M192"/>
      <c r="N192"/>
      <c r="O192"/>
      <c r="P192"/>
      <c r="Q192"/>
    </row>
    <row r="193" spans="8:17" x14ac:dyDescent="0.4">
      <c r="H193" s="8">
        <f t="shared" si="18"/>
        <v>227.75</v>
      </c>
      <c r="I193" s="1">
        <v>189</v>
      </c>
      <c r="J193" s="1">
        <f t="shared" si="19"/>
        <v>227.75</v>
      </c>
      <c r="K193" s="1">
        <f t="shared" si="20"/>
        <v>0.5</v>
      </c>
      <c r="M193"/>
      <c r="N193"/>
      <c r="O193"/>
      <c r="P193"/>
      <c r="Q193"/>
    </row>
    <row r="194" spans="8:17" x14ac:dyDescent="0.4">
      <c r="H194" s="8">
        <f t="shared" si="18"/>
        <v>228.25</v>
      </c>
      <c r="I194" s="1">
        <v>190</v>
      </c>
      <c r="J194" s="1">
        <f t="shared" si="19"/>
        <v>228.25</v>
      </c>
      <c r="K194" s="1">
        <f t="shared" si="20"/>
        <v>0.5</v>
      </c>
      <c r="M194"/>
      <c r="N194"/>
      <c r="O194"/>
      <c r="P194"/>
      <c r="Q194"/>
    </row>
    <row r="195" spans="8:17" x14ac:dyDescent="0.4">
      <c r="H195" s="8">
        <f t="shared" si="18"/>
        <v>228.75</v>
      </c>
      <c r="I195" s="1">
        <v>191</v>
      </c>
      <c r="J195" s="1">
        <f t="shared" si="19"/>
        <v>228.75</v>
      </c>
      <c r="K195" s="1">
        <f t="shared" si="20"/>
        <v>0.5</v>
      </c>
      <c r="M195"/>
      <c r="N195"/>
      <c r="O195"/>
      <c r="P195"/>
      <c r="Q195"/>
    </row>
    <row r="196" spans="8:17" x14ac:dyDescent="0.4">
      <c r="H196" s="8">
        <f t="shared" si="18"/>
        <v>229</v>
      </c>
      <c r="I196" s="1">
        <v>192</v>
      </c>
      <c r="J196" s="1">
        <f t="shared" si="19"/>
        <v>229</v>
      </c>
      <c r="K196" s="1">
        <f t="shared" si="20"/>
        <v>0.25</v>
      </c>
      <c r="M196"/>
      <c r="N196"/>
      <c r="O196"/>
      <c r="P196"/>
      <c r="Q196"/>
    </row>
    <row r="197" spans="8:17" x14ac:dyDescent="0.4">
      <c r="H197" s="8">
        <f t="shared" ref="H197:H260" si="21">J197</f>
        <v>229.5</v>
      </c>
      <c r="I197" s="1">
        <v>193</v>
      </c>
      <c r="J197" s="1">
        <f t="shared" si="19"/>
        <v>229.5</v>
      </c>
      <c r="K197" s="1">
        <f t="shared" si="20"/>
        <v>0.5</v>
      </c>
      <c r="M197"/>
      <c r="N197"/>
      <c r="O197"/>
      <c r="P197"/>
      <c r="Q197"/>
    </row>
    <row r="198" spans="8:17" x14ac:dyDescent="0.4">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4">
      <c r="H199" s="8">
        <f t="shared" si="21"/>
        <v>230.5</v>
      </c>
      <c r="I199" s="1">
        <v>195</v>
      </c>
      <c r="J199" s="1">
        <f t="shared" si="22"/>
        <v>230.5</v>
      </c>
      <c r="K199" s="1">
        <f t="shared" si="23"/>
        <v>0.5</v>
      </c>
      <c r="M199"/>
      <c r="N199"/>
      <c r="O199"/>
      <c r="P199"/>
      <c r="Q199"/>
    </row>
    <row r="200" spans="8:17" x14ac:dyDescent="0.4">
      <c r="H200" s="8">
        <f t="shared" si="21"/>
        <v>230.75</v>
      </c>
      <c r="I200" s="1">
        <v>196</v>
      </c>
      <c r="J200" s="1">
        <f t="shared" si="22"/>
        <v>230.75</v>
      </c>
      <c r="K200" s="1">
        <f t="shared" si="23"/>
        <v>0.25</v>
      </c>
      <c r="M200"/>
      <c r="N200"/>
      <c r="O200"/>
      <c r="P200"/>
      <c r="Q200"/>
    </row>
    <row r="201" spans="8:17" x14ac:dyDescent="0.4">
      <c r="H201" s="8">
        <f t="shared" si="21"/>
        <v>231.25</v>
      </c>
      <c r="I201" s="1">
        <v>197</v>
      </c>
      <c r="J201" s="1">
        <f t="shared" si="22"/>
        <v>231.25</v>
      </c>
      <c r="K201" s="1">
        <f t="shared" si="23"/>
        <v>0.5</v>
      </c>
      <c r="M201"/>
      <c r="N201"/>
      <c r="O201"/>
      <c r="P201"/>
      <c r="Q201"/>
    </row>
    <row r="202" spans="8:17" x14ac:dyDescent="0.4">
      <c r="H202" s="8">
        <f t="shared" si="21"/>
        <v>231.75</v>
      </c>
      <c r="I202" s="1">
        <v>198</v>
      </c>
      <c r="J202" s="1">
        <f t="shared" si="22"/>
        <v>231.75</v>
      </c>
      <c r="K202" s="1">
        <f t="shared" si="23"/>
        <v>0.5</v>
      </c>
      <c r="M202"/>
      <c r="N202"/>
      <c r="O202"/>
      <c r="P202"/>
      <c r="Q202"/>
    </row>
    <row r="203" spans="8:17" x14ac:dyDescent="0.4">
      <c r="H203" s="8">
        <f t="shared" si="21"/>
        <v>232.25</v>
      </c>
      <c r="I203" s="1">
        <v>199</v>
      </c>
      <c r="J203" s="1">
        <f t="shared" si="22"/>
        <v>232.25</v>
      </c>
      <c r="K203" s="1">
        <f t="shared" si="23"/>
        <v>0.5</v>
      </c>
      <c r="M203"/>
      <c r="N203"/>
      <c r="O203"/>
      <c r="P203"/>
      <c r="Q203"/>
    </row>
    <row r="204" spans="8:17" x14ac:dyDescent="0.4">
      <c r="H204" s="8">
        <f t="shared" si="21"/>
        <v>232.75</v>
      </c>
      <c r="I204" s="1">
        <v>200</v>
      </c>
      <c r="J204" s="1">
        <f t="shared" si="22"/>
        <v>232.75</v>
      </c>
      <c r="K204" s="1">
        <f t="shared" si="23"/>
        <v>0.5</v>
      </c>
      <c r="M204"/>
      <c r="N204"/>
      <c r="O204"/>
      <c r="P204"/>
      <c r="Q204"/>
    </row>
    <row r="205" spans="8:17" x14ac:dyDescent="0.4">
      <c r="H205" s="8">
        <f t="shared" si="21"/>
        <v>233</v>
      </c>
      <c r="I205" s="1">
        <v>201</v>
      </c>
      <c r="J205" s="1">
        <f t="shared" si="22"/>
        <v>233</v>
      </c>
      <c r="K205" s="1">
        <f t="shared" si="23"/>
        <v>0.25</v>
      </c>
      <c r="M205"/>
      <c r="N205"/>
      <c r="O205"/>
      <c r="P205"/>
      <c r="Q205"/>
    </row>
    <row r="206" spans="8:17" x14ac:dyDescent="0.4">
      <c r="H206" s="8">
        <f t="shared" si="21"/>
        <v>233.5</v>
      </c>
      <c r="I206" s="1">
        <v>202</v>
      </c>
      <c r="J206" s="1">
        <f t="shared" si="22"/>
        <v>233.5</v>
      </c>
      <c r="K206" s="1">
        <f t="shared" si="23"/>
        <v>0.5</v>
      </c>
      <c r="M206"/>
      <c r="N206"/>
      <c r="O206"/>
      <c r="P206"/>
      <c r="Q206"/>
    </row>
    <row r="207" spans="8:17" x14ac:dyDescent="0.4">
      <c r="H207" s="8">
        <f t="shared" si="21"/>
        <v>233.75</v>
      </c>
      <c r="I207" s="1">
        <v>203</v>
      </c>
      <c r="J207" s="1">
        <f t="shared" si="22"/>
        <v>233.75</v>
      </c>
      <c r="K207" s="1">
        <f t="shared" si="23"/>
        <v>0.25</v>
      </c>
      <c r="M207"/>
      <c r="N207"/>
      <c r="O207"/>
      <c r="P207"/>
      <c r="Q207"/>
    </row>
    <row r="208" spans="8:17" x14ac:dyDescent="0.4">
      <c r="H208" s="8">
        <f t="shared" si="21"/>
        <v>234.25</v>
      </c>
      <c r="I208" s="1">
        <v>204</v>
      </c>
      <c r="J208" s="1">
        <f t="shared" si="22"/>
        <v>234.25</v>
      </c>
      <c r="K208" s="1">
        <f t="shared" si="23"/>
        <v>0.5</v>
      </c>
      <c r="M208"/>
      <c r="N208"/>
      <c r="O208"/>
      <c r="P208"/>
      <c r="Q208"/>
    </row>
    <row r="209" spans="8:17" x14ac:dyDescent="0.4">
      <c r="H209" s="8">
        <f t="shared" si="21"/>
        <v>234.75</v>
      </c>
      <c r="I209" s="1">
        <v>205</v>
      </c>
      <c r="J209" s="1">
        <f t="shared" si="22"/>
        <v>234.75</v>
      </c>
      <c r="K209" s="1">
        <f t="shared" si="23"/>
        <v>0.5</v>
      </c>
      <c r="M209"/>
      <c r="N209"/>
      <c r="O209"/>
      <c r="P209"/>
      <c r="Q209"/>
    </row>
    <row r="210" spans="8:17" x14ac:dyDescent="0.4">
      <c r="H210" s="8">
        <f t="shared" si="21"/>
        <v>235.25</v>
      </c>
      <c r="I210" s="1">
        <v>206</v>
      </c>
      <c r="J210" s="1">
        <f t="shared" si="22"/>
        <v>235.25</v>
      </c>
      <c r="K210" s="1">
        <f t="shared" si="23"/>
        <v>0.5</v>
      </c>
      <c r="M210"/>
      <c r="N210"/>
      <c r="O210"/>
      <c r="P210"/>
      <c r="Q210"/>
    </row>
    <row r="211" spans="8:17" x14ac:dyDescent="0.4">
      <c r="H211" s="8">
        <f t="shared" si="21"/>
        <v>235.75</v>
      </c>
      <c r="I211" s="1">
        <v>207</v>
      </c>
      <c r="J211" s="1">
        <f t="shared" si="22"/>
        <v>235.75</v>
      </c>
      <c r="K211" s="1">
        <f t="shared" si="23"/>
        <v>0.5</v>
      </c>
      <c r="M211"/>
      <c r="N211"/>
      <c r="O211"/>
      <c r="P211"/>
      <c r="Q211"/>
    </row>
    <row r="212" spans="8:17" x14ac:dyDescent="0.4">
      <c r="H212" s="8">
        <f t="shared" si="21"/>
        <v>236.25</v>
      </c>
      <c r="I212" s="1">
        <v>208</v>
      </c>
      <c r="J212" s="1">
        <f t="shared" si="22"/>
        <v>236.25</v>
      </c>
      <c r="K212" s="1">
        <f t="shared" si="23"/>
        <v>0.5</v>
      </c>
      <c r="M212"/>
      <c r="N212"/>
      <c r="O212"/>
      <c r="P212"/>
      <c r="Q212"/>
    </row>
    <row r="213" spans="8:17" x14ac:dyDescent="0.4">
      <c r="H213" s="8">
        <f t="shared" si="21"/>
        <v>236.75</v>
      </c>
      <c r="I213" s="1">
        <v>209</v>
      </c>
      <c r="J213" s="1">
        <f t="shared" si="22"/>
        <v>236.75</v>
      </c>
      <c r="K213" s="1">
        <f t="shared" si="23"/>
        <v>0.5</v>
      </c>
      <c r="M213"/>
      <c r="N213"/>
      <c r="O213"/>
      <c r="P213"/>
      <c r="Q213"/>
    </row>
    <row r="214" spans="8:17" x14ac:dyDescent="0.4">
      <c r="H214" s="8">
        <f t="shared" si="21"/>
        <v>237</v>
      </c>
      <c r="I214" s="1">
        <v>210</v>
      </c>
      <c r="J214" s="1">
        <f t="shared" si="22"/>
        <v>237</v>
      </c>
      <c r="K214" s="1">
        <f t="shared" si="23"/>
        <v>0.25</v>
      </c>
      <c r="M214"/>
      <c r="N214"/>
      <c r="O214"/>
      <c r="P214"/>
      <c r="Q214"/>
    </row>
    <row r="215" spans="8:17" x14ac:dyDescent="0.4">
      <c r="H215" s="8">
        <f t="shared" si="21"/>
        <v>237.5</v>
      </c>
      <c r="I215" s="1">
        <v>211</v>
      </c>
      <c r="J215" s="1">
        <f t="shared" si="22"/>
        <v>237.5</v>
      </c>
      <c r="K215" s="1">
        <f t="shared" si="23"/>
        <v>0.5</v>
      </c>
      <c r="M215"/>
      <c r="N215"/>
      <c r="O215"/>
      <c r="P215"/>
      <c r="Q215"/>
    </row>
    <row r="216" spans="8:17" x14ac:dyDescent="0.4">
      <c r="H216" s="8">
        <f t="shared" si="21"/>
        <v>238</v>
      </c>
      <c r="I216" s="1">
        <v>212</v>
      </c>
      <c r="J216" s="1">
        <f t="shared" si="22"/>
        <v>238</v>
      </c>
      <c r="K216" s="1">
        <f t="shared" si="23"/>
        <v>0.5</v>
      </c>
      <c r="M216"/>
      <c r="N216"/>
      <c r="O216"/>
      <c r="P216"/>
      <c r="Q216"/>
    </row>
    <row r="217" spans="8:17" x14ac:dyDescent="0.4">
      <c r="H217" s="8">
        <f t="shared" si="21"/>
        <v>238.5</v>
      </c>
      <c r="I217" s="1">
        <v>213</v>
      </c>
      <c r="J217" s="1">
        <f t="shared" si="22"/>
        <v>238.5</v>
      </c>
      <c r="K217" s="1">
        <f t="shared" si="23"/>
        <v>0.5</v>
      </c>
      <c r="M217"/>
      <c r="N217"/>
      <c r="O217"/>
      <c r="P217"/>
      <c r="Q217"/>
    </row>
    <row r="218" spans="8:17" x14ac:dyDescent="0.4">
      <c r="H218" s="8">
        <f t="shared" si="21"/>
        <v>238.75</v>
      </c>
      <c r="I218" s="1">
        <v>214</v>
      </c>
      <c r="J218" s="1">
        <f t="shared" si="22"/>
        <v>238.75</v>
      </c>
      <c r="K218" s="1">
        <f t="shared" si="23"/>
        <v>0.25</v>
      </c>
      <c r="M218"/>
      <c r="N218"/>
      <c r="O218"/>
      <c r="P218"/>
      <c r="Q218"/>
    </row>
    <row r="219" spans="8:17" x14ac:dyDescent="0.4">
      <c r="H219" s="8">
        <f t="shared" si="21"/>
        <v>239.25</v>
      </c>
      <c r="I219" s="1">
        <v>215</v>
      </c>
      <c r="J219" s="1">
        <f t="shared" si="22"/>
        <v>239.25</v>
      </c>
      <c r="K219" s="1">
        <f t="shared" si="23"/>
        <v>0.5</v>
      </c>
      <c r="M219"/>
      <c r="N219"/>
      <c r="O219"/>
      <c r="P219"/>
      <c r="Q219"/>
    </row>
    <row r="220" spans="8:17" x14ac:dyDescent="0.4">
      <c r="H220" s="8">
        <f t="shared" si="21"/>
        <v>239.75</v>
      </c>
      <c r="I220" s="1">
        <v>216</v>
      </c>
      <c r="J220" s="1">
        <f t="shared" si="22"/>
        <v>239.75</v>
      </c>
      <c r="K220" s="1">
        <f t="shared" si="23"/>
        <v>0.5</v>
      </c>
      <c r="M220"/>
      <c r="N220"/>
      <c r="O220"/>
      <c r="P220"/>
      <c r="Q220"/>
    </row>
    <row r="221" spans="8:17" x14ac:dyDescent="0.4">
      <c r="H221" s="8">
        <f t="shared" si="21"/>
        <v>240.25</v>
      </c>
      <c r="I221" s="1">
        <v>217</v>
      </c>
      <c r="J221" s="1">
        <f t="shared" si="22"/>
        <v>240.25</v>
      </c>
      <c r="K221" s="1">
        <f t="shared" si="23"/>
        <v>0.5</v>
      </c>
      <c r="M221"/>
      <c r="N221"/>
      <c r="O221"/>
      <c r="P221"/>
      <c r="Q221"/>
    </row>
    <row r="222" spans="8:17" x14ac:dyDescent="0.4">
      <c r="H222" s="8">
        <f t="shared" si="21"/>
        <v>240.75</v>
      </c>
      <c r="I222" s="1">
        <v>218</v>
      </c>
      <c r="J222" s="1">
        <f t="shared" si="22"/>
        <v>240.75</v>
      </c>
      <c r="K222" s="1">
        <f t="shared" si="23"/>
        <v>0.5</v>
      </c>
      <c r="M222"/>
      <c r="N222"/>
      <c r="O222"/>
      <c r="P222"/>
      <c r="Q222"/>
    </row>
    <row r="223" spans="8:17" x14ac:dyDescent="0.4">
      <c r="H223" s="8">
        <f t="shared" si="21"/>
        <v>241</v>
      </c>
      <c r="I223" s="1">
        <v>219</v>
      </c>
      <c r="J223" s="1">
        <f t="shared" si="22"/>
        <v>241</v>
      </c>
      <c r="K223" s="1">
        <f t="shared" si="23"/>
        <v>0.25</v>
      </c>
      <c r="M223"/>
      <c r="N223"/>
      <c r="O223"/>
      <c r="P223"/>
      <c r="Q223"/>
    </row>
    <row r="224" spans="8:17" x14ac:dyDescent="0.4">
      <c r="H224" s="8">
        <f t="shared" si="21"/>
        <v>241.5</v>
      </c>
      <c r="I224" s="1">
        <v>220</v>
      </c>
      <c r="J224" s="1">
        <f t="shared" si="22"/>
        <v>241.5</v>
      </c>
      <c r="K224" s="1">
        <f t="shared" si="23"/>
        <v>0.5</v>
      </c>
      <c r="M224"/>
      <c r="N224"/>
      <c r="O224"/>
      <c r="P224"/>
      <c r="Q224"/>
    </row>
    <row r="225" spans="8:17" x14ac:dyDescent="0.4">
      <c r="H225" s="8">
        <f t="shared" si="21"/>
        <v>241.75</v>
      </c>
      <c r="I225" s="1">
        <v>221</v>
      </c>
      <c r="J225" s="1">
        <f t="shared" si="22"/>
        <v>241.75</v>
      </c>
      <c r="K225" s="1">
        <f t="shared" si="23"/>
        <v>0.25</v>
      </c>
      <c r="M225"/>
      <c r="N225"/>
      <c r="O225"/>
      <c r="P225"/>
      <c r="Q225"/>
    </row>
    <row r="226" spans="8:17" x14ac:dyDescent="0.4">
      <c r="H226" s="8">
        <f t="shared" si="21"/>
        <v>242.25</v>
      </c>
      <c r="I226" s="1">
        <v>222</v>
      </c>
      <c r="J226" s="1">
        <f t="shared" si="22"/>
        <v>242.25</v>
      </c>
      <c r="K226" s="1">
        <f t="shared" si="23"/>
        <v>0.5</v>
      </c>
      <c r="M226"/>
      <c r="N226"/>
      <c r="O226"/>
      <c r="P226"/>
      <c r="Q226"/>
    </row>
    <row r="227" spans="8:17" x14ac:dyDescent="0.4">
      <c r="H227" s="8">
        <f t="shared" si="21"/>
        <v>242.75</v>
      </c>
      <c r="I227" s="1">
        <v>223</v>
      </c>
      <c r="J227" s="1">
        <f t="shared" si="22"/>
        <v>242.75</v>
      </c>
      <c r="K227" s="1">
        <f t="shared" si="23"/>
        <v>0.5</v>
      </c>
      <c r="M227"/>
      <c r="N227"/>
      <c r="O227"/>
      <c r="P227"/>
      <c r="Q227"/>
    </row>
    <row r="228" spans="8:17" x14ac:dyDescent="0.4">
      <c r="H228" s="8">
        <f t="shared" si="21"/>
        <v>243</v>
      </c>
      <c r="I228" s="1">
        <v>224</v>
      </c>
      <c r="J228" s="1">
        <f t="shared" si="22"/>
        <v>243</v>
      </c>
      <c r="K228" s="1">
        <f t="shared" si="23"/>
        <v>0.25</v>
      </c>
      <c r="M228"/>
      <c r="N228"/>
      <c r="O228"/>
      <c r="P228"/>
      <c r="Q228"/>
    </row>
    <row r="229" spans="8:17" x14ac:dyDescent="0.4">
      <c r="H229" s="8">
        <f t="shared" si="21"/>
        <v>243.5</v>
      </c>
      <c r="I229" s="1">
        <v>225</v>
      </c>
      <c r="J229" s="1">
        <f t="shared" si="22"/>
        <v>243.5</v>
      </c>
      <c r="K229" s="1">
        <f t="shared" si="23"/>
        <v>0.5</v>
      </c>
      <c r="M229"/>
      <c r="N229"/>
      <c r="O229"/>
      <c r="P229"/>
      <c r="Q229"/>
    </row>
    <row r="230" spans="8:17" x14ac:dyDescent="0.4">
      <c r="H230" s="8">
        <f t="shared" si="21"/>
        <v>243.75</v>
      </c>
      <c r="I230" s="1">
        <v>226</v>
      </c>
      <c r="J230" s="1">
        <f t="shared" si="22"/>
        <v>243.75</v>
      </c>
      <c r="K230" s="1">
        <f t="shared" si="23"/>
        <v>0.25</v>
      </c>
      <c r="M230"/>
      <c r="N230"/>
      <c r="O230"/>
      <c r="P230"/>
      <c r="Q230"/>
    </row>
    <row r="231" spans="8:17" x14ac:dyDescent="0.4">
      <c r="H231" s="8">
        <f t="shared" si="21"/>
        <v>244</v>
      </c>
      <c r="I231" s="1">
        <v>227</v>
      </c>
      <c r="J231" s="1">
        <f t="shared" si="22"/>
        <v>244</v>
      </c>
      <c r="K231" s="1">
        <f t="shared" si="23"/>
        <v>0.25</v>
      </c>
      <c r="M231"/>
      <c r="N231"/>
      <c r="O231"/>
      <c r="P231"/>
      <c r="Q231"/>
    </row>
    <row r="232" spans="8:17" x14ac:dyDescent="0.4">
      <c r="H232" s="8">
        <f t="shared" si="21"/>
        <v>244.5</v>
      </c>
      <c r="I232" s="1">
        <v>228</v>
      </c>
      <c r="J232" s="1">
        <f t="shared" si="22"/>
        <v>244.5</v>
      </c>
      <c r="K232" s="1">
        <f t="shared" si="23"/>
        <v>0.5</v>
      </c>
      <c r="M232"/>
      <c r="N232"/>
      <c r="O232"/>
      <c r="P232"/>
      <c r="Q232"/>
    </row>
    <row r="233" spans="8:17" x14ac:dyDescent="0.4">
      <c r="H233" s="8">
        <f t="shared" si="21"/>
        <v>245</v>
      </c>
      <c r="I233" s="1">
        <v>229</v>
      </c>
      <c r="J233" s="1">
        <f t="shared" si="22"/>
        <v>245</v>
      </c>
      <c r="K233" s="1">
        <f t="shared" si="23"/>
        <v>0.5</v>
      </c>
      <c r="M233"/>
      <c r="N233"/>
      <c r="O233"/>
      <c r="P233"/>
      <c r="Q233"/>
    </row>
    <row r="234" spans="8:17" x14ac:dyDescent="0.4">
      <c r="H234" s="8">
        <f t="shared" si="21"/>
        <v>245.5</v>
      </c>
      <c r="I234" s="1">
        <v>230</v>
      </c>
      <c r="J234" s="1">
        <f t="shared" si="22"/>
        <v>245.5</v>
      </c>
      <c r="K234" s="1">
        <f t="shared" si="23"/>
        <v>0.5</v>
      </c>
      <c r="M234"/>
      <c r="N234"/>
      <c r="O234"/>
      <c r="P234"/>
      <c r="Q234"/>
    </row>
    <row r="235" spans="8:17" x14ac:dyDescent="0.4">
      <c r="H235" s="8">
        <f t="shared" si="21"/>
        <v>245.75</v>
      </c>
      <c r="I235" s="1">
        <v>231</v>
      </c>
      <c r="J235" s="1">
        <f t="shared" si="22"/>
        <v>245.75</v>
      </c>
      <c r="K235" s="1">
        <f t="shared" si="23"/>
        <v>0.25</v>
      </c>
      <c r="M235"/>
      <c r="N235"/>
      <c r="O235"/>
      <c r="P235"/>
      <c r="Q235"/>
    </row>
    <row r="236" spans="8:17" x14ac:dyDescent="0.4">
      <c r="H236" s="8">
        <f t="shared" si="21"/>
        <v>246.25</v>
      </c>
      <c r="I236" s="1">
        <v>232</v>
      </c>
      <c r="J236" s="1">
        <f t="shared" si="22"/>
        <v>246.25</v>
      </c>
      <c r="K236" s="1">
        <f t="shared" si="23"/>
        <v>0.5</v>
      </c>
      <c r="M236"/>
      <c r="N236"/>
      <c r="O236"/>
      <c r="P236"/>
      <c r="Q236"/>
    </row>
    <row r="237" spans="8:17" x14ac:dyDescent="0.4">
      <c r="H237" s="8">
        <f t="shared" si="21"/>
        <v>246.75</v>
      </c>
      <c r="I237" s="1">
        <v>233</v>
      </c>
      <c r="J237" s="1">
        <f t="shared" si="22"/>
        <v>246.75</v>
      </c>
      <c r="K237" s="1">
        <f t="shared" si="23"/>
        <v>0.5</v>
      </c>
      <c r="M237"/>
      <c r="N237"/>
      <c r="O237"/>
      <c r="P237"/>
      <c r="Q237"/>
    </row>
    <row r="238" spans="8:17" x14ac:dyDescent="0.4">
      <c r="H238" s="8">
        <f t="shared" si="21"/>
        <v>247</v>
      </c>
      <c r="I238" s="1">
        <v>234</v>
      </c>
      <c r="J238" s="1">
        <f t="shared" si="22"/>
        <v>247</v>
      </c>
      <c r="K238" s="1">
        <f t="shared" si="23"/>
        <v>0.25</v>
      </c>
      <c r="M238"/>
      <c r="N238"/>
      <c r="O238"/>
      <c r="P238"/>
      <c r="Q238"/>
    </row>
    <row r="239" spans="8:17" x14ac:dyDescent="0.4">
      <c r="H239" s="8">
        <f t="shared" si="21"/>
        <v>247.5</v>
      </c>
      <c r="I239" s="1">
        <v>235</v>
      </c>
      <c r="J239" s="1">
        <f t="shared" si="22"/>
        <v>247.5</v>
      </c>
      <c r="K239" s="1">
        <f t="shared" si="23"/>
        <v>0.5</v>
      </c>
      <c r="M239"/>
      <c r="N239"/>
      <c r="O239"/>
      <c r="P239"/>
      <c r="Q239"/>
    </row>
    <row r="240" spans="8:17" x14ac:dyDescent="0.4">
      <c r="H240" s="8">
        <f t="shared" si="21"/>
        <v>248</v>
      </c>
      <c r="I240" s="1">
        <v>236</v>
      </c>
      <c r="J240" s="1">
        <f t="shared" si="22"/>
        <v>248</v>
      </c>
      <c r="K240" s="1">
        <f t="shared" si="23"/>
        <v>0.5</v>
      </c>
      <c r="M240"/>
      <c r="N240"/>
      <c r="O240"/>
      <c r="P240"/>
      <c r="Q240"/>
    </row>
    <row r="241" spans="8:17" x14ac:dyDescent="0.4">
      <c r="H241" s="8">
        <f t="shared" si="21"/>
        <v>248.5</v>
      </c>
      <c r="I241" s="1">
        <v>237</v>
      </c>
      <c r="J241" s="1">
        <f t="shared" si="22"/>
        <v>248.5</v>
      </c>
      <c r="K241" s="1">
        <f t="shared" si="23"/>
        <v>0.5</v>
      </c>
      <c r="M241"/>
      <c r="N241"/>
      <c r="O241"/>
      <c r="P241"/>
      <c r="Q241"/>
    </row>
    <row r="242" spans="8:17" x14ac:dyDescent="0.4">
      <c r="H242" s="8">
        <f t="shared" si="21"/>
        <v>248.75</v>
      </c>
      <c r="I242" s="1">
        <v>238</v>
      </c>
      <c r="J242" s="1">
        <f t="shared" si="22"/>
        <v>248.75</v>
      </c>
      <c r="K242" s="1">
        <f t="shared" si="23"/>
        <v>0.25</v>
      </c>
      <c r="M242"/>
      <c r="N242"/>
      <c r="O242"/>
      <c r="P242"/>
      <c r="Q242"/>
    </row>
    <row r="243" spans="8:17" x14ac:dyDescent="0.4">
      <c r="H243" s="8">
        <f t="shared" si="21"/>
        <v>249.25</v>
      </c>
      <c r="I243" s="1">
        <v>239</v>
      </c>
      <c r="J243" s="1">
        <f t="shared" si="22"/>
        <v>249.25</v>
      </c>
      <c r="K243" s="1">
        <f t="shared" si="23"/>
        <v>0.5</v>
      </c>
      <c r="M243"/>
      <c r="N243"/>
      <c r="O243"/>
      <c r="P243"/>
      <c r="Q243"/>
    </row>
    <row r="244" spans="8:17" x14ac:dyDescent="0.4">
      <c r="H244" s="8">
        <f t="shared" si="21"/>
        <v>249.75</v>
      </c>
      <c r="I244" s="1">
        <v>240</v>
      </c>
      <c r="J244" s="1">
        <f t="shared" si="22"/>
        <v>249.75</v>
      </c>
      <c r="K244" s="1">
        <f t="shared" si="23"/>
        <v>0.5</v>
      </c>
      <c r="M244"/>
      <c r="N244"/>
      <c r="O244"/>
      <c r="P244"/>
      <c r="Q244"/>
    </row>
    <row r="245" spans="8:17" x14ac:dyDescent="0.4">
      <c r="H245" s="8">
        <f t="shared" si="21"/>
        <v>250.25</v>
      </c>
      <c r="I245" s="1">
        <v>241</v>
      </c>
      <c r="J245" s="1">
        <f t="shared" si="22"/>
        <v>250.25</v>
      </c>
      <c r="K245" s="1">
        <f t="shared" si="23"/>
        <v>0.5</v>
      </c>
      <c r="M245"/>
      <c r="N245"/>
      <c r="O245"/>
      <c r="P245"/>
      <c r="Q245"/>
    </row>
    <row r="246" spans="8:17" x14ac:dyDescent="0.4">
      <c r="H246" s="8">
        <f t="shared" si="21"/>
        <v>250.75</v>
      </c>
      <c r="I246" s="1">
        <v>242</v>
      </c>
      <c r="J246" s="1">
        <f t="shared" si="22"/>
        <v>250.75</v>
      </c>
      <c r="K246" s="1">
        <f t="shared" si="23"/>
        <v>0.5</v>
      </c>
      <c r="M246"/>
      <c r="N246"/>
      <c r="O246"/>
      <c r="P246"/>
      <c r="Q246"/>
    </row>
    <row r="247" spans="8:17" x14ac:dyDescent="0.4">
      <c r="H247" s="8">
        <f t="shared" si="21"/>
        <v>251</v>
      </c>
      <c r="I247" s="1">
        <v>243</v>
      </c>
      <c r="J247" s="1">
        <f t="shared" si="22"/>
        <v>251</v>
      </c>
      <c r="K247" s="1">
        <f t="shared" si="23"/>
        <v>0.25</v>
      </c>
      <c r="M247"/>
      <c r="N247"/>
      <c r="O247"/>
      <c r="P247"/>
      <c r="Q247"/>
    </row>
    <row r="248" spans="8:17" x14ac:dyDescent="0.4">
      <c r="H248" s="8">
        <f t="shared" si="21"/>
        <v>251.25</v>
      </c>
      <c r="I248" s="1">
        <v>244</v>
      </c>
      <c r="J248" s="1">
        <f t="shared" si="22"/>
        <v>251.25</v>
      </c>
      <c r="K248" s="1">
        <f t="shared" si="23"/>
        <v>0.25</v>
      </c>
      <c r="M248"/>
      <c r="N248"/>
      <c r="O248"/>
      <c r="P248"/>
      <c r="Q248"/>
    </row>
    <row r="249" spans="8:17" x14ac:dyDescent="0.4">
      <c r="H249" s="8">
        <f t="shared" si="21"/>
        <v>251.75</v>
      </c>
      <c r="I249" s="1">
        <v>245</v>
      </c>
      <c r="J249" s="1">
        <f t="shared" si="22"/>
        <v>251.75</v>
      </c>
      <c r="K249" s="1">
        <f t="shared" si="23"/>
        <v>0.5</v>
      </c>
      <c r="M249"/>
      <c r="N249"/>
      <c r="O249"/>
      <c r="P249"/>
      <c r="Q249"/>
    </row>
    <row r="250" spans="8:17" x14ac:dyDescent="0.4">
      <c r="H250" s="8">
        <f t="shared" si="21"/>
        <v>252</v>
      </c>
      <c r="I250" s="1">
        <v>246</v>
      </c>
      <c r="J250" s="1">
        <f t="shared" si="22"/>
        <v>252</v>
      </c>
      <c r="K250" s="1">
        <f t="shared" si="23"/>
        <v>0.25</v>
      </c>
      <c r="M250"/>
      <c r="N250"/>
      <c r="O250"/>
      <c r="P250"/>
      <c r="Q250"/>
    </row>
    <row r="251" spans="8:17" x14ac:dyDescent="0.4">
      <c r="H251" s="8">
        <f t="shared" si="21"/>
        <v>252.5</v>
      </c>
      <c r="I251" s="1">
        <v>247</v>
      </c>
      <c r="J251" s="1">
        <f t="shared" si="22"/>
        <v>252.5</v>
      </c>
      <c r="K251" s="1">
        <f t="shared" si="23"/>
        <v>0.5</v>
      </c>
      <c r="M251"/>
      <c r="N251"/>
      <c r="O251"/>
      <c r="P251"/>
      <c r="Q251"/>
    </row>
    <row r="252" spans="8:17" x14ac:dyDescent="0.4">
      <c r="H252" s="8">
        <f t="shared" si="21"/>
        <v>252.75</v>
      </c>
      <c r="I252" s="1">
        <v>248</v>
      </c>
      <c r="J252" s="1">
        <f t="shared" si="22"/>
        <v>252.75</v>
      </c>
      <c r="K252" s="1">
        <f t="shared" si="23"/>
        <v>0.25</v>
      </c>
      <c r="M252"/>
      <c r="N252"/>
      <c r="O252"/>
      <c r="P252"/>
      <c r="Q252"/>
    </row>
    <row r="253" spans="8:17" x14ac:dyDescent="0.4">
      <c r="H253" s="8">
        <f t="shared" si="21"/>
        <v>253.25</v>
      </c>
      <c r="I253" s="1">
        <v>249</v>
      </c>
      <c r="J253" s="1">
        <f t="shared" si="22"/>
        <v>253.25</v>
      </c>
      <c r="K253" s="1">
        <f t="shared" si="23"/>
        <v>0.5</v>
      </c>
      <c r="M253"/>
      <c r="N253"/>
      <c r="O253"/>
      <c r="P253"/>
      <c r="Q253"/>
    </row>
    <row r="254" spans="8:17" x14ac:dyDescent="0.4">
      <c r="H254" s="8">
        <f t="shared" si="21"/>
        <v>253.75</v>
      </c>
      <c r="I254" s="1">
        <v>250</v>
      </c>
      <c r="J254" s="1">
        <f t="shared" si="22"/>
        <v>253.75</v>
      </c>
      <c r="K254" s="1">
        <f t="shared" si="23"/>
        <v>0.5</v>
      </c>
      <c r="M254"/>
      <c r="N254"/>
      <c r="O254"/>
      <c r="P254"/>
      <c r="Q254"/>
    </row>
    <row r="255" spans="8:17" x14ac:dyDescent="0.4">
      <c r="H255" s="8">
        <f t="shared" si="21"/>
        <v>254</v>
      </c>
      <c r="I255" s="1">
        <v>251</v>
      </c>
      <c r="J255" s="1">
        <f t="shared" si="22"/>
        <v>254</v>
      </c>
      <c r="K255" s="1">
        <f t="shared" si="23"/>
        <v>0.25</v>
      </c>
      <c r="M255"/>
      <c r="N255"/>
      <c r="O255"/>
      <c r="P255"/>
      <c r="Q255"/>
    </row>
    <row r="256" spans="8:17" x14ac:dyDescent="0.4">
      <c r="H256" s="8">
        <f t="shared" si="21"/>
        <v>254.25</v>
      </c>
      <c r="I256" s="1">
        <v>252</v>
      </c>
      <c r="J256" s="1">
        <f t="shared" si="22"/>
        <v>254.25</v>
      </c>
      <c r="K256" s="1">
        <f t="shared" si="23"/>
        <v>0.25</v>
      </c>
      <c r="M256"/>
      <c r="N256"/>
      <c r="O256"/>
      <c r="P256"/>
      <c r="Q256"/>
    </row>
    <row r="257" spans="8:17" x14ac:dyDescent="0.4">
      <c r="H257" s="8">
        <f t="shared" si="21"/>
        <v>254.75</v>
      </c>
      <c r="I257" s="1">
        <v>253</v>
      </c>
      <c r="J257" s="1">
        <f t="shared" si="22"/>
        <v>254.75</v>
      </c>
      <c r="K257" s="1">
        <f t="shared" si="23"/>
        <v>0.5</v>
      </c>
      <c r="M257"/>
      <c r="N257"/>
      <c r="O257"/>
      <c r="P257"/>
      <c r="Q257"/>
    </row>
    <row r="258" spans="8:17" x14ac:dyDescent="0.4">
      <c r="H258" s="8">
        <f t="shared" si="21"/>
        <v>255</v>
      </c>
      <c r="I258" s="1">
        <v>254</v>
      </c>
      <c r="J258" s="1">
        <f t="shared" si="22"/>
        <v>255</v>
      </c>
      <c r="K258" s="1">
        <f t="shared" si="23"/>
        <v>0.25</v>
      </c>
      <c r="M258"/>
      <c r="N258"/>
      <c r="O258"/>
      <c r="P258"/>
      <c r="Q258"/>
    </row>
    <row r="259" spans="8:17" x14ac:dyDescent="0.4">
      <c r="H259" s="8">
        <f t="shared" si="21"/>
        <v>255.5</v>
      </c>
      <c r="I259" s="1">
        <v>255</v>
      </c>
      <c r="J259" s="1">
        <f t="shared" si="22"/>
        <v>255.5</v>
      </c>
      <c r="K259" s="1">
        <f t="shared" si="23"/>
        <v>0.5</v>
      </c>
      <c r="M259"/>
      <c r="N259"/>
      <c r="O259"/>
      <c r="P259"/>
      <c r="Q259"/>
    </row>
    <row r="260" spans="8:17" x14ac:dyDescent="0.4">
      <c r="H260" s="8">
        <f t="shared" si="21"/>
        <v>255.75</v>
      </c>
      <c r="I260" s="1">
        <v>256</v>
      </c>
      <c r="J260" s="1">
        <f>VALUE(RIGHT($O$2,LEN($O$2)-FIND("*",SUBSTITUTE($O$2," ","*",256),1)))/4</f>
        <v>255.75</v>
      </c>
      <c r="K260" s="1">
        <f t="shared" si="23"/>
        <v>0.25</v>
      </c>
      <c r="M260"/>
      <c r="N260"/>
      <c r="O260"/>
      <c r="P260"/>
      <c r="Q260"/>
    </row>
    <row r="261" spans="8:17" x14ac:dyDescent="0.4">
      <c r="M261"/>
      <c r="N261"/>
      <c r="O261"/>
      <c r="P261"/>
      <c r="Q261"/>
    </row>
    <row r="262" spans="8:17" x14ac:dyDescent="0.4">
      <c r="M262"/>
      <c r="N262"/>
      <c r="O262"/>
      <c r="P262"/>
      <c r="Q262"/>
    </row>
    <row r="263" spans="8:17" x14ac:dyDescent="0.4">
      <c r="M263"/>
      <c r="N263"/>
      <c r="O263"/>
      <c r="P263"/>
      <c r="Q263"/>
    </row>
    <row r="264" spans="8:17" x14ac:dyDescent="0.4">
      <c r="M264"/>
      <c r="N264"/>
      <c r="O264"/>
      <c r="P264"/>
      <c r="Q264"/>
    </row>
    <row r="265" spans="8:17" x14ac:dyDescent="0.4">
      <c r="M265"/>
      <c r="N265"/>
      <c r="O265"/>
      <c r="P265"/>
      <c r="Q265"/>
    </row>
    <row r="266" spans="8:17" x14ac:dyDescent="0.4">
      <c r="M266"/>
      <c r="N266"/>
      <c r="O266"/>
      <c r="P266"/>
      <c r="Q266"/>
    </row>
    <row r="267" spans="8:17" x14ac:dyDescent="0.4">
      <c r="M267"/>
      <c r="N267"/>
      <c r="O267"/>
      <c r="P267"/>
      <c r="Q267"/>
    </row>
    <row r="268" spans="8:17" x14ac:dyDescent="0.4">
      <c r="M268"/>
      <c r="N268"/>
      <c r="O268"/>
      <c r="P268"/>
      <c r="Q268"/>
    </row>
    <row r="269" spans="8:17" x14ac:dyDescent="0.4">
      <c r="M269"/>
      <c r="N269"/>
      <c r="O269"/>
      <c r="P269"/>
      <c r="Q269"/>
    </row>
    <row r="270" spans="8:17" x14ac:dyDescent="0.4">
      <c r="M270"/>
      <c r="N270"/>
      <c r="O270"/>
      <c r="P270"/>
      <c r="Q270"/>
    </row>
    <row r="271" spans="8:17" x14ac:dyDescent="0.4">
      <c r="M271"/>
      <c r="N271"/>
      <c r="O271"/>
      <c r="P271"/>
      <c r="Q271"/>
    </row>
    <row r="272" spans="8:17" x14ac:dyDescent="0.4">
      <c r="M272"/>
      <c r="N272"/>
      <c r="O272"/>
      <c r="P272"/>
      <c r="Q272"/>
    </row>
    <row r="273" spans="13:17" x14ac:dyDescent="0.4">
      <c r="M273"/>
      <c r="N273"/>
      <c r="O273"/>
      <c r="P273"/>
      <c r="Q273"/>
    </row>
    <row r="274" spans="13:17" x14ac:dyDescent="0.4">
      <c r="M274"/>
      <c r="N274"/>
      <c r="O274"/>
      <c r="P274"/>
      <c r="Q274"/>
    </row>
    <row r="275" spans="13:17" x14ac:dyDescent="0.4">
      <c r="M275"/>
      <c r="N275"/>
      <c r="O275"/>
      <c r="P275"/>
      <c r="Q275"/>
    </row>
    <row r="276" spans="13:17" x14ac:dyDescent="0.4">
      <c r="M276"/>
      <c r="N276"/>
      <c r="O276"/>
      <c r="P276"/>
      <c r="Q276"/>
    </row>
    <row r="277" spans="13:17" x14ac:dyDescent="0.4">
      <c r="M277"/>
      <c r="N277"/>
      <c r="O277"/>
      <c r="P277"/>
      <c r="Q277"/>
    </row>
    <row r="278" spans="13:17" x14ac:dyDescent="0.4">
      <c r="M278"/>
      <c r="N278"/>
      <c r="O278"/>
      <c r="P278"/>
      <c r="Q278"/>
    </row>
    <row r="279" spans="13:17" x14ac:dyDescent="0.4">
      <c r="M279"/>
      <c r="N279"/>
      <c r="O279"/>
      <c r="P279"/>
      <c r="Q279"/>
    </row>
    <row r="280" spans="13:17" x14ac:dyDescent="0.4">
      <c r="M280"/>
      <c r="N280"/>
      <c r="O280"/>
      <c r="P280"/>
      <c r="Q280"/>
    </row>
    <row r="281" spans="13:17" x14ac:dyDescent="0.4">
      <c r="M281"/>
      <c r="N281"/>
      <c r="O281"/>
      <c r="P281"/>
      <c r="Q281"/>
    </row>
    <row r="282" spans="13:17" x14ac:dyDescent="0.4">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2:AE298"/>
  <sheetViews>
    <sheetView tabSelected="1" zoomScaleNormal="100" workbookViewId="0">
      <selection activeCell="B2" sqref="B2:J6"/>
    </sheetView>
  </sheetViews>
  <sheetFormatPr defaultColWidth="9" defaultRowHeight="17" x14ac:dyDescent="0.4"/>
  <cols>
    <col min="1" max="1" width="3.36328125" style="1" customWidth="1"/>
    <col min="2" max="4" width="10.90625" style="1" customWidth="1"/>
    <col min="5" max="8" width="3.36328125" style="1" customWidth="1"/>
    <col min="9" max="11" width="10.90625" style="1" customWidth="1"/>
    <col min="12" max="12" width="3.36328125" style="1" customWidth="1"/>
    <col min="13" max="16" width="10.90625" style="1" customWidth="1"/>
    <col min="17" max="17" width="3.36328125" style="1" customWidth="1"/>
    <col min="18" max="20" width="10.90625" style="1" customWidth="1"/>
    <col min="21" max="21" width="10.90625" style="78" customWidth="1"/>
    <col min="22" max="29" width="10.90625" style="1" customWidth="1"/>
    <col min="30" max="30" width="3.36328125" style="1" customWidth="1"/>
    <col min="31" max="49" width="9.08984375" style="1" customWidth="1"/>
    <col min="50" max="65" width="9" style="1"/>
    <col min="66" max="66" width="9" style="1" customWidth="1"/>
    <col min="67" max="16384" width="9" style="1"/>
  </cols>
  <sheetData>
    <row r="2" spans="1:31" ht="16.5" customHeight="1" x14ac:dyDescent="0.4">
      <c r="B2" s="100" t="s">
        <v>42</v>
      </c>
      <c r="C2" s="113"/>
      <c r="D2" s="113"/>
      <c r="E2" s="113"/>
      <c r="F2" s="113"/>
      <c r="G2" s="113"/>
      <c r="H2" s="113"/>
      <c r="I2" s="113"/>
      <c r="J2" s="113"/>
      <c r="K2" s="114" t="s">
        <v>1</v>
      </c>
      <c r="M2" s="145" t="s">
        <v>26</v>
      </c>
      <c r="N2" s="113"/>
      <c r="O2" s="113"/>
      <c r="P2" s="131" t="s">
        <v>27</v>
      </c>
      <c r="Q2"/>
      <c r="R2" s="112" t="s">
        <v>7</v>
      </c>
      <c r="S2" s="113"/>
      <c r="T2" s="132" t="s">
        <v>17</v>
      </c>
      <c r="U2" s="133"/>
      <c r="V2" s="133"/>
      <c r="W2" s="133"/>
      <c r="X2" s="134"/>
      <c r="Y2" s="124"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5"/>
      <c r="AA2" s="125"/>
      <c r="AB2" s="125"/>
      <c r="AC2" s="125"/>
      <c r="AE2"/>
    </row>
    <row r="3" spans="1:31" x14ac:dyDescent="0.4">
      <c r="B3" s="113"/>
      <c r="C3" s="113"/>
      <c r="D3" s="113"/>
      <c r="E3" s="113"/>
      <c r="F3" s="113"/>
      <c r="G3" s="113"/>
      <c r="H3" s="113"/>
      <c r="I3" s="113"/>
      <c r="J3" s="113"/>
      <c r="K3" s="126"/>
      <c r="M3" s="113"/>
      <c r="N3" s="113"/>
      <c r="O3" s="113"/>
      <c r="P3" s="131"/>
      <c r="Q3"/>
      <c r="R3" s="114"/>
      <c r="S3" s="113"/>
      <c r="T3" s="135"/>
      <c r="U3" s="136"/>
      <c r="V3" s="136"/>
      <c r="W3" s="136"/>
      <c r="X3" s="137"/>
      <c r="Y3" s="125"/>
      <c r="Z3" s="125"/>
      <c r="AA3" s="125"/>
      <c r="AB3" s="125"/>
      <c r="AC3" s="125"/>
      <c r="AE3"/>
    </row>
    <row r="4" spans="1:31" x14ac:dyDescent="0.4">
      <c r="B4" s="113"/>
      <c r="C4" s="113"/>
      <c r="D4" s="113"/>
      <c r="E4" s="113"/>
      <c r="F4" s="113"/>
      <c r="G4" s="113"/>
      <c r="H4" s="113"/>
      <c r="I4" s="113"/>
      <c r="J4" s="113"/>
      <c r="K4" s="126"/>
      <c r="M4" s="113"/>
      <c r="N4" s="113"/>
      <c r="O4" s="113"/>
      <c r="P4" s="131"/>
      <c r="Q4"/>
      <c r="R4" s="114"/>
      <c r="S4" s="113"/>
      <c r="T4" s="135"/>
      <c r="U4" s="136"/>
      <c r="V4" s="136"/>
      <c r="W4" s="136"/>
      <c r="X4" s="137"/>
      <c r="Y4" s="125"/>
      <c r="Z4" s="125"/>
      <c r="AA4" s="125"/>
      <c r="AB4" s="125"/>
      <c r="AC4" s="125"/>
      <c r="AE4"/>
    </row>
    <row r="5" spans="1:31" x14ac:dyDescent="0.4">
      <c r="B5" s="113"/>
      <c r="C5" s="113"/>
      <c r="D5" s="113"/>
      <c r="E5" s="113"/>
      <c r="F5" s="113"/>
      <c r="G5" s="113"/>
      <c r="H5" s="113"/>
      <c r="I5" s="113"/>
      <c r="J5" s="113"/>
      <c r="K5" s="126"/>
      <c r="M5" s="113"/>
      <c r="N5" s="113"/>
      <c r="O5" s="113"/>
      <c r="P5" s="131"/>
      <c r="Q5"/>
      <c r="R5" s="114"/>
      <c r="S5" s="113"/>
      <c r="T5" s="138"/>
      <c r="U5" s="139"/>
      <c r="V5" s="139"/>
      <c r="W5" s="139"/>
      <c r="X5" s="140"/>
      <c r="Y5" s="125"/>
      <c r="Z5" s="125"/>
      <c r="AA5" s="125"/>
      <c r="AB5" s="125"/>
      <c r="AC5" s="125"/>
      <c r="AE5"/>
    </row>
    <row r="6" spans="1:31" x14ac:dyDescent="0.4">
      <c r="B6" s="113"/>
      <c r="C6" s="113"/>
      <c r="D6" s="113"/>
      <c r="E6" s="113"/>
      <c r="F6" s="113"/>
      <c r="G6" s="113"/>
      <c r="H6" s="113"/>
      <c r="I6" s="113"/>
      <c r="J6" s="113"/>
      <c r="K6" s="126"/>
      <c r="M6" s="127" t="s">
        <v>28</v>
      </c>
      <c r="N6" s="128"/>
      <c r="O6" s="81">
        <f>AVERAGE(M12:M31)</f>
        <v>85.894760000000005</v>
      </c>
      <c r="P6" s="82">
        <f>AVERAGE(N12:N31)</f>
        <v>85.894760000000005</v>
      </c>
      <c r="Q6"/>
      <c r="R6"/>
    </row>
    <row r="7" spans="1:31" x14ac:dyDescent="0.4">
      <c r="B7"/>
      <c r="C7"/>
      <c r="D7"/>
      <c r="E7"/>
      <c r="F7"/>
      <c r="G7"/>
      <c r="H7"/>
      <c r="I7"/>
      <c r="J7"/>
      <c r="K7"/>
      <c r="M7" s="129" t="s">
        <v>29</v>
      </c>
      <c r="N7" s="130"/>
      <c r="O7" s="81">
        <f>AVERAGE(M12:M15)</f>
        <v>204.17835000000002</v>
      </c>
      <c r="P7" s="81">
        <f>AVERAGE(N12:N15)</f>
        <v>204.17835000000002</v>
      </c>
      <c r="Q7"/>
      <c r="R7"/>
    </row>
    <row r="8" spans="1:31" ht="16.5" customHeight="1" x14ac:dyDescent="0.4">
      <c r="B8" s="141" t="s">
        <v>30</v>
      </c>
      <c r="C8" s="146" t="s">
        <v>44</v>
      </c>
      <c r="D8" s="146"/>
      <c r="E8" s="146"/>
      <c r="F8" s="146"/>
      <c r="G8" s="146"/>
      <c r="H8" s="146"/>
      <c r="I8" s="146"/>
      <c r="J8" s="147" t="s">
        <v>63</v>
      </c>
      <c r="K8" s="147"/>
      <c r="M8" s="129" t="s">
        <v>31</v>
      </c>
      <c r="N8" s="130"/>
      <c r="O8" s="81">
        <f>AVERAGE(M16:M31)</f>
        <v>56.323862499999983</v>
      </c>
      <c r="P8" s="81">
        <f>AVERAGE(N16:N31)</f>
        <v>56.323862499999983</v>
      </c>
      <c r="Q8"/>
      <c r="R8"/>
    </row>
    <row r="9" spans="1:31" x14ac:dyDescent="0.4">
      <c r="B9" s="142"/>
      <c r="C9" s="146"/>
      <c r="D9" s="146"/>
      <c r="E9" s="146"/>
      <c r="F9" s="146"/>
      <c r="G9" s="146"/>
      <c r="H9" s="146"/>
      <c r="I9" s="146"/>
      <c r="J9" s="126">
        <v>4</v>
      </c>
      <c r="K9" s="126"/>
      <c r="M9" s="143" t="s">
        <v>32</v>
      </c>
      <c r="N9" s="144"/>
      <c r="O9" s="83" t="e">
        <f>((I12-I31)/(I12+I31))/((C12-C31)/(C12+C31))</f>
        <v>#DIV/0!</v>
      </c>
      <c r="P9" s="83" t="e">
        <f>((K12-K31)/(K12+K31))/((C12-C31)/(C12+C31))</f>
        <v>#DIV/0!</v>
      </c>
      <c r="Q9"/>
      <c r="R9"/>
    </row>
    <row r="10" spans="1:31" x14ac:dyDescent="0.4">
      <c r="M10" s="77" t="s">
        <v>55</v>
      </c>
      <c r="N10" s="1" t="s">
        <v>53</v>
      </c>
      <c r="O10" s="1" t="s">
        <v>54</v>
      </c>
    </row>
    <row r="11" spans="1:31" x14ac:dyDescent="0.4">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4">
      <c r="A12" s="1" t="s">
        <v>49</v>
      </c>
      <c r="B12" s="79"/>
      <c r="C12" s="79">
        <v>237.7842</v>
      </c>
      <c r="D12" s="16">
        <f t="shared" ref="D12:D31" si="0">((K56-J56)*I56)/(I56-C56)+J56-(C56*((K56-J56)/(I56-C56)))</f>
        <v>212</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237.7842</v>
      </c>
      <c r="N12" s="80">
        <f t="shared" ref="N12:N31" si="4">ABS(K12-C12)</f>
        <v>237.7842</v>
      </c>
      <c r="O12" s="79">
        <f t="shared" ref="O12:O31" si="5">ABS(B12-C12)</f>
        <v>237.7842</v>
      </c>
      <c r="P12" s="80" t="s">
        <v>46</v>
      </c>
    </row>
    <row r="13" spans="1:31" x14ac:dyDescent="0.4">
      <c r="A13" s="1">
        <v>1</v>
      </c>
      <c r="B13" s="79"/>
      <c r="C13" s="79">
        <v>217.04589999999999</v>
      </c>
      <c r="D13" s="16">
        <f t="shared" si="0"/>
        <v>169</v>
      </c>
      <c r="E13" s="36"/>
      <c r="F13" s="52"/>
      <c r="G13" s="67"/>
      <c r="H13" s="36"/>
      <c r="I13" s="79"/>
      <c r="J13" s="6">
        <f t="shared" si="1"/>
        <v>0</v>
      </c>
      <c r="K13" s="84">
        <f t="shared" si="2"/>
        <v>0</v>
      </c>
      <c r="L13" s="3"/>
      <c r="M13" s="21">
        <f t="shared" si="3"/>
        <v>217.04589999999999</v>
      </c>
      <c r="N13" s="80">
        <f t="shared" si="4"/>
        <v>217.04589999999999</v>
      </c>
      <c r="O13" s="79">
        <f t="shared" si="5"/>
        <v>217.04589999999999</v>
      </c>
      <c r="P13" s="80" t="s">
        <v>46</v>
      </c>
    </row>
    <row r="14" spans="1:31" x14ac:dyDescent="0.4">
      <c r="A14" s="1">
        <v>2</v>
      </c>
      <c r="B14" s="79"/>
      <c r="C14" s="79">
        <v>191.30160000000001</v>
      </c>
      <c r="D14" s="16">
        <f t="shared" si="0"/>
        <v>127</v>
      </c>
      <c r="E14" s="37"/>
      <c r="F14" s="53"/>
      <c r="G14" s="68"/>
      <c r="H14" s="37"/>
      <c r="I14" s="79"/>
      <c r="J14" s="6">
        <f t="shared" si="1"/>
        <v>0</v>
      </c>
      <c r="K14" s="84">
        <f t="shared" si="2"/>
        <v>0</v>
      </c>
      <c r="L14" s="3"/>
      <c r="M14" s="21">
        <f t="shared" si="3"/>
        <v>191.30160000000001</v>
      </c>
      <c r="N14" s="80">
        <f t="shared" si="4"/>
        <v>191.30160000000001</v>
      </c>
      <c r="O14" s="79">
        <f t="shared" si="5"/>
        <v>191.30160000000001</v>
      </c>
      <c r="P14" s="80" t="s">
        <v>47</v>
      </c>
    </row>
    <row r="15" spans="1:31" x14ac:dyDescent="0.4">
      <c r="A15" s="1">
        <v>3</v>
      </c>
      <c r="B15" s="79"/>
      <c r="C15" s="79">
        <v>170.58170000000001</v>
      </c>
      <c r="D15" s="16">
        <f t="shared" si="0"/>
        <v>99</v>
      </c>
      <c r="E15" s="38"/>
      <c r="F15" s="54"/>
      <c r="G15" s="69"/>
      <c r="H15" s="38"/>
      <c r="I15" s="79"/>
      <c r="J15" s="6">
        <f t="shared" si="1"/>
        <v>0</v>
      </c>
      <c r="K15" s="84">
        <f t="shared" si="2"/>
        <v>0</v>
      </c>
      <c r="L15" s="3"/>
      <c r="M15" s="21">
        <f t="shared" si="3"/>
        <v>170.58170000000001</v>
      </c>
      <c r="N15" s="80">
        <f t="shared" si="4"/>
        <v>170.58170000000001</v>
      </c>
      <c r="O15" s="79">
        <f t="shared" si="5"/>
        <v>170.58170000000001</v>
      </c>
      <c r="P15" s="80" t="s">
        <v>48</v>
      </c>
    </row>
    <row r="16" spans="1:31" x14ac:dyDescent="0.4">
      <c r="A16" s="1">
        <v>4</v>
      </c>
      <c r="B16" s="79"/>
      <c r="C16" s="79">
        <v>141.48949999999999</v>
      </c>
      <c r="D16" s="16">
        <f t="shared" si="0"/>
        <v>69</v>
      </c>
      <c r="E16" s="39"/>
      <c r="F16" s="55"/>
      <c r="G16" s="24"/>
      <c r="H16" s="39"/>
      <c r="I16" s="79"/>
      <c r="J16" s="6">
        <f t="shared" si="1"/>
        <v>0</v>
      </c>
      <c r="K16" s="84">
        <f t="shared" si="2"/>
        <v>0</v>
      </c>
      <c r="L16" s="3"/>
      <c r="M16" s="21">
        <f t="shared" si="3"/>
        <v>141.48949999999999</v>
      </c>
      <c r="N16" s="80">
        <f t="shared" si="4"/>
        <v>141.48949999999999</v>
      </c>
      <c r="O16" s="79">
        <f t="shared" si="5"/>
        <v>141.48949999999999</v>
      </c>
      <c r="P16" s="80" t="s">
        <v>48</v>
      </c>
    </row>
    <row r="17" spans="1:16" x14ac:dyDescent="0.4">
      <c r="A17" s="1">
        <v>5</v>
      </c>
      <c r="B17" s="79"/>
      <c r="C17" s="79">
        <v>120.7212</v>
      </c>
      <c r="D17" s="16">
        <f t="shared" si="0"/>
        <v>53</v>
      </c>
      <c r="E17" s="40"/>
      <c r="F17" s="56"/>
      <c r="G17" s="65"/>
      <c r="H17" s="40"/>
      <c r="I17" s="79"/>
      <c r="J17" s="6">
        <f t="shared" si="1"/>
        <v>0</v>
      </c>
      <c r="K17" s="84">
        <f t="shared" si="2"/>
        <v>0</v>
      </c>
      <c r="L17" s="3"/>
      <c r="M17" s="21">
        <f t="shared" si="3"/>
        <v>120.7212</v>
      </c>
      <c r="N17" s="80">
        <f t="shared" si="4"/>
        <v>120.7212</v>
      </c>
      <c r="O17" s="79">
        <f t="shared" si="5"/>
        <v>120.7212</v>
      </c>
      <c r="P17" s="80" t="s">
        <v>48</v>
      </c>
    </row>
    <row r="18" spans="1:16" x14ac:dyDescent="0.4">
      <c r="A18" s="1">
        <v>6</v>
      </c>
      <c r="B18" s="79"/>
      <c r="C18" s="79">
        <v>102.3399</v>
      </c>
      <c r="D18" s="16">
        <f t="shared" si="0"/>
        <v>41</v>
      </c>
      <c r="E18" s="41"/>
      <c r="F18" s="22"/>
      <c r="G18" s="70"/>
      <c r="H18" s="41"/>
      <c r="I18" s="79"/>
      <c r="J18" s="6">
        <f t="shared" si="1"/>
        <v>0</v>
      </c>
      <c r="K18" s="84">
        <f t="shared" si="2"/>
        <v>0</v>
      </c>
      <c r="L18" s="3"/>
      <c r="M18" s="21">
        <f t="shared" si="3"/>
        <v>102.3399</v>
      </c>
      <c r="N18" s="80">
        <f t="shared" si="4"/>
        <v>102.3399</v>
      </c>
      <c r="O18" s="79">
        <f t="shared" si="5"/>
        <v>102.3399</v>
      </c>
      <c r="P18" s="80" t="s">
        <v>48</v>
      </c>
    </row>
    <row r="19" spans="1:16" x14ac:dyDescent="0.4">
      <c r="A19" s="1" t="s">
        <v>50</v>
      </c>
      <c r="B19" s="79"/>
      <c r="C19" s="79">
        <v>88.115099999999998</v>
      </c>
      <c r="D19" s="16">
        <f t="shared" si="0"/>
        <v>33</v>
      </c>
      <c r="E19" s="42"/>
      <c r="F19" s="23"/>
      <c r="G19" s="71"/>
      <c r="H19" s="42"/>
      <c r="I19" s="79"/>
      <c r="J19" s="6">
        <f t="shared" si="1"/>
        <v>0</v>
      </c>
      <c r="K19" s="84">
        <f t="shared" si="2"/>
        <v>0</v>
      </c>
      <c r="L19" s="3"/>
      <c r="M19" s="21">
        <f t="shared" si="3"/>
        <v>88.115099999999998</v>
      </c>
      <c r="N19" s="80">
        <f t="shared" si="4"/>
        <v>88.115099999999998</v>
      </c>
      <c r="O19" s="79">
        <f t="shared" si="5"/>
        <v>88.115099999999998</v>
      </c>
      <c r="P19" s="80" t="s">
        <v>48</v>
      </c>
    </row>
    <row r="20" spans="1:16" x14ac:dyDescent="0.4">
      <c r="A20" s="1">
        <v>8</v>
      </c>
      <c r="B20" s="79"/>
      <c r="C20" s="79">
        <v>73.754999999999995</v>
      </c>
      <c r="D20" s="16">
        <f t="shared" si="0"/>
        <v>25</v>
      </c>
      <c r="E20" s="43"/>
      <c r="F20" s="57"/>
      <c r="G20" s="72"/>
      <c r="H20" s="43"/>
      <c r="I20" s="79"/>
      <c r="J20" s="6">
        <f t="shared" si="1"/>
        <v>0</v>
      </c>
      <c r="K20" s="84">
        <f t="shared" si="2"/>
        <v>0</v>
      </c>
      <c r="L20" s="3"/>
      <c r="M20" s="21">
        <f t="shared" si="3"/>
        <v>73.754999999999995</v>
      </c>
      <c r="N20" s="80">
        <f t="shared" si="4"/>
        <v>73.754999999999995</v>
      </c>
      <c r="O20" s="79">
        <f t="shared" si="5"/>
        <v>73.754999999999995</v>
      </c>
      <c r="P20" s="80" t="s">
        <v>47</v>
      </c>
    </row>
    <row r="21" spans="1:16" x14ac:dyDescent="0.4">
      <c r="A21" s="1">
        <v>9</v>
      </c>
      <c r="B21" s="79"/>
      <c r="C21" s="79">
        <v>65.137799999999999</v>
      </c>
      <c r="D21" s="16">
        <f t="shared" si="0"/>
        <v>21.999999999999996</v>
      </c>
      <c r="E21" s="44"/>
      <c r="F21" s="25"/>
      <c r="G21" s="73"/>
      <c r="H21" s="44"/>
      <c r="I21" s="79"/>
      <c r="J21" s="6">
        <f t="shared" si="1"/>
        <v>0</v>
      </c>
      <c r="K21" s="84">
        <f t="shared" si="2"/>
        <v>0</v>
      </c>
      <c r="L21" s="3"/>
      <c r="M21" s="21">
        <f t="shared" si="3"/>
        <v>65.137799999999999</v>
      </c>
      <c r="N21" s="80">
        <f t="shared" si="4"/>
        <v>65.137799999999999</v>
      </c>
      <c r="O21" s="79">
        <f t="shared" si="5"/>
        <v>65.137799999999999</v>
      </c>
      <c r="P21" s="80" t="s">
        <v>46</v>
      </c>
    </row>
    <row r="22" spans="1:16" x14ac:dyDescent="0.4">
      <c r="A22" s="1">
        <v>10</v>
      </c>
      <c r="B22" s="79"/>
      <c r="C22" s="79">
        <v>55.963500000000003</v>
      </c>
      <c r="D22" s="16">
        <f t="shared" si="0"/>
        <v>18</v>
      </c>
      <c r="E22" s="45"/>
      <c r="F22" s="26"/>
      <c r="G22" s="74"/>
      <c r="H22" s="45"/>
      <c r="I22" s="79"/>
      <c r="J22" s="6">
        <f t="shared" si="1"/>
        <v>0</v>
      </c>
      <c r="K22" s="84">
        <f t="shared" si="2"/>
        <v>0</v>
      </c>
      <c r="L22" s="3"/>
      <c r="M22" s="21">
        <f t="shared" si="3"/>
        <v>55.963500000000003</v>
      </c>
      <c r="N22" s="80">
        <f t="shared" si="4"/>
        <v>55.963500000000003</v>
      </c>
      <c r="O22" s="79">
        <f t="shared" si="5"/>
        <v>55.963500000000003</v>
      </c>
      <c r="P22" s="80" t="s">
        <v>46</v>
      </c>
    </row>
    <row r="23" spans="1:16" x14ac:dyDescent="0.4">
      <c r="A23" s="1">
        <v>11</v>
      </c>
      <c r="B23" s="79"/>
      <c r="C23" s="79">
        <v>48.073099999999997</v>
      </c>
      <c r="D23" s="16">
        <f t="shared" si="0"/>
        <v>15</v>
      </c>
      <c r="E23" s="46"/>
      <c r="F23" s="58"/>
      <c r="G23" s="26"/>
      <c r="H23" s="46"/>
      <c r="I23" s="79"/>
      <c r="J23" s="6">
        <f t="shared" si="1"/>
        <v>0</v>
      </c>
      <c r="K23" s="84">
        <f t="shared" si="2"/>
        <v>0</v>
      </c>
      <c r="L23" s="3"/>
      <c r="M23" s="21">
        <f t="shared" si="3"/>
        <v>48.073099999999997</v>
      </c>
      <c r="N23" s="80">
        <f t="shared" si="4"/>
        <v>48.073099999999997</v>
      </c>
      <c r="O23" s="79">
        <f t="shared" si="5"/>
        <v>48.073099999999997</v>
      </c>
      <c r="P23" s="80" t="s">
        <v>46</v>
      </c>
    </row>
    <row r="24" spans="1:16" x14ac:dyDescent="0.4">
      <c r="A24" s="1">
        <v>12</v>
      </c>
      <c r="B24" s="79"/>
      <c r="C24" s="79">
        <v>41.694899999999997</v>
      </c>
      <c r="D24" s="16">
        <f t="shared" si="0"/>
        <v>13</v>
      </c>
      <c r="E24" s="32"/>
      <c r="F24" s="27"/>
      <c r="G24" s="28"/>
      <c r="H24" s="32"/>
      <c r="I24" s="79"/>
      <c r="J24" s="6">
        <f t="shared" si="1"/>
        <v>0</v>
      </c>
      <c r="K24" s="84">
        <f t="shared" si="2"/>
        <v>0</v>
      </c>
      <c r="L24" s="3"/>
      <c r="M24" s="21">
        <f t="shared" si="3"/>
        <v>41.694899999999997</v>
      </c>
      <c r="N24" s="80">
        <f t="shared" si="4"/>
        <v>41.694899999999997</v>
      </c>
      <c r="O24" s="79">
        <f t="shared" si="5"/>
        <v>41.694899999999997</v>
      </c>
      <c r="P24" s="80" t="s">
        <v>46</v>
      </c>
    </row>
    <row r="25" spans="1:16" x14ac:dyDescent="0.4">
      <c r="A25" s="1">
        <v>13</v>
      </c>
      <c r="B25" s="79"/>
      <c r="C25" s="79">
        <v>36.171599999999998</v>
      </c>
      <c r="D25" s="16">
        <f t="shared" si="0"/>
        <v>11</v>
      </c>
      <c r="E25" s="47"/>
      <c r="F25" s="59"/>
      <c r="G25" s="63"/>
      <c r="H25" s="47"/>
      <c r="I25" s="79"/>
      <c r="J25" s="6">
        <f t="shared" si="1"/>
        <v>0</v>
      </c>
      <c r="K25" s="84">
        <f t="shared" si="2"/>
        <v>0</v>
      </c>
      <c r="L25" s="3"/>
      <c r="M25" s="21">
        <f t="shared" si="3"/>
        <v>36.171599999999998</v>
      </c>
      <c r="N25" s="80">
        <f t="shared" si="4"/>
        <v>36.171599999999998</v>
      </c>
      <c r="O25" s="79">
        <f t="shared" si="5"/>
        <v>36.171599999999998</v>
      </c>
      <c r="P25" s="80" t="s">
        <v>46</v>
      </c>
    </row>
    <row r="26" spans="1:16" x14ac:dyDescent="0.4">
      <c r="A26" s="1">
        <v>14</v>
      </c>
      <c r="B26" s="79"/>
      <c r="C26" s="79">
        <v>30.689900000000002</v>
      </c>
      <c r="D26" s="16">
        <f t="shared" si="0"/>
        <v>10</v>
      </c>
      <c r="E26" s="48"/>
      <c r="F26" s="31"/>
      <c r="G26" s="75"/>
      <c r="H26" s="48"/>
      <c r="I26" s="79"/>
      <c r="J26" s="6">
        <f t="shared" si="1"/>
        <v>0</v>
      </c>
      <c r="K26" s="84">
        <f t="shared" si="2"/>
        <v>0</v>
      </c>
      <c r="L26" s="3"/>
      <c r="M26" s="21">
        <f t="shared" si="3"/>
        <v>30.689900000000002</v>
      </c>
      <c r="N26" s="80">
        <f t="shared" si="4"/>
        <v>30.689900000000002</v>
      </c>
      <c r="O26" s="79">
        <f t="shared" si="5"/>
        <v>30.689900000000002</v>
      </c>
      <c r="P26" s="80" t="s">
        <v>46</v>
      </c>
    </row>
    <row r="27" spans="1:16" x14ac:dyDescent="0.4">
      <c r="A27" s="1">
        <v>15</v>
      </c>
      <c r="B27" s="79"/>
      <c r="C27" s="79">
        <v>26.4176</v>
      </c>
      <c r="D27" s="16">
        <f t="shared" si="0"/>
        <v>9.0000000000000036</v>
      </c>
      <c r="E27" s="29"/>
      <c r="F27" s="60"/>
      <c r="G27" s="29"/>
      <c r="H27" s="29"/>
      <c r="I27" s="79"/>
      <c r="J27" s="6">
        <f t="shared" si="1"/>
        <v>0</v>
      </c>
      <c r="K27" s="84">
        <f t="shared" si="2"/>
        <v>0</v>
      </c>
      <c r="L27" s="3"/>
      <c r="M27" s="21">
        <f t="shared" si="3"/>
        <v>26.4176</v>
      </c>
      <c r="N27" s="80">
        <f t="shared" si="4"/>
        <v>26.4176</v>
      </c>
      <c r="O27" s="79">
        <f t="shared" si="5"/>
        <v>26.4176</v>
      </c>
      <c r="P27" s="80" t="s">
        <v>46</v>
      </c>
    </row>
    <row r="28" spans="1:16" x14ac:dyDescent="0.4">
      <c r="A28" s="1" t="s">
        <v>51</v>
      </c>
      <c r="B28" s="79"/>
      <c r="C28" s="79">
        <v>21.177099999999999</v>
      </c>
      <c r="D28" s="16">
        <f t="shared" si="0"/>
        <v>7</v>
      </c>
      <c r="E28" s="30"/>
      <c r="F28" s="61"/>
      <c r="G28" s="60"/>
      <c r="H28" s="30"/>
      <c r="I28" s="79"/>
      <c r="J28" s="6">
        <f t="shared" si="1"/>
        <v>0</v>
      </c>
      <c r="K28" s="84">
        <f t="shared" si="2"/>
        <v>0</v>
      </c>
      <c r="L28" s="3"/>
      <c r="M28" s="21">
        <f t="shared" si="3"/>
        <v>21.177099999999999</v>
      </c>
      <c r="N28" s="80">
        <f t="shared" si="4"/>
        <v>21.177099999999999</v>
      </c>
      <c r="O28" s="79">
        <f t="shared" si="5"/>
        <v>21.177099999999999</v>
      </c>
      <c r="P28" s="80" t="s">
        <v>46</v>
      </c>
    </row>
    <row r="29" spans="1:16" x14ac:dyDescent="0.4">
      <c r="A29" s="1">
        <v>17</v>
      </c>
      <c r="B29" s="79"/>
      <c r="C29" s="79">
        <v>16.523</v>
      </c>
      <c r="D29" s="16">
        <f t="shared" si="0"/>
        <v>6</v>
      </c>
      <c r="E29" s="49"/>
      <c r="F29" s="50"/>
      <c r="G29" s="76"/>
      <c r="H29" s="49"/>
      <c r="I29" s="79"/>
      <c r="J29" s="6">
        <f t="shared" si="1"/>
        <v>0</v>
      </c>
      <c r="K29" s="84">
        <f t="shared" si="2"/>
        <v>0</v>
      </c>
      <c r="L29" s="3"/>
      <c r="M29" s="21">
        <f t="shared" si="3"/>
        <v>16.523</v>
      </c>
      <c r="N29" s="80">
        <f t="shared" si="4"/>
        <v>16.523</v>
      </c>
      <c r="O29" s="79">
        <f t="shared" si="5"/>
        <v>16.523</v>
      </c>
      <c r="P29" s="80" t="s">
        <v>46</v>
      </c>
    </row>
    <row r="30" spans="1:16" x14ac:dyDescent="0.4">
      <c r="A30" s="1">
        <v>18</v>
      </c>
      <c r="B30" s="79"/>
      <c r="C30" s="79">
        <v>14.520899999999999</v>
      </c>
      <c r="D30" s="16">
        <f t="shared" si="0"/>
        <v>5</v>
      </c>
      <c r="E30" s="50"/>
      <c r="F30" s="34"/>
      <c r="G30" s="49"/>
      <c r="H30" s="50"/>
      <c r="I30" s="79"/>
      <c r="J30" s="6">
        <f t="shared" si="1"/>
        <v>0</v>
      </c>
      <c r="K30" s="84">
        <f t="shared" si="2"/>
        <v>0</v>
      </c>
      <c r="L30" s="3"/>
      <c r="M30" s="21">
        <f t="shared" si="3"/>
        <v>14.520899999999999</v>
      </c>
      <c r="N30" s="80">
        <f t="shared" si="4"/>
        <v>14.520899999999999</v>
      </c>
      <c r="O30" s="79">
        <f t="shared" si="5"/>
        <v>14.520899999999999</v>
      </c>
      <c r="P30" s="80" t="s">
        <v>46</v>
      </c>
    </row>
    <row r="31" spans="1:16" x14ac:dyDescent="0.4">
      <c r="A31" s="1">
        <v>19</v>
      </c>
      <c r="B31" s="79"/>
      <c r="C31" s="79">
        <v>18.3917</v>
      </c>
      <c r="D31" s="16">
        <f t="shared" si="0"/>
        <v>6</v>
      </c>
      <c r="E31" s="33"/>
      <c r="F31" s="62"/>
      <c r="G31" s="34"/>
      <c r="H31" s="33"/>
      <c r="I31" s="79"/>
      <c r="J31" s="6">
        <f t="shared" si="1"/>
        <v>0</v>
      </c>
      <c r="K31" s="84">
        <f t="shared" si="2"/>
        <v>0</v>
      </c>
      <c r="L31" s="3"/>
      <c r="M31" s="21">
        <f t="shared" si="3"/>
        <v>18.3917</v>
      </c>
      <c r="N31" s="80">
        <f t="shared" si="4"/>
        <v>18.3917</v>
      </c>
      <c r="O31" s="79">
        <f t="shared" si="5"/>
        <v>18.3917</v>
      </c>
      <c r="P31" s="80" t="s">
        <v>46</v>
      </c>
    </row>
    <row r="33" spans="2:26" ht="17.5" thickBot="1" x14ac:dyDescent="0.45">
      <c r="C33" s="1" t="s">
        <v>9</v>
      </c>
      <c r="I33" s="1" t="s">
        <v>10</v>
      </c>
      <c r="J33" s="1" t="s">
        <v>11</v>
      </c>
      <c r="K33" s="1" t="s">
        <v>12</v>
      </c>
      <c r="M33" s="111" t="s">
        <v>13</v>
      </c>
      <c r="N33" s="111"/>
      <c r="O33" s="99"/>
      <c r="P33" s="99"/>
      <c r="R33" s="111" t="s">
        <v>40</v>
      </c>
      <c r="S33" s="99"/>
      <c r="T33" s="99"/>
      <c r="U33" s="99"/>
    </row>
    <row r="34" spans="2:26" x14ac:dyDescent="0.4">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4">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4">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4">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4">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4">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7.5" thickBot="1" x14ac:dyDescent="0.45">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4">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4">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4">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7.5" thickBot="1" x14ac:dyDescent="0.45">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4">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4">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4">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4">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4">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4">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4">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4">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4">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4">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4">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4">
      <c r="B56" s="1">
        <v>1</v>
      </c>
      <c r="C56" s="9">
        <f t="shared" ref="C56:C75" si="17">VLOOKUP(J56,$N$35:$O$298,2,TRUE)</f>
        <v>237.5</v>
      </c>
      <c r="D56" s="9"/>
      <c r="E56" s="9"/>
      <c r="F56" s="9"/>
      <c r="G56" s="9"/>
      <c r="H56" s="9"/>
      <c r="I56" s="9">
        <f t="shared" ref="I56:I75" si="18">VLOOKUP(K56,$N$35:$O$298,2,TRUE)</f>
        <v>238</v>
      </c>
      <c r="J56" s="9">
        <f t="shared" ref="J56:J75" si="19">VLOOKUP(ROUNDUP(C12,1),$M$35:$N$298,2,TRUE)</f>
        <v>211</v>
      </c>
      <c r="K56" s="9">
        <f t="shared" ref="K56:K75" si="20">VLOOKUP(ROUNDUP(C12,1),$M$35:$N$298,2,TRUE)+1</f>
        <v>212</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4">
      <c r="B57" s="1">
        <v>2</v>
      </c>
      <c r="C57" s="9">
        <f t="shared" si="17"/>
        <v>217</v>
      </c>
      <c r="D57" s="9"/>
      <c r="E57" s="9"/>
      <c r="F57" s="9"/>
      <c r="G57" s="9"/>
      <c r="H57" s="9"/>
      <c r="I57" s="9">
        <f t="shared" si="18"/>
        <v>217.5</v>
      </c>
      <c r="J57" s="9">
        <f t="shared" si="19"/>
        <v>168</v>
      </c>
      <c r="K57" s="9">
        <f t="shared" si="20"/>
        <v>169</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4">
      <c r="B58" s="1">
        <v>3</v>
      </c>
      <c r="C58" s="9">
        <f t="shared" si="17"/>
        <v>191.25</v>
      </c>
      <c r="D58" s="9"/>
      <c r="E58" s="9"/>
      <c r="F58" s="9"/>
      <c r="G58" s="9"/>
      <c r="H58" s="9"/>
      <c r="I58" s="9">
        <f t="shared" si="18"/>
        <v>192</v>
      </c>
      <c r="J58" s="9">
        <f t="shared" si="19"/>
        <v>126</v>
      </c>
      <c r="K58" s="9">
        <f t="shared" si="20"/>
        <v>127</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4">
      <c r="B59" s="1">
        <v>4</v>
      </c>
      <c r="C59" s="9">
        <f t="shared" si="17"/>
        <v>170.25</v>
      </c>
      <c r="D59" s="9"/>
      <c r="E59" s="9"/>
      <c r="F59" s="9"/>
      <c r="G59" s="9"/>
      <c r="H59" s="9"/>
      <c r="I59" s="9">
        <f t="shared" si="18"/>
        <v>171.25</v>
      </c>
      <c r="J59" s="9">
        <f t="shared" si="19"/>
        <v>98</v>
      </c>
      <c r="K59" s="9">
        <f t="shared" si="20"/>
        <v>99</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4">
      <c r="B60" s="1">
        <v>5</v>
      </c>
      <c r="C60" s="9">
        <f t="shared" si="17"/>
        <v>141</v>
      </c>
      <c r="D60" s="9"/>
      <c r="E60" s="9"/>
      <c r="F60" s="9"/>
      <c r="G60" s="9"/>
      <c r="H60" s="9"/>
      <c r="I60" s="9">
        <f t="shared" si="18"/>
        <v>142</v>
      </c>
      <c r="J60" s="9">
        <f t="shared" si="19"/>
        <v>68</v>
      </c>
      <c r="K60" s="9">
        <f t="shared" si="20"/>
        <v>69</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4">
      <c r="B61" s="1">
        <v>6</v>
      </c>
      <c r="C61" s="9">
        <f t="shared" si="17"/>
        <v>120</v>
      </c>
      <c r="D61" s="9"/>
      <c r="E61" s="9"/>
      <c r="F61" s="9"/>
      <c r="G61" s="9"/>
      <c r="H61" s="9"/>
      <c r="I61" s="9">
        <f t="shared" si="18"/>
        <v>121.5</v>
      </c>
      <c r="J61" s="9">
        <f t="shared" si="19"/>
        <v>52</v>
      </c>
      <c r="K61" s="9">
        <f t="shared" si="20"/>
        <v>53</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4">
      <c r="B62" s="1">
        <v>7</v>
      </c>
      <c r="C62" s="9">
        <f t="shared" si="17"/>
        <v>101.5</v>
      </c>
      <c r="D62" s="9"/>
      <c r="E62" s="9"/>
      <c r="F62" s="9"/>
      <c r="G62" s="9"/>
      <c r="H62" s="9"/>
      <c r="I62" s="9">
        <f t="shared" si="18"/>
        <v>103.5</v>
      </c>
      <c r="J62" s="9">
        <f t="shared" si="19"/>
        <v>40</v>
      </c>
      <c r="K62" s="9">
        <f t="shared" si="20"/>
        <v>41</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4">
      <c r="B63" s="1">
        <v>8</v>
      </c>
      <c r="C63" s="9">
        <f t="shared" si="17"/>
        <v>87.75</v>
      </c>
      <c r="D63" s="9"/>
      <c r="E63" s="9"/>
      <c r="F63" s="9"/>
      <c r="G63" s="9"/>
      <c r="H63" s="9"/>
      <c r="I63" s="9">
        <f t="shared" si="18"/>
        <v>89.25</v>
      </c>
      <c r="J63" s="9">
        <f t="shared" si="19"/>
        <v>32</v>
      </c>
      <c r="K63" s="9">
        <f t="shared" si="20"/>
        <v>33</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4">
      <c r="B64" s="1">
        <v>9</v>
      </c>
      <c r="C64" s="9">
        <f t="shared" si="17"/>
        <v>71.75</v>
      </c>
      <c r="D64" s="9"/>
      <c r="E64" s="9"/>
      <c r="F64" s="9"/>
      <c r="G64" s="9"/>
      <c r="H64" s="9"/>
      <c r="I64" s="9">
        <f t="shared" si="18"/>
        <v>74.25</v>
      </c>
      <c r="J64" s="9">
        <f t="shared" si="19"/>
        <v>24</v>
      </c>
      <c r="K64" s="9">
        <f t="shared" si="20"/>
        <v>25</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4">
      <c r="B65" s="1">
        <v>10</v>
      </c>
      <c r="C65" s="9">
        <f t="shared" si="17"/>
        <v>64.75</v>
      </c>
      <c r="D65" s="9"/>
      <c r="E65" s="9"/>
      <c r="F65" s="9"/>
      <c r="G65" s="9"/>
      <c r="H65" s="9"/>
      <c r="I65" s="9">
        <f t="shared" si="18"/>
        <v>67.25</v>
      </c>
      <c r="J65" s="9">
        <f t="shared" si="19"/>
        <v>21</v>
      </c>
      <c r="K65" s="9">
        <f t="shared" si="20"/>
        <v>22</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4">
      <c r="B66" s="1">
        <v>11</v>
      </c>
      <c r="C66" s="9">
        <f t="shared" si="17"/>
        <v>54.25</v>
      </c>
      <c r="D66" s="9"/>
      <c r="E66" s="9"/>
      <c r="F66" s="9"/>
      <c r="G66" s="9"/>
      <c r="H66" s="9"/>
      <c r="I66" s="9">
        <f t="shared" si="18"/>
        <v>56.75</v>
      </c>
      <c r="J66" s="9">
        <f t="shared" si="19"/>
        <v>17</v>
      </c>
      <c r="K66" s="9">
        <f t="shared" si="20"/>
        <v>18</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4">
      <c r="B67" s="1">
        <v>12</v>
      </c>
      <c r="C67" s="9">
        <f t="shared" si="17"/>
        <v>45.75</v>
      </c>
      <c r="D67" s="9"/>
      <c r="E67" s="9"/>
      <c r="F67" s="9"/>
      <c r="G67" s="9"/>
      <c r="H67" s="9"/>
      <c r="I67" s="9">
        <f t="shared" si="18"/>
        <v>48.75</v>
      </c>
      <c r="J67" s="9">
        <f t="shared" si="19"/>
        <v>14</v>
      </c>
      <c r="K67" s="9">
        <f t="shared" si="20"/>
        <v>15</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4">
      <c r="B68" s="1">
        <v>13</v>
      </c>
      <c r="C68" s="9">
        <f t="shared" si="17"/>
        <v>39.75</v>
      </c>
      <c r="D68" s="9"/>
      <c r="E68" s="9"/>
      <c r="F68" s="9"/>
      <c r="G68" s="9"/>
      <c r="H68" s="9"/>
      <c r="I68" s="9">
        <f t="shared" si="18"/>
        <v>42.75</v>
      </c>
      <c r="J68" s="9">
        <f t="shared" si="19"/>
        <v>12</v>
      </c>
      <c r="K68" s="9">
        <f t="shared" si="20"/>
        <v>13</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4">
      <c r="B69" s="1">
        <v>14</v>
      </c>
      <c r="C69" s="9">
        <f t="shared" si="17"/>
        <v>33.25</v>
      </c>
      <c r="D69" s="9"/>
      <c r="E69" s="9"/>
      <c r="F69" s="9"/>
      <c r="G69" s="9"/>
      <c r="H69" s="9"/>
      <c r="I69" s="9">
        <f t="shared" si="18"/>
        <v>36.75</v>
      </c>
      <c r="J69" s="9">
        <f t="shared" si="19"/>
        <v>10</v>
      </c>
      <c r="K69" s="9">
        <f t="shared" si="20"/>
        <v>11</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4">
      <c r="B70" s="1">
        <v>15</v>
      </c>
      <c r="C70" s="9">
        <f t="shared" si="17"/>
        <v>29.5</v>
      </c>
      <c r="D70" s="9"/>
      <c r="E70" s="9"/>
      <c r="F70" s="9"/>
      <c r="G70" s="9"/>
      <c r="H70" s="9"/>
      <c r="I70" s="9">
        <f t="shared" si="18"/>
        <v>33.25</v>
      </c>
      <c r="J70" s="9">
        <f t="shared" si="19"/>
        <v>9</v>
      </c>
      <c r="K70" s="9">
        <f t="shared" si="20"/>
        <v>10</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4">
      <c r="B71" s="1">
        <v>16</v>
      </c>
      <c r="C71" s="9">
        <f t="shared" si="17"/>
        <v>26.5</v>
      </c>
      <c r="D71" s="9"/>
      <c r="E71" s="9"/>
      <c r="F71" s="9"/>
      <c r="G71" s="9"/>
      <c r="H71" s="9"/>
      <c r="I71" s="9">
        <f t="shared" si="18"/>
        <v>29.5</v>
      </c>
      <c r="J71" s="9">
        <f t="shared" si="19"/>
        <v>8</v>
      </c>
      <c r="K71" s="9">
        <f t="shared" si="20"/>
        <v>9</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4">
      <c r="B72" s="1">
        <v>17</v>
      </c>
      <c r="C72" s="9">
        <f t="shared" si="17"/>
        <v>19.5</v>
      </c>
      <c r="D72" s="9"/>
      <c r="E72" s="9"/>
      <c r="F72" s="9"/>
      <c r="G72" s="9"/>
      <c r="H72" s="9"/>
      <c r="I72" s="9">
        <f t="shared" si="18"/>
        <v>23</v>
      </c>
      <c r="J72" s="9">
        <f t="shared" si="19"/>
        <v>6</v>
      </c>
      <c r="K72" s="9">
        <f t="shared" si="20"/>
        <v>7</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4">
      <c r="B73" s="1">
        <v>18</v>
      </c>
      <c r="C73" s="9">
        <f t="shared" si="17"/>
        <v>16.5</v>
      </c>
      <c r="D73" s="9"/>
      <c r="E73" s="9"/>
      <c r="F73" s="9"/>
      <c r="G73" s="9"/>
      <c r="H73" s="9"/>
      <c r="I73" s="9">
        <f t="shared" si="18"/>
        <v>19.5</v>
      </c>
      <c r="J73" s="9">
        <f t="shared" si="19"/>
        <v>5</v>
      </c>
      <c r="K73" s="9">
        <f t="shared" si="20"/>
        <v>6</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4">
      <c r="B74" s="1">
        <v>19</v>
      </c>
      <c r="C74" s="9">
        <f t="shared" si="17"/>
        <v>13.5</v>
      </c>
      <c r="D74" s="9"/>
      <c r="E74" s="9"/>
      <c r="F74" s="9"/>
      <c r="G74" s="9"/>
      <c r="H74" s="9"/>
      <c r="I74" s="9">
        <f t="shared" si="18"/>
        <v>16.5</v>
      </c>
      <c r="J74" s="9">
        <f t="shared" si="19"/>
        <v>4</v>
      </c>
      <c r="K74" s="9">
        <f t="shared" si="20"/>
        <v>5</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4">
      <c r="B75" s="1">
        <v>20</v>
      </c>
      <c r="C75" s="9">
        <f t="shared" si="17"/>
        <v>16.5</v>
      </c>
      <c r="D75" s="9"/>
      <c r="E75" s="9"/>
      <c r="F75" s="9"/>
      <c r="G75" s="9"/>
      <c r="H75" s="9"/>
      <c r="I75" s="9">
        <f t="shared" si="18"/>
        <v>19.5</v>
      </c>
      <c r="J75" s="9">
        <f t="shared" si="19"/>
        <v>5</v>
      </c>
      <c r="K75" s="9">
        <f t="shared" si="20"/>
        <v>6</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4">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4">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4">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4">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4">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4">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4">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4">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4">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4">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4">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4">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4">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4">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4">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4">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4">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4">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4">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4">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4">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4">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4">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4">
      <c r="B99" s="117"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7"/>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4">
      <c r="B100" s="117"/>
      <c r="C100" s="117"/>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4">
      <c r="B101" s="117"/>
      <c r="C101" s="117"/>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4">
      <c r="B102" s="117"/>
      <c r="C102" s="117"/>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4">
      <c r="B103" s="117"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7"/>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4">
      <c r="B104" s="117"/>
      <c r="C104" s="117"/>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4">
      <c r="B105" s="117"/>
      <c r="C105" s="117"/>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4">
      <c r="B106" s="117"/>
      <c r="C106" s="117"/>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4">
      <c r="B107" s="118"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19"/>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4">
      <c r="B108" s="120"/>
      <c r="C108" s="121"/>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4">
      <c r="B109" s="120"/>
      <c r="C109" s="121"/>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4">
      <c r="B110" s="122"/>
      <c r="C110" s="123"/>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4">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4">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4">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4">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4">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4">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4">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4">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4">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4">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4">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4">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4">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4">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4">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4">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4">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4">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4">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4">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4">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4">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4">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4">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4">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4">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4">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4">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4">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4">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4">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4">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4">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4">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4">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4">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4">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4">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4">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4">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4">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4">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4">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4">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4">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4">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4">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4">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4">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4">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4">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4">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4">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4">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4">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4">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4">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4">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4">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4">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4">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4">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4">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4">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4">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4">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4">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4">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4">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4">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4">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4">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4">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4">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4">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4">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4">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4">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4">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4">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4">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4">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4">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4">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4">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4">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4">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4">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4">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4">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4">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4">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4">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4">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4">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4">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4">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4">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4">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4">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4">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4">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4">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4">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4">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4">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4">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4">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4">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4">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4">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4">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4">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4">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4">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4">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4">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4">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4">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4">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4">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4">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4">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4">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4">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4">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4">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4">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4">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4">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4">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4">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4">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4">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4">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4">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4">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4">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4">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4">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4">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4">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4">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4">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4">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4">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4">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4">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4">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4">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4">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4">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4">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4">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4">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4">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4">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4">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4">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4">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4">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4">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4">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4">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4">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4">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4">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4">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4">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4">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4">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4">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4">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4">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4">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4">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4">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4">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4">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4">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7.5" thickBot="1" x14ac:dyDescent="0.45">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4">
      <c r="U292" s="1"/>
    </row>
    <row r="293" spans="13:22" x14ac:dyDescent="0.4">
      <c r="U293" s="1"/>
    </row>
    <row r="294" spans="13:22" x14ac:dyDescent="0.4">
      <c r="U294" s="1"/>
    </row>
    <row r="295" spans="13:22" x14ac:dyDescent="0.4">
      <c r="U295" s="1"/>
    </row>
    <row r="296" spans="13:22" x14ac:dyDescent="0.4">
      <c r="U296" s="1"/>
    </row>
    <row r="297" spans="13:22" x14ac:dyDescent="0.4">
      <c r="U297" s="1"/>
    </row>
    <row r="298" spans="13:22" x14ac:dyDescent="0.4">
      <c r="U298" s="1"/>
    </row>
  </sheetData>
  <mergeCells count="21">
    <mergeCell ref="B8:B9"/>
    <mergeCell ref="M8:N8"/>
    <mergeCell ref="M9:N9"/>
    <mergeCell ref="B2:J6"/>
    <mergeCell ref="K2:K3"/>
    <mergeCell ref="M2:O5"/>
    <mergeCell ref="C8:I9"/>
    <mergeCell ref="J8:K8"/>
    <mergeCell ref="J9:K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N23"/>
  <sheetViews>
    <sheetView zoomScaleNormal="100" workbookViewId="0">
      <selection activeCell="B2" sqref="B2:N6"/>
    </sheetView>
  </sheetViews>
  <sheetFormatPr defaultRowHeight="17" x14ac:dyDescent="0.4"/>
  <cols>
    <col min="1" max="1" width="3.7265625" customWidth="1"/>
    <col min="2" max="3" width="9" customWidth="1"/>
    <col min="4" max="6" width="9" style="1" customWidth="1"/>
    <col min="7" max="7" width="3.7265625" style="1" customWidth="1"/>
    <col min="8" max="10" width="9" style="1"/>
    <col min="11" max="11" width="3.7265625" customWidth="1"/>
    <col min="14" max="14" width="9" style="1"/>
    <col min="15" max="15" width="3.7265625" customWidth="1"/>
  </cols>
  <sheetData>
    <row r="1" spans="1:14" x14ac:dyDescent="0.4">
      <c r="A1" s="1"/>
      <c r="B1" s="1"/>
      <c r="C1" s="1"/>
    </row>
    <row r="2" spans="1:14" ht="16.5" customHeight="1" x14ac:dyDescent="0.4">
      <c r="A2" s="1"/>
      <c r="B2" s="100" t="s">
        <v>41</v>
      </c>
      <c r="C2" s="100"/>
      <c r="D2" s="100"/>
      <c r="E2" s="100"/>
      <c r="F2" s="100"/>
      <c r="G2" s="100"/>
      <c r="H2" s="100"/>
      <c r="I2" s="100"/>
      <c r="J2" s="100"/>
      <c r="K2" s="100"/>
      <c r="L2" s="100"/>
      <c r="M2" s="100"/>
      <c r="N2" s="100"/>
    </row>
    <row r="3" spans="1:14" ht="16.5" customHeight="1" x14ac:dyDescent="0.4">
      <c r="A3" s="1"/>
      <c r="B3" s="100"/>
      <c r="C3" s="100"/>
      <c r="D3" s="100"/>
      <c r="E3" s="100"/>
      <c r="F3" s="100"/>
      <c r="G3" s="100"/>
      <c r="H3" s="100"/>
      <c r="I3" s="100"/>
      <c r="J3" s="100"/>
      <c r="K3" s="100"/>
      <c r="L3" s="100"/>
      <c r="M3" s="100"/>
      <c r="N3" s="100"/>
    </row>
    <row r="4" spans="1:14" ht="16.5" customHeight="1" x14ac:dyDescent="0.4">
      <c r="A4" s="1"/>
      <c r="B4" s="100"/>
      <c r="C4" s="100"/>
      <c r="D4" s="100"/>
      <c r="E4" s="100"/>
      <c r="F4" s="100"/>
      <c r="G4" s="100"/>
      <c r="H4" s="100"/>
      <c r="I4" s="100"/>
      <c r="J4" s="100"/>
      <c r="K4" s="100"/>
      <c r="L4" s="100"/>
      <c r="M4" s="100"/>
      <c r="N4" s="100"/>
    </row>
    <row r="5" spans="1:14" ht="16.5" customHeight="1" x14ac:dyDescent="0.4">
      <c r="A5" s="1"/>
      <c r="B5" s="100"/>
      <c r="C5" s="100"/>
      <c r="D5" s="100"/>
      <c r="E5" s="100"/>
      <c r="F5" s="100"/>
      <c r="G5" s="100"/>
      <c r="H5" s="100"/>
      <c r="I5" s="100"/>
      <c r="J5" s="100"/>
      <c r="K5" s="100"/>
      <c r="L5" s="100"/>
      <c r="M5" s="100"/>
      <c r="N5" s="100"/>
    </row>
    <row r="6" spans="1:14" ht="16.5" customHeight="1" x14ac:dyDescent="0.4">
      <c r="A6" s="1"/>
      <c r="B6" s="100"/>
      <c r="C6" s="100"/>
      <c r="D6" s="100"/>
      <c r="E6" s="100"/>
      <c r="F6" s="100"/>
      <c r="G6" s="100"/>
      <c r="H6" s="100"/>
      <c r="I6" s="100"/>
      <c r="J6" s="100"/>
      <c r="K6" s="100"/>
      <c r="L6" s="100"/>
      <c r="M6" s="100"/>
      <c r="N6" s="100"/>
    </row>
    <row r="7" spans="1:14" x14ac:dyDescent="0.4">
      <c r="A7" s="1"/>
      <c r="D7"/>
      <c r="E7"/>
      <c r="F7"/>
      <c r="G7"/>
      <c r="H7"/>
      <c r="I7"/>
      <c r="K7" s="1"/>
    </row>
    <row r="8" spans="1:14" ht="16.5" customHeight="1" x14ac:dyDescent="0.4">
      <c r="A8" s="1"/>
      <c r="B8" s="101" t="s">
        <v>43</v>
      </c>
      <c r="C8" s="101"/>
      <c r="D8" s="101"/>
      <c r="E8" s="101"/>
      <c r="F8" s="101"/>
      <c r="G8" s="101"/>
      <c r="H8" s="101"/>
      <c r="I8" s="101"/>
      <c r="J8" s="101"/>
      <c r="K8" s="101"/>
      <c r="L8" s="101"/>
      <c r="M8" s="101"/>
      <c r="N8" s="101"/>
    </row>
    <row r="9" spans="1:14" ht="16.5" customHeight="1" x14ac:dyDescent="0.4">
      <c r="A9" s="1"/>
      <c r="B9" s="101"/>
      <c r="C9" s="101"/>
      <c r="D9" s="101"/>
      <c r="E9" s="101"/>
      <c r="F9" s="101"/>
      <c r="G9" s="101"/>
      <c r="H9" s="101"/>
      <c r="I9" s="101"/>
      <c r="J9" s="101"/>
      <c r="K9" s="101"/>
      <c r="L9" s="101"/>
      <c r="M9" s="101"/>
      <c r="N9" s="101"/>
    </row>
    <row r="10" spans="1:14" ht="18.75" customHeight="1" x14ac:dyDescent="0.4">
      <c r="A10" s="1"/>
      <c r="B10" s="101"/>
      <c r="C10" s="101"/>
      <c r="D10" s="101"/>
      <c r="E10" s="101"/>
      <c r="F10" s="101"/>
      <c r="G10" s="101"/>
      <c r="H10" s="101"/>
      <c r="I10" s="101"/>
      <c r="J10" s="101"/>
      <c r="K10" s="101"/>
      <c r="L10" s="101"/>
      <c r="M10" s="101"/>
      <c r="N10" s="101"/>
    </row>
    <row r="11" spans="1:14" x14ac:dyDescent="0.4">
      <c r="H11" s="99" t="s">
        <v>3</v>
      </c>
      <c r="I11" s="99"/>
      <c r="J11" s="99"/>
      <c r="K11" s="1"/>
      <c r="L11" s="99" t="s">
        <v>19</v>
      </c>
      <c r="M11" s="99"/>
      <c r="N11" s="99"/>
    </row>
    <row r="12" spans="1:14" x14ac:dyDescent="0.4">
      <c r="B12" s="1" t="s">
        <v>0</v>
      </c>
      <c r="C12" s="13" t="s">
        <v>1</v>
      </c>
      <c r="D12" s="13" t="s">
        <v>20</v>
      </c>
      <c r="E12" s="13" t="s">
        <v>2</v>
      </c>
      <c r="F12" s="1" t="s">
        <v>16</v>
      </c>
      <c r="G12"/>
      <c r="H12" s="14" t="s">
        <v>4</v>
      </c>
      <c r="I12" s="13" t="s">
        <v>5</v>
      </c>
      <c r="J12" s="1" t="s">
        <v>18</v>
      </c>
      <c r="K12" s="1"/>
      <c r="L12" s="15" t="s">
        <v>4</v>
      </c>
      <c r="M12" s="1" t="s">
        <v>5</v>
      </c>
      <c r="N12" s="1" t="s">
        <v>18</v>
      </c>
    </row>
    <row r="13" spans="1:14" x14ac:dyDescent="0.4">
      <c r="B13" s="1">
        <v>4</v>
      </c>
      <c r="C13" s="1"/>
      <c r="F13" s="1">
        <f t="shared" ref="F13:F23" si="0">D13-E13</f>
        <v>0</v>
      </c>
      <c r="G13"/>
      <c r="J13" s="1">
        <f>'(gamma)_2'!F16</f>
        <v>0</v>
      </c>
      <c r="K13" s="1"/>
      <c r="L13" s="12" t="e">
        <f t="shared" ref="L13:L23" si="1">H13*N13/J13</f>
        <v>#DIV/0!</v>
      </c>
      <c r="M13" s="1">
        <f>E13</f>
        <v>0</v>
      </c>
      <c r="N13" s="1">
        <f>'(gamma)_2'!D16</f>
        <v>0</v>
      </c>
    </row>
    <row r="14" spans="1:14" x14ac:dyDescent="0.4">
      <c r="B14" s="1">
        <v>5</v>
      </c>
      <c r="C14" s="1"/>
      <c r="F14" s="1">
        <f t="shared" si="0"/>
        <v>0</v>
      </c>
      <c r="G14"/>
      <c r="J14" s="1">
        <f>'(gamma)_2'!F17</f>
        <v>0</v>
      </c>
      <c r="L14" s="12" t="e">
        <f t="shared" si="1"/>
        <v>#DIV/0!</v>
      </c>
      <c r="M14" s="1">
        <f t="shared" ref="M14:M23" si="2">E14</f>
        <v>0</v>
      </c>
      <c r="N14" s="1">
        <f>'(gamma)_2'!D17</f>
        <v>0</v>
      </c>
    </row>
    <row r="15" spans="1:14" x14ac:dyDescent="0.4">
      <c r="B15" s="1">
        <v>6</v>
      </c>
      <c r="C15" s="1"/>
      <c r="F15" s="1">
        <f t="shared" si="0"/>
        <v>0</v>
      </c>
      <c r="G15"/>
      <c r="J15" s="1">
        <f>'(gamma)_2'!F18</f>
        <v>0</v>
      </c>
      <c r="L15" s="12" t="e">
        <f t="shared" si="1"/>
        <v>#DIV/0!</v>
      </c>
      <c r="M15" s="1">
        <f t="shared" si="2"/>
        <v>0</v>
      </c>
      <c r="N15" s="1">
        <f>'(gamma)_2'!D18</f>
        <v>0</v>
      </c>
    </row>
    <row r="16" spans="1:14" x14ac:dyDescent="0.4">
      <c r="B16" s="1">
        <v>7</v>
      </c>
      <c r="C16" s="1"/>
      <c r="F16" s="1">
        <f t="shared" si="0"/>
        <v>0</v>
      </c>
      <c r="G16"/>
      <c r="J16" s="1">
        <f>'(gamma)_2'!F19</f>
        <v>0</v>
      </c>
      <c r="L16" s="12" t="e">
        <f t="shared" si="1"/>
        <v>#DIV/0!</v>
      </c>
      <c r="M16" s="1">
        <f t="shared" si="2"/>
        <v>0</v>
      </c>
      <c r="N16" s="1">
        <f>'(gamma)_2'!D19</f>
        <v>0</v>
      </c>
    </row>
    <row r="17" spans="2:14" x14ac:dyDescent="0.4">
      <c r="B17" s="1">
        <v>8</v>
      </c>
      <c r="C17" s="1"/>
      <c r="F17" s="1">
        <f t="shared" si="0"/>
        <v>0</v>
      </c>
      <c r="G17"/>
      <c r="J17" s="1">
        <f>'(gamma)_2'!F20</f>
        <v>0</v>
      </c>
      <c r="L17" s="12" t="e">
        <f t="shared" si="1"/>
        <v>#DIV/0!</v>
      </c>
      <c r="M17" s="1">
        <f t="shared" si="2"/>
        <v>0</v>
      </c>
      <c r="N17" s="1">
        <f>'(gamma)_2'!D20</f>
        <v>0</v>
      </c>
    </row>
    <row r="18" spans="2:14" x14ac:dyDescent="0.4">
      <c r="B18" s="1">
        <v>9</v>
      </c>
      <c r="C18" s="1"/>
      <c r="F18" s="1">
        <f t="shared" si="0"/>
        <v>0</v>
      </c>
      <c r="G18"/>
      <c r="J18" s="1">
        <f>'(gamma)_2'!F21</f>
        <v>0</v>
      </c>
      <c r="L18" s="12" t="e">
        <f t="shared" si="1"/>
        <v>#DIV/0!</v>
      </c>
      <c r="M18" s="1">
        <f t="shared" si="2"/>
        <v>0</v>
      </c>
      <c r="N18" s="1">
        <f>'(gamma)_2'!D21</f>
        <v>0</v>
      </c>
    </row>
    <row r="19" spans="2:14" x14ac:dyDescent="0.4">
      <c r="B19" s="1">
        <v>10</v>
      </c>
      <c r="C19" s="1"/>
      <c r="F19" s="1">
        <f t="shared" si="0"/>
        <v>0</v>
      </c>
      <c r="G19"/>
      <c r="J19" s="1">
        <f>'(gamma)_2'!F22</f>
        <v>0</v>
      </c>
      <c r="L19" s="12" t="e">
        <f t="shared" si="1"/>
        <v>#DIV/0!</v>
      </c>
      <c r="M19" s="1">
        <f t="shared" si="2"/>
        <v>0</v>
      </c>
      <c r="N19" s="1">
        <f>'(gamma)_2'!D22</f>
        <v>0</v>
      </c>
    </row>
    <row r="20" spans="2:14" x14ac:dyDescent="0.4">
      <c r="B20" s="1">
        <v>11</v>
      </c>
      <c r="C20" s="1"/>
      <c r="F20" s="1">
        <f t="shared" si="0"/>
        <v>0</v>
      </c>
      <c r="G20"/>
      <c r="J20" s="1">
        <f>'(gamma)_2'!F23</f>
        <v>0</v>
      </c>
      <c r="L20" s="12" t="e">
        <f t="shared" si="1"/>
        <v>#DIV/0!</v>
      </c>
      <c r="M20" s="1">
        <f t="shared" si="2"/>
        <v>0</v>
      </c>
      <c r="N20" s="1">
        <f>'(gamma)_2'!D23</f>
        <v>0</v>
      </c>
    </row>
    <row r="21" spans="2:14" x14ac:dyDescent="0.4">
      <c r="B21" s="1">
        <v>12</v>
      </c>
      <c r="C21" s="1"/>
      <c r="F21" s="1">
        <f t="shared" si="0"/>
        <v>0</v>
      </c>
      <c r="G21"/>
      <c r="J21" s="1">
        <f>'(gamma)_2'!F24</f>
        <v>0</v>
      </c>
      <c r="L21" s="12" t="e">
        <f t="shared" si="1"/>
        <v>#DIV/0!</v>
      </c>
      <c r="M21" s="1">
        <f t="shared" si="2"/>
        <v>0</v>
      </c>
      <c r="N21" s="1">
        <f>'(gamma)_2'!D24</f>
        <v>0</v>
      </c>
    </row>
    <row r="22" spans="2:14" x14ac:dyDescent="0.4">
      <c r="B22" s="1">
        <v>13</v>
      </c>
      <c r="C22" s="1"/>
      <c r="F22" s="1">
        <f t="shared" si="0"/>
        <v>0</v>
      </c>
      <c r="G22"/>
      <c r="J22" s="1">
        <f>'(gamma)_2'!F25</f>
        <v>0</v>
      </c>
      <c r="L22" s="12" t="e">
        <f t="shared" si="1"/>
        <v>#DIV/0!</v>
      </c>
      <c r="M22" s="1">
        <f t="shared" si="2"/>
        <v>0</v>
      </c>
      <c r="N22" s="1">
        <f>'(gamma)_2'!D25</f>
        <v>0</v>
      </c>
    </row>
    <row r="23" spans="2:14" x14ac:dyDescent="0.4">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B2:AA282"/>
  <sheetViews>
    <sheetView zoomScaleNormal="100" workbookViewId="0">
      <selection activeCell="B2" sqref="B2:F9"/>
    </sheetView>
  </sheetViews>
  <sheetFormatPr defaultColWidth="9" defaultRowHeight="17" x14ac:dyDescent="0.4"/>
  <cols>
    <col min="1" max="1" width="3.36328125" style="1" customWidth="1"/>
    <col min="2" max="6" width="10.90625" style="1" customWidth="1"/>
    <col min="7" max="7" width="3.36328125" style="1" customWidth="1"/>
    <col min="8" max="11" width="10.90625" style="1" customWidth="1"/>
    <col min="12" max="12" width="3.36328125" style="1" customWidth="1"/>
    <col min="13" max="24" width="10.90625" style="1" customWidth="1"/>
    <col min="25" max="25" width="3.36328125" style="1" customWidth="1"/>
    <col min="26" max="43" width="9.08984375" style="1" customWidth="1"/>
    <col min="44" max="59" width="9" style="1"/>
    <col min="60" max="60" width="9" style="1" customWidth="1"/>
    <col min="61" max="16384" width="9" style="1"/>
  </cols>
  <sheetData>
    <row r="2" spans="2:27" ht="16.5" customHeight="1" x14ac:dyDescent="0.4">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4">
      <c r="B3" s="100"/>
      <c r="C3" s="100"/>
      <c r="D3" s="100"/>
      <c r="E3" s="100"/>
      <c r="F3" s="100"/>
      <c r="H3" s="7" t="s">
        <v>14</v>
      </c>
      <c r="I3" s="1" t="s">
        <v>15</v>
      </c>
      <c r="J3" s="1" t="s">
        <v>14</v>
      </c>
      <c r="K3" s="1" t="s">
        <v>16</v>
      </c>
      <c r="M3" s="114"/>
      <c r="N3" s="113"/>
      <c r="O3" s="105"/>
      <c r="P3" s="106"/>
      <c r="Q3" s="106"/>
      <c r="R3" s="106"/>
      <c r="S3" s="107"/>
      <c r="T3"/>
      <c r="Y3"/>
    </row>
    <row r="4" spans="2:27" ht="16.5" customHeight="1" x14ac:dyDescent="0.4">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4">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4">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4">
      <c r="B7" s="100"/>
      <c r="C7" s="100"/>
      <c r="D7" s="100"/>
      <c r="E7" s="100"/>
      <c r="F7" s="100"/>
      <c r="H7" s="8">
        <f t="shared" si="0"/>
        <v>10.5</v>
      </c>
      <c r="I7" s="1">
        <v>3</v>
      </c>
      <c r="J7" s="1">
        <f t="shared" si="1"/>
        <v>10.5</v>
      </c>
      <c r="K7" s="1">
        <f t="shared" si="2"/>
        <v>3</v>
      </c>
      <c r="L7" s="3"/>
    </row>
    <row r="8" spans="2:27" x14ac:dyDescent="0.4">
      <c r="B8" s="100"/>
      <c r="C8" s="100"/>
      <c r="D8" s="100"/>
      <c r="E8" s="100"/>
      <c r="F8" s="100"/>
      <c r="G8"/>
      <c r="H8" s="8">
        <f t="shared" si="0"/>
        <v>13.5</v>
      </c>
      <c r="I8" s="1">
        <v>4</v>
      </c>
      <c r="J8" s="1">
        <f t="shared" si="1"/>
        <v>13.5</v>
      </c>
      <c r="K8" s="1">
        <f t="shared" si="2"/>
        <v>3</v>
      </c>
      <c r="L8" s="5"/>
    </row>
    <row r="9" spans="2:27" x14ac:dyDescent="0.4">
      <c r="B9" s="100"/>
      <c r="C9" s="100"/>
      <c r="D9" s="100"/>
      <c r="E9" s="100"/>
      <c r="F9" s="100"/>
      <c r="G9"/>
      <c r="H9" s="8">
        <f t="shared" si="0"/>
        <v>16.5</v>
      </c>
      <c r="I9" s="1">
        <v>5</v>
      </c>
      <c r="J9" s="1">
        <f t="shared" si="1"/>
        <v>16.5</v>
      </c>
      <c r="K9" s="1">
        <f t="shared" si="2"/>
        <v>3</v>
      </c>
      <c r="L9" s="5"/>
    </row>
    <row r="10" spans="2:27" x14ac:dyDescent="0.4">
      <c r="H10" s="8">
        <f t="shared" si="0"/>
        <v>19.5</v>
      </c>
      <c r="I10" s="1">
        <v>6</v>
      </c>
      <c r="J10" s="1">
        <f t="shared" si="1"/>
        <v>19.5</v>
      </c>
      <c r="K10" s="1">
        <f t="shared" si="2"/>
        <v>3</v>
      </c>
    </row>
    <row r="11" spans="2:27" x14ac:dyDescent="0.4">
      <c r="B11" s="115" t="s">
        <v>23</v>
      </c>
      <c r="C11" s="116"/>
      <c r="D11" s="116"/>
      <c r="E11" s="116"/>
      <c r="F11" s="116"/>
      <c r="H11" s="8">
        <f t="shared" si="0"/>
        <v>23</v>
      </c>
      <c r="I11" s="1">
        <v>7</v>
      </c>
      <c r="J11" s="1">
        <f t="shared" si="1"/>
        <v>23</v>
      </c>
      <c r="K11" s="1">
        <f t="shared" si="2"/>
        <v>3.5</v>
      </c>
    </row>
    <row r="12" spans="2:27" x14ac:dyDescent="0.4">
      <c r="B12" s="116"/>
      <c r="C12" s="116"/>
      <c r="D12" s="116"/>
      <c r="E12" s="116"/>
      <c r="F12" s="116"/>
      <c r="H12" s="8">
        <f t="shared" si="0"/>
        <v>26.5</v>
      </c>
      <c r="I12" s="1">
        <v>8</v>
      </c>
      <c r="J12" s="1">
        <f t="shared" si="1"/>
        <v>26.5</v>
      </c>
      <c r="K12" s="1">
        <f t="shared" si="2"/>
        <v>3.5</v>
      </c>
    </row>
    <row r="13" spans="2:27" x14ac:dyDescent="0.4">
      <c r="B13" s="116"/>
      <c r="C13" s="116"/>
      <c r="D13" s="116"/>
      <c r="E13" s="116"/>
      <c r="F13" s="116"/>
      <c r="H13" s="8">
        <f t="shared" si="0"/>
        <v>29.5</v>
      </c>
      <c r="I13" s="1">
        <v>9</v>
      </c>
      <c r="J13" s="1">
        <f t="shared" si="1"/>
        <v>29.5</v>
      </c>
      <c r="K13" s="1">
        <f t="shared" si="2"/>
        <v>3</v>
      </c>
    </row>
    <row r="14" spans="2:27" x14ac:dyDescent="0.4">
      <c r="H14" s="8">
        <f t="shared" si="0"/>
        <v>33.25</v>
      </c>
      <c r="I14" s="1">
        <v>10</v>
      </c>
      <c r="J14" s="1">
        <f t="shared" si="1"/>
        <v>33.25</v>
      </c>
      <c r="K14" s="1">
        <f t="shared" si="2"/>
        <v>3.75</v>
      </c>
    </row>
    <row r="15" spans="2:27" x14ac:dyDescent="0.4">
      <c r="B15" s="19" t="s">
        <v>22</v>
      </c>
      <c r="C15" s="1" t="s">
        <v>2</v>
      </c>
      <c r="D15" s="1" t="s">
        <v>8</v>
      </c>
      <c r="E15" s="1" t="s">
        <v>3</v>
      </c>
      <c r="F15" s="1" t="s">
        <v>8</v>
      </c>
      <c r="H15" s="8">
        <f t="shared" si="0"/>
        <v>36.75</v>
      </c>
      <c r="I15" s="1">
        <v>11</v>
      </c>
      <c r="J15" s="1">
        <f t="shared" si="1"/>
        <v>36.75</v>
      </c>
      <c r="K15" s="1">
        <f t="shared" si="2"/>
        <v>3.5</v>
      </c>
    </row>
    <row r="16" spans="2:27" x14ac:dyDescent="0.4">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4">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4">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4">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4">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4">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4">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4">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4">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4">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4">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4">
      <c r="H27" s="8">
        <f t="shared" si="0"/>
        <v>69.25</v>
      </c>
      <c r="I27" s="1">
        <v>23</v>
      </c>
      <c r="J27" s="1">
        <f t="shared" si="1"/>
        <v>69.25</v>
      </c>
      <c r="K27" s="1">
        <f t="shared" si="2"/>
        <v>2</v>
      </c>
      <c r="M27"/>
      <c r="N27"/>
      <c r="O27"/>
      <c r="P27"/>
      <c r="Q27"/>
      <c r="R27"/>
    </row>
    <row r="28" spans="2:18" x14ac:dyDescent="0.4">
      <c r="C28" s="1" t="s">
        <v>9</v>
      </c>
      <c r="D28" s="1" t="s">
        <v>10</v>
      </c>
      <c r="E28" s="1" t="s">
        <v>11</v>
      </c>
      <c r="F28" s="1" t="s">
        <v>12</v>
      </c>
      <c r="H28" s="8">
        <f t="shared" si="0"/>
        <v>71.75</v>
      </c>
      <c r="I28" s="1">
        <v>24</v>
      </c>
      <c r="J28" s="1">
        <f t="shared" si="1"/>
        <v>71.75</v>
      </c>
      <c r="K28" s="1">
        <f t="shared" si="2"/>
        <v>2.5</v>
      </c>
      <c r="M28"/>
      <c r="N28"/>
      <c r="O28"/>
      <c r="P28"/>
      <c r="Q28"/>
      <c r="R28"/>
    </row>
    <row r="29" spans="2:18" x14ac:dyDescent="0.4">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4">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4">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4">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4">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4">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4">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4">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4">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4">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4">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4">
      <c r="H40" s="8">
        <f t="shared" si="0"/>
        <v>95.25</v>
      </c>
      <c r="I40" s="1">
        <v>36</v>
      </c>
      <c r="J40" s="1">
        <f t="shared" si="1"/>
        <v>95.25</v>
      </c>
      <c r="K40" s="1">
        <f t="shared" si="2"/>
        <v>2</v>
      </c>
      <c r="M40"/>
      <c r="N40"/>
      <c r="O40"/>
      <c r="P40"/>
      <c r="Q40"/>
      <c r="R40"/>
    </row>
    <row r="41" spans="2:18" x14ac:dyDescent="0.4">
      <c r="C41" s="1" t="s">
        <v>9</v>
      </c>
      <c r="D41" s="1" t="s">
        <v>10</v>
      </c>
      <c r="E41" s="1" t="s">
        <v>11</v>
      </c>
      <c r="F41" s="1" t="s">
        <v>12</v>
      </c>
      <c r="H41" s="8">
        <f t="shared" si="0"/>
        <v>97</v>
      </c>
      <c r="I41" s="1">
        <v>37</v>
      </c>
      <c r="J41" s="1">
        <f t="shared" si="1"/>
        <v>97</v>
      </c>
      <c r="K41" s="1">
        <f t="shared" si="2"/>
        <v>1.75</v>
      </c>
      <c r="M41"/>
      <c r="N41"/>
      <c r="O41"/>
      <c r="P41"/>
      <c r="Q41"/>
      <c r="R41"/>
    </row>
    <row r="42" spans="2:18" x14ac:dyDescent="0.4">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4">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4">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4">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4">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4">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4">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4">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4">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4">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4">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4">
      <c r="H53" s="8">
        <f t="shared" si="0"/>
        <v>116</v>
      </c>
      <c r="I53" s="1">
        <v>49</v>
      </c>
      <c r="J53" s="1">
        <f t="shared" si="1"/>
        <v>116</v>
      </c>
      <c r="K53" s="1">
        <f t="shared" si="2"/>
        <v>1.5</v>
      </c>
      <c r="M53"/>
      <c r="N53"/>
      <c r="O53"/>
      <c r="P53"/>
      <c r="Q53"/>
    </row>
    <row r="54" spans="2:17" x14ac:dyDescent="0.4">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4">
      <c r="B55" s="11"/>
      <c r="C55" s="11"/>
      <c r="H55" s="8">
        <f t="shared" si="0"/>
        <v>118.5</v>
      </c>
      <c r="I55" s="1">
        <v>51</v>
      </c>
      <c r="J55" s="1">
        <f t="shared" si="1"/>
        <v>118.5</v>
      </c>
      <c r="K55" s="1">
        <f t="shared" si="2"/>
        <v>1.5</v>
      </c>
      <c r="M55"/>
      <c r="N55"/>
      <c r="O55"/>
      <c r="P55"/>
      <c r="Q55"/>
    </row>
    <row r="56" spans="2:17" x14ac:dyDescent="0.4">
      <c r="H56" s="8">
        <f t="shared" si="0"/>
        <v>120</v>
      </c>
      <c r="I56" s="1">
        <v>52</v>
      </c>
      <c r="J56" s="1">
        <f t="shared" si="1"/>
        <v>120</v>
      </c>
      <c r="K56" s="1">
        <f t="shared" si="2"/>
        <v>1.5</v>
      </c>
      <c r="M56"/>
      <c r="N56"/>
      <c r="O56"/>
      <c r="P56"/>
      <c r="Q56"/>
    </row>
    <row r="57" spans="2:17" x14ac:dyDescent="0.4">
      <c r="H57" s="8">
        <f t="shared" si="0"/>
        <v>121.5</v>
      </c>
      <c r="I57" s="1">
        <v>53</v>
      </c>
      <c r="J57" s="1">
        <f t="shared" si="1"/>
        <v>121.5</v>
      </c>
      <c r="K57" s="1">
        <f t="shared" si="2"/>
        <v>1.5</v>
      </c>
      <c r="M57"/>
      <c r="N57"/>
      <c r="O57"/>
      <c r="P57"/>
      <c r="Q57"/>
    </row>
    <row r="58" spans="2:17" x14ac:dyDescent="0.4">
      <c r="H58" s="8">
        <f t="shared" si="0"/>
        <v>123</v>
      </c>
      <c r="I58" s="1">
        <v>54</v>
      </c>
      <c r="J58" s="1">
        <f t="shared" si="1"/>
        <v>123</v>
      </c>
      <c r="K58" s="1">
        <f t="shared" si="2"/>
        <v>1.5</v>
      </c>
      <c r="M58"/>
      <c r="N58"/>
      <c r="O58"/>
      <c r="P58"/>
      <c r="Q58"/>
    </row>
    <row r="59" spans="2:17" x14ac:dyDescent="0.4">
      <c r="H59" s="8">
        <f t="shared" si="0"/>
        <v>124</v>
      </c>
      <c r="I59" s="1">
        <v>55</v>
      </c>
      <c r="J59" s="1">
        <f t="shared" si="1"/>
        <v>124</v>
      </c>
      <c r="K59" s="1">
        <f t="shared" si="2"/>
        <v>1</v>
      </c>
      <c r="M59"/>
      <c r="N59"/>
      <c r="O59"/>
      <c r="P59"/>
      <c r="Q59"/>
    </row>
    <row r="60" spans="2:17" x14ac:dyDescent="0.4">
      <c r="H60" s="8">
        <f t="shared" si="0"/>
        <v>125.5</v>
      </c>
      <c r="I60" s="1">
        <v>56</v>
      </c>
      <c r="J60" s="1">
        <f t="shared" si="1"/>
        <v>125.5</v>
      </c>
      <c r="K60" s="1">
        <f t="shared" si="2"/>
        <v>1.5</v>
      </c>
      <c r="M60"/>
      <c r="N60"/>
      <c r="O60"/>
      <c r="P60"/>
      <c r="Q60"/>
    </row>
    <row r="61" spans="2:17" x14ac:dyDescent="0.4">
      <c r="H61" s="8">
        <f t="shared" si="0"/>
        <v>127</v>
      </c>
      <c r="I61" s="1">
        <v>57</v>
      </c>
      <c r="J61" s="1">
        <f t="shared" si="1"/>
        <v>127</v>
      </c>
      <c r="K61" s="1">
        <f t="shared" si="2"/>
        <v>1.5</v>
      </c>
      <c r="M61"/>
      <c r="N61"/>
      <c r="O61"/>
      <c r="P61"/>
      <c r="Q61"/>
    </row>
    <row r="62" spans="2:17" x14ac:dyDescent="0.4">
      <c r="H62" s="8">
        <f t="shared" si="0"/>
        <v>128</v>
      </c>
      <c r="I62" s="1">
        <v>58</v>
      </c>
      <c r="J62" s="1">
        <f t="shared" si="1"/>
        <v>128</v>
      </c>
      <c r="K62" s="1">
        <f t="shared" si="2"/>
        <v>1</v>
      </c>
      <c r="M62"/>
      <c r="N62"/>
      <c r="O62"/>
      <c r="P62"/>
      <c r="Q62"/>
    </row>
    <row r="63" spans="2:17" x14ac:dyDescent="0.4">
      <c r="H63" s="8">
        <f t="shared" si="0"/>
        <v>129.5</v>
      </c>
      <c r="I63" s="1">
        <v>59</v>
      </c>
      <c r="J63" s="1">
        <f t="shared" si="1"/>
        <v>129.5</v>
      </c>
      <c r="K63" s="1">
        <f t="shared" si="2"/>
        <v>1.5</v>
      </c>
      <c r="M63"/>
      <c r="N63"/>
      <c r="O63"/>
      <c r="P63"/>
      <c r="Q63"/>
    </row>
    <row r="64" spans="2:17" x14ac:dyDescent="0.4">
      <c r="H64" s="8">
        <f t="shared" si="0"/>
        <v>131</v>
      </c>
      <c r="I64" s="1">
        <v>60</v>
      </c>
      <c r="J64" s="1">
        <f t="shared" si="1"/>
        <v>131</v>
      </c>
      <c r="K64" s="1">
        <f t="shared" si="2"/>
        <v>1.5</v>
      </c>
      <c r="M64"/>
      <c r="N64"/>
      <c r="O64"/>
      <c r="P64"/>
      <c r="Q64"/>
    </row>
    <row r="65" spans="8:17" x14ac:dyDescent="0.4">
      <c r="H65" s="8">
        <f t="shared" si="0"/>
        <v>132</v>
      </c>
      <c r="I65" s="1">
        <v>61</v>
      </c>
      <c r="J65" s="1">
        <f t="shared" si="1"/>
        <v>132</v>
      </c>
      <c r="K65" s="1">
        <f t="shared" si="2"/>
        <v>1</v>
      </c>
      <c r="M65"/>
      <c r="N65"/>
      <c r="O65"/>
      <c r="P65"/>
      <c r="Q65"/>
    </row>
    <row r="66" spans="8:17" x14ac:dyDescent="0.4">
      <c r="H66" s="8">
        <f t="shared" si="0"/>
        <v>133.5</v>
      </c>
      <c r="I66" s="1">
        <v>62</v>
      </c>
      <c r="J66" s="1">
        <f t="shared" si="1"/>
        <v>133.5</v>
      </c>
      <c r="K66" s="1">
        <f t="shared" si="2"/>
        <v>1.5</v>
      </c>
      <c r="M66"/>
      <c r="N66"/>
      <c r="O66"/>
      <c r="P66"/>
      <c r="Q66"/>
    </row>
    <row r="67" spans="8:17" x14ac:dyDescent="0.4">
      <c r="H67" s="8">
        <f t="shared" si="0"/>
        <v>134.5</v>
      </c>
      <c r="I67" s="1">
        <v>63</v>
      </c>
      <c r="J67" s="1">
        <f t="shared" si="1"/>
        <v>134.5</v>
      </c>
      <c r="K67" s="1">
        <f t="shared" si="2"/>
        <v>1</v>
      </c>
      <c r="M67"/>
      <c r="N67"/>
      <c r="O67"/>
      <c r="P67"/>
      <c r="Q67"/>
    </row>
    <row r="68" spans="8:17" x14ac:dyDescent="0.4">
      <c r="H68" s="8">
        <f t="shared" si="0"/>
        <v>135.5</v>
      </c>
      <c r="I68" s="1">
        <v>64</v>
      </c>
      <c r="J68" s="1">
        <f t="shared" si="1"/>
        <v>135.5</v>
      </c>
      <c r="K68" s="1">
        <f t="shared" si="2"/>
        <v>1</v>
      </c>
      <c r="M68"/>
      <c r="N68"/>
      <c r="O68"/>
      <c r="P68"/>
      <c r="Q68"/>
    </row>
    <row r="69" spans="8:17" x14ac:dyDescent="0.4">
      <c r="H69" s="8">
        <f t="shared" ref="H69:H132" si="13">J69</f>
        <v>137</v>
      </c>
      <c r="I69" s="1">
        <v>65</v>
      </c>
      <c r="J69" s="1">
        <f t="shared" si="1"/>
        <v>137</v>
      </c>
      <c r="K69" s="1">
        <f t="shared" si="2"/>
        <v>1.5</v>
      </c>
      <c r="M69"/>
      <c r="N69"/>
      <c r="O69"/>
      <c r="P69"/>
      <c r="Q69"/>
    </row>
    <row r="70" spans="8:17" x14ac:dyDescent="0.4">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4">
      <c r="H71" s="8">
        <f t="shared" si="13"/>
        <v>139.5</v>
      </c>
      <c r="I71" s="1">
        <v>67</v>
      </c>
      <c r="J71" s="1">
        <f t="shared" si="14"/>
        <v>139.5</v>
      </c>
      <c r="K71" s="1">
        <f t="shared" si="15"/>
        <v>1.5</v>
      </c>
      <c r="M71"/>
      <c r="N71"/>
      <c r="O71"/>
      <c r="P71"/>
      <c r="Q71"/>
    </row>
    <row r="72" spans="8:17" x14ac:dyDescent="0.4">
      <c r="H72" s="8">
        <f t="shared" si="13"/>
        <v>141</v>
      </c>
      <c r="I72" s="1">
        <v>68</v>
      </c>
      <c r="J72" s="1">
        <f t="shared" si="14"/>
        <v>141</v>
      </c>
      <c r="K72" s="1">
        <f t="shared" si="15"/>
        <v>1.5</v>
      </c>
      <c r="M72"/>
      <c r="N72"/>
      <c r="O72"/>
      <c r="P72"/>
      <c r="Q72"/>
    </row>
    <row r="73" spans="8:17" x14ac:dyDescent="0.4">
      <c r="H73" s="8">
        <f t="shared" si="13"/>
        <v>142</v>
      </c>
      <c r="I73" s="1">
        <v>69</v>
      </c>
      <c r="J73" s="1">
        <f t="shared" si="14"/>
        <v>142</v>
      </c>
      <c r="K73" s="1">
        <f t="shared" si="15"/>
        <v>1</v>
      </c>
      <c r="M73"/>
      <c r="N73"/>
      <c r="O73"/>
      <c r="P73"/>
      <c r="Q73"/>
    </row>
    <row r="74" spans="8:17" x14ac:dyDescent="0.4">
      <c r="H74" s="8">
        <f t="shared" si="13"/>
        <v>143</v>
      </c>
      <c r="I74" s="1">
        <v>70</v>
      </c>
      <c r="J74" s="1">
        <f t="shared" si="14"/>
        <v>143</v>
      </c>
      <c r="K74" s="1">
        <f t="shared" si="15"/>
        <v>1</v>
      </c>
      <c r="M74"/>
      <c r="N74"/>
      <c r="O74"/>
      <c r="P74"/>
      <c r="Q74"/>
    </row>
    <row r="75" spans="8:17" x14ac:dyDescent="0.4">
      <c r="H75" s="8">
        <f t="shared" si="13"/>
        <v>144</v>
      </c>
      <c r="I75" s="1">
        <v>71</v>
      </c>
      <c r="J75" s="1">
        <f t="shared" si="14"/>
        <v>144</v>
      </c>
      <c r="K75" s="1">
        <f t="shared" si="15"/>
        <v>1</v>
      </c>
      <c r="M75"/>
      <c r="N75"/>
      <c r="O75"/>
      <c r="P75"/>
      <c r="Q75"/>
    </row>
    <row r="76" spans="8:17" x14ac:dyDescent="0.4">
      <c r="H76" s="8">
        <f t="shared" si="13"/>
        <v>145</v>
      </c>
      <c r="I76" s="1">
        <v>72</v>
      </c>
      <c r="J76" s="1">
        <f t="shared" si="14"/>
        <v>145</v>
      </c>
      <c r="K76" s="1">
        <f t="shared" si="15"/>
        <v>1</v>
      </c>
      <c r="M76"/>
      <c r="N76"/>
      <c r="O76"/>
      <c r="P76"/>
      <c r="Q76"/>
    </row>
    <row r="77" spans="8:17" x14ac:dyDescent="0.4">
      <c r="H77" s="8">
        <f t="shared" si="13"/>
        <v>146</v>
      </c>
      <c r="I77" s="1">
        <v>73</v>
      </c>
      <c r="J77" s="1">
        <f t="shared" si="14"/>
        <v>146</v>
      </c>
      <c r="K77" s="1">
        <f t="shared" si="15"/>
        <v>1</v>
      </c>
      <c r="M77"/>
      <c r="N77"/>
      <c r="O77"/>
      <c r="P77"/>
      <c r="Q77"/>
    </row>
    <row r="78" spans="8:17" x14ac:dyDescent="0.4">
      <c r="H78" s="8">
        <f t="shared" si="13"/>
        <v>147</v>
      </c>
      <c r="I78" s="1">
        <v>74</v>
      </c>
      <c r="J78" s="1">
        <f t="shared" si="14"/>
        <v>147</v>
      </c>
      <c r="K78" s="1">
        <f t="shared" si="15"/>
        <v>1</v>
      </c>
      <c r="M78"/>
      <c r="N78"/>
      <c r="O78"/>
      <c r="P78"/>
      <c r="Q78"/>
    </row>
    <row r="79" spans="8:17" x14ac:dyDescent="0.4">
      <c r="H79" s="8">
        <f t="shared" si="13"/>
        <v>148</v>
      </c>
      <c r="I79" s="1">
        <v>75</v>
      </c>
      <c r="J79" s="1">
        <f t="shared" si="14"/>
        <v>148</v>
      </c>
      <c r="K79" s="1">
        <f t="shared" si="15"/>
        <v>1</v>
      </c>
      <c r="M79"/>
      <c r="N79"/>
      <c r="O79"/>
      <c r="P79"/>
      <c r="Q79"/>
    </row>
    <row r="80" spans="8:17" x14ac:dyDescent="0.4">
      <c r="H80" s="8">
        <f t="shared" si="13"/>
        <v>149.5</v>
      </c>
      <c r="I80" s="1">
        <v>76</v>
      </c>
      <c r="J80" s="1">
        <f t="shared" si="14"/>
        <v>149.5</v>
      </c>
      <c r="K80" s="1">
        <f t="shared" si="15"/>
        <v>1.5</v>
      </c>
      <c r="M80"/>
      <c r="N80"/>
      <c r="O80"/>
      <c r="P80"/>
      <c r="Q80"/>
    </row>
    <row r="81" spans="8:17" x14ac:dyDescent="0.4">
      <c r="H81" s="8">
        <f t="shared" si="13"/>
        <v>150.5</v>
      </c>
      <c r="I81" s="1">
        <v>77</v>
      </c>
      <c r="J81" s="1">
        <f t="shared" si="14"/>
        <v>150.5</v>
      </c>
      <c r="K81" s="1">
        <f t="shared" si="15"/>
        <v>1</v>
      </c>
      <c r="M81"/>
      <c r="N81"/>
      <c r="O81"/>
      <c r="P81"/>
      <c r="Q81"/>
    </row>
    <row r="82" spans="8:17" x14ac:dyDescent="0.4">
      <c r="H82" s="8">
        <f t="shared" si="13"/>
        <v>151.5</v>
      </c>
      <c r="I82" s="1">
        <v>78</v>
      </c>
      <c r="J82" s="1">
        <f t="shared" si="14"/>
        <v>151.5</v>
      </c>
      <c r="K82" s="1">
        <f t="shared" si="15"/>
        <v>1</v>
      </c>
      <c r="M82"/>
      <c r="N82"/>
      <c r="O82"/>
      <c r="P82"/>
      <c r="Q82"/>
    </row>
    <row r="83" spans="8:17" x14ac:dyDescent="0.4">
      <c r="H83" s="8">
        <f t="shared" si="13"/>
        <v>152.5</v>
      </c>
      <c r="I83" s="1">
        <v>79</v>
      </c>
      <c r="J83" s="1">
        <f t="shared" si="14"/>
        <v>152.5</v>
      </c>
      <c r="K83" s="1">
        <f t="shared" si="15"/>
        <v>1</v>
      </c>
      <c r="M83"/>
      <c r="N83"/>
      <c r="O83"/>
      <c r="P83"/>
      <c r="Q83"/>
    </row>
    <row r="84" spans="8:17" x14ac:dyDescent="0.4">
      <c r="H84" s="8">
        <f t="shared" si="13"/>
        <v>153.5</v>
      </c>
      <c r="I84" s="1">
        <v>80</v>
      </c>
      <c r="J84" s="1">
        <f t="shared" si="14"/>
        <v>153.5</v>
      </c>
      <c r="K84" s="1">
        <f t="shared" si="15"/>
        <v>1</v>
      </c>
      <c r="M84"/>
      <c r="N84"/>
      <c r="O84"/>
      <c r="P84"/>
      <c r="Q84"/>
    </row>
    <row r="85" spans="8:17" x14ac:dyDescent="0.4">
      <c r="H85" s="8">
        <f t="shared" si="13"/>
        <v>154.5</v>
      </c>
      <c r="I85" s="1">
        <v>81</v>
      </c>
      <c r="J85" s="1">
        <f t="shared" si="14"/>
        <v>154.5</v>
      </c>
      <c r="K85" s="1">
        <f t="shared" si="15"/>
        <v>1</v>
      </c>
      <c r="M85"/>
      <c r="N85"/>
      <c r="O85"/>
      <c r="P85"/>
      <c r="Q85"/>
    </row>
    <row r="86" spans="8:17" x14ac:dyDescent="0.4">
      <c r="H86" s="8">
        <f t="shared" si="13"/>
        <v>155.5</v>
      </c>
      <c r="I86" s="1">
        <v>82</v>
      </c>
      <c r="J86" s="1">
        <f t="shared" si="14"/>
        <v>155.5</v>
      </c>
      <c r="K86" s="1">
        <f t="shared" si="15"/>
        <v>1</v>
      </c>
      <c r="M86"/>
      <c r="N86"/>
      <c r="O86"/>
      <c r="P86"/>
      <c r="Q86"/>
    </row>
    <row r="87" spans="8:17" x14ac:dyDescent="0.4">
      <c r="H87" s="8">
        <f t="shared" si="13"/>
        <v>156.5</v>
      </c>
      <c r="I87" s="1">
        <v>83</v>
      </c>
      <c r="J87" s="1">
        <f t="shared" si="14"/>
        <v>156.5</v>
      </c>
      <c r="K87" s="1">
        <f t="shared" si="15"/>
        <v>1</v>
      </c>
      <c r="M87"/>
      <c r="N87"/>
      <c r="O87"/>
      <c r="P87"/>
      <c r="Q87"/>
    </row>
    <row r="88" spans="8:17" x14ac:dyDescent="0.4">
      <c r="H88" s="8">
        <f t="shared" si="13"/>
        <v>157.5</v>
      </c>
      <c r="I88" s="1">
        <v>84</v>
      </c>
      <c r="J88" s="1">
        <f t="shared" si="14"/>
        <v>157.5</v>
      </c>
      <c r="K88" s="1">
        <f t="shared" si="15"/>
        <v>1</v>
      </c>
      <c r="M88"/>
      <c r="N88"/>
      <c r="O88"/>
      <c r="P88"/>
      <c r="Q88"/>
    </row>
    <row r="89" spans="8:17" x14ac:dyDescent="0.4">
      <c r="H89" s="8">
        <f t="shared" si="13"/>
        <v>158</v>
      </c>
      <c r="I89" s="1">
        <v>85</v>
      </c>
      <c r="J89" s="1">
        <f t="shared" si="14"/>
        <v>158</v>
      </c>
      <c r="K89" s="1">
        <f t="shared" si="15"/>
        <v>0.5</v>
      </c>
      <c r="M89"/>
      <c r="N89"/>
      <c r="O89"/>
      <c r="P89"/>
      <c r="Q89"/>
    </row>
    <row r="90" spans="8:17" x14ac:dyDescent="0.4">
      <c r="H90" s="8">
        <f t="shared" si="13"/>
        <v>159</v>
      </c>
      <c r="I90" s="1">
        <v>86</v>
      </c>
      <c r="J90" s="1">
        <f t="shared" si="14"/>
        <v>159</v>
      </c>
      <c r="K90" s="1">
        <f t="shared" si="15"/>
        <v>1</v>
      </c>
      <c r="M90"/>
      <c r="N90"/>
      <c r="O90"/>
      <c r="P90"/>
      <c r="Q90"/>
    </row>
    <row r="91" spans="8:17" x14ac:dyDescent="0.4">
      <c r="H91" s="8">
        <f t="shared" si="13"/>
        <v>160</v>
      </c>
      <c r="I91" s="1">
        <v>87</v>
      </c>
      <c r="J91" s="1">
        <f t="shared" si="14"/>
        <v>160</v>
      </c>
      <c r="K91" s="1">
        <f t="shared" si="15"/>
        <v>1</v>
      </c>
      <c r="M91"/>
      <c r="N91"/>
      <c r="O91"/>
      <c r="P91"/>
      <c r="Q91"/>
    </row>
    <row r="92" spans="8:17" x14ac:dyDescent="0.4">
      <c r="H92" s="8">
        <f t="shared" si="13"/>
        <v>161.25</v>
      </c>
      <c r="I92" s="1">
        <v>88</v>
      </c>
      <c r="J92" s="1">
        <f t="shared" si="14"/>
        <v>161.25</v>
      </c>
      <c r="K92" s="1">
        <f t="shared" si="15"/>
        <v>1.25</v>
      </c>
      <c r="M92"/>
      <c r="N92"/>
      <c r="O92"/>
      <c r="P92"/>
      <c r="Q92"/>
    </row>
    <row r="93" spans="8:17" x14ac:dyDescent="0.4">
      <c r="H93" s="8">
        <f t="shared" si="13"/>
        <v>162.25</v>
      </c>
      <c r="I93" s="1">
        <v>89</v>
      </c>
      <c r="J93" s="1">
        <f t="shared" si="14"/>
        <v>162.25</v>
      </c>
      <c r="K93" s="1">
        <f t="shared" si="15"/>
        <v>1</v>
      </c>
      <c r="M93"/>
      <c r="N93"/>
      <c r="O93"/>
      <c r="P93"/>
      <c r="Q93"/>
    </row>
    <row r="94" spans="8:17" x14ac:dyDescent="0.4">
      <c r="H94" s="8">
        <f t="shared" si="13"/>
        <v>163.25</v>
      </c>
      <c r="I94" s="1">
        <v>90</v>
      </c>
      <c r="J94" s="1">
        <f t="shared" si="14"/>
        <v>163.25</v>
      </c>
      <c r="K94" s="1">
        <f t="shared" si="15"/>
        <v>1</v>
      </c>
      <c r="M94"/>
      <c r="N94"/>
      <c r="O94"/>
      <c r="P94"/>
      <c r="Q94"/>
    </row>
    <row r="95" spans="8:17" x14ac:dyDescent="0.4">
      <c r="H95" s="8">
        <f t="shared" si="13"/>
        <v>164.25</v>
      </c>
      <c r="I95" s="1">
        <v>91</v>
      </c>
      <c r="J95" s="1">
        <f t="shared" si="14"/>
        <v>164.25</v>
      </c>
      <c r="K95" s="1">
        <f t="shared" si="15"/>
        <v>1</v>
      </c>
      <c r="M95"/>
      <c r="N95"/>
      <c r="O95"/>
      <c r="P95"/>
      <c r="Q95"/>
    </row>
    <row r="96" spans="8:17" x14ac:dyDescent="0.4">
      <c r="H96" s="8">
        <f t="shared" si="13"/>
        <v>165.25</v>
      </c>
      <c r="I96" s="1">
        <v>92</v>
      </c>
      <c r="J96" s="1">
        <f t="shared" si="14"/>
        <v>165.25</v>
      </c>
      <c r="K96" s="1">
        <f t="shared" si="15"/>
        <v>1</v>
      </c>
      <c r="M96"/>
      <c r="N96"/>
      <c r="O96"/>
      <c r="P96"/>
      <c r="Q96"/>
    </row>
    <row r="97" spans="8:17" x14ac:dyDescent="0.4">
      <c r="H97" s="8">
        <f t="shared" si="13"/>
        <v>166.25</v>
      </c>
      <c r="I97" s="1">
        <v>93</v>
      </c>
      <c r="J97" s="1">
        <f t="shared" si="14"/>
        <v>166.25</v>
      </c>
      <c r="K97" s="1">
        <f t="shared" si="15"/>
        <v>1</v>
      </c>
      <c r="M97"/>
      <c r="N97"/>
      <c r="O97"/>
      <c r="P97"/>
      <c r="Q97"/>
    </row>
    <row r="98" spans="8:17" x14ac:dyDescent="0.4">
      <c r="H98" s="8">
        <f t="shared" si="13"/>
        <v>167.25</v>
      </c>
      <c r="I98" s="1">
        <v>94</v>
      </c>
      <c r="J98" s="1">
        <f t="shared" si="14"/>
        <v>167.25</v>
      </c>
      <c r="K98" s="1">
        <f t="shared" si="15"/>
        <v>1</v>
      </c>
      <c r="M98"/>
      <c r="N98"/>
      <c r="O98"/>
      <c r="P98"/>
      <c r="Q98"/>
    </row>
    <row r="99" spans="8:17" x14ac:dyDescent="0.4">
      <c r="H99" s="8">
        <f t="shared" si="13"/>
        <v>168</v>
      </c>
      <c r="I99" s="1">
        <v>95</v>
      </c>
      <c r="J99" s="1">
        <f t="shared" si="14"/>
        <v>168</v>
      </c>
      <c r="K99" s="1">
        <f t="shared" si="15"/>
        <v>0.75</v>
      </c>
      <c r="M99"/>
      <c r="N99"/>
      <c r="O99"/>
      <c r="P99"/>
      <c r="Q99"/>
    </row>
    <row r="100" spans="8:17" x14ac:dyDescent="0.4">
      <c r="H100" s="8">
        <f t="shared" si="13"/>
        <v>168.75</v>
      </c>
      <c r="I100" s="1">
        <v>96</v>
      </c>
      <c r="J100" s="1">
        <f t="shared" si="14"/>
        <v>168.75</v>
      </c>
      <c r="K100" s="1">
        <f t="shared" si="15"/>
        <v>0.75</v>
      </c>
      <c r="M100"/>
      <c r="N100"/>
      <c r="O100"/>
      <c r="P100"/>
      <c r="Q100"/>
    </row>
    <row r="101" spans="8:17" x14ac:dyDescent="0.4">
      <c r="H101" s="8">
        <f t="shared" si="13"/>
        <v>169.75</v>
      </c>
      <c r="I101" s="1">
        <v>97</v>
      </c>
      <c r="J101" s="1">
        <f t="shared" si="14"/>
        <v>169.75</v>
      </c>
      <c r="K101" s="1">
        <f t="shared" si="15"/>
        <v>1</v>
      </c>
      <c r="M101"/>
      <c r="N101"/>
      <c r="O101"/>
      <c r="P101"/>
      <c r="Q101"/>
    </row>
    <row r="102" spans="8:17" x14ac:dyDescent="0.4">
      <c r="H102" s="8">
        <f t="shared" si="13"/>
        <v>170.25</v>
      </c>
      <c r="I102" s="1">
        <v>98</v>
      </c>
      <c r="J102" s="1">
        <f t="shared" si="14"/>
        <v>170.25</v>
      </c>
      <c r="K102" s="1">
        <f t="shared" si="15"/>
        <v>0.5</v>
      </c>
      <c r="M102"/>
      <c r="N102"/>
      <c r="O102"/>
      <c r="P102"/>
      <c r="Q102"/>
    </row>
    <row r="103" spans="8:17" x14ac:dyDescent="0.4">
      <c r="H103" s="8">
        <f t="shared" si="13"/>
        <v>171.25</v>
      </c>
      <c r="I103" s="1">
        <v>99</v>
      </c>
      <c r="J103" s="1">
        <f t="shared" si="14"/>
        <v>171.25</v>
      </c>
      <c r="K103" s="1">
        <f t="shared" si="15"/>
        <v>1</v>
      </c>
      <c r="M103"/>
      <c r="N103"/>
      <c r="O103"/>
      <c r="P103"/>
      <c r="Q103"/>
    </row>
    <row r="104" spans="8:17" x14ac:dyDescent="0.4">
      <c r="H104" s="8">
        <f t="shared" si="13"/>
        <v>172</v>
      </c>
      <c r="I104" s="1">
        <v>100</v>
      </c>
      <c r="J104" s="1">
        <f t="shared" si="14"/>
        <v>172</v>
      </c>
      <c r="K104" s="1">
        <f t="shared" si="15"/>
        <v>0.75</v>
      </c>
      <c r="M104"/>
      <c r="N104"/>
      <c r="O104"/>
      <c r="P104"/>
      <c r="Q104"/>
    </row>
    <row r="105" spans="8:17" x14ac:dyDescent="0.4">
      <c r="H105" s="8">
        <f t="shared" si="13"/>
        <v>172.75</v>
      </c>
      <c r="I105" s="1">
        <v>101</v>
      </c>
      <c r="J105" s="1">
        <f t="shared" si="14"/>
        <v>172.75</v>
      </c>
      <c r="K105" s="1">
        <f t="shared" si="15"/>
        <v>0.75</v>
      </c>
      <c r="M105"/>
      <c r="N105"/>
      <c r="O105"/>
      <c r="P105"/>
      <c r="Q105"/>
    </row>
    <row r="106" spans="8:17" x14ac:dyDescent="0.4">
      <c r="H106" s="8">
        <f t="shared" si="13"/>
        <v>173.75</v>
      </c>
      <c r="I106" s="1">
        <v>102</v>
      </c>
      <c r="J106" s="1">
        <f t="shared" si="14"/>
        <v>173.75</v>
      </c>
      <c r="K106" s="1">
        <f t="shared" si="15"/>
        <v>1</v>
      </c>
      <c r="M106"/>
      <c r="N106"/>
      <c r="O106"/>
      <c r="P106"/>
      <c r="Q106"/>
    </row>
    <row r="107" spans="8:17" x14ac:dyDescent="0.4">
      <c r="H107" s="8">
        <f t="shared" si="13"/>
        <v>174.75</v>
      </c>
      <c r="I107" s="1">
        <v>103</v>
      </c>
      <c r="J107" s="1">
        <f t="shared" si="14"/>
        <v>174.75</v>
      </c>
      <c r="K107" s="1">
        <f t="shared" si="15"/>
        <v>1</v>
      </c>
      <c r="M107"/>
      <c r="N107"/>
      <c r="O107"/>
      <c r="P107"/>
      <c r="Q107"/>
    </row>
    <row r="108" spans="8:17" x14ac:dyDescent="0.4">
      <c r="H108" s="8">
        <f t="shared" si="13"/>
        <v>175.25</v>
      </c>
      <c r="I108" s="1">
        <v>104</v>
      </c>
      <c r="J108" s="1">
        <f t="shared" si="14"/>
        <v>175.25</v>
      </c>
      <c r="K108" s="1">
        <f t="shared" si="15"/>
        <v>0.5</v>
      </c>
      <c r="M108"/>
      <c r="N108"/>
      <c r="O108"/>
      <c r="P108"/>
      <c r="Q108"/>
    </row>
    <row r="109" spans="8:17" x14ac:dyDescent="0.4">
      <c r="H109" s="8">
        <f t="shared" si="13"/>
        <v>176</v>
      </c>
      <c r="I109" s="1">
        <v>105</v>
      </c>
      <c r="J109" s="1">
        <f t="shared" si="14"/>
        <v>176</v>
      </c>
      <c r="K109" s="1">
        <f t="shared" si="15"/>
        <v>0.75</v>
      </c>
      <c r="M109"/>
      <c r="N109"/>
      <c r="O109"/>
      <c r="P109"/>
      <c r="Q109"/>
    </row>
    <row r="110" spans="8:17" x14ac:dyDescent="0.4">
      <c r="H110" s="8">
        <f t="shared" si="13"/>
        <v>176.75</v>
      </c>
      <c r="I110" s="1">
        <v>106</v>
      </c>
      <c r="J110" s="1">
        <f t="shared" si="14"/>
        <v>176.75</v>
      </c>
      <c r="K110" s="1">
        <f t="shared" si="15"/>
        <v>0.75</v>
      </c>
      <c r="M110"/>
      <c r="N110"/>
      <c r="O110"/>
      <c r="P110"/>
      <c r="Q110"/>
    </row>
    <row r="111" spans="8:17" x14ac:dyDescent="0.4">
      <c r="H111" s="8">
        <f t="shared" si="13"/>
        <v>177.75</v>
      </c>
      <c r="I111" s="1">
        <v>107</v>
      </c>
      <c r="J111" s="1">
        <f t="shared" si="14"/>
        <v>177.75</v>
      </c>
      <c r="K111" s="1">
        <f t="shared" si="15"/>
        <v>1</v>
      </c>
      <c r="M111"/>
      <c r="N111"/>
      <c r="O111"/>
      <c r="P111"/>
      <c r="Q111"/>
    </row>
    <row r="112" spans="8:17" x14ac:dyDescent="0.4">
      <c r="H112" s="8">
        <f t="shared" si="13"/>
        <v>178.25</v>
      </c>
      <c r="I112" s="1">
        <v>108</v>
      </c>
      <c r="J112" s="1">
        <f t="shared" si="14"/>
        <v>178.25</v>
      </c>
      <c r="K112" s="1">
        <f t="shared" si="15"/>
        <v>0.5</v>
      </c>
      <c r="M112"/>
      <c r="N112"/>
      <c r="O112"/>
      <c r="P112"/>
      <c r="Q112"/>
    </row>
    <row r="113" spans="8:17" x14ac:dyDescent="0.4">
      <c r="H113" s="8">
        <f t="shared" si="13"/>
        <v>179</v>
      </c>
      <c r="I113" s="1">
        <v>109</v>
      </c>
      <c r="J113" s="1">
        <f t="shared" si="14"/>
        <v>179</v>
      </c>
      <c r="K113" s="1">
        <f t="shared" si="15"/>
        <v>0.75</v>
      </c>
      <c r="M113"/>
      <c r="N113"/>
      <c r="O113"/>
      <c r="P113"/>
      <c r="Q113"/>
    </row>
    <row r="114" spans="8:17" x14ac:dyDescent="0.4">
      <c r="H114" s="8">
        <f t="shared" si="13"/>
        <v>179.75</v>
      </c>
      <c r="I114" s="1">
        <v>110</v>
      </c>
      <c r="J114" s="1">
        <f t="shared" si="14"/>
        <v>179.75</v>
      </c>
      <c r="K114" s="1">
        <f t="shared" si="15"/>
        <v>0.75</v>
      </c>
      <c r="M114"/>
      <c r="N114"/>
      <c r="O114"/>
      <c r="P114"/>
      <c r="Q114"/>
    </row>
    <row r="115" spans="8:17" x14ac:dyDescent="0.4">
      <c r="H115" s="8">
        <f t="shared" si="13"/>
        <v>180.75</v>
      </c>
      <c r="I115" s="1">
        <v>111</v>
      </c>
      <c r="J115" s="1">
        <f t="shared" si="14"/>
        <v>180.75</v>
      </c>
      <c r="K115" s="1">
        <f t="shared" si="15"/>
        <v>1</v>
      </c>
      <c r="M115"/>
      <c r="N115"/>
      <c r="O115"/>
      <c r="P115"/>
      <c r="Q115"/>
    </row>
    <row r="116" spans="8:17" x14ac:dyDescent="0.4">
      <c r="H116" s="8">
        <f t="shared" si="13"/>
        <v>181.25</v>
      </c>
      <c r="I116" s="1">
        <v>112</v>
      </c>
      <c r="J116" s="1">
        <f t="shared" si="14"/>
        <v>181.25</v>
      </c>
      <c r="K116" s="1">
        <f t="shared" si="15"/>
        <v>0.5</v>
      </c>
      <c r="M116"/>
      <c r="N116"/>
      <c r="O116"/>
      <c r="P116"/>
      <c r="Q116"/>
    </row>
    <row r="117" spans="8:17" x14ac:dyDescent="0.4">
      <c r="H117" s="8">
        <f t="shared" si="13"/>
        <v>182</v>
      </c>
      <c r="I117" s="1">
        <v>113</v>
      </c>
      <c r="J117" s="1">
        <f t="shared" si="14"/>
        <v>182</v>
      </c>
      <c r="K117" s="1">
        <f t="shared" si="15"/>
        <v>0.75</v>
      </c>
      <c r="M117"/>
      <c r="N117"/>
      <c r="O117"/>
      <c r="P117"/>
      <c r="Q117"/>
    </row>
    <row r="118" spans="8:17" x14ac:dyDescent="0.4">
      <c r="H118" s="8">
        <f t="shared" si="13"/>
        <v>182.75</v>
      </c>
      <c r="I118" s="1">
        <v>114</v>
      </c>
      <c r="J118" s="1">
        <f t="shared" si="14"/>
        <v>182.75</v>
      </c>
      <c r="K118" s="1">
        <f t="shared" si="15"/>
        <v>0.75</v>
      </c>
      <c r="M118"/>
      <c r="N118"/>
      <c r="O118"/>
      <c r="P118"/>
      <c r="Q118"/>
    </row>
    <row r="119" spans="8:17" x14ac:dyDescent="0.4">
      <c r="H119" s="8">
        <f t="shared" si="13"/>
        <v>183.75</v>
      </c>
      <c r="I119" s="1">
        <v>115</v>
      </c>
      <c r="J119" s="1">
        <f t="shared" si="14"/>
        <v>183.75</v>
      </c>
      <c r="K119" s="1">
        <f t="shared" si="15"/>
        <v>1</v>
      </c>
      <c r="M119"/>
      <c r="N119"/>
      <c r="O119"/>
      <c r="P119"/>
      <c r="Q119"/>
    </row>
    <row r="120" spans="8:17" x14ac:dyDescent="0.4">
      <c r="H120" s="8">
        <f t="shared" si="13"/>
        <v>184.25</v>
      </c>
      <c r="I120" s="1">
        <v>116</v>
      </c>
      <c r="J120" s="1">
        <f t="shared" si="14"/>
        <v>184.25</v>
      </c>
      <c r="K120" s="1">
        <f t="shared" si="15"/>
        <v>0.5</v>
      </c>
      <c r="M120"/>
      <c r="N120"/>
      <c r="O120"/>
      <c r="P120"/>
      <c r="Q120"/>
    </row>
    <row r="121" spans="8:17" x14ac:dyDescent="0.4">
      <c r="H121" s="8">
        <f t="shared" si="13"/>
        <v>185.25</v>
      </c>
      <c r="I121" s="1">
        <v>117</v>
      </c>
      <c r="J121" s="1">
        <f t="shared" si="14"/>
        <v>185.25</v>
      </c>
      <c r="K121" s="1">
        <f t="shared" si="15"/>
        <v>1</v>
      </c>
      <c r="M121"/>
      <c r="N121"/>
      <c r="O121"/>
      <c r="P121"/>
      <c r="Q121"/>
    </row>
    <row r="122" spans="8:17" x14ac:dyDescent="0.4">
      <c r="H122" s="8">
        <f t="shared" si="13"/>
        <v>186</v>
      </c>
      <c r="I122" s="1">
        <v>118</v>
      </c>
      <c r="J122" s="1">
        <f t="shared" si="14"/>
        <v>186</v>
      </c>
      <c r="K122" s="1">
        <f t="shared" si="15"/>
        <v>0.75</v>
      </c>
      <c r="M122"/>
      <c r="N122"/>
      <c r="O122"/>
      <c r="P122"/>
      <c r="Q122"/>
    </row>
    <row r="123" spans="8:17" x14ac:dyDescent="0.4">
      <c r="H123" s="8">
        <f t="shared" si="13"/>
        <v>186.75</v>
      </c>
      <c r="I123" s="1">
        <v>119</v>
      </c>
      <c r="J123" s="1">
        <f t="shared" si="14"/>
        <v>186.75</v>
      </c>
      <c r="K123" s="1">
        <f t="shared" si="15"/>
        <v>0.75</v>
      </c>
      <c r="M123"/>
      <c r="N123"/>
      <c r="O123"/>
      <c r="P123"/>
      <c r="Q123"/>
    </row>
    <row r="124" spans="8:17" x14ac:dyDescent="0.4">
      <c r="H124" s="8">
        <f t="shared" si="13"/>
        <v>187.25</v>
      </c>
      <c r="I124" s="1">
        <v>120</v>
      </c>
      <c r="J124" s="1">
        <f t="shared" si="14"/>
        <v>187.25</v>
      </c>
      <c r="K124" s="1">
        <f t="shared" si="15"/>
        <v>0.5</v>
      </c>
      <c r="M124"/>
      <c r="N124"/>
      <c r="O124"/>
      <c r="P124"/>
      <c r="Q124"/>
    </row>
    <row r="125" spans="8:17" x14ac:dyDescent="0.4">
      <c r="H125" s="8">
        <f t="shared" si="13"/>
        <v>188</v>
      </c>
      <c r="I125" s="1">
        <v>121</v>
      </c>
      <c r="J125" s="1">
        <f t="shared" si="14"/>
        <v>188</v>
      </c>
      <c r="K125" s="1">
        <f t="shared" si="15"/>
        <v>0.75</v>
      </c>
      <c r="M125"/>
      <c r="N125"/>
      <c r="O125"/>
      <c r="P125"/>
      <c r="Q125"/>
    </row>
    <row r="126" spans="8:17" x14ac:dyDescent="0.4">
      <c r="H126" s="8">
        <f t="shared" si="13"/>
        <v>188.75</v>
      </c>
      <c r="I126" s="1">
        <v>122</v>
      </c>
      <c r="J126" s="1">
        <f t="shared" si="14"/>
        <v>188.75</v>
      </c>
      <c r="K126" s="1">
        <f t="shared" si="15"/>
        <v>0.75</v>
      </c>
      <c r="M126"/>
      <c r="N126"/>
      <c r="O126"/>
      <c r="P126"/>
      <c r="Q126"/>
    </row>
    <row r="127" spans="8:17" x14ac:dyDescent="0.4">
      <c r="H127" s="8">
        <f t="shared" si="13"/>
        <v>189.25</v>
      </c>
      <c r="I127" s="1">
        <v>123</v>
      </c>
      <c r="J127" s="1">
        <f t="shared" si="14"/>
        <v>189.25</v>
      </c>
      <c r="K127" s="1">
        <f t="shared" si="15"/>
        <v>0.5</v>
      </c>
      <c r="M127"/>
      <c r="N127"/>
      <c r="O127"/>
      <c r="P127"/>
      <c r="Q127"/>
    </row>
    <row r="128" spans="8:17" x14ac:dyDescent="0.4">
      <c r="H128" s="8">
        <f t="shared" si="13"/>
        <v>190</v>
      </c>
      <c r="I128" s="1">
        <v>124</v>
      </c>
      <c r="J128" s="1">
        <f t="shared" si="14"/>
        <v>190</v>
      </c>
      <c r="K128" s="1">
        <f t="shared" si="15"/>
        <v>0.75</v>
      </c>
      <c r="M128"/>
      <c r="N128"/>
      <c r="O128"/>
      <c r="P128"/>
      <c r="Q128"/>
    </row>
    <row r="129" spans="8:17" x14ac:dyDescent="0.4">
      <c r="H129" s="8">
        <f t="shared" si="13"/>
        <v>190.75</v>
      </c>
      <c r="I129" s="1">
        <v>125</v>
      </c>
      <c r="J129" s="1">
        <f t="shared" si="14"/>
        <v>190.75</v>
      </c>
      <c r="K129" s="1">
        <f t="shared" si="15"/>
        <v>0.75</v>
      </c>
      <c r="M129"/>
      <c r="N129"/>
      <c r="O129"/>
      <c r="P129"/>
      <c r="Q129"/>
    </row>
    <row r="130" spans="8:17" x14ac:dyDescent="0.4">
      <c r="H130" s="8">
        <f t="shared" si="13"/>
        <v>191.25</v>
      </c>
      <c r="I130" s="1">
        <v>126</v>
      </c>
      <c r="J130" s="1">
        <f t="shared" si="14"/>
        <v>191.25</v>
      </c>
      <c r="K130" s="1">
        <f t="shared" si="15"/>
        <v>0.5</v>
      </c>
      <c r="M130"/>
      <c r="N130"/>
      <c r="O130"/>
      <c r="P130"/>
      <c r="Q130"/>
    </row>
    <row r="131" spans="8:17" x14ac:dyDescent="0.4">
      <c r="H131" s="8">
        <f t="shared" si="13"/>
        <v>192</v>
      </c>
      <c r="I131" s="1">
        <v>127</v>
      </c>
      <c r="J131" s="1">
        <f t="shared" si="14"/>
        <v>192</v>
      </c>
      <c r="K131" s="1">
        <f t="shared" si="15"/>
        <v>0.75</v>
      </c>
      <c r="M131"/>
      <c r="N131"/>
      <c r="O131"/>
      <c r="P131"/>
      <c r="Q131"/>
    </row>
    <row r="132" spans="8:17" x14ac:dyDescent="0.4">
      <c r="H132" s="8">
        <f t="shared" si="13"/>
        <v>192.75</v>
      </c>
      <c r="I132" s="1">
        <v>128</v>
      </c>
      <c r="J132" s="1">
        <f t="shared" si="14"/>
        <v>192.75</v>
      </c>
      <c r="K132" s="1">
        <f t="shared" si="15"/>
        <v>0.75</v>
      </c>
      <c r="M132"/>
      <c r="N132"/>
      <c r="O132"/>
      <c r="P132"/>
      <c r="Q132"/>
    </row>
    <row r="133" spans="8:17" x14ac:dyDescent="0.4">
      <c r="H133" s="8">
        <f t="shared" ref="H133:H196" si="16">J133</f>
        <v>193.25</v>
      </c>
      <c r="I133" s="1">
        <v>129</v>
      </c>
      <c r="J133" s="1">
        <f t="shared" si="14"/>
        <v>193.25</v>
      </c>
      <c r="K133" s="1">
        <f t="shared" si="15"/>
        <v>0.5</v>
      </c>
      <c r="M133"/>
      <c r="N133"/>
      <c r="O133"/>
      <c r="P133"/>
      <c r="Q133"/>
    </row>
    <row r="134" spans="8:17" x14ac:dyDescent="0.4">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4">
      <c r="H135" s="8">
        <f t="shared" si="16"/>
        <v>194.75</v>
      </c>
      <c r="I135" s="1">
        <v>131</v>
      </c>
      <c r="J135" s="1">
        <f t="shared" si="17"/>
        <v>194.75</v>
      </c>
      <c r="K135" s="1">
        <f t="shared" si="18"/>
        <v>0.75</v>
      </c>
      <c r="M135"/>
      <c r="N135"/>
      <c r="O135"/>
      <c r="P135"/>
      <c r="Q135"/>
    </row>
    <row r="136" spans="8:17" x14ac:dyDescent="0.4">
      <c r="H136" s="8">
        <f t="shared" si="16"/>
        <v>195.25</v>
      </c>
      <c r="I136" s="1">
        <v>132</v>
      </c>
      <c r="J136" s="1">
        <f t="shared" si="17"/>
        <v>195.25</v>
      </c>
      <c r="K136" s="1">
        <f t="shared" si="18"/>
        <v>0.5</v>
      </c>
      <c r="M136"/>
      <c r="N136"/>
      <c r="O136"/>
      <c r="P136"/>
      <c r="Q136"/>
    </row>
    <row r="137" spans="8:17" x14ac:dyDescent="0.4">
      <c r="H137" s="8">
        <f t="shared" si="16"/>
        <v>196</v>
      </c>
      <c r="I137" s="1">
        <v>133</v>
      </c>
      <c r="J137" s="1">
        <f t="shared" si="17"/>
        <v>196</v>
      </c>
      <c r="K137" s="1">
        <f t="shared" si="18"/>
        <v>0.75</v>
      </c>
      <c r="M137"/>
      <c r="N137"/>
      <c r="O137"/>
      <c r="P137"/>
      <c r="Q137"/>
    </row>
    <row r="138" spans="8:17" x14ac:dyDescent="0.4">
      <c r="H138" s="8">
        <f t="shared" si="16"/>
        <v>196.75</v>
      </c>
      <c r="I138" s="1">
        <v>134</v>
      </c>
      <c r="J138" s="1">
        <f t="shared" si="17"/>
        <v>196.75</v>
      </c>
      <c r="K138" s="1">
        <f t="shared" si="18"/>
        <v>0.75</v>
      </c>
      <c r="M138"/>
      <c r="N138"/>
      <c r="O138"/>
      <c r="P138"/>
      <c r="Q138"/>
    </row>
    <row r="139" spans="8:17" x14ac:dyDescent="0.4">
      <c r="H139" s="8">
        <f t="shared" si="16"/>
        <v>197.25</v>
      </c>
      <c r="I139" s="1">
        <v>135</v>
      </c>
      <c r="J139" s="1">
        <f t="shared" si="17"/>
        <v>197.25</v>
      </c>
      <c r="K139" s="1">
        <f t="shared" si="18"/>
        <v>0.5</v>
      </c>
      <c r="M139"/>
      <c r="N139"/>
      <c r="O139"/>
      <c r="P139"/>
      <c r="Q139"/>
    </row>
    <row r="140" spans="8:17" x14ac:dyDescent="0.4">
      <c r="H140" s="8">
        <f t="shared" si="16"/>
        <v>198</v>
      </c>
      <c r="I140" s="1">
        <v>136</v>
      </c>
      <c r="J140" s="1">
        <f t="shared" si="17"/>
        <v>198</v>
      </c>
      <c r="K140" s="1">
        <f t="shared" si="18"/>
        <v>0.75</v>
      </c>
      <c r="M140"/>
      <c r="N140"/>
      <c r="O140"/>
      <c r="P140"/>
      <c r="Q140"/>
    </row>
    <row r="141" spans="8:17" x14ac:dyDescent="0.4">
      <c r="H141" s="8">
        <f t="shared" si="16"/>
        <v>198.75</v>
      </c>
      <c r="I141" s="1">
        <v>137</v>
      </c>
      <c r="J141" s="1">
        <f t="shared" si="17"/>
        <v>198.75</v>
      </c>
      <c r="K141" s="1">
        <f t="shared" si="18"/>
        <v>0.75</v>
      </c>
      <c r="M141"/>
      <c r="N141"/>
      <c r="O141"/>
      <c r="P141"/>
      <c r="Q141"/>
    </row>
    <row r="142" spans="8:17" x14ac:dyDescent="0.4">
      <c r="H142" s="8">
        <f t="shared" si="16"/>
        <v>199.25</v>
      </c>
      <c r="I142" s="1">
        <v>138</v>
      </c>
      <c r="J142" s="1">
        <f t="shared" si="17"/>
        <v>199.25</v>
      </c>
      <c r="K142" s="1">
        <f t="shared" si="18"/>
        <v>0.5</v>
      </c>
      <c r="M142"/>
      <c r="N142"/>
      <c r="O142"/>
      <c r="P142"/>
      <c r="Q142"/>
    </row>
    <row r="143" spans="8:17" x14ac:dyDescent="0.4">
      <c r="H143" s="8">
        <f t="shared" si="16"/>
        <v>200</v>
      </c>
      <c r="I143" s="1">
        <v>139</v>
      </c>
      <c r="J143" s="1">
        <f t="shared" si="17"/>
        <v>200</v>
      </c>
      <c r="K143" s="1">
        <f t="shared" si="18"/>
        <v>0.75</v>
      </c>
      <c r="M143"/>
      <c r="N143"/>
      <c r="O143"/>
      <c r="P143"/>
      <c r="Q143"/>
    </row>
    <row r="144" spans="8:17" x14ac:dyDescent="0.4">
      <c r="H144" s="8">
        <f t="shared" si="16"/>
        <v>200.75</v>
      </c>
      <c r="I144" s="1">
        <v>140</v>
      </c>
      <c r="J144" s="1">
        <f t="shared" si="17"/>
        <v>200.75</v>
      </c>
      <c r="K144" s="1">
        <f t="shared" si="18"/>
        <v>0.75</v>
      </c>
      <c r="M144"/>
      <c r="N144"/>
      <c r="O144"/>
      <c r="P144"/>
      <c r="Q144"/>
    </row>
    <row r="145" spans="8:17" x14ac:dyDescent="0.4">
      <c r="H145" s="8">
        <f t="shared" si="16"/>
        <v>201.25</v>
      </c>
      <c r="I145" s="1">
        <v>141</v>
      </c>
      <c r="J145" s="1">
        <f t="shared" si="17"/>
        <v>201.25</v>
      </c>
      <c r="K145" s="1">
        <f t="shared" si="18"/>
        <v>0.5</v>
      </c>
      <c r="M145"/>
      <c r="N145"/>
      <c r="O145"/>
      <c r="P145"/>
      <c r="Q145"/>
    </row>
    <row r="146" spans="8:17" x14ac:dyDescent="0.4">
      <c r="H146" s="8">
        <f t="shared" si="16"/>
        <v>202</v>
      </c>
      <c r="I146" s="1">
        <v>142</v>
      </c>
      <c r="J146" s="1">
        <f t="shared" si="17"/>
        <v>202</v>
      </c>
      <c r="K146" s="1">
        <f t="shared" si="18"/>
        <v>0.75</v>
      </c>
      <c r="M146"/>
      <c r="N146"/>
      <c r="O146"/>
      <c r="P146"/>
      <c r="Q146"/>
    </row>
    <row r="147" spans="8:17" x14ac:dyDescent="0.4">
      <c r="H147" s="8">
        <f t="shared" si="16"/>
        <v>202.75</v>
      </c>
      <c r="I147" s="1">
        <v>143</v>
      </c>
      <c r="J147" s="1">
        <f t="shared" si="17"/>
        <v>202.75</v>
      </c>
      <c r="K147" s="1">
        <f t="shared" si="18"/>
        <v>0.75</v>
      </c>
      <c r="M147"/>
      <c r="N147"/>
      <c r="O147"/>
      <c r="P147"/>
      <c r="Q147"/>
    </row>
    <row r="148" spans="8:17" x14ac:dyDescent="0.4">
      <c r="H148" s="8">
        <f t="shared" si="16"/>
        <v>203.25</v>
      </c>
      <c r="I148" s="1">
        <v>144</v>
      </c>
      <c r="J148" s="1">
        <f t="shared" si="17"/>
        <v>203.25</v>
      </c>
      <c r="K148" s="1">
        <f t="shared" si="18"/>
        <v>0.5</v>
      </c>
      <c r="M148"/>
      <c r="N148"/>
      <c r="O148"/>
      <c r="P148"/>
      <c r="Q148"/>
    </row>
    <row r="149" spans="8:17" x14ac:dyDescent="0.4">
      <c r="H149" s="8">
        <f t="shared" si="16"/>
        <v>204</v>
      </c>
      <c r="I149" s="1">
        <v>145</v>
      </c>
      <c r="J149" s="1">
        <f t="shared" si="17"/>
        <v>204</v>
      </c>
      <c r="K149" s="1">
        <f t="shared" si="18"/>
        <v>0.75</v>
      </c>
      <c r="M149"/>
      <c r="N149"/>
      <c r="O149"/>
      <c r="P149"/>
      <c r="Q149"/>
    </row>
    <row r="150" spans="8:17" x14ac:dyDescent="0.4">
      <c r="H150" s="8">
        <f t="shared" si="16"/>
        <v>204.75</v>
      </c>
      <c r="I150" s="1">
        <v>146</v>
      </c>
      <c r="J150" s="1">
        <f t="shared" si="17"/>
        <v>204.75</v>
      </c>
      <c r="K150" s="1">
        <f t="shared" si="18"/>
        <v>0.75</v>
      </c>
      <c r="M150"/>
      <c r="N150"/>
      <c r="O150"/>
      <c r="P150"/>
      <c r="Q150"/>
    </row>
    <row r="151" spans="8:17" x14ac:dyDescent="0.4">
      <c r="H151" s="8">
        <f t="shared" si="16"/>
        <v>205.25</v>
      </c>
      <c r="I151" s="1">
        <v>147</v>
      </c>
      <c r="J151" s="1">
        <f t="shared" si="17"/>
        <v>205.25</v>
      </c>
      <c r="K151" s="1">
        <f t="shared" si="18"/>
        <v>0.5</v>
      </c>
      <c r="M151"/>
      <c r="N151"/>
      <c r="O151"/>
      <c r="P151"/>
      <c r="Q151"/>
    </row>
    <row r="152" spans="8:17" x14ac:dyDescent="0.4">
      <c r="H152" s="8">
        <f t="shared" si="16"/>
        <v>205.75</v>
      </c>
      <c r="I152" s="1">
        <v>148</v>
      </c>
      <c r="J152" s="1">
        <f t="shared" si="17"/>
        <v>205.75</v>
      </c>
      <c r="K152" s="1">
        <f t="shared" si="18"/>
        <v>0.5</v>
      </c>
      <c r="M152"/>
      <c r="N152"/>
      <c r="O152"/>
      <c r="P152"/>
      <c r="Q152"/>
    </row>
    <row r="153" spans="8:17" x14ac:dyDescent="0.4">
      <c r="H153" s="8">
        <f t="shared" si="16"/>
        <v>206.25</v>
      </c>
      <c r="I153" s="1">
        <v>149</v>
      </c>
      <c r="J153" s="1">
        <f t="shared" si="17"/>
        <v>206.25</v>
      </c>
      <c r="K153" s="1">
        <f t="shared" si="18"/>
        <v>0.5</v>
      </c>
      <c r="M153"/>
      <c r="N153"/>
      <c r="O153"/>
      <c r="P153"/>
      <c r="Q153"/>
    </row>
    <row r="154" spans="8:17" x14ac:dyDescent="0.4">
      <c r="H154" s="8">
        <f t="shared" si="16"/>
        <v>206.75</v>
      </c>
      <c r="I154" s="1">
        <v>150</v>
      </c>
      <c r="J154" s="1">
        <f t="shared" si="17"/>
        <v>206.75</v>
      </c>
      <c r="K154" s="1">
        <f t="shared" si="18"/>
        <v>0.5</v>
      </c>
      <c r="M154"/>
      <c r="N154"/>
      <c r="O154"/>
      <c r="P154"/>
      <c r="Q154"/>
    </row>
    <row r="155" spans="8:17" x14ac:dyDescent="0.4">
      <c r="H155" s="8">
        <f t="shared" si="16"/>
        <v>207.25</v>
      </c>
      <c r="I155" s="1">
        <v>151</v>
      </c>
      <c r="J155" s="1">
        <f t="shared" si="17"/>
        <v>207.25</v>
      </c>
      <c r="K155" s="1">
        <f t="shared" si="18"/>
        <v>0.5</v>
      </c>
      <c r="M155"/>
      <c r="N155"/>
      <c r="O155"/>
      <c r="P155"/>
      <c r="Q155"/>
    </row>
    <row r="156" spans="8:17" x14ac:dyDescent="0.4">
      <c r="H156" s="8">
        <f t="shared" si="16"/>
        <v>207.75</v>
      </c>
      <c r="I156" s="1">
        <v>152</v>
      </c>
      <c r="J156" s="1">
        <f t="shared" si="17"/>
        <v>207.75</v>
      </c>
      <c r="K156" s="1">
        <f t="shared" si="18"/>
        <v>0.5</v>
      </c>
      <c r="M156"/>
      <c r="N156"/>
      <c r="O156"/>
      <c r="P156"/>
      <c r="Q156"/>
    </row>
    <row r="157" spans="8:17" x14ac:dyDescent="0.4">
      <c r="H157" s="8">
        <f t="shared" si="16"/>
        <v>208.25</v>
      </c>
      <c r="I157" s="1">
        <v>153</v>
      </c>
      <c r="J157" s="1">
        <f t="shared" si="17"/>
        <v>208.25</v>
      </c>
      <c r="K157" s="1">
        <f t="shared" si="18"/>
        <v>0.5</v>
      </c>
      <c r="M157"/>
      <c r="N157"/>
      <c r="O157"/>
      <c r="P157"/>
      <c r="Q157"/>
    </row>
    <row r="158" spans="8:17" x14ac:dyDescent="0.4">
      <c r="H158" s="8">
        <f t="shared" si="16"/>
        <v>209</v>
      </c>
      <c r="I158" s="1">
        <v>154</v>
      </c>
      <c r="J158" s="1">
        <f t="shared" si="17"/>
        <v>209</v>
      </c>
      <c r="K158" s="1">
        <f t="shared" si="18"/>
        <v>0.75</v>
      </c>
      <c r="M158"/>
      <c r="N158"/>
      <c r="O158"/>
      <c r="P158"/>
      <c r="Q158"/>
    </row>
    <row r="159" spans="8:17" x14ac:dyDescent="0.4">
      <c r="H159" s="8">
        <f t="shared" si="16"/>
        <v>209.75</v>
      </c>
      <c r="I159" s="1">
        <v>155</v>
      </c>
      <c r="J159" s="1">
        <f t="shared" si="17"/>
        <v>209.75</v>
      </c>
      <c r="K159" s="1">
        <f t="shared" si="18"/>
        <v>0.75</v>
      </c>
      <c r="M159"/>
      <c r="N159"/>
      <c r="O159"/>
      <c r="P159"/>
      <c r="Q159"/>
    </row>
    <row r="160" spans="8:17" x14ac:dyDescent="0.4">
      <c r="H160" s="8">
        <f t="shared" si="16"/>
        <v>210.25</v>
      </c>
      <c r="I160" s="1">
        <v>156</v>
      </c>
      <c r="J160" s="1">
        <f t="shared" si="17"/>
        <v>210.25</v>
      </c>
      <c r="K160" s="1">
        <f t="shared" si="18"/>
        <v>0.5</v>
      </c>
      <c r="M160"/>
      <c r="N160"/>
      <c r="O160"/>
      <c r="P160"/>
      <c r="Q160"/>
    </row>
    <row r="161" spans="8:17" x14ac:dyDescent="0.4">
      <c r="H161" s="8">
        <f t="shared" si="16"/>
        <v>211</v>
      </c>
      <c r="I161" s="1">
        <v>157</v>
      </c>
      <c r="J161" s="1">
        <f t="shared" si="17"/>
        <v>211</v>
      </c>
      <c r="K161" s="1">
        <f t="shared" si="18"/>
        <v>0.75</v>
      </c>
      <c r="M161"/>
      <c r="N161"/>
      <c r="O161"/>
      <c r="P161"/>
      <c r="Q161"/>
    </row>
    <row r="162" spans="8:17" x14ac:dyDescent="0.4">
      <c r="H162" s="8">
        <f t="shared" si="16"/>
        <v>211.5</v>
      </c>
      <c r="I162" s="1">
        <v>158</v>
      </c>
      <c r="J162" s="1">
        <f t="shared" si="17"/>
        <v>211.5</v>
      </c>
      <c r="K162" s="1">
        <f t="shared" si="18"/>
        <v>0.5</v>
      </c>
      <c r="M162"/>
      <c r="N162"/>
      <c r="O162"/>
      <c r="P162"/>
      <c r="Q162"/>
    </row>
    <row r="163" spans="8:17" x14ac:dyDescent="0.4">
      <c r="H163" s="8">
        <f t="shared" si="16"/>
        <v>212</v>
      </c>
      <c r="I163" s="1">
        <v>159</v>
      </c>
      <c r="J163" s="1">
        <f t="shared" si="17"/>
        <v>212</v>
      </c>
      <c r="K163" s="1">
        <f t="shared" si="18"/>
        <v>0.5</v>
      </c>
      <c r="M163"/>
      <c r="N163"/>
      <c r="O163"/>
      <c r="P163"/>
      <c r="Q163"/>
    </row>
    <row r="164" spans="8:17" x14ac:dyDescent="0.4">
      <c r="H164" s="8">
        <f t="shared" si="16"/>
        <v>212.75</v>
      </c>
      <c r="I164" s="1">
        <v>160</v>
      </c>
      <c r="J164" s="1">
        <f t="shared" si="17"/>
        <v>212.75</v>
      </c>
      <c r="K164" s="1">
        <f t="shared" si="18"/>
        <v>0.75</v>
      </c>
      <c r="M164"/>
      <c r="N164"/>
      <c r="O164"/>
      <c r="P164"/>
      <c r="Q164"/>
    </row>
    <row r="165" spans="8:17" x14ac:dyDescent="0.4">
      <c r="H165" s="8">
        <f t="shared" si="16"/>
        <v>213.25</v>
      </c>
      <c r="I165" s="1">
        <v>161</v>
      </c>
      <c r="J165" s="1">
        <f t="shared" si="17"/>
        <v>213.25</v>
      </c>
      <c r="K165" s="1">
        <f t="shared" si="18"/>
        <v>0.5</v>
      </c>
      <c r="M165"/>
      <c r="N165"/>
      <c r="O165"/>
      <c r="P165"/>
      <c r="Q165"/>
    </row>
    <row r="166" spans="8:17" x14ac:dyDescent="0.4">
      <c r="H166" s="8">
        <f t="shared" si="16"/>
        <v>213.75</v>
      </c>
      <c r="I166" s="1">
        <v>162</v>
      </c>
      <c r="J166" s="1">
        <f t="shared" si="17"/>
        <v>213.75</v>
      </c>
      <c r="K166" s="1">
        <f t="shared" si="18"/>
        <v>0.5</v>
      </c>
      <c r="M166"/>
      <c r="N166"/>
      <c r="O166"/>
      <c r="P166"/>
      <c r="Q166"/>
    </row>
    <row r="167" spans="8:17" x14ac:dyDescent="0.4">
      <c r="H167" s="8">
        <f t="shared" si="16"/>
        <v>214.25</v>
      </c>
      <c r="I167" s="1">
        <v>163</v>
      </c>
      <c r="J167" s="1">
        <f t="shared" si="17"/>
        <v>214.25</v>
      </c>
      <c r="K167" s="1">
        <f t="shared" si="18"/>
        <v>0.5</v>
      </c>
      <c r="M167"/>
      <c r="N167"/>
      <c r="O167"/>
      <c r="P167"/>
      <c r="Q167"/>
    </row>
    <row r="168" spans="8:17" x14ac:dyDescent="0.4">
      <c r="H168" s="8">
        <f t="shared" si="16"/>
        <v>214.75</v>
      </c>
      <c r="I168" s="1">
        <v>164</v>
      </c>
      <c r="J168" s="1">
        <f t="shared" si="17"/>
        <v>214.75</v>
      </c>
      <c r="K168" s="1">
        <f t="shared" si="18"/>
        <v>0.5</v>
      </c>
      <c r="M168"/>
      <c r="N168"/>
      <c r="O168"/>
      <c r="P168"/>
      <c r="Q168"/>
    </row>
    <row r="169" spans="8:17" x14ac:dyDescent="0.4">
      <c r="H169" s="8">
        <f t="shared" si="16"/>
        <v>215.25</v>
      </c>
      <c r="I169" s="1">
        <v>165</v>
      </c>
      <c r="J169" s="1">
        <f t="shared" si="17"/>
        <v>215.25</v>
      </c>
      <c r="K169" s="1">
        <f t="shared" si="18"/>
        <v>0.5</v>
      </c>
      <c r="M169"/>
      <c r="N169"/>
      <c r="O169"/>
      <c r="P169"/>
      <c r="Q169"/>
    </row>
    <row r="170" spans="8:17" x14ac:dyDescent="0.4">
      <c r="H170" s="8">
        <f t="shared" si="16"/>
        <v>216</v>
      </c>
      <c r="I170" s="1">
        <v>166</v>
      </c>
      <c r="J170" s="1">
        <f t="shared" si="17"/>
        <v>216</v>
      </c>
      <c r="K170" s="1">
        <f t="shared" si="18"/>
        <v>0.75</v>
      </c>
      <c r="M170"/>
      <c r="N170"/>
      <c r="O170"/>
      <c r="P170"/>
      <c r="Q170"/>
    </row>
    <row r="171" spans="8:17" x14ac:dyDescent="0.4">
      <c r="H171" s="8">
        <f t="shared" si="16"/>
        <v>216.5</v>
      </c>
      <c r="I171" s="1">
        <v>167</v>
      </c>
      <c r="J171" s="1">
        <f t="shared" si="17"/>
        <v>216.5</v>
      </c>
      <c r="K171" s="1">
        <f t="shared" si="18"/>
        <v>0.5</v>
      </c>
      <c r="M171"/>
      <c r="N171"/>
      <c r="O171"/>
      <c r="P171"/>
      <c r="Q171"/>
    </row>
    <row r="172" spans="8:17" x14ac:dyDescent="0.4">
      <c r="H172" s="8">
        <f t="shared" si="16"/>
        <v>217</v>
      </c>
      <c r="I172" s="1">
        <v>168</v>
      </c>
      <c r="J172" s="1">
        <f t="shared" si="17"/>
        <v>217</v>
      </c>
      <c r="K172" s="1">
        <f t="shared" si="18"/>
        <v>0.5</v>
      </c>
      <c r="M172"/>
      <c r="N172"/>
      <c r="O172"/>
      <c r="P172"/>
      <c r="Q172"/>
    </row>
    <row r="173" spans="8:17" x14ac:dyDescent="0.4">
      <c r="H173" s="8">
        <f t="shared" si="16"/>
        <v>217.5</v>
      </c>
      <c r="I173" s="1">
        <v>169</v>
      </c>
      <c r="J173" s="1">
        <f t="shared" si="17"/>
        <v>217.5</v>
      </c>
      <c r="K173" s="1">
        <f t="shared" si="18"/>
        <v>0.5</v>
      </c>
      <c r="M173"/>
      <c r="N173"/>
      <c r="O173"/>
      <c r="P173"/>
      <c r="Q173"/>
    </row>
    <row r="174" spans="8:17" x14ac:dyDescent="0.4">
      <c r="H174" s="8">
        <f t="shared" si="16"/>
        <v>218</v>
      </c>
      <c r="I174" s="1">
        <v>170</v>
      </c>
      <c r="J174" s="1">
        <f t="shared" si="17"/>
        <v>218</v>
      </c>
      <c r="K174" s="1">
        <f t="shared" si="18"/>
        <v>0.5</v>
      </c>
      <c r="M174"/>
      <c r="N174"/>
      <c r="O174"/>
      <c r="P174"/>
      <c r="Q174"/>
    </row>
    <row r="175" spans="8:17" x14ac:dyDescent="0.4">
      <c r="H175" s="8">
        <f t="shared" si="16"/>
        <v>218.5</v>
      </c>
      <c r="I175" s="1">
        <v>171</v>
      </c>
      <c r="J175" s="1">
        <f t="shared" si="17"/>
        <v>218.5</v>
      </c>
      <c r="K175" s="1">
        <f t="shared" si="18"/>
        <v>0.5</v>
      </c>
      <c r="M175"/>
      <c r="N175"/>
      <c r="O175"/>
      <c r="P175"/>
      <c r="Q175"/>
    </row>
    <row r="176" spans="8:17" x14ac:dyDescent="0.4">
      <c r="H176" s="8">
        <f t="shared" si="16"/>
        <v>219</v>
      </c>
      <c r="I176" s="1">
        <v>172</v>
      </c>
      <c r="J176" s="1">
        <f t="shared" si="17"/>
        <v>219</v>
      </c>
      <c r="K176" s="1">
        <f t="shared" si="18"/>
        <v>0.5</v>
      </c>
      <c r="M176"/>
      <c r="N176"/>
      <c r="O176"/>
      <c r="P176"/>
      <c r="Q176"/>
    </row>
    <row r="177" spans="8:17" x14ac:dyDescent="0.4">
      <c r="H177" s="8">
        <f t="shared" si="16"/>
        <v>219.5</v>
      </c>
      <c r="I177" s="1">
        <v>173</v>
      </c>
      <c r="J177" s="1">
        <f t="shared" si="17"/>
        <v>219.5</v>
      </c>
      <c r="K177" s="1">
        <f t="shared" si="18"/>
        <v>0.5</v>
      </c>
      <c r="M177"/>
      <c r="N177"/>
      <c r="O177"/>
      <c r="P177"/>
      <c r="Q177"/>
    </row>
    <row r="178" spans="8:17" x14ac:dyDescent="0.4">
      <c r="H178" s="8">
        <f t="shared" si="16"/>
        <v>220</v>
      </c>
      <c r="I178" s="1">
        <v>174</v>
      </c>
      <c r="J178" s="1">
        <f t="shared" si="17"/>
        <v>220</v>
      </c>
      <c r="K178" s="1">
        <f t="shared" si="18"/>
        <v>0.5</v>
      </c>
      <c r="M178"/>
      <c r="N178"/>
      <c r="O178"/>
      <c r="P178"/>
      <c r="Q178"/>
    </row>
    <row r="179" spans="8:17" x14ac:dyDescent="0.4">
      <c r="H179" s="8">
        <f t="shared" si="16"/>
        <v>220.5</v>
      </c>
      <c r="I179" s="1">
        <v>175</v>
      </c>
      <c r="J179" s="1">
        <f t="shared" si="17"/>
        <v>220.5</v>
      </c>
      <c r="K179" s="1">
        <f t="shared" si="18"/>
        <v>0.5</v>
      </c>
      <c r="M179"/>
      <c r="N179"/>
      <c r="O179"/>
      <c r="P179"/>
      <c r="Q179"/>
    </row>
    <row r="180" spans="8:17" x14ac:dyDescent="0.4">
      <c r="H180" s="8">
        <f t="shared" si="16"/>
        <v>221</v>
      </c>
      <c r="I180" s="1">
        <v>176</v>
      </c>
      <c r="J180" s="1">
        <f t="shared" si="17"/>
        <v>221</v>
      </c>
      <c r="K180" s="1">
        <f t="shared" si="18"/>
        <v>0.5</v>
      </c>
      <c r="M180"/>
      <c r="N180"/>
      <c r="O180"/>
      <c r="P180"/>
      <c r="Q180"/>
    </row>
    <row r="181" spans="8:17" x14ac:dyDescent="0.4">
      <c r="H181" s="8">
        <f t="shared" si="16"/>
        <v>221.5</v>
      </c>
      <c r="I181" s="1">
        <v>177</v>
      </c>
      <c r="J181" s="1">
        <f t="shared" si="17"/>
        <v>221.5</v>
      </c>
      <c r="K181" s="1">
        <f t="shared" si="18"/>
        <v>0.5</v>
      </c>
      <c r="M181"/>
      <c r="N181"/>
      <c r="O181"/>
      <c r="P181"/>
      <c r="Q181"/>
    </row>
    <row r="182" spans="8:17" x14ac:dyDescent="0.4">
      <c r="H182" s="8">
        <f t="shared" si="16"/>
        <v>222</v>
      </c>
      <c r="I182" s="1">
        <v>178</v>
      </c>
      <c r="J182" s="1">
        <f t="shared" si="17"/>
        <v>222</v>
      </c>
      <c r="K182" s="1">
        <f t="shared" si="18"/>
        <v>0.5</v>
      </c>
      <c r="M182"/>
      <c r="N182"/>
      <c r="O182"/>
      <c r="P182"/>
      <c r="Q182"/>
    </row>
    <row r="183" spans="8:17" x14ac:dyDescent="0.4">
      <c r="H183" s="8">
        <f t="shared" si="16"/>
        <v>222.5</v>
      </c>
      <c r="I183" s="1">
        <v>179</v>
      </c>
      <c r="J183" s="1">
        <f t="shared" si="17"/>
        <v>222.5</v>
      </c>
      <c r="K183" s="1">
        <f t="shared" si="18"/>
        <v>0.5</v>
      </c>
      <c r="M183"/>
      <c r="N183"/>
      <c r="O183"/>
      <c r="P183"/>
      <c r="Q183"/>
    </row>
    <row r="184" spans="8:17" x14ac:dyDescent="0.4">
      <c r="H184" s="8">
        <f t="shared" si="16"/>
        <v>223</v>
      </c>
      <c r="I184" s="1">
        <v>180</v>
      </c>
      <c r="J184" s="1">
        <f t="shared" si="17"/>
        <v>223</v>
      </c>
      <c r="K184" s="1">
        <f t="shared" si="18"/>
        <v>0.5</v>
      </c>
      <c r="M184"/>
      <c r="N184"/>
      <c r="O184"/>
      <c r="P184"/>
      <c r="Q184"/>
    </row>
    <row r="185" spans="8:17" x14ac:dyDescent="0.4">
      <c r="H185" s="8">
        <f t="shared" si="16"/>
        <v>223.5</v>
      </c>
      <c r="I185" s="1">
        <v>181</v>
      </c>
      <c r="J185" s="1">
        <f t="shared" si="17"/>
        <v>223.5</v>
      </c>
      <c r="K185" s="1">
        <f t="shared" si="18"/>
        <v>0.5</v>
      </c>
      <c r="M185"/>
      <c r="N185"/>
      <c r="O185"/>
      <c r="P185"/>
      <c r="Q185"/>
    </row>
    <row r="186" spans="8:17" x14ac:dyDescent="0.4">
      <c r="H186" s="8">
        <f t="shared" si="16"/>
        <v>224</v>
      </c>
      <c r="I186" s="1">
        <v>182</v>
      </c>
      <c r="J186" s="1">
        <f t="shared" si="17"/>
        <v>224</v>
      </c>
      <c r="K186" s="1">
        <f t="shared" si="18"/>
        <v>0.5</v>
      </c>
      <c r="M186"/>
      <c r="N186"/>
      <c r="O186"/>
      <c r="P186"/>
      <c r="Q186"/>
    </row>
    <row r="187" spans="8:17" x14ac:dyDescent="0.4">
      <c r="H187" s="8">
        <f t="shared" si="16"/>
        <v>224.5</v>
      </c>
      <c r="I187" s="1">
        <v>183</v>
      </c>
      <c r="J187" s="1">
        <f t="shared" si="17"/>
        <v>224.5</v>
      </c>
      <c r="K187" s="1">
        <f t="shared" si="18"/>
        <v>0.5</v>
      </c>
      <c r="M187"/>
      <c r="N187"/>
      <c r="O187"/>
      <c r="P187"/>
      <c r="Q187"/>
    </row>
    <row r="188" spans="8:17" x14ac:dyDescent="0.4">
      <c r="H188" s="8">
        <f t="shared" si="16"/>
        <v>225</v>
      </c>
      <c r="I188" s="1">
        <v>184</v>
      </c>
      <c r="J188" s="1">
        <f t="shared" si="17"/>
        <v>225</v>
      </c>
      <c r="K188" s="1">
        <f t="shared" si="18"/>
        <v>0.5</v>
      </c>
      <c r="M188"/>
      <c r="N188"/>
      <c r="O188"/>
      <c r="P188"/>
      <c r="Q188"/>
    </row>
    <row r="189" spans="8:17" x14ac:dyDescent="0.4">
      <c r="H189" s="8">
        <f t="shared" si="16"/>
        <v>225.75</v>
      </c>
      <c r="I189" s="1">
        <v>185</v>
      </c>
      <c r="J189" s="1">
        <f t="shared" si="17"/>
        <v>225.75</v>
      </c>
      <c r="K189" s="1">
        <f t="shared" si="18"/>
        <v>0.75</v>
      </c>
      <c r="M189"/>
      <c r="N189"/>
      <c r="O189"/>
      <c r="P189"/>
      <c r="Q189"/>
    </row>
    <row r="190" spans="8:17" x14ac:dyDescent="0.4">
      <c r="H190" s="8">
        <f t="shared" si="16"/>
        <v>226.25</v>
      </c>
      <c r="I190" s="1">
        <v>186</v>
      </c>
      <c r="J190" s="1">
        <f t="shared" si="17"/>
        <v>226.25</v>
      </c>
      <c r="K190" s="1">
        <f t="shared" si="18"/>
        <v>0.5</v>
      </c>
      <c r="M190"/>
      <c r="N190"/>
      <c r="O190"/>
      <c r="P190"/>
      <c r="Q190"/>
    </row>
    <row r="191" spans="8:17" x14ac:dyDescent="0.4">
      <c r="H191" s="8">
        <f t="shared" si="16"/>
        <v>226.75</v>
      </c>
      <c r="I191" s="1">
        <v>187</v>
      </c>
      <c r="J191" s="1">
        <f t="shared" si="17"/>
        <v>226.75</v>
      </c>
      <c r="K191" s="1">
        <f t="shared" si="18"/>
        <v>0.5</v>
      </c>
      <c r="M191"/>
      <c r="N191"/>
      <c r="O191"/>
      <c r="P191"/>
      <c r="Q191"/>
    </row>
    <row r="192" spans="8:17" x14ac:dyDescent="0.4">
      <c r="H192" s="8">
        <f t="shared" si="16"/>
        <v>227.25</v>
      </c>
      <c r="I192" s="1">
        <v>188</v>
      </c>
      <c r="J192" s="1">
        <f t="shared" si="17"/>
        <v>227.25</v>
      </c>
      <c r="K192" s="1">
        <f t="shared" si="18"/>
        <v>0.5</v>
      </c>
      <c r="M192"/>
      <c r="N192"/>
      <c r="O192"/>
      <c r="P192"/>
      <c r="Q192"/>
    </row>
    <row r="193" spans="8:17" x14ac:dyDescent="0.4">
      <c r="H193" s="8">
        <f t="shared" si="16"/>
        <v>227.75</v>
      </c>
      <c r="I193" s="1">
        <v>189</v>
      </c>
      <c r="J193" s="1">
        <f t="shared" si="17"/>
        <v>227.75</v>
      </c>
      <c r="K193" s="1">
        <f t="shared" si="18"/>
        <v>0.5</v>
      </c>
      <c r="M193"/>
      <c r="N193"/>
      <c r="O193"/>
      <c r="P193"/>
      <c r="Q193"/>
    </row>
    <row r="194" spans="8:17" x14ac:dyDescent="0.4">
      <c r="H194" s="8">
        <f t="shared" si="16"/>
        <v>228.25</v>
      </c>
      <c r="I194" s="1">
        <v>190</v>
      </c>
      <c r="J194" s="1">
        <f t="shared" si="17"/>
        <v>228.25</v>
      </c>
      <c r="K194" s="1">
        <f t="shared" si="18"/>
        <v>0.5</v>
      </c>
      <c r="M194"/>
      <c r="N194"/>
      <c r="O194"/>
      <c r="P194"/>
      <c r="Q194"/>
    </row>
    <row r="195" spans="8:17" x14ac:dyDescent="0.4">
      <c r="H195" s="8">
        <f t="shared" si="16"/>
        <v>228.75</v>
      </c>
      <c r="I195" s="1">
        <v>191</v>
      </c>
      <c r="J195" s="1">
        <f t="shared" si="17"/>
        <v>228.75</v>
      </c>
      <c r="K195" s="1">
        <f t="shared" si="18"/>
        <v>0.5</v>
      </c>
      <c r="M195"/>
      <c r="N195"/>
      <c r="O195"/>
      <c r="P195"/>
      <c r="Q195"/>
    </row>
    <row r="196" spans="8:17" x14ac:dyDescent="0.4">
      <c r="H196" s="8">
        <f t="shared" si="16"/>
        <v>229</v>
      </c>
      <c r="I196" s="1">
        <v>192</v>
      </c>
      <c r="J196" s="1">
        <f t="shared" si="17"/>
        <v>229</v>
      </c>
      <c r="K196" s="1">
        <f t="shared" si="18"/>
        <v>0.25</v>
      </c>
      <c r="M196"/>
      <c r="N196"/>
      <c r="O196"/>
      <c r="P196"/>
      <c r="Q196"/>
    </row>
    <row r="197" spans="8:17" x14ac:dyDescent="0.4">
      <c r="H197" s="8">
        <f t="shared" ref="H197:H260" si="19">J197</f>
        <v>229.5</v>
      </c>
      <c r="I197" s="1">
        <v>193</v>
      </c>
      <c r="J197" s="1">
        <f t="shared" si="17"/>
        <v>229.5</v>
      </c>
      <c r="K197" s="1">
        <f t="shared" si="18"/>
        <v>0.5</v>
      </c>
      <c r="M197"/>
      <c r="N197"/>
      <c r="O197"/>
      <c r="P197"/>
      <c r="Q197"/>
    </row>
    <row r="198" spans="8:17" x14ac:dyDescent="0.4">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4">
      <c r="H199" s="8">
        <f t="shared" si="19"/>
        <v>230.5</v>
      </c>
      <c r="I199" s="1">
        <v>195</v>
      </c>
      <c r="J199" s="1">
        <f t="shared" si="20"/>
        <v>230.5</v>
      </c>
      <c r="K199" s="1">
        <f t="shared" si="21"/>
        <v>0.5</v>
      </c>
      <c r="M199"/>
      <c r="N199"/>
      <c r="O199"/>
      <c r="P199"/>
      <c r="Q199"/>
    </row>
    <row r="200" spans="8:17" x14ac:dyDescent="0.4">
      <c r="H200" s="8">
        <f t="shared" si="19"/>
        <v>230.75</v>
      </c>
      <c r="I200" s="1">
        <v>196</v>
      </c>
      <c r="J200" s="1">
        <f t="shared" si="20"/>
        <v>230.75</v>
      </c>
      <c r="K200" s="1">
        <f t="shared" si="21"/>
        <v>0.25</v>
      </c>
      <c r="M200"/>
      <c r="N200"/>
      <c r="O200"/>
      <c r="P200"/>
      <c r="Q200"/>
    </row>
    <row r="201" spans="8:17" x14ac:dyDescent="0.4">
      <c r="H201" s="8">
        <f t="shared" si="19"/>
        <v>231.25</v>
      </c>
      <c r="I201" s="1">
        <v>197</v>
      </c>
      <c r="J201" s="1">
        <f t="shared" si="20"/>
        <v>231.25</v>
      </c>
      <c r="K201" s="1">
        <f t="shared" si="21"/>
        <v>0.5</v>
      </c>
      <c r="M201"/>
      <c r="N201"/>
      <c r="O201"/>
      <c r="P201"/>
      <c r="Q201"/>
    </row>
    <row r="202" spans="8:17" x14ac:dyDescent="0.4">
      <c r="H202" s="8">
        <f t="shared" si="19"/>
        <v>231.75</v>
      </c>
      <c r="I202" s="1">
        <v>198</v>
      </c>
      <c r="J202" s="1">
        <f t="shared" si="20"/>
        <v>231.75</v>
      </c>
      <c r="K202" s="1">
        <f t="shared" si="21"/>
        <v>0.5</v>
      </c>
      <c r="M202"/>
      <c r="N202"/>
      <c r="O202"/>
      <c r="P202"/>
      <c r="Q202"/>
    </row>
    <row r="203" spans="8:17" x14ac:dyDescent="0.4">
      <c r="H203" s="8">
        <f t="shared" si="19"/>
        <v>232.25</v>
      </c>
      <c r="I203" s="1">
        <v>199</v>
      </c>
      <c r="J203" s="1">
        <f t="shared" si="20"/>
        <v>232.25</v>
      </c>
      <c r="K203" s="1">
        <f t="shared" si="21"/>
        <v>0.5</v>
      </c>
      <c r="M203"/>
      <c r="N203"/>
      <c r="O203"/>
      <c r="P203"/>
      <c r="Q203"/>
    </row>
    <row r="204" spans="8:17" x14ac:dyDescent="0.4">
      <c r="H204" s="8">
        <f t="shared" si="19"/>
        <v>232.75</v>
      </c>
      <c r="I204" s="1">
        <v>200</v>
      </c>
      <c r="J204" s="1">
        <f t="shared" si="20"/>
        <v>232.75</v>
      </c>
      <c r="K204" s="1">
        <f t="shared" si="21"/>
        <v>0.5</v>
      </c>
      <c r="M204"/>
      <c r="N204"/>
      <c r="O204"/>
      <c r="P204"/>
      <c r="Q204"/>
    </row>
    <row r="205" spans="8:17" x14ac:dyDescent="0.4">
      <c r="H205" s="8">
        <f t="shared" si="19"/>
        <v>233</v>
      </c>
      <c r="I205" s="1">
        <v>201</v>
      </c>
      <c r="J205" s="1">
        <f t="shared" si="20"/>
        <v>233</v>
      </c>
      <c r="K205" s="1">
        <f t="shared" si="21"/>
        <v>0.25</v>
      </c>
      <c r="M205"/>
      <c r="N205"/>
      <c r="O205"/>
      <c r="P205"/>
      <c r="Q205"/>
    </row>
    <row r="206" spans="8:17" x14ac:dyDescent="0.4">
      <c r="H206" s="8">
        <f t="shared" si="19"/>
        <v>233.5</v>
      </c>
      <c r="I206" s="1">
        <v>202</v>
      </c>
      <c r="J206" s="1">
        <f t="shared" si="20"/>
        <v>233.5</v>
      </c>
      <c r="K206" s="1">
        <f t="shared" si="21"/>
        <v>0.5</v>
      </c>
      <c r="M206"/>
      <c r="N206"/>
      <c r="O206"/>
      <c r="P206"/>
      <c r="Q206"/>
    </row>
    <row r="207" spans="8:17" x14ac:dyDescent="0.4">
      <c r="H207" s="8">
        <f t="shared" si="19"/>
        <v>233.75</v>
      </c>
      <c r="I207" s="1">
        <v>203</v>
      </c>
      <c r="J207" s="1">
        <f t="shared" si="20"/>
        <v>233.75</v>
      </c>
      <c r="K207" s="1">
        <f t="shared" si="21"/>
        <v>0.25</v>
      </c>
      <c r="M207"/>
      <c r="N207"/>
      <c r="O207"/>
      <c r="P207"/>
      <c r="Q207"/>
    </row>
    <row r="208" spans="8:17" x14ac:dyDescent="0.4">
      <c r="H208" s="8">
        <f t="shared" si="19"/>
        <v>234.25</v>
      </c>
      <c r="I208" s="1">
        <v>204</v>
      </c>
      <c r="J208" s="1">
        <f t="shared" si="20"/>
        <v>234.25</v>
      </c>
      <c r="K208" s="1">
        <f t="shared" si="21"/>
        <v>0.5</v>
      </c>
      <c r="M208"/>
      <c r="N208"/>
      <c r="O208"/>
      <c r="P208"/>
      <c r="Q208"/>
    </row>
    <row r="209" spans="8:17" x14ac:dyDescent="0.4">
      <c r="H209" s="8">
        <f t="shared" si="19"/>
        <v>234.75</v>
      </c>
      <c r="I209" s="1">
        <v>205</v>
      </c>
      <c r="J209" s="1">
        <f t="shared" si="20"/>
        <v>234.75</v>
      </c>
      <c r="K209" s="1">
        <f t="shared" si="21"/>
        <v>0.5</v>
      </c>
      <c r="M209"/>
      <c r="N209"/>
      <c r="O209"/>
      <c r="P209"/>
      <c r="Q209"/>
    </row>
    <row r="210" spans="8:17" x14ac:dyDescent="0.4">
      <c r="H210" s="8">
        <f t="shared" si="19"/>
        <v>235.25</v>
      </c>
      <c r="I210" s="1">
        <v>206</v>
      </c>
      <c r="J210" s="1">
        <f t="shared" si="20"/>
        <v>235.25</v>
      </c>
      <c r="K210" s="1">
        <f t="shared" si="21"/>
        <v>0.5</v>
      </c>
      <c r="M210"/>
      <c r="N210"/>
      <c r="O210"/>
      <c r="P210"/>
      <c r="Q210"/>
    </row>
    <row r="211" spans="8:17" x14ac:dyDescent="0.4">
      <c r="H211" s="8">
        <f t="shared" si="19"/>
        <v>235.75</v>
      </c>
      <c r="I211" s="1">
        <v>207</v>
      </c>
      <c r="J211" s="1">
        <f t="shared" si="20"/>
        <v>235.75</v>
      </c>
      <c r="K211" s="1">
        <f t="shared" si="21"/>
        <v>0.5</v>
      </c>
      <c r="M211"/>
      <c r="N211"/>
      <c r="O211"/>
      <c r="P211"/>
      <c r="Q211"/>
    </row>
    <row r="212" spans="8:17" x14ac:dyDescent="0.4">
      <c r="H212" s="8">
        <f t="shared" si="19"/>
        <v>236.25</v>
      </c>
      <c r="I212" s="1">
        <v>208</v>
      </c>
      <c r="J212" s="1">
        <f t="shared" si="20"/>
        <v>236.25</v>
      </c>
      <c r="K212" s="1">
        <f t="shared" si="21"/>
        <v>0.5</v>
      </c>
      <c r="M212"/>
      <c r="N212"/>
      <c r="O212"/>
      <c r="P212"/>
      <c r="Q212"/>
    </row>
    <row r="213" spans="8:17" x14ac:dyDescent="0.4">
      <c r="H213" s="8">
        <f t="shared" si="19"/>
        <v>236.75</v>
      </c>
      <c r="I213" s="1">
        <v>209</v>
      </c>
      <c r="J213" s="1">
        <f t="shared" si="20"/>
        <v>236.75</v>
      </c>
      <c r="K213" s="1">
        <f t="shared" si="21"/>
        <v>0.5</v>
      </c>
      <c r="M213"/>
      <c r="N213"/>
      <c r="O213"/>
      <c r="P213"/>
      <c r="Q213"/>
    </row>
    <row r="214" spans="8:17" x14ac:dyDescent="0.4">
      <c r="H214" s="8">
        <f t="shared" si="19"/>
        <v>237</v>
      </c>
      <c r="I214" s="1">
        <v>210</v>
      </c>
      <c r="J214" s="1">
        <f t="shared" si="20"/>
        <v>237</v>
      </c>
      <c r="K214" s="1">
        <f t="shared" si="21"/>
        <v>0.25</v>
      </c>
      <c r="M214"/>
      <c r="N214"/>
      <c r="O214"/>
      <c r="P214"/>
      <c r="Q214"/>
    </row>
    <row r="215" spans="8:17" x14ac:dyDescent="0.4">
      <c r="H215" s="8">
        <f t="shared" si="19"/>
        <v>237.5</v>
      </c>
      <c r="I215" s="1">
        <v>211</v>
      </c>
      <c r="J215" s="1">
        <f t="shared" si="20"/>
        <v>237.5</v>
      </c>
      <c r="K215" s="1">
        <f t="shared" si="21"/>
        <v>0.5</v>
      </c>
      <c r="M215"/>
      <c r="N215"/>
      <c r="O215"/>
      <c r="P215"/>
      <c r="Q215"/>
    </row>
    <row r="216" spans="8:17" x14ac:dyDescent="0.4">
      <c r="H216" s="8">
        <f t="shared" si="19"/>
        <v>238</v>
      </c>
      <c r="I216" s="1">
        <v>212</v>
      </c>
      <c r="J216" s="1">
        <f t="shared" si="20"/>
        <v>238</v>
      </c>
      <c r="K216" s="1">
        <f t="shared" si="21"/>
        <v>0.5</v>
      </c>
      <c r="M216"/>
      <c r="N216"/>
      <c r="O216"/>
      <c r="P216"/>
      <c r="Q216"/>
    </row>
    <row r="217" spans="8:17" x14ac:dyDescent="0.4">
      <c r="H217" s="8">
        <f t="shared" si="19"/>
        <v>238.5</v>
      </c>
      <c r="I217" s="1">
        <v>213</v>
      </c>
      <c r="J217" s="1">
        <f t="shared" si="20"/>
        <v>238.5</v>
      </c>
      <c r="K217" s="1">
        <f t="shared" si="21"/>
        <v>0.5</v>
      </c>
      <c r="M217"/>
      <c r="N217"/>
      <c r="O217"/>
      <c r="P217"/>
      <c r="Q217"/>
    </row>
    <row r="218" spans="8:17" x14ac:dyDescent="0.4">
      <c r="H218" s="8">
        <f t="shared" si="19"/>
        <v>238.75</v>
      </c>
      <c r="I218" s="1">
        <v>214</v>
      </c>
      <c r="J218" s="1">
        <f t="shared" si="20"/>
        <v>238.75</v>
      </c>
      <c r="K218" s="1">
        <f t="shared" si="21"/>
        <v>0.25</v>
      </c>
      <c r="M218"/>
      <c r="N218"/>
      <c r="O218"/>
      <c r="P218"/>
      <c r="Q218"/>
    </row>
    <row r="219" spans="8:17" x14ac:dyDescent="0.4">
      <c r="H219" s="8">
        <f t="shared" si="19"/>
        <v>239.25</v>
      </c>
      <c r="I219" s="1">
        <v>215</v>
      </c>
      <c r="J219" s="1">
        <f t="shared" si="20"/>
        <v>239.25</v>
      </c>
      <c r="K219" s="1">
        <f t="shared" si="21"/>
        <v>0.5</v>
      </c>
      <c r="M219"/>
      <c r="N219"/>
      <c r="O219"/>
      <c r="P219"/>
      <c r="Q219"/>
    </row>
    <row r="220" spans="8:17" x14ac:dyDescent="0.4">
      <c r="H220" s="8">
        <f t="shared" si="19"/>
        <v>239.75</v>
      </c>
      <c r="I220" s="1">
        <v>216</v>
      </c>
      <c r="J220" s="1">
        <f t="shared" si="20"/>
        <v>239.75</v>
      </c>
      <c r="K220" s="1">
        <f t="shared" si="21"/>
        <v>0.5</v>
      </c>
      <c r="M220"/>
      <c r="N220"/>
      <c r="O220"/>
      <c r="P220"/>
      <c r="Q220"/>
    </row>
    <row r="221" spans="8:17" x14ac:dyDescent="0.4">
      <c r="H221" s="8">
        <f t="shared" si="19"/>
        <v>240.25</v>
      </c>
      <c r="I221" s="1">
        <v>217</v>
      </c>
      <c r="J221" s="1">
        <f t="shared" si="20"/>
        <v>240.25</v>
      </c>
      <c r="K221" s="1">
        <f t="shared" si="21"/>
        <v>0.5</v>
      </c>
      <c r="M221"/>
      <c r="N221"/>
      <c r="O221"/>
      <c r="P221"/>
      <c r="Q221"/>
    </row>
    <row r="222" spans="8:17" x14ac:dyDescent="0.4">
      <c r="H222" s="8">
        <f t="shared" si="19"/>
        <v>240.75</v>
      </c>
      <c r="I222" s="1">
        <v>218</v>
      </c>
      <c r="J222" s="1">
        <f t="shared" si="20"/>
        <v>240.75</v>
      </c>
      <c r="K222" s="1">
        <f t="shared" si="21"/>
        <v>0.5</v>
      </c>
      <c r="M222"/>
      <c r="N222"/>
      <c r="O222"/>
      <c r="P222"/>
      <c r="Q222"/>
    </row>
    <row r="223" spans="8:17" x14ac:dyDescent="0.4">
      <c r="H223" s="8">
        <f t="shared" si="19"/>
        <v>241</v>
      </c>
      <c r="I223" s="1">
        <v>219</v>
      </c>
      <c r="J223" s="1">
        <f t="shared" si="20"/>
        <v>241</v>
      </c>
      <c r="K223" s="1">
        <f t="shared" si="21"/>
        <v>0.25</v>
      </c>
      <c r="M223"/>
      <c r="N223"/>
      <c r="O223"/>
      <c r="P223"/>
      <c r="Q223"/>
    </row>
    <row r="224" spans="8:17" x14ac:dyDescent="0.4">
      <c r="H224" s="8">
        <f t="shared" si="19"/>
        <v>241.5</v>
      </c>
      <c r="I224" s="1">
        <v>220</v>
      </c>
      <c r="J224" s="1">
        <f t="shared" si="20"/>
        <v>241.5</v>
      </c>
      <c r="K224" s="1">
        <f t="shared" si="21"/>
        <v>0.5</v>
      </c>
      <c r="M224"/>
      <c r="N224"/>
      <c r="O224"/>
      <c r="P224"/>
      <c r="Q224"/>
    </row>
    <row r="225" spans="8:17" x14ac:dyDescent="0.4">
      <c r="H225" s="8">
        <f t="shared" si="19"/>
        <v>241.75</v>
      </c>
      <c r="I225" s="1">
        <v>221</v>
      </c>
      <c r="J225" s="1">
        <f t="shared" si="20"/>
        <v>241.75</v>
      </c>
      <c r="K225" s="1">
        <f t="shared" si="21"/>
        <v>0.25</v>
      </c>
      <c r="M225"/>
      <c r="N225"/>
      <c r="O225"/>
      <c r="P225"/>
      <c r="Q225"/>
    </row>
    <row r="226" spans="8:17" x14ac:dyDescent="0.4">
      <c r="H226" s="8">
        <f t="shared" si="19"/>
        <v>242.25</v>
      </c>
      <c r="I226" s="1">
        <v>222</v>
      </c>
      <c r="J226" s="1">
        <f t="shared" si="20"/>
        <v>242.25</v>
      </c>
      <c r="K226" s="1">
        <f t="shared" si="21"/>
        <v>0.5</v>
      </c>
      <c r="M226"/>
      <c r="N226"/>
      <c r="O226"/>
      <c r="P226"/>
      <c r="Q226"/>
    </row>
    <row r="227" spans="8:17" x14ac:dyDescent="0.4">
      <c r="H227" s="8">
        <f t="shared" si="19"/>
        <v>242.75</v>
      </c>
      <c r="I227" s="1">
        <v>223</v>
      </c>
      <c r="J227" s="1">
        <f t="shared" si="20"/>
        <v>242.75</v>
      </c>
      <c r="K227" s="1">
        <f t="shared" si="21"/>
        <v>0.5</v>
      </c>
      <c r="M227"/>
      <c r="N227"/>
      <c r="O227"/>
      <c r="P227"/>
      <c r="Q227"/>
    </row>
    <row r="228" spans="8:17" x14ac:dyDescent="0.4">
      <c r="H228" s="8">
        <f t="shared" si="19"/>
        <v>243</v>
      </c>
      <c r="I228" s="1">
        <v>224</v>
      </c>
      <c r="J228" s="1">
        <f t="shared" si="20"/>
        <v>243</v>
      </c>
      <c r="K228" s="1">
        <f t="shared" si="21"/>
        <v>0.25</v>
      </c>
      <c r="M228"/>
      <c r="N228"/>
      <c r="O228"/>
      <c r="P228"/>
      <c r="Q228"/>
    </row>
    <row r="229" spans="8:17" x14ac:dyDescent="0.4">
      <c r="H229" s="8">
        <f t="shared" si="19"/>
        <v>243.5</v>
      </c>
      <c r="I229" s="1">
        <v>225</v>
      </c>
      <c r="J229" s="1">
        <f t="shared" si="20"/>
        <v>243.5</v>
      </c>
      <c r="K229" s="1">
        <f t="shared" si="21"/>
        <v>0.5</v>
      </c>
      <c r="M229"/>
      <c r="N229"/>
      <c r="O229"/>
      <c r="P229"/>
      <c r="Q229"/>
    </row>
    <row r="230" spans="8:17" x14ac:dyDescent="0.4">
      <c r="H230" s="8">
        <f t="shared" si="19"/>
        <v>243.75</v>
      </c>
      <c r="I230" s="1">
        <v>226</v>
      </c>
      <c r="J230" s="1">
        <f t="shared" si="20"/>
        <v>243.75</v>
      </c>
      <c r="K230" s="1">
        <f t="shared" si="21"/>
        <v>0.25</v>
      </c>
      <c r="M230"/>
      <c r="N230"/>
      <c r="O230"/>
      <c r="P230"/>
      <c r="Q230"/>
    </row>
    <row r="231" spans="8:17" x14ac:dyDescent="0.4">
      <c r="H231" s="8">
        <f t="shared" si="19"/>
        <v>244</v>
      </c>
      <c r="I231" s="1">
        <v>227</v>
      </c>
      <c r="J231" s="1">
        <f t="shared" si="20"/>
        <v>244</v>
      </c>
      <c r="K231" s="1">
        <f t="shared" si="21"/>
        <v>0.25</v>
      </c>
      <c r="M231"/>
      <c r="N231"/>
      <c r="O231"/>
      <c r="P231"/>
      <c r="Q231"/>
    </row>
    <row r="232" spans="8:17" x14ac:dyDescent="0.4">
      <c r="H232" s="8">
        <f t="shared" si="19"/>
        <v>244.5</v>
      </c>
      <c r="I232" s="1">
        <v>228</v>
      </c>
      <c r="J232" s="1">
        <f t="shared" si="20"/>
        <v>244.5</v>
      </c>
      <c r="K232" s="1">
        <f t="shared" si="21"/>
        <v>0.5</v>
      </c>
      <c r="M232"/>
      <c r="N232"/>
      <c r="O232"/>
      <c r="P232"/>
      <c r="Q232"/>
    </row>
    <row r="233" spans="8:17" x14ac:dyDescent="0.4">
      <c r="H233" s="8">
        <f t="shared" si="19"/>
        <v>245</v>
      </c>
      <c r="I233" s="1">
        <v>229</v>
      </c>
      <c r="J233" s="1">
        <f t="shared" si="20"/>
        <v>245</v>
      </c>
      <c r="K233" s="1">
        <f t="shared" si="21"/>
        <v>0.5</v>
      </c>
      <c r="M233"/>
      <c r="N233"/>
      <c r="O233"/>
      <c r="P233"/>
      <c r="Q233"/>
    </row>
    <row r="234" spans="8:17" x14ac:dyDescent="0.4">
      <c r="H234" s="8">
        <f t="shared" si="19"/>
        <v>245.5</v>
      </c>
      <c r="I234" s="1">
        <v>230</v>
      </c>
      <c r="J234" s="1">
        <f t="shared" si="20"/>
        <v>245.5</v>
      </c>
      <c r="K234" s="1">
        <f t="shared" si="21"/>
        <v>0.5</v>
      </c>
      <c r="M234"/>
      <c r="N234"/>
      <c r="O234"/>
      <c r="P234"/>
      <c r="Q234"/>
    </row>
    <row r="235" spans="8:17" x14ac:dyDescent="0.4">
      <c r="H235" s="8">
        <f t="shared" si="19"/>
        <v>245.75</v>
      </c>
      <c r="I235" s="1">
        <v>231</v>
      </c>
      <c r="J235" s="1">
        <f t="shared" si="20"/>
        <v>245.75</v>
      </c>
      <c r="K235" s="1">
        <f t="shared" si="21"/>
        <v>0.25</v>
      </c>
      <c r="M235"/>
      <c r="N235"/>
      <c r="O235"/>
      <c r="P235"/>
      <c r="Q235"/>
    </row>
    <row r="236" spans="8:17" x14ac:dyDescent="0.4">
      <c r="H236" s="8">
        <f t="shared" si="19"/>
        <v>246.25</v>
      </c>
      <c r="I236" s="1">
        <v>232</v>
      </c>
      <c r="J236" s="1">
        <f t="shared" si="20"/>
        <v>246.25</v>
      </c>
      <c r="K236" s="1">
        <f t="shared" si="21"/>
        <v>0.5</v>
      </c>
      <c r="M236"/>
      <c r="N236"/>
      <c r="O236"/>
      <c r="P236"/>
      <c r="Q236"/>
    </row>
    <row r="237" spans="8:17" x14ac:dyDescent="0.4">
      <c r="H237" s="8">
        <f t="shared" si="19"/>
        <v>246.75</v>
      </c>
      <c r="I237" s="1">
        <v>233</v>
      </c>
      <c r="J237" s="1">
        <f t="shared" si="20"/>
        <v>246.75</v>
      </c>
      <c r="K237" s="1">
        <f t="shared" si="21"/>
        <v>0.5</v>
      </c>
      <c r="M237"/>
      <c r="N237"/>
      <c r="O237"/>
      <c r="P237"/>
      <c r="Q237"/>
    </row>
    <row r="238" spans="8:17" x14ac:dyDescent="0.4">
      <c r="H238" s="8">
        <f t="shared" si="19"/>
        <v>247</v>
      </c>
      <c r="I238" s="1">
        <v>234</v>
      </c>
      <c r="J238" s="1">
        <f t="shared" si="20"/>
        <v>247</v>
      </c>
      <c r="K238" s="1">
        <f t="shared" si="21"/>
        <v>0.25</v>
      </c>
      <c r="M238"/>
      <c r="N238"/>
      <c r="O238"/>
      <c r="P238"/>
      <c r="Q238"/>
    </row>
    <row r="239" spans="8:17" x14ac:dyDescent="0.4">
      <c r="H239" s="8">
        <f t="shared" si="19"/>
        <v>247.5</v>
      </c>
      <c r="I239" s="1">
        <v>235</v>
      </c>
      <c r="J239" s="1">
        <f t="shared" si="20"/>
        <v>247.5</v>
      </c>
      <c r="K239" s="1">
        <f t="shared" si="21"/>
        <v>0.5</v>
      </c>
      <c r="M239"/>
      <c r="N239"/>
      <c r="O239"/>
      <c r="P239"/>
      <c r="Q239"/>
    </row>
    <row r="240" spans="8:17" x14ac:dyDescent="0.4">
      <c r="H240" s="8">
        <f t="shared" si="19"/>
        <v>248</v>
      </c>
      <c r="I240" s="1">
        <v>236</v>
      </c>
      <c r="J240" s="1">
        <f t="shared" si="20"/>
        <v>248</v>
      </c>
      <c r="K240" s="1">
        <f t="shared" si="21"/>
        <v>0.5</v>
      </c>
      <c r="M240"/>
      <c r="N240"/>
      <c r="O240"/>
      <c r="P240"/>
      <c r="Q240"/>
    </row>
    <row r="241" spans="8:17" x14ac:dyDescent="0.4">
      <c r="H241" s="8">
        <f t="shared" si="19"/>
        <v>248.5</v>
      </c>
      <c r="I241" s="1">
        <v>237</v>
      </c>
      <c r="J241" s="1">
        <f t="shared" si="20"/>
        <v>248.5</v>
      </c>
      <c r="K241" s="1">
        <f t="shared" si="21"/>
        <v>0.5</v>
      </c>
      <c r="M241"/>
      <c r="N241"/>
      <c r="O241"/>
      <c r="P241"/>
      <c r="Q241"/>
    </row>
    <row r="242" spans="8:17" x14ac:dyDescent="0.4">
      <c r="H242" s="8">
        <f t="shared" si="19"/>
        <v>248.75</v>
      </c>
      <c r="I242" s="1">
        <v>238</v>
      </c>
      <c r="J242" s="1">
        <f t="shared" si="20"/>
        <v>248.75</v>
      </c>
      <c r="K242" s="1">
        <f t="shared" si="21"/>
        <v>0.25</v>
      </c>
      <c r="M242"/>
      <c r="N242"/>
      <c r="O242"/>
      <c r="P242"/>
      <c r="Q242"/>
    </row>
    <row r="243" spans="8:17" x14ac:dyDescent="0.4">
      <c r="H243" s="8">
        <f t="shared" si="19"/>
        <v>249.25</v>
      </c>
      <c r="I243" s="1">
        <v>239</v>
      </c>
      <c r="J243" s="1">
        <f t="shared" si="20"/>
        <v>249.25</v>
      </c>
      <c r="K243" s="1">
        <f t="shared" si="21"/>
        <v>0.5</v>
      </c>
      <c r="M243"/>
      <c r="N243"/>
      <c r="O243"/>
      <c r="P243"/>
      <c r="Q243"/>
    </row>
    <row r="244" spans="8:17" x14ac:dyDescent="0.4">
      <c r="H244" s="8">
        <f t="shared" si="19"/>
        <v>249.75</v>
      </c>
      <c r="I244" s="1">
        <v>240</v>
      </c>
      <c r="J244" s="1">
        <f t="shared" si="20"/>
        <v>249.75</v>
      </c>
      <c r="K244" s="1">
        <f t="shared" si="21"/>
        <v>0.5</v>
      </c>
      <c r="M244"/>
      <c r="N244"/>
      <c r="O244"/>
      <c r="P244"/>
      <c r="Q244"/>
    </row>
    <row r="245" spans="8:17" x14ac:dyDescent="0.4">
      <c r="H245" s="8">
        <f t="shared" si="19"/>
        <v>250.25</v>
      </c>
      <c r="I245" s="1">
        <v>241</v>
      </c>
      <c r="J245" s="1">
        <f t="shared" si="20"/>
        <v>250.25</v>
      </c>
      <c r="K245" s="1">
        <f t="shared" si="21"/>
        <v>0.5</v>
      </c>
      <c r="M245"/>
      <c r="N245"/>
      <c r="O245"/>
      <c r="P245"/>
      <c r="Q245"/>
    </row>
    <row r="246" spans="8:17" x14ac:dyDescent="0.4">
      <c r="H246" s="8">
        <f t="shared" si="19"/>
        <v>250.75</v>
      </c>
      <c r="I246" s="1">
        <v>242</v>
      </c>
      <c r="J246" s="1">
        <f t="shared" si="20"/>
        <v>250.75</v>
      </c>
      <c r="K246" s="1">
        <f t="shared" si="21"/>
        <v>0.5</v>
      </c>
      <c r="M246"/>
      <c r="N246"/>
      <c r="O246"/>
      <c r="P246"/>
      <c r="Q246"/>
    </row>
    <row r="247" spans="8:17" x14ac:dyDescent="0.4">
      <c r="H247" s="8">
        <f t="shared" si="19"/>
        <v>251</v>
      </c>
      <c r="I247" s="1">
        <v>243</v>
      </c>
      <c r="J247" s="1">
        <f t="shared" si="20"/>
        <v>251</v>
      </c>
      <c r="K247" s="1">
        <f t="shared" si="21"/>
        <v>0.25</v>
      </c>
      <c r="M247"/>
      <c r="N247"/>
      <c r="O247"/>
      <c r="P247"/>
      <c r="Q247"/>
    </row>
    <row r="248" spans="8:17" x14ac:dyDescent="0.4">
      <c r="H248" s="8">
        <f t="shared" si="19"/>
        <v>251.25</v>
      </c>
      <c r="I248" s="1">
        <v>244</v>
      </c>
      <c r="J248" s="1">
        <f t="shared" si="20"/>
        <v>251.25</v>
      </c>
      <c r="K248" s="1">
        <f t="shared" si="21"/>
        <v>0.25</v>
      </c>
      <c r="M248"/>
      <c r="N248"/>
      <c r="O248"/>
      <c r="P248"/>
      <c r="Q248"/>
    </row>
    <row r="249" spans="8:17" x14ac:dyDescent="0.4">
      <c r="H249" s="8">
        <f t="shared" si="19"/>
        <v>251.75</v>
      </c>
      <c r="I249" s="1">
        <v>245</v>
      </c>
      <c r="J249" s="1">
        <f t="shared" si="20"/>
        <v>251.75</v>
      </c>
      <c r="K249" s="1">
        <f t="shared" si="21"/>
        <v>0.5</v>
      </c>
      <c r="M249"/>
      <c r="N249"/>
      <c r="O249"/>
      <c r="P249"/>
      <c r="Q249"/>
    </row>
    <row r="250" spans="8:17" x14ac:dyDescent="0.4">
      <c r="H250" s="8">
        <f t="shared" si="19"/>
        <v>252</v>
      </c>
      <c r="I250" s="1">
        <v>246</v>
      </c>
      <c r="J250" s="1">
        <f t="shared" si="20"/>
        <v>252</v>
      </c>
      <c r="K250" s="1">
        <f t="shared" si="21"/>
        <v>0.25</v>
      </c>
      <c r="M250"/>
      <c r="N250"/>
      <c r="O250"/>
      <c r="P250"/>
      <c r="Q250"/>
    </row>
    <row r="251" spans="8:17" x14ac:dyDescent="0.4">
      <c r="H251" s="8">
        <f t="shared" si="19"/>
        <v>252.5</v>
      </c>
      <c r="I251" s="1">
        <v>247</v>
      </c>
      <c r="J251" s="1">
        <f t="shared" si="20"/>
        <v>252.5</v>
      </c>
      <c r="K251" s="1">
        <f t="shared" si="21"/>
        <v>0.5</v>
      </c>
      <c r="M251"/>
      <c r="N251"/>
      <c r="O251"/>
      <c r="P251"/>
      <c r="Q251"/>
    </row>
    <row r="252" spans="8:17" x14ac:dyDescent="0.4">
      <c r="H252" s="8">
        <f t="shared" si="19"/>
        <v>252.75</v>
      </c>
      <c r="I252" s="1">
        <v>248</v>
      </c>
      <c r="J252" s="1">
        <f t="shared" si="20"/>
        <v>252.75</v>
      </c>
      <c r="K252" s="1">
        <f t="shared" si="21"/>
        <v>0.25</v>
      </c>
      <c r="M252"/>
      <c r="N252"/>
      <c r="O252"/>
      <c r="P252"/>
      <c r="Q252"/>
    </row>
    <row r="253" spans="8:17" x14ac:dyDescent="0.4">
      <c r="H253" s="8">
        <f t="shared" si="19"/>
        <v>253.25</v>
      </c>
      <c r="I253" s="1">
        <v>249</v>
      </c>
      <c r="J253" s="1">
        <f t="shared" si="20"/>
        <v>253.25</v>
      </c>
      <c r="K253" s="1">
        <f t="shared" si="21"/>
        <v>0.5</v>
      </c>
      <c r="M253"/>
      <c r="N253"/>
      <c r="O253"/>
      <c r="P253"/>
      <c r="Q253"/>
    </row>
    <row r="254" spans="8:17" x14ac:dyDescent="0.4">
      <c r="H254" s="8">
        <f t="shared" si="19"/>
        <v>253.75</v>
      </c>
      <c r="I254" s="1">
        <v>250</v>
      </c>
      <c r="J254" s="1">
        <f t="shared" si="20"/>
        <v>253.75</v>
      </c>
      <c r="K254" s="1">
        <f t="shared" si="21"/>
        <v>0.5</v>
      </c>
      <c r="M254"/>
      <c r="N254"/>
      <c r="O254"/>
      <c r="P254"/>
      <c r="Q254"/>
    </row>
    <row r="255" spans="8:17" x14ac:dyDescent="0.4">
      <c r="H255" s="8">
        <f t="shared" si="19"/>
        <v>254</v>
      </c>
      <c r="I255" s="1">
        <v>251</v>
      </c>
      <c r="J255" s="1">
        <f t="shared" si="20"/>
        <v>254</v>
      </c>
      <c r="K255" s="1">
        <f t="shared" si="21"/>
        <v>0.25</v>
      </c>
      <c r="M255"/>
      <c r="N255"/>
      <c r="O255"/>
      <c r="P255"/>
      <c r="Q255"/>
    </row>
    <row r="256" spans="8:17" x14ac:dyDescent="0.4">
      <c r="H256" s="8">
        <f t="shared" si="19"/>
        <v>254.25</v>
      </c>
      <c r="I256" s="1">
        <v>252</v>
      </c>
      <c r="J256" s="1">
        <f t="shared" si="20"/>
        <v>254.25</v>
      </c>
      <c r="K256" s="1">
        <f t="shared" si="21"/>
        <v>0.25</v>
      </c>
      <c r="M256"/>
      <c r="N256"/>
      <c r="O256"/>
      <c r="P256"/>
      <c r="Q256"/>
    </row>
    <row r="257" spans="8:17" x14ac:dyDescent="0.4">
      <c r="H257" s="8">
        <f t="shared" si="19"/>
        <v>254.75</v>
      </c>
      <c r="I257" s="1">
        <v>253</v>
      </c>
      <c r="J257" s="1">
        <f t="shared" si="20"/>
        <v>254.75</v>
      </c>
      <c r="K257" s="1">
        <f t="shared" si="21"/>
        <v>0.5</v>
      </c>
      <c r="M257"/>
      <c r="N257"/>
      <c r="O257"/>
      <c r="P257"/>
      <c r="Q257"/>
    </row>
    <row r="258" spans="8:17" x14ac:dyDescent="0.4">
      <c r="H258" s="8">
        <f t="shared" si="19"/>
        <v>255</v>
      </c>
      <c r="I258" s="1">
        <v>254</v>
      </c>
      <c r="J258" s="1">
        <f t="shared" si="20"/>
        <v>255</v>
      </c>
      <c r="K258" s="1">
        <f t="shared" si="21"/>
        <v>0.25</v>
      </c>
      <c r="M258"/>
      <c r="N258"/>
      <c r="O258"/>
      <c r="P258"/>
      <c r="Q258"/>
    </row>
    <row r="259" spans="8:17" x14ac:dyDescent="0.4">
      <c r="H259" s="8">
        <f t="shared" si="19"/>
        <v>255.5</v>
      </c>
      <c r="I259" s="1">
        <v>255</v>
      </c>
      <c r="J259" s="1">
        <f t="shared" si="20"/>
        <v>255.5</v>
      </c>
      <c r="K259" s="1">
        <f t="shared" si="21"/>
        <v>0.5</v>
      </c>
      <c r="M259"/>
      <c r="N259"/>
      <c r="O259"/>
      <c r="P259"/>
      <c r="Q259"/>
    </row>
    <row r="260" spans="8:17" x14ac:dyDescent="0.4">
      <c r="H260" s="8">
        <f t="shared" si="19"/>
        <v>255.75</v>
      </c>
      <c r="I260" s="1">
        <v>256</v>
      </c>
      <c r="J260" s="1">
        <f>VALUE(RIGHT($O$2,LEN($O$2)-FIND("*",SUBSTITUTE($O$2," ","*",256),1)))/4</f>
        <v>255.75</v>
      </c>
      <c r="K260" s="1">
        <f t="shared" si="21"/>
        <v>0.25</v>
      </c>
      <c r="M260"/>
      <c r="N260"/>
      <c r="O260"/>
      <c r="P260"/>
      <c r="Q260"/>
    </row>
    <row r="261" spans="8:17" x14ac:dyDescent="0.4">
      <c r="M261"/>
      <c r="N261"/>
      <c r="O261"/>
      <c r="P261"/>
      <c r="Q261"/>
    </row>
    <row r="262" spans="8:17" x14ac:dyDescent="0.4">
      <c r="M262"/>
      <c r="N262"/>
      <c r="O262"/>
      <c r="P262"/>
      <c r="Q262"/>
    </row>
    <row r="263" spans="8:17" x14ac:dyDescent="0.4">
      <c r="M263"/>
      <c r="N263"/>
      <c r="O263"/>
      <c r="P263"/>
      <c r="Q263"/>
    </row>
    <row r="264" spans="8:17" x14ac:dyDescent="0.4">
      <c r="M264"/>
      <c r="N264"/>
      <c r="O264"/>
      <c r="P264"/>
      <c r="Q264"/>
    </row>
    <row r="265" spans="8:17" x14ac:dyDescent="0.4">
      <c r="M265"/>
      <c r="N265"/>
      <c r="O265"/>
      <c r="P265"/>
      <c r="Q265"/>
    </row>
    <row r="266" spans="8:17" x14ac:dyDescent="0.4">
      <c r="M266"/>
      <c r="N266"/>
      <c r="O266"/>
      <c r="P266"/>
      <c r="Q266"/>
    </row>
    <row r="267" spans="8:17" x14ac:dyDescent="0.4">
      <c r="M267"/>
      <c r="N267"/>
      <c r="O267"/>
      <c r="P267"/>
      <c r="Q267"/>
    </row>
    <row r="268" spans="8:17" x14ac:dyDescent="0.4">
      <c r="M268"/>
      <c r="N268"/>
      <c r="O268"/>
      <c r="P268"/>
      <c r="Q268"/>
    </row>
    <row r="269" spans="8:17" x14ac:dyDescent="0.4">
      <c r="M269"/>
      <c r="N269"/>
      <c r="O269"/>
      <c r="P269"/>
      <c r="Q269"/>
    </row>
    <row r="270" spans="8:17" x14ac:dyDescent="0.4">
      <c r="M270"/>
      <c r="N270"/>
      <c r="O270"/>
      <c r="P270"/>
      <c r="Q270"/>
    </row>
    <row r="271" spans="8:17" x14ac:dyDescent="0.4">
      <c r="M271"/>
      <c r="N271"/>
      <c r="O271"/>
      <c r="P271"/>
      <c r="Q271"/>
    </row>
    <row r="272" spans="8:17" x14ac:dyDescent="0.4">
      <c r="M272"/>
      <c r="N272"/>
      <c r="O272"/>
      <c r="P272"/>
      <c r="Q272"/>
    </row>
    <row r="273" spans="13:17" x14ac:dyDescent="0.4">
      <c r="M273"/>
      <c r="N273"/>
      <c r="O273"/>
      <c r="P273"/>
      <c r="Q273"/>
    </row>
    <row r="274" spans="13:17" x14ac:dyDescent="0.4">
      <c r="M274"/>
      <c r="N274"/>
      <c r="O274"/>
      <c r="P274"/>
      <c r="Q274"/>
    </row>
    <row r="275" spans="13:17" x14ac:dyDescent="0.4">
      <c r="M275"/>
      <c r="N275"/>
      <c r="O275"/>
      <c r="P275"/>
      <c r="Q275"/>
    </row>
    <row r="276" spans="13:17" x14ac:dyDescent="0.4">
      <c r="M276"/>
      <c r="N276"/>
      <c r="O276"/>
      <c r="P276"/>
      <c r="Q276"/>
    </row>
    <row r="277" spans="13:17" x14ac:dyDescent="0.4">
      <c r="M277"/>
      <c r="N277"/>
      <c r="O277"/>
      <c r="P277"/>
      <c r="Q277"/>
    </row>
    <row r="278" spans="13:17" x14ac:dyDescent="0.4">
      <c r="M278"/>
      <c r="N278"/>
      <c r="O278"/>
      <c r="P278"/>
      <c r="Q278"/>
    </row>
    <row r="279" spans="13:17" x14ac:dyDescent="0.4">
      <c r="M279"/>
      <c r="N279"/>
      <c r="O279"/>
      <c r="P279"/>
      <c r="Q279"/>
    </row>
    <row r="280" spans="13:17" x14ac:dyDescent="0.4">
      <c r="M280"/>
      <c r="N280"/>
      <c r="O280"/>
      <c r="P280"/>
      <c r="Q280"/>
    </row>
    <row r="281" spans="13:17" x14ac:dyDescent="0.4">
      <c r="M281"/>
      <c r="N281"/>
      <c r="O281"/>
      <c r="P281"/>
      <c r="Q281"/>
    </row>
    <row r="282" spans="13:17" x14ac:dyDescent="0.4">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0910286003</cp:lastModifiedBy>
  <dcterms:created xsi:type="dcterms:W3CDTF">2022-10-25T01:46:09Z</dcterms:created>
  <dcterms:modified xsi:type="dcterms:W3CDTF">2023-08-25T02:36:59Z</dcterms:modified>
</cp:coreProperties>
</file>