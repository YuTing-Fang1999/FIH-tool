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 tool整合\FIH-tool\QUL\AEsimulator\"/>
    </mc:Choice>
  </mc:AlternateContent>
  <xr:revisionPtr revIDLastSave="0" documentId="13_ncr:1_{33A207E9-AC14-4992-98FC-FAE3A025C43F}" xr6:coauthVersionLast="47" xr6:coauthVersionMax="47" xr10:uidLastSave="{00000000-0000-0000-0000-000000000000}"/>
  <bookViews>
    <workbookView xWindow="4908" yWindow="3360" windowWidth="17280" windowHeight="8880"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94" i="3" l="1"/>
  <c r="K20" i="3"/>
  <c r="K112" i="3"/>
  <c r="I92" i="6"/>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51" i="5"/>
  <c r="F25" i="5" s="1"/>
  <c r="J22" i="1" s="1"/>
  <c r="D48" i="5"/>
  <c r="D52" i="5"/>
  <c r="F26" i="5" s="1"/>
  <c r="J23" i="1" s="1"/>
  <c r="D38" i="5"/>
  <c r="F32" i="5"/>
  <c r="D46" i="5"/>
  <c r="F45" i="5"/>
  <c r="D31" i="5"/>
  <c r="D18" i="5" s="1"/>
  <c r="N15" i="1" s="1"/>
  <c r="D44" i="5"/>
  <c r="F18" i="5" s="1"/>
  <c r="J15" i="1" s="1"/>
  <c r="D29" i="5"/>
  <c r="D33"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E53" i="3" l="1"/>
  <c r="C53" i="3" s="1"/>
  <c r="F54" i="3"/>
  <c r="D54" i="3" s="1"/>
  <c r="E45" i="3"/>
  <c r="C45" i="3" s="1"/>
  <c r="E47" i="3"/>
  <c r="C47" i="3" s="1"/>
  <c r="E54" i="3"/>
  <c r="C54" i="3" s="1"/>
  <c r="F50" i="3"/>
  <c r="D50" i="3" s="1"/>
  <c r="E40" i="3"/>
  <c r="C40" i="3" s="1"/>
  <c r="E49" i="3"/>
  <c r="C49" i="3" s="1"/>
  <c r="F37" i="3"/>
  <c r="F52" i="3"/>
  <c r="D52" i="3" s="1"/>
  <c r="F53" i="3"/>
  <c r="D53" i="3" s="1"/>
  <c r="E55" i="3"/>
  <c r="C55" i="3" s="1"/>
  <c r="E51" i="3"/>
  <c r="C51" i="3" s="1"/>
  <c r="F47" i="3"/>
  <c r="D47" i="3" s="1"/>
  <c r="F46" i="3"/>
  <c r="D46" i="3" s="1"/>
  <c r="F39" i="3"/>
  <c r="D39" i="3" s="1"/>
  <c r="E39" i="3"/>
  <c r="C39" i="3" s="1"/>
  <c r="E48" i="3"/>
  <c r="C48" i="3" s="1"/>
  <c r="F38" i="3"/>
  <c r="E44" i="3"/>
  <c r="C44" i="3" s="1"/>
  <c r="E50" i="3"/>
  <c r="C50" i="3" s="1"/>
  <c r="F44" i="3"/>
  <c r="D44" i="3" s="1"/>
  <c r="E38" i="3"/>
  <c r="C38" i="3" s="1"/>
  <c r="F41" i="3"/>
  <c r="D41" i="3" s="1"/>
  <c r="F40" i="3"/>
  <c r="E46" i="3"/>
  <c r="C46" i="3" s="1"/>
  <c r="F45" i="3"/>
  <c r="D45" i="3" s="1"/>
  <c r="F48" i="3"/>
  <c r="D48" i="3" s="1"/>
  <c r="E37" i="3"/>
  <c r="C37" i="3" s="1"/>
  <c r="F49" i="3"/>
  <c r="D49" i="3" s="1"/>
  <c r="F51" i="3"/>
  <c r="F55" i="3"/>
  <c r="F36" i="3"/>
  <c r="E52" i="3"/>
  <c r="C52" i="3" s="1"/>
  <c r="E36" i="3"/>
  <c r="C36" i="3" s="1"/>
  <c r="E41" i="3"/>
  <c r="C41" i="3" s="1"/>
  <c r="I93" i="6"/>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20" i="3" l="1"/>
  <c r="J24" i="4" s="1"/>
  <c r="F25" i="3"/>
  <c r="J35" i="4" s="1"/>
  <c r="F24" i="3"/>
  <c r="J34" i="4" s="1"/>
  <c r="D25" i="3"/>
  <c r="N35" i="4" s="1"/>
  <c r="F17" i="3"/>
  <c r="J15" i="4" s="1"/>
  <c r="F18" i="3"/>
  <c r="J19" i="4" s="1"/>
  <c r="D36" i="3"/>
  <c r="D22" i="3" s="1"/>
  <c r="N29" i="4" s="1"/>
  <c r="D51" i="3"/>
  <c r="F23" i="3" s="1"/>
  <c r="J30" i="4" s="1"/>
  <c r="F21" i="3"/>
  <c r="J25" i="4" s="1"/>
  <c r="F22" i="3"/>
  <c r="J29" i="4" s="1"/>
  <c r="F16" i="3"/>
  <c r="J14" i="4" s="1"/>
  <c r="D55" i="3"/>
  <c r="F27" i="3" s="1"/>
  <c r="J40" i="4" s="1"/>
  <c r="L40" i="4" s="1"/>
  <c r="D38" i="3"/>
  <c r="D24" i="3" s="1"/>
  <c r="N34" i="4" s="1"/>
  <c r="D40" i="3"/>
  <c r="D26" i="3" s="1"/>
  <c r="N39" i="4" s="1"/>
  <c r="D27" i="3"/>
  <c r="N40" i="4" s="1"/>
  <c r="F26" i="3"/>
  <c r="J39" i="4" s="1"/>
  <c r="D37" i="3"/>
  <c r="D23" i="3" s="1"/>
  <c r="N30" i="4" s="1"/>
  <c r="F19" i="3"/>
  <c r="J20" i="4" s="1"/>
  <c r="K33" i="6"/>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N19" i="4" s="1"/>
  <c r="D34" i="3"/>
  <c r="L19" i="1"/>
  <c r="L21" i="1"/>
  <c r="D33" i="3"/>
  <c r="D19" i="3" s="1"/>
  <c r="L22" i="1"/>
  <c r="D35" i="3"/>
  <c r="D21" i="3" s="1"/>
  <c r="N25" i="4" s="1"/>
  <c r="D17" i="3"/>
  <c r="L35" i="4" l="1"/>
  <c r="L30" i="4"/>
  <c r="L25" i="4"/>
  <c r="L39" i="4"/>
  <c r="L29" i="4"/>
  <c r="N20" i="4"/>
  <c r="L20" i="4" s="1"/>
  <c r="L19" i="4"/>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<sst xmlns="http://schemas.openxmlformats.org/spreadsheetml/2006/main" count="226" uniqueCount="62">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</sst>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0" fontId="0" fillId="60" borderId="0" xfId="0" applyFill="1"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0" borderId="1" xfId="0" applyNumberFormat="1" applyBorder="1" applyAlignment="1">
      <alignment vertical="center" wrapText="1"/>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abSelected="1"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1" t="s">
        <v>24</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E7"/>
      <c r="F7"/>
      <c r="G7"/>
      <c r="H7"/>
      <c r="I7"/>
      <c r="K7" s="1"/>
    </row>
    <row r="8" spans="1:14" ht="16.5" customHeight="1" x14ac:dyDescent="0.3">
      <c r="A8" s="1"/>
      <c r="B8" s="92" t="s">
        <v>25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v>218.50829999999999</v>
      </c>
      <c r="E14" s="84">
        <v>213.1508</v>
      </c>
      <c r="F14" s="1">
        <f>D14-E14</f>
        <v>5.3574999999999875</v>
      </c>
      <c r="G14"/>
      <c r="H14" s="90">
        <v>50</v>
      </c>
      <c r="I14" s="84">
        <v>218.50829999999999</v>
      </c>
      <c r="J14" s="1">
        <f>'(gamma)'!F16</f>
        <v>171.01659999999993</v>
      </c>
      <c r="K14" s="1"/>
      <c r="L14" s="85">
        <f>H14*N14/J14</f>
        <v>47.013447817346403</v>
      </c>
      <c r="M14" s="1">
        <f>E14</f>
        <v>213.1508</v>
      </c>
      <c r="N14" s="1">
        <f>'(gamma)'!D16</f>
        <v>160.80160000000001</v>
      </c>
    </row>
    <row r="15" spans="1:14" x14ac:dyDescent="0.3">
      <c r="B15" s="89"/>
      <c r="C15" s="89"/>
      <c r="D15" s="1">
        <v>186.32740000000001</v>
      </c>
      <c r="E15" s="84">
        <v>195.60929999999999</v>
      </c>
      <c r="F15" s="1">
        <f>D15-E15</f>
        <v>-9.2818999999999789</v>
      </c>
      <c r="G15"/>
      <c r="H15" s="90"/>
      <c r="I15" s="84">
        <v>186.32740000000001</v>
      </c>
      <c r="J15" s="1">
        <f>'(gamma)'!F17</f>
        <v>118.43653333333339</v>
      </c>
      <c r="K15" s="1"/>
      <c r="L15" s="85">
        <f>H14*N15/J15</f>
        <v>55.928294647822604</v>
      </c>
      <c r="M15" s="1">
        <f>E15</f>
        <v>195.60929999999999</v>
      </c>
      <c r="N15" s="1">
        <f>'(gamma)'!D17</f>
        <v>132.47906666666665</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topLeftCell="A4" zoomScaleNormal="100" workbookViewId="0">
      <selection activeCell="C29" sqref="C2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213.1508</v>
      </c>
      <c r="D16" s="6">
        <f t="shared" ref="D16:D25" si="3">((F30-E30)*C16)/(D30-C30)+E30-(C30*((F30-E30)/(D30-C30)))</f>
        <v>160.80160000000001</v>
      </c>
      <c r="E16" s="1">
        <f>colorChecker!I14</f>
        <v>218.50829999999999</v>
      </c>
      <c r="F16" s="15">
        <f t="shared" ref="F16:F27" si="4">((F44-E44)*E16)/(D44-C44)+E44-(C44*((F44-E44)/(D44-C44)))</f>
        <v>171.01659999999993</v>
      </c>
      <c r="H16" s="8">
        <f t="shared" si="0"/>
        <v>39.75</v>
      </c>
      <c r="I16" s="1">
        <v>12</v>
      </c>
      <c r="J16" s="1">
        <f t="shared" si="1"/>
        <v>39.75</v>
      </c>
      <c r="K16" s="1">
        <f t="shared" si="2"/>
        <v>3</v>
      </c>
    </row>
    <row r="17" spans="2:18" x14ac:dyDescent="0.3">
      <c r="B17" s="89"/>
      <c r="C17" s="1">
        <f>colorChecker!E15</f>
        <v>195.60929999999999</v>
      </c>
      <c r="D17" s="6">
        <f t="shared" si="3"/>
        <v>132.47906666666665</v>
      </c>
      <c r="E17" s="1">
        <f>colorChecker!I15</f>
        <v>186.32740000000001</v>
      </c>
      <c r="F17" s="15">
        <f t="shared" si="4"/>
        <v>118.43653333333339</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212.75</v>
      </c>
      <c r="D30" s="1">
        <f t="shared" si="5"/>
        <v>213.25</v>
      </c>
      <c r="E30" s="1">
        <f t="shared" ref="E30:E39" si="6">VLOOKUP(ROUNDUP(C16,1),$H$4:$I$260,2,TRUE)</f>
        <v>160</v>
      </c>
      <c r="F30" s="1">
        <f t="shared" ref="F30:F39" si="7">VLOOKUP(ROUNDUP(C16,1),$H$4:$I$260,2,TRUE)+1</f>
        <v>161</v>
      </c>
      <c r="H30" s="8">
        <f t="shared" si="0"/>
        <v>76.25</v>
      </c>
      <c r="I30" s="1">
        <v>26</v>
      </c>
      <c r="J30" s="1">
        <f t="shared" si="1"/>
        <v>76.25</v>
      </c>
      <c r="K30" s="1">
        <f t="shared" si="2"/>
        <v>2</v>
      </c>
      <c r="M30"/>
      <c r="N30"/>
      <c r="O30"/>
      <c r="P30"/>
      <c r="Q30"/>
      <c r="R30"/>
    </row>
    <row r="31" spans="2:18" x14ac:dyDescent="0.3">
      <c r="B31" s="1">
        <v>2</v>
      </c>
      <c r="C31" s="1">
        <f t="shared" si="5"/>
        <v>195.25</v>
      </c>
      <c r="D31" s="1">
        <f t="shared" si="5"/>
        <v>196</v>
      </c>
      <c r="E31" s="1">
        <f t="shared" si="6"/>
        <v>132</v>
      </c>
      <c r="F31" s="1">
        <f t="shared" si="7"/>
        <v>133</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218.5</v>
      </c>
      <c r="D44" s="9">
        <f t="shared" si="9"/>
        <v>219</v>
      </c>
      <c r="E44" s="9">
        <f t="shared" ref="E44:E49" si="10">VLOOKUP(ROUNDUP(E16,1),$H$4:$I$260,2,TRUE)</f>
        <v>171</v>
      </c>
      <c r="F44" s="9">
        <f t="shared" ref="F44:F49" si="11">VLOOKUP(ROUNDUP(E16,1),$H$4:$I$260,2,TRUE)+1</f>
        <v>172</v>
      </c>
      <c r="H44" s="8">
        <f t="shared" si="0"/>
        <v>101.5</v>
      </c>
      <c r="I44" s="1">
        <v>40</v>
      </c>
      <c r="J44" s="1">
        <f t="shared" si="1"/>
        <v>101.5</v>
      </c>
      <c r="K44" s="1">
        <f t="shared" si="2"/>
        <v>1.5</v>
      </c>
      <c r="M44"/>
      <c r="N44"/>
      <c r="O44"/>
      <c r="P44"/>
      <c r="Q44"/>
      <c r="R44"/>
    </row>
    <row r="45" spans="2:18" x14ac:dyDescent="0.3">
      <c r="B45" s="1">
        <v>2</v>
      </c>
      <c r="C45" s="9">
        <f t="shared" si="9"/>
        <v>186</v>
      </c>
      <c r="D45" s="9">
        <f t="shared" si="9"/>
        <v>186.75</v>
      </c>
      <c r="E45" s="9">
        <f t="shared" si="10"/>
        <v>118</v>
      </c>
      <c r="F45" s="9">
        <f t="shared" si="11"/>
        <v>119</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1" t="s">
        <v>42</v>
      </c>
      <c r="C2" s="106"/>
      <c r="D2" s="106"/>
      <c r="E2" s="106"/>
      <c r="F2" s="106"/>
      <c r="G2" s="106"/>
      <c r="H2" s="106"/>
      <c r="I2" s="106"/>
      <c r="J2" s="106"/>
      <c r="K2" s="107" t="s">
        <v>1</v>
      </c>
      <c r="M2" s="115" t="s">
        <v>26</v>
      </c>
      <c r="N2" s="106"/>
      <c r="O2" s="106"/>
      <c r="P2" s="120" t="s">
        <v>27</v>
      </c>
      <c r="Q2"/>
      <c r="R2" s="105" t="s">
        <v>7</v>
      </c>
      <c r="S2" s="106"/>
      <c r="T2" s="121" t="s">
        <v>17</v>
      </c>
      <c r="U2" s="122"/>
      <c r="V2" s="122"/>
      <c r="W2" s="122"/>
      <c r="X2" s="123"/>
      <c r="Y2" s="117"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6"/>
      <c r="AA2" s="106"/>
      <c r="AB2" s="106"/>
      <c r="AC2" s="106"/>
      <c r="AE2"/>
    </row>
    <row r="3" spans="1:31" x14ac:dyDescent="0.3">
      <c r="B3" s="106"/>
      <c r="C3" s="106"/>
      <c r="D3" s="106"/>
      <c r="E3" s="106"/>
      <c r="F3" s="106"/>
      <c r="G3" s="106"/>
      <c r="H3" s="106"/>
      <c r="I3" s="106"/>
      <c r="J3" s="106"/>
      <c r="K3" s="114"/>
      <c r="M3" s="106"/>
      <c r="N3" s="106"/>
      <c r="O3" s="106"/>
      <c r="P3" s="120"/>
      <c r="Q3"/>
      <c r="R3" s="107"/>
      <c r="S3" s="106"/>
      <c r="T3" s="124"/>
      <c r="U3" s="125"/>
      <c r="V3" s="125"/>
      <c r="W3" s="125"/>
      <c r="X3" s="126"/>
      <c r="Y3" s="106"/>
      <c r="Z3" s="106"/>
      <c r="AA3" s="106"/>
      <c r="AB3" s="106"/>
      <c r="AC3" s="106"/>
      <c r="AE3"/>
    </row>
    <row r="4" spans="1:31" x14ac:dyDescent="0.3">
      <c r="B4" s="106"/>
      <c r="C4" s="106"/>
      <c r="D4" s="106"/>
      <c r="E4" s="106"/>
      <c r="F4" s="106"/>
      <c r="G4" s="106"/>
      <c r="H4" s="106"/>
      <c r="I4" s="106"/>
      <c r="J4" s="106"/>
      <c r="K4" s="114"/>
      <c r="M4" s="106"/>
      <c r="N4" s="106"/>
      <c r="O4" s="106"/>
      <c r="P4" s="120"/>
      <c r="Q4"/>
      <c r="R4" s="107"/>
      <c r="S4" s="106"/>
      <c r="T4" s="124"/>
      <c r="U4" s="125"/>
      <c r="V4" s="125"/>
      <c r="W4" s="125"/>
      <c r="X4" s="126"/>
      <c r="Y4" s="106"/>
      <c r="Z4" s="106"/>
      <c r="AA4" s="106"/>
      <c r="AB4" s="106"/>
      <c r="AC4" s="106"/>
      <c r="AE4"/>
    </row>
    <row r="5" spans="1:31" x14ac:dyDescent="0.3">
      <c r="B5" s="106"/>
      <c r="C5" s="106"/>
      <c r="D5" s="106"/>
      <c r="E5" s="106"/>
      <c r="F5" s="106"/>
      <c r="G5" s="106"/>
      <c r="H5" s="106"/>
      <c r="I5" s="106"/>
      <c r="J5" s="106"/>
      <c r="K5" s="114"/>
      <c r="M5" s="106"/>
      <c r="N5" s="106"/>
      <c r="O5" s="106"/>
      <c r="P5" s="120"/>
      <c r="Q5"/>
      <c r="R5" s="107"/>
      <c r="S5" s="106"/>
      <c r="T5" s="127"/>
      <c r="U5" s="128"/>
      <c r="V5" s="128"/>
      <c r="W5" s="128"/>
      <c r="X5" s="129"/>
      <c r="Y5" s="106"/>
      <c r="Z5" s="106"/>
      <c r="AA5" s="106"/>
      <c r="AB5" s="106"/>
      <c r="AC5" s="106"/>
      <c r="AE5"/>
    </row>
    <row r="6" spans="1:31" x14ac:dyDescent="0.3">
      <c r="B6" s="106"/>
      <c r="C6" s="106"/>
      <c r="D6" s="106"/>
      <c r="E6" s="106"/>
      <c r="F6" s="106"/>
      <c r="G6" s="106"/>
      <c r="H6" s="106"/>
      <c r="I6" s="106"/>
      <c r="J6" s="106"/>
      <c r="K6" s="114"/>
      <c r="L6" s="1" t="s">
        <v>59</v>
      </c>
      <c r="M6" s="118" t="s">
        <v>28</v>
      </c>
      <c r="N6" s="119"/>
      <c r="O6" s="19">
        <f>AVERAGE(O12:O31)</f>
        <v>0</v>
      </c>
      <c r="P6" s="20" t="e">
        <f>AVERAGE(P12:P31)</f>
        <v>#DIV/0!</v>
      </c>
      <c r="Q6"/>
      <c r="R6"/>
    </row>
    <row r="7" spans="1:31" x14ac:dyDescent="0.3">
      <c r="B7"/>
      <c r="C7"/>
      <c r="D7"/>
      <c r="E7"/>
      <c r="F7"/>
      <c r="G7"/>
      <c r="H7"/>
      <c r="I7"/>
      <c r="J7"/>
      <c r="K7"/>
      <c r="L7" s="1">
        <v>1</v>
      </c>
      <c r="M7" s="110" t="s">
        <v>29</v>
      </c>
      <c r="N7" s="111"/>
      <c r="O7" s="19">
        <f>AVERAGE(O12:O15)</f>
        <v>0</v>
      </c>
      <c r="P7" s="21" t="e">
        <f>AVERAGE(P12:P15)</f>
        <v>#DIV/0!</v>
      </c>
      <c r="Q7"/>
      <c r="R7"/>
    </row>
    <row r="8" spans="1:31" ht="16.5" customHeight="1" x14ac:dyDescent="0.3">
      <c r="B8" s="108" t="s">
        <v>30</v>
      </c>
      <c r="C8" s="116" t="s">
        <v>46</v>
      </c>
      <c r="D8" s="116"/>
      <c r="E8" s="116"/>
      <c r="F8" s="116"/>
      <c r="G8" s="116"/>
      <c r="H8" s="116"/>
      <c r="I8" s="116"/>
      <c r="J8" s="13" t="s">
        <v>4</v>
      </c>
      <c r="K8" s="1" t="s">
        <v>58</v>
      </c>
      <c r="L8" s="1" t="s">
        <v>60</v>
      </c>
      <c r="M8" s="110" t="s">
        <v>31</v>
      </c>
      <c r="N8" s="111"/>
      <c r="O8" s="19">
        <f>AVERAGE(O16:O31)</f>
        <v>0</v>
      </c>
      <c r="P8" s="21" t="e">
        <f>AVERAGE(P16:P31)</f>
        <v>#DIV/0!</v>
      </c>
      <c r="Q8"/>
      <c r="R8"/>
    </row>
    <row r="9" spans="1:31" x14ac:dyDescent="0.3">
      <c r="B9" s="109"/>
      <c r="C9" s="116"/>
      <c r="D9" s="116"/>
      <c r="E9" s="116"/>
      <c r="F9" s="116"/>
      <c r="G9" s="116"/>
      <c r="H9" s="116"/>
      <c r="I9" s="116"/>
      <c r="J9" s="84"/>
      <c r="K9" s="3" t="e">
        <f>(K12+K13)/2+0.01*L7</f>
        <v>#DIV/0!</v>
      </c>
      <c r="L9" s="87" t="e">
        <f>J9*K9</f>
        <v>#DIV/0!</v>
      </c>
      <c r="M9" s="112" t="s">
        <v>32</v>
      </c>
      <c r="N9" s="113"/>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4" t="s">
        <v>13</v>
      </c>
      <c r="N40" s="104"/>
      <c r="O40" s="89"/>
      <c r="P40" s="89"/>
      <c r="R40" s="104"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30"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30"/>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30"/>
      <c r="C128" s="130"/>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30"/>
      <c r="C129" s="130"/>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30"/>
      <c r="C130" s="130"/>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30"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30"/>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30"/>
      <c r="C132" s="130"/>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30"/>
      <c r="C133" s="130"/>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30"/>
      <c r="C134" s="130"/>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31"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32"/>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33"/>
      <c r="C136" s="134"/>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33"/>
      <c r="C137" s="134"/>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35"/>
      <c r="C138" s="136"/>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M40:P40"/>
    <mergeCell ref="R40:U40"/>
    <mergeCell ref="B127:C130"/>
    <mergeCell ref="B131:C134"/>
    <mergeCell ref="B135:C138"/>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1" t="s">
        <v>41</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D7"/>
      <c r="E7"/>
      <c r="F7"/>
      <c r="G7"/>
      <c r="H7"/>
      <c r="I7"/>
      <c r="K7" s="1"/>
    </row>
    <row r="8" spans="1:14" ht="16.5" customHeight="1" x14ac:dyDescent="0.3">
      <c r="A8" s="1"/>
      <c r="B8" s="92" t="s">
        <v>45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2023-06-05T07:04:57Z</dcterms:modified>
</cp:coreProperties>
</file>