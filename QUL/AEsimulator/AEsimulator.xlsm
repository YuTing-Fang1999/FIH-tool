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UL\AEsimulator\"/>
    </mc:Choice>
  </mc:AlternateContent>
  <xr:revisionPtr revIDLastSave="0" documentId="13_ncr:1_{CDB4DE28-B77A-4BD6-905C-59EA5B4E51DE}" xr6:coauthVersionLast="47" xr6:coauthVersionMax="47" xr10:uidLastSave="{00000000-0000-0000-0000-000000000000}"/>
  <bookViews>
    <workbookView xWindow="4908" yWindow="3360" windowWidth="17280" windowHeight="8880"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94" i="3" l="1"/>
  <c r="K20" i="3"/>
  <c r="K112" i="3"/>
  <c r="I92" i="6"/>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51" i="5"/>
  <c r="F25" i="5" s="1"/>
  <c r="J22" i="1" s="1"/>
  <c r="D48" i="5"/>
  <c r="D52" i="5"/>
  <c r="F26" i="5" s="1"/>
  <c r="J23" i="1" s="1"/>
  <c r="D38" i="5"/>
  <c r="F32" i="5"/>
  <c r="D46" i="5"/>
  <c r="F45" i="5"/>
  <c r="D31" i="5"/>
  <c r="D18" i="5" s="1"/>
  <c r="N15" i="1" s="1"/>
  <c r="D44" i="5"/>
  <c r="F18" i="5" s="1"/>
  <c r="J15" i="1" s="1"/>
  <c r="D29" i="5"/>
  <c r="D33"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E53" i="3" l="1"/>
  <c r="C53" i="3" s="1"/>
  <c r="F54" i="3"/>
  <c r="D54" i="3" s="1"/>
  <c r="E45" i="3"/>
  <c r="C45" i="3" s="1"/>
  <c r="E47" i="3"/>
  <c r="C47" i="3" s="1"/>
  <c r="E54" i="3"/>
  <c r="C54" i="3" s="1"/>
  <c r="F50" i="3"/>
  <c r="D50" i="3" s="1"/>
  <c r="E40" i="3"/>
  <c r="C40" i="3" s="1"/>
  <c r="E49" i="3"/>
  <c r="C49" i="3" s="1"/>
  <c r="F37" i="3"/>
  <c r="F52" i="3"/>
  <c r="D52" i="3" s="1"/>
  <c r="F53" i="3"/>
  <c r="D53" i="3" s="1"/>
  <c r="E55" i="3"/>
  <c r="C55" i="3" s="1"/>
  <c r="E51" i="3"/>
  <c r="C51" i="3" s="1"/>
  <c r="F47" i="3"/>
  <c r="D47" i="3" s="1"/>
  <c r="F46" i="3"/>
  <c r="D46" i="3" s="1"/>
  <c r="F39" i="3"/>
  <c r="D39" i="3" s="1"/>
  <c r="E39" i="3"/>
  <c r="C39" i="3" s="1"/>
  <c r="E48" i="3"/>
  <c r="C48" i="3" s="1"/>
  <c r="F38" i="3"/>
  <c r="E44" i="3"/>
  <c r="C44" i="3" s="1"/>
  <c r="E50" i="3"/>
  <c r="C50" i="3" s="1"/>
  <c r="F44" i="3"/>
  <c r="D44" i="3" s="1"/>
  <c r="E38" i="3"/>
  <c r="C38" i="3" s="1"/>
  <c r="F41" i="3"/>
  <c r="D41" i="3" s="1"/>
  <c r="F40" i="3"/>
  <c r="E46" i="3"/>
  <c r="C46" i="3" s="1"/>
  <c r="F45" i="3"/>
  <c r="D45" i="3" s="1"/>
  <c r="F48" i="3"/>
  <c r="D48" i="3" s="1"/>
  <c r="E37" i="3"/>
  <c r="C37" i="3" s="1"/>
  <c r="F49" i="3"/>
  <c r="D49" i="3" s="1"/>
  <c r="F51" i="3"/>
  <c r="F55" i="3"/>
  <c r="F36" i="3"/>
  <c r="E52" i="3"/>
  <c r="C52" i="3" s="1"/>
  <c r="E36" i="3"/>
  <c r="C36" i="3" s="1"/>
  <c r="E41" i="3"/>
  <c r="C41" i="3" s="1"/>
  <c r="I93" i="6"/>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20" i="3" l="1"/>
  <c r="J24" i="4" s="1"/>
  <c r="F25" i="3"/>
  <c r="J35" i="4" s="1"/>
  <c r="F24" i="3"/>
  <c r="J34" i="4" s="1"/>
  <c r="D25" i="3"/>
  <c r="N35" i="4" s="1"/>
  <c r="F17" i="3"/>
  <c r="J15" i="4" s="1"/>
  <c r="F18" i="3"/>
  <c r="J19" i="4" s="1"/>
  <c r="D36" i="3"/>
  <c r="D22" i="3" s="1"/>
  <c r="N29" i="4" s="1"/>
  <c r="D51" i="3"/>
  <c r="F23" i="3" s="1"/>
  <c r="J30" i="4" s="1"/>
  <c r="F21" i="3"/>
  <c r="J25" i="4" s="1"/>
  <c r="F22" i="3"/>
  <c r="J29" i="4" s="1"/>
  <c r="F16" i="3"/>
  <c r="J14" i="4" s="1"/>
  <c r="D55" i="3"/>
  <c r="F27" i="3" s="1"/>
  <c r="J40" i="4" s="1"/>
  <c r="D38" i="3"/>
  <c r="D24" i="3" s="1"/>
  <c r="N34" i="4" s="1"/>
  <c r="D40" i="3"/>
  <c r="D26" i="3" s="1"/>
  <c r="N39" i="4" s="1"/>
  <c r="D27" i="3"/>
  <c r="N40" i="4" s="1"/>
  <c r="F26" i="3"/>
  <c r="J39" i="4" s="1"/>
  <c r="D37" i="3"/>
  <c r="D23" i="3" s="1"/>
  <c r="N30" i="4" s="1"/>
  <c r="F19" i="3"/>
  <c r="J20" i="4" s="1"/>
  <c r="K33" i="6"/>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N19" i="4" s="1"/>
  <c r="D34" i="3"/>
  <c r="L19" i="1"/>
  <c r="L21" i="1"/>
  <c r="D33" i="3"/>
  <c r="D19" i="3" s="1"/>
  <c r="L22" i="1"/>
  <c r="D35" i="3"/>
  <c r="D21" i="3" s="1"/>
  <c r="N25" i="4" s="1"/>
  <c r="D17" i="3"/>
  <c r="L40" i="4" l="1"/>
  <c r="L35" i="4"/>
  <c r="L30" i="4"/>
  <c r="L25" i="4"/>
  <c r="L39" i="4"/>
  <c r="L29" i="4"/>
  <c r="N20" i="4"/>
  <c r="L20" i="4" s="1"/>
  <c r="L19" i="4"/>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<sst xmlns="http://schemas.openxmlformats.org/spreadsheetml/2006/main" count="226" uniqueCount="62">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</sst>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abSelected="1"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v>218.50829999999999</v>
      </c>
      <c r="E14" s="84">
        <v>213.1508</v>
      </c>
      <c r="F14" s="1">
        <f>D14-E14</f>
        <v>5.3574999999999875</v>
      </c>
      <c r="G14"/>
      <c r="H14" s="90">
        <v>100</v>
      </c>
      <c r="I14" s="84">
        <v>218.50829999999999</v>
      </c>
      <c r="J14" s="1">
        <f>'(gamma)'!F16</f>
        <v>171.01659999999993</v>
      </c>
      <c r="K14" s="1"/>
      <c r="L14" s="85">
        <f>H14*N14/J14</f>
        <v>94.026895634692806</v>
      </c>
      <c r="M14" s="1">
        <f>E14</f>
        <v>213.1508</v>
      </c>
      <c r="N14" s="1">
        <f>'(gamma)'!D16</f>
        <v>160.80160000000001</v>
      </c>
    </row>
    <row r="15" spans="1:14" x14ac:dyDescent="0.3">
      <c r="B15" s="89"/>
      <c r="C15" s="89"/>
      <c r="D15" s="1">
        <v>186.32740000000001</v>
      </c>
      <c r="E15" s="84">
        <v>195.60929999999999</v>
      </c>
      <c r="F15" s="1">
        <f>D15-E15</f>
        <v>-9.2818999999999789</v>
      </c>
      <c r="G15"/>
      <c r="H15" s="90"/>
      <c r="I15" s="84">
        <v>186.32740000000001</v>
      </c>
      <c r="J15" s="1">
        <f>'(gamma)'!F17</f>
        <v>118.43653333333339</v>
      </c>
      <c r="K15" s="1"/>
      <c r="L15" s="85">
        <f>H14*N15/J15</f>
        <v>111.85658929564521</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topLeftCell="A4" zoomScaleNormal="100" workbookViewId="0">
      <selection activeCell="C29" sqref="C2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2023-06-05T08:08:44Z</dcterms:modified>
</cp:coreProperties>
</file>