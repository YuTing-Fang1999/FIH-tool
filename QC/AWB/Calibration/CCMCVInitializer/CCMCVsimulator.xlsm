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QC\AWB\Calibration\CCMCVInitializer\"/>
    </mc:Choice>
  </mc:AlternateContent>
  <xr:revisionPtr revIDLastSave="0" documentId="13_ncr:1_{AE6ACD63-A1F5-4AA1-BB92-2671AFC8D968}" xr6:coauthVersionLast="47" xr6:coauthVersionMax="47" xr10:uidLastSave="{00000000-0000-0000-0000-000000000000}"/>
  <bookViews>
    <workbookView xWindow="-108" yWindow="-108" windowWidth="23256" windowHeight="12456" xr2:uid="{00000000-000D-0000-FFFF-FFFF00000000}"/>
  </bookViews>
  <sheets>
    <sheet name="colorCalculate" sheetId="1" r:id="rId1"/>
    <sheet name="gamma_R" sheetId="2" r:id="rId2"/>
    <sheet name="gamma_G" sheetId="3" r:id="rId3"/>
    <sheet name="gamma_B" sheetId="4" r:id="rId4"/>
  </sheets>
  <functionGroups builtInGroupCount="19"/>
  <definedNames>
    <definedName name="solver_adj" localSheetId="0" hidden="1">colorCalculate!$AL$7:$AN$9</definedName>
    <definedName name="solver_cvg" localSheetId="0" hidden="1">0.0001</definedName>
    <definedName name="solver_cvg" localSheetId="3" hidden="1">0.0001</definedName>
    <definedName name="solver_cvg" localSheetId="2" hidden="1">0.0001</definedName>
    <definedName name="solver_cvg" localSheetId="1" hidden="1">0.0001</definedName>
    <definedName name="solver_drv" localSheetId="0" hidden="1">2</definedName>
    <definedName name="solver_drv" localSheetId="3" hidden="1">1</definedName>
    <definedName name="solver_drv" localSheetId="2" hidden="1">1</definedName>
    <definedName name="solver_drv" localSheetId="1" hidden="1">1</definedName>
    <definedName name="solver_eng" localSheetId="0" hidden="1">1</definedName>
    <definedName name="solver_eng" localSheetId="3" hidden="1">1</definedName>
    <definedName name="solver_eng" localSheetId="2" hidden="1">1</definedName>
    <definedName name="solver_eng" localSheetId="1" hidden="1">1</definedName>
    <definedName name="solver_est" localSheetId="0" hidden="1">1</definedName>
    <definedName name="solver_itr" localSheetId="0" hidden="1">2147483647</definedName>
    <definedName name="solver_itr" localSheetId="3" hidden="1">2147483647</definedName>
    <definedName name="solver_itr" localSheetId="2" hidden="1">2147483647</definedName>
    <definedName name="solver_itr" localSheetId="1" hidden="1">2147483647</definedName>
    <definedName name="solver_lhs1" localSheetId="0" hidden="1">colorCalculate!$Z$7:$Z$9</definedName>
    <definedName name="solver_mip" localSheetId="0" hidden="1">2147483647</definedName>
    <definedName name="solver_mip" localSheetId="3" hidden="1">2147483647</definedName>
    <definedName name="solver_mip" localSheetId="2" hidden="1">2147483647</definedName>
    <definedName name="solver_mip" localSheetId="1" hidden="1">2147483647</definedName>
    <definedName name="solver_mni" localSheetId="0" hidden="1">30</definedName>
    <definedName name="solver_mni" localSheetId="3" hidden="1">30</definedName>
    <definedName name="solver_mni" localSheetId="2" hidden="1">30</definedName>
    <definedName name="solver_mni" localSheetId="1" hidden="1">30</definedName>
    <definedName name="solver_mrt" localSheetId="0" hidden="1">0.075</definedName>
    <definedName name="solver_mrt" localSheetId="3" hidden="1">0.075</definedName>
    <definedName name="solver_mrt" localSheetId="2" hidden="1">0.075</definedName>
    <definedName name="solver_mrt" localSheetId="1" hidden="1">0.075</definedName>
    <definedName name="solver_msl" localSheetId="0" hidden="1">2</definedName>
    <definedName name="solver_msl" localSheetId="3" hidden="1">2</definedName>
    <definedName name="solver_msl" localSheetId="2" hidden="1">2</definedName>
    <definedName name="solver_msl" localSheetId="1" hidden="1">2</definedName>
    <definedName name="solver_neg" localSheetId="0" hidden="1">2</definedName>
    <definedName name="solver_neg" localSheetId="3" hidden="1">1</definedName>
    <definedName name="solver_neg" localSheetId="2" hidden="1">1</definedName>
    <definedName name="solver_neg" localSheetId="1" hidden="1">1</definedName>
    <definedName name="solver_nod" localSheetId="0" hidden="1">2147483647</definedName>
    <definedName name="solver_nod" localSheetId="3" hidden="1">2147483647</definedName>
    <definedName name="solver_nod" localSheetId="2" hidden="1">2147483647</definedName>
    <definedName name="solver_nod" localSheetId="1" hidden="1">2147483647</definedName>
    <definedName name="solver_num" localSheetId="0" hidden="1">1</definedName>
    <definedName name="solver_num" localSheetId="3" hidden="1">0</definedName>
    <definedName name="solver_num" localSheetId="2" hidden="1">0</definedName>
    <definedName name="solver_num" localSheetId="1" hidden="1">0</definedName>
    <definedName name="solver_nwt" localSheetId="0" hidden="1">1</definedName>
    <definedName name="solver_opt" localSheetId="0" hidden="1">colorCalculate!$T$4</definedName>
    <definedName name="solver_opt" localSheetId="3" hidden="1">gamma_B!#REF!</definedName>
    <definedName name="solver_opt" localSheetId="2" hidden="1">gamma_G!#REF!</definedName>
    <definedName name="solver_opt" localSheetId="1" hidden="1">gamma_R!#REF!</definedName>
    <definedName name="solver_pre" localSheetId="0" hidden="1">0.000001</definedName>
    <definedName name="solver_pre" localSheetId="3" hidden="1">0.000001</definedName>
    <definedName name="solver_pre" localSheetId="2" hidden="1">0.000001</definedName>
    <definedName name="solver_pre" localSheetId="1" hidden="1">0.000001</definedName>
    <definedName name="solver_rbv" localSheetId="0" hidden="1">2</definedName>
    <definedName name="solver_rbv" localSheetId="3" hidden="1">1</definedName>
    <definedName name="solver_rbv" localSheetId="2" hidden="1">1</definedName>
    <definedName name="solver_rbv" localSheetId="1" hidden="1">1</definedName>
    <definedName name="solver_rel1" localSheetId="0" hidden="1">2</definedName>
    <definedName name="solver_rhs1" localSheetId="0" hidden="1">1</definedName>
    <definedName name="solver_rlx" localSheetId="0" hidden="1">2</definedName>
    <definedName name="solver_rlx" localSheetId="3" hidden="1">2</definedName>
    <definedName name="solver_rlx" localSheetId="2" hidden="1">2</definedName>
    <definedName name="solver_rlx" localSheetId="1" hidden="1">2</definedName>
    <definedName name="solver_rsd" localSheetId="0" hidden="1">0</definedName>
    <definedName name="solver_rsd" localSheetId="3" hidden="1">0</definedName>
    <definedName name="solver_rsd" localSheetId="2" hidden="1">0</definedName>
    <definedName name="solver_rsd" localSheetId="1" hidden="1">0</definedName>
    <definedName name="solver_scl" localSheetId="0" hidden="1">2</definedName>
    <definedName name="solver_scl" localSheetId="3" hidden="1">1</definedName>
    <definedName name="solver_scl" localSheetId="2" hidden="1">1</definedName>
    <definedName name="solver_scl" localSheetId="1" hidden="1">1</definedName>
    <definedName name="solver_sho" localSheetId="0" hidden="1">2</definedName>
    <definedName name="solver_sho" localSheetId="3" hidden="1">2</definedName>
    <definedName name="solver_sho" localSheetId="2" hidden="1">2</definedName>
    <definedName name="solver_sho" localSheetId="1" hidden="1">2</definedName>
    <definedName name="solver_ssz" localSheetId="0" hidden="1">100</definedName>
    <definedName name="solver_ssz" localSheetId="3" hidden="1">100</definedName>
    <definedName name="solver_ssz" localSheetId="2" hidden="1">100</definedName>
    <definedName name="solver_ssz" localSheetId="1" hidden="1">100</definedName>
    <definedName name="solver_tim" localSheetId="0" hidden="1">2147483647</definedName>
    <definedName name="solver_tim" localSheetId="3" hidden="1">2147483647</definedName>
    <definedName name="solver_tim" localSheetId="2" hidden="1">2147483647</definedName>
    <definedName name="solver_tim" localSheetId="1" hidden="1">2147483647</definedName>
    <definedName name="solver_tol" localSheetId="0" hidden="1">0.01</definedName>
    <definedName name="solver_tol" localSheetId="3" hidden="1">0.01</definedName>
    <definedName name="solver_tol" localSheetId="2" hidden="1">0.01</definedName>
    <definedName name="solver_tol" localSheetId="1" hidden="1">0.01</definedName>
    <definedName name="solver_typ" localSheetId="0" hidden="1">2</definedName>
    <definedName name="solver_typ" localSheetId="3" hidden="1">3</definedName>
    <definedName name="solver_typ" localSheetId="2" hidden="1">3</definedName>
    <definedName name="solver_typ" localSheetId="1" hidden="1">3</definedName>
    <definedName name="solver_val" localSheetId="0" hidden="1">0</definedName>
    <definedName name="solver_val" localSheetId="3" hidden="1">149.901</definedName>
    <definedName name="solver_val" localSheetId="2" hidden="1">149.901</definedName>
    <definedName name="solver_val" localSheetId="1" hidden="1">149.901</definedName>
    <definedName name="solver_ver" localSheetId="0" hidden="1">3</definedName>
    <definedName name="solver_ver" localSheetId="3" hidden="1">3</definedName>
    <definedName name="solver_ver" localSheetId="2" hidden="1">3</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89" i="1" l="1"/>
  <c r="M190" i="1"/>
  <c r="M191" i="1"/>
  <c r="M192" i="1"/>
  <c r="M193" i="1"/>
  <c r="M194" i="1"/>
  <c r="I41" i="1"/>
  <c r="C16" i="2" s="1"/>
  <c r="Q98" i="1" a="1"/>
  <c r="Q98" i="1" s="1"/>
  <c r="W118" i="1"/>
  <c r="X118" i="1"/>
  <c r="Y118" i="1"/>
  <c r="Z118" i="1"/>
  <c r="AB118" i="1"/>
  <c r="AC118" i="1"/>
  <c r="Z119" i="1"/>
  <c r="AB119" i="1"/>
  <c r="AC119" i="1"/>
  <c r="Z120" i="1"/>
  <c r="AB120" i="1"/>
  <c r="AC120" i="1"/>
  <c r="Z121" i="1"/>
  <c r="AB121" i="1"/>
  <c r="AC121" i="1"/>
  <c r="Z122" i="1"/>
  <c r="AB122" i="1"/>
  <c r="AC122" i="1"/>
  <c r="Z123" i="1"/>
  <c r="AB123" i="1"/>
  <c r="AC123" i="1"/>
  <c r="Z124" i="1"/>
  <c r="AB124" i="1"/>
  <c r="AC124" i="1"/>
  <c r="Z125" i="1"/>
  <c r="AB125" i="1"/>
  <c r="AC125" i="1"/>
  <c r="Z126" i="1"/>
  <c r="AB126" i="1"/>
  <c r="AC126" i="1"/>
  <c r="Z127" i="1"/>
  <c r="AB127" i="1"/>
  <c r="AC127" i="1"/>
  <c r="Z128" i="1"/>
  <c r="AB128" i="1"/>
  <c r="AC128" i="1"/>
  <c r="Z129" i="1"/>
  <c r="AB129" i="1"/>
  <c r="AC129" i="1"/>
  <c r="Z130" i="1"/>
  <c r="AB130" i="1"/>
  <c r="AC130" i="1"/>
  <c r="Z131" i="1"/>
  <c r="AB131" i="1"/>
  <c r="AC131" i="1"/>
  <c r="Z132" i="1"/>
  <c r="AB132" i="1"/>
  <c r="AC132" i="1"/>
  <c r="Z133" i="1"/>
  <c r="AB133" i="1"/>
  <c r="AC133" i="1"/>
  <c r="Z134" i="1"/>
  <c r="AB134" i="1"/>
  <c r="AC134" i="1"/>
  <c r="Z135" i="1"/>
  <c r="AB135" i="1"/>
  <c r="AC135" i="1"/>
  <c r="Z136" i="1"/>
  <c r="AB136" i="1"/>
  <c r="AC136" i="1"/>
  <c r="Z137" i="1"/>
  <c r="AB137" i="1"/>
  <c r="AC137" i="1"/>
  <c r="Z138" i="1"/>
  <c r="AB138" i="1"/>
  <c r="AC138" i="1"/>
  <c r="Z139" i="1"/>
  <c r="AB139" i="1"/>
  <c r="AC139" i="1"/>
  <c r="Z140" i="1"/>
  <c r="AB140" i="1"/>
  <c r="AC140" i="1"/>
  <c r="Z141" i="1"/>
  <c r="AB141" i="1"/>
  <c r="AC141" i="1"/>
  <c r="Z142" i="1"/>
  <c r="AB142" i="1"/>
  <c r="AC142" i="1"/>
  <c r="W92" i="1"/>
  <c r="X92" i="1"/>
  <c r="Y92" i="1"/>
  <c r="Z92" i="1"/>
  <c r="AB92" i="1"/>
  <c r="AC92" i="1"/>
  <c r="Z93" i="1"/>
  <c r="AB93" i="1"/>
  <c r="AC93" i="1"/>
  <c r="Z94" i="1"/>
  <c r="AB94" i="1"/>
  <c r="AC94" i="1"/>
  <c r="Z95" i="1"/>
  <c r="AB95" i="1"/>
  <c r="AC95" i="1"/>
  <c r="Z96" i="1"/>
  <c r="AB96" i="1"/>
  <c r="AC96" i="1"/>
  <c r="Z97" i="1"/>
  <c r="AB97" i="1"/>
  <c r="AC97" i="1"/>
  <c r="Z98" i="1"/>
  <c r="AB98" i="1"/>
  <c r="AC98" i="1"/>
  <c r="Z99" i="1"/>
  <c r="AB99" i="1"/>
  <c r="AC99" i="1"/>
  <c r="Z100" i="1"/>
  <c r="AB100" i="1"/>
  <c r="AC100" i="1"/>
  <c r="Z101" i="1"/>
  <c r="AB101" i="1"/>
  <c r="AC101" i="1"/>
  <c r="Z102" i="1"/>
  <c r="AB102" i="1"/>
  <c r="AC102" i="1"/>
  <c r="Z103" i="1"/>
  <c r="AB103" i="1"/>
  <c r="AC103" i="1"/>
  <c r="Z104" i="1"/>
  <c r="AB104" i="1"/>
  <c r="AC104" i="1"/>
  <c r="Z105" i="1"/>
  <c r="AB105" i="1"/>
  <c r="AC105" i="1"/>
  <c r="Z106" i="1"/>
  <c r="AB106" i="1"/>
  <c r="AC106" i="1"/>
  <c r="Z107" i="1"/>
  <c r="AB107" i="1"/>
  <c r="AC107" i="1"/>
  <c r="Z108" i="1"/>
  <c r="AB108" i="1"/>
  <c r="AC108" i="1"/>
  <c r="Z109" i="1"/>
  <c r="AB109" i="1"/>
  <c r="AC109" i="1"/>
  <c r="Z110" i="1"/>
  <c r="AB110" i="1"/>
  <c r="AC110" i="1"/>
  <c r="Z111" i="1"/>
  <c r="AB111" i="1"/>
  <c r="AC111" i="1"/>
  <c r="Z112" i="1"/>
  <c r="AB112" i="1"/>
  <c r="AC112" i="1"/>
  <c r="Z113" i="1"/>
  <c r="AB113" i="1"/>
  <c r="AC113" i="1"/>
  <c r="Z114" i="1"/>
  <c r="AB114" i="1"/>
  <c r="AC114" i="1"/>
  <c r="Z115" i="1"/>
  <c r="AB115" i="1"/>
  <c r="AC115" i="1"/>
  <c r="Z116" i="1"/>
  <c r="AB116" i="1"/>
  <c r="AC116" i="1"/>
  <c r="J260" i="4" l="1"/>
  <c r="J6" i="4"/>
  <c r="J7" i="4"/>
  <c r="J8" i="4"/>
  <c r="J9" i="4"/>
  <c r="J10" i="4"/>
  <c r="J11" i="4"/>
  <c r="K11" i="4" s="1"/>
  <c r="J12" i="4"/>
  <c r="J13" i="4"/>
  <c r="J14" i="4"/>
  <c r="J15" i="4"/>
  <c r="J16" i="4"/>
  <c r="J17" i="4"/>
  <c r="J18" i="4"/>
  <c r="J19" i="4"/>
  <c r="H19" i="4" s="1"/>
  <c r="J20" i="4"/>
  <c r="H20" i="4" s="1"/>
  <c r="J21" i="4"/>
  <c r="J22" i="4"/>
  <c r="J23" i="4"/>
  <c r="J24" i="4"/>
  <c r="J25" i="4"/>
  <c r="J26" i="4"/>
  <c r="J27" i="4"/>
  <c r="J28" i="4"/>
  <c r="H28" i="4" s="1"/>
  <c r="J29" i="4"/>
  <c r="J30" i="4"/>
  <c r="J31" i="4"/>
  <c r="J32" i="4"/>
  <c r="J33" i="4"/>
  <c r="J34" i="4"/>
  <c r="J35" i="4"/>
  <c r="J36" i="4"/>
  <c r="H36" i="4" s="1"/>
  <c r="J37" i="4"/>
  <c r="J38" i="4"/>
  <c r="J39" i="4"/>
  <c r="J40" i="4"/>
  <c r="J41" i="4"/>
  <c r="J42" i="4"/>
  <c r="J43" i="4"/>
  <c r="J44" i="4"/>
  <c r="J45" i="4"/>
  <c r="J46" i="4"/>
  <c r="J47" i="4"/>
  <c r="J48" i="4"/>
  <c r="J49" i="4"/>
  <c r="J50" i="4"/>
  <c r="J51" i="4"/>
  <c r="J52" i="4"/>
  <c r="H52" i="4" s="1"/>
  <c r="J53" i="4"/>
  <c r="J54" i="4"/>
  <c r="J55" i="4"/>
  <c r="J56" i="4"/>
  <c r="J57" i="4"/>
  <c r="J58" i="4"/>
  <c r="J59" i="4"/>
  <c r="J60" i="4"/>
  <c r="H60" i="4" s="1"/>
  <c r="J61" i="4"/>
  <c r="J62" i="4"/>
  <c r="J63" i="4"/>
  <c r="J64" i="4"/>
  <c r="J65" i="4"/>
  <c r="J66" i="4"/>
  <c r="J67" i="4"/>
  <c r="J68" i="4"/>
  <c r="H68" i="4" s="1"/>
  <c r="J69" i="4"/>
  <c r="J70" i="4"/>
  <c r="J71" i="4"/>
  <c r="J72" i="4"/>
  <c r="J73" i="4"/>
  <c r="J74" i="4"/>
  <c r="J75" i="4"/>
  <c r="K75" i="4" s="1"/>
  <c r="J76" i="4"/>
  <c r="H76" i="4" s="1"/>
  <c r="J77" i="4"/>
  <c r="J78" i="4"/>
  <c r="J79" i="4"/>
  <c r="J80" i="4"/>
  <c r="J81" i="4"/>
  <c r="J82" i="4"/>
  <c r="J83" i="4"/>
  <c r="J84" i="4"/>
  <c r="H84" i="4" s="1"/>
  <c r="J85" i="4"/>
  <c r="J86" i="4"/>
  <c r="J87" i="4"/>
  <c r="J88" i="4"/>
  <c r="J89" i="4"/>
  <c r="J90" i="4"/>
  <c r="J91" i="4"/>
  <c r="J92" i="4"/>
  <c r="H92" i="4" s="1"/>
  <c r="J93" i="4"/>
  <c r="J94" i="4"/>
  <c r="J95" i="4"/>
  <c r="J96" i="4"/>
  <c r="J97" i="4"/>
  <c r="J98" i="4"/>
  <c r="J99" i="4"/>
  <c r="J100" i="4"/>
  <c r="H100" i="4" s="1"/>
  <c r="J101" i="4"/>
  <c r="J102" i="4"/>
  <c r="J103" i="4"/>
  <c r="J104" i="4"/>
  <c r="J105" i="4"/>
  <c r="J106" i="4"/>
  <c r="J107" i="4"/>
  <c r="J108" i="4"/>
  <c r="H108" i="4" s="1"/>
  <c r="J109" i="4"/>
  <c r="J110" i="4"/>
  <c r="J111" i="4"/>
  <c r="J112" i="4"/>
  <c r="J113" i="4"/>
  <c r="J114" i="4"/>
  <c r="J115" i="4"/>
  <c r="J116" i="4"/>
  <c r="H116" i="4" s="1"/>
  <c r="J117" i="4"/>
  <c r="J118" i="4"/>
  <c r="J119" i="4"/>
  <c r="J120" i="4"/>
  <c r="J121" i="4"/>
  <c r="J122" i="4"/>
  <c r="J123" i="4"/>
  <c r="J124" i="4"/>
  <c r="K124" i="4" s="1"/>
  <c r="J125" i="4"/>
  <c r="J126" i="4"/>
  <c r="J127" i="4"/>
  <c r="J128" i="4"/>
  <c r="J129" i="4"/>
  <c r="J130" i="4"/>
  <c r="J131" i="4"/>
  <c r="J132" i="4"/>
  <c r="H132" i="4" s="1"/>
  <c r="J133" i="4"/>
  <c r="J134" i="4"/>
  <c r="J135" i="4"/>
  <c r="J136" i="4"/>
  <c r="J137" i="4"/>
  <c r="J138" i="4"/>
  <c r="J139" i="4"/>
  <c r="J140" i="4"/>
  <c r="H140" i="4" s="1"/>
  <c r="J141" i="4"/>
  <c r="J142" i="4"/>
  <c r="J143" i="4"/>
  <c r="J144" i="4"/>
  <c r="J145" i="4"/>
  <c r="J146" i="4"/>
  <c r="J147" i="4"/>
  <c r="J148" i="4"/>
  <c r="H148" i="4" s="1"/>
  <c r="J149" i="4"/>
  <c r="J150" i="4"/>
  <c r="J151" i="4"/>
  <c r="J152" i="4"/>
  <c r="J153" i="4"/>
  <c r="J154" i="4"/>
  <c r="J155" i="4"/>
  <c r="J156" i="4"/>
  <c r="H156" i="4" s="1"/>
  <c r="J157" i="4"/>
  <c r="J158" i="4"/>
  <c r="J159" i="4"/>
  <c r="J160" i="4"/>
  <c r="J161" i="4"/>
  <c r="J162" i="4"/>
  <c r="J163" i="4"/>
  <c r="J164" i="4"/>
  <c r="H164" i="4" s="1"/>
  <c r="J165" i="4"/>
  <c r="J166" i="4"/>
  <c r="J167" i="4"/>
  <c r="J168" i="4"/>
  <c r="J169" i="4"/>
  <c r="J170" i="4"/>
  <c r="J171" i="4"/>
  <c r="J172" i="4"/>
  <c r="K173" i="4" s="1"/>
  <c r="J173" i="4"/>
  <c r="J174" i="4"/>
  <c r="J175" i="4"/>
  <c r="J176" i="4"/>
  <c r="J177" i="4"/>
  <c r="J178" i="4"/>
  <c r="J179" i="4"/>
  <c r="J180" i="4"/>
  <c r="J181" i="4"/>
  <c r="J182" i="4"/>
  <c r="J183" i="4"/>
  <c r="J184" i="4"/>
  <c r="J185" i="4"/>
  <c r="J186" i="4"/>
  <c r="J187" i="4"/>
  <c r="J188" i="4"/>
  <c r="J189" i="4"/>
  <c r="J190" i="4"/>
  <c r="J191" i="4"/>
  <c r="J192" i="4"/>
  <c r="J193" i="4"/>
  <c r="J194" i="4"/>
  <c r="J195" i="4"/>
  <c r="J196" i="4"/>
  <c r="K196" i="4" s="1"/>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H247" i="4" s="1"/>
  <c r="J248" i="4"/>
  <c r="J249" i="4"/>
  <c r="J250" i="4"/>
  <c r="J251" i="4"/>
  <c r="J252" i="4"/>
  <c r="J253" i="4"/>
  <c r="H253" i="4" s="1"/>
  <c r="J254" i="4"/>
  <c r="J255" i="4"/>
  <c r="H255" i="4" s="1"/>
  <c r="J256" i="4"/>
  <c r="J257" i="4"/>
  <c r="J258" i="4"/>
  <c r="J259" i="4"/>
  <c r="J5" i="4"/>
  <c r="J4" i="4"/>
  <c r="H4" i="4" s="1"/>
  <c r="J260" i="3"/>
  <c r="J259" i="3"/>
  <c r="J6" i="3"/>
  <c r="J7" i="3"/>
  <c r="J8" i="3"/>
  <c r="J9" i="3"/>
  <c r="J10" i="3"/>
  <c r="J11" i="3"/>
  <c r="J12" i="3"/>
  <c r="H12" i="3" s="1"/>
  <c r="J13" i="3"/>
  <c r="J14" i="3"/>
  <c r="J15" i="3"/>
  <c r="J16" i="3"/>
  <c r="J17" i="3"/>
  <c r="J18" i="3"/>
  <c r="J19" i="3"/>
  <c r="J20" i="3"/>
  <c r="J21" i="3"/>
  <c r="J22" i="3"/>
  <c r="J23" i="3"/>
  <c r="J24" i="3"/>
  <c r="J25" i="3"/>
  <c r="J26" i="3"/>
  <c r="J27" i="3"/>
  <c r="H27" i="3" s="1"/>
  <c r="J28" i="3"/>
  <c r="H28" i="3" s="1"/>
  <c r="J29" i="3"/>
  <c r="J30" i="3"/>
  <c r="J31" i="3"/>
  <c r="J32" i="3"/>
  <c r="J33" i="3"/>
  <c r="J34" i="3"/>
  <c r="J35" i="3"/>
  <c r="H35" i="3" s="1"/>
  <c r="J36" i="3"/>
  <c r="H36" i="3" s="1"/>
  <c r="J37" i="3"/>
  <c r="J38" i="3"/>
  <c r="J39" i="3"/>
  <c r="J40" i="3"/>
  <c r="J41" i="3"/>
  <c r="J42" i="3"/>
  <c r="J43" i="3"/>
  <c r="H43" i="3" s="1"/>
  <c r="J44" i="3"/>
  <c r="H44" i="3" s="1"/>
  <c r="J45" i="3"/>
  <c r="J46" i="3"/>
  <c r="J47" i="3"/>
  <c r="J48" i="3"/>
  <c r="J49" i="3"/>
  <c r="J50" i="3"/>
  <c r="J51" i="3"/>
  <c r="H51" i="3" s="1"/>
  <c r="J52" i="3"/>
  <c r="J53" i="3"/>
  <c r="J54" i="3"/>
  <c r="J55" i="3"/>
  <c r="J56" i="3"/>
  <c r="J57" i="3"/>
  <c r="J58" i="3"/>
  <c r="J59" i="3"/>
  <c r="J60" i="3"/>
  <c r="J61" i="3"/>
  <c r="J62" i="3"/>
  <c r="J63" i="3"/>
  <c r="J64" i="3"/>
  <c r="J65" i="3"/>
  <c r="J66" i="3"/>
  <c r="J67" i="3"/>
  <c r="H67" i="3" s="1"/>
  <c r="J68" i="3"/>
  <c r="H68" i="3" s="1"/>
  <c r="J69" i="3"/>
  <c r="J70" i="3"/>
  <c r="J71" i="3"/>
  <c r="J72" i="3"/>
  <c r="J73" i="3"/>
  <c r="J74" i="3"/>
  <c r="J75" i="3"/>
  <c r="H75" i="3" s="1"/>
  <c r="J76" i="3"/>
  <c r="H76" i="3" s="1"/>
  <c r="J77" i="3"/>
  <c r="J78" i="3"/>
  <c r="J79" i="3"/>
  <c r="J80" i="3"/>
  <c r="J81" i="3"/>
  <c r="J82" i="3"/>
  <c r="J83" i="3"/>
  <c r="J84" i="3"/>
  <c r="K85" i="3" s="1"/>
  <c r="J85" i="3"/>
  <c r="J86" i="3"/>
  <c r="J87" i="3"/>
  <c r="J88" i="3"/>
  <c r="J89" i="3"/>
  <c r="J90" i="3"/>
  <c r="J91" i="3"/>
  <c r="J92" i="3"/>
  <c r="H92" i="3" s="1"/>
  <c r="J93" i="3"/>
  <c r="J94" i="3"/>
  <c r="J95" i="3"/>
  <c r="J96" i="3"/>
  <c r="J97" i="3"/>
  <c r="J98" i="3"/>
  <c r="J99" i="3"/>
  <c r="H99" i="3" s="1"/>
  <c r="J100" i="3"/>
  <c r="J101" i="3"/>
  <c r="J102" i="3"/>
  <c r="J103" i="3"/>
  <c r="J104" i="3"/>
  <c r="J105" i="3"/>
  <c r="J106" i="3"/>
  <c r="J107" i="3"/>
  <c r="H107" i="3" s="1"/>
  <c r="J108" i="3"/>
  <c r="H108" i="3" s="1"/>
  <c r="J109" i="3"/>
  <c r="J110" i="3"/>
  <c r="J111" i="3"/>
  <c r="J112" i="3"/>
  <c r="J113" i="3"/>
  <c r="J114" i="3"/>
  <c r="J115" i="3"/>
  <c r="J116" i="3"/>
  <c r="H116" i="3" s="1"/>
  <c r="J117" i="3"/>
  <c r="J118" i="3"/>
  <c r="J119" i="3"/>
  <c r="J120" i="3"/>
  <c r="J121" i="3"/>
  <c r="J122" i="3"/>
  <c r="J123" i="3"/>
  <c r="H123" i="3" s="1"/>
  <c r="J124" i="3"/>
  <c r="J125" i="3"/>
  <c r="J126" i="3"/>
  <c r="J127" i="3"/>
  <c r="J128" i="3"/>
  <c r="J129" i="3"/>
  <c r="J130" i="3"/>
  <c r="J131" i="3"/>
  <c r="H131" i="3" s="1"/>
  <c r="J132" i="3"/>
  <c r="J133" i="3"/>
  <c r="J134" i="3"/>
  <c r="J135" i="3"/>
  <c r="J136" i="3"/>
  <c r="J137" i="3"/>
  <c r="J138" i="3"/>
  <c r="J139" i="3"/>
  <c r="H139" i="3" s="1"/>
  <c r="J140" i="3"/>
  <c r="J141" i="3"/>
  <c r="J142" i="3"/>
  <c r="J143" i="3"/>
  <c r="J144" i="3"/>
  <c r="J145" i="3"/>
  <c r="J146" i="3"/>
  <c r="J147" i="3"/>
  <c r="H147" i="3" s="1"/>
  <c r="J148" i="3"/>
  <c r="K149" i="3" s="1"/>
  <c r="J149" i="3"/>
  <c r="J150" i="3"/>
  <c r="J151" i="3"/>
  <c r="J152" i="3"/>
  <c r="J153" i="3"/>
  <c r="J154" i="3"/>
  <c r="J155" i="3"/>
  <c r="J156" i="3"/>
  <c r="J157" i="3"/>
  <c r="J158" i="3"/>
  <c r="J159" i="3"/>
  <c r="J160" i="3"/>
  <c r="J161" i="3"/>
  <c r="J162" i="3"/>
  <c r="J163" i="3"/>
  <c r="H163" i="3" s="1"/>
  <c r="J164" i="3"/>
  <c r="J165" i="3"/>
  <c r="J166" i="3"/>
  <c r="J167" i="3"/>
  <c r="J168" i="3"/>
  <c r="J169" i="3"/>
  <c r="J170" i="3"/>
  <c r="J171" i="3"/>
  <c r="K171" i="3" s="1"/>
  <c r="J172" i="3"/>
  <c r="J173" i="3"/>
  <c r="J174" i="3"/>
  <c r="J175" i="3"/>
  <c r="J176" i="3"/>
  <c r="J177" i="3"/>
  <c r="J178" i="3"/>
  <c r="J179" i="3"/>
  <c r="H179" i="3" s="1"/>
  <c r="J180" i="3"/>
  <c r="K181" i="3" s="1"/>
  <c r="J181" i="3"/>
  <c r="J182" i="3"/>
  <c r="J183" i="3"/>
  <c r="J184" i="3"/>
  <c r="J185" i="3"/>
  <c r="J186" i="3"/>
  <c r="J187" i="3"/>
  <c r="J188" i="3"/>
  <c r="J189" i="3"/>
  <c r="J190" i="3"/>
  <c r="J191" i="3"/>
  <c r="J192" i="3"/>
  <c r="J193" i="3"/>
  <c r="J194" i="3"/>
  <c r="J195" i="3"/>
  <c r="K195" i="3" s="1"/>
  <c r="J196" i="3"/>
  <c r="J197" i="3"/>
  <c r="J198" i="3"/>
  <c r="J199" i="3"/>
  <c r="J200" i="3"/>
  <c r="J201" i="3"/>
  <c r="J202" i="3"/>
  <c r="J203" i="3"/>
  <c r="K203" i="3" s="1"/>
  <c r="J204" i="3"/>
  <c r="J205" i="3"/>
  <c r="H205" i="3" s="1"/>
  <c r="J206" i="3"/>
  <c r="J207" i="3"/>
  <c r="J208" i="3"/>
  <c r="J209" i="3"/>
  <c r="J210" i="3"/>
  <c r="J211" i="3"/>
  <c r="H211" i="3" s="1"/>
  <c r="J212" i="3"/>
  <c r="K213" i="3" s="1"/>
  <c r="J213" i="3"/>
  <c r="J214" i="3"/>
  <c r="J215" i="3"/>
  <c r="J216" i="3"/>
  <c r="J217" i="3"/>
  <c r="J218" i="3"/>
  <c r="J219" i="3"/>
  <c r="J220" i="3"/>
  <c r="J221" i="3"/>
  <c r="J222" i="3"/>
  <c r="J223" i="3"/>
  <c r="J224" i="3"/>
  <c r="J225" i="3"/>
  <c r="J226" i="3"/>
  <c r="J227" i="3"/>
  <c r="H227" i="3" s="1"/>
  <c r="J228" i="3"/>
  <c r="J229" i="3"/>
  <c r="H229" i="3" s="1"/>
  <c r="J230" i="3"/>
  <c r="J231" i="3"/>
  <c r="J232" i="3"/>
  <c r="J233" i="3"/>
  <c r="J234" i="3"/>
  <c r="J235" i="3"/>
  <c r="K235" i="3" s="1"/>
  <c r="J236" i="3"/>
  <c r="J237" i="3"/>
  <c r="H237" i="3" s="1"/>
  <c r="J238" i="3"/>
  <c r="J239" i="3"/>
  <c r="J240" i="3"/>
  <c r="J241" i="3"/>
  <c r="H241" i="3" s="1"/>
  <c r="J242" i="3"/>
  <c r="J243" i="3"/>
  <c r="K243" i="3" s="1"/>
  <c r="J244" i="3"/>
  <c r="K245" i="3" s="1"/>
  <c r="J245" i="3"/>
  <c r="J246" i="3"/>
  <c r="J247" i="3"/>
  <c r="J248" i="3"/>
  <c r="J249" i="3"/>
  <c r="J250" i="3"/>
  <c r="J251" i="3"/>
  <c r="H251" i="3" s="1"/>
  <c r="J252" i="3"/>
  <c r="J253" i="3"/>
  <c r="H253" i="3" s="1"/>
  <c r="J254" i="3"/>
  <c r="J255" i="3"/>
  <c r="J256" i="3"/>
  <c r="J257" i="3"/>
  <c r="J258" i="3"/>
  <c r="J5" i="3"/>
  <c r="J4" i="3"/>
  <c r="J260" i="2"/>
  <c r="J6" i="2"/>
  <c r="J7" i="2"/>
  <c r="J8" i="2"/>
  <c r="J9" i="2"/>
  <c r="J10" i="2"/>
  <c r="J11" i="2"/>
  <c r="J12" i="2"/>
  <c r="H12" i="2" s="1"/>
  <c r="J13" i="2"/>
  <c r="J14" i="2"/>
  <c r="J15" i="2"/>
  <c r="J16" i="2"/>
  <c r="J17" i="2"/>
  <c r="J18" i="2"/>
  <c r="J19" i="2"/>
  <c r="J20" i="2"/>
  <c r="J21" i="2"/>
  <c r="J22" i="2"/>
  <c r="J23" i="2"/>
  <c r="J24" i="2"/>
  <c r="J25" i="2"/>
  <c r="J26" i="2"/>
  <c r="J27" i="2"/>
  <c r="H27" i="2" s="1"/>
  <c r="J28" i="2"/>
  <c r="J29" i="2"/>
  <c r="J30" i="2"/>
  <c r="J31" i="2"/>
  <c r="J32" i="2"/>
  <c r="J33" i="2"/>
  <c r="J34" i="2"/>
  <c r="J35" i="2"/>
  <c r="H35" i="2" s="1"/>
  <c r="J36" i="2"/>
  <c r="H36" i="2" s="1"/>
  <c r="J37" i="2"/>
  <c r="J38" i="2"/>
  <c r="J39" i="2"/>
  <c r="J40" i="2"/>
  <c r="J41" i="2"/>
  <c r="J42" i="2"/>
  <c r="J43" i="2"/>
  <c r="K43" i="2" s="1"/>
  <c r="J44" i="2"/>
  <c r="J45" i="2"/>
  <c r="J46" i="2"/>
  <c r="J47" i="2"/>
  <c r="J48" i="2"/>
  <c r="J49" i="2"/>
  <c r="J50" i="2"/>
  <c r="J51" i="2"/>
  <c r="H51" i="2" s="1"/>
  <c r="J52" i="2"/>
  <c r="H52" i="2" s="1"/>
  <c r="J53" i="2"/>
  <c r="J54" i="2"/>
  <c r="J55" i="2"/>
  <c r="J56" i="2"/>
  <c r="J57" i="2"/>
  <c r="J58" i="2"/>
  <c r="J59" i="2"/>
  <c r="H59" i="2" s="1"/>
  <c r="J60" i="2"/>
  <c r="H60" i="2" s="1"/>
  <c r="J61" i="2"/>
  <c r="J62" i="2"/>
  <c r="J63" i="2"/>
  <c r="J64" i="2"/>
  <c r="J65" i="2"/>
  <c r="J66" i="2"/>
  <c r="J67" i="2"/>
  <c r="J68" i="2"/>
  <c r="H68" i="2" s="1"/>
  <c r="J69" i="2"/>
  <c r="J70" i="2"/>
  <c r="J71" i="2"/>
  <c r="J72" i="2"/>
  <c r="J73" i="2"/>
  <c r="J74" i="2"/>
  <c r="J75" i="2"/>
  <c r="J76" i="2"/>
  <c r="H76" i="2" s="1"/>
  <c r="J77" i="2"/>
  <c r="J78" i="2"/>
  <c r="J79" i="2"/>
  <c r="J80" i="2"/>
  <c r="J81" i="2"/>
  <c r="J82" i="2"/>
  <c r="J83" i="2"/>
  <c r="J84" i="2"/>
  <c r="H84" i="2" s="1"/>
  <c r="J85" i="2"/>
  <c r="J86" i="2"/>
  <c r="J87" i="2"/>
  <c r="J88" i="2"/>
  <c r="J89" i="2"/>
  <c r="J90" i="2"/>
  <c r="J91" i="2"/>
  <c r="J92" i="2"/>
  <c r="H92" i="2" s="1"/>
  <c r="J93" i="2"/>
  <c r="J94" i="2"/>
  <c r="J95" i="2"/>
  <c r="J96" i="2"/>
  <c r="J97" i="2"/>
  <c r="J98" i="2"/>
  <c r="J99" i="2"/>
  <c r="J100" i="2"/>
  <c r="H100" i="2" s="1"/>
  <c r="J101" i="2"/>
  <c r="J102" i="2"/>
  <c r="J103" i="2"/>
  <c r="J104" i="2"/>
  <c r="J105" i="2"/>
  <c r="J106" i="2"/>
  <c r="J107" i="2"/>
  <c r="H107" i="2" s="1"/>
  <c r="J108" i="2"/>
  <c r="J109" i="2"/>
  <c r="J110" i="2"/>
  <c r="J111" i="2"/>
  <c r="J112" i="2"/>
  <c r="J113" i="2"/>
  <c r="J114" i="2"/>
  <c r="J115" i="2"/>
  <c r="J116" i="2"/>
  <c r="H116" i="2" s="1"/>
  <c r="J117" i="2"/>
  <c r="J118" i="2"/>
  <c r="J119" i="2"/>
  <c r="J120" i="2"/>
  <c r="J121" i="2"/>
  <c r="J122" i="2"/>
  <c r="J123" i="2"/>
  <c r="J124" i="2"/>
  <c r="H124" i="2" s="1"/>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K185" i="2" s="1"/>
  <c r="J186" i="2"/>
  <c r="J187" i="2"/>
  <c r="J188" i="2"/>
  <c r="J189" i="2"/>
  <c r="J190" i="2"/>
  <c r="J191" i="2"/>
  <c r="J192" i="2"/>
  <c r="J193" i="2"/>
  <c r="J194" i="2"/>
  <c r="J195" i="2"/>
  <c r="H195" i="2" s="1"/>
  <c r="J196" i="2"/>
  <c r="H196" i="2" s="1"/>
  <c r="J197" i="2"/>
  <c r="J198" i="2"/>
  <c r="J199" i="2"/>
  <c r="J200" i="2"/>
  <c r="J201" i="2"/>
  <c r="J202" i="2"/>
  <c r="J203" i="2"/>
  <c r="H203" i="2" s="1"/>
  <c r="J204" i="2"/>
  <c r="H204" i="2" s="1"/>
  <c r="J205" i="2"/>
  <c r="H205" i="2" s="1"/>
  <c r="J206" i="2"/>
  <c r="J207" i="2"/>
  <c r="J208" i="2"/>
  <c r="J209" i="2"/>
  <c r="J210" i="2"/>
  <c r="J211" i="2"/>
  <c r="H211" i="2" s="1"/>
  <c r="J212" i="2"/>
  <c r="J213" i="2"/>
  <c r="H213" i="2" s="1"/>
  <c r="J214" i="2"/>
  <c r="J215" i="2"/>
  <c r="J216" i="2"/>
  <c r="J217" i="2"/>
  <c r="J218" i="2"/>
  <c r="J219" i="2"/>
  <c r="H219" i="2" s="1"/>
  <c r="J220" i="2"/>
  <c r="J221" i="2"/>
  <c r="H221" i="2" s="1"/>
  <c r="J222" i="2"/>
  <c r="J223" i="2"/>
  <c r="J224" i="2"/>
  <c r="H224" i="2" s="1"/>
  <c r="J225" i="2"/>
  <c r="J226" i="2"/>
  <c r="J227" i="2"/>
  <c r="H227" i="2" s="1"/>
  <c r="J228" i="2"/>
  <c r="J229" i="2"/>
  <c r="H229" i="2" s="1"/>
  <c r="J230" i="2"/>
  <c r="J231" i="2"/>
  <c r="J232" i="2"/>
  <c r="H232" i="2" s="1"/>
  <c r="J233" i="2"/>
  <c r="J234" i="2"/>
  <c r="H234" i="2" s="1"/>
  <c r="J235" i="2"/>
  <c r="J236" i="2"/>
  <c r="J237" i="2"/>
  <c r="J238" i="2"/>
  <c r="J239" i="2"/>
  <c r="J240" i="2"/>
  <c r="J241" i="2"/>
  <c r="H241" i="2" s="1"/>
  <c r="J242" i="2"/>
  <c r="H242" i="2" s="1"/>
  <c r="J243" i="2"/>
  <c r="J244" i="2"/>
  <c r="J245" i="2"/>
  <c r="H245" i="2" s="1"/>
  <c r="J246" i="2"/>
  <c r="J247" i="2"/>
  <c r="J248" i="2"/>
  <c r="J249" i="2"/>
  <c r="H249" i="2" s="1"/>
  <c r="J250" i="2"/>
  <c r="J251" i="2"/>
  <c r="J252" i="2"/>
  <c r="J253" i="2"/>
  <c r="H253" i="2" s="1"/>
  <c r="J254" i="2"/>
  <c r="J255" i="2"/>
  <c r="H255" i="2" s="1"/>
  <c r="J256" i="2"/>
  <c r="J257" i="2"/>
  <c r="J258" i="2"/>
  <c r="J259" i="2"/>
  <c r="J5" i="2"/>
  <c r="H5" i="2" s="1"/>
  <c r="J4" i="2"/>
  <c r="AJ8" i="1"/>
  <c r="Y5" i="1" s="1"/>
  <c r="AI8" i="1"/>
  <c r="X5" i="1" s="1"/>
  <c r="AH8" i="1"/>
  <c r="AG8" i="1"/>
  <c r="Y4" i="1" s="1"/>
  <c r="AF8" i="1"/>
  <c r="X4" i="1" s="1"/>
  <c r="AE8" i="1"/>
  <c r="W4" i="1" s="1"/>
  <c r="AD8" i="1"/>
  <c r="Y3" i="1" s="1"/>
  <c r="AC8" i="1"/>
  <c r="X3" i="1" s="1"/>
  <c r="AB8" i="1"/>
  <c r="W3" i="1" s="1"/>
  <c r="K257" i="4"/>
  <c r="H256" i="4"/>
  <c r="H254" i="4"/>
  <c r="H246" i="4"/>
  <c r="H245" i="4"/>
  <c r="H239" i="4"/>
  <c r="H238" i="4"/>
  <c r="H237" i="4"/>
  <c r="H231" i="4"/>
  <c r="H230" i="4"/>
  <c r="H229" i="4"/>
  <c r="H223" i="4"/>
  <c r="H222" i="4"/>
  <c r="H221" i="4"/>
  <c r="H215" i="4"/>
  <c r="H214" i="4"/>
  <c r="H213" i="4"/>
  <c r="H207" i="4"/>
  <c r="K206" i="4"/>
  <c r="H205" i="4"/>
  <c r="H202" i="4"/>
  <c r="H200" i="4"/>
  <c r="H199" i="4"/>
  <c r="H198" i="4"/>
  <c r="K192" i="4"/>
  <c r="H191" i="4"/>
  <c r="H190" i="4"/>
  <c r="H186" i="4"/>
  <c r="K184" i="4"/>
  <c r="H183" i="4"/>
  <c r="H182" i="4"/>
  <c r="H178" i="4"/>
  <c r="H176" i="4"/>
  <c r="H175" i="4"/>
  <c r="H174" i="4"/>
  <c r="H170" i="4"/>
  <c r="K168" i="4"/>
  <c r="H167" i="4"/>
  <c r="K166" i="4"/>
  <c r="H166" i="4"/>
  <c r="H162" i="4"/>
  <c r="H161" i="4"/>
  <c r="K161" i="4"/>
  <c r="H159" i="4"/>
  <c r="H158" i="4"/>
  <c r="H154" i="4"/>
  <c r="H152" i="4"/>
  <c r="H151" i="4"/>
  <c r="H150" i="4"/>
  <c r="H146" i="4"/>
  <c r="H145" i="4"/>
  <c r="H144" i="4"/>
  <c r="H143" i="4"/>
  <c r="H142" i="4"/>
  <c r="H138" i="4"/>
  <c r="H137" i="4"/>
  <c r="H136" i="4"/>
  <c r="H135" i="4"/>
  <c r="H134" i="4"/>
  <c r="H130" i="4"/>
  <c r="H129" i="4"/>
  <c r="H128" i="4"/>
  <c r="H127" i="4"/>
  <c r="H126" i="4"/>
  <c r="H122" i="4"/>
  <c r="H121" i="4"/>
  <c r="H119" i="4"/>
  <c r="H114" i="4"/>
  <c r="H113" i="4"/>
  <c r="H112" i="4"/>
  <c r="H111" i="4"/>
  <c r="H110" i="4"/>
  <c r="H106" i="4"/>
  <c r="H105" i="4"/>
  <c r="H104" i="4"/>
  <c r="H103" i="4"/>
  <c r="K103" i="4"/>
  <c r="H102" i="4"/>
  <c r="H98" i="4"/>
  <c r="H97" i="4"/>
  <c r="H96" i="4"/>
  <c r="H95" i="4"/>
  <c r="H94" i="4"/>
  <c r="H89" i="4"/>
  <c r="H87" i="4"/>
  <c r="H86" i="4"/>
  <c r="H81" i="4"/>
  <c r="H79" i="4"/>
  <c r="H78" i="4"/>
  <c r="H74" i="4"/>
  <c r="K73" i="4"/>
  <c r="H71" i="4"/>
  <c r="H70" i="4"/>
  <c r="K69" i="4"/>
  <c r="H66" i="4"/>
  <c r="H63" i="4"/>
  <c r="H58" i="4"/>
  <c r="K56" i="4"/>
  <c r="H55" i="4"/>
  <c r="H54" i="4"/>
  <c r="H50" i="4"/>
  <c r="H47" i="4"/>
  <c r="H46" i="4"/>
  <c r="H42" i="4"/>
  <c r="H40" i="4"/>
  <c r="H39" i="4"/>
  <c r="H37" i="4"/>
  <c r="K33" i="4"/>
  <c r="H32" i="4"/>
  <c r="H31" i="4"/>
  <c r="H29" i="4"/>
  <c r="H27" i="4"/>
  <c r="H25" i="4"/>
  <c r="H23" i="4"/>
  <c r="K22" i="4"/>
  <c r="H21" i="4"/>
  <c r="H17" i="4"/>
  <c r="K16" i="4"/>
  <c r="H15" i="4"/>
  <c r="K10" i="4"/>
  <c r="H9" i="4"/>
  <c r="H8" i="4"/>
  <c r="H7" i="4"/>
  <c r="K5" i="4"/>
  <c r="K257" i="3"/>
  <c r="H255" i="3"/>
  <c r="H254" i="3"/>
  <c r="K248" i="3"/>
  <c r="H247" i="3"/>
  <c r="H246" i="3"/>
  <c r="H245" i="3"/>
  <c r="H239" i="3"/>
  <c r="H238" i="3"/>
  <c r="H233" i="3"/>
  <c r="H231" i="3"/>
  <c r="H230" i="3"/>
  <c r="H225" i="3"/>
  <c r="H223" i="3"/>
  <c r="H222" i="3"/>
  <c r="H221" i="3"/>
  <c r="K219" i="3"/>
  <c r="H217" i="3"/>
  <c r="H215" i="3"/>
  <c r="H214" i="3"/>
  <c r="H213" i="3"/>
  <c r="K209" i="3"/>
  <c r="H207" i="3"/>
  <c r="H206" i="3"/>
  <c r="H201" i="3"/>
  <c r="H199" i="3"/>
  <c r="H198" i="3"/>
  <c r="K197" i="3"/>
  <c r="H197" i="3"/>
  <c r="H193" i="3"/>
  <c r="H191" i="3"/>
  <c r="H190" i="3"/>
  <c r="H189" i="3"/>
  <c r="H187" i="3"/>
  <c r="K187" i="3"/>
  <c r="H185" i="3"/>
  <c r="H183" i="3"/>
  <c r="H182" i="3"/>
  <c r="H181" i="3"/>
  <c r="H177" i="3"/>
  <c r="H175" i="3"/>
  <c r="H174" i="3"/>
  <c r="H173" i="3"/>
  <c r="H169" i="3"/>
  <c r="H167" i="3"/>
  <c r="H165" i="3"/>
  <c r="K165" i="3"/>
  <c r="K162" i="3"/>
  <c r="H161" i="3"/>
  <c r="K161" i="3"/>
  <c r="K159" i="3"/>
  <c r="H159" i="3"/>
  <c r="H157" i="3"/>
  <c r="K157" i="3"/>
  <c r="H155" i="3"/>
  <c r="H153" i="3"/>
  <c r="H151" i="3"/>
  <c r="H145" i="3"/>
  <c r="H143" i="3"/>
  <c r="K141" i="3"/>
  <c r="H141" i="3"/>
  <c r="H136" i="3"/>
  <c r="H135" i="3"/>
  <c r="H133" i="3"/>
  <c r="H129" i="3"/>
  <c r="H128" i="3"/>
  <c r="K127" i="3"/>
  <c r="H127" i="3"/>
  <c r="K126" i="3"/>
  <c r="H126" i="3"/>
  <c r="H125" i="3"/>
  <c r="H122" i="3"/>
  <c r="H121" i="3"/>
  <c r="K120" i="3"/>
  <c r="H120" i="3"/>
  <c r="H119" i="3"/>
  <c r="K119" i="3"/>
  <c r="H117" i="3"/>
  <c r="H115" i="3"/>
  <c r="H114" i="3"/>
  <c r="H113" i="3"/>
  <c r="H112" i="3"/>
  <c r="H111" i="3"/>
  <c r="H110" i="3"/>
  <c r="H105" i="3"/>
  <c r="K103" i="3"/>
  <c r="H102" i="3"/>
  <c r="H101" i="3"/>
  <c r="H98" i="3"/>
  <c r="H96" i="3"/>
  <c r="H95" i="3"/>
  <c r="K95" i="3"/>
  <c r="H93" i="3"/>
  <c r="H90" i="3"/>
  <c r="K89" i="3"/>
  <c r="H87" i="3"/>
  <c r="H86" i="3"/>
  <c r="H83" i="3"/>
  <c r="H81" i="3"/>
  <c r="K80" i="3"/>
  <c r="H79" i="3"/>
  <c r="H78" i="3"/>
  <c r="H77" i="3"/>
  <c r="H73" i="3"/>
  <c r="H71" i="3"/>
  <c r="H70" i="3"/>
  <c r="H66" i="3"/>
  <c r="H65" i="3"/>
  <c r="K65" i="3"/>
  <c r="H63" i="3"/>
  <c r="K62" i="3"/>
  <c r="H59" i="3"/>
  <c r="H57" i="3"/>
  <c r="H55" i="3"/>
  <c r="K50" i="3"/>
  <c r="H49" i="3"/>
  <c r="K49" i="3"/>
  <c r="H47" i="3"/>
  <c r="H41" i="3"/>
  <c r="H39" i="3"/>
  <c r="H33" i="3"/>
  <c r="K33" i="3"/>
  <c r="H31" i="3"/>
  <c r="K31" i="3"/>
  <c r="H25" i="3"/>
  <c r="H23" i="3"/>
  <c r="K23" i="3"/>
  <c r="H20" i="3"/>
  <c r="H19" i="3"/>
  <c r="K18" i="3"/>
  <c r="H17" i="3"/>
  <c r="K17" i="3"/>
  <c r="H15" i="3"/>
  <c r="K14" i="3"/>
  <c r="H10" i="3"/>
  <c r="H9" i="3"/>
  <c r="H8" i="3"/>
  <c r="H7" i="3"/>
  <c r="H4" i="3"/>
  <c r="H258" i="2"/>
  <c r="H257" i="2"/>
  <c r="H256" i="2"/>
  <c r="H250" i="2"/>
  <c r="H248" i="2"/>
  <c r="K248" i="2"/>
  <c r="K247" i="2"/>
  <c r="H240" i="2"/>
  <c r="H239" i="2"/>
  <c r="H238" i="2"/>
  <c r="H237" i="2"/>
  <c r="H235" i="2"/>
  <c r="H231" i="2"/>
  <c r="H230" i="2"/>
  <c r="H226" i="2"/>
  <c r="H225" i="2"/>
  <c r="K224" i="2"/>
  <c r="H222" i="2"/>
  <c r="H218" i="2"/>
  <c r="H217" i="2"/>
  <c r="K216" i="2"/>
  <c r="H216" i="2"/>
  <c r="H215" i="2"/>
  <c r="H210" i="2"/>
  <c r="K209" i="2"/>
  <c r="H208" i="2"/>
  <c r="K208" i="2"/>
  <c r="K207" i="2"/>
  <c r="H202" i="2"/>
  <c r="H200" i="2"/>
  <c r="H198" i="2"/>
  <c r="H197" i="2"/>
  <c r="H194" i="2"/>
  <c r="K193" i="2"/>
  <c r="H192" i="2"/>
  <c r="H191" i="2"/>
  <c r="K186" i="2"/>
  <c r="H186" i="2"/>
  <c r="H184" i="2"/>
  <c r="H183" i="2"/>
  <c r="K177" i="2"/>
  <c r="H177" i="2"/>
  <c r="K176" i="2"/>
  <c r="H176" i="2"/>
  <c r="H175" i="2"/>
  <c r="K170" i="2"/>
  <c r="K169" i="2"/>
  <c r="H169" i="2"/>
  <c r="H168" i="2"/>
  <c r="K167" i="2"/>
  <c r="K161" i="2"/>
  <c r="H161" i="2"/>
  <c r="H160" i="2"/>
  <c r="H153" i="2"/>
  <c r="H152" i="2"/>
  <c r="H145" i="2"/>
  <c r="H144" i="2"/>
  <c r="H142" i="2"/>
  <c r="K137" i="2"/>
  <c r="H137" i="2"/>
  <c r="H136" i="2"/>
  <c r="H129" i="2"/>
  <c r="H128" i="2"/>
  <c r="H126" i="2"/>
  <c r="K122" i="2"/>
  <c r="K121" i="2"/>
  <c r="H121" i="2"/>
  <c r="H120" i="2"/>
  <c r="H118" i="2"/>
  <c r="K113" i="2"/>
  <c r="H112" i="2"/>
  <c r="K106" i="2"/>
  <c r="H104" i="2"/>
  <c r="H101" i="2"/>
  <c r="H98" i="2"/>
  <c r="H97" i="2"/>
  <c r="H96" i="2"/>
  <c r="H93" i="2"/>
  <c r="H91" i="2"/>
  <c r="H89" i="2"/>
  <c r="H88" i="2"/>
  <c r="K87" i="2"/>
  <c r="H86" i="2"/>
  <c r="H82" i="2"/>
  <c r="H81" i="2"/>
  <c r="H80" i="2"/>
  <c r="H78" i="2"/>
  <c r="H72" i="2"/>
  <c r="H70" i="2"/>
  <c r="H66" i="2"/>
  <c r="H65" i="2"/>
  <c r="K64" i="2"/>
  <c r="H62" i="2"/>
  <c r="H61" i="2"/>
  <c r="H58" i="2"/>
  <c r="H56" i="2"/>
  <c r="H55" i="2"/>
  <c r="H54" i="2"/>
  <c r="H53" i="2"/>
  <c r="H50" i="2"/>
  <c r="H49" i="2"/>
  <c r="H48" i="2"/>
  <c r="H46" i="2"/>
  <c r="K44" i="2"/>
  <c r="H44" i="2"/>
  <c r="H42" i="2"/>
  <c r="K40" i="2"/>
  <c r="H40" i="2"/>
  <c r="K39" i="2"/>
  <c r="H38" i="2"/>
  <c r="H37" i="2"/>
  <c r="K34" i="2"/>
  <c r="H33" i="2"/>
  <c r="H32" i="2"/>
  <c r="H31" i="2"/>
  <c r="H30" i="2"/>
  <c r="H28" i="2"/>
  <c r="H24" i="2"/>
  <c r="H23" i="2"/>
  <c r="H22" i="2"/>
  <c r="H21" i="2"/>
  <c r="H19" i="2"/>
  <c r="H17" i="2"/>
  <c r="H16" i="2"/>
  <c r="H15" i="2"/>
  <c r="K15" i="2"/>
  <c r="H13" i="2"/>
  <c r="H11" i="2"/>
  <c r="K10" i="2"/>
  <c r="H9" i="2"/>
  <c r="H8" i="2"/>
  <c r="H7" i="2"/>
  <c r="K64" i="1"/>
  <c r="J64" i="1"/>
  <c r="I64" i="1"/>
  <c r="C39" i="2" s="1"/>
  <c r="D64" i="1"/>
  <c r="C64" i="1"/>
  <c r="B64" i="1"/>
  <c r="K63" i="1"/>
  <c r="J63" i="1"/>
  <c r="I63" i="1"/>
  <c r="C38" i="2" s="1"/>
  <c r="D63" i="1"/>
  <c r="C63" i="1"/>
  <c r="B63" i="1"/>
  <c r="K62" i="1"/>
  <c r="J62" i="1"/>
  <c r="I62" i="1"/>
  <c r="C37" i="2" s="1"/>
  <c r="D62" i="1"/>
  <c r="C62" i="1"/>
  <c r="B62" i="1"/>
  <c r="K61" i="1"/>
  <c r="J61" i="1"/>
  <c r="C36" i="3" s="1"/>
  <c r="I61" i="1"/>
  <c r="C36" i="2" s="1"/>
  <c r="D61" i="1"/>
  <c r="C61" i="1"/>
  <c r="B61" i="1"/>
  <c r="K60" i="1"/>
  <c r="J60" i="1"/>
  <c r="C35" i="3" s="1"/>
  <c r="I60" i="1"/>
  <c r="C35" i="2" s="1"/>
  <c r="D60" i="1"/>
  <c r="C60" i="1"/>
  <c r="B60" i="1"/>
  <c r="K59" i="1"/>
  <c r="J59" i="1"/>
  <c r="I59" i="1"/>
  <c r="C34" i="2" s="1"/>
  <c r="D59" i="1"/>
  <c r="C59" i="1"/>
  <c r="B59" i="1"/>
  <c r="K58" i="1"/>
  <c r="J58" i="1"/>
  <c r="I58" i="1"/>
  <c r="C33" i="2" s="1"/>
  <c r="D58" i="1"/>
  <c r="C58" i="1"/>
  <c r="B58" i="1"/>
  <c r="K57" i="1"/>
  <c r="J57" i="1"/>
  <c r="C32" i="3" s="1"/>
  <c r="I57" i="1"/>
  <c r="C32" i="2" s="1"/>
  <c r="D57" i="1"/>
  <c r="C57" i="1"/>
  <c r="B57" i="1"/>
  <c r="K56" i="1"/>
  <c r="J56" i="1"/>
  <c r="I56" i="1"/>
  <c r="C31" i="2" s="1"/>
  <c r="D56" i="1"/>
  <c r="C56" i="1"/>
  <c r="B56" i="1"/>
  <c r="K55" i="1"/>
  <c r="J55" i="1"/>
  <c r="I55" i="1"/>
  <c r="C30" i="2" s="1"/>
  <c r="D55" i="1"/>
  <c r="C55" i="1"/>
  <c r="B55" i="1"/>
  <c r="K54" i="1"/>
  <c r="J54" i="1"/>
  <c r="I54" i="1"/>
  <c r="C29" i="2" s="1"/>
  <c r="D54" i="1"/>
  <c r="C54" i="1"/>
  <c r="B54" i="1"/>
  <c r="K53" i="1"/>
  <c r="J53" i="1"/>
  <c r="I53" i="1"/>
  <c r="C28" i="2" s="1"/>
  <c r="D53" i="1"/>
  <c r="C53" i="1"/>
  <c r="B53" i="1"/>
  <c r="K52" i="1"/>
  <c r="J52" i="1"/>
  <c r="C27" i="3" s="1"/>
  <c r="I52" i="1"/>
  <c r="C27" i="2" s="1"/>
  <c r="D52" i="1"/>
  <c r="C52" i="1"/>
  <c r="B52" i="1"/>
  <c r="K51" i="1"/>
  <c r="J51" i="1"/>
  <c r="I51" i="1"/>
  <c r="C26" i="2" s="1"/>
  <c r="D51" i="1"/>
  <c r="C51" i="1"/>
  <c r="B51" i="1"/>
  <c r="K50" i="1"/>
  <c r="J50" i="1"/>
  <c r="I50" i="1"/>
  <c r="C25" i="2" s="1"/>
  <c r="D50" i="1"/>
  <c r="C50" i="1"/>
  <c r="B50" i="1"/>
  <c r="K49" i="1"/>
  <c r="J49" i="1"/>
  <c r="I49" i="1"/>
  <c r="C24" i="2" s="1"/>
  <c r="D49" i="1"/>
  <c r="C49" i="1"/>
  <c r="B49" i="1"/>
  <c r="K48" i="1"/>
  <c r="J48" i="1"/>
  <c r="I48" i="1"/>
  <c r="C23" i="2" s="1"/>
  <c r="D48" i="1"/>
  <c r="C48" i="1"/>
  <c r="B48" i="1"/>
  <c r="K47" i="1"/>
  <c r="J47" i="1"/>
  <c r="I47" i="1"/>
  <c r="C22" i="2" s="1"/>
  <c r="D47" i="1"/>
  <c r="C47" i="1"/>
  <c r="B47" i="1"/>
  <c r="K46" i="1"/>
  <c r="J46" i="1"/>
  <c r="I46" i="1"/>
  <c r="C21" i="2" s="1"/>
  <c r="D46" i="1"/>
  <c r="C46" i="1"/>
  <c r="B46" i="1"/>
  <c r="K45" i="1"/>
  <c r="J45" i="1"/>
  <c r="I45" i="1"/>
  <c r="C20" i="2" s="1"/>
  <c r="D45" i="1"/>
  <c r="C45" i="1"/>
  <c r="B45" i="1"/>
  <c r="K44" i="1"/>
  <c r="J44" i="1"/>
  <c r="C19" i="3" s="1"/>
  <c r="I44" i="1"/>
  <c r="C19" i="2" s="1"/>
  <c r="D44" i="1"/>
  <c r="C44" i="1"/>
  <c r="B44" i="1"/>
  <c r="K43" i="1"/>
  <c r="J43" i="1"/>
  <c r="I43" i="1"/>
  <c r="C18" i="2" s="1"/>
  <c r="D43" i="1"/>
  <c r="C43" i="1"/>
  <c r="B43" i="1"/>
  <c r="K42" i="1"/>
  <c r="J42" i="1"/>
  <c r="I42" i="1"/>
  <c r="C17" i="2" s="1"/>
  <c r="D42" i="1"/>
  <c r="C42" i="1"/>
  <c r="B42" i="1"/>
  <c r="K41" i="1"/>
  <c r="J41" i="1"/>
  <c r="C16" i="3" s="1"/>
  <c r="D41" i="1"/>
  <c r="C41" i="1"/>
  <c r="B41" i="1"/>
  <c r="N11" i="1"/>
  <c r="AP7" i="1" s="1"/>
  <c r="AR7" i="1" s="1"/>
  <c r="O8" i="1"/>
  <c r="K8" i="1" s="1"/>
  <c r="N8" i="1"/>
  <c r="O6" i="1"/>
  <c r="J6" i="1" s="1"/>
  <c r="N6" i="1"/>
  <c r="W5" i="1"/>
  <c r="O4" i="1"/>
  <c r="N4" i="1"/>
  <c r="C39" i="4" l="1"/>
  <c r="F65" i="4" s="1"/>
  <c r="C39" i="3"/>
  <c r="F65" i="3" s="1"/>
  <c r="C38" i="4"/>
  <c r="F64" i="4" s="1"/>
  <c r="C38" i="3"/>
  <c r="F64" i="3" s="1"/>
  <c r="C37" i="4"/>
  <c r="F63" i="4" s="1"/>
  <c r="C37" i="3"/>
  <c r="F63" i="3" s="1"/>
  <c r="C36" i="4"/>
  <c r="F62" i="4" s="1"/>
  <c r="C35" i="4"/>
  <c r="F61" i="4" s="1"/>
  <c r="C34" i="4"/>
  <c r="F60" i="4" s="1"/>
  <c r="C34" i="3"/>
  <c r="F60" i="3" s="1"/>
  <c r="C33" i="4"/>
  <c r="F59" i="4" s="1"/>
  <c r="C33" i="3"/>
  <c r="F59" i="3" s="1"/>
  <c r="C32" i="4"/>
  <c r="F58" i="4" s="1"/>
  <c r="C31" i="4"/>
  <c r="F57" i="4" s="1"/>
  <c r="C31" i="3"/>
  <c r="F57" i="3" s="1"/>
  <c r="C30" i="4"/>
  <c r="F56" i="4" s="1"/>
  <c r="C30" i="3"/>
  <c r="F56" i="3" s="1"/>
  <c r="C29" i="4"/>
  <c r="F55" i="4" s="1"/>
  <c r="C29" i="3"/>
  <c r="F55" i="3" s="1"/>
  <c r="C28" i="4"/>
  <c r="F54" i="4" s="1"/>
  <c r="C28" i="3"/>
  <c r="F54" i="3" s="1"/>
  <c r="C27" i="4"/>
  <c r="F53" i="4" s="1"/>
  <c r="C26" i="4"/>
  <c r="F52" i="4" s="1"/>
  <c r="C26" i="3"/>
  <c r="F52" i="3" s="1"/>
  <c r="C25" i="4"/>
  <c r="F51" i="4" s="1"/>
  <c r="C25" i="3"/>
  <c r="F51" i="3" s="1"/>
  <c r="C24" i="4"/>
  <c r="F50" i="4" s="1"/>
  <c r="C24" i="3"/>
  <c r="F50" i="3" s="1"/>
  <c r="C23" i="4"/>
  <c r="F49" i="4" s="1"/>
  <c r="C23" i="3"/>
  <c r="F49" i="3" s="1"/>
  <c r="C22" i="4"/>
  <c r="F48" i="4" s="1"/>
  <c r="C22" i="3"/>
  <c r="F48" i="3" s="1"/>
  <c r="C21" i="4"/>
  <c r="F47" i="4" s="1"/>
  <c r="C21" i="3"/>
  <c r="F47" i="3" s="1"/>
  <c r="C20" i="4"/>
  <c r="F46" i="4" s="1"/>
  <c r="C20" i="3"/>
  <c r="F46" i="3" s="1"/>
  <c r="C19" i="4"/>
  <c r="F45" i="4" s="1"/>
  <c r="C18" i="4"/>
  <c r="F44" i="4" s="1"/>
  <c r="C18" i="3"/>
  <c r="F44" i="3" s="1"/>
  <c r="C17" i="4"/>
  <c r="F43" i="4" s="1"/>
  <c r="C17" i="3"/>
  <c r="F43" i="3" s="1"/>
  <c r="C16" i="4"/>
  <c r="F42" i="4" s="1"/>
  <c r="F42" i="3"/>
  <c r="F43" i="2"/>
  <c r="F50" i="2"/>
  <c r="F54" i="2"/>
  <c r="F42" i="2"/>
  <c r="F63" i="2"/>
  <c r="F58" i="2"/>
  <c r="F62" i="2"/>
  <c r="F55" i="2"/>
  <c r="F46" i="2"/>
  <c r="F45" i="2"/>
  <c r="F49" i="2"/>
  <c r="F53" i="2"/>
  <c r="F57" i="2"/>
  <c r="F61" i="2"/>
  <c r="F65" i="2"/>
  <c r="F47" i="2"/>
  <c r="F51" i="2"/>
  <c r="F59" i="2"/>
  <c r="AR9" i="1"/>
  <c r="AP9" i="1" s="1"/>
  <c r="F44" i="2"/>
  <c r="F48" i="2"/>
  <c r="F52" i="2"/>
  <c r="F56" i="2"/>
  <c r="F60" i="2"/>
  <c r="F64" i="2"/>
  <c r="K89" i="1"/>
  <c r="K115" i="1" s="1"/>
  <c r="K86" i="1"/>
  <c r="K112" i="1" s="1"/>
  <c r="B86" i="1"/>
  <c r="B112" i="1" s="1"/>
  <c r="C83" i="1"/>
  <c r="C109" i="1" s="1"/>
  <c r="B135" i="1" s="1"/>
  <c r="K81" i="1"/>
  <c r="K107" i="1" s="1"/>
  <c r="K78" i="1"/>
  <c r="K104" i="1" s="1"/>
  <c r="D76" i="1"/>
  <c r="D102" i="1" s="1"/>
  <c r="I73" i="1"/>
  <c r="I99" i="1" s="1"/>
  <c r="B72" i="1"/>
  <c r="B98" i="1" s="1"/>
  <c r="K70" i="1"/>
  <c r="K96" i="1" s="1"/>
  <c r="D68" i="1"/>
  <c r="D94" i="1" s="1"/>
  <c r="K4" i="1"/>
  <c r="Y7" i="1" s="1"/>
  <c r="AD9" i="1" s="1"/>
  <c r="J4" i="1"/>
  <c r="H124" i="4"/>
  <c r="K85" i="4"/>
  <c r="H171" i="3"/>
  <c r="K259" i="3"/>
  <c r="H203" i="3"/>
  <c r="H43" i="2"/>
  <c r="K255" i="2"/>
  <c r="K5" i="2"/>
  <c r="J83" i="1"/>
  <c r="J109" i="1" s="1"/>
  <c r="I135" i="1" s="1"/>
  <c r="J87" i="1"/>
  <c r="J113" i="1" s="1"/>
  <c r="I139" i="1" s="1"/>
  <c r="I90" i="1"/>
  <c r="I116" i="1" s="1"/>
  <c r="F62" i="3"/>
  <c r="F61" i="3"/>
  <c r="F53" i="3"/>
  <c r="F45" i="3"/>
  <c r="J84" i="1"/>
  <c r="J110" i="1" s="1"/>
  <c r="I136" i="1" s="1"/>
  <c r="J68" i="1"/>
  <c r="J94" i="1" s="1"/>
  <c r="I120" i="1" s="1"/>
  <c r="J72" i="1"/>
  <c r="J98" i="1" s="1"/>
  <c r="I124" i="1" s="1"/>
  <c r="J76" i="1"/>
  <c r="J102" i="1" s="1"/>
  <c r="I128" i="1" s="1"/>
  <c r="F58" i="3"/>
  <c r="C80" i="1"/>
  <c r="C106" i="1" s="1"/>
  <c r="B132" i="1" s="1"/>
  <c r="D84" i="1"/>
  <c r="D110" i="1" s="1"/>
  <c r="B83" i="1"/>
  <c r="B109" i="1" s="1"/>
  <c r="D69" i="1"/>
  <c r="D95" i="1" s="1"/>
  <c r="D85" i="1"/>
  <c r="D111" i="1" s="1"/>
  <c r="K24" i="4"/>
  <c r="K30" i="4"/>
  <c r="K88" i="4"/>
  <c r="K101" i="4"/>
  <c r="K121" i="4"/>
  <c r="K133" i="4"/>
  <c r="K144" i="4"/>
  <c r="K177" i="4"/>
  <c r="K42" i="4"/>
  <c r="K82" i="4"/>
  <c r="H173" i="4"/>
  <c r="K208" i="4"/>
  <c r="K216" i="4"/>
  <c r="K224" i="4"/>
  <c r="K232" i="4"/>
  <c r="K240" i="4"/>
  <c r="K248" i="4"/>
  <c r="K13" i="4"/>
  <c r="K50" i="4"/>
  <c r="H168" i="4"/>
  <c r="K201" i="4"/>
  <c r="K38" i="4"/>
  <c r="K44" i="4"/>
  <c r="K90" i="4"/>
  <c r="K97" i="4"/>
  <c r="K116" i="4"/>
  <c r="K122" i="4"/>
  <c r="K129" i="4"/>
  <c r="K135" i="4"/>
  <c r="K148" i="4"/>
  <c r="K156" i="4"/>
  <c r="K162" i="4"/>
  <c r="K12" i="4"/>
  <c r="K27" i="4"/>
  <c r="H33" i="4"/>
  <c r="H73" i="4"/>
  <c r="K92" i="4"/>
  <c r="K149" i="4"/>
  <c r="K204" i="4"/>
  <c r="K212" i="4"/>
  <c r="K220" i="4"/>
  <c r="K228" i="4"/>
  <c r="K236" i="4"/>
  <c r="K244" i="4"/>
  <c r="K252" i="4"/>
  <c r="H11" i="4"/>
  <c r="K34" i="4"/>
  <c r="K40" i="4"/>
  <c r="K80" i="4"/>
  <c r="K100" i="4"/>
  <c r="K118" i="4"/>
  <c r="K132" i="4"/>
  <c r="K163" i="3"/>
  <c r="K242" i="3"/>
  <c r="K249" i="3"/>
  <c r="K256" i="3"/>
  <c r="K123" i="3"/>
  <c r="K193" i="3"/>
  <c r="H209" i="3"/>
  <c r="H219" i="3"/>
  <c r="K42" i="3"/>
  <c r="K177" i="3"/>
  <c r="K258" i="3"/>
  <c r="K39" i="3"/>
  <c r="K25" i="3"/>
  <c r="K58" i="3"/>
  <c r="K94" i="3"/>
  <c r="H149" i="3"/>
  <c r="H195" i="3"/>
  <c r="K233" i="3"/>
  <c r="H259" i="3"/>
  <c r="K77" i="3"/>
  <c r="K84" i="3"/>
  <c r="K178" i="3"/>
  <c r="K241" i="3"/>
  <c r="K26" i="3"/>
  <c r="K41" i="3"/>
  <c r="K52" i="3"/>
  <c r="K34" i="3"/>
  <c r="K60" i="3"/>
  <c r="K67" i="3"/>
  <c r="H85" i="3"/>
  <c r="H103" i="3"/>
  <c r="K145" i="3"/>
  <c r="K169" i="3"/>
  <c r="K211" i="3"/>
  <c r="H235" i="3"/>
  <c r="K24" i="2"/>
  <c r="K65" i="2"/>
  <c r="H4" i="2"/>
  <c r="K19" i="2"/>
  <c r="K31" i="2"/>
  <c r="K36" i="2"/>
  <c r="K90" i="2"/>
  <c r="K116" i="2"/>
  <c r="H122" i="2"/>
  <c r="K134" i="2"/>
  <c r="H207" i="2"/>
  <c r="K211" i="2"/>
  <c r="H223" i="2"/>
  <c r="H247" i="2"/>
  <c r="K184" i="2"/>
  <c r="K241" i="2"/>
  <c r="K67" i="2"/>
  <c r="K91" i="2"/>
  <c r="K178" i="2"/>
  <c r="H185" i="2"/>
  <c r="K203" i="2"/>
  <c r="H254" i="2"/>
  <c r="K48" i="2"/>
  <c r="H106" i="2"/>
  <c r="K136" i="2"/>
  <c r="K168" i="2"/>
  <c r="H64" i="2"/>
  <c r="K76" i="2"/>
  <c r="K81" i="2"/>
  <c r="K92" i="2"/>
  <c r="H209" i="2"/>
  <c r="K244" i="2"/>
  <c r="H193" i="2"/>
  <c r="K102" i="2"/>
  <c r="K152" i="2"/>
  <c r="H206" i="2"/>
  <c r="D77" i="1"/>
  <c r="D103" i="1" s="1"/>
  <c r="K33" i="2"/>
  <c r="AQ8" i="1"/>
  <c r="AP8" i="1" s="1"/>
  <c r="I86" i="1"/>
  <c r="I112" i="1" s="1"/>
  <c r="H39" i="2"/>
  <c r="K98" i="2"/>
  <c r="K124" i="2"/>
  <c r="K135" i="2"/>
  <c r="H135" i="2"/>
  <c r="K162" i="2"/>
  <c r="H162" i="2"/>
  <c r="B84" i="1"/>
  <c r="B110" i="1" s="1"/>
  <c r="H75" i="2"/>
  <c r="K105" i="2"/>
  <c r="H105" i="2"/>
  <c r="K129" i="2"/>
  <c r="K145" i="2"/>
  <c r="K158" i="2"/>
  <c r="H158" i="2"/>
  <c r="H199" i="2"/>
  <c r="K200" i="2"/>
  <c r="K199" i="2"/>
  <c r="K91" i="3"/>
  <c r="H91" i="3"/>
  <c r="K182" i="2"/>
  <c r="H182" i="2"/>
  <c r="K233" i="2"/>
  <c r="H233" i="2"/>
  <c r="K82" i="1"/>
  <c r="K108" i="1" s="1"/>
  <c r="K146" i="2"/>
  <c r="H146" i="2"/>
  <c r="D88" i="1"/>
  <c r="D114" i="1" s="1"/>
  <c r="K32" i="2"/>
  <c r="K37" i="2"/>
  <c r="K55" i="2"/>
  <c r="K60" i="2"/>
  <c r="K117" i="2"/>
  <c r="K126" i="2"/>
  <c r="K142" i="2"/>
  <c r="H201" i="2"/>
  <c r="K201" i="2"/>
  <c r="H85" i="2"/>
  <c r="K85" i="2"/>
  <c r="K159" i="2"/>
  <c r="H159" i="2"/>
  <c r="C72" i="1"/>
  <c r="C98" i="1" s="1"/>
  <c r="B124" i="1" s="1"/>
  <c r="C84" i="1"/>
  <c r="C110" i="1" s="1"/>
  <c r="J89" i="1"/>
  <c r="J115" i="1" s="1"/>
  <c r="I141" i="1" s="1"/>
  <c r="K16" i="2"/>
  <c r="D67" i="1"/>
  <c r="D93" i="1" s="1"/>
  <c r="J80" i="1"/>
  <c r="J106" i="1" s="1"/>
  <c r="J81" i="1"/>
  <c r="J107" i="1" s="1"/>
  <c r="I133" i="1" s="1"/>
  <c r="D87" i="1"/>
  <c r="D113" i="1" s="1"/>
  <c r="K88" i="1"/>
  <c r="K114" i="1" s="1"/>
  <c r="I87" i="1"/>
  <c r="I113" i="1" s="1"/>
  <c r="K101" i="2"/>
  <c r="H113" i="2"/>
  <c r="K127" i="2"/>
  <c r="H127" i="2"/>
  <c r="K143" i="2"/>
  <c r="H143" i="2"/>
  <c r="K153" i="2"/>
  <c r="K160" i="2"/>
  <c r="K166" i="2"/>
  <c r="H166" i="2"/>
  <c r="K130" i="2"/>
  <c r="H130" i="2"/>
  <c r="K12" i="2"/>
  <c r="K56" i="2"/>
  <c r="K154" i="2"/>
  <c r="H154" i="2"/>
  <c r="K82" i="3"/>
  <c r="H82" i="3"/>
  <c r="K137" i="3"/>
  <c r="H137" i="3"/>
  <c r="B70" i="1"/>
  <c r="B96" i="1" s="1"/>
  <c r="D82" i="1"/>
  <c r="D108" i="1" s="1"/>
  <c r="K35" i="2"/>
  <c r="K66" i="2"/>
  <c r="K86" i="2"/>
  <c r="K67" i="1"/>
  <c r="K93" i="1" s="1"/>
  <c r="K75" i="1"/>
  <c r="K101" i="1" s="1"/>
  <c r="K79" i="1"/>
  <c r="K105" i="1" s="1"/>
  <c r="K80" i="1"/>
  <c r="K106" i="1" s="1"/>
  <c r="K83" i="1"/>
  <c r="K109" i="1" s="1"/>
  <c r="K87" i="1"/>
  <c r="K113" i="1" s="1"/>
  <c r="I88" i="1"/>
  <c r="I114" i="1" s="1"/>
  <c r="K8" i="2"/>
  <c r="K57" i="2"/>
  <c r="H57" i="2"/>
  <c r="H67" i="2"/>
  <c r="H87" i="2"/>
  <c r="K128" i="2"/>
  <c r="H134" i="2"/>
  <c r="K138" i="2"/>
  <c r="H138" i="2"/>
  <c r="K144" i="2"/>
  <c r="K150" i="2"/>
  <c r="H150" i="2"/>
  <c r="K190" i="2"/>
  <c r="H190" i="2"/>
  <c r="K11" i="3"/>
  <c r="H11" i="3"/>
  <c r="E56" i="3" s="1"/>
  <c r="C56" i="3" s="1"/>
  <c r="B85" i="1"/>
  <c r="B111" i="1" s="1"/>
  <c r="D89" i="1"/>
  <c r="D115" i="1" s="1"/>
  <c r="I89" i="1"/>
  <c r="I115" i="1" s="1"/>
  <c r="K114" i="2"/>
  <c r="H114" i="2"/>
  <c r="K151" i="2"/>
  <c r="H151" i="2"/>
  <c r="K174" i="2"/>
  <c r="H174" i="2"/>
  <c r="K112" i="4"/>
  <c r="K176" i="4"/>
  <c r="K9" i="2"/>
  <c r="K47" i="2"/>
  <c r="K52" i="2"/>
  <c r="K71" i="2"/>
  <c r="K118" i="2"/>
  <c r="H167" i="2"/>
  <c r="H170" i="2"/>
  <c r="H178" i="2"/>
  <c r="K212" i="2"/>
  <c r="K227" i="2"/>
  <c r="K256" i="2"/>
  <c r="K47" i="3"/>
  <c r="K57" i="3"/>
  <c r="K66" i="3"/>
  <c r="K93" i="3"/>
  <c r="K122" i="3"/>
  <c r="K153" i="3"/>
  <c r="K186" i="3"/>
  <c r="K218" i="3"/>
  <c r="K227" i="3"/>
  <c r="H243" i="3"/>
  <c r="K251" i="3"/>
  <c r="H257" i="3"/>
  <c r="H13" i="4"/>
  <c r="K19" i="4"/>
  <c r="K47" i="4"/>
  <c r="K53" i="4"/>
  <c r="K78" i="4"/>
  <c r="K83" i="4"/>
  <c r="K98" i="4"/>
  <c r="K109" i="4"/>
  <c r="K143" i="4"/>
  <c r="K152" i="4"/>
  <c r="K164" i="4"/>
  <c r="K188" i="4"/>
  <c r="K193" i="4"/>
  <c r="K199" i="4"/>
  <c r="K209" i="4"/>
  <c r="K225" i="4"/>
  <c r="K241" i="4"/>
  <c r="K256" i="4"/>
  <c r="K175" i="2"/>
  <c r="K183" i="2"/>
  <c r="K191" i="2"/>
  <c r="K197" i="2"/>
  <c r="K217" i="2"/>
  <c r="K232" i="2"/>
  <c r="K10" i="3"/>
  <c r="H52" i="3"/>
  <c r="K63" i="3"/>
  <c r="K71" i="3"/>
  <c r="K76" i="3"/>
  <c r="K81" i="3"/>
  <c r="K90" i="3"/>
  <c r="H94" i="3"/>
  <c r="K131" i="3"/>
  <c r="K136" i="3"/>
  <c r="K229" i="3"/>
  <c r="K35" i="4"/>
  <c r="K43" i="4"/>
  <c r="K48" i="4"/>
  <c r="K105" i="4"/>
  <c r="K119" i="4"/>
  <c r="K128" i="4"/>
  <c r="K134" i="4"/>
  <c r="K138" i="4"/>
  <c r="K153" i="4"/>
  <c r="K159" i="4"/>
  <c r="K183" i="4"/>
  <c r="K205" i="4"/>
  <c r="K215" i="4"/>
  <c r="K222" i="4"/>
  <c r="K231" i="4"/>
  <c r="K238" i="4"/>
  <c r="K247" i="4"/>
  <c r="K254" i="4"/>
  <c r="K239" i="2"/>
  <c r="K257" i="2"/>
  <c r="K28" i="3"/>
  <c r="K73" i="3"/>
  <c r="K86" i="3"/>
  <c r="K104" i="3"/>
  <c r="K111" i="3"/>
  <c r="K115" i="3"/>
  <c r="K133" i="3"/>
  <c r="K173" i="3"/>
  <c r="K210" i="3"/>
  <c r="K225" i="3"/>
  <c r="K234" i="3"/>
  <c r="H249" i="3"/>
  <c r="H5" i="4"/>
  <c r="H44" i="4"/>
  <c r="K49" i="4"/>
  <c r="K61" i="4"/>
  <c r="K74" i="4"/>
  <c r="K79" i="4"/>
  <c r="H90" i="4"/>
  <c r="K95" i="4"/>
  <c r="K104" i="4"/>
  <c r="K114" i="4"/>
  <c r="H120" i="4"/>
  <c r="K140" i="4"/>
  <c r="K145" i="4"/>
  <c r="H160" i="4"/>
  <c r="K165" i="4"/>
  <c r="K169" i="4"/>
  <c r="K174" i="4"/>
  <c r="K178" i="4"/>
  <c r="H184" i="4"/>
  <c r="K200" i="4"/>
  <c r="H206" i="4"/>
  <c r="H216" i="4"/>
  <c r="H232" i="4"/>
  <c r="K243" i="4"/>
  <c r="H248" i="4"/>
  <c r="K55" i="3"/>
  <c r="K202" i="3"/>
  <c r="K57" i="4"/>
  <c r="K111" i="4"/>
  <c r="K120" i="4"/>
  <c r="K130" i="4"/>
  <c r="K141" i="4"/>
  <c r="K160" i="4"/>
  <c r="K170" i="4"/>
  <c r="K175" i="4"/>
  <c r="K180" i="4"/>
  <c r="K197" i="4"/>
  <c r="K217" i="4"/>
  <c r="K233" i="4"/>
  <c r="K249" i="4"/>
  <c r="K260" i="4"/>
  <c r="K198" i="2"/>
  <c r="K225" i="2"/>
  <c r="K249" i="2"/>
  <c r="K9" i="3"/>
  <c r="K54" i="3"/>
  <c r="K68" i="3"/>
  <c r="K74" i="3"/>
  <c r="K88" i="3"/>
  <c r="K117" i="3"/>
  <c r="K226" i="3"/>
  <c r="K250" i="3"/>
  <c r="K45" i="4"/>
  <c r="K64" i="4"/>
  <c r="K81" i="4"/>
  <c r="K96" i="4"/>
  <c r="K102" i="4"/>
  <c r="K106" i="4"/>
  <c r="K117" i="4"/>
  <c r="K137" i="4"/>
  <c r="K151" i="4"/>
  <c r="K181" i="4"/>
  <c r="K185" i="4"/>
  <c r="K191" i="4"/>
  <c r="K202" i="4"/>
  <c r="K207" i="4"/>
  <c r="K214" i="4"/>
  <c r="K223" i="4"/>
  <c r="K230" i="4"/>
  <c r="K239" i="4"/>
  <c r="K246" i="4"/>
  <c r="K255" i="4"/>
  <c r="K194" i="2"/>
  <c r="K206" i="2"/>
  <c r="K240" i="2"/>
  <c r="H246" i="2"/>
  <c r="K20" i="3"/>
  <c r="K36" i="3"/>
  <c r="H40" i="3"/>
  <c r="K44" i="3"/>
  <c r="H60" i="3"/>
  <c r="K70" i="3"/>
  <c r="H89" i="3"/>
  <c r="K92" i="3"/>
  <c r="K113" i="3"/>
  <c r="H118" i="3"/>
  <c r="K121" i="3"/>
  <c r="K170" i="3"/>
  <c r="K179" i="3"/>
  <c r="K194" i="3"/>
  <c r="K237" i="3"/>
  <c r="H34" i="4"/>
  <c r="K41" i="4"/>
  <c r="K58" i="4"/>
  <c r="K65" i="4"/>
  <c r="K72" i="4"/>
  <c r="K77" i="4"/>
  <c r="H82" i="4"/>
  <c r="K87" i="4"/>
  <c r="K108" i="4"/>
  <c r="K113" i="4"/>
  <c r="H118" i="4"/>
  <c r="K127" i="4"/>
  <c r="K136" i="4"/>
  <c r="K146" i="4"/>
  <c r="K167" i="4"/>
  <c r="K172" i="4"/>
  <c r="H192" i="4"/>
  <c r="H208" i="4"/>
  <c r="H224" i="4"/>
  <c r="H240" i="4"/>
  <c r="J8" i="1"/>
  <c r="I8" i="1"/>
  <c r="I6" i="1"/>
  <c r="K6" i="1"/>
  <c r="Z3" i="1"/>
  <c r="Z5" i="1"/>
  <c r="Z4" i="1"/>
  <c r="X8" i="1"/>
  <c r="AF9" i="1" s="1"/>
  <c r="AQ7" i="1"/>
  <c r="C71" i="1"/>
  <c r="C97" i="1" s="1"/>
  <c r="B71" i="1"/>
  <c r="B97" i="1" s="1"/>
  <c r="J73" i="1"/>
  <c r="J99" i="1" s="1"/>
  <c r="K73" i="1"/>
  <c r="K99" i="1" s="1"/>
  <c r="C74" i="1"/>
  <c r="C100" i="1" s="1"/>
  <c r="B74" i="1"/>
  <c r="B100" i="1" s="1"/>
  <c r="I76" i="1"/>
  <c r="I102" i="1" s="1"/>
  <c r="C81" i="1"/>
  <c r="C107" i="1" s="1"/>
  <c r="D81" i="1"/>
  <c r="D107" i="1" s="1"/>
  <c r="I82" i="1"/>
  <c r="I108" i="1" s="1"/>
  <c r="B87" i="1"/>
  <c r="B113" i="1" s="1"/>
  <c r="I67" i="1"/>
  <c r="I93" i="1" s="1"/>
  <c r="J67" i="1"/>
  <c r="J93" i="1" s="1"/>
  <c r="C75" i="1"/>
  <c r="C101" i="1" s="1"/>
  <c r="B75" i="1"/>
  <c r="B101" i="1" s="1"/>
  <c r="C78" i="1"/>
  <c r="C104" i="1" s="1"/>
  <c r="B78" i="1"/>
  <c r="B104" i="1" s="1"/>
  <c r="B90" i="1"/>
  <c r="B116" i="1" s="1"/>
  <c r="D90" i="1"/>
  <c r="D116" i="1" s="1"/>
  <c r="C90" i="1"/>
  <c r="C116" i="1" s="1"/>
  <c r="I77" i="1"/>
  <c r="I103" i="1" s="1"/>
  <c r="J77" i="1"/>
  <c r="J103" i="1" s="1"/>
  <c r="D80" i="1"/>
  <c r="D106" i="1" s="1"/>
  <c r="B80" i="1"/>
  <c r="B106" i="1" s="1"/>
  <c r="B69" i="1"/>
  <c r="B95" i="1" s="1"/>
  <c r="I71" i="1"/>
  <c r="I97" i="1" s="1"/>
  <c r="J71" i="1"/>
  <c r="J97" i="1" s="1"/>
  <c r="D72" i="1"/>
  <c r="D98" i="1" s="1"/>
  <c r="I74" i="1"/>
  <c r="I100" i="1" s="1"/>
  <c r="C79" i="1"/>
  <c r="C105" i="1" s="1"/>
  <c r="B79" i="1"/>
  <c r="B105" i="1" s="1"/>
  <c r="B88" i="1"/>
  <c r="B114" i="1" s="1"/>
  <c r="D71" i="1"/>
  <c r="D97" i="1" s="1"/>
  <c r="D74" i="1"/>
  <c r="D100" i="1" s="1"/>
  <c r="D75" i="1"/>
  <c r="D101" i="1" s="1"/>
  <c r="D78" i="1"/>
  <c r="D104" i="1" s="1"/>
  <c r="D79" i="1"/>
  <c r="D105" i="1" s="1"/>
  <c r="B81" i="1"/>
  <c r="B107" i="1" s="1"/>
  <c r="C77" i="1"/>
  <c r="C103" i="1" s="1"/>
  <c r="B77" i="1"/>
  <c r="B103" i="1" s="1"/>
  <c r="K68" i="1"/>
  <c r="K94" i="1" s="1"/>
  <c r="J74" i="1"/>
  <c r="J100" i="1" s="1"/>
  <c r="D83" i="1"/>
  <c r="D109" i="1" s="1"/>
  <c r="C69" i="1"/>
  <c r="C95" i="1" s="1"/>
  <c r="I70" i="1"/>
  <c r="I96" i="1" s="1"/>
  <c r="K71" i="1"/>
  <c r="K97" i="1" s="1"/>
  <c r="K74" i="1"/>
  <c r="K100" i="1" s="1"/>
  <c r="K76" i="1"/>
  <c r="K102" i="1" s="1"/>
  <c r="K77" i="1"/>
  <c r="K103" i="1" s="1"/>
  <c r="I81" i="1"/>
  <c r="I107" i="1" s="1"/>
  <c r="C85" i="1"/>
  <c r="C111" i="1" s="1"/>
  <c r="C88" i="1"/>
  <c r="C114" i="1" s="1"/>
  <c r="Q83" i="1" a="1"/>
  <c r="D73" i="1"/>
  <c r="D99" i="1" s="1"/>
  <c r="C73" i="1"/>
  <c r="C99" i="1" s="1"/>
  <c r="I75" i="1"/>
  <c r="I101" i="1" s="1"/>
  <c r="J75" i="1"/>
  <c r="J101" i="1" s="1"/>
  <c r="C76" i="1"/>
  <c r="C102" i="1" s="1"/>
  <c r="B76" i="1"/>
  <c r="B102" i="1" s="1"/>
  <c r="I78" i="1"/>
  <c r="I104" i="1" s="1"/>
  <c r="I80" i="1"/>
  <c r="I106" i="1" s="1"/>
  <c r="C82" i="1"/>
  <c r="C108" i="1" s="1"/>
  <c r="B82" i="1"/>
  <c r="B108" i="1" s="1"/>
  <c r="K84" i="1"/>
  <c r="K110" i="1" s="1"/>
  <c r="I84" i="1"/>
  <c r="I110" i="1" s="1"/>
  <c r="C86" i="1"/>
  <c r="C112" i="1" s="1"/>
  <c r="J90" i="1"/>
  <c r="J116" i="1" s="1"/>
  <c r="K90" i="1"/>
  <c r="K116" i="1" s="1"/>
  <c r="B68" i="1"/>
  <c r="B94" i="1" s="1"/>
  <c r="J70" i="1"/>
  <c r="J96" i="1" s="1"/>
  <c r="J86" i="1"/>
  <c r="J112" i="1" s="1"/>
  <c r="I4" i="1"/>
  <c r="W7" i="1" s="1"/>
  <c r="AB9" i="1" s="1"/>
  <c r="C67" i="1"/>
  <c r="C93" i="1" s="1"/>
  <c r="B67" i="1"/>
  <c r="B93" i="1" s="1"/>
  <c r="K69" i="1"/>
  <c r="K95" i="1" s="1"/>
  <c r="J69" i="1"/>
  <c r="J95" i="1" s="1"/>
  <c r="C70" i="1"/>
  <c r="C96" i="1" s="1"/>
  <c r="D70" i="1"/>
  <c r="D96" i="1" s="1"/>
  <c r="K72" i="1"/>
  <c r="K98" i="1" s="1"/>
  <c r="J78" i="1"/>
  <c r="J104" i="1" s="1"/>
  <c r="I79" i="1"/>
  <c r="I105" i="1" s="1"/>
  <c r="J79" i="1"/>
  <c r="J105" i="1" s="1"/>
  <c r="K85" i="1"/>
  <c r="K111" i="1" s="1"/>
  <c r="J85" i="1"/>
  <c r="J111" i="1" s="1"/>
  <c r="D86" i="1"/>
  <c r="D112" i="1" s="1"/>
  <c r="B89" i="1"/>
  <c r="B115" i="1" s="1"/>
  <c r="C89" i="1"/>
  <c r="C115" i="1" s="1"/>
  <c r="C68" i="1"/>
  <c r="C94" i="1" s="1"/>
  <c r="I69" i="1"/>
  <c r="I95" i="1" s="1"/>
  <c r="B73" i="1"/>
  <c r="B99" i="1" s="1"/>
  <c r="I85" i="1"/>
  <c r="I111" i="1" s="1"/>
  <c r="J82" i="1"/>
  <c r="J108" i="1" s="1"/>
  <c r="C87" i="1"/>
  <c r="C113" i="1" s="1"/>
  <c r="K20" i="2"/>
  <c r="H20" i="2"/>
  <c r="K21" i="2"/>
  <c r="J88" i="1"/>
  <c r="J114" i="1" s="1"/>
  <c r="I68" i="1"/>
  <c r="I94" i="1" s="1"/>
  <c r="I72" i="1"/>
  <c r="I98" i="1" s="1"/>
  <c r="I83" i="1"/>
  <c r="I109" i="1" s="1"/>
  <c r="J135" i="1" s="1"/>
  <c r="H73" i="2"/>
  <c r="K73" i="2"/>
  <c r="H14" i="2"/>
  <c r="K14" i="2"/>
  <c r="H25" i="2"/>
  <c r="K25" i="2"/>
  <c r="H6" i="2"/>
  <c r="K6" i="2"/>
  <c r="K7" i="2"/>
  <c r="K95" i="2"/>
  <c r="H95" i="2"/>
  <c r="K96" i="2"/>
  <c r="K110" i="2"/>
  <c r="H110" i="2"/>
  <c r="H29" i="2"/>
  <c r="K30" i="2"/>
  <c r="K29" i="2"/>
  <c r="H45" i="2"/>
  <c r="K45" i="2"/>
  <c r="K46" i="2"/>
  <c r="K26" i="2"/>
  <c r="K27" i="2"/>
  <c r="H26" i="2"/>
  <c r="H69" i="2"/>
  <c r="K69" i="2"/>
  <c r="K70" i="2"/>
  <c r="H10" i="2"/>
  <c r="K11" i="2"/>
  <c r="K17" i="2"/>
  <c r="K22" i="2"/>
  <c r="K49" i="2"/>
  <c r="K13" i="2"/>
  <c r="H99" i="2"/>
  <c r="K100" i="2"/>
  <c r="K99" i="2"/>
  <c r="K119" i="2"/>
  <c r="H119" i="2"/>
  <c r="K21" i="3"/>
  <c r="H21" i="3"/>
  <c r="K22" i="3"/>
  <c r="K37" i="3"/>
  <c r="H37" i="3"/>
  <c r="K38" i="3"/>
  <c r="K74" i="2"/>
  <c r="H74" i="2"/>
  <c r="H77" i="2"/>
  <c r="K78" i="2"/>
  <c r="K77" i="2"/>
  <c r="H18" i="2"/>
  <c r="K18" i="2"/>
  <c r="H34" i="2"/>
  <c r="K41" i="2"/>
  <c r="H41" i="2"/>
  <c r="K120" i="2"/>
  <c r="K79" i="2"/>
  <c r="K80" i="2"/>
  <c r="H79" i="2"/>
  <c r="K103" i="2"/>
  <c r="K104" i="2"/>
  <c r="H103" i="2"/>
  <c r="K58" i="2"/>
  <c r="K75" i="2"/>
  <c r="K83" i="2"/>
  <c r="K84" i="2"/>
  <c r="H83" i="2"/>
  <c r="K50" i="2"/>
  <c r="K54" i="2"/>
  <c r="K63" i="2"/>
  <c r="H63" i="2"/>
  <c r="K68" i="2"/>
  <c r="K82" i="2"/>
  <c r="K28" i="2"/>
  <c r="K42" i="2"/>
  <c r="K59" i="2"/>
  <c r="K51" i="2"/>
  <c r="K53" i="2"/>
  <c r="K93" i="2"/>
  <c r="H115" i="2"/>
  <c r="K115" i="2"/>
  <c r="H131" i="2"/>
  <c r="K131" i="2"/>
  <c r="H139" i="2"/>
  <c r="K139" i="2"/>
  <c r="H147" i="2"/>
  <c r="K147" i="2"/>
  <c r="K132" i="2"/>
  <c r="H132" i="2"/>
  <c r="K140" i="2"/>
  <c r="H140" i="2"/>
  <c r="H108" i="2"/>
  <c r="K108" i="2"/>
  <c r="K23" i="2"/>
  <c r="K38" i="2"/>
  <c r="H47" i="2"/>
  <c r="K61" i="2"/>
  <c r="H71" i="2"/>
  <c r="K72" i="2"/>
  <c r="K94" i="2"/>
  <c r="K97" i="2"/>
  <c r="K111" i="2"/>
  <c r="K88" i="2"/>
  <c r="K107" i="2"/>
  <c r="H90" i="2"/>
  <c r="H102" i="2"/>
  <c r="K112" i="2"/>
  <c r="K109" i="2"/>
  <c r="H123" i="2"/>
  <c r="K123" i="2"/>
  <c r="H155" i="2"/>
  <c r="K155" i="2"/>
  <c r="H163" i="2"/>
  <c r="K163" i="2"/>
  <c r="H171" i="2"/>
  <c r="K171" i="2"/>
  <c r="H179" i="2"/>
  <c r="K179" i="2"/>
  <c r="H187" i="2"/>
  <c r="K187" i="2"/>
  <c r="K215" i="2"/>
  <c r="K214" i="2"/>
  <c r="H214" i="2"/>
  <c r="K148" i="2"/>
  <c r="H148" i="2"/>
  <c r="K156" i="2"/>
  <c r="H156" i="2"/>
  <c r="K164" i="2"/>
  <c r="H164" i="2"/>
  <c r="K172" i="2"/>
  <c r="H172" i="2"/>
  <c r="K180" i="2"/>
  <c r="H180" i="2"/>
  <c r="K188" i="2"/>
  <c r="H188" i="2"/>
  <c r="K29" i="3"/>
  <c r="H29" i="3"/>
  <c r="K30" i="3"/>
  <c r="K62" i="2"/>
  <c r="K89" i="2"/>
  <c r="H94" i="2"/>
  <c r="H111" i="2"/>
  <c r="K125" i="2"/>
  <c r="K133" i="2"/>
  <c r="K141" i="2"/>
  <c r="K149" i="2"/>
  <c r="K157" i="2"/>
  <c r="K165" i="2"/>
  <c r="K173" i="2"/>
  <c r="K181" i="2"/>
  <c r="K189" i="2"/>
  <c r="K219" i="2"/>
  <c r="K6" i="3"/>
  <c r="K134" i="3"/>
  <c r="K135" i="3"/>
  <c r="H134" i="3"/>
  <c r="K196" i="2"/>
  <c r="K220" i="2"/>
  <c r="K243" i="2"/>
  <c r="H243" i="2"/>
  <c r="K231" i="2"/>
  <c r="K230" i="2"/>
  <c r="K259" i="2"/>
  <c r="H259" i="2"/>
  <c r="K97" i="3"/>
  <c r="H97" i="3"/>
  <c r="K110" i="3"/>
  <c r="K109" i="3"/>
  <c r="H109" i="3"/>
  <c r="H109" i="2"/>
  <c r="H117" i="2"/>
  <c r="H125" i="2"/>
  <c r="H133" i="2"/>
  <c r="H141" i="2"/>
  <c r="H149" i="2"/>
  <c r="H157" i="2"/>
  <c r="H165" i="2"/>
  <c r="H173" i="2"/>
  <c r="H181" i="2"/>
  <c r="H189" i="2"/>
  <c r="K204" i="2"/>
  <c r="K235" i="2"/>
  <c r="K260" i="2"/>
  <c r="K45" i="3"/>
  <c r="H45" i="3"/>
  <c r="K200" i="3"/>
  <c r="H200" i="3"/>
  <c r="K201" i="3"/>
  <c r="K223" i="2"/>
  <c r="K222" i="2"/>
  <c r="K236" i="2"/>
  <c r="K13" i="3"/>
  <c r="H13" i="3"/>
  <c r="K53" i="3"/>
  <c r="H53" i="3"/>
  <c r="K192" i="2"/>
  <c r="K195" i="2"/>
  <c r="K251" i="2"/>
  <c r="H251" i="2"/>
  <c r="K46" i="3"/>
  <c r="K61" i="3"/>
  <c r="H61" i="3"/>
  <c r="K100" i="3"/>
  <c r="K101" i="3"/>
  <c r="H100" i="3"/>
  <c r="K228" i="2"/>
  <c r="K252" i="2"/>
  <c r="K5" i="3"/>
  <c r="H5" i="3"/>
  <c r="K69" i="3"/>
  <c r="H69" i="3"/>
  <c r="H106" i="3"/>
  <c r="K107" i="3"/>
  <c r="K106" i="3"/>
  <c r="K202" i="2"/>
  <c r="K210" i="2"/>
  <c r="K218" i="2"/>
  <c r="K226" i="2"/>
  <c r="K234" i="2"/>
  <c r="K242" i="2"/>
  <c r="K250" i="2"/>
  <c r="K258" i="2"/>
  <c r="K12" i="3"/>
  <c r="K16" i="3"/>
  <c r="H22" i="3"/>
  <c r="K24" i="3"/>
  <c r="H30" i="3"/>
  <c r="K32" i="3"/>
  <c r="H38" i="3"/>
  <c r="H46" i="3"/>
  <c r="K48" i="3"/>
  <c r="H54" i="3"/>
  <c r="K56" i="3"/>
  <c r="H62" i="3"/>
  <c r="K64" i="3"/>
  <c r="K72" i="3"/>
  <c r="K78" i="3"/>
  <c r="K83" i="3"/>
  <c r="K96" i="3"/>
  <c r="K99" i="3"/>
  <c r="K102" i="3"/>
  <c r="K108" i="3"/>
  <c r="K129" i="3"/>
  <c r="K216" i="3"/>
  <c r="H216" i="3"/>
  <c r="K220" i="3"/>
  <c r="H220" i="3"/>
  <c r="K7" i="4"/>
  <c r="K6" i="4"/>
  <c r="H6" i="4"/>
  <c r="K18" i="4"/>
  <c r="H18" i="4"/>
  <c r="K26" i="4"/>
  <c r="H26" i="4"/>
  <c r="H62" i="4"/>
  <c r="K63" i="4"/>
  <c r="K62" i="4"/>
  <c r="K157" i="4"/>
  <c r="H157" i="4"/>
  <c r="K205" i="2"/>
  <c r="K213" i="2"/>
  <c r="K221" i="2"/>
  <c r="K229" i="2"/>
  <c r="K237" i="2"/>
  <c r="K245" i="2"/>
  <c r="K253" i="2"/>
  <c r="K7" i="3"/>
  <c r="K15" i="3"/>
  <c r="K87" i="3"/>
  <c r="K105" i="3"/>
  <c r="K114" i="3"/>
  <c r="K130" i="3"/>
  <c r="H130" i="3"/>
  <c r="K208" i="3"/>
  <c r="H208" i="3"/>
  <c r="K212" i="3"/>
  <c r="H212" i="3"/>
  <c r="K93" i="4"/>
  <c r="H93" i="4"/>
  <c r="K204" i="3"/>
  <c r="H204" i="3"/>
  <c r="K260" i="3"/>
  <c r="H260" i="3"/>
  <c r="K124" i="3"/>
  <c r="H124" i="3"/>
  <c r="K138" i="3"/>
  <c r="H138" i="3"/>
  <c r="H142" i="3"/>
  <c r="K142" i="3"/>
  <c r="K146" i="3"/>
  <c r="H146" i="3"/>
  <c r="H150" i="3"/>
  <c r="K150" i="3"/>
  <c r="K154" i="3"/>
  <c r="H154" i="3"/>
  <c r="H158" i="3"/>
  <c r="K158" i="3"/>
  <c r="H166" i="3"/>
  <c r="K167" i="3"/>
  <c r="K166" i="3"/>
  <c r="K192" i="3"/>
  <c r="H192" i="3"/>
  <c r="K196" i="3"/>
  <c r="H196" i="3"/>
  <c r="K217" i="3"/>
  <c r="K221" i="3"/>
  <c r="H212" i="2"/>
  <c r="H220" i="2"/>
  <c r="H228" i="2"/>
  <c r="H236" i="2"/>
  <c r="K238" i="2"/>
  <c r="H244" i="2"/>
  <c r="K246" i="2"/>
  <c r="H252" i="2"/>
  <c r="K254" i="2"/>
  <c r="H260" i="2"/>
  <c r="H6" i="3"/>
  <c r="K8" i="3"/>
  <c r="H14" i="3"/>
  <c r="H18" i="3"/>
  <c r="H26" i="3"/>
  <c r="H34" i="3"/>
  <c r="K40" i="3"/>
  <c r="H42" i="3"/>
  <c r="H50" i="3"/>
  <c r="H58" i="3"/>
  <c r="H74" i="3"/>
  <c r="H80" i="3"/>
  <c r="H84" i="3"/>
  <c r="H104" i="3"/>
  <c r="K112" i="3"/>
  <c r="K118" i="3"/>
  <c r="K184" i="3"/>
  <c r="H184" i="3"/>
  <c r="K188" i="3"/>
  <c r="H188" i="3"/>
  <c r="K253" i="3"/>
  <c r="K252" i="3"/>
  <c r="H252" i="3"/>
  <c r="K59" i="4"/>
  <c r="H59" i="4"/>
  <c r="K60" i="4"/>
  <c r="K189" i="4"/>
  <c r="H189" i="4"/>
  <c r="H194" i="4"/>
  <c r="K194" i="4"/>
  <c r="K19" i="3"/>
  <c r="K27" i="3"/>
  <c r="K35" i="3"/>
  <c r="K43" i="3"/>
  <c r="K51" i="3"/>
  <c r="K59" i="3"/>
  <c r="K75" i="3"/>
  <c r="K98" i="3"/>
  <c r="K128" i="3"/>
  <c r="K132" i="3"/>
  <c r="H132" i="3"/>
  <c r="K176" i="3"/>
  <c r="H176" i="3"/>
  <c r="K180" i="3"/>
  <c r="H180" i="3"/>
  <c r="K205" i="3"/>
  <c r="K240" i="3"/>
  <c r="H240" i="3"/>
  <c r="K244" i="3"/>
  <c r="H244" i="3"/>
  <c r="K125" i="4"/>
  <c r="H125" i="4"/>
  <c r="H16" i="3"/>
  <c r="H24" i="3"/>
  <c r="H32" i="3"/>
  <c r="H48" i="3"/>
  <c r="H56" i="3"/>
  <c r="H64" i="3"/>
  <c r="H72" i="3"/>
  <c r="H88" i="3"/>
  <c r="K116" i="3"/>
  <c r="K125" i="3"/>
  <c r="K139" i="3"/>
  <c r="K143" i="3"/>
  <c r="K147" i="3"/>
  <c r="K151" i="3"/>
  <c r="K155" i="3"/>
  <c r="K168" i="3"/>
  <c r="H168" i="3"/>
  <c r="K172" i="3"/>
  <c r="H172" i="3"/>
  <c r="K232" i="3"/>
  <c r="H232" i="3"/>
  <c r="K236" i="3"/>
  <c r="H236" i="3"/>
  <c r="K15" i="4"/>
  <c r="K14" i="4"/>
  <c r="H14" i="4"/>
  <c r="K79" i="3"/>
  <c r="K140" i="3"/>
  <c r="H140" i="3"/>
  <c r="K144" i="3"/>
  <c r="H144" i="3"/>
  <c r="K148" i="3"/>
  <c r="H148" i="3"/>
  <c r="K152" i="3"/>
  <c r="H152" i="3"/>
  <c r="K156" i="3"/>
  <c r="H156" i="3"/>
  <c r="K160" i="3"/>
  <c r="H160" i="3"/>
  <c r="K164" i="3"/>
  <c r="H164" i="3"/>
  <c r="E52" i="3" s="1"/>
  <c r="C52" i="3" s="1"/>
  <c r="K185" i="3"/>
  <c r="K189" i="3"/>
  <c r="K224" i="3"/>
  <c r="H224" i="3"/>
  <c r="K228" i="3"/>
  <c r="H228" i="3"/>
  <c r="K21" i="4"/>
  <c r="K29" i="4"/>
  <c r="K51" i="4"/>
  <c r="H51" i="4"/>
  <c r="K67" i="4"/>
  <c r="H67" i="4"/>
  <c r="K86" i="4"/>
  <c r="K110" i="4"/>
  <c r="K142" i="4"/>
  <c r="H218" i="4"/>
  <c r="K218" i="4"/>
  <c r="H234" i="4"/>
  <c r="K234" i="4"/>
  <c r="H250" i="4"/>
  <c r="K250" i="4"/>
  <c r="K174" i="3"/>
  <c r="K182" i="3"/>
  <c r="K190" i="3"/>
  <c r="K198" i="3"/>
  <c r="K206" i="3"/>
  <c r="K214" i="3"/>
  <c r="K222" i="3"/>
  <c r="K230" i="3"/>
  <c r="K238" i="3"/>
  <c r="K246" i="3"/>
  <c r="K254" i="3"/>
  <c r="K8" i="4"/>
  <c r="K20" i="4"/>
  <c r="K28" i="4"/>
  <c r="K37" i="4"/>
  <c r="K39" i="4"/>
  <c r="K54" i="4"/>
  <c r="K70" i="4"/>
  <c r="K179" i="4"/>
  <c r="K198" i="4"/>
  <c r="K203" i="4"/>
  <c r="K219" i="4"/>
  <c r="K235" i="4"/>
  <c r="K251" i="4"/>
  <c r="H162" i="3"/>
  <c r="H170" i="3"/>
  <c r="H178" i="3"/>
  <c r="H186" i="3"/>
  <c r="H194" i="3"/>
  <c r="H202" i="3"/>
  <c r="H210" i="3"/>
  <c r="H218" i="3"/>
  <c r="H226" i="3"/>
  <c r="H234" i="3"/>
  <c r="H242" i="3"/>
  <c r="H250" i="3"/>
  <c r="H258" i="3"/>
  <c r="H12" i="4"/>
  <c r="H16" i="4"/>
  <c r="H24" i="4"/>
  <c r="H38" i="4"/>
  <c r="H45" i="4"/>
  <c r="H117" i="4"/>
  <c r="H149" i="4"/>
  <c r="K171" i="4"/>
  <c r="H181" i="4"/>
  <c r="K175" i="3"/>
  <c r="K183" i="3"/>
  <c r="K191" i="3"/>
  <c r="K199" i="3"/>
  <c r="K207" i="3"/>
  <c r="K215" i="3"/>
  <c r="K223" i="3"/>
  <c r="K231" i="3"/>
  <c r="K239" i="3"/>
  <c r="K247" i="3"/>
  <c r="K255" i="3"/>
  <c r="K9" i="4"/>
  <c r="K17" i="4"/>
  <c r="K25" i="4"/>
  <c r="K32" i="4"/>
  <c r="K36" i="4"/>
  <c r="K52" i="4"/>
  <c r="K55" i="4"/>
  <c r="K68" i="4"/>
  <c r="K71" i="4"/>
  <c r="K94" i="4"/>
  <c r="K126" i="4"/>
  <c r="K158" i="4"/>
  <c r="K190" i="4"/>
  <c r="K195" i="4"/>
  <c r="H210" i="4"/>
  <c r="K210" i="4"/>
  <c r="H226" i="4"/>
  <c r="K226" i="4"/>
  <c r="H242" i="4"/>
  <c r="K242" i="4"/>
  <c r="H248" i="3"/>
  <c r="H256" i="3"/>
  <c r="H10" i="4"/>
  <c r="H22" i="4"/>
  <c r="H30" i="4"/>
  <c r="K31" i="4"/>
  <c r="H35" i="4"/>
  <c r="H43" i="4"/>
  <c r="H53" i="4"/>
  <c r="H69" i="4"/>
  <c r="H85" i="4"/>
  <c r="H109" i="4"/>
  <c r="H141" i="4"/>
  <c r="K211" i="4"/>
  <c r="K227" i="4"/>
  <c r="H258" i="4"/>
  <c r="K258" i="4"/>
  <c r="K23" i="4"/>
  <c r="K150" i="4"/>
  <c r="K154" i="4"/>
  <c r="K182" i="4"/>
  <c r="K186" i="4"/>
  <c r="H197" i="4"/>
  <c r="K259" i="4"/>
  <c r="K46" i="4"/>
  <c r="H61" i="4"/>
  <c r="K66" i="4"/>
  <c r="H77" i="4"/>
  <c r="H101" i="4"/>
  <c r="H133" i="4"/>
  <c r="H165" i="4"/>
  <c r="K187" i="4"/>
  <c r="H75" i="4"/>
  <c r="H83" i="4"/>
  <c r="H91" i="4"/>
  <c r="H99" i="4"/>
  <c r="H107" i="4"/>
  <c r="H115" i="4"/>
  <c r="H123" i="4"/>
  <c r="H131" i="4"/>
  <c r="H139" i="4"/>
  <c r="H147" i="4"/>
  <c r="H155" i="4"/>
  <c r="H163" i="4"/>
  <c r="H171" i="4"/>
  <c r="H179" i="4"/>
  <c r="H187" i="4"/>
  <c r="H195" i="4"/>
  <c r="H203" i="4"/>
  <c r="H211" i="4"/>
  <c r="K213" i="4"/>
  <c r="H219" i="4"/>
  <c r="K221" i="4"/>
  <c r="H227" i="4"/>
  <c r="K229" i="4"/>
  <c r="H235" i="4"/>
  <c r="K237" i="4"/>
  <c r="H243" i="4"/>
  <c r="K245" i="4"/>
  <c r="H251" i="4"/>
  <c r="K253" i="4"/>
  <c r="H259" i="4"/>
  <c r="K76" i="4"/>
  <c r="K84" i="4"/>
  <c r="H41" i="4"/>
  <c r="H49" i="4"/>
  <c r="H57" i="4"/>
  <c r="H65" i="4"/>
  <c r="K91" i="4"/>
  <c r="K99" i="4"/>
  <c r="K107" i="4"/>
  <c r="K115" i="4"/>
  <c r="K123" i="4"/>
  <c r="K131" i="4"/>
  <c r="K139" i="4"/>
  <c r="K147" i="4"/>
  <c r="H153" i="4"/>
  <c r="K155" i="4"/>
  <c r="K163" i="4"/>
  <c r="H169" i="4"/>
  <c r="H177" i="4"/>
  <c r="H185" i="4"/>
  <c r="H193" i="4"/>
  <c r="H201" i="4"/>
  <c r="H209" i="4"/>
  <c r="H217" i="4"/>
  <c r="H225" i="4"/>
  <c r="H233" i="4"/>
  <c r="H241" i="4"/>
  <c r="H249" i="4"/>
  <c r="H257" i="4"/>
  <c r="H48" i="4"/>
  <c r="H56" i="4"/>
  <c r="H64" i="4"/>
  <c r="H72" i="4"/>
  <c r="H80" i="4"/>
  <c r="H88" i="4"/>
  <c r="H172" i="4"/>
  <c r="H180" i="4"/>
  <c r="H188" i="4"/>
  <c r="H196" i="4"/>
  <c r="H204" i="4"/>
  <c r="H212" i="4"/>
  <c r="H220" i="4"/>
  <c r="H228" i="4"/>
  <c r="H236" i="4"/>
  <c r="H244" i="4"/>
  <c r="H252" i="4"/>
  <c r="H260" i="4"/>
  <c r="K89" i="4"/>
  <c r="E62" i="4" l="1"/>
  <c r="C62" i="4" s="1"/>
  <c r="C137" i="1"/>
  <c r="D135" i="1"/>
  <c r="AR8" i="1"/>
  <c r="Y8" i="1" s="1"/>
  <c r="AG9" i="1" s="1"/>
  <c r="W8" i="1"/>
  <c r="AE9" i="1" s="1"/>
  <c r="Y9" i="1"/>
  <c r="AJ9" i="1" s="1"/>
  <c r="AQ9" i="1"/>
  <c r="X9" i="1" s="1"/>
  <c r="AI9" i="1" s="1"/>
  <c r="W9" i="1"/>
  <c r="AH9" i="1" s="1"/>
  <c r="J141" i="1"/>
  <c r="C133" i="1"/>
  <c r="D132" i="1"/>
  <c r="J125" i="1"/>
  <c r="J120" i="1"/>
  <c r="C124" i="1"/>
  <c r="D150" i="1" s="1"/>
  <c r="J136" i="1"/>
  <c r="J133" i="1"/>
  <c r="K136" i="1"/>
  <c r="K141" i="1"/>
  <c r="X7" i="1"/>
  <c r="AC9" i="1" s="1"/>
  <c r="K124" i="1"/>
  <c r="C132" i="1"/>
  <c r="K132" i="1"/>
  <c r="C135" i="1"/>
  <c r="D161" i="1" s="1"/>
  <c r="J124" i="1"/>
  <c r="D136" i="1"/>
  <c r="K139" i="1"/>
  <c r="C136" i="1"/>
  <c r="K135" i="1"/>
  <c r="K133" i="1"/>
  <c r="D124" i="1"/>
  <c r="K120" i="1"/>
  <c r="D44" i="3"/>
  <c r="J119" i="1"/>
  <c r="K128" i="1"/>
  <c r="J132" i="1"/>
  <c r="I132" i="1"/>
  <c r="B184" i="1" s="1"/>
  <c r="J139" i="1"/>
  <c r="R61" i="1" s="1"/>
  <c r="J129" i="1"/>
  <c r="J128" i="1"/>
  <c r="J140" i="1"/>
  <c r="C125" i="1"/>
  <c r="C127" i="1"/>
  <c r="B136" i="1"/>
  <c r="B188" i="1" s="1"/>
  <c r="C131" i="1"/>
  <c r="D42" i="4"/>
  <c r="E60" i="4"/>
  <c r="C60" i="4" s="1"/>
  <c r="D61" i="4"/>
  <c r="E63" i="4"/>
  <c r="C63" i="4" s="1"/>
  <c r="E45" i="4"/>
  <c r="C45" i="4" s="1"/>
  <c r="E51" i="3"/>
  <c r="C51" i="3" s="1"/>
  <c r="E59" i="3"/>
  <c r="C59" i="3" s="1"/>
  <c r="E55" i="3"/>
  <c r="C55" i="3" s="1"/>
  <c r="E46" i="3"/>
  <c r="C46" i="3" s="1"/>
  <c r="E63" i="3"/>
  <c r="C63" i="3" s="1"/>
  <c r="D55" i="3"/>
  <c r="E64" i="3"/>
  <c r="C64" i="3" s="1"/>
  <c r="E43" i="2"/>
  <c r="C43" i="2" s="1"/>
  <c r="D60" i="2"/>
  <c r="D58" i="3"/>
  <c r="E54" i="2"/>
  <c r="C54" i="2" s="1"/>
  <c r="C129" i="1"/>
  <c r="D61" i="3"/>
  <c r="E59" i="2"/>
  <c r="C59" i="2" s="1"/>
  <c r="D46" i="2"/>
  <c r="E53" i="3"/>
  <c r="C53" i="3" s="1"/>
  <c r="E50" i="2"/>
  <c r="C50" i="2" s="1"/>
  <c r="J137" i="1"/>
  <c r="J130" i="1"/>
  <c r="E47" i="4"/>
  <c r="C47" i="4" s="1"/>
  <c r="E64" i="2"/>
  <c r="C64" i="2" s="1"/>
  <c r="J121" i="1"/>
  <c r="J131" i="1"/>
  <c r="D53" i="4"/>
  <c r="D60" i="4"/>
  <c r="E50" i="4"/>
  <c r="C50" i="4" s="1"/>
  <c r="E65" i="3"/>
  <c r="C65" i="3" s="1"/>
  <c r="D45" i="3"/>
  <c r="E54" i="3"/>
  <c r="C54" i="3" s="1"/>
  <c r="D65" i="2"/>
  <c r="J123" i="1"/>
  <c r="E54" i="4"/>
  <c r="C54" i="4" s="1"/>
  <c r="E49" i="3"/>
  <c r="C49" i="3" s="1"/>
  <c r="D49" i="3"/>
  <c r="D47" i="2"/>
  <c r="C141" i="1"/>
  <c r="C126" i="1"/>
  <c r="D64" i="2"/>
  <c r="E65" i="4"/>
  <c r="C65" i="4" s="1"/>
  <c r="E45" i="3"/>
  <c r="C45" i="3" s="1"/>
  <c r="E57" i="2"/>
  <c r="C57" i="2" s="1"/>
  <c r="E62" i="2"/>
  <c r="C62" i="2" s="1"/>
  <c r="K134" i="1"/>
  <c r="I134" i="1"/>
  <c r="D122" i="1"/>
  <c r="B122" i="1"/>
  <c r="I122" i="1"/>
  <c r="K122" i="1"/>
  <c r="D134" i="1"/>
  <c r="B134" i="1"/>
  <c r="D123" i="1"/>
  <c r="B123" i="1"/>
  <c r="B187" i="1"/>
  <c r="R31" i="1"/>
  <c r="E44" i="4"/>
  <c r="C44" i="4" s="1"/>
  <c r="E52" i="4"/>
  <c r="C52" i="4" s="1"/>
  <c r="E53" i="4"/>
  <c r="C53" i="4" s="1"/>
  <c r="E43" i="4"/>
  <c r="C43" i="4" s="1"/>
  <c r="E62" i="3"/>
  <c r="C62" i="3" s="1"/>
  <c r="E47" i="2"/>
  <c r="C47" i="2" s="1"/>
  <c r="E55" i="2"/>
  <c r="C55" i="2" s="1"/>
  <c r="I137" i="1"/>
  <c r="K137" i="1"/>
  <c r="K121" i="1"/>
  <c r="I121" i="1"/>
  <c r="C120" i="1"/>
  <c r="I123" i="1"/>
  <c r="K123" i="1"/>
  <c r="D127" i="1"/>
  <c r="B127" i="1"/>
  <c r="D133" i="1"/>
  <c r="B133" i="1"/>
  <c r="D55" i="2"/>
  <c r="D56" i="4"/>
  <c r="E57" i="4"/>
  <c r="C57" i="4" s="1"/>
  <c r="E57" i="3"/>
  <c r="C57" i="3" s="1"/>
  <c r="E60" i="2"/>
  <c r="C60" i="2" s="1"/>
  <c r="E48" i="2"/>
  <c r="C48" i="2" s="1"/>
  <c r="E45" i="2"/>
  <c r="C45" i="2" s="1"/>
  <c r="I131" i="1"/>
  <c r="K131" i="1"/>
  <c r="C119" i="1"/>
  <c r="K142" i="1"/>
  <c r="I142" i="1"/>
  <c r="C128" i="1"/>
  <c r="C150" i="1"/>
  <c r="C140" i="1"/>
  <c r="C121" i="1"/>
  <c r="D142" i="1"/>
  <c r="B142" i="1"/>
  <c r="J142" i="1"/>
  <c r="D59" i="4"/>
  <c r="E64" i="4"/>
  <c r="C64" i="4" s="1"/>
  <c r="R57" i="1"/>
  <c r="D119" i="1"/>
  <c r="B119" i="1"/>
  <c r="B138" i="1"/>
  <c r="D138" i="1"/>
  <c r="B128" i="1"/>
  <c r="D128" i="1"/>
  <c r="Q84" i="1"/>
  <c r="R83" i="1"/>
  <c r="S85" i="1"/>
  <c r="R84" i="1"/>
  <c r="Q83" i="1"/>
  <c r="Q85" i="1"/>
  <c r="R85" i="1"/>
  <c r="S84" i="1"/>
  <c r="S83" i="1"/>
  <c r="J122" i="1"/>
  <c r="B129" i="1"/>
  <c r="D129" i="1"/>
  <c r="I119" i="1"/>
  <c r="K119" i="1"/>
  <c r="D126" i="1"/>
  <c r="B126" i="1"/>
  <c r="B176" i="1"/>
  <c r="R20" i="1"/>
  <c r="E49" i="4"/>
  <c r="C49" i="4" s="1"/>
  <c r="E58" i="2"/>
  <c r="C58" i="2" s="1"/>
  <c r="E44" i="2"/>
  <c r="C44" i="2" s="1"/>
  <c r="E42" i="2"/>
  <c r="C42" i="2" s="1"/>
  <c r="E61" i="2"/>
  <c r="C61" i="2" s="1"/>
  <c r="E53" i="2"/>
  <c r="C53" i="2" s="1"/>
  <c r="E65" i="2"/>
  <c r="C65" i="2" s="1"/>
  <c r="E56" i="2"/>
  <c r="C56" i="2" s="1"/>
  <c r="E49" i="2"/>
  <c r="C49" i="2" s="1"/>
  <c r="E52" i="2"/>
  <c r="C52" i="2" s="1"/>
  <c r="E63" i="2"/>
  <c r="C63" i="2" s="1"/>
  <c r="E46" i="2"/>
  <c r="C46" i="2" s="1"/>
  <c r="B120" i="1"/>
  <c r="D120" i="1"/>
  <c r="K130" i="1"/>
  <c r="I130" i="1"/>
  <c r="K127" i="1"/>
  <c r="I127" i="1"/>
  <c r="B140" i="1"/>
  <c r="D140" i="1"/>
  <c r="D121" i="1"/>
  <c r="B121" i="1"/>
  <c r="D158" i="1"/>
  <c r="C158" i="1"/>
  <c r="Q54" i="1"/>
  <c r="C142" i="1"/>
  <c r="C122" i="1"/>
  <c r="E48" i="4"/>
  <c r="C48" i="4" s="1"/>
  <c r="E59" i="4"/>
  <c r="C59" i="4" s="1"/>
  <c r="E58" i="3"/>
  <c r="C58" i="3" s="1"/>
  <c r="E50" i="3"/>
  <c r="C50" i="3" s="1"/>
  <c r="E42" i="3"/>
  <c r="C42" i="3" s="1"/>
  <c r="E48" i="3"/>
  <c r="C48" i="3" s="1"/>
  <c r="E60" i="3"/>
  <c r="C60" i="3" s="1"/>
  <c r="E44" i="3"/>
  <c r="C44" i="3" s="1"/>
  <c r="E43" i="3"/>
  <c r="C43" i="3" s="1"/>
  <c r="E51" i="2"/>
  <c r="C51" i="2" s="1"/>
  <c r="D141" i="1"/>
  <c r="B141" i="1"/>
  <c r="J127" i="1"/>
  <c r="D137" i="1"/>
  <c r="D163" i="1" s="1"/>
  <c r="B137" i="1"/>
  <c r="B131" i="1"/>
  <c r="D131" i="1"/>
  <c r="C130" i="1"/>
  <c r="C139" i="1"/>
  <c r="K125" i="1"/>
  <c r="R47" i="1" s="1"/>
  <c r="I125" i="1"/>
  <c r="E56" i="4"/>
  <c r="C56" i="4" s="1"/>
  <c r="E61" i="4"/>
  <c r="C61" i="4" s="1"/>
  <c r="E51" i="4"/>
  <c r="C51" i="4" s="1"/>
  <c r="E46" i="4"/>
  <c r="C46" i="4" s="1"/>
  <c r="E55" i="4"/>
  <c r="C55" i="4" s="1"/>
  <c r="E47" i="3"/>
  <c r="C47" i="3" s="1"/>
  <c r="E42" i="4"/>
  <c r="C42" i="4" s="1"/>
  <c r="E58" i="4"/>
  <c r="C58" i="4" s="1"/>
  <c r="E61" i="3"/>
  <c r="C61" i="3" s="1"/>
  <c r="K140" i="1"/>
  <c r="I140" i="1"/>
  <c r="B139" i="1"/>
  <c r="D139" i="1"/>
  <c r="K138" i="1"/>
  <c r="I138" i="1"/>
  <c r="C134" i="1"/>
  <c r="D125" i="1"/>
  <c r="B125" i="1"/>
  <c r="I126" i="1"/>
  <c r="K126" i="1"/>
  <c r="J126" i="1"/>
  <c r="I129" i="1"/>
  <c r="K129" i="1"/>
  <c r="D130" i="1"/>
  <c r="B130" i="1"/>
  <c r="J134" i="1"/>
  <c r="C123" i="1"/>
  <c r="J138" i="1"/>
  <c r="C138" i="1"/>
  <c r="R63" i="1" l="1"/>
  <c r="Q58" i="1"/>
  <c r="I161" i="1"/>
  <c r="J161" i="1" s="1"/>
  <c r="R46" i="1"/>
  <c r="R42" i="1"/>
  <c r="D162" i="1"/>
  <c r="I162" i="1"/>
  <c r="C188" i="1" s="1"/>
  <c r="S20" i="1"/>
  <c r="X98" i="1" s="1"/>
  <c r="R45" i="1"/>
  <c r="R58" i="1"/>
  <c r="R55" i="1"/>
  <c r="S16" i="1"/>
  <c r="X94" i="1" s="1"/>
  <c r="S31" i="1"/>
  <c r="X109" i="1" s="1"/>
  <c r="I150" i="1"/>
  <c r="C176" i="1" s="1"/>
  <c r="Q51" i="1"/>
  <c r="S32" i="1"/>
  <c r="X110" i="1" s="1"/>
  <c r="Z7" i="1"/>
  <c r="D34" i="4"/>
  <c r="S137" i="1" s="1"/>
  <c r="R54" i="1"/>
  <c r="C162" i="1"/>
  <c r="Q46" i="1"/>
  <c r="C161" i="1"/>
  <c r="Q48" i="1"/>
  <c r="Q57" i="1"/>
  <c r="R52" i="1"/>
  <c r="R53" i="1"/>
  <c r="D27" i="4"/>
  <c r="S130" i="1" s="1"/>
  <c r="D39" i="2"/>
  <c r="Q142" i="1" s="1"/>
  <c r="D38" i="2"/>
  <c r="Q141" i="1" s="1"/>
  <c r="D35" i="4"/>
  <c r="S138" i="1" s="1"/>
  <c r="D35" i="3"/>
  <c r="R138" i="1" s="1"/>
  <c r="R59" i="1"/>
  <c r="D34" i="2"/>
  <c r="Q137" i="1" s="1"/>
  <c r="D33" i="4"/>
  <c r="S136" i="1" s="1"/>
  <c r="D32" i="3"/>
  <c r="R135" i="1" s="1"/>
  <c r="D30" i="4"/>
  <c r="S133" i="1" s="1"/>
  <c r="R28" i="1"/>
  <c r="S28" i="1"/>
  <c r="X106" i="1" s="1"/>
  <c r="D29" i="3"/>
  <c r="R132" i="1" s="1"/>
  <c r="I158" i="1"/>
  <c r="D29" i="2"/>
  <c r="Q132" i="1" s="1"/>
  <c r="C157" i="1"/>
  <c r="S25" i="1"/>
  <c r="X103" i="1" s="1"/>
  <c r="R50" i="1"/>
  <c r="Q49" i="1"/>
  <c r="D23" i="3"/>
  <c r="R126" i="1" s="1"/>
  <c r="D21" i="2"/>
  <c r="Q124" i="1" s="1"/>
  <c r="D20" i="2"/>
  <c r="Q123" i="1" s="1"/>
  <c r="D19" i="3"/>
  <c r="R122" i="1" s="1"/>
  <c r="D18" i="3"/>
  <c r="R121" i="1" s="1"/>
  <c r="D16" i="4"/>
  <c r="S119" i="1" s="1"/>
  <c r="S15" i="1"/>
  <c r="X93" i="1" s="1"/>
  <c r="Z8" i="1"/>
  <c r="Z9" i="1"/>
  <c r="Q88" i="1" a="1"/>
  <c r="S89" i="1" s="1"/>
  <c r="B185" i="1"/>
  <c r="C155" i="1"/>
  <c r="R29" i="1"/>
  <c r="B180" i="1"/>
  <c r="R32" i="1"/>
  <c r="S36" i="1"/>
  <c r="X114" i="1" s="1"/>
  <c r="S26" i="1"/>
  <c r="X104" i="1" s="1"/>
  <c r="I152" i="1"/>
  <c r="J152" i="1" s="1"/>
  <c r="S37" i="1"/>
  <c r="X115" i="1" s="1"/>
  <c r="Q63" i="1"/>
  <c r="C167" i="1"/>
  <c r="I153" i="1"/>
  <c r="J153" i="1" s="1"/>
  <c r="C153" i="1"/>
  <c r="D153" i="1"/>
  <c r="D167" i="1"/>
  <c r="I167" i="1"/>
  <c r="B193" i="1"/>
  <c r="R51" i="1"/>
  <c r="Q53" i="1"/>
  <c r="I155" i="1"/>
  <c r="S17" i="1"/>
  <c r="X95" i="1" s="1"/>
  <c r="B172" i="1"/>
  <c r="D47" i="3"/>
  <c r="D159" i="1"/>
  <c r="Q47" i="1"/>
  <c r="D56" i="3"/>
  <c r="D64" i="3"/>
  <c r="D55" i="4"/>
  <c r="AE2" i="1"/>
  <c r="D57" i="4"/>
  <c r="D43" i="2"/>
  <c r="C166" i="1"/>
  <c r="I166" i="1"/>
  <c r="D166" i="1"/>
  <c r="Q62" i="1"/>
  <c r="D149" i="1"/>
  <c r="I149" i="1"/>
  <c r="J149" i="1" s="1"/>
  <c r="C149" i="1"/>
  <c r="Q45" i="1"/>
  <c r="B178" i="1"/>
  <c r="R22" i="1"/>
  <c r="D45" i="4"/>
  <c r="D50" i="3"/>
  <c r="D48" i="4"/>
  <c r="I159" i="1"/>
  <c r="D48" i="2"/>
  <c r="B171" i="1"/>
  <c r="R15" i="1"/>
  <c r="D52" i="3"/>
  <c r="I154" i="1"/>
  <c r="J154" i="1" s="1"/>
  <c r="Q50" i="1"/>
  <c r="D154" i="1"/>
  <c r="C154" i="1"/>
  <c r="D60" i="3"/>
  <c r="S33" i="1"/>
  <c r="X111" i="1" s="1"/>
  <c r="R16" i="1"/>
  <c r="D46" i="4"/>
  <c r="R62" i="1"/>
  <c r="I163" i="1"/>
  <c r="D64" i="4"/>
  <c r="D155" i="1"/>
  <c r="I151" i="1"/>
  <c r="D51" i="4"/>
  <c r="D62" i="2"/>
  <c r="D44" i="4"/>
  <c r="D52" i="2"/>
  <c r="D50" i="4"/>
  <c r="R56" i="1"/>
  <c r="S30" i="1"/>
  <c r="X108" i="1" s="1"/>
  <c r="D61" i="2"/>
  <c r="D58" i="4"/>
  <c r="I164" i="1"/>
  <c r="J164" i="1" s="1"/>
  <c r="D164" i="1"/>
  <c r="C164" i="1"/>
  <c r="Q60" i="1"/>
  <c r="D46" i="3"/>
  <c r="D168" i="1"/>
  <c r="C168" i="1"/>
  <c r="Q64" i="1"/>
  <c r="I168" i="1"/>
  <c r="J168" i="1" s="1"/>
  <c r="I157" i="1"/>
  <c r="D157" i="1"/>
  <c r="C159" i="1"/>
  <c r="D63" i="2"/>
  <c r="D59" i="2"/>
  <c r="R43" i="1"/>
  <c r="S19" i="1"/>
  <c r="X97" i="1" s="1"/>
  <c r="D145" i="1"/>
  <c r="C145" i="1"/>
  <c r="I145" i="1"/>
  <c r="Q41" i="1"/>
  <c r="D47" i="4"/>
  <c r="D56" i="2"/>
  <c r="D65" i="4"/>
  <c r="D57" i="3"/>
  <c r="B174" i="1"/>
  <c r="R18" i="1"/>
  <c r="D44" i="2"/>
  <c r="S24" i="1"/>
  <c r="X102" i="1" s="1"/>
  <c r="D43" i="4"/>
  <c r="B194" i="1"/>
  <c r="R38" i="1"/>
  <c r="B189" i="1"/>
  <c r="R33" i="1"/>
  <c r="S9" i="1"/>
  <c r="S21" i="1"/>
  <c r="X99" i="1" s="1"/>
  <c r="D42" i="2"/>
  <c r="S29" i="1"/>
  <c r="X107" i="1" s="1"/>
  <c r="B190" i="1"/>
  <c r="R34" i="1"/>
  <c r="B192" i="1"/>
  <c r="R36" i="1"/>
  <c r="D165" i="1"/>
  <c r="I165" i="1"/>
  <c r="J165" i="1" s="1"/>
  <c r="C165" i="1"/>
  <c r="Q61" i="1"/>
  <c r="S35" i="1"/>
  <c r="X113" i="1" s="1"/>
  <c r="S23" i="1"/>
  <c r="X101" i="1" s="1"/>
  <c r="R49" i="1"/>
  <c r="D54" i="3"/>
  <c r="R41" i="1"/>
  <c r="B179" i="1"/>
  <c r="R23" i="1"/>
  <c r="D58" i="2"/>
  <c r="D51" i="2"/>
  <c r="D54" i="4"/>
  <c r="R44" i="1"/>
  <c r="S18" i="1"/>
  <c r="X96" i="1" s="1"/>
  <c r="K161" i="1"/>
  <c r="D152" i="1"/>
  <c r="D151" i="1"/>
  <c r="D50" i="2"/>
  <c r="D52" i="4"/>
  <c r="C163" i="1"/>
  <c r="D43" i="3"/>
  <c r="D45" i="2"/>
  <c r="I160" i="1"/>
  <c r="K160" i="1" s="1"/>
  <c r="D160" i="1"/>
  <c r="C160" i="1"/>
  <c r="Q56" i="1"/>
  <c r="B191" i="1"/>
  <c r="R35" i="1"/>
  <c r="B177" i="1"/>
  <c r="R21" i="1"/>
  <c r="Q55" i="1"/>
  <c r="B181" i="1"/>
  <c r="R25" i="1"/>
  <c r="D57" i="2"/>
  <c r="D156" i="1"/>
  <c r="C156" i="1"/>
  <c r="Q52" i="1"/>
  <c r="I156" i="1"/>
  <c r="J156" i="1" s="1"/>
  <c r="D51" i="3"/>
  <c r="D62" i="3"/>
  <c r="B182" i="1"/>
  <c r="R26" i="1"/>
  <c r="D54" i="2"/>
  <c r="D48" i="3"/>
  <c r="D63" i="4"/>
  <c r="S27" i="1"/>
  <c r="X105" i="1" s="1"/>
  <c r="R64" i="1"/>
  <c r="S38" i="1"/>
  <c r="X116" i="1" s="1"/>
  <c r="C152" i="1"/>
  <c r="B183" i="1"/>
  <c r="R27" i="1"/>
  <c r="B175" i="1"/>
  <c r="R19" i="1"/>
  <c r="C146" i="1"/>
  <c r="Q42" i="1"/>
  <c r="I146" i="1"/>
  <c r="D146" i="1"/>
  <c r="D49" i="4"/>
  <c r="D42" i="3"/>
  <c r="Q59" i="1"/>
  <c r="I148" i="1"/>
  <c r="C174" i="1" s="1"/>
  <c r="D148" i="1"/>
  <c r="Q44" i="1"/>
  <c r="C148" i="1"/>
  <c r="C151" i="1"/>
  <c r="D53" i="3"/>
  <c r="R60" i="1"/>
  <c r="S34" i="1"/>
  <c r="X112" i="1" s="1"/>
  <c r="R48" i="1"/>
  <c r="S22" i="1"/>
  <c r="X100" i="1" s="1"/>
  <c r="D62" i="4"/>
  <c r="R24" i="1"/>
  <c r="D49" i="2"/>
  <c r="D59" i="3"/>
  <c r="C187" i="1"/>
  <c r="D147" i="1"/>
  <c r="C147" i="1"/>
  <c r="Q43" i="1"/>
  <c r="I147" i="1"/>
  <c r="J147" i="1" s="1"/>
  <c r="D63" i="3"/>
  <c r="B173" i="1"/>
  <c r="R17" i="1"/>
  <c r="D53" i="2"/>
  <c r="R37" i="1"/>
  <c r="B186" i="1"/>
  <c r="R30" i="1"/>
  <c r="D65" i="3"/>
  <c r="T20" i="1" l="1"/>
  <c r="Y98" i="1" s="1"/>
  <c r="T31" i="1"/>
  <c r="Y109" i="1" s="1"/>
  <c r="T37" i="1"/>
  <c r="Y115" i="1" s="1"/>
  <c r="T32" i="1"/>
  <c r="Y110" i="1" s="1"/>
  <c r="K162" i="1"/>
  <c r="J162" i="1"/>
  <c r="T26" i="1"/>
  <c r="Y104" i="1" s="1"/>
  <c r="J150" i="1"/>
  <c r="K150" i="1"/>
  <c r="T16" i="1"/>
  <c r="Y94" i="1" s="1"/>
  <c r="T15" i="1"/>
  <c r="Y93" i="1" s="1"/>
  <c r="T28" i="1"/>
  <c r="Y106" i="1" s="1"/>
  <c r="K168" i="1"/>
  <c r="M168" i="1" s="1"/>
  <c r="C194" i="1"/>
  <c r="T36" i="1"/>
  <c r="Y114" i="1" s="1"/>
  <c r="T33" i="1"/>
  <c r="Y111" i="1" s="1"/>
  <c r="T30" i="1"/>
  <c r="Y108" i="1" s="1"/>
  <c r="K158" i="1"/>
  <c r="C184" i="1"/>
  <c r="J158" i="1"/>
  <c r="O158" i="1" s="1"/>
  <c r="D184" i="1" s="1"/>
  <c r="T25" i="1"/>
  <c r="Y103" i="1" s="1"/>
  <c r="K152" i="1"/>
  <c r="O152" i="1" s="1"/>
  <c r="D178" i="1" s="1"/>
  <c r="C178" i="1"/>
  <c r="T17" i="1"/>
  <c r="Y95" i="1" s="1"/>
  <c r="D19" i="4"/>
  <c r="S122" i="1" s="1"/>
  <c r="D22" i="4"/>
  <c r="S125" i="1" s="1"/>
  <c r="D39" i="4"/>
  <c r="S142" i="1" s="1"/>
  <c r="D26" i="4"/>
  <c r="S129" i="1" s="1"/>
  <c r="D28" i="4"/>
  <c r="S131" i="1" s="1"/>
  <c r="D17" i="4"/>
  <c r="S120" i="1" s="1"/>
  <c r="D18" i="4"/>
  <c r="S121" i="1" s="1"/>
  <c r="D38" i="4"/>
  <c r="S141" i="1" s="1"/>
  <c r="D21" i="4"/>
  <c r="S124" i="1" s="1"/>
  <c r="D32" i="4"/>
  <c r="S135" i="1" s="1"/>
  <c r="D31" i="4"/>
  <c r="S134" i="1" s="1"/>
  <c r="D36" i="4"/>
  <c r="S139" i="1" s="1"/>
  <c r="D37" i="4"/>
  <c r="S140" i="1" s="1"/>
  <c r="D20" i="4"/>
  <c r="S123" i="1" s="1"/>
  <c r="D23" i="4"/>
  <c r="S126" i="1" s="1"/>
  <c r="D24" i="4"/>
  <c r="S127" i="1" s="1"/>
  <c r="D25" i="4"/>
  <c r="S128" i="1" s="1"/>
  <c r="D29" i="4"/>
  <c r="S132" i="1" s="1"/>
  <c r="D38" i="3"/>
  <c r="R141" i="1" s="1"/>
  <c r="D34" i="3"/>
  <c r="R137" i="1" s="1"/>
  <c r="D36" i="3"/>
  <c r="R139" i="1" s="1"/>
  <c r="D20" i="3"/>
  <c r="R123" i="1" s="1"/>
  <c r="D37" i="3"/>
  <c r="R140" i="1" s="1"/>
  <c r="D30" i="3"/>
  <c r="R133" i="1" s="1"/>
  <c r="D25" i="3"/>
  <c r="R128" i="1" s="1"/>
  <c r="D31" i="3"/>
  <c r="R134" i="1" s="1"/>
  <c r="D33" i="3"/>
  <c r="R136" i="1" s="1"/>
  <c r="D26" i="3"/>
  <c r="R129" i="1" s="1"/>
  <c r="D27" i="3"/>
  <c r="R130" i="1" s="1"/>
  <c r="D16" i="3"/>
  <c r="R119" i="1" s="1"/>
  <c r="D17" i="3"/>
  <c r="R120" i="1" s="1"/>
  <c r="D24" i="3"/>
  <c r="R127" i="1" s="1"/>
  <c r="D28" i="3"/>
  <c r="R131" i="1" s="1"/>
  <c r="D39" i="3"/>
  <c r="R142" i="1" s="1"/>
  <c r="D22" i="3"/>
  <c r="R125" i="1" s="1"/>
  <c r="D21" i="3"/>
  <c r="R124" i="1" s="1"/>
  <c r="D30" i="2"/>
  <c r="Q133" i="1" s="1"/>
  <c r="D35" i="2"/>
  <c r="Q138" i="1" s="1"/>
  <c r="D26" i="2"/>
  <c r="Q129" i="1" s="1"/>
  <c r="D16" i="2"/>
  <c r="Q119" i="1" s="1"/>
  <c r="D17" i="2"/>
  <c r="Q120" i="1" s="1"/>
  <c r="D28" i="2"/>
  <c r="Q131" i="1" s="1"/>
  <c r="D31" i="2"/>
  <c r="Q134" i="1" s="1"/>
  <c r="D24" i="2"/>
  <c r="Q127" i="1" s="1"/>
  <c r="D25" i="2"/>
  <c r="Q128" i="1" s="1"/>
  <c r="D33" i="2"/>
  <c r="Q136" i="1" s="1"/>
  <c r="D36" i="2"/>
  <c r="Q139" i="1" s="1"/>
  <c r="D23" i="2"/>
  <c r="Q126" i="1" s="1"/>
  <c r="D32" i="2"/>
  <c r="Q135" i="1" s="1"/>
  <c r="D18" i="2"/>
  <c r="Q121" i="1" s="1"/>
  <c r="D37" i="2"/>
  <c r="Q140" i="1" s="1"/>
  <c r="D22" i="2"/>
  <c r="Q125" i="1" s="1"/>
  <c r="D19" i="2"/>
  <c r="Q122" i="1" s="1"/>
  <c r="D27" i="2"/>
  <c r="Q130" i="1" s="1"/>
  <c r="R88" i="1"/>
  <c r="R89" i="1"/>
  <c r="R90" i="1"/>
  <c r="S90" i="1"/>
  <c r="Q90" i="1"/>
  <c r="S88" i="1"/>
  <c r="Q89" i="1"/>
  <c r="Q88" i="1"/>
  <c r="C179" i="1"/>
  <c r="T24" i="1"/>
  <c r="Y102" i="1" s="1"/>
  <c r="C181" i="1"/>
  <c r="K153" i="1"/>
  <c r="M153" i="1" s="1"/>
  <c r="T18" i="1"/>
  <c r="Y96" i="1" s="1"/>
  <c r="T29" i="1"/>
  <c r="Y107" i="1" s="1"/>
  <c r="J155" i="1"/>
  <c r="J148" i="1"/>
  <c r="C193" i="1"/>
  <c r="K167" i="1"/>
  <c r="T35" i="1"/>
  <c r="Y113" i="1" s="1"/>
  <c r="K155" i="1"/>
  <c r="K164" i="1"/>
  <c r="O164" i="1" s="1"/>
  <c r="D190" i="1" s="1"/>
  <c r="J160" i="1"/>
  <c r="O160" i="1" s="1"/>
  <c r="D186" i="1" s="1"/>
  <c r="Q31" i="1"/>
  <c r="W109" i="1" s="1"/>
  <c r="Q20" i="1"/>
  <c r="W98" i="1" s="1"/>
  <c r="J167" i="1"/>
  <c r="T22" i="1"/>
  <c r="Y100" i="1" s="1"/>
  <c r="C190" i="1"/>
  <c r="T34" i="1"/>
  <c r="Y112" i="1" s="1"/>
  <c r="C186" i="1"/>
  <c r="C189" i="1"/>
  <c r="J163" i="1"/>
  <c r="K163" i="1"/>
  <c r="T21" i="1"/>
  <c r="Y99" i="1" s="1"/>
  <c r="AB54" i="1"/>
  <c r="T23" i="1"/>
  <c r="Y101" i="1" s="1"/>
  <c r="C182" i="1"/>
  <c r="K156" i="1"/>
  <c r="M156" i="1" s="1"/>
  <c r="K148" i="1"/>
  <c r="T38" i="1"/>
  <c r="Y116" i="1" s="1"/>
  <c r="S5" i="1" a="1"/>
  <c r="S5" i="1" s="1"/>
  <c r="T19" i="1"/>
  <c r="Y97" i="1" s="1"/>
  <c r="C192" i="1"/>
  <c r="K166" i="1"/>
  <c r="J166" i="1"/>
  <c r="S6" i="1" a="1"/>
  <c r="S6" i="1" s="1"/>
  <c r="C171" i="1"/>
  <c r="K145" i="1"/>
  <c r="K147" i="1"/>
  <c r="M147" i="1" s="1"/>
  <c r="C173" i="1"/>
  <c r="K165" i="1"/>
  <c r="O165" i="1" s="1"/>
  <c r="D191" i="1" s="1"/>
  <c r="C191" i="1"/>
  <c r="J145" i="1"/>
  <c r="S8" i="1"/>
  <c r="M161" i="1"/>
  <c r="O161" i="1"/>
  <c r="D187" i="1" s="1"/>
  <c r="J159" i="1"/>
  <c r="K159" i="1"/>
  <c r="C185" i="1"/>
  <c r="C175" i="1"/>
  <c r="K149" i="1"/>
  <c r="O149" i="1" s="1"/>
  <c r="D175" i="1" s="1"/>
  <c r="J151" i="1"/>
  <c r="C177" i="1"/>
  <c r="K151" i="1"/>
  <c r="C172" i="1"/>
  <c r="K146" i="1"/>
  <c r="J146" i="1"/>
  <c r="K157" i="1"/>
  <c r="J157" i="1"/>
  <c r="C183" i="1"/>
  <c r="C180" i="1"/>
  <c r="K154" i="1"/>
  <c r="O154" i="1" s="1"/>
  <c r="D180" i="1" s="1"/>
  <c r="T27" i="1"/>
  <c r="Y105" i="1" s="1"/>
  <c r="Q32" i="1" l="1"/>
  <c r="W110" i="1" s="1"/>
  <c r="Q24" i="1"/>
  <c r="W102" i="1" s="1"/>
  <c r="M152" i="1"/>
  <c r="Q22" i="1"/>
  <c r="W100" i="1" s="1"/>
  <c r="M150" i="1"/>
  <c r="N150" i="1" s="1"/>
  <c r="Q16" i="1"/>
  <c r="W94" i="1" s="1"/>
  <c r="Q15" i="1"/>
  <c r="W93" i="1" s="1"/>
  <c r="W54" i="1"/>
  <c r="Y54" i="1"/>
  <c r="X54" i="1"/>
  <c r="O162" i="1"/>
  <c r="D188" i="1" s="1"/>
  <c r="M162" i="1"/>
  <c r="N162" i="1" s="1"/>
  <c r="O168" i="1"/>
  <c r="D194" i="1" s="1"/>
  <c r="Q37" i="1"/>
  <c r="AB37" i="1" s="1"/>
  <c r="Q36" i="1"/>
  <c r="W114" i="1" s="1"/>
  <c r="Q30" i="1"/>
  <c r="W108" i="1" s="1"/>
  <c r="Q28" i="1"/>
  <c r="Q26" i="1"/>
  <c r="W104" i="1" s="1"/>
  <c r="O150" i="1"/>
  <c r="D176" i="1" s="1"/>
  <c r="Q17" i="1"/>
  <c r="W95" i="1" s="1"/>
  <c r="M148" i="1"/>
  <c r="N148" i="1" s="1"/>
  <c r="M158" i="1"/>
  <c r="N158" i="1" s="1"/>
  <c r="O155" i="1"/>
  <c r="D181" i="1" s="1"/>
  <c r="Z57" i="1"/>
  <c r="Q33" i="1"/>
  <c r="W111" i="1" s="1"/>
  <c r="O153" i="1"/>
  <c r="D179" i="1" s="1"/>
  <c r="M164" i="1"/>
  <c r="N164" i="1" s="1"/>
  <c r="M160" i="1"/>
  <c r="N160" i="1" s="1"/>
  <c r="O156" i="1"/>
  <c r="D182" i="1" s="1"/>
  <c r="Q25" i="1"/>
  <c r="W103" i="1" s="1"/>
  <c r="M155" i="1"/>
  <c r="Z56" i="1"/>
  <c r="Q23" i="1"/>
  <c r="W101" i="1" s="1"/>
  <c r="Z53" i="1"/>
  <c r="Z54" i="1"/>
  <c r="Z55" i="1"/>
  <c r="AB20" i="1"/>
  <c r="Q18" i="1"/>
  <c r="W96" i="1" s="1"/>
  <c r="Z60" i="1"/>
  <c r="Z61" i="1"/>
  <c r="O148" i="1"/>
  <c r="D174" i="1" s="1"/>
  <c r="Z62" i="1"/>
  <c r="Z63" i="1"/>
  <c r="Z64" i="1"/>
  <c r="S158" i="1"/>
  <c r="R158" i="1"/>
  <c r="Q158" i="1"/>
  <c r="S149" i="1"/>
  <c r="R149" i="1"/>
  <c r="Q149" i="1"/>
  <c r="Q168" i="1"/>
  <c r="R168" i="1"/>
  <c r="S168" i="1"/>
  <c r="Q150" i="1"/>
  <c r="S150" i="1"/>
  <c r="R150" i="1"/>
  <c r="Q163" i="1"/>
  <c r="R163" i="1"/>
  <c r="S163" i="1"/>
  <c r="Q167" i="1"/>
  <c r="S167" i="1"/>
  <c r="R167" i="1"/>
  <c r="Q153" i="1"/>
  <c r="S153" i="1"/>
  <c r="R153" i="1"/>
  <c r="S147" i="1"/>
  <c r="R147" i="1"/>
  <c r="Q147" i="1"/>
  <c r="Q157" i="1"/>
  <c r="R157" i="1"/>
  <c r="S157" i="1"/>
  <c r="Q151" i="1"/>
  <c r="R151" i="1"/>
  <c r="S151" i="1"/>
  <c r="Q165" i="1"/>
  <c r="R165" i="1"/>
  <c r="S165" i="1"/>
  <c r="S155" i="1"/>
  <c r="R155" i="1"/>
  <c r="Q155" i="1"/>
  <c r="S160" i="1"/>
  <c r="Q160" i="1"/>
  <c r="R160" i="1"/>
  <c r="S161" i="1"/>
  <c r="R161" i="1"/>
  <c r="Q161" i="1"/>
  <c r="R152" i="1"/>
  <c r="Q152" i="1"/>
  <c r="S152" i="1"/>
  <c r="Q156" i="1"/>
  <c r="S156" i="1"/>
  <c r="R156" i="1"/>
  <c r="R162" i="1"/>
  <c r="S162" i="1"/>
  <c r="Q162" i="1"/>
  <c r="Q164" i="1"/>
  <c r="R164" i="1"/>
  <c r="S164" i="1"/>
  <c r="R166" i="1"/>
  <c r="Q166" i="1"/>
  <c r="S166" i="1"/>
  <c r="Q146" i="1"/>
  <c r="R146" i="1"/>
  <c r="S146" i="1"/>
  <c r="S145" i="1"/>
  <c r="R145" i="1"/>
  <c r="Q145" i="1"/>
  <c r="R148" i="1"/>
  <c r="S148" i="1"/>
  <c r="Q148" i="1"/>
  <c r="R154" i="1"/>
  <c r="Q154" i="1"/>
  <c r="S154" i="1"/>
  <c r="S159" i="1"/>
  <c r="Q159" i="1"/>
  <c r="R159" i="1"/>
  <c r="Q29" i="1"/>
  <c r="W107" i="1" s="1"/>
  <c r="AB53" i="1"/>
  <c r="AB55" i="1"/>
  <c r="AB56" i="1"/>
  <c r="AB31" i="1"/>
  <c r="Q34" i="1"/>
  <c r="W112" i="1" s="1"/>
  <c r="AB57" i="1"/>
  <c r="Q21" i="1"/>
  <c r="M167" i="1"/>
  <c r="O167" i="1"/>
  <c r="D193" i="1" s="1"/>
  <c r="Q35" i="1"/>
  <c r="W113" i="1" s="1"/>
  <c r="N147" i="1"/>
  <c r="N156" i="1"/>
  <c r="N168" i="1"/>
  <c r="N153" i="1"/>
  <c r="AB63" i="1"/>
  <c r="AB62" i="1"/>
  <c r="AB32" i="1"/>
  <c r="Q38" i="1"/>
  <c r="W116" i="1" s="1"/>
  <c r="Q27" i="1"/>
  <c r="W105" i="1" s="1"/>
  <c r="M165" i="1"/>
  <c r="AB61" i="1"/>
  <c r="AB64" i="1"/>
  <c r="AB17" i="1"/>
  <c r="N152" i="1"/>
  <c r="AB24" i="1"/>
  <c r="O147" i="1"/>
  <c r="D173" i="1" s="1"/>
  <c r="M145" i="1"/>
  <c r="O145" i="1"/>
  <c r="D171" i="1" s="1"/>
  <c r="M149" i="1"/>
  <c r="M163" i="1"/>
  <c r="O163" i="1"/>
  <c r="D189" i="1" s="1"/>
  <c r="S7" i="1"/>
  <c r="Q19" i="1"/>
  <c r="W97" i="1" s="1"/>
  <c r="AB22" i="1"/>
  <c r="M146" i="1"/>
  <c r="O146" i="1"/>
  <c r="D172" i="1" s="1"/>
  <c r="M154" i="1"/>
  <c r="AB15" i="1"/>
  <c r="AB60" i="1"/>
  <c r="M151" i="1"/>
  <c r="O151" i="1"/>
  <c r="D177" i="1" s="1"/>
  <c r="O166" i="1"/>
  <c r="D192" i="1" s="1"/>
  <c r="M166" i="1"/>
  <c r="M157" i="1"/>
  <c r="O157" i="1"/>
  <c r="D183" i="1" s="1"/>
  <c r="M159" i="1"/>
  <c r="O159" i="1"/>
  <c r="D185" i="1" s="1"/>
  <c r="N161" i="1"/>
  <c r="AB16" i="1"/>
  <c r="AB36" i="1" l="1"/>
  <c r="AB46" i="1"/>
  <c r="X55" i="1"/>
  <c r="W55" i="1"/>
  <c r="Y55" i="1"/>
  <c r="W60" i="1"/>
  <c r="X60" i="1"/>
  <c r="Y60" i="1"/>
  <c r="W62" i="1"/>
  <c r="X62" i="1"/>
  <c r="Y62" i="1"/>
  <c r="W63" i="1"/>
  <c r="X63" i="1"/>
  <c r="Y63" i="1"/>
  <c r="X57" i="1"/>
  <c r="W57" i="1"/>
  <c r="Y57" i="1"/>
  <c r="W64" i="1"/>
  <c r="X64" i="1"/>
  <c r="Y64" i="1"/>
  <c r="W61" i="1"/>
  <c r="X61" i="1"/>
  <c r="Y61" i="1"/>
  <c r="W56" i="1"/>
  <c r="X56" i="1"/>
  <c r="Y56" i="1"/>
  <c r="Y53" i="1"/>
  <c r="X53" i="1"/>
  <c r="W53" i="1"/>
  <c r="AB30" i="1"/>
  <c r="W115" i="1"/>
  <c r="AB33" i="1"/>
  <c r="W106" i="1"/>
  <c r="AB28" i="1"/>
  <c r="AB26" i="1"/>
  <c r="AB18" i="1"/>
  <c r="AB23" i="1"/>
  <c r="W164" i="1"/>
  <c r="F35" i="2" s="1"/>
  <c r="C87" i="2" s="1"/>
  <c r="E87" i="2" s="1"/>
  <c r="AB21" i="1"/>
  <c r="W99" i="1"/>
  <c r="X163" i="1"/>
  <c r="F34" i="3" s="1"/>
  <c r="D86" i="3" s="1"/>
  <c r="F86" i="3" s="1"/>
  <c r="Y164" i="1"/>
  <c r="F35" i="4" s="1"/>
  <c r="D87" i="4" s="1"/>
  <c r="F87" i="4" s="1"/>
  <c r="Y149" i="1"/>
  <c r="F20" i="4" s="1"/>
  <c r="D72" i="4" s="1"/>
  <c r="F72" i="4" s="1"/>
  <c r="N155" i="1"/>
  <c r="X150" i="1"/>
  <c r="F21" i="3" s="1"/>
  <c r="D73" i="3" s="1"/>
  <c r="F73" i="3" s="1"/>
  <c r="Y158" i="1"/>
  <c r="F29" i="4" s="1"/>
  <c r="C81" i="4" s="1"/>
  <c r="E81" i="4" s="1"/>
  <c r="W167" i="1"/>
  <c r="F38" i="2" s="1"/>
  <c r="D90" i="2" s="1"/>
  <c r="F90" i="2" s="1"/>
  <c r="Y163" i="1"/>
  <c r="F34" i="4" s="1"/>
  <c r="D86" i="4" s="1"/>
  <c r="F86" i="4" s="1"/>
  <c r="X149" i="1"/>
  <c r="F20" i="3" s="1"/>
  <c r="C72" i="3" s="1"/>
  <c r="E72" i="3" s="1"/>
  <c r="Y151" i="1"/>
  <c r="F22" i="4" s="1"/>
  <c r="D74" i="4" s="1"/>
  <c r="F74" i="4" s="1"/>
  <c r="X168" i="1"/>
  <c r="F39" i="3" s="1"/>
  <c r="D91" i="3" s="1"/>
  <c r="F91" i="3" s="1"/>
  <c r="Y165" i="1"/>
  <c r="F36" i="4" s="1"/>
  <c r="D88" i="4" s="1"/>
  <c r="F88" i="4" s="1"/>
  <c r="X164" i="1"/>
  <c r="F35" i="3" s="1"/>
  <c r="D87" i="3" s="1"/>
  <c r="F87" i="3" s="1"/>
  <c r="W163" i="1"/>
  <c r="F34" i="2" s="1"/>
  <c r="D86" i="2" s="1"/>
  <c r="F86" i="2" s="1"/>
  <c r="AB29" i="1"/>
  <c r="W158" i="1"/>
  <c r="F29" i="2" s="1"/>
  <c r="D81" i="2" s="1"/>
  <c r="F81" i="2" s="1"/>
  <c r="X158" i="1"/>
  <c r="F29" i="3" s="1"/>
  <c r="D81" i="3" s="1"/>
  <c r="F81" i="3" s="1"/>
  <c r="W157" i="1"/>
  <c r="F28" i="2" s="1"/>
  <c r="D80" i="2" s="1"/>
  <c r="F80" i="2" s="1"/>
  <c r="X156" i="1"/>
  <c r="F27" i="3" s="1"/>
  <c r="D79" i="3" s="1"/>
  <c r="F79" i="3" s="1"/>
  <c r="AB25" i="1"/>
  <c r="W151" i="1"/>
  <c r="F22" i="2" s="1"/>
  <c r="D74" i="2" s="1"/>
  <c r="F74" i="2" s="1"/>
  <c r="X151" i="1"/>
  <c r="F22" i="3" s="1"/>
  <c r="C74" i="3" s="1"/>
  <c r="E74" i="3" s="1"/>
  <c r="Z47" i="1"/>
  <c r="W150" i="1"/>
  <c r="F21" i="2" s="1"/>
  <c r="D73" i="2" s="1"/>
  <c r="F73" i="2" s="1"/>
  <c r="Y150" i="1"/>
  <c r="F21" i="4" s="1"/>
  <c r="D73" i="4" s="1"/>
  <c r="F73" i="4" s="1"/>
  <c r="W149" i="1"/>
  <c r="F20" i="2" s="1"/>
  <c r="D72" i="2" s="1"/>
  <c r="F72" i="2" s="1"/>
  <c r="Z48" i="1"/>
  <c r="Z49" i="1"/>
  <c r="Z50" i="1"/>
  <c r="Z46" i="1"/>
  <c r="Y147" i="1"/>
  <c r="F18" i="4" s="1"/>
  <c r="D70" i="4" s="1"/>
  <c r="F70" i="4" s="1"/>
  <c r="W147" i="1"/>
  <c r="F18" i="2" s="1"/>
  <c r="C70" i="2" s="1"/>
  <c r="E70" i="2" s="1"/>
  <c r="Y156" i="1"/>
  <c r="F27" i="4" s="1"/>
  <c r="D79" i="4" s="1"/>
  <c r="F79" i="4" s="1"/>
  <c r="X145" i="1"/>
  <c r="F16" i="3" s="1"/>
  <c r="C68" i="3" s="1"/>
  <c r="E68" i="3" s="1"/>
  <c r="W160" i="1"/>
  <c r="F31" i="2" s="1"/>
  <c r="C83" i="2" s="1"/>
  <c r="E83" i="2" s="1"/>
  <c r="W168" i="1"/>
  <c r="F39" i="2" s="1"/>
  <c r="C91" i="2" s="1"/>
  <c r="E91" i="2" s="1"/>
  <c r="W154" i="1"/>
  <c r="F25" i="2" s="1"/>
  <c r="C77" i="2" s="1"/>
  <c r="E77" i="2" s="1"/>
  <c r="W152" i="1"/>
  <c r="F23" i="2" s="1"/>
  <c r="C75" i="2" s="1"/>
  <c r="E75" i="2" s="1"/>
  <c r="X153" i="1"/>
  <c r="F24" i="3" s="1"/>
  <c r="D76" i="3" s="1"/>
  <c r="F76" i="3" s="1"/>
  <c r="Y148" i="1"/>
  <c r="F19" i="4" s="1"/>
  <c r="C71" i="4" s="1"/>
  <c r="E71" i="4" s="1"/>
  <c r="X161" i="1"/>
  <c r="F32" i="3" s="1"/>
  <c r="C84" i="3" s="1"/>
  <c r="E84" i="3" s="1"/>
  <c r="W166" i="1"/>
  <c r="F37" i="2" s="1"/>
  <c r="C89" i="2" s="1"/>
  <c r="E89" i="2" s="1"/>
  <c r="W162" i="1"/>
  <c r="F33" i="2" s="1"/>
  <c r="D85" i="2" s="1"/>
  <c r="F85" i="2" s="1"/>
  <c r="W165" i="1"/>
  <c r="F36" i="2" s="1"/>
  <c r="C88" i="2" s="1"/>
  <c r="E88" i="2" s="1"/>
  <c r="X157" i="1"/>
  <c r="F28" i="3" s="1"/>
  <c r="C80" i="3" s="1"/>
  <c r="E80" i="3" s="1"/>
  <c r="W146" i="1"/>
  <c r="F17" i="2" s="1"/>
  <c r="C69" i="2" s="1"/>
  <c r="E69" i="2" s="1"/>
  <c r="W155" i="1"/>
  <c r="F26" i="2" s="1"/>
  <c r="C78" i="2" s="1"/>
  <c r="E78" i="2" s="1"/>
  <c r="X154" i="1"/>
  <c r="F25" i="3" s="1"/>
  <c r="D77" i="3" s="1"/>
  <c r="F77" i="3" s="1"/>
  <c r="Y166" i="1"/>
  <c r="F37" i="4" s="1"/>
  <c r="D89" i="4" s="1"/>
  <c r="F89" i="4" s="1"/>
  <c r="W156" i="1"/>
  <c r="F27" i="2" s="1"/>
  <c r="D79" i="2" s="1"/>
  <c r="F79" i="2" s="1"/>
  <c r="X147" i="1"/>
  <c r="F18" i="3" s="1"/>
  <c r="C70" i="3" s="1"/>
  <c r="E70" i="3" s="1"/>
  <c r="W153" i="1"/>
  <c r="F24" i="2" s="1"/>
  <c r="C76" i="2" s="1"/>
  <c r="E76" i="2" s="1"/>
  <c r="Y154" i="1"/>
  <c r="F25" i="4" s="1"/>
  <c r="C77" i="4" s="1"/>
  <c r="E77" i="4" s="1"/>
  <c r="Y153" i="1"/>
  <c r="F24" i="4" s="1"/>
  <c r="D76" i="4" s="1"/>
  <c r="F76" i="4" s="1"/>
  <c r="Y167" i="1"/>
  <c r="F38" i="4" s="1"/>
  <c r="C90" i="4" s="1"/>
  <c r="E90" i="4" s="1"/>
  <c r="X167" i="1"/>
  <c r="F38" i="3" s="1"/>
  <c r="C90" i="3" s="1"/>
  <c r="E90" i="3" s="1"/>
  <c r="Y168" i="1"/>
  <c r="F39" i="4" s="1"/>
  <c r="D91" i="4" s="1"/>
  <c r="F91" i="4" s="1"/>
  <c r="W159" i="1"/>
  <c r="F30" i="2" s="1"/>
  <c r="D82" i="2" s="1"/>
  <c r="F82" i="2" s="1"/>
  <c r="Y152" i="1"/>
  <c r="F23" i="4" s="1"/>
  <c r="D75" i="4" s="1"/>
  <c r="F75" i="4" s="1"/>
  <c r="X152" i="1"/>
  <c r="F23" i="3" s="1"/>
  <c r="C75" i="3" s="1"/>
  <c r="E75" i="3" s="1"/>
  <c r="X165" i="1"/>
  <c r="F36" i="3" s="1"/>
  <c r="D88" i="3" s="1"/>
  <c r="F88" i="3" s="1"/>
  <c r="X166" i="1"/>
  <c r="F37" i="3" s="1"/>
  <c r="D89" i="3" s="1"/>
  <c r="F89" i="3" s="1"/>
  <c r="X155" i="1"/>
  <c r="F26" i="3" s="1"/>
  <c r="D78" i="3" s="1"/>
  <c r="F78" i="3" s="1"/>
  <c r="W161" i="1"/>
  <c r="F32" i="2" s="1"/>
  <c r="C84" i="2" s="1"/>
  <c r="E84" i="2" s="1"/>
  <c r="Y162" i="1"/>
  <c r="F33" i="4" s="1"/>
  <c r="D85" i="4" s="1"/>
  <c r="F85" i="4" s="1"/>
  <c r="Y160" i="1"/>
  <c r="F31" i="4" s="1"/>
  <c r="D83" i="4" s="1"/>
  <c r="F83" i="4" s="1"/>
  <c r="Y161" i="1"/>
  <c r="F32" i="4" s="1"/>
  <c r="C84" i="4" s="1"/>
  <c r="E84" i="4" s="1"/>
  <c r="Y159" i="1"/>
  <c r="F30" i="4" s="1"/>
  <c r="C82" i="4" s="1"/>
  <c r="E82" i="4" s="1"/>
  <c r="X162" i="1"/>
  <c r="F33" i="3" s="1"/>
  <c r="C85" i="3" s="1"/>
  <c r="E85" i="3" s="1"/>
  <c r="X160" i="1"/>
  <c r="F31" i="3" s="1"/>
  <c r="D83" i="3" s="1"/>
  <c r="F83" i="3" s="1"/>
  <c r="Y146" i="1"/>
  <c r="F17" i="4" s="1"/>
  <c r="D69" i="4" s="1"/>
  <c r="F69" i="4" s="1"/>
  <c r="X159" i="1"/>
  <c r="F30" i="3" s="1"/>
  <c r="C82" i="3" s="1"/>
  <c r="E82" i="3" s="1"/>
  <c r="W145" i="1"/>
  <c r="F16" i="2" s="1"/>
  <c r="C68" i="2" s="1"/>
  <c r="E68" i="2" s="1"/>
  <c r="X148" i="1"/>
  <c r="F19" i="3" s="1"/>
  <c r="D71" i="3" s="1"/>
  <c r="F71" i="3" s="1"/>
  <c r="W148" i="1"/>
  <c r="F19" i="2" s="1"/>
  <c r="C71" i="2" s="1"/>
  <c r="E71" i="2" s="1"/>
  <c r="Y155" i="1"/>
  <c r="F26" i="4" s="1"/>
  <c r="C78" i="4" s="1"/>
  <c r="E78" i="4" s="1"/>
  <c r="X146" i="1"/>
  <c r="F17" i="3" s="1"/>
  <c r="D69" i="3" s="1"/>
  <c r="F69" i="3" s="1"/>
  <c r="Y157" i="1"/>
  <c r="F28" i="4" s="1"/>
  <c r="C80" i="4" s="1"/>
  <c r="E80" i="4" s="1"/>
  <c r="Y145" i="1"/>
  <c r="F16" i="4" s="1"/>
  <c r="D68" i="4" s="1"/>
  <c r="F68" i="4" s="1"/>
  <c r="AD46" i="1"/>
  <c r="AB34" i="1"/>
  <c r="AB48" i="1"/>
  <c r="S4" i="1"/>
  <c r="AB47" i="1"/>
  <c r="AB50" i="1"/>
  <c r="AB35" i="1"/>
  <c r="N167" i="1"/>
  <c r="N159" i="1"/>
  <c r="N154" i="1"/>
  <c r="N149" i="1"/>
  <c r="N166" i="1"/>
  <c r="N163" i="1"/>
  <c r="N165" i="1"/>
  <c r="AB19" i="1"/>
  <c r="AB27" i="1"/>
  <c r="N157" i="1"/>
  <c r="N151" i="1"/>
  <c r="AB49" i="1"/>
  <c r="N146" i="1"/>
  <c r="AB38" i="1"/>
  <c r="N145" i="1"/>
  <c r="W46" i="1" l="1"/>
  <c r="X46" i="1"/>
  <c r="Y46" i="1"/>
  <c r="AD50" i="1"/>
  <c r="W50" i="1"/>
  <c r="Y50" i="1"/>
  <c r="X50" i="1"/>
  <c r="AD47" i="1"/>
  <c r="W47" i="1"/>
  <c r="X47" i="1"/>
  <c r="Y47" i="1"/>
  <c r="AD48" i="1"/>
  <c r="W48" i="1"/>
  <c r="X48" i="1"/>
  <c r="Y48" i="1"/>
  <c r="X49" i="1"/>
  <c r="Y49" i="1"/>
  <c r="W49" i="1"/>
  <c r="D81" i="4"/>
  <c r="F81" i="4" s="1"/>
  <c r="C86" i="3"/>
  <c r="E86" i="3" s="1"/>
  <c r="E34" i="3" s="1"/>
  <c r="AC163" i="1" s="1"/>
  <c r="D87" i="2"/>
  <c r="F87" i="2" s="1"/>
  <c r="C81" i="3"/>
  <c r="E81" i="3" s="1"/>
  <c r="E29" i="3" s="1"/>
  <c r="AC158" i="1" s="1"/>
  <c r="C91" i="3"/>
  <c r="E91" i="3" s="1"/>
  <c r="E39" i="3" s="1"/>
  <c r="AC168" i="1" s="1"/>
  <c r="C72" i="4"/>
  <c r="E72" i="4" s="1"/>
  <c r="E20" i="4" s="1"/>
  <c r="AD149" i="1" s="1"/>
  <c r="C87" i="4"/>
  <c r="E87" i="4" s="1"/>
  <c r="E35" i="4" s="1"/>
  <c r="AD164" i="1" s="1"/>
  <c r="C74" i="4"/>
  <c r="E74" i="4" s="1"/>
  <c r="C73" i="3"/>
  <c r="E73" i="3" s="1"/>
  <c r="E21" i="3" s="1"/>
  <c r="AC150" i="1" s="1"/>
  <c r="C86" i="4"/>
  <c r="E86" i="4" s="1"/>
  <c r="E34" i="4" s="1"/>
  <c r="AD163" i="1" s="1"/>
  <c r="D72" i="3"/>
  <c r="F72" i="3" s="1"/>
  <c r="C73" i="2"/>
  <c r="E73" i="2" s="1"/>
  <c r="E21" i="2" s="1"/>
  <c r="AB150" i="1" s="1"/>
  <c r="D70" i="2"/>
  <c r="F70" i="2" s="1"/>
  <c r="C81" i="2"/>
  <c r="E81" i="2" s="1"/>
  <c r="E29" i="2" s="1"/>
  <c r="AB158" i="1" s="1"/>
  <c r="C74" i="2"/>
  <c r="E74" i="2" s="1"/>
  <c r="E22" i="2" s="1"/>
  <c r="AB151" i="1" s="1"/>
  <c r="C90" i="2"/>
  <c r="E90" i="2" s="1"/>
  <c r="E38" i="2" s="1"/>
  <c r="AB167" i="1" s="1"/>
  <c r="D74" i="3"/>
  <c r="F74" i="3" s="1"/>
  <c r="C88" i="4"/>
  <c r="E88" i="4" s="1"/>
  <c r="E36" i="4" s="1"/>
  <c r="AD165" i="1" s="1"/>
  <c r="C87" i="3"/>
  <c r="E87" i="3" s="1"/>
  <c r="E35" i="3" s="1"/>
  <c r="AC164" i="1" s="1"/>
  <c r="C79" i="3"/>
  <c r="E79" i="3" s="1"/>
  <c r="E27" i="3" s="1"/>
  <c r="AC156" i="1" s="1"/>
  <c r="C72" i="2"/>
  <c r="E72" i="2" s="1"/>
  <c r="E20" i="2" s="1"/>
  <c r="AB149" i="1" s="1"/>
  <c r="C89" i="4"/>
  <c r="E89" i="4" s="1"/>
  <c r="E37" i="4" s="1"/>
  <c r="AD166" i="1" s="1"/>
  <c r="C86" i="2"/>
  <c r="E86" i="2" s="1"/>
  <c r="E34" i="2" s="1"/>
  <c r="AB163" i="1" s="1"/>
  <c r="C80" i="2"/>
  <c r="E80" i="2" s="1"/>
  <c r="E28" i="2" s="1"/>
  <c r="AB157" i="1" s="1"/>
  <c r="C73" i="4"/>
  <c r="E73" i="4" s="1"/>
  <c r="E21" i="4" s="1"/>
  <c r="AD150" i="1" s="1"/>
  <c r="C70" i="4"/>
  <c r="E70" i="4" s="1"/>
  <c r="E18" i="4" s="1"/>
  <c r="AD147" i="1" s="1"/>
  <c r="AC46" i="1"/>
  <c r="AC48" i="1"/>
  <c r="C79" i="4"/>
  <c r="E79" i="4" s="1"/>
  <c r="E27" i="4" s="1"/>
  <c r="AD156" i="1" s="1"/>
  <c r="D89" i="2"/>
  <c r="F89" i="2" s="1"/>
  <c r="C79" i="2"/>
  <c r="E79" i="2" s="1"/>
  <c r="E27" i="2" s="1"/>
  <c r="AB156" i="1" s="1"/>
  <c r="C85" i="2"/>
  <c r="E85" i="2" s="1"/>
  <c r="E33" i="2" s="1"/>
  <c r="AB162" i="1" s="1"/>
  <c r="D68" i="3"/>
  <c r="F68" i="3" s="1"/>
  <c r="E16" i="3" s="1"/>
  <c r="AC145" i="1" s="1"/>
  <c r="D83" i="2"/>
  <c r="F83" i="2" s="1"/>
  <c r="C75" i="4"/>
  <c r="E75" i="4" s="1"/>
  <c r="E23" i="4" s="1"/>
  <c r="AD152" i="1" s="1"/>
  <c r="C83" i="4"/>
  <c r="E83" i="4" s="1"/>
  <c r="D70" i="3"/>
  <c r="F70" i="3" s="1"/>
  <c r="D75" i="3"/>
  <c r="F75" i="3" s="1"/>
  <c r="D77" i="2"/>
  <c r="F77" i="2" s="1"/>
  <c r="D76" i="2"/>
  <c r="F76" i="2" s="1"/>
  <c r="E24" i="2" s="1"/>
  <c r="D80" i="4"/>
  <c r="F80" i="4" s="1"/>
  <c r="D91" i="2"/>
  <c r="F91" i="2" s="1"/>
  <c r="E39" i="2" s="1"/>
  <c r="AB168" i="1" s="1"/>
  <c r="D88" i="2"/>
  <c r="F88" i="2" s="1"/>
  <c r="C76" i="4"/>
  <c r="E76" i="4" s="1"/>
  <c r="E24" i="4" s="1"/>
  <c r="AD153" i="1" s="1"/>
  <c r="D75" i="2"/>
  <c r="F75" i="2" s="1"/>
  <c r="E23" i="2" s="1"/>
  <c r="AB152" i="1" s="1"/>
  <c r="C69" i="3"/>
  <c r="E69" i="3" s="1"/>
  <c r="E17" i="3" s="1"/>
  <c r="AC146" i="1" s="1"/>
  <c r="C71" i="3"/>
  <c r="E71" i="3" s="1"/>
  <c r="E19" i="3" s="1"/>
  <c r="AC148" i="1" s="1"/>
  <c r="D69" i="2"/>
  <c r="F69" i="2" s="1"/>
  <c r="E17" i="2" s="1"/>
  <c r="AB146" i="1" s="1"/>
  <c r="C82" i="2"/>
  <c r="E82" i="2" s="1"/>
  <c r="E30" i="2" s="1"/>
  <c r="AB159" i="1" s="1"/>
  <c r="D84" i="3"/>
  <c r="F84" i="3" s="1"/>
  <c r="D85" i="3"/>
  <c r="F85" i="3" s="1"/>
  <c r="D80" i="3"/>
  <c r="F80" i="3" s="1"/>
  <c r="E28" i="3" s="1"/>
  <c r="AC157" i="1" s="1"/>
  <c r="D90" i="4"/>
  <c r="F90" i="4" s="1"/>
  <c r="E38" i="4" s="1"/>
  <c r="AD167" i="1" s="1"/>
  <c r="C77" i="3"/>
  <c r="E77" i="3" s="1"/>
  <c r="E25" i="3" s="1"/>
  <c r="AC154" i="1" s="1"/>
  <c r="C88" i="3"/>
  <c r="E88" i="3" s="1"/>
  <c r="E36" i="3" s="1"/>
  <c r="AC165" i="1" s="1"/>
  <c r="D71" i="4"/>
  <c r="F71" i="4" s="1"/>
  <c r="D77" i="4"/>
  <c r="F77" i="4" s="1"/>
  <c r="C68" i="4"/>
  <c r="E68" i="4" s="1"/>
  <c r="E16" i="4" s="1"/>
  <c r="AD145" i="1" s="1"/>
  <c r="C69" i="4"/>
  <c r="E69" i="4" s="1"/>
  <c r="E17" i="4" s="1"/>
  <c r="AD146" i="1" s="1"/>
  <c r="C76" i="3"/>
  <c r="E76" i="3" s="1"/>
  <c r="E24" i="3" s="1"/>
  <c r="AC153" i="1" s="1"/>
  <c r="D78" i="2"/>
  <c r="F78" i="2" s="1"/>
  <c r="E26" i="2" s="1"/>
  <c r="AB155" i="1" s="1"/>
  <c r="C78" i="3"/>
  <c r="E78" i="3" s="1"/>
  <c r="E26" i="3" s="1"/>
  <c r="AC155" i="1" s="1"/>
  <c r="D82" i="3"/>
  <c r="F82" i="3" s="1"/>
  <c r="D68" i="2"/>
  <c r="F68" i="2" s="1"/>
  <c r="C91" i="4"/>
  <c r="E91" i="4" s="1"/>
  <c r="E39" i="4" s="1"/>
  <c r="AD168" i="1" s="1"/>
  <c r="D84" i="2"/>
  <c r="F84" i="2" s="1"/>
  <c r="C89" i="3"/>
  <c r="E89" i="3" s="1"/>
  <c r="E37" i="3" s="1"/>
  <c r="AC166" i="1" s="1"/>
  <c r="C83" i="3"/>
  <c r="E83" i="3" s="1"/>
  <c r="E31" i="3" s="1"/>
  <c r="AC160" i="1" s="1"/>
  <c r="D90" i="3"/>
  <c r="F90" i="3" s="1"/>
  <c r="E38" i="3" s="1"/>
  <c r="AC167" i="1" s="1"/>
  <c r="D78" i="4"/>
  <c r="F78" i="4" s="1"/>
  <c r="C85" i="4"/>
  <c r="E85" i="4" s="1"/>
  <c r="E33" i="4" s="1"/>
  <c r="AD162" i="1" s="1"/>
  <c r="D84" i="4"/>
  <c r="F84" i="4" s="1"/>
  <c r="D71" i="2"/>
  <c r="F71" i="2" s="1"/>
  <c r="D82" i="4"/>
  <c r="F82" i="4" s="1"/>
  <c r="AC47" i="1"/>
  <c r="S12" i="1"/>
  <c r="AC50" i="1"/>
  <c r="AD49" i="1"/>
  <c r="AC49" i="1"/>
  <c r="I182" i="1" l="1"/>
  <c r="M182" i="1" s="1"/>
  <c r="E29" i="4"/>
  <c r="AD158" i="1" s="1"/>
  <c r="K184" i="1" s="1"/>
  <c r="K194" i="1"/>
  <c r="J194" i="1"/>
  <c r="I194" i="1"/>
  <c r="E35" i="2"/>
  <c r="AB164" i="1" s="1"/>
  <c r="J172" i="1"/>
  <c r="K172" i="1"/>
  <c r="I172" i="1"/>
  <c r="M172" i="1" s="1"/>
  <c r="K182" i="1"/>
  <c r="J182" i="1"/>
  <c r="K193" i="1"/>
  <c r="I193" i="1"/>
  <c r="J193" i="1"/>
  <c r="K189" i="1"/>
  <c r="I189" i="1"/>
  <c r="J189" i="1"/>
  <c r="K176" i="1"/>
  <c r="I176" i="1"/>
  <c r="M176" i="1" s="1"/>
  <c r="J176" i="1"/>
  <c r="E22" i="4"/>
  <c r="AD151" i="1" s="1"/>
  <c r="E20" i="3"/>
  <c r="AC149" i="1" s="1"/>
  <c r="E22" i="3"/>
  <c r="AC151" i="1" s="1"/>
  <c r="E18" i="2"/>
  <c r="AB147" i="1" s="1"/>
  <c r="E31" i="2"/>
  <c r="AB160" i="1" s="1"/>
  <c r="E37" i="2"/>
  <c r="AB166" i="1" s="1"/>
  <c r="E23" i="3"/>
  <c r="AC152" i="1" s="1"/>
  <c r="E18" i="3"/>
  <c r="AC147" i="1" s="1"/>
  <c r="E31" i="4"/>
  <c r="AD160" i="1" s="1"/>
  <c r="E36" i="2"/>
  <c r="AB165" i="1" s="1"/>
  <c r="E25" i="2"/>
  <c r="AB154" i="1" s="1"/>
  <c r="E28" i="4"/>
  <c r="AD157" i="1" s="1"/>
  <c r="K183" i="1" s="1"/>
  <c r="E25" i="4"/>
  <c r="AD154" i="1" s="1"/>
  <c r="E32" i="3"/>
  <c r="AC161" i="1" s="1"/>
  <c r="E33" i="3"/>
  <c r="AC162" i="1" s="1"/>
  <c r="E30" i="3"/>
  <c r="AC159" i="1" s="1"/>
  <c r="E16" i="2"/>
  <c r="E32" i="2"/>
  <c r="AB161" i="1" s="1"/>
  <c r="E19" i="4"/>
  <c r="AD148" i="1" s="1"/>
  <c r="E19" i="2"/>
  <c r="AB148" i="1" s="1"/>
  <c r="E26" i="4"/>
  <c r="AD155" i="1" s="1"/>
  <c r="E30" i="4"/>
  <c r="AD159" i="1" s="1"/>
  <c r="E32" i="4"/>
  <c r="AD161" i="1" s="1"/>
  <c r="AB153" i="1"/>
  <c r="J186" i="1" l="1"/>
  <c r="I186" i="1"/>
  <c r="M186" i="1" s="1"/>
  <c r="J177" i="1"/>
  <c r="J181" i="1"/>
  <c r="J184" i="1"/>
  <c r="I181" i="1"/>
  <c r="M181" i="1" s="1"/>
  <c r="J185" i="1"/>
  <c r="I184" i="1"/>
  <c r="M184" i="1" s="1"/>
  <c r="J178" i="1"/>
  <c r="J188" i="1"/>
  <c r="I175" i="1"/>
  <c r="M175" i="1" s="1"/>
  <c r="I177" i="1"/>
  <c r="M177" i="1" s="1"/>
  <c r="K177" i="1"/>
  <c r="J183" i="1"/>
  <c r="K192" i="1"/>
  <c r="I192" i="1"/>
  <c r="J192" i="1"/>
  <c r="K175" i="1"/>
  <c r="I183" i="1"/>
  <c r="M183" i="1" s="1"/>
  <c r="J179" i="1"/>
  <c r="K179" i="1"/>
  <c r="I179" i="1"/>
  <c r="M179" i="1" s="1"/>
  <c r="K178" i="1"/>
  <c r="K186" i="1"/>
  <c r="I185" i="1"/>
  <c r="M185" i="1" s="1"/>
  <c r="K174" i="1"/>
  <c r="I174" i="1"/>
  <c r="M174" i="1" s="1"/>
  <c r="J174" i="1"/>
  <c r="K173" i="1"/>
  <c r="I173" i="1"/>
  <c r="M173" i="1" s="1"/>
  <c r="J173" i="1"/>
  <c r="K185" i="1"/>
  <c r="I188" i="1"/>
  <c r="M188" i="1" s="1"/>
  <c r="K190" i="1"/>
  <c r="I190" i="1"/>
  <c r="J190" i="1"/>
  <c r="J187" i="1"/>
  <c r="K187" i="1"/>
  <c r="I187" i="1"/>
  <c r="M187" i="1" s="1"/>
  <c r="K191" i="1"/>
  <c r="I191" i="1"/>
  <c r="J191" i="1"/>
  <c r="K181" i="1"/>
  <c r="K188" i="1"/>
  <c r="J180" i="1"/>
  <c r="I180" i="1"/>
  <c r="M180" i="1" s="1"/>
  <c r="K180" i="1"/>
  <c r="AB145" i="1"/>
  <c r="J175" i="1"/>
  <c r="I178" i="1"/>
  <c r="M178" i="1" s="1"/>
  <c r="J171" i="1" l="1"/>
  <c r="K171" i="1"/>
  <c r="I171" i="1"/>
  <c r="M171" i="1" s="1"/>
  <c r="T5" i="1" l="1" a="1"/>
  <c r="T6" i="1" l="1" a="1"/>
  <c r="AC12" i="1" l="1"/>
  <c r="AD12" i="1"/>
  <c r="AE12" i="1"/>
  <c r="AF12" i="1"/>
  <c r="AG12" i="1"/>
  <c r="Q189" i="1" l="1"/>
  <c r="Q190" i="1"/>
  <c r="Q191" i="1"/>
  <c r="S191" i="1" s="1"/>
  <c r="N191" i="1" s="1"/>
  <c r="Q192" i="1"/>
  <c r="AP4" i="1"/>
  <c r="AO4" i="1"/>
  <c r="AM4" i="1"/>
  <c r="AN4" i="1"/>
  <c r="S189" i="1"/>
  <c r="N189" i="1" s="1"/>
  <c r="S190" i="1"/>
  <c r="N190" i="1" s="1"/>
  <c r="S192" i="1"/>
  <c r="N192" i="1" s="1"/>
  <c r="Q172" i="1"/>
  <c r="S172" i="1" s="1"/>
  <c r="N172" i="1" s="1"/>
  <c r="Q171" i="1"/>
  <c r="S171" i="1" s="1"/>
  <c r="N171" i="1" s="1"/>
  <c r="Q182" i="1"/>
  <c r="S182" i="1" s="1"/>
  <c r="N182" i="1" s="1"/>
  <c r="Q179" i="1"/>
  <c r="S179" i="1" s="1"/>
  <c r="N179" i="1" s="1"/>
  <c r="Q187" i="1"/>
  <c r="S187" i="1" s="1"/>
  <c r="N187" i="1" s="1"/>
  <c r="Q177" i="1"/>
  <c r="S177" i="1" s="1"/>
  <c r="N177" i="1" s="1"/>
  <c r="Q185" i="1"/>
  <c r="S185" i="1" s="1"/>
  <c r="N185" i="1" s="1"/>
  <c r="Q186" i="1"/>
  <c r="S186" i="1" s="1"/>
  <c r="N186" i="1" s="1"/>
  <c r="Q175" i="1"/>
  <c r="S175" i="1" s="1"/>
  <c r="N175" i="1" s="1"/>
  <c r="Q180" i="1"/>
  <c r="S180" i="1" s="1"/>
  <c r="N180" i="1" s="1"/>
  <c r="AQ4" i="1"/>
  <c r="AH12" i="1"/>
  <c r="AR4" i="1"/>
  <c r="Q184" i="1" l="1"/>
  <c r="S184" i="1" s="1"/>
  <c r="N184" i="1" s="1"/>
  <c r="Q193" i="1"/>
  <c r="S193" i="1" s="1"/>
  <c r="N193" i="1" s="1"/>
  <c r="Q194" i="1"/>
  <c r="S194" i="1" s="1"/>
  <c r="N194" i="1" s="1"/>
  <c r="Q178" i="1"/>
  <c r="S178" i="1" s="1"/>
  <c r="N178" i="1" s="1"/>
  <c r="Q181" i="1"/>
  <c r="S181" i="1" s="1"/>
  <c r="N181" i="1" s="1"/>
  <c r="Q188" i="1"/>
  <c r="S188" i="1" s="1"/>
  <c r="N188" i="1" s="1"/>
  <c r="Q173" i="1"/>
  <c r="S173" i="1" s="1"/>
  <c r="N173" i="1" s="1"/>
  <c r="Q174" i="1"/>
  <c r="S174" i="1" s="1"/>
  <c r="N174" i="1" s="1"/>
  <c r="Q176" i="1"/>
  <c r="S176" i="1" s="1"/>
  <c r="N176" i="1" s="1"/>
  <c r="Q183" i="1"/>
  <c r="S183" i="1" s="1"/>
  <c r="N183" i="1" s="1"/>
  <c r="AI12" i="1"/>
  <c r="R180" i="1" l="1"/>
  <c r="T180" i="1" s="1"/>
  <c r="O180" i="1" s="1"/>
  <c r="R194" i="1"/>
  <c r="T194" i="1" s="1"/>
  <c r="O194" i="1" s="1"/>
  <c r="X194" i="1" s="1"/>
  <c r="AC194" i="1" s="1"/>
  <c r="N38" i="1" s="1"/>
  <c r="N64" i="1" s="1"/>
  <c r="X180" i="1"/>
  <c r="AC180" i="1" s="1"/>
  <c r="N24" i="1" s="1"/>
  <c r="N50" i="1" s="1"/>
  <c r="Y180" i="1"/>
  <c r="AD180" i="1" s="1"/>
  <c r="O24" i="1" s="1"/>
  <c r="O50" i="1" s="1"/>
  <c r="W180" i="1"/>
  <c r="AB180" i="1" s="1"/>
  <c r="M24" i="1" s="1"/>
  <c r="M50" i="1" s="1"/>
  <c r="R188" i="1"/>
  <c r="T188" i="1" s="1"/>
  <c r="O188" i="1" s="1"/>
  <c r="R175" i="1"/>
  <c r="T175" i="1" s="1"/>
  <c r="O175" i="1" s="1"/>
  <c r="R187" i="1"/>
  <c r="T187" i="1" s="1"/>
  <c r="O187" i="1" s="1"/>
  <c r="R173" i="1"/>
  <c r="T173" i="1" s="1"/>
  <c r="O173" i="1" s="1"/>
  <c r="R178" i="1"/>
  <c r="T178" i="1" s="1"/>
  <c r="O178" i="1" s="1"/>
  <c r="R176" i="1"/>
  <c r="T176" i="1" s="1"/>
  <c r="O176" i="1" s="1"/>
  <c r="AS4" i="1"/>
  <c r="R183" i="1"/>
  <c r="T183" i="1" s="1"/>
  <c r="O183" i="1" s="1"/>
  <c r="Y194" i="1" l="1"/>
  <c r="AD194" i="1" s="1"/>
  <c r="O38" i="1" s="1"/>
  <c r="O64" i="1" s="1"/>
  <c r="W194" i="1"/>
  <c r="AB194" i="1" s="1"/>
  <c r="M38" i="1" s="1"/>
  <c r="M64" i="1" s="1"/>
  <c r="M90" i="1" s="1"/>
  <c r="M116" i="1" s="1"/>
  <c r="Y178" i="1"/>
  <c r="AD178" i="1" s="1"/>
  <c r="O22" i="1" s="1"/>
  <c r="O48" i="1" s="1"/>
  <c r="X178" i="1"/>
  <c r="AC178" i="1" s="1"/>
  <c r="N22" i="1" s="1"/>
  <c r="N48" i="1" s="1"/>
  <c r="W178" i="1"/>
  <c r="AB178" i="1" s="1"/>
  <c r="M22" i="1" s="1"/>
  <c r="M48" i="1" s="1"/>
  <c r="W173" i="1"/>
  <c r="AB173" i="1" s="1"/>
  <c r="M17" i="1" s="1"/>
  <c r="M43" i="1" s="1"/>
  <c r="X173" i="1"/>
  <c r="AC173" i="1" s="1"/>
  <c r="N17" i="1" s="1"/>
  <c r="N43" i="1" s="1"/>
  <c r="Y173" i="1"/>
  <c r="AD173" i="1" s="1"/>
  <c r="O17" i="1" s="1"/>
  <c r="O43" i="1" s="1"/>
  <c r="W187" i="1"/>
  <c r="AB187" i="1" s="1"/>
  <c r="M31" i="1" s="1"/>
  <c r="M57" i="1" s="1"/>
  <c r="X187" i="1"/>
  <c r="AC187" i="1" s="1"/>
  <c r="N31" i="1" s="1"/>
  <c r="N57" i="1" s="1"/>
  <c r="Y187" i="1"/>
  <c r="AD187" i="1" s="1"/>
  <c r="O31" i="1" s="1"/>
  <c r="O57" i="1" s="1"/>
  <c r="X183" i="1"/>
  <c r="AC183" i="1" s="1"/>
  <c r="N27" i="1" s="1"/>
  <c r="N53" i="1" s="1"/>
  <c r="Y183" i="1"/>
  <c r="AD183" i="1" s="1"/>
  <c r="O27" i="1" s="1"/>
  <c r="O53" i="1" s="1"/>
  <c r="W183" i="1"/>
  <c r="AB183" i="1" s="1"/>
  <c r="M27" i="1" s="1"/>
  <c r="M53" i="1" s="1"/>
  <c r="Y175" i="1"/>
  <c r="AD175" i="1" s="1"/>
  <c r="O19" i="1" s="1"/>
  <c r="O45" i="1" s="1"/>
  <c r="X175" i="1"/>
  <c r="AC175" i="1" s="1"/>
  <c r="N19" i="1" s="1"/>
  <c r="N45" i="1" s="1"/>
  <c r="W175" i="1"/>
  <c r="AB175" i="1" s="1"/>
  <c r="M19" i="1" s="1"/>
  <c r="M45" i="1" s="1"/>
  <c r="X188" i="1"/>
  <c r="AC188" i="1" s="1"/>
  <c r="N32" i="1" s="1"/>
  <c r="N58" i="1" s="1"/>
  <c r="Y188" i="1"/>
  <c r="AD188" i="1" s="1"/>
  <c r="O32" i="1" s="1"/>
  <c r="O58" i="1" s="1"/>
  <c r="W188" i="1"/>
  <c r="AB188" i="1" s="1"/>
  <c r="M32" i="1" s="1"/>
  <c r="M58" i="1" s="1"/>
  <c r="O76" i="1"/>
  <c r="O102" i="1" s="1"/>
  <c r="N76" i="1"/>
  <c r="N102" i="1" s="1"/>
  <c r="M76" i="1"/>
  <c r="M102" i="1" s="1"/>
  <c r="Y176" i="1"/>
  <c r="AD176" i="1" s="1"/>
  <c r="O20" i="1" s="1"/>
  <c r="O46" i="1" s="1"/>
  <c r="X176" i="1"/>
  <c r="AC176" i="1" s="1"/>
  <c r="N20" i="1" s="1"/>
  <c r="N46" i="1" s="1"/>
  <c r="W176" i="1"/>
  <c r="AB176" i="1" s="1"/>
  <c r="M20" i="1" s="1"/>
  <c r="M46" i="1" s="1"/>
  <c r="O90" i="1" l="1"/>
  <c r="O116" i="1" s="1"/>
  <c r="N90" i="1"/>
  <c r="N116" i="1" s="1"/>
  <c r="N128" i="1"/>
  <c r="N71" i="1"/>
  <c r="N97" i="1" s="1"/>
  <c r="M71" i="1"/>
  <c r="M97" i="1" s="1"/>
  <c r="O71" i="1"/>
  <c r="O97" i="1" s="1"/>
  <c r="O83" i="1"/>
  <c r="O109" i="1" s="1"/>
  <c r="N83" i="1"/>
  <c r="N109" i="1" s="1"/>
  <c r="M83" i="1"/>
  <c r="M109" i="1" s="1"/>
  <c r="O128" i="1"/>
  <c r="M128" i="1"/>
  <c r="X24" i="1" s="1"/>
  <c r="N79" i="1"/>
  <c r="N105" i="1" s="1"/>
  <c r="O79" i="1"/>
  <c r="O105" i="1" s="1"/>
  <c r="M79" i="1"/>
  <c r="M105" i="1" s="1"/>
  <c r="M69" i="1"/>
  <c r="M95" i="1" s="1"/>
  <c r="N69" i="1"/>
  <c r="N95" i="1" s="1"/>
  <c r="O69" i="1"/>
  <c r="O95" i="1" s="1"/>
  <c r="O84" i="1"/>
  <c r="O110" i="1" s="1"/>
  <c r="N84" i="1"/>
  <c r="N110" i="1" s="1"/>
  <c r="M84" i="1"/>
  <c r="M110" i="1" s="1"/>
  <c r="N74" i="1"/>
  <c r="N100" i="1" s="1"/>
  <c r="O74" i="1"/>
  <c r="O100" i="1" s="1"/>
  <c r="M74" i="1"/>
  <c r="M100" i="1" s="1"/>
  <c r="O72" i="1"/>
  <c r="O98" i="1" s="1"/>
  <c r="M72" i="1"/>
  <c r="M98" i="1" s="1"/>
  <c r="N72" i="1"/>
  <c r="N98" i="1" s="1"/>
  <c r="O142" i="1" l="1"/>
  <c r="M142" i="1"/>
  <c r="X38" i="1" s="1"/>
  <c r="N142" i="1"/>
  <c r="S50" i="1"/>
  <c r="N131" i="1"/>
  <c r="Y24" i="1"/>
  <c r="X128" i="1" s="1"/>
  <c r="N126" i="1"/>
  <c r="N136" i="1"/>
  <c r="N123" i="1"/>
  <c r="N135" i="1"/>
  <c r="O121" i="1"/>
  <c r="M121" i="1"/>
  <c r="X17" i="1" s="1"/>
  <c r="O135" i="1"/>
  <c r="M135" i="1"/>
  <c r="X31" i="1" s="1"/>
  <c r="O126" i="1"/>
  <c r="M126" i="1"/>
  <c r="X22" i="1" s="1"/>
  <c r="N121" i="1"/>
  <c r="O136" i="1"/>
  <c r="M136" i="1"/>
  <c r="X32" i="1" s="1"/>
  <c r="O124" i="1"/>
  <c r="M124" i="1"/>
  <c r="X20" i="1" s="1"/>
  <c r="N124" i="1"/>
  <c r="O131" i="1"/>
  <c r="M131" i="1"/>
  <c r="X27" i="1" s="1"/>
  <c r="O123" i="1"/>
  <c r="M123" i="1"/>
  <c r="X19" i="1" s="1"/>
  <c r="S64" i="1" l="1"/>
  <c r="Y38" i="1"/>
  <c r="S58" i="1"/>
  <c r="S53" i="1"/>
  <c r="Z24" i="1"/>
  <c r="Y128" i="1" s="1"/>
  <c r="S45" i="1"/>
  <c r="S48" i="1"/>
  <c r="S57" i="1"/>
  <c r="Y31" i="1"/>
  <c r="X135" i="1" s="1"/>
  <c r="Y20" i="1"/>
  <c r="X124" i="1" s="1"/>
  <c r="S46" i="1"/>
  <c r="Y27" i="1"/>
  <c r="X131" i="1" s="1"/>
  <c r="Y22" i="1"/>
  <c r="X126" i="1" s="1"/>
  <c r="Y32" i="1"/>
  <c r="X136" i="1" s="1"/>
  <c r="Y19" i="1"/>
  <c r="X123" i="1" s="1"/>
  <c r="S43" i="1"/>
  <c r="Y17" i="1"/>
  <c r="X121" i="1" s="1"/>
  <c r="X142" i="1" l="1"/>
  <c r="Z38" i="1"/>
  <c r="W24" i="1"/>
  <c r="AC24" i="1" s="1"/>
  <c r="Z31" i="1"/>
  <c r="Y135" i="1" s="1"/>
  <c r="Z22" i="1"/>
  <c r="Y126" i="1" s="1"/>
  <c r="Z27" i="1"/>
  <c r="Y131" i="1" s="1"/>
  <c r="Z32" i="1"/>
  <c r="Y136" i="1" s="1"/>
  <c r="Z20" i="1"/>
  <c r="Y124" i="1" s="1"/>
  <c r="Z19" i="1"/>
  <c r="Z17" i="1"/>
  <c r="Y142" i="1" l="1"/>
  <c r="W38" i="1"/>
  <c r="W128" i="1"/>
  <c r="W31" i="1"/>
  <c r="W20" i="1"/>
  <c r="AC20" i="1" s="1"/>
  <c r="W27" i="1"/>
  <c r="AC27" i="1" s="1"/>
  <c r="W22" i="1"/>
  <c r="W126" i="1" s="1"/>
  <c r="W32" i="1"/>
  <c r="AC32" i="1" s="1"/>
  <c r="Y121" i="1"/>
  <c r="W17" i="1"/>
  <c r="Y123" i="1"/>
  <c r="W19" i="1"/>
  <c r="AC38" i="1" l="1"/>
  <c r="W142" i="1"/>
  <c r="W124" i="1"/>
  <c r="W131" i="1"/>
  <c r="W135" i="1"/>
  <c r="AC31" i="1"/>
  <c r="W136" i="1"/>
  <c r="AC22" i="1"/>
  <c r="W121" i="1"/>
  <c r="AC17" i="1"/>
  <c r="W123" i="1"/>
  <c r="AC19" i="1"/>
  <c r="R179" i="1"/>
  <c r="T179" i="1"/>
  <c r="O179" i="1" s="1"/>
  <c r="R182" i="1"/>
  <c r="T182" i="1" s="1"/>
  <c r="O182" i="1" s="1"/>
  <c r="R171" i="1"/>
  <c r="T171" i="1" s="1"/>
  <c r="O171" i="1" s="1"/>
  <c r="AJ12" i="1"/>
  <c r="R172" i="1"/>
  <c r="T172" i="1"/>
  <c r="O172" i="1" s="1"/>
  <c r="X172" i="1" s="1"/>
  <c r="AC172" i="1" s="1"/>
  <c r="N16" i="1" s="1"/>
  <c r="N42" i="1" s="1"/>
  <c r="R174" i="1" l="1"/>
  <c r="T174" i="1" s="1"/>
  <c r="O174" i="1" s="1"/>
  <c r="R189" i="1"/>
  <c r="T189" i="1" s="1"/>
  <c r="O189" i="1" s="1"/>
  <c r="R191" i="1"/>
  <c r="T191" i="1" s="1"/>
  <c r="O191" i="1" s="1"/>
  <c r="R192" i="1"/>
  <c r="T192" i="1" s="1"/>
  <c r="O192" i="1" s="1"/>
  <c r="R190" i="1"/>
  <c r="T190" i="1" s="1"/>
  <c r="O190" i="1" s="1"/>
  <c r="R193" i="1"/>
  <c r="T193" i="1" s="1"/>
  <c r="O193" i="1" s="1"/>
  <c r="R184" i="1"/>
  <c r="T184" i="1" s="1"/>
  <c r="O184" i="1" s="1"/>
  <c r="Y184" i="1" s="1"/>
  <c r="AD184" i="1" s="1"/>
  <c r="O28" i="1" s="1"/>
  <c r="O54" i="1" s="1"/>
  <c r="W182" i="1"/>
  <c r="AB182" i="1" s="1"/>
  <c r="M26" i="1" s="1"/>
  <c r="M52" i="1" s="1"/>
  <c r="X182" i="1"/>
  <c r="AC182" i="1" s="1"/>
  <c r="N26" i="1" s="1"/>
  <c r="N52" i="1" s="1"/>
  <c r="Y182" i="1"/>
  <c r="AD182" i="1" s="1"/>
  <c r="O26" i="1" s="1"/>
  <c r="O52" i="1" s="1"/>
  <c r="W179" i="1"/>
  <c r="AB179" i="1" s="1"/>
  <c r="M23" i="1" s="1"/>
  <c r="M49" i="1" s="1"/>
  <c r="X179" i="1"/>
  <c r="AC179" i="1" s="1"/>
  <c r="N23" i="1" s="1"/>
  <c r="N49" i="1" s="1"/>
  <c r="Y179" i="1"/>
  <c r="AD179" i="1" s="1"/>
  <c r="O23" i="1" s="1"/>
  <c r="O49" i="1" s="1"/>
  <c r="Y174" i="1"/>
  <c r="AD174" i="1" s="1"/>
  <c r="O18" i="1" s="1"/>
  <c r="O44" i="1" s="1"/>
  <c r="W174" i="1"/>
  <c r="AB174" i="1" s="1"/>
  <c r="M18" i="1" s="1"/>
  <c r="M44" i="1" s="1"/>
  <c r="X174" i="1"/>
  <c r="AC174" i="1" s="1"/>
  <c r="N18" i="1" s="1"/>
  <c r="N44" i="1" s="1"/>
  <c r="W171" i="1"/>
  <c r="AB171" i="1" s="1"/>
  <c r="M15" i="1" s="1"/>
  <c r="M41" i="1" s="1"/>
  <c r="X171" i="1"/>
  <c r="AC171" i="1" s="1"/>
  <c r="N15" i="1" s="1"/>
  <c r="N41" i="1" s="1"/>
  <c r="Y171" i="1"/>
  <c r="AD171" i="1" s="1"/>
  <c r="O15" i="1" s="1"/>
  <c r="O41" i="1" s="1"/>
  <c r="R177" i="1"/>
  <c r="T177" i="1" s="1"/>
  <c r="O177" i="1" s="1"/>
  <c r="AT4" i="1"/>
  <c r="AH2" i="1" s="1"/>
  <c r="R181" i="1"/>
  <c r="T181" i="1" s="1"/>
  <c r="O181" i="1" s="1"/>
  <c r="W172" i="1"/>
  <c r="AB172" i="1" s="1"/>
  <c r="M16" i="1" s="1"/>
  <c r="M42" i="1" s="1"/>
  <c r="Y172" i="1"/>
  <c r="AD172" i="1" s="1"/>
  <c r="O16" i="1" s="1"/>
  <c r="O42" i="1" s="1"/>
  <c r="R186" i="1"/>
  <c r="T186" i="1" s="1"/>
  <c r="O186" i="1" s="1"/>
  <c r="R185" i="1"/>
  <c r="T185" i="1" s="1"/>
  <c r="O185" i="1" s="1"/>
  <c r="Y193" i="1" l="1"/>
  <c r="AD193" i="1" s="1"/>
  <c r="O37" i="1" s="1"/>
  <c r="O63" i="1" s="1"/>
  <c r="W193" i="1"/>
  <c r="AB193" i="1" s="1"/>
  <c r="M37" i="1" s="1"/>
  <c r="M63" i="1" s="1"/>
  <c r="X193" i="1"/>
  <c r="AC193" i="1" s="1"/>
  <c r="N37" i="1" s="1"/>
  <c r="N63" i="1" s="1"/>
  <c r="X184" i="1"/>
  <c r="AC184" i="1" s="1"/>
  <c r="N28" i="1" s="1"/>
  <c r="N54" i="1" s="1"/>
  <c r="W190" i="1"/>
  <c r="AB190" i="1" s="1"/>
  <c r="M34" i="1" s="1"/>
  <c r="M60" i="1" s="1"/>
  <c r="X190" i="1"/>
  <c r="AC190" i="1" s="1"/>
  <c r="N34" i="1" s="1"/>
  <c r="N60" i="1" s="1"/>
  <c r="Y190" i="1"/>
  <c r="AD190" i="1" s="1"/>
  <c r="O34" i="1" s="1"/>
  <c r="O60" i="1" s="1"/>
  <c r="Y192" i="1"/>
  <c r="AD192" i="1" s="1"/>
  <c r="O36" i="1" s="1"/>
  <c r="O62" i="1" s="1"/>
  <c r="W192" i="1"/>
  <c r="AB192" i="1" s="1"/>
  <c r="M36" i="1" s="1"/>
  <c r="M62" i="1" s="1"/>
  <c r="X192" i="1"/>
  <c r="AC192" i="1" s="1"/>
  <c r="N36" i="1" s="1"/>
  <c r="N62" i="1" s="1"/>
  <c r="W184" i="1"/>
  <c r="AB184" i="1" s="1"/>
  <c r="M28" i="1" s="1"/>
  <c r="M54" i="1" s="1"/>
  <c r="W191" i="1"/>
  <c r="AB191" i="1" s="1"/>
  <c r="M35" i="1" s="1"/>
  <c r="M61" i="1" s="1"/>
  <c r="X191" i="1"/>
  <c r="AC191" i="1" s="1"/>
  <c r="N35" i="1" s="1"/>
  <c r="N61" i="1" s="1"/>
  <c r="Y191" i="1"/>
  <c r="AD191" i="1" s="1"/>
  <c r="O35" i="1" s="1"/>
  <c r="O61" i="1" s="1"/>
  <c r="W189" i="1"/>
  <c r="AB189" i="1" s="1"/>
  <c r="M33" i="1" s="1"/>
  <c r="M59" i="1" s="1"/>
  <c r="X189" i="1"/>
  <c r="AC189" i="1" s="1"/>
  <c r="N33" i="1" s="1"/>
  <c r="N59" i="1" s="1"/>
  <c r="Y189" i="1"/>
  <c r="AD189" i="1" s="1"/>
  <c r="O33" i="1" s="1"/>
  <c r="O59" i="1" s="1"/>
  <c r="Y185" i="1"/>
  <c r="AD185" i="1" s="1"/>
  <c r="O29" i="1" s="1"/>
  <c r="O55" i="1" s="1"/>
  <c r="W185" i="1"/>
  <c r="AB185" i="1" s="1"/>
  <c r="M29" i="1" s="1"/>
  <c r="M55" i="1" s="1"/>
  <c r="X185" i="1"/>
  <c r="AC185" i="1" s="1"/>
  <c r="N29" i="1" s="1"/>
  <c r="N55" i="1" s="1"/>
  <c r="Y177" i="1"/>
  <c r="AD177" i="1" s="1"/>
  <c r="O21" i="1" s="1"/>
  <c r="O47" i="1" s="1"/>
  <c r="W177" i="1"/>
  <c r="AB177" i="1" s="1"/>
  <c r="M21" i="1" s="1"/>
  <c r="M47" i="1" s="1"/>
  <c r="X177" i="1"/>
  <c r="AC177" i="1" s="1"/>
  <c r="N21" i="1" s="1"/>
  <c r="N47" i="1" s="1"/>
  <c r="X181" i="1"/>
  <c r="AC181" i="1" s="1"/>
  <c r="N25" i="1" s="1"/>
  <c r="N51" i="1" s="1"/>
  <c r="W181" i="1"/>
  <c r="AB181" i="1" s="1"/>
  <c r="M25" i="1" s="1"/>
  <c r="M51" i="1" s="1"/>
  <c r="Y181" i="1"/>
  <c r="AD181" i="1" s="1"/>
  <c r="O25" i="1" s="1"/>
  <c r="O51" i="1" s="1"/>
  <c r="M75" i="1"/>
  <c r="M101" i="1" s="1"/>
  <c r="O75" i="1"/>
  <c r="O101" i="1" s="1"/>
  <c r="N75" i="1"/>
  <c r="N101" i="1" s="1"/>
  <c r="Y186" i="1"/>
  <c r="AD186" i="1" s="1"/>
  <c r="O30" i="1" s="1"/>
  <c r="O56" i="1" s="1"/>
  <c r="X186" i="1"/>
  <c r="AC186" i="1" s="1"/>
  <c r="N30" i="1" s="1"/>
  <c r="N56" i="1" s="1"/>
  <c r="W186" i="1"/>
  <c r="AB186" i="1" s="1"/>
  <c r="M30" i="1" s="1"/>
  <c r="M56" i="1" s="1"/>
  <c r="M70" i="1"/>
  <c r="M96" i="1" s="1"/>
  <c r="O70" i="1"/>
  <c r="O96" i="1" s="1"/>
  <c r="N70" i="1"/>
  <c r="N96" i="1" s="1"/>
  <c r="O67" i="1"/>
  <c r="O93" i="1" s="1"/>
  <c r="M67" i="1"/>
  <c r="M93" i="1" s="1"/>
  <c r="N67" i="1"/>
  <c r="N93" i="1" s="1"/>
  <c r="M80" i="1"/>
  <c r="M106" i="1" s="1"/>
  <c r="N80" i="1"/>
  <c r="N106" i="1" s="1"/>
  <c r="O80" i="1"/>
  <c r="O106" i="1" s="1"/>
  <c r="N68" i="1"/>
  <c r="N94" i="1" s="1"/>
  <c r="M68" i="1"/>
  <c r="M94" i="1" s="1"/>
  <c r="O68" i="1"/>
  <c r="O94" i="1" s="1"/>
  <c r="N78" i="1"/>
  <c r="N104" i="1" s="1"/>
  <c r="O78" i="1"/>
  <c r="O104" i="1" s="1"/>
  <c r="M78" i="1"/>
  <c r="M104" i="1" s="1"/>
  <c r="M85" i="1" l="1"/>
  <c r="M111" i="1" s="1"/>
  <c r="N85" i="1"/>
  <c r="N111" i="1" s="1"/>
  <c r="O85" i="1"/>
  <c r="O111" i="1" s="1"/>
  <c r="M86" i="1"/>
  <c r="M112" i="1" s="1"/>
  <c r="O86" i="1"/>
  <c r="O112" i="1" s="1"/>
  <c r="N86" i="1"/>
  <c r="N112" i="1" s="1"/>
  <c r="N87" i="1"/>
  <c r="N113" i="1" s="1"/>
  <c r="M87" i="1"/>
  <c r="M113" i="1" s="1"/>
  <c r="N139" i="1" s="1"/>
  <c r="O87" i="1"/>
  <c r="O113" i="1" s="1"/>
  <c r="N89" i="1"/>
  <c r="N115" i="1" s="1"/>
  <c r="O89" i="1"/>
  <c r="O115" i="1" s="1"/>
  <c r="M89" i="1"/>
  <c r="M115" i="1" s="1"/>
  <c r="N141" i="1" s="1"/>
  <c r="M88" i="1"/>
  <c r="M114" i="1" s="1"/>
  <c r="N88" i="1"/>
  <c r="N114" i="1" s="1"/>
  <c r="O88" i="1"/>
  <c r="O114" i="1" s="1"/>
  <c r="N122" i="1"/>
  <c r="N130" i="1"/>
  <c r="O82" i="1"/>
  <c r="O108" i="1" s="1"/>
  <c r="M82" i="1"/>
  <c r="M108" i="1" s="1"/>
  <c r="N82" i="1"/>
  <c r="N108" i="1" s="1"/>
  <c r="N132" i="1"/>
  <c r="M77" i="1"/>
  <c r="M103" i="1" s="1"/>
  <c r="N77" i="1"/>
  <c r="N103" i="1" s="1"/>
  <c r="O77" i="1"/>
  <c r="O103" i="1" s="1"/>
  <c r="M132" i="1"/>
  <c r="X28" i="1" s="1"/>
  <c r="O132" i="1"/>
  <c r="N119" i="1"/>
  <c r="O127" i="1"/>
  <c r="M127" i="1"/>
  <c r="X23" i="1" s="1"/>
  <c r="O119" i="1"/>
  <c r="M119" i="1"/>
  <c r="X15" i="1" s="1"/>
  <c r="O130" i="1"/>
  <c r="M130" i="1"/>
  <c r="X26" i="1" s="1"/>
  <c r="N120" i="1"/>
  <c r="O122" i="1"/>
  <c r="M122" i="1"/>
  <c r="X18" i="1" s="1"/>
  <c r="N127" i="1"/>
  <c r="N81" i="1"/>
  <c r="N107" i="1" s="1"/>
  <c r="O81" i="1"/>
  <c r="O107" i="1" s="1"/>
  <c r="M81" i="1"/>
  <c r="M107" i="1" s="1"/>
  <c r="N73" i="1"/>
  <c r="N99" i="1" s="1"/>
  <c r="O73" i="1"/>
  <c r="O99" i="1" s="1"/>
  <c r="M73" i="1"/>
  <c r="M99" i="1" s="1"/>
  <c r="M120" i="1"/>
  <c r="X16" i="1" s="1"/>
  <c r="O120" i="1"/>
  <c r="M140" i="1" l="1"/>
  <c r="X36" i="1" s="1"/>
  <c r="O140" i="1"/>
  <c r="M138" i="1"/>
  <c r="X34" i="1" s="1"/>
  <c r="O138" i="1"/>
  <c r="N140" i="1"/>
  <c r="N138" i="1"/>
  <c r="M141" i="1"/>
  <c r="X37" i="1" s="1"/>
  <c r="O141" i="1"/>
  <c r="S63" i="1" s="1"/>
  <c r="O137" i="1"/>
  <c r="M137" i="1"/>
  <c r="M139" i="1"/>
  <c r="X35" i="1" s="1"/>
  <c r="O139" i="1"/>
  <c r="S61" i="1" s="1"/>
  <c r="N137" i="1"/>
  <c r="S44" i="1"/>
  <c r="Y18" i="1"/>
  <c r="X122" i="1" s="1"/>
  <c r="S52" i="1"/>
  <c r="N125" i="1"/>
  <c r="N134" i="1"/>
  <c r="M129" i="1"/>
  <c r="X25" i="1" s="1"/>
  <c r="O129" i="1"/>
  <c r="O133" i="1"/>
  <c r="M133" i="1"/>
  <c r="X29" i="1" s="1"/>
  <c r="Y15" i="1"/>
  <c r="S41" i="1"/>
  <c r="N129" i="1"/>
  <c r="S42" i="1"/>
  <c r="Y16" i="1"/>
  <c r="X120" i="1" s="1"/>
  <c r="Y26" i="1"/>
  <c r="X130" i="1" s="1"/>
  <c r="S54" i="1"/>
  <c r="Y28" i="1"/>
  <c r="X132" i="1" s="1"/>
  <c r="O125" i="1"/>
  <c r="M125" i="1"/>
  <c r="X21" i="1" s="1"/>
  <c r="O134" i="1"/>
  <c r="M134" i="1"/>
  <c r="X30" i="1" s="1"/>
  <c r="S49" i="1"/>
  <c r="Y23" i="1"/>
  <c r="X127" i="1" s="1"/>
  <c r="N133" i="1"/>
  <c r="X33" i="1" l="1"/>
  <c r="T9" i="1"/>
  <c r="Y36" i="1"/>
  <c r="X140" i="1" s="1"/>
  <c r="S62" i="1"/>
  <c r="Z36" i="1"/>
  <c r="Y140" i="1" s="1"/>
  <c r="W34" i="1"/>
  <c r="W36" i="1"/>
  <c r="S60" i="1"/>
  <c r="Y34" i="1"/>
  <c r="X138" i="1" s="1"/>
  <c r="Z34" i="1"/>
  <c r="Y138" i="1" s="1"/>
  <c r="S59" i="1"/>
  <c r="Y33" i="1"/>
  <c r="X137" i="1" s="1"/>
  <c r="Z37" i="1"/>
  <c r="Y141" i="1" s="1"/>
  <c r="Z35" i="1"/>
  <c r="Y139" i="1" s="1"/>
  <c r="Y37" i="1"/>
  <c r="X141" i="1" s="1"/>
  <c r="Y35" i="1"/>
  <c r="X139" i="1" s="1"/>
  <c r="S56" i="1"/>
  <c r="Z18" i="1"/>
  <c r="Y122" i="1" s="1"/>
  <c r="S47" i="1"/>
  <c r="Z28" i="1"/>
  <c r="Y132" i="1" s="1"/>
  <c r="X119" i="1"/>
  <c r="Z23" i="1"/>
  <c r="Y127" i="1" s="1"/>
  <c r="Z16" i="1"/>
  <c r="Y120" i="1" s="1"/>
  <c r="Z26" i="1"/>
  <c r="Y130" i="1" s="1"/>
  <c r="Y29" i="1"/>
  <c r="X133" i="1" s="1"/>
  <c r="S55" i="1"/>
  <c r="Y30" i="1"/>
  <c r="Y25" i="1"/>
  <c r="X129" i="1" s="1"/>
  <c r="S51" i="1"/>
  <c r="T5" i="1"/>
  <c r="Y21" i="1"/>
  <c r="Z15" i="1"/>
  <c r="W15" i="1" s="1"/>
  <c r="W37" i="1" l="1"/>
  <c r="W140" i="1"/>
  <c r="AC36" i="1"/>
  <c r="Z33" i="1"/>
  <c r="Y137" i="1" s="1"/>
  <c r="AC34" i="1"/>
  <c r="W138" i="1"/>
  <c r="W35" i="1"/>
  <c r="W33" i="1"/>
  <c r="W18" i="1"/>
  <c r="W122" i="1" s="1"/>
  <c r="W28" i="1"/>
  <c r="AC28" i="1" s="1"/>
  <c r="T6" i="1"/>
  <c r="T8" i="1"/>
  <c r="W26" i="1"/>
  <c r="W130" i="1" s="1"/>
  <c r="W16" i="1"/>
  <c r="AC16" i="1" s="1"/>
  <c r="Z29" i="1"/>
  <c r="Y133" i="1" s="1"/>
  <c r="X125" i="1"/>
  <c r="Z78" i="1" s="1"/>
  <c r="Z21" i="1"/>
  <c r="Y125" i="1" s="1"/>
  <c r="Z25" i="1"/>
  <c r="Y129" i="1" s="1"/>
  <c r="W23" i="1"/>
  <c r="X134" i="1"/>
  <c r="Z30" i="1"/>
  <c r="W119" i="1"/>
  <c r="AC15" i="1"/>
  <c r="Y119" i="1"/>
  <c r="W139" i="1" l="1"/>
  <c r="AC35" i="1"/>
  <c r="AC33" i="1"/>
  <c r="Y12" i="1"/>
  <c r="W137" i="1"/>
  <c r="AC37" i="1"/>
  <c r="W141" i="1"/>
  <c r="AB76" i="1"/>
  <c r="Y76" i="1" s="1"/>
  <c r="AC18" i="1"/>
  <c r="W132" i="1"/>
  <c r="AC26" i="1"/>
  <c r="W120" i="1"/>
  <c r="AB81" i="1"/>
  <c r="X81" i="1" s="1"/>
  <c r="AB85" i="1"/>
  <c r="W29" i="1"/>
  <c r="AC29" i="1" s="1"/>
  <c r="T7" i="1"/>
  <c r="Z76" i="1"/>
  <c r="W25" i="1"/>
  <c r="W127" i="1"/>
  <c r="AC23" i="1"/>
  <c r="AB77" i="1"/>
  <c r="AB74" i="1"/>
  <c r="Z74" i="1"/>
  <c r="Z85" i="1"/>
  <c r="Z84" i="1"/>
  <c r="Z75" i="1"/>
  <c r="AB82" i="1"/>
  <c r="W21" i="1"/>
  <c r="Z77" i="1"/>
  <c r="AB75" i="1"/>
  <c r="AB83" i="1"/>
  <c r="AB84" i="1"/>
  <c r="Z83" i="1"/>
  <c r="Z82" i="1"/>
  <c r="Z81" i="1"/>
  <c r="Y134" i="1"/>
  <c r="W30" i="1"/>
  <c r="AB78" i="1"/>
  <c r="X76" i="1" l="1"/>
  <c r="W76" i="1"/>
  <c r="W133" i="1"/>
  <c r="W81" i="1"/>
  <c r="Y81" i="1"/>
  <c r="X85" i="1"/>
  <c r="W85" i="1"/>
  <c r="Y85" i="1"/>
  <c r="W74" i="1"/>
  <c r="Y74" i="1"/>
  <c r="X74" i="1"/>
  <c r="Y77" i="1"/>
  <c r="W77" i="1"/>
  <c r="X77" i="1"/>
  <c r="W129" i="1"/>
  <c r="AC25" i="1"/>
  <c r="X78" i="1"/>
  <c r="Y78" i="1"/>
  <c r="W78" i="1"/>
  <c r="Y83" i="1"/>
  <c r="W83" i="1"/>
  <c r="X83" i="1"/>
  <c r="AC21" i="1"/>
  <c r="W125" i="1"/>
  <c r="AB69" i="1"/>
  <c r="Z67" i="1"/>
  <c r="Z71" i="1"/>
  <c r="AB67" i="1"/>
  <c r="T4" i="1"/>
  <c r="Z69" i="1"/>
  <c r="Z68" i="1"/>
  <c r="AB71" i="1"/>
  <c r="Z70" i="1"/>
  <c r="AB70" i="1"/>
  <c r="AB68" i="1"/>
  <c r="X75" i="1"/>
  <c r="Y75" i="1"/>
  <c r="W75" i="1"/>
  <c r="X84" i="1"/>
  <c r="W84" i="1"/>
  <c r="Y84" i="1"/>
  <c r="W134" i="1"/>
  <c r="AC30" i="1"/>
  <c r="W82" i="1"/>
  <c r="X82" i="1"/>
  <c r="Y82" i="1"/>
  <c r="X71" i="1" l="1"/>
  <c r="AC71" i="1"/>
  <c r="W71" i="1"/>
  <c r="AD71" i="1"/>
  <c r="Y71" i="1"/>
  <c r="T12" i="1"/>
  <c r="Y67" i="1"/>
  <c r="AD67" i="1"/>
  <c r="W67" i="1"/>
  <c r="X67" i="1"/>
  <c r="AC67" i="1"/>
  <c r="AD68" i="1"/>
  <c r="W68" i="1"/>
  <c r="AC68" i="1"/>
  <c r="X68" i="1"/>
  <c r="Y68" i="1"/>
  <c r="AD70" i="1"/>
  <c r="X70" i="1"/>
  <c r="W70" i="1"/>
  <c r="AC70" i="1"/>
  <c r="Y70" i="1"/>
  <c r="X69" i="1"/>
  <c r="AD69" i="1"/>
  <c r="AC69" i="1"/>
  <c r="W69" i="1"/>
  <c r="Y6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<sst xmlns="http://schemas.openxmlformats.org/spreadsheetml/2006/main" count="278" uniqueCount="186">
  <si>
    <t>Macbeth CCM Simulator</t>
  </si>
  <si>
    <t>Modify value</t>
  </si>
  <si>
    <t>Color summary (target / original)</t>
  </si>
  <si>
    <t>target / final</t>
  </si>
  <si>
    <t>Original CCM</t>
  </si>
  <si>
    <t>SUM</t>
  </si>
  <si>
    <t>R</t>
  </si>
  <si>
    <t>dE avg</t>
  </si>
  <si>
    <t>Lightness error abs avg</t>
  </si>
  <si>
    <t>G</t>
  </si>
  <si>
    <t>Chroma error abs avg</t>
  </si>
  <si>
    <t>Modify CCM</t>
  </si>
  <si>
    <t>Modify value scaling</t>
  </si>
  <si>
    <t>Saturation value scaling</t>
  </si>
  <si>
    <t>file name</t>
  </si>
  <si>
    <t>Hue error abs avg</t>
  </si>
  <si>
    <t>B</t>
  </si>
  <si>
    <t>Mean camera chroma</t>
  </si>
  <si>
    <t>Contrast ratio</t>
  </si>
  <si>
    <t>crtl + m</t>
  </si>
  <si>
    <t>Saturation</t>
  </si>
  <si>
    <t>dE with weight</t>
  </si>
  <si>
    <t>target / original</t>
  </si>
  <si>
    <t>adjust R</t>
  </si>
  <si>
    <t>adjust B</t>
  </si>
  <si>
    <t>gray ΔE</t>
  </si>
  <si>
    <t>Target sR</t>
  </si>
  <si>
    <t>Target sG</t>
  </si>
  <si>
    <t>Target sB</t>
  </si>
  <si>
    <t>T</t>
  </si>
  <si>
    <t>O</t>
  </si>
  <si>
    <t>F</t>
  </si>
  <si>
    <t>Original sR</t>
  </si>
  <si>
    <t>Original sG</t>
  </si>
  <si>
    <t>Original sB</t>
  </si>
  <si>
    <t>Final sR</t>
  </si>
  <si>
    <t>Final sG</t>
  </si>
  <si>
    <t>Final sB</t>
  </si>
  <si>
    <t>ΔE</t>
  </si>
  <si>
    <t>Δlightness</t>
  </si>
  <si>
    <t>Δchroma</t>
  </si>
  <si>
    <t>Δhue</t>
  </si>
  <si>
    <t>W</t>
  </si>
  <si>
    <t>ΔE'</t>
  </si>
  <si>
    <t>ΔE * W</t>
  </si>
  <si>
    <t>ΔE' * W</t>
  </si>
  <si>
    <t>Target R</t>
  </si>
  <si>
    <t>Target G</t>
  </si>
  <si>
    <t>Target B</t>
  </si>
  <si>
    <t>Original R</t>
  </si>
  <si>
    <t>Original G</t>
  </si>
  <si>
    <t>Original B</t>
  </si>
  <si>
    <t>Final R</t>
  </si>
  <si>
    <t>Final G</t>
  </si>
  <si>
    <t>Final B</t>
  </si>
  <si>
    <t>C1</t>
  </si>
  <si>
    <t>C2</t>
  </si>
  <si>
    <t>C3</t>
  </si>
  <si>
    <t>Target X</t>
  </si>
  <si>
    <t>Target Y</t>
  </si>
  <si>
    <t>Target Z</t>
  </si>
  <si>
    <t>Original X</t>
  </si>
  <si>
    <t>Original Y</t>
  </si>
  <si>
    <t>Original Z</t>
  </si>
  <si>
    <t>Final X</t>
  </si>
  <si>
    <t>Final Y</t>
  </si>
  <si>
    <t>Final Z</t>
  </si>
  <si>
    <t>sRGB2XYZ Matrix</t>
  </si>
  <si>
    <t>White point</t>
  </si>
  <si>
    <t>deltaE constant value</t>
  </si>
  <si>
    <t>KL</t>
  </si>
  <si>
    <t>KC</t>
  </si>
  <si>
    <t>KH</t>
  </si>
  <si>
    <t>K1</t>
  </si>
  <si>
    <t>K2</t>
  </si>
  <si>
    <t>Original CCM inverse</t>
  </si>
  <si>
    <t>Modify CCM inverse</t>
  </si>
  <si>
    <t>Target fx</t>
  </si>
  <si>
    <t>Target fy</t>
  </si>
  <si>
    <t>Target fz</t>
  </si>
  <si>
    <t>Original fx</t>
  </si>
  <si>
    <t>Original fy</t>
  </si>
  <si>
    <t>Original fz</t>
  </si>
  <si>
    <t>Final fx</t>
  </si>
  <si>
    <t>Final fy</t>
  </si>
  <si>
    <t>Final fz</t>
  </si>
  <si>
    <t>Inverse 1</t>
  </si>
  <si>
    <t>Inverse 2</t>
  </si>
  <si>
    <t>Inverse 3</t>
  </si>
  <si>
    <t>Target L</t>
  </si>
  <si>
    <t>Target a</t>
  </si>
  <si>
    <t>Target b</t>
  </si>
  <si>
    <t>Original L</t>
  </si>
  <si>
    <t>Original a</t>
  </si>
  <si>
    <t>Original b</t>
  </si>
  <si>
    <t>Final L</t>
  </si>
  <si>
    <t>Final a</t>
  </si>
  <si>
    <t>Final b</t>
  </si>
  <si>
    <t>Modify 1</t>
  </si>
  <si>
    <t>Modify 2</t>
  </si>
  <si>
    <t>Modify 3</t>
  </si>
  <si>
    <t>SL</t>
  </si>
  <si>
    <t>SC</t>
  </si>
  <si>
    <t>SH</t>
  </si>
  <si>
    <t>h1</t>
  </si>
  <si>
    <t>h2</t>
  </si>
  <si>
    <t>H</t>
  </si>
  <si>
    <t>Δh</t>
  </si>
  <si>
    <t>ΔL</t>
  </si>
  <si>
    <t>ΔC</t>
  </si>
  <si>
    <t>ΔH</t>
  </si>
  <si>
    <t>Gamma calculator</t>
  </si>
  <si>
    <t>C7 gamma</t>
  </si>
  <si>
    <t>Gamma from
C7</t>
  </si>
  <si>
    <t>value</t>
  </si>
  <si>
    <t>index</t>
  </si>
  <si>
    <t>diff</t>
  </si>
  <si>
    <t>1. 輸入拍攝時使用的gamma曲線</t>
  </si>
  <si>
    <t>Lux region</t>
  </si>
  <si>
    <t>original</t>
  </si>
  <si>
    <t>inverse</t>
  </si>
  <si>
    <t>final</t>
  </si>
  <si>
    <t>x1</t>
  </si>
  <si>
    <t>x2</t>
  </si>
  <si>
    <t>y1</t>
  </si>
  <si>
    <t>y2</t>
  </si>
  <si>
    <t>Inverse' 1</t>
    <phoneticPr fontId="1" type="noConversion"/>
  </si>
  <si>
    <t>Inverse' 2</t>
    <phoneticPr fontId="1" type="noConversion"/>
  </si>
  <si>
    <t>Inverse' 3</t>
    <phoneticPr fontId="1" type="noConversion"/>
  </si>
  <si>
    <t>Final' R</t>
    <phoneticPr fontId="1" type="noConversion"/>
  </si>
  <si>
    <t>Final' G</t>
    <phoneticPr fontId="1" type="noConversion"/>
  </si>
  <si>
    <t>Final' B</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</si>
  <si>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</si>
  <si>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1 0 0 0 1 0 0 0 1</t>
    <phoneticPr fontId="1" type="noConversion"/>
  </si>
  <si>
    <t>CCM from
device</t>
    <phoneticPr fontId="1" type="noConversion"/>
  </si>
  <si>
    <t>?=1</t>
    <phoneticPr fontId="1" type="noConversion"/>
  </si>
  <si>
    <t>CCM from device (split)</t>
    <phoneticPr fontId="1" type="noConversion"/>
  </si>
  <si>
    <t>1. 讀取照片，查找對應的CCM，輸入CCM from device
2. 修改Modify value，或使用規劃求解。按ctrl+m，重跑巨集更新色塊</t>
    <phoneticPr fontId="1" type="noConversion"/>
  </si>
  <si>
    <t>gamma scale</t>
    <phoneticPr fontId="1" type="noConversion"/>
  </si>
  <si>
    <t>Ap 藍</t>
    <phoneticPr fontId="1" type="noConversion"/>
  </si>
  <si>
    <t>Am 黃</t>
    <phoneticPr fontId="1" type="noConversion"/>
  </si>
  <si>
    <t>Cp 紅</t>
    <phoneticPr fontId="1" type="noConversion"/>
  </si>
  <si>
    <t>Cm 綠</t>
    <phoneticPr fontId="1" type="noConversion"/>
  </si>
  <si>
    <t>Bp 紅</t>
    <phoneticPr fontId="1" type="noConversion"/>
  </si>
  <si>
    <t>Bm 綠</t>
    <phoneticPr fontId="1" type="noConversion"/>
  </si>
  <si>
    <t>Dp 藍</t>
    <phoneticPr fontId="1" type="noConversion"/>
  </si>
  <si>
    <t>Dm 黃</t>
    <phoneticPr fontId="1" type="noConversion"/>
  </si>
  <si>
    <t>CV modify scaled</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</si>
  <si>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</si>
  <si>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</si>
  <si>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</si>
  <si>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</si>
  <si>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</si>
  <si>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</si>
  <si>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</si>
  <si>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</si>
  <si>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</si>
  <si>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Y</t>
    <phoneticPr fontId="1" type="noConversion"/>
  </si>
  <si>
    <t>Cr</t>
    <phoneticPr fontId="1" type="noConversion"/>
  </si>
  <si>
    <t>Cb</t>
    <phoneticPr fontId="1" type="noConversion"/>
  </si>
  <si>
    <t>RGB2YCbCr</t>
    <phoneticPr fontId="1" type="noConversion"/>
  </si>
  <si>
    <t>YCbCr2RGB</t>
    <phoneticPr fontId="1" type="noConversion"/>
  </si>
  <si>
    <t>Balance</t>
    <phoneticPr fontId="1" type="noConversion"/>
  </si>
  <si>
    <t>Enhance</t>
    <phoneticPr fontId="1" type="noConversion"/>
  </si>
  <si>
    <t>CV (split)</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</si>
  <si>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</si>
  <si>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</si>
  <si>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</si>
  <si>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</si>
  <si>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</si>
  <si>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</si>
  <si>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</si>
  <si>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</si>
  <si>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</si>
  <si>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b</t>
    <phoneticPr fontId="1" type="noConversion"/>
  </si>
  <si>
    <t>d</t>
    <phoneticPr fontId="1" type="noConversion"/>
  </si>
  <si>
    <t>a</t>
    <phoneticPr fontId="1" type="noConversion"/>
  </si>
  <si>
    <t>c</t>
    <phoneticPr fontId="1" type="noConversion"/>
  </si>
  <si>
    <t>Y'</t>
    <phoneticPr fontId="1" type="noConversion"/>
  </si>
  <si>
    <t>Cb'</t>
    <phoneticPr fontId="1" type="noConversion"/>
  </si>
  <si>
    <t>Cr'</t>
    <phoneticPr fontId="1" type="noConversion"/>
  </si>
  <si>
    <t>cvG</t>
    <phoneticPr fontId="1" type="noConversion"/>
  </si>
  <si>
    <t>cvR</t>
    <phoneticPr fontId="1" type="noConversion"/>
  </si>
  <si>
    <t>cvB</t>
    <phoneticPr fontId="1" type="noConversion"/>
  </si>
  <si>
    <t>XXX</t>
    <phoneticPr fontId="1" type="noConversion"/>
  </si>
  <si>
    <t>Modified
CV</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</si>
</sst>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
    <numFmt numFmtId="177" formatCode="0.0000_ "/>
    <numFmt numFmtId="178" formatCode="0.00_ "/>
    <numFmt numFmtId="179" formatCode="0_);[Red]\(0\)"/>
    <numFmt numFmtId="180" formatCode="0.000_);[Red]\(0.000\)"/>
    <numFmt numFmtId="181" formatCode="0.0_);[Red]\(0.0\)"/>
    <numFmt numFmtId="182" formatCode="0.0_ "/>
    <numFmt numFmtId="183" formatCode="0_ "/>
  </numFmts>
  <fonts count="21" x14ac:knownFonts="1">
    <font>
      <sz val="12"/>
      <color theme="1"/>
      <name val="新細明體"/>
      <family val="2"/>
      <charset val="136"/>
      <scheme val="minor"/>
    </font>
    <font>
      <sz val="9"/>
      <name val="新細明體"/>
      <family val="2"/>
      <charset val="136"/>
      <scheme val="minor"/>
    </font>
    <font>
      <sz val="9"/>
      <color theme="1"/>
      <name val="新細明體"/>
      <family val="1"/>
      <charset val="136"/>
      <scheme val="minor"/>
    </font>
    <font>
      <sz val="12"/>
      <color theme="4" tint="-0.249977111117893"/>
      <name val="新細明體"/>
      <family val="1"/>
      <charset val="136"/>
      <scheme val="minor"/>
    </font>
    <font>
      <sz val="12"/>
      <color theme="1"/>
      <name val="新細明體"/>
      <family val="2"/>
      <charset val="161"/>
      <scheme val="minor"/>
    </font>
    <font>
      <sz val="36"/>
      <color theme="1"/>
      <name val="新細明體"/>
      <family val="2"/>
      <charset val="136"/>
      <scheme val="minor"/>
    </font>
    <font>
      <sz val="8"/>
      <color theme="0"/>
      <name val="新細明體"/>
      <family val="2"/>
      <charset val="136"/>
      <scheme val="minor"/>
    </font>
    <font>
      <sz val="12"/>
      <color theme="1"/>
      <name val="新細明體"/>
      <family val="1"/>
      <charset val="136"/>
      <scheme val="minor"/>
    </font>
    <font>
      <sz val="20"/>
      <color theme="1"/>
      <name val="Calibri"/>
      <family val="2"/>
    </font>
    <font>
      <sz val="9"/>
      <color theme="1"/>
      <name val="新細明體"/>
      <family val="2"/>
      <charset val="136"/>
      <scheme val="minor"/>
    </font>
    <font>
      <b/>
      <sz val="14"/>
      <color theme="1"/>
      <name val="Calibri"/>
      <family val="2"/>
    </font>
    <font>
      <sz val="12"/>
      <color theme="1"/>
      <name val="新細明體"/>
      <family val="1"/>
      <charset val="136"/>
      <scheme val="major"/>
    </font>
    <font>
      <sz val="10"/>
      <color theme="1"/>
      <name val="新細明體"/>
      <family val="2"/>
      <charset val="136"/>
      <scheme val="minor"/>
    </font>
    <font>
      <sz val="12"/>
      <color theme="4" tint="-0.249977111117893"/>
      <name val="新細明體"/>
      <family val="2"/>
      <charset val="136"/>
      <scheme val="minor"/>
    </font>
    <font>
      <sz val="26"/>
      <color theme="1"/>
      <name val="Calibri"/>
      <family val="2"/>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1"/>
      <charset val="136"/>
      <scheme val="minor"/>
    </font>
    <font>
      <sz val="11"/>
      <color theme="1"/>
      <name val="新細明體"/>
      <family val="2"/>
      <charset val="136"/>
      <scheme val="minor"/>
    </font>
    <font>
      <sz val="9"/>
      <color rgb="FF000000"/>
      <name val="新細明體"/>
      <family val="1"/>
      <charset val="136"/>
    </font>
    <font>
      <sz val="11"/>
      <color theme="1"/>
      <name val="新細明體"/>
      <family val="1"/>
      <charset val="136"/>
      <scheme val="minor"/>
    </font>
  </fonts>
  <fills count="55">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rgb="FFFFFAEB"/>
        <bgColor indexed="64"/>
      </patternFill>
    </fill>
    <fill>
      <patternFill patternType="solid">
        <fgColor theme="2" tint="-9.9978637043366805E-2"/>
        <bgColor indexed="64"/>
      </patternFill>
    </fill>
    <fill>
      <patternFill patternType="solid">
        <fgColor rgb="FF774C39"/>
        <bgColor indexed="64"/>
      </patternFill>
    </fill>
    <fill>
      <patternFill patternType="solid">
        <fgColor rgb="FFE2A090"/>
        <bgColor indexed="64"/>
      </patternFill>
    </fill>
    <fill>
      <patternFill patternType="solid">
        <fgColor rgb="FF6882B5"/>
        <bgColor indexed="64"/>
      </patternFill>
    </fill>
    <fill>
      <patternFill patternType="solid">
        <fgColor rgb="FF59693C"/>
        <bgColor indexed="64"/>
      </patternFill>
    </fill>
    <fill>
      <patternFill patternType="solid">
        <fgColor rgb="FF9D85BF"/>
        <bgColor indexed="64"/>
      </patternFill>
    </fill>
    <fill>
      <patternFill patternType="solid">
        <fgColor rgb="FF7BCEC9"/>
        <bgColor indexed="64"/>
      </patternFill>
    </fill>
    <fill>
      <patternFill patternType="solid">
        <fgColor rgb="FFED892D"/>
        <bgColor indexed="64"/>
      </patternFill>
    </fill>
    <fill>
      <patternFill patternType="solid">
        <fgColor rgb="FF3B4EB5"/>
        <bgColor indexed="64"/>
      </patternFill>
    </fill>
    <fill>
      <patternFill patternType="solid">
        <fgColor rgb="FFE8595D"/>
        <bgColor indexed="64"/>
      </patternFill>
    </fill>
    <fill>
      <patternFill patternType="solid">
        <fgColor rgb="FF5A2A54"/>
        <bgColor indexed="64"/>
      </patternFill>
    </fill>
    <fill>
      <patternFill patternType="solid">
        <fgColor rgb="FFB2CD48"/>
        <bgColor indexed="64"/>
      </patternFill>
    </fill>
    <fill>
      <patternFill patternType="solid">
        <fgColor rgb="FFF2AF2C"/>
        <bgColor indexed="64"/>
      </patternFill>
    </fill>
    <fill>
      <patternFill patternType="solid">
        <fgColor rgb="FF031287"/>
        <bgColor indexed="64"/>
      </patternFill>
    </fill>
    <fill>
      <patternFill patternType="solid">
        <fgColor rgb="FF438F47"/>
        <bgColor indexed="64"/>
      </patternFill>
    </fill>
    <fill>
      <patternFill patternType="solid">
        <fgColor rgb="FFD0353D"/>
        <bgColor indexed="64"/>
      </patternFill>
    </fill>
    <fill>
      <patternFill patternType="solid">
        <fgColor rgb="FFF9D835"/>
        <bgColor indexed="64"/>
      </patternFill>
    </fill>
    <fill>
      <patternFill patternType="solid">
        <fgColor rgb="FFD3528A"/>
        <bgColor indexed="64"/>
      </patternFill>
    </fill>
    <fill>
      <patternFill patternType="solid">
        <fgColor rgb="FF006EAE"/>
        <bgColor indexed="64"/>
      </patternFill>
    </fill>
    <fill>
      <patternFill patternType="solid">
        <fgColor rgb="FFECE7E1"/>
        <bgColor indexed="64"/>
      </patternFill>
    </fill>
    <fill>
      <patternFill patternType="solid">
        <fgColor rgb="FFCECBC5"/>
        <bgColor indexed="64"/>
      </patternFill>
    </fill>
    <fill>
      <patternFill patternType="solid">
        <fgColor rgb="FFA3A09B"/>
        <bgColor indexed="64"/>
      </patternFill>
    </fill>
    <fill>
      <patternFill patternType="solid">
        <fgColor rgb="FF666561"/>
        <bgColor indexed="64"/>
      </patternFill>
    </fill>
    <fill>
      <patternFill patternType="solid">
        <fgColor rgb="FF363636"/>
        <bgColor indexed="64"/>
      </patternFill>
    </fill>
    <fill>
      <patternFill patternType="solid">
        <fgColor rgb="FF0F0F0F"/>
        <bgColor indexed="64"/>
      </patternFill>
    </fill>
    <fill>
      <patternFill patternType="solid">
        <fgColor rgb="FF785B4F"/>
        <bgColor indexed="64"/>
      </patternFill>
    </fill>
    <fill>
      <patternFill patternType="solid">
        <fgColor rgb="FFDDBAAE"/>
        <bgColor indexed="64"/>
      </patternFill>
    </fill>
    <fill>
      <patternFill patternType="solid">
        <fgColor rgb="FF7A889E"/>
        <bgColor indexed="64"/>
      </patternFill>
    </fill>
    <fill>
      <patternFill patternType="solid">
        <fgColor rgb="FF646D59"/>
        <bgColor indexed="64"/>
      </patternFill>
    </fill>
    <fill>
      <patternFill patternType="solid">
        <fgColor rgb="FFA496AD"/>
        <bgColor indexed="64"/>
      </patternFill>
    </fill>
    <fill>
      <patternFill patternType="solid">
        <fgColor rgb="FF9BC2C2"/>
        <bgColor indexed="64"/>
      </patternFill>
    </fill>
    <fill>
      <patternFill patternType="solid">
        <fgColor rgb="FFD7A076"/>
        <bgColor indexed="64"/>
      </patternFill>
    </fill>
    <fill>
      <patternFill patternType="solid">
        <fgColor rgb="FF485683"/>
        <bgColor indexed="64"/>
      </patternFill>
    </fill>
    <fill>
      <patternFill patternType="solid">
        <fgColor rgb="FFC87D72"/>
        <bgColor indexed="64"/>
      </patternFill>
    </fill>
    <fill>
      <patternFill patternType="solid">
        <fgColor rgb="FF563748"/>
        <bgColor indexed="64"/>
      </patternFill>
    </fill>
    <fill>
      <patternFill patternType="solid">
        <fgColor rgb="FFACBA91"/>
        <bgColor indexed="64"/>
      </patternFill>
    </fill>
    <fill>
      <patternFill patternType="solid">
        <fgColor rgb="FFD8B386"/>
        <bgColor indexed="64"/>
      </patternFill>
    </fill>
    <fill>
      <patternFill patternType="solid">
        <fgColor rgb="FF122557"/>
        <bgColor indexed="64"/>
      </patternFill>
    </fill>
    <fill>
      <patternFill patternType="solid">
        <fgColor rgb="FF527E63"/>
        <bgColor indexed="64"/>
      </patternFill>
    </fill>
    <fill>
      <patternFill patternType="solid">
        <fgColor rgb="FFB15850"/>
        <bgColor indexed="64"/>
      </patternFill>
    </fill>
    <fill>
      <patternFill patternType="solid">
        <fgColor rgb="FFDFCB9A"/>
        <bgColor indexed="64"/>
      </patternFill>
    </fill>
    <fill>
      <patternFill patternType="solid">
        <fgColor rgb="FFB77080"/>
        <bgColor indexed="64"/>
      </patternFill>
    </fill>
    <fill>
      <patternFill patternType="solid">
        <fgColor rgb="FF366988"/>
        <bgColor indexed="64"/>
      </patternFill>
    </fill>
    <fill>
      <patternFill patternType="solid">
        <fgColor rgb="FFE9E5E2"/>
        <bgColor indexed="64"/>
      </patternFill>
    </fill>
    <fill>
      <patternFill patternType="solid">
        <fgColor rgb="FFC4C0BE"/>
        <bgColor indexed="64"/>
      </patternFill>
    </fill>
    <fill>
      <patternFill patternType="solid">
        <fgColor rgb="FF959492"/>
        <bgColor indexed="64"/>
      </patternFill>
    </fill>
    <fill>
      <patternFill patternType="solid">
        <fgColor rgb="FF605F5C"/>
        <bgColor indexed="64"/>
      </patternFill>
    </fill>
    <fill>
      <patternFill patternType="solid">
        <fgColor rgb="FF2F2F2F"/>
        <bgColor indexed="64"/>
      </patternFill>
    </fill>
    <fill>
      <patternFill patternType="solid">
        <fgColor rgb="FF0C0C0D"/>
        <bgColor indexed="64"/>
      </patternFill>
    </fill>
    <fill>
      <patternFill patternType="solid">
        <fgColor rgb="FFD8B385"/>
        <bgColor indexed="64"/>
      </patternFill>
    </fill>
  </fills>
  <borders count="16">
    <border>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75">
    <xf numFmtId="0" fontId="0" fillId="0" borderId="0" xfId="0">
      <alignment vertical="center"/>
    </xf>
    <xf numFmtId="0" fontId="3" fillId="0" borderId="4" xfId="0" applyFont="1" applyBorder="1" applyAlignment="1">
      <alignment horizontal="left" vertical="center"/>
    </xf>
    <xf numFmtId="0" fontId="0" fillId="0" borderId="10"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4" fillId="0" borderId="0" xfId="0" applyFont="1" applyAlignment="1">
      <alignment horizontal="center" vertical="center"/>
    </xf>
    <xf numFmtId="0" fontId="0" fillId="0" borderId="0" xfId="0" applyAlignment="1">
      <alignment vertical="center" wrapText="1"/>
    </xf>
    <xf numFmtId="10" fontId="0" fillId="2" borderId="1" xfId="0" applyNumberFormat="1" applyFill="1" applyBorder="1" applyAlignment="1">
      <alignment horizontal="center" vertical="center"/>
    </xf>
    <xf numFmtId="0" fontId="3" fillId="0" borderId="5" xfId="0" applyFont="1" applyBorder="1" applyAlignment="1">
      <alignment horizontal="left" vertical="center"/>
    </xf>
    <xf numFmtId="0" fontId="7" fillId="0" borderId="0" xfId="0" applyFont="1" applyAlignment="1">
      <alignment horizontal="center" vertical="center"/>
    </xf>
    <xf numFmtId="0" fontId="5" fillId="0" borderId="0" xfId="0" applyFont="1">
      <alignment vertical="center"/>
    </xf>
    <xf numFmtId="0" fontId="0" fillId="2" borderId="2" xfId="0" applyFill="1" applyBorder="1">
      <alignment vertical="center"/>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wrapText="1"/>
    </xf>
    <xf numFmtId="0" fontId="0" fillId="2" borderId="1" xfId="0" applyFill="1" applyBorder="1" applyAlignment="1">
      <alignment horizontal="center" vertical="center" wrapText="1"/>
    </xf>
    <xf numFmtId="0" fontId="0" fillId="2" borderId="10" xfId="0" applyFill="1" applyBorder="1">
      <alignment vertical="center"/>
    </xf>
    <xf numFmtId="0" fontId="0" fillId="2" borderId="3"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10" fontId="0" fillId="4" borderId="1" xfId="0" applyNumberFormat="1" applyFill="1" applyBorder="1" applyAlignment="1">
      <alignment horizontal="center" vertical="center"/>
    </xf>
    <xf numFmtId="10" fontId="0" fillId="0" borderId="0" xfId="0" applyNumberFormat="1" applyAlignment="1">
      <alignment horizontal="center" vertical="center"/>
    </xf>
    <xf numFmtId="0" fontId="2" fillId="0" borderId="0" xfId="0" applyFont="1" applyAlignment="1">
      <alignment horizontal="center" vertical="center"/>
    </xf>
    <xf numFmtId="0" fontId="0" fillId="0" borderId="5" xfId="0" applyBorder="1">
      <alignment vertical="center"/>
    </xf>
    <xf numFmtId="0" fontId="11" fillId="0" borderId="0" xfId="0" applyFont="1" applyAlignment="1">
      <alignment horizontal="center" vertical="center"/>
    </xf>
    <xf numFmtId="0" fontId="12" fillId="2" borderId="8" xfId="0" applyFont="1" applyFill="1" applyBorder="1" applyAlignment="1">
      <alignment horizontal="center" vertical="center"/>
    </xf>
    <xf numFmtId="0" fontId="0" fillId="0" borderId="0" xfId="0" applyAlignment="1">
      <alignment horizontal="left"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8" fillId="0" borderId="0" xfId="0" applyFont="1" applyAlignment="1">
      <alignment horizontal="center" vertical="center"/>
    </xf>
    <xf numFmtId="0" fontId="0" fillId="0" borderId="8" xfId="0" applyBorder="1" applyAlignment="1">
      <alignment horizontal="center"/>
    </xf>
    <xf numFmtId="0" fontId="0" fillId="0" borderId="0" xfId="0" applyAlignment="1">
      <alignment horizontal="center" vertical="center"/>
    </xf>
    <xf numFmtId="0" fontId="0" fillId="0" borderId="0" xfId="0" applyAlignment="1"/>
    <xf numFmtId="0" fontId="0" fillId="2" borderId="8" xfId="0" applyFill="1" applyBorder="1" applyAlignment="1">
      <alignment horizontal="center" vertical="center" wrapText="1"/>
    </xf>
    <xf numFmtId="0" fontId="0" fillId="3" borderId="8" xfId="0" applyFill="1" applyBorder="1" applyAlignment="1">
      <alignment horizontal="center" vertical="center"/>
    </xf>
    <xf numFmtId="176" fontId="0" fillId="0" borderId="0" xfId="0" applyNumberFormat="1" applyAlignment="1">
      <alignment horizontal="center" vertical="center"/>
    </xf>
    <xf numFmtId="177" fontId="0" fillId="0" borderId="5" xfId="0" applyNumberFormat="1" applyBorder="1" applyAlignment="1">
      <alignment horizontal="center" vertical="center"/>
    </xf>
    <xf numFmtId="176" fontId="0" fillId="2" borderId="1" xfId="0" applyNumberFormat="1" applyFill="1" applyBorder="1" applyAlignment="1">
      <alignment horizontal="center" vertical="center"/>
    </xf>
    <xf numFmtId="176" fontId="0" fillId="4" borderId="8" xfId="0" applyNumberFormat="1" applyFill="1" applyBorder="1" applyAlignment="1">
      <alignment horizontal="center" vertical="center"/>
    </xf>
    <xf numFmtId="176" fontId="0" fillId="4" borderId="1" xfId="0" applyNumberFormat="1" applyFill="1" applyBorder="1" applyAlignment="1">
      <alignment horizontal="center" vertical="center"/>
    </xf>
    <xf numFmtId="177" fontId="0" fillId="0" borderId="7" xfId="0" applyNumberFormat="1" applyBorder="1" applyAlignment="1">
      <alignment horizontal="center" vertical="center"/>
    </xf>
    <xf numFmtId="176" fontId="0" fillId="2" borderId="8" xfId="0" applyNumberFormat="1" applyFill="1" applyBorder="1" applyAlignment="1">
      <alignment horizontal="center"/>
    </xf>
    <xf numFmtId="176" fontId="0" fillId="4" borderId="8" xfId="0" applyNumberFormat="1" applyFill="1" applyBorder="1" applyAlignment="1">
      <alignment horizontal="center"/>
    </xf>
    <xf numFmtId="176" fontId="0" fillId="0" borderId="8" xfId="0" applyNumberFormat="1" applyBorder="1" applyAlignment="1">
      <alignment horizontal="center"/>
    </xf>
    <xf numFmtId="178" fontId="0" fillId="0" borderId="0" xfId="0" applyNumberFormat="1" applyAlignment="1">
      <alignment horizontal="center" vertical="center"/>
    </xf>
    <xf numFmtId="176" fontId="7" fillId="0" borderId="0" xfId="0" applyNumberFormat="1" applyFont="1" applyAlignment="1">
      <alignment horizontal="center" vertical="center"/>
    </xf>
    <xf numFmtId="176" fontId="0" fillId="0" borderId="0" xfId="0" applyNumberFormat="1" applyAlignment="1">
      <alignment horizontal="center" vertical="center" wrapText="1"/>
    </xf>
    <xf numFmtId="176" fontId="0" fillId="0" borderId="0" xfId="0" applyNumberFormat="1" applyAlignment="1">
      <alignment horizontal="center"/>
    </xf>
    <xf numFmtId="179" fontId="0" fillId="0" borderId="0" xfId="0" applyNumberFormat="1" applyAlignment="1">
      <alignment horizontal="center" vertical="center"/>
    </xf>
    <xf numFmtId="180" fontId="0" fillId="0" borderId="0" xfId="0" applyNumberFormat="1" applyAlignment="1">
      <alignment horizontal="center" vertical="center"/>
    </xf>
    <xf numFmtId="179" fontId="0" fillId="0" borderId="0" xfId="0" applyNumberFormat="1" applyAlignment="1">
      <alignment vertical="center" wrapText="1"/>
    </xf>
    <xf numFmtId="176" fontId="0" fillId="0" borderId="0" xfId="0" applyNumberFormat="1">
      <alignment vertical="center"/>
    </xf>
    <xf numFmtId="178" fontId="0" fillId="0" borderId="0" xfId="0" applyNumberFormat="1" applyAlignment="1">
      <alignment vertical="center" wrapText="1"/>
    </xf>
    <xf numFmtId="181" fontId="0" fillId="0" borderId="0" xfId="0" applyNumberFormat="1" applyAlignment="1">
      <alignment horizontal="center" vertical="center"/>
    </xf>
    <xf numFmtId="182" fontId="0" fillId="0" borderId="0" xfId="0" applyNumberFormat="1" applyAlignment="1">
      <alignment horizontal="center" vertical="center"/>
    </xf>
    <xf numFmtId="183" fontId="0" fillId="0" borderId="0" xfId="0" applyNumberFormat="1" applyAlignment="1">
      <alignment horizontal="center" vertical="center"/>
    </xf>
    <xf numFmtId="0" fontId="0" fillId="0" borderId="0" xfId="0" applyAlignment="1">
      <alignment horizontal="center"/>
    </xf>
    <xf numFmtId="0" fontId="0" fillId="2" borderId="8" xfId="0" applyFill="1" applyBorder="1" applyAlignment="1">
      <alignment horizontal="center"/>
    </xf>
    <xf numFmtId="0" fontId="0" fillId="5" borderId="13" xfId="0" applyFill="1" applyBorder="1" applyAlignment="1">
      <alignment horizontal="center"/>
    </xf>
    <xf numFmtId="0" fontId="0" fillId="2" borderId="8" xfId="0" applyFill="1" applyBorder="1">
      <alignment vertical="center"/>
    </xf>
    <xf numFmtId="0" fontId="0" fillId="0" borderId="8" xfId="0" applyBorder="1" applyAlignment="1">
      <alignment horizontal="center" vertical="center"/>
    </xf>
    <xf numFmtId="0" fontId="0" fillId="0" borderId="8" xfId="0" applyBorder="1" applyAlignment="1">
      <alignment horizontal="left" vertical="center"/>
    </xf>
    <xf numFmtId="0" fontId="0" fillId="0" borderId="15" xfId="0" applyBorder="1" applyAlignment="1">
      <alignment horizontal="left" vertical="center"/>
    </xf>
    <xf numFmtId="0" fontId="0" fillId="0" borderId="1" xfId="0" applyBorder="1" applyAlignment="1">
      <alignment horizontal="left" vertical="center"/>
    </xf>
    <xf numFmtId="9" fontId="6" fillId="0" borderId="0" xfId="0" applyNumberFormat="1" applyFont="1" applyAlignment="1">
      <alignment horizontal="center" vertical="center"/>
    </xf>
    <xf numFmtId="178" fontId="0" fillId="0" borderId="0" xfId="0" applyNumberFormat="1"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0" fillId="13" borderId="0" xfId="0" applyFill="1" applyAlignment="1">
      <alignment horizontal="center" vertical="center" wrapText="1"/>
    </xf>
    <xf numFmtId="0" fontId="0" fillId="14" borderId="0" xfId="0" applyFill="1" applyAlignment="1">
      <alignment horizontal="center" vertical="center" wrapText="1"/>
    </xf>
    <xf numFmtId="0" fontId="0" fillId="15" borderId="0" xfId="0" applyFill="1" applyAlignment="1">
      <alignment horizontal="center" vertical="center" wrapText="1"/>
    </xf>
    <xf numFmtId="0" fontId="0" fillId="16" borderId="0" xfId="0" applyFill="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24" borderId="0" xfId="0" applyFill="1" applyAlignment="1">
      <alignment horizontal="center" vertical="center" wrapText="1"/>
    </xf>
    <xf numFmtId="0" fontId="0" fillId="25" borderId="0" xfId="0" applyFill="1" applyAlignment="1">
      <alignment horizontal="center" vertical="center" wrapText="1"/>
    </xf>
    <xf numFmtId="0" fontId="0" fillId="26" borderId="0" xfId="0" applyFill="1" applyAlignment="1">
      <alignment horizontal="center" vertical="center" wrapText="1"/>
    </xf>
    <xf numFmtId="0" fontId="0" fillId="27" borderId="0" xfId="0" applyFill="1" applyAlignment="1">
      <alignment horizontal="center" vertical="center" wrapText="1"/>
    </xf>
    <xf numFmtId="0" fontId="0" fillId="28" borderId="0" xfId="0" applyFill="1" applyAlignment="1">
      <alignment horizontal="center" vertical="center" wrapText="1"/>
    </xf>
    <xf numFmtId="0" fontId="0" fillId="29" borderId="0" xfId="0" applyFill="1" applyAlignment="1">
      <alignment horizontal="center" vertical="center" wrapText="1"/>
    </xf>
    <xf numFmtId="176" fontId="0" fillId="6" borderId="0" xfId="0" applyNumberFormat="1" applyFill="1" applyAlignment="1">
      <alignment horizontal="center" vertical="center"/>
    </xf>
    <xf numFmtId="176" fontId="0" fillId="7" borderId="0" xfId="0" applyNumberFormat="1" applyFill="1" applyAlignment="1">
      <alignment horizontal="center" vertical="center"/>
    </xf>
    <xf numFmtId="176" fontId="0" fillId="8" borderId="0" xfId="0" applyNumberFormat="1" applyFill="1" applyAlignment="1">
      <alignment horizontal="center" vertical="center"/>
    </xf>
    <xf numFmtId="176" fontId="0" fillId="9" borderId="0" xfId="0" applyNumberFormat="1" applyFill="1" applyAlignment="1">
      <alignment horizontal="center" vertical="center"/>
    </xf>
    <xf numFmtId="176" fontId="0" fillId="10" borderId="0" xfId="0" applyNumberFormat="1" applyFill="1" applyAlignment="1">
      <alignment horizontal="center" vertical="center"/>
    </xf>
    <xf numFmtId="176" fontId="0" fillId="11" borderId="0" xfId="0" applyNumberFormat="1" applyFill="1" applyAlignment="1">
      <alignment horizontal="center" vertical="center"/>
    </xf>
    <xf numFmtId="176" fontId="0" fillId="12" borderId="0" xfId="0" applyNumberFormat="1" applyFill="1" applyAlignment="1">
      <alignment horizontal="center" vertical="center"/>
    </xf>
    <xf numFmtId="176" fontId="0" fillId="13" borderId="0" xfId="0" applyNumberFormat="1" applyFill="1" applyAlignment="1">
      <alignment horizontal="center" vertical="center"/>
    </xf>
    <xf numFmtId="176" fontId="0" fillId="14" borderId="0" xfId="0" applyNumberFormat="1" applyFill="1" applyAlignment="1">
      <alignment horizontal="center" vertical="center"/>
    </xf>
    <xf numFmtId="176" fontId="0" fillId="15" borderId="0" xfId="0" applyNumberFormat="1" applyFill="1" applyAlignment="1">
      <alignment horizontal="center" vertical="center"/>
    </xf>
    <xf numFmtId="176" fontId="0" fillId="16" borderId="0" xfId="0" applyNumberFormat="1" applyFill="1" applyAlignment="1">
      <alignment horizontal="center" vertical="center"/>
    </xf>
    <xf numFmtId="176" fontId="0" fillId="17" borderId="0" xfId="0" applyNumberFormat="1" applyFill="1" applyAlignment="1">
      <alignment horizontal="center" vertical="center"/>
    </xf>
    <xf numFmtId="176" fontId="0" fillId="18" borderId="0" xfId="0" applyNumberFormat="1" applyFill="1" applyAlignment="1">
      <alignment horizontal="center" vertical="center"/>
    </xf>
    <xf numFmtId="176" fontId="0" fillId="19" borderId="0" xfId="0" applyNumberFormat="1" applyFill="1" applyAlignment="1">
      <alignment horizontal="center" vertical="center"/>
    </xf>
    <xf numFmtId="176" fontId="0" fillId="20" borderId="0" xfId="0" applyNumberFormat="1" applyFill="1" applyAlignment="1">
      <alignment horizontal="center" vertical="center"/>
    </xf>
    <xf numFmtId="176" fontId="0" fillId="21" borderId="0" xfId="0" applyNumberFormat="1" applyFill="1" applyAlignment="1">
      <alignment horizontal="center" vertical="center"/>
    </xf>
    <xf numFmtId="176" fontId="0" fillId="22" borderId="0" xfId="0" applyNumberFormat="1" applyFill="1" applyAlignment="1">
      <alignment horizontal="center" vertical="center"/>
    </xf>
    <xf numFmtId="176" fontId="0" fillId="23" borderId="0" xfId="0" applyNumberFormat="1" applyFill="1" applyAlignment="1">
      <alignment horizontal="center" vertical="center"/>
    </xf>
    <xf numFmtId="176" fontId="0" fillId="24" borderId="0" xfId="0" applyNumberFormat="1" applyFill="1" applyAlignment="1">
      <alignment horizontal="center" vertical="center"/>
    </xf>
    <xf numFmtId="176" fontId="0" fillId="25" borderId="0" xfId="0" applyNumberFormat="1" applyFill="1" applyAlignment="1">
      <alignment horizontal="center" vertical="center"/>
    </xf>
    <xf numFmtId="176" fontId="0" fillId="26" borderId="0" xfId="0" applyNumberFormat="1" applyFill="1" applyAlignment="1">
      <alignment horizontal="center" vertical="center"/>
    </xf>
    <xf numFmtId="176" fontId="0" fillId="27" borderId="0" xfId="0" applyNumberFormat="1" applyFill="1" applyAlignment="1">
      <alignment horizontal="center" vertical="center"/>
    </xf>
    <xf numFmtId="176" fontId="0" fillId="28" borderId="0" xfId="0" applyNumberFormat="1" applyFill="1" applyAlignment="1">
      <alignment horizontal="center" vertical="center"/>
    </xf>
    <xf numFmtId="176" fontId="0" fillId="29" borderId="0" xfId="0" applyNumberFormat="1" applyFill="1" applyAlignment="1">
      <alignment horizontal="center" vertical="center"/>
    </xf>
    <xf numFmtId="0" fontId="0" fillId="30" borderId="0" xfId="0" applyFill="1" applyAlignment="1">
      <alignment horizontal="center" vertical="center" wrapText="1"/>
    </xf>
    <xf numFmtId="0" fontId="0" fillId="31" borderId="0" xfId="0" applyFill="1" applyAlignment="1">
      <alignment horizontal="center" vertical="center" wrapText="1"/>
    </xf>
    <xf numFmtId="0" fontId="0" fillId="32" borderId="0" xfId="0" applyFill="1" applyAlignment="1">
      <alignment horizontal="center" vertical="center" wrapText="1"/>
    </xf>
    <xf numFmtId="0" fontId="0" fillId="33"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0" fontId="0" fillId="36" borderId="0" xfId="0" applyFill="1" applyAlignment="1">
      <alignment horizontal="center" vertical="center" wrapText="1"/>
    </xf>
    <xf numFmtId="0" fontId="0" fillId="37" borderId="0" xfId="0" applyFill="1" applyAlignment="1">
      <alignment horizontal="center" vertical="center" wrapText="1"/>
    </xf>
    <xf numFmtId="0" fontId="0" fillId="38" borderId="0" xfId="0" applyFill="1" applyAlignment="1">
      <alignment horizontal="center" vertical="center" wrapText="1"/>
    </xf>
    <xf numFmtId="0" fontId="0" fillId="39" borderId="0" xfId="0" applyFill="1" applyAlignment="1">
      <alignment horizontal="center" vertical="center" wrapText="1"/>
    </xf>
    <xf numFmtId="0" fontId="0" fillId="40" borderId="0" xfId="0" applyFill="1" applyAlignment="1">
      <alignment horizontal="center" vertical="center" wrapText="1"/>
    </xf>
    <xf numFmtId="0" fontId="0" fillId="41" borderId="0" xfId="0" applyFill="1" applyAlignment="1">
      <alignment horizontal="center" vertical="center" wrapText="1"/>
    </xf>
    <xf numFmtId="0" fontId="0" fillId="42" borderId="0" xfId="0" applyFill="1" applyAlignment="1">
      <alignment horizontal="center" vertical="center" wrapText="1"/>
    </xf>
    <xf numFmtId="0" fontId="0" fillId="43" borderId="0" xfId="0" applyFill="1" applyAlignment="1">
      <alignment horizontal="center" vertical="center" wrapText="1"/>
    </xf>
    <xf numFmtId="0" fontId="0" fillId="44" borderId="0" xfId="0" applyFill="1" applyAlignment="1">
      <alignment horizontal="center" vertical="center" wrapText="1"/>
    </xf>
    <xf numFmtId="0" fontId="0" fillId="45" borderId="0" xfId="0" applyFill="1" applyAlignment="1">
      <alignment horizontal="center" vertical="center" wrapText="1"/>
    </xf>
    <xf numFmtId="0" fontId="0" fillId="46" borderId="0" xfId="0" applyFill="1" applyAlignment="1">
      <alignment horizontal="center" vertical="center" wrapText="1"/>
    </xf>
    <xf numFmtId="0" fontId="0" fillId="47" borderId="0" xfId="0" applyFill="1" applyAlignment="1">
      <alignment horizontal="center" vertical="center" wrapText="1"/>
    </xf>
    <xf numFmtId="0" fontId="0" fillId="48" borderId="0" xfId="0" applyFill="1" applyAlignment="1">
      <alignment horizontal="center" vertical="center" wrapText="1"/>
    </xf>
    <xf numFmtId="0" fontId="0" fillId="49" borderId="0" xfId="0" applyFill="1" applyAlignment="1">
      <alignment horizontal="center" vertical="center" wrapText="1"/>
    </xf>
    <xf numFmtId="0" fontId="0" fillId="50" borderId="0" xfId="0" applyFill="1" applyAlignment="1">
      <alignment horizontal="center" vertical="center" wrapText="1"/>
    </xf>
    <xf numFmtId="0" fontId="0" fillId="51" borderId="0" xfId="0" applyFill="1" applyAlignment="1">
      <alignment horizontal="center" vertical="center" wrapText="1"/>
    </xf>
    <xf numFmtId="0" fontId="0" fillId="52" borderId="0" xfId="0" applyFill="1" applyAlignment="1">
      <alignment horizontal="center" vertical="center" wrapText="1"/>
    </xf>
    <xf numFmtId="0" fontId="0" fillId="53" borderId="0" xfId="0" applyFill="1" applyAlignment="1">
      <alignment horizontal="center" vertical="center" wrapText="1"/>
    </xf>
    <xf numFmtId="176" fontId="0" fillId="30" borderId="0" xfId="0" applyNumberFormat="1" applyFill="1" applyAlignment="1">
      <alignment horizontal="center" vertical="center"/>
    </xf>
    <xf numFmtId="176" fontId="0" fillId="31" borderId="0" xfId="0" applyNumberFormat="1" applyFill="1" applyAlignment="1">
      <alignment horizontal="center" vertical="center"/>
    </xf>
    <xf numFmtId="176" fontId="0" fillId="32" borderId="0" xfId="0" applyNumberFormat="1" applyFill="1" applyAlignment="1">
      <alignment horizontal="center" vertical="center"/>
    </xf>
    <xf numFmtId="176" fontId="0" fillId="33" borderId="0" xfId="0" applyNumberFormat="1" applyFill="1" applyAlignment="1">
      <alignment horizontal="center" vertical="center"/>
    </xf>
    <xf numFmtId="176" fontId="0" fillId="34" borderId="0" xfId="0" applyNumberFormat="1" applyFill="1" applyAlignment="1">
      <alignment horizontal="center" vertical="center"/>
    </xf>
    <xf numFmtId="176" fontId="0" fillId="35" borderId="0" xfId="0" applyNumberFormat="1" applyFill="1" applyAlignment="1">
      <alignment horizontal="center" vertical="center"/>
    </xf>
    <xf numFmtId="176" fontId="0" fillId="36" borderId="0" xfId="0" applyNumberFormat="1" applyFill="1" applyAlignment="1">
      <alignment horizontal="center" vertical="center"/>
    </xf>
    <xf numFmtId="176" fontId="0" fillId="37" borderId="0" xfId="0" applyNumberFormat="1" applyFill="1" applyAlignment="1">
      <alignment horizontal="center" vertical="center"/>
    </xf>
    <xf numFmtId="176" fontId="0" fillId="38" borderId="0" xfId="0" applyNumberFormat="1" applyFill="1" applyAlignment="1">
      <alignment horizontal="center" vertical="center"/>
    </xf>
    <xf numFmtId="176" fontId="0" fillId="39" borderId="0" xfId="0" applyNumberFormat="1" applyFill="1" applyAlignment="1">
      <alignment horizontal="center" vertical="center"/>
    </xf>
    <xf numFmtId="176" fontId="0" fillId="40" borderId="0" xfId="0" applyNumberFormat="1" applyFill="1" applyAlignment="1">
      <alignment horizontal="center" vertical="center"/>
    </xf>
    <xf numFmtId="176" fontId="0" fillId="41" borderId="0" xfId="0" applyNumberFormat="1" applyFill="1" applyAlignment="1">
      <alignment horizontal="center" vertical="center"/>
    </xf>
    <xf numFmtId="176" fontId="0" fillId="42" borderId="0" xfId="0" applyNumberFormat="1" applyFill="1" applyAlignment="1">
      <alignment horizontal="center" vertical="center"/>
    </xf>
    <xf numFmtId="176" fontId="0" fillId="43" borderId="0" xfId="0" applyNumberFormat="1" applyFill="1" applyAlignment="1">
      <alignment horizontal="center" vertical="center"/>
    </xf>
    <xf numFmtId="176" fontId="0" fillId="44" borderId="0" xfId="0" applyNumberFormat="1" applyFill="1" applyAlignment="1">
      <alignment horizontal="center" vertical="center"/>
    </xf>
    <xf numFmtId="176" fontId="0" fillId="45" borderId="0" xfId="0" applyNumberFormat="1" applyFill="1" applyAlignment="1">
      <alignment horizontal="center" vertical="center"/>
    </xf>
    <xf numFmtId="176" fontId="0" fillId="46" borderId="0" xfId="0" applyNumberFormat="1" applyFill="1" applyAlignment="1">
      <alignment horizontal="center" vertical="center"/>
    </xf>
    <xf numFmtId="176" fontId="0" fillId="47" borderId="0" xfId="0" applyNumberFormat="1" applyFill="1" applyAlignment="1">
      <alignment horizontal="center" vertical="center"/>
    </xf>
    <xf numFmtId="176" fontId="0" fillId="48" borderId="0" xfId="0" applyNumberFormat="1" applyFill="1" applyAlignment="1">
      <alignment horizontal="center" vertical="center"/>
    </xf>
    <xf numFmtId="176" fontId="0" fillId="49" borderId="0" xfId="0" applyNumberFormat="1" applyFill="1" applyAlignment="1">
      <alignment horizontal="center" vertical="center"/>
    </xf>
    <xf numFmtId="176" fontId="0" fillId="50" borderId="0" xfId="0" applyNumberFormat="1" applyFill="1" applyAlignment="1">
      <alignment horizontal="center" vertical="center"/>
    </xf>
    <xf numFmtId="176" fontId="0" fillId="51" borderId="0" xfId="0" applyNumberFormat="1" applyFill="1" applyAlignment="1">
      <alignment horizontal="center" vertical="center"/>
    </xf>
    <xf numFmtId="176" fontId="0" fillId="52" borderId="0" xfId="0" applyNumberFormat="1" applyFill="1" applyAlignment="1">
      <alignment horizontal="center" vertical="center"/>
    </xf>
    <xf numFmtId="176" fontId="0" fillId="53" borderId="0" xfId="0" applyNumberFormat="1" applyFill="1" applyAlignment="1">
      <alignment horizontal="center" vertical="center"/>
    </xf>
    <xf numFmtId="0" fontId="0" fillId="30" borderId="0" xfId="0" applyFill="1" applyAlignment="1">
      <alignment horizontal="center" vertical="center"/>
    </xf>
    <xf numFmtId="0" fontId="0" fillId="31" borderId="0" xfId="0" applyFill="1" applyAlignment="1">
      <alignment horizontal="center" vertical="center"/>
    </xf>
    <xf numFmtId="0" fontId="0" fillId="32" borderId="0" xfId="0" applyFill="1" applyAlignment="1">
      <alignment horizontal="center"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35" borderId="0" xfId="0" applyFill="1" applyAlignment="1">
      <alignment horizontal="center" vertical="center"/>
    </xf>
    <xf numFmtId="0" fontId="0" fillId="36" borderId="0" xfId="0" applyFill="1" applyAlignment="1">
      <alignment horizontal="center" vertical="center"/>
    </xf>
    <xf numFmtId="0" fontId="0" fillId="37" borderId="0" xfId="0" applyFill="1" applyAlignment="1">
      <alignment horizontal="center" vertical="center"/>
    </xf>
    <xf numFmtId="0" fontId="0" fillId="38" borderId="0" xfId="0" applyFill="1" applyAlignment="1">
      <alignment horizontal="center" vertical="center"/>
    </xf>
    <xf numFmtId="0" fontId="0" fillId="39" borderId="0" xfId="0" applyFill="1" applyAlignment="1">
      <alignment horizontal="center" vertical="center"/>
    </xf>
    <xf numFmtId="0" fontId="0" fillId="40" borderId="0" xfId="0" applyFill="1" applyAlignment="1">
      <alignment horizontal="center" vertical="center"/>
    </xf>
    <xf numFmtId="0" fontId="0" fillId="54" borderId="0" xfId="0" applyFill="1" applyAlignment="1">
      <alignment horizontal="center" vertical="center"/>
    </xf>
    <xf numFmtId="0" fontId="0" fillId="42" borderId="0" xfId="0" applyFill="1" applyAlignment="1">
      <alignment horizontal="center" vertical="center"/>
    </xf>
    <xf numFmtId="0" fontId="0" fillId="43" borderId="0" xfId="0" applyFill="1" applyAlignment="1">
      <alignment horizontal="center" vertical="center"/>
    </xf>
    <xf numFmtId="0" fontId="0" fillId="44" borderId="0" xfId="0" applyFill="1" applyAlignment="1">
      <alignment horizontal="center" vertical="center"/>
    </xf>
    <xf numFmtId="0" fontId="0" fillId="45" borderId="0" xfId="0" applyFill="1" applyAlignment="1">
      <alignment horizontal="center" vertical="center"/>
    </xf>
    <xf numFmtId="0" fontId="0" fillId="46" borderId="0" xfId="0" applyFill="1" applyAlignment="1">
      <alignment horizontal="center" vertical="center"/>
    </xf>
    <xf numFmtId="0" fontId="0" fillId="47" borderId="0" xfId="0" applyFill="1" applyAlignment="1">
      <alignment horizontal="center" vertical="center"/>
    </xf>
    <xf numFmtId="0" fontId="0" fillId="48" borderId="0" xfId="0" applyFill="1" applyAlignment="1">
      <alignment horizontal="center" vertical="center"/>
    </xf>
    <xf numFmtId="0" fontId="0" fillId="49" borderId="0" xfId="0" applyFill="1" applyAlignment="1">
      <alignment horizontal="center" vertical="center"/>
    </xf>
    <xf numFmtId="0" fontId="0" fillId="50" borderId="0" xfId="0" applyFill="1" applyAlignment="1">
      <alignment horizontal="center" vertical="center"/>
    </xf>
    <xf numFmtId="9" fontId="6" fillId="51" borderId="0" xfId="0" applyNumberFormat="1" applyFont="1" applyFill="1" applyAlignment="1">
      <alignment horizontal="center" vertical="center"/>
    </xf>
    <xf numFmtId="0" fontId="0" fillId="52" borderId="0" xfId="0" applyFill="1" applyAlignment="1">
      <alignment horizontal="center" vertical="center"/>
    </xf>
    <xf numFmtId="0" fontId="0" fillId="53"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0" fillId="26" borderId="0" xfId="0" applyFill="1" applyAlignment="1">
      <alignment horizontal="center" vertical="center"/>
    </xf>
    <xf numFmtId="9" fontId="6" fillId="27" borderId="0" xfId="0" applyNumberFormat="1" applyFont="1" applyFill="1" applyAlignment="1">
      <alignment horizontal="center" vertical="center"/>
    </xf>
    <xf numFmtId="0" fontId="0" fillId="28" borderId="0" xfId="0" applyFill="1" applyAlignment="1">
      <alignment horizontal="center" vertical="center"/>
    </xf>
    <xf numFmtId="0" fontId="0" fillId="29" borderId="0" xfId="0" applyFill="1" applyAlignment="1">
      <alignment horizontal="center" vertical="center"/>
    </xf>
    <xf numFmtId="0" fontId="0" fillId="21" borderId="0" xfId="0" applyFill="1">
      <alignment vertical="center"/>
    </xf>
    <xf numFmtId="0" fontId="0" fillId="16" borderId="0" xfId="0" applyFill="1">
      <alignment vertical="center"/>
    </xf>
    <xf numFmtId="0" fontId="0" fillId="18" borderId="0" xfId="0" applyFill="1">
      <alignment vertical="center"/>
    </xf>
    <xf numFmtId="0" fontId="0" fillId="19" borderId="0" xfId="0" applyFill="1">
      <alignment vertical="center"/>
    </xf>
    <xf numFmtId="0" fontId="0" fillId="17" borderId="0" xfId="0" applyFill="1">
      <alignment vertical="center"/>
    </xf>
    <xf numFmtId="0" fontId="0" fillId="12" borderId="0" xfId="0" applyFill="1">
      <alignment vertical="center"/>
    </xf>
    <xf numFmtId="0" fontId="0" fillId="23" borderId="0" xfId="0" applyFill="1">
      <alignment vertical="center"/>
    </xf>
    <xf numFmtId="0" fontId="0" fillId="22" borderId="0" xfId="0" applyFill="1">
      <alignment vertical="center"/>
    </xf>
    <xf numFmtId="0" fontId="0" fillId="13" borderId="0" xfId="0" applyFill="1">
      <alignment vertical="center"/>
    </xf>
    <xf numFmtId="0" fontId="0" fillId="0" borderId="8" xfId="0" applyBorder="1" applyAlignment="1">
      <alignment horizontal="left"/>
    </xf>
    <xf numFmtId="0" fontId="0" fillId="0" borderId="0" xfId="0" applyAlignment="1">
      <alignment horizontal="center"/>
    </xf>
    <xf numFmtId="0" fontId="0" fillId="0" borderId="0" xfId="0" applyAlignment="1">
      <alignment horizontal="center" vertical="center"/>
    </xf>
    <xf numFmtId="0" fontId="0" fillId="5" borderId="8" xfId="0" applyFill="1" applyBorder="1" applyAlignment="1">
      <alignment horizontal="left" vertical="center" wrapText="1"/>
    </xf>
    <xf numFmtId="178" fontId="0" fillId="0" borderId="8" xfId="0" applyNumberFormat="1" applyBorder="1" applyAlignment="1">
      <alignment horizontal="left" vertical="center" wrapText="1"/>
    </xf>
    <xf numFmtId="0" fontId="0" fillId="3" borderId="8" xfId="0" applyFill="1" applyBorder="1" applyAlignment="1">
      <alignment horizontal="center" vertical="center"/>
    </xf>
    <xf numFmtId="0" fontId="0" fillId="0" borderId="13" xfId="0" applyBorder="1" applyAlignment="1"/>
    <xf numFmtId="0" fontId="20" fillId="2" borderId="8" xfId="0" applyFont="1" applyFill="1" applyBorder="1" applyAlignment="1">
      <alignment horizontal="center" vertical="center" wrapText="1"/>
    </xf>
    <xf numFmtId="0" fontId="0" fillId="0" borderId="0" xfId="0" applyAlignment="1"/>
    <xf numFmtId="0" fontId="13" fillId="0" borderId="8" xfId="0" applyFont="1" applyBorder="1" applyAlignment="1">
      <alignment horizontal="left" vertical="center"/>
    </xf>
    <xf numFmtId="0" fontId="0" fillId="0" borderId="3" xfId="0" applyBorder="1" applyAlignment="1"/>
    <xf numFmtId="0" fontId="0" fillId="0" borderId="6" xfId="0" applyBorder="1" applyAlignment="1"/>
    <xf numFmtId="0" fontId="0" fillId="0" borderId="7" xfId="0" applyBorder="1" applyAlignment="1"/>
    <xf numFmtId="0" fontId="0" fillId="2" borderId="14" xfId="0" applyFill="1" applyBorder="1">
      <alignment vertical="center"/>
    </xf>
    <xf numFmtId="0" fontId="0" fillId="0" borderId="5" xfId="0" applyBorder="1" applyAlignment="1"/>
    <xf numFmtId="0" fontId="0" fillId="2" borderId="8" xfId="0" applyFill="1" applyBorder="1" applyAlignment="1">
      <alignment horizontal="left" vertical="center"/>
    </xf>
    <xf numFmtId="0" fontId="0" fillId="0" borderId="10" xfId="0" applyBorder="1" applyAlignment="1"/>
    <xf numFmtId="0" fontId="0" fillId="0" borderId="11" xfId="0" applyBorder="1" applyAlignment="1"/>
    <xf numFmtId="0" fontId="3" fillId="0" borderId="13" xfId="0" applyFont="1" applyBorder="1" applyAlignment="1">
      <alignment horizontal="left" vertical="center"/>
    </xf>
    <xf numFmtId="0" fontId="0" fillId="0" borderId="13" xfId="0" applyBorder="1" applyAlignment="1">
      <alignment horizontal="left" vertical="center"/>
    </xf>
    <xf numFmtId="0" fontId="0" fillId="0" borderId="8" xfId="0" applyBorder="1" applyAlignment="1">
      <alignment horizontal="left" vertical="center"/>
    </xf>
    <xf numFmtId="0" fontId="0" fillId="0" borderId="0" xfId="0">
      <alignment vertical="center"/>
    </xf>
    <xf numFmtId="0" fontId="0" fillId="2" borderId="8" xfId="0" applyFill="1" applyBorder="1" applyAlignment="1">
      <alignment horizontal="left" vertical="center" wrapText="1"/>
    </xf>
    <xf numFmtId="0" fontId="0" fillId="0" borderId="9" xfId="0" applyBorder="1" applyAlignment="1"/>
    <xf numFmtId="0" fontId="0" fillId="0" borderId="1" xfId="0" applyBorder="1" applyAlignment="1"/>
    <xf numFmtId="0" fontId="0" fillId="2" borderId="8" xfId="0" applyFill="1" applyBorder="1" applyAlignment="1">
      <alignment horizontal="center" vertical="center" wrapText="1"/>
    </xf>
    <xf numFmtId="0" fontId="0" fillId="2" borderId="8" xfId="0" applyFill="1" applyBorder="1" applyAlignment="1">
      <alignment horizontal="center" vertical="center"/>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5" xfId="0" applyBorder="1" applyAlignment="1">
      <alignment horizontal="center" vertical="center" wrapText="1"/>
    </xf>
    <xf numFmtId="0" fontId="0" fillId="0" borderId="11" xfId="0" applyBorder="1" applyAlignment="1">
      <alignment horizontal="center" vertical="center" wrapText="1"/>
    </xf>
    <xf numFmtId="0" fontId="0" fillId="0" borderId="7" xfId="0" applyBorder="1" applyAlignment="1">
      <alignment horizontal="center" vertical="center" wrapText="1"/>
    </xf>
    <xf numFmtId="0" fontId="3" fillId="0" borderId="12" xfId="0" applyFont="1" applyBorder="1" applyAlignment="1">
      <alignment horizontal="left" vertical="center"/>
    </xf>
    <xf numFmtId="178" fontId="10" fillId="2" borderId="0" xfId="0" applyNumberFormat="1" applyFont="1" applyFill="1" applyAlignment="1">
      <alignment horizontal="center" vertical="center" wrapText="1"/>
    </xf>
    <xf numFmtId="176" fontId="0" fillId="0" borderId="0" xfId="0" applyNumberFormat="1" applyAlignment="1">
      <alignment horizontal="center" vertical="center"/>
    </xf>
    <xf numFmtId="0" fontId="9" fillId="0" borderId="0" xfId="0" applyFont="1" applyAlignment="1">
      <alignment vertical="center" wrapText="1"/>
    </xf>
    <xf numFmtId="0" fontId="8" fillId="2" borderId="8" xfId="0" applyFont="1" applyFill="1" applyBorder="1" applyAlignment="1">
      <alignment horizontal="center" vertical="center"/>
    </xf>
    <xf numFmtId="0" fontId="0" fillId="0" borderId="4" xfId="0" applyBorder="1" applyAlignment="1"/>
    <xf numFmtId="0" fontId="0" fillId="2" borderId="15" xfId="0" applyFill="1" applyBorder="1" applyAlignment="1">
      <alignment horizontal="center" vertical="center"/>
    </xf>
    <xf numFmtId="0" fontId="0" fillId="2" borderId="9" xfId="0" applyFill="1" applyBorder="1" applyAlignment="1">
      <alignment horizontal="center" vertical="center"/>
    </xf>
    <xf numFmtId="0" fontId="0" fillId="2" borderId="1" xfId="0" applyFill="1" applyBorder="1" applyAlignment="1">
      <alignment horizontal="center" vertical="center"/>
    </xf>
    <xf numFmtId="0" fontId="0" fillId="5" borderId="2" xfId="0" applyFill="1" applyBorder="1" applyAlignment="1">
      <alignment horizontal="center" vertical="center"/>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0" fillId="5" borderId="6" xfId="0" applyFill="1" applyBorder="1" applyAlignment="1">
      <alignment horizontal="center"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0" fillId="2" borderId="8" xfId="0" applyFill="1" applyBorder="1">
      <alignment vertical="center"/>
    </xf>
    <xf numFmtId="0" fontId="0" fillId="0" borderId="8" xfId="0" applyBorder="1" applyAlignment="1">
      <alignment horizontal="center" vertical="center"/>
    </xf>
    <xf numFmtId="0" fontId="7" fillId="2" borderId="13" xfId="0" applyFont="1" applyFill="1" applyBorder="1" applyAlignment="1">
      <alignment horizontal="center" vertical="center"/>
    </xf>
    <xf numFmtId="176" fontId="14" fillId="2" borderId="8" xfId="0" applyNumberFormat="1" applyFont="1" applyFill="1" applyBorder="1" applyAlignment="1">
      <alignment horizontal="center" vertical="center" wrapText="1"/>
    </xf>
    <xf numFmtId="0" fontId="0" fillId="2" borderId="0" xfId="0" applyFill="1" applyAlignment="1">
      <alignment horizontal="center" vertical="center"/>
    </xf>
    <xf numFmtId="0" fontId="0" fillId="5" borderId="8" xfId="0" applyFill="1" applyBorder="1" applyAlignment="1">
      <alignment vertical="center" wrapText="1"/>
    </xf>
    <xf numFmtId="0" fontId="17" fillId="0" borderId="0" xfId="0" applyFont="1" applyAlignment="1">
      <alignment horizontal="left" vertical="center" wrapText="1"/>
    </xf>
  </cellXfs>
  <cellStyles count="1">
    <cellStyle name="一般" xfId="0" builtinId="0"/>
  </cellStyles>
  <dxfs count="22">
    <dxf>
      <fill>
        <patternFill>
          <bgColor theme="5" tint="0.79998168889431442"/>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2041CDED-C1C5-4D13-A9B3-9A0197653BAB}"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D5A-4E67-A274-6059DFDD4B3A}"/>
                </c:ext>
              </c:extLst>
            </c:dLbl>
            <c:dLbl>
              <c:idx val="1"/>
              <c:tx>
                <c:rich>
                  <a:bodyPr/>
                  <a:lstStyle/>
                  <a:p>
                    <a:fld id="{1BAA9F51-3788-430B-9ACE-AEB3D95DB76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D5A-4E67-A274-6059DFDD4B3A}"/>
                </c:ext>
              </c:extLst>
            </c:dLbl>
            <c:dLbl>
              <c:idx val="2"/>
              <c:tx>
                <c:rich>
                  <a:bodyPr/>
                  <a:lstStyle/>
                  <a:p>
                    <a:fld id="{3A745375-0F7F-4F89-A5EC-35FBE0AFF05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D5A-4E67-A274-6059DFDD4B3A}"/>
                </c:ext>
              </c:extLst>
            </c:dLbl>
            <c:dLbl>
              <c:idx val="3"/>
              <c:tx>
                <c:rich>
                  <a:bodyPr/>
                  <a:lstStyle/>
                  <a:p>
                    <a:fld id="{FAF2E310-4972-41CB-A1BE-F4A8A235333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D5A-4E67-A274-6059DFDD4B3A}"/>
                </c:ext>
              </c:extLst>
            </c:dLbl>
            <c:dLbl>
              <c:idx val="4"/>
              <c:tx>
                <c:rich>
                  <a:bodyPr/>
                  <a:lstStyle/>
                  <a:p>
                    <a:fld id="{DE907E4A-C2B9-4DB2-B360-C1FC67D4659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D5A-4E67-A274-6059DFDD4B3A}"/>
                </c:ext>
              </c:extLst>
            </c:dLbl>
            <c:dLbl>
              <c:idx val="5"/>
              <c:tx>
                <c:rich>
                  <a:bodyPr/>
                  <a:lstStyle/>
                  <a:p>
                    <a:fld id="{31408227-051C-4F7F-B9B8-A27E8B26A96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D5A-4E67-A274-6059DFDD4B3A}"/>
                </c:ext>
              </c:extLst>
            </c:dLbl>
            <c:dLbl>
              <c:idx val="6"/>
              <c:tx>
                <c:rich>
                  <a:bodyPr/>
                  <a:lstStyle/>
                  <a:p>
                    <a:fld id="{46E33EA8-2D76-4575-A296-FEEF013AD3F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D5A-4E67-A274-6059DFDD4B3A}"/>
                </c:ext>
              </c:extLst>
            </c:dLbl>
            <c:dLbl>
              <c:idx val="7"/>
              <c:tx>
                <c:rich>
                  <a:bodyPr/>
                  <a:lstStyle/>
                  <a:p>
                    <a:fld id="{B8D7ABC4-D2C4-4F59-AFB3-82B2FDC3452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D5A-4E67-A274-6059DFDD4B3A}"/>
                </c:ext>
              </c:extLst>
            </c:dLbl>
            <c:dLbl>
              <c:idx val="8"/>
              <c:tx>
                <c:rich>
                  <a:bodyPr/>
                  <a:lstStyle/>
                  <a:p>
                    <a:fld id="{159B3B33-7A90-4E45-8CB3-CAF196F0998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D5A-4E67-A274-6059DFDD4B3A}"/>
                </c:ext>
              </c:extLst>
            </c:dLbl>
            <c:dLbl>
              <c:idx val="9"/>
              <c:tx>
                <c:rich>
                  <a:bodyPr/>
                  <a:lstStyle/>
                  <a:p>
                    <a:fld id="{F68040D2-C4C2-449F-A3CC-08FEC0103D0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D5A-4E67-A274-6059DFDD4B3A}"/>
                </c:ext>
              </c:extLst>
            </c:dLbl>
            <c:dLbl>
              <c:idx val="10"/>
              <c:tx>
                <c:rich>
                  <a:bodyPr/>
                  <a:lstStyle/>
                  <a:p>
                    <a:fld id="{0301AEAB-8B27-4B82-8CDB-D2A41F25F63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D5A-4E67-A274-6059DFDD4B3A}"/>
                </c:ext>
              </c:extLst>
            </c:dLbl>
            <c:dLbl>
              <c:idx val="11"/>
              <c:tx>
                <c:rich>
                  <a:bodyPr/>
                  <a:lstStyle/>
                  <a:p>
                    <a:fld id="{12F0F599-4EA0-483F-A404-0FAE78F712D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D5A-4E67-A274-6059DFDD4B3A}"/>
                </c:ext>
              </c:extLst>
            </c:dLbl>
            <c:dLbl>
              <c:idx val="12"/>
              <c:tx>
                <c:rich>
                  <a:bodyPr/>
                  <a:lstStyle/>
                  <a:p>
                    <a:fld id="{7FFB35BA-D18B-4903-AF36-885ED3B0324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D5A-4E67-A274-6059DFDD4B3A}"/>
                </c:ext>
              </c:extLst>
            </c:dLbl>
            <c:dLbl>
              <c:idx val="13"/>
              <c:tx>
                <c:rich>
                  <a:bodyPr/>
                  <a:lstStyle/>
                  <a:p>
                    <a:fld id="{3E769C37-0A41-400A-A7A1-203F4ACE17A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D5A-4E67-A274-6059DFDD4B3A}"/>
                </c:ext>
              </c:extLst>
            </c:dLbl>
            <c:dLbl>
              <c:idx val="14"/>
              <c:tx>
                <c:rich>
                  <a:bodyPr/>
                  <a:lstStyle/>
                  <a:p>
                    <a:fld id="{2F277970-E4DA-4A81-B4CE-9835F6B0262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D5A-4E67-A274-6059DFDD4B3A}"/>
                </c:ext>
              </c:extLst>
            </c:dLbl>
            <c:dLbl>
              <c:idx val="15"/>
              <c:tx>
                <c:rich>
                  <a:bodyPr/>
                  <a:lstStyle/>
                  <a:p>
                    <a:fld id="{4D7DCA3C-61CA-4D91-8A87-5BE4CAAC927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D5A-4E67-A274-6059DFDD4B3A}"/>
                </c:ext>
              </c:extLst>
            </c:dLbl>
            <c:dLbl>
              <c:idx val="16"/>
              <c:tx>
                <c:rich>
                  <a:bodyPr/>
                  <a:lstStyle/>
                  <a:p>
                    <a:fld id="{E16F8077-CA0A-42AE-8BCB-5B06F9F5D20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D5A-4E67-A274-6059DFDD4B3A}"/>
                </c:ext>
              </c:extLst>
            </c:dLbl>
            <c:dLbl>
              <c:idx val="17"/>
              <c:tx>
                <c:rich>
                  <a:bodyPr/>
                  <a:lstStyle/>
                  <a:p>
                    <a:fld id="{1818B64F-9891-4BF2-A2AC-0E9CD63EAC8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D5A-4E67-A274-6059DFDD4B3A}"/>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8D5A-4E67-A274-6059DFDD4B3A}"/>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8D5A-4E67-A274-6059DFDD4B3A}"/>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8D5A-4E67-A274-6059DFDD4B3A}"/>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8D5A-4E67-A274-6059DFDD4B3A}"/>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8D5A-4E67-A274-6059DFDD4B3A}"/>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8D5A-4E67-A274-6059DFDD4B3A}"/>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8D5A-4E67-A274-6059DFDD4B3A}"/>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EB71E48A-722A-431E-9413-845085C1E013}"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8D5A-4E67-A274-6059DFDD4B3A}"/>
                </c:ext>
              </c:extLst>
            </c:dLbl>
            <c:dLbl>
              <c:idx val="1"/>
              <c:tx>
                <c:rich>
                  <a:bodyPr/>
                  <a:lstStyle/>
                  <a:p>
                    <a:fld id="{81D97C40-3243-4A71-AC4C-DB14DFEAD961}"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D5A-4E67-A274-6059DFDD4B3A}"/>
                </c:ext>
              </c:extLst>
            </c:dLbl>
            <c:dLbl>
              <c:idx val="2"/>
              <c:tx>
                <c:rich>
                  <a:bodyPr/>
                  <a:lstStyle/>
                  <a:p>
                    <a:fld id="{C7BE074B-10D6-4786-8595-7E55993173D1}"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D5A-4E67-A274-6059DFDD4B3A}"/>
                </c:ext>
              </c:extLst>
            </c:dLbl>
            <c:dLbl>
              <c:idx val="3"/>
              <c:tx>
                <c:rich>
                  <a:bodyPr/>
                  <a:lstStyle/>
                  <a:p>
                    <a:fld id="{EE303535-F749-4B80-B760-DF866172F85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D5A-4E67-A274-6059DFDD4B3A}"/>
                </c:ext>
              </c:extLst>
            </c:dLbl>
            <c:dLbl>
              <c:idx val="4"/>
              <c:tx>
                <c:rich>
                  <a:bodyPr/>
                  <a:lstStyle/>
                  <a:p>
                    <a:fld id="{130CD5F6-6CCF-468F-81D3-F24DD41A5CC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D5A-4E67-A274-6059DFDD4B3A}"/>
                </c:ext>
              </c:extLst>
            </c:dLbl>
            <c:dLbl>
              <c:idx val="5"/>
              <c:tx>
                <c:rich>
                  <a:bodyPr/>
                  <a:lstStyle/>
                  <a:p>
                    <a:fld id="{9A4C35B0-807D-484D-B86B-E763C69B622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D5A-4E67-A274-6059DFDD4B3A}"/>
                </c:ext>
              </c:extLst>
            </c:dLbl>
            <c:dLbl>
              <c:idx val="6"/>
              <c:tx>
                <c:rich>
                  <a:bodyPr/>
                  <a:lstStyle/>
                  <a:p>
                    <a:fld id="{5B7F653E-0500-47F0-AC50-CD08DCB0916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D5A-4E67-A274-6059DFDD4B3A}"/>
                </c:ext>
              </c:extLst>
            </c:dLbl>
            <c:dLbl>
              <c:idx val="7"/>
              <c:tx>
                <c:rich>
                  <a:bodyPr/>
                  <a:lstStyle/>
                  <a:p>
                    <a:fld id="{D4F682E5-2BBA-44C9-8C28-29A05168B19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D5A-4E67-A274-6059DFDD4B3A}"/>
                </c:ext>
              </c:extLst>
            </c:dLbl>
            <c:dLbl>
              <c:idx val="8"/>
              <c:tx>
                <c:rich>
                  <a:bodyPr/>
                  <a:lstStyle/>
                  <a:p>
                    <a:fld id="{1B186816-D5F4-4C7F-93AA-D99FAED0298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D5A-4E67-A274-6059DFDD4B3A}"/>
                </c:ext>
              </c:extLst>
            </c:dLbl>
            <c:dLbl>
              <c:idx val="9"/>
              <c:tx>
                <c:rich>
                  <a:bodyPr/>
                  <a:lstStyle/>
                  <a:p>
                    <a:fld id="{9D28058F-55F1-4933-8B14-9D5D3BA1793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D5A-4E67-A274-6059DFDD4B3A}"/>
                </c:ext>
              </c:extLst>
            </c:dLbl>
            <c:dLbl>
              <c:idx val="10"/>
              <c:tx>
                <c:rich>
                  <a:bodyPr/>
                  <a:lstStyle/>
                  <a:p>
                    <a:fld id="{7FE1BAC3-71F0-45CF-84EF-44E1A29EE82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D5A-4E67-A274-6059DFDD4B3A}"/>
                </c:ext>
              </c:extLst>
            </c:dLbl>
            <c:dLbl>
              <c:idx val="11"/>
              <c:tx>
                <c:rich>
                  <a:bodyPr/>
                  <a:lstStyle/>
                  <a:p>
                    <a:fld id="{49C2742A-F213-4AA0-A324-C2C251EF2B6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D5A-4E67-A274-6059DFDD4B3A}"/>
                </c:ext>
              </c:extLst>
            </c:dLbl>
            <c:dLbl>
              <c:idx val="12"/>
              <c:tx>
                <c:rich>
                  <a:bodyPr/>
                  <a:lstStyle/>
                  <a:p>
                    <a:fld id="{FBD3DE2C-66E8-450E-A23B-5354E3DFB62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D5A-4E67-A274-6059DFDD4B3A}"/>
                </c:ext>
              </c:extLst>
            </c:dLbl>
            <c:dLbl>
              <c:idx val="13"/>
              <c:tx>
                <c:rich>
                  <a:bodyPr/>
                  <a:lstStyle/>
                  <a:p>
                    <a:fld id="{65109D4A-9DBB-4368-92DC-80808D3AB11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D5A-4E67-A274-6059DFDD4B3A}"/>
                </c:ext>
              </c:extLst>
            </c:dLbl>
            <c:dLbl>
              <c:idx val="14"/>
              <c:tx>
                <c:rich>
                  <a:bodyPr/>
                  <a:lstStyle/>
                  <a:p>
                    <a:fld id="{D1DDD54C-6D0A-41F1-84BC-48256853963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D5A-4E67-A274-6059DFDD4B3A}"/>
                </c:ext>
              </c:extLst>
            </c:dLbl>
            <c:dLbl>
              <c:idx val="15"/>
              <c:tx>
                <c:rich>
                  <a:bodyPr/>
                  <a:lstStyle/>
                  <a:p>
                    <a:fld id="{E027ABEA-89EA-4B94-BE2F-C5EA5F72AD81}"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D5A-4E67-A274-6059DFDD4B3A}"/>
                </c:ext>
              </c:extLst>
            </c:dLbl>
            <c:dLbl>
              <c:idx val="16"/>
              <c:tx>
                <c:rich>
                  <a:bodyPr/>
                  <a:lstStyle/>
                  <a:p>
                    <a:fld id="{2CA9A63E-2BC7-4FD3-AC40-0155E8440ED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D5A-4E67-A274-6059DFDD4B3A}"/>
                </c:ext>
              </c:extLst>
            </c:dLbl>
            <c:dLbl>
              <c:idx val="17"/>
              <c:tx>
                <c:rich>
                  <a:bodyPr/>
                  <a:lstStyle/>
                  <a:p>
                    <a:fld id="{23904653-9A8A-4A29-8FF1-F1260BD320C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D5A-4E67-A274-6059DFDD4B3A}"/>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8D5A-4E67-A274-6059DFDD4B3A}"/>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8D5A-4E67-A274-6059DFDD4B3A}"/>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8D5A-4E67-A274-6059DFDD4B3A}"/>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8D5A-4E67-A274-6059DFDD4B3A}"/>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8D5A-4E67-A274-6059DFDD4B3A}"/>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8D5A-4E67-A274-6059DFDD4B3A}"/>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colorCalculate!$J$119:$J$142</c:f>
              <c:numCache>
                <c:formatCode>0.000_ </c:formatCode>
                <c:ptCount val="24"/>
                <c:pt idx="0">
                  <c:v>9.8838831827103011</c:v>
                </c:pt>
                <c:pt idx="1">
                  <c:v>10.442221865346212</c:v>
                </c:pt>
                <c:pt idx="2">
                  <c:v>-0.39770412692802237</c:v>
                </c:pt>
                <c:pt idx="3">
                  <c:v>-7.3133745092053282</c:v>
                </c:pt>
                <c:pt idx="4">
                  <c:v>9.8320801953861725</c:v>
                </c:pt>
                <c:pt idx="5">
                  <c:v>-13.092408677127743</c:v>
                </c:pt>
                <c:pt idx="6">
                  <c:v>15.335462491649853</c:v>
                </c:pt>
                <c:pt idx="7">
                  <c:v>7.4641766019784006</c:v>
                </c:pt>
                <c:pt idx="8">
                  <c:v>27.988310112790515</c:v>
                </c:pt>
                <c:pt idx="9">
                  <c:v>16.85055934547383</c:v>
                </c:pt>
                <c:pt idx="10">
                  <c:v>-12.022947222722902</c:v>
                </c:pt>
                <c:pt idx="11">
                  <c:v>7.3419570411579205</c:v>
                </c:pt>
                <c:pt idx="12">
                  <c:v>12.580354087480622</c:v>
                </c:pt>
                <c:pt idx="13">
                  <c:v>-21.558057111909502</c:v>
                </c:pt>
                <c:pt idx="14">
                  <c:v>35.408216473013731</c:v>
                </c:pt>
                <c:pt idx="15">
                  <c:v>-0.32765984846744312</c:v>
                </c:pt>
                <c:pt idx="16">
                  <c:v>30.164657415716611</c:v>
                </c:pt>
                <c:pt idx="17">
                  <c:v>-7.2907182141208615</c:v>
                </c:pt>
                <c:pt idx="18">
                  <c:v>0.83370988992925721</c:v>
                </c:pt>
                <c:pt idx="19">
                  <c:v>0.9484347017213457</c:v>
                </c:pt>
                <c:pt idx="20">
                  <c:v>-5.5612512382674506E-2</c:v>
                </c:pt>
                <c:pt idx="21">
                  <c:v>-0.10077594869647988</c:v>
                </c:pt>
                <c:pt idx="22">
                  <c:v>-3.2892889126334701E-3</c:v>
                </c:pt>
                <c:pt idx="23">
                  <c:v>0.16050575621803786</c:v>
                </c:pt>
              </c:numCache>
            </c:numRef>
          </c:xVal>
          <c:yVal>
            <c:numRef>
              <c:f>colorCalculate!$K$119:$K$142</c:f>
              <c:numCache>
                <c:formatCode>0.000_ </c:formatCode>
                <c:ptCount val="24"/>
                <c:pt idx="0">
                  <c:v>11.388390579321895</c:v>
                </c:pt>
                <c:pt idx="1">
                  <c:v>10.653275978186638</c:v>
                </c:pt>
                <c:pt idx="2">
                  <c:v>-13.000620618306291</c:v>
                </c:pt>
                <c:pt idx="3">
                  <c:v>9.7108842495193581</c:v>
                </c:pt>
                <c:pt idx="4">
                  <c:v>-10.009450212999859</c:v>
                </c:pt>
                <c:pt idx="5">
                  <c:v>-4.4202557236999729</c:v>
                </c:pt>
                <c:pt idx="6">
                  <c:v>30.06731332284518</c:v>
                </c:pt>
                <c:pt idx="7">
                  <c:v>-27.245683140450705</c:v>
                </c:pt>
                <c:pt idx="8">
                  <c:v>18.109324816998097</c:v>
                </c:pt>
                <c:pt idx="9">
                  <c:v>-4.8717874147758415</c:v>
                </c:pt>
                <c:pt idx="10">
                  <c:v>19.272734195505727</c:v>
                </c:pt>
                <c:pt idx="11">
                  <c:v>28.193025104286406</c:v>
                </c:pt>
                <c:pt idx="12">
                  <c:v>-32.75251205188642</c:v>
                </c:pt>
                <c:pt idx="13">
                  <c:v>10.032692509112362</c:v>
                </c:pt>
                <c:pt idx="14">
                  <c:v>21.446535528105215</c:v>
                </c:pt>
                <c:pt idx="15">
                  <c:v>26.922511926869653</c:v>
                </c:pt>
                <c:pt idx="16">
                  <c:v>3.1933126892485619</c:v>
                </c:pt>
                <c:pt idx="17">
                  <c:v>-22.286844515891069</c:v>
                </c:pt>
                <c:pt idx="18">
                  <c:v>1.9337929572952772</c:v>
                </c:pt>
                <c:pt idx="19">
                  <c:v>1.5264239020996273</c:v>
                </c:pt>
                <c:pt idx="20">
                  <c:v>1.3082902730935153</c:v>
                </c:pt>
                <c:pt idx="21">
                  <c:v>1.5324097698505734</c:v>
                </c:pt>
                <c:pt idx="22">
                  <c:v>1.8632018811393092E-2</c:v>
                </c:pt>
                <c:pt idx="23">
                  <c:v>-0.43399289436026889</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8D5A-4E67-A274-6059DFDD4B3A}"/>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4D0CAC1A-9EE5-41D3-A834-F34BEFE0B31D}"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FF-4E0A-ADDB-62B73D2F0CC9}"/>
                </c:ext>
              </c:extLst>
            </c:dLbl>
            <c:dLbl>
              <c:idx val="1"/>
              <c:tx>
                <c:rich>
                  <a:bodyPr/>
                  <a:lstStyle/>
                  <a:p>
                    <a:fld id="{E5A6A081-AE3B-458F-9763-55C272DB601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FF-4E0A-ADDB-62B73D2F0CC9}"/>
                </c:ext>
              </c:extLst>
            </c:dLbl>
            <c:dLbl>
              <c:idx val="2"/>
              <c:tx>
                <c:rich>
                  <a:bodyPr/>
                  <a:lstStyle/>
                  <a:p>
                    <a:fld id="{C757449F-48DB-48A4-B657-80F99121CE23}"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FF-4E0A-ADDB-62B73D2F0CC9}"/>
                </c:ext>
              </c:extLst>
            </c:dLbl>
            <c:dLbl>
              <c:idx val="3"/>
              <c:tx>
                <c:rich>
                  <a:bodyPr/>
                  <a:lstStyle/>
                  <a:p>
                    <a:fld id="{EACBEE97-3FA1-4D36-94F9-876C35E5B38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FF-4E0A-ADDB-62B73D2F0CC9}"/>
                </c:ext>
              </c:extLst>
            </c:dLbl>
            <c:dLbl>
              <c:idx val="4"/>
              <c:tx>
                <c:rich>
                  <a:bodyPr/>
                  <a:lstStyle/>
                  <a:p>
                    <a:fld id="{68B65FD5-2420-4017-87AF-BD260727924E}"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FF-4E0A-ADDB-62B73D2F0CC9}"/>
                </c:ext>
              </c:extLst>
            </c:dLbl>
            <c:dLbl>
              <c:idx val="5"/>
              <c:tx>
                <c:rich>
                  <a:bodyPr/>
                  <a:lstStyle/>
                  <a:p>
                    <a:fld id="{C6324B8E-1223-49AE-B266-C944B9E291B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FF-4E0A-ADDB-62B73D2F0CC9}"/>
                </c:ext>
              </c:extLst>
            </c:dLbl>
            <c:dLbl>
              <c:idx val="6"/>
              <c:tx>
                <c:rich>
                  <a:bodyPr/>
                  <a:lstStyle/>
                  <a:p>
                    <a:fld id="{2B93A08C-BC99-4433-BEAC-06C47D9DFF7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FF-4E0A-ADDB-62B73D2F0CC9}"/>
                </c:ext>
              </c:extLst>
            </c:dLbl>
            <c:dLbl>
              <c:idx val="7"/>
              <c:tx>
                <c:rich>
                  <a:bodyPr/>
                  <a:lstStyle/>
                  <a:p>
                    <a:fld id="{0C6FF22E-DD13-4AF8-9C2E-A16714BEC52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FF-4E0A-ADDB-62B73D2F0CC9}"/>
                </c:ext>
              </c:extLst>
            </c:dLbl>
            <c:dLbl>
              <c:idx val="8"/>
              <c:tx>
                <c:rich>
                  <a:bodyPr/>
                  <a:lstStyle/>
                  <a:p>
                    <a:fld id="{18F2E81F-15FC-499F-92E2-32042593088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FF-4E0A-ADDB-62B73D2F0CC9}"/>
                </c:ext>
              </c:extLst>
            </c:dLbl>
            <c:dLbl>
              <c:idx val="9"/>
              <c:tx>
                <c:rich>
                  <a:bodyPr/>
                  <a:lstStyle/>
                  <a:p>
                    <a:fld id="{F293BBCC-DE55-4505-9AE5-60CB8B6C936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FF-4E0A-ADDB-62B73D2F0CC9}"/>
                </c:ext>
              </c:extLst>
            </c:dLbl>
            <c:dLbl>
              <c:idx val="10"/>
              <c:tx>
                <c:rich>
                  <a:bodyPr/>
                  <a:lstStyle/>
                  <a:p>
                    <a:fld id="{94CE3037-8D60-4D12-AA18-76636E59850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7FF-4E0A-ADDB-62B73D2F0CC9}"/>
                </c:ext>
              </c:extLst>
            </c:dLbl>
            <c:dLbl>
              <c:idx val="11"/>
              <c:tx>
                <c:rich>
                  <a:bodyPr/>
                  <a:lstStyle/>
                  <a:p>
                    <a:fld id="{764D8D20-3757-48D7-A312-0D65D2B874F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FF-4E0A-ADDB-62B73D2F0CC9}"/>
                </c:ext>
              </c:extLst>
            </c:dLbl>
            <c:dLbl>
              <c:idx val="12"/>
              <c:tx>
                <c:rich>
                  <a:bodyPr/>
                  <a:lstStyle/>
                  <a:p>
                    <a:fld id="{F14B07AC-9266-49FE-94CB-8475BA63E6B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7FF-4E0A-ADDB-62B73D2F0CC9}"/>
                </c:ext>
              </c:extLst>
            </c:dLbl>
            <c:dLbl>
              <c:idx val="13"/>
              <c:tx>
                <c:rich>
                  <a:bodyPr/>
                  <a:lstStyle/>
                  <a:p>
                    <a:fld id="{170FD278-DB60-4A23-8C77-3A977DC5100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7FF-4E0A-ADDB-62B73D2F0CC9}"/>
                </c:ext>
              </c:extLst>
            </c:dLbl>
            <c:dLbl>
              <c:idx val="14"/>
              <c:tx>
                <c:rich>
                  <a:bodyPr/>
                  <a:lstStyle/>
                  <a:p>
                    <a:fld id="{6FCD9838-F35B-4F16-9995-852CD797584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7FF-4E0A-ADDB-62B73D2F0CC9}"/>
                </c:ext>
              </c:extLst>
            </c:dLbl>
            <c:dLbl>
              <c:idx val="15"/>
              <c:tx>
                <c:rich>
                  <a:bodyPr/>
                  <a:lstStyle/>
                  <a:p>
                    <a:fld id="{983764D9-1F1E-4505-81F8-075D332615F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7FF-4E0A-ADDB-62B73D2F0CC9}"/>
                </c:ext>
              </c:extLst>
            </c:dLbl>
            <c:dLbl>
              <c:idx val="16"/>
              <c:tx>
                <c:rich>
                  <a:bodyPr/>
                  <a:lstStyle/>
                  <a:p>
                    <a:fld id="{51AAD834-8BED-419B-9ED8-55238225B67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7FF-4E0A-ADDB-62B73D2F0CC9}"/>
                </c:ext>
              </c:extLst>
            </c:dLbl>
            <c:dLbl>
              <c:idx val="17"/>
              <c:tx>
                <c:rich>
                  <a:bodyPr/>
                  <a:lstStyle/>
                  <a:p>
                    <a:fld id="{B21103DB-3E05-426B-BDD8-C583F51AB5A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7FF-4E0A-ADDB-62B73D2F0CC9}"/>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27FF-4E0A-ADDB-62B73D2F0CC9}"/>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27FF-4E0A-ADDB-62B73D2F0CC9}"/>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27FF-4E0A-ADDB-62B73D2F0CC9}"/>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27FF-4E0A-ADDB-62B73D2F0CC9}"/>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27FF-4E0A-ADDB-62B73D2F0CC9}"/>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27FF-4E0A-ADDB-62B73D2F0CC9}"/>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27FF-4E0A-ADDB-62B73D2F0CC9}"/>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4371B048-CB8E-4B55-9EB0-9D42A91FB604}"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27FF-4E0A-ADDB-62B73D2F0CC9}"/>
                </c:ext>
              </c:extLst>
            </c:dLbl>
            <c:dLbl>
              <c:idx val="1"/>
              <c:tx>
                <c:rich>
                  <a:bodyPr/>
                  <a:lstStyle/>
                  <a:p>
                    <a:fld id="{F71ACC23-F526-4E0A-B725-FEC7ED00D00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7FF-4E0A-ADDB-62B73D2F0CC9}"/>
                </c:ext>
              </c:extLst>
            </c:dLbl>
            <c:dLbl>
              <c:idx val="2"/>
              <c:tx>
                <c:rich>
                  <a:bodyPr/>
                  <a:lstStyle/>
                  <a:p>
                    <a:fld id="{AE708890-ED5D-4693-9E6B-990463E4E65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7FF-4E0A-ADDB-62B73D2F0CC9}"/>
                </c:ext>
              </c:extLst>
            </c:dLbl>
            <c:dLbl>
              <c:idx val="3"/>
              <c:tx>
                <c:rich>
                  <a:bodyPr/>
                  <a:lstStyle/>
                  <a:p>
                    <a:fld id="{A705DB69-CE9C-4D5F-8044-7FA40FBC21D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7FF-4E0A-ADDB-62B73D2F0CC9}"/>
                </c:ext>
              </c:extLst>
            </c:dLbl>
            <c:dLbl>
              <c:idx val="4"/>
              <c:tx>
                <c:rich>
                  <a:bodyPr/>
                  <a:lstStyle/>
                  <a:p>
                    <a:fld id="{939B67F5-395B-4E06-978B-5F10E693654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7FF-4E0A-ADDB-62B73D2F0CC9}"/>
                </c:ext>
              </c:extLst>
            </c:dLbl>
            <c:dLbl>
              <c:idx val="5"/>
              <c:tx>
                <c:rich>
                  <a:bodyPr/>
                  <a:lstStyle/>
                  <a:p>
                    <a:fld id="{4DD4851A-1B2F-4A78-A124-31DC3EF3FFC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7FF-4E0A-ADDB-62B73D2F0CC9}"/>
                </c:ext>
              </c:extLst>
            </c:dLbl>
            <c:dLbl>
              <c:idx val="6"/>
              <c:tx>
                <c:rich>
                  <a:bodyPr/>
                  <a:lstStyle/>
                  <a:p>
                    <a:fld id="{E41BD889-7617-4248-9954-275CB1ED3E5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7FF-4E0A-ADDB-62B73D2F0CC9}"/>
                </c:ext>
              </c:extLst>
            </c:dLbl>
            <c:dLbl>
              <c:idx val="7"/>
              <c:tx>
                <c:rich>
                  <a:bodyPr/>
                  <a:lstStyle/>
                  <a:p>
                    <a:fld id="{415E71C3-719E-4C75-BA28-6F57B2147B6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7FF-4E0A-ADDB-62B73D2F0CC9}"/>
                </c:ext>
              </c:extLst>
            </c:dLbl>
            <c:dLbl>
              <c:idx val="8"/>
              <c:tx>
                <c:rich>
                  <a:bodyPr/>
                  <a:lstStyle/>
                  <a:p>
                    <a:fld id="{4077600B-2BAC-40AC-A337-A6B8DC04A3D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7FF-4E0A-ADDB-62B73D2F0CC9}"/>
                </c:ext>
              </c:extLst>
            </c:dLbl>
            <c:dLbl>
              <c:idx val="9"/>
              <c:tx>
                <c:rich>
                  <a:bodyPr/>
                  <a:lstStyle/>
                  <a:p>
                    <a:fld id="{6D612EEF-BDE3-4871-B7F7-D23FF31D978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7FF-4E0A-ADDB-62B73D2F0CC9}"/>
                </c:ext>
              </c:extLst>
            </c:dLbl>
            <c:dLbl>
              <c:idx val="10"/>
              <c:tx>
                <c:rich>
                  <a:bodyPr/>
                  <a:lstStyle/>
                  <a:p>
                    <a:fld id="{E9B9B50C-1895-47EE-914B-4B25BCE3D17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7FF-4E0A-ADDB-62B73D2F0CC9}"/>
                </c:ext>
              </c:extLst>
            </c:dLbl>
            <c:dLbl>
              <c:idx val="11"/>
              <c:tx>
                <c:rich>
                  <a:bodyPr/>
                  <a:lstStyle/>
                  <a:p>
                    <a:fld id="{908E576A-FB5F-4C1E-9DB6-3A0885BEC8B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7FF-4E0A-ADDB-62B73D2F0CC9}"/>
                </c:ext>
              </c:extLst>
            </c:dLbl>
            <c:dLbl>
              <c:idx val="12"/>
              <c:tx>
                <c:rich>
                  <a:bodyPr/>
                  <a:lstStyle/>
                  <a:p>
                    <a:fld id="{58B56107-A435-426D-8DFC-3CE7091C9C0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7FF-4E0A-ADDB-62B73D2F0CC9}"/>
                </c:ext>
              </c:extLst>
            </c:dLbl>
            <c:dLbl>
              <c:idx val="13"/>
              <c:tx>
                <c:rich>
                  <a:bodyPr/>
                  <a:lstStyle/>
                  <a:p>
                    <a:fld id="{98301158-B55D-401C-901B-0AC42BE254D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7FF-4E0A-ADDB-62B73D2F0CC9}"/>
                </c:ext>
              </c:extLst>
            </c:dLbl>
            <c:dLbl>
              <c:idx val="14"/>
              <c:tx>
                <c:rich>
                  <a:bodyPr/>
                  <a:lstStyle/>
                  <a:p>
                    <a:fld id="{287F7737-69DE-48FE-B6E2-8FC7BE54A8E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7FF-4E0A-ADDB-62B73D2F0CC9}"/>
                </c:ext>
              </c:extLst>
            </c:dLbl>
            <c:dLbl>
              <c:idx val="15"/>
              <c:tx>
                <c:rich>
                  <a:bodyPr/>
                  <a:lstStyle/>
                  <a:p>
                    <a:fld id="{F98C197B-4E54-4C41-851A-C875425728B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7FF-4E0A-ADDB-62B73D2F0CC9}"/>
                </c:ext>
              </c:extLst>
            </c:dLbl>
            <c:dLbl>
              <c:idx val="16"/>
              <c:tx>
                <c:rich>
                  <a:bodyPr/>
                  <a:lstStyle/>
                  <a:p>
                    <a:fld id="{DA39664D-4DFE-42FA-9B00-B3D1D6C7424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7FF-4E0A-ADDB-62B73D2F0CC9}"/>
                </c:ext>
              </c:extLst>
            </c:dLbl>
            <c:dLbl>
              <c:idx val="17"/>
              <c:tx>
                <c:rich>
                  <a:bodyPr/>
                  <a:lstStyle/>
                  <a:p>
                    <a:fld id="{47FC4020-77AB-47C5-B5EA-EFA3E07FA6F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7FF-4E0A-ADDB-62B73D2F0CC9}"/>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27FF-4E0A-ADDB-62B73D2F0CC9}"/>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27FF-4E0A-ADDB-62B73D2F0CC9}"/>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27FF-4E0A-ADDB-62B73D2F0CC9}"/>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27FF-4E0A-ADDB-62B73D2F0CC9}"/>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27FF-4E0A-ADDB-62B73D2F0CC9}"/>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27FF-4E0A-ADDB-62B73D2F0CC9}"/>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colorCalculate!$N$119:$N$142</c:f>
              <c:numCache>
                <c:formatCode>0.000_ </c:formatCode>
                <c:ptCount val="24"/>
                <c:pt idx="0">
                  <c:v>9.8673671388621322</c:v>
                </c:pt>
                <c:pt idx="1">
                  <c:v>10.415284427436056</c:v>
                </c:pt>
                <c:pt idx="2">
                  <c:v>-0.41308052959931896</c:v>
                </c:pt>
                <c:pt idx="3">
                  <c:v>-7.3277359514130058</c:v>
                </c:pt>
                <c:pt idx="4">
                  <c:v>9.8126815618650998</c:v>
                </c:pt>
                <c:pt idx="5">
                  <c:v>-13.111461452786466</c:v>
                </c:pt>
                <c:pt idx="6">
                  <c:v>15.309446177591335</c:v>
                </c:pt>
                <c:pt idx="7">
                  <c:v>7.454576490318443</c:v>
                </c:pt>
                <c:pt idx="8">
                  <c:v>27.963635617077763</c:v>
                </c:pt>
                <c:pt idx="9">
                  <c:v>16.837921303241771</c:v>
                </c:pt>
                <c:pt idx="10">
                  <c:v>-12.044424222038163</c:v>
                </c:pt>
                <c:pt idx="11">
                  <c:v>7.3161659149403313</c:v>
                </c:pt>
                <c:pt idx="12">
                  <c:v>12.576777106013653</c:v>
                </c:pt>
                <c:pt idx="13">
                  <c:v>-21.571207343009657</c:v>
                </c:pt>
                <c:pt idx="14">
                  <c:v>35.387244736012683</c:v>
                </c:pt>
                <c:pt idx="15">
                  <c:v>-0.35384505919255904</c:v>
                </c:pt>
                <c:pt idx="16">
                  <c:v>30.142127855884048</c:v>
                </c:pt>
                <c:pt idx="17">
                  <c:v>-7.2997508661080399</c:v>
                </c:pt>
                <c:pt idx="18">
                  <c:v>0.80779571395178662</c:v>
                </c:pt>
                <c:pt idx="19">
                  <c:v>0.92571048845901949</c:v>
                </c:pt>
                <c:pt idx="20">
                  <c:v>-7.4201888243197178E-2</c:v>
                </c:pt>
                <c:pt idx="21">
                  <c:v>-0.11434728406450878</c:v>
                </c:pt>
                <c:pt idx="22">
                  <c:v>-1.1762869032067025E-2</c:v>
                </c:pt>
                <c:pt idx="23">
                  <c:v>0.15805011510179601</c:v>
                </c:pt>
              </c:numCache>
            </c:numRef>
          </c:xVal>
          <c:yVal>
            <c:numRef>
              <c:f>colorCalculate!$O$119:$O$142</c:f>
              <c:numCache>
                <c:formatCode>0.000_ </c:formatCode>
                <c:ptCount val="24"/>
                <c:pt idx="0">
                  <c:v>11.403386705267572</c:v>
                </c:pt>
                <c:pt idx="1">
                  <c:v>10.67347068645741</c:v>
                </c:pt>
                <c:pt idx="2">
                  <c:v>-13.002180886785908</c:v>
                </c:pt>
                <c:pt idx="3">
                  <c:v>9.7089034011849868</c:v>
                </c:pt>
                <c:pt idx="4">
                  <c:v>-10.003098301468928</c:v>
                </c:pt>
                <c:pt idx="5">
                  <c:v>-4.4281014180262757</c:v>
                </c:pt>
                <c:pt idx="6">
                  <c:v>30.098764832549918</c:v>
                </c:pt>
                <c:pt idx="7">
                  <c:v>-27.246808902335374</c:v>
                </c:pt>
                <c:pt idx="8">
                  <c:v>18.148065497534006</c:v>
                </c:pt>
                <c:pt idx="9">
                  <c:v>-4.8594037518669868</c:v>
                </c:pt>
                <c:pt idx="10">
                  <c:v>19.269647207263809</c:v>
                </c:pt>
                <c:pt idx="11">
                  <c:v>28.213183713946101</c:v>
                </c:pt>
                <c:pt idx="12">
                  <c:v>-32.753925496854549</c:v>
                </c:pt>
                <c:pt idx="13">
                  <c:v>10.019236864002634</c:v>
                </c:pt>
                <c:pt idx="14">
                  <c:v>21.503320409149971</c:v>
                </c:pt>
                <c:pt idx="15">
                  <c:v>26.933514865447549</c:v>
                </c:pt>
                <c:pt idx="16">
                  <c:v>3.2228445998274458</c:v>
                </c:pt>
                <c:pt idx="17">
                  <c:v>-22.294198851180312</c:v>
                </c:pt>
                <c:pt idx="18">
                  <c:v>1.9379137388812806</c:v>
                </c:pt>
                <c:pt idx="19">
                  <c:v>1.5301569207917254</c:v>
                </c:pt>
                <c:pt idx="20">
                  <c:v>1.3107280088469286</c:v>
                </c:pt>
                <c:pt idx="21">
                  <c:v>1.5342966509578448</c:v>
                </c:pt>
                <c:pt idx="22">
                  <c:v>1.9608441016849554E-2</c:v>
                </c:pt>
                <c:pt idx="23">
                  <c:v>-0.43370985119365324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27FF-4E0A-ADDB-62B73D2F0CC9}"/>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gamma_R!$I$4:$I$260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gamma_R!$J$4:$J$260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B13A-4DD7-B8AB-E519F797CB61}"/>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gamma_G!$I$4:$I$260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gamma_G!$J$4:$J$260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99BF-428D-9432-4144D1BAD5DF}"/>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gamma_B!$I$4:$I$260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gamma_B!$J$4:$J$260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76E6-410A-B14E-83E1EF499E66}"/>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pin" dx="22" fmlaLink="$AL$7" max="100" page="10" val="50"/>
</file>

<file path=xl/ctrlProps/ctrlProp2.xml><?xml version="1.0" encoding="utf-8"?>
<formControlPr xmlns="http://schemas.microsoft.com/office/spreadsheetml/2009/9/main" objectType="Spin" dx="22" fmlaLink="$AL$8" max="100" page="10" val="50"/>
</file>

<file path=xl/ctrlProps/ctrlProp3.xml><?xml version="1.0" encoding="utf-8"?>
<formControlPr xmlns="http://schemas.microsoft.com/office/spreadsheetml/2009/9/main" objectType="Spin" dx="22" fmlaLink="$AL$9" max="100" page="10" val="50"/>
</file>

<file path=xl/ctrlProps/ctrlProp4.xml><?xml version="1.0" encoding="utf-8"?>
<formControlPr xmlns="http://schemas.microsoft.com/office/spreadsheetml/2009/9/main" objectType="Spin" dx="22" fmlaLink="$AM$7" max="100" page="10" val="50"/>
</file>

<file path=xl/ctrlProps/ctrlProp5.xml><?xml version="1.0" encoding="utf-8"?>
<formControlPr xmlns="http://schemas.microsoft.com/office/spreadsheetml/2009/9/main" objectType="Spin" dx="22" fmlaLink="$AM$8" max="100" page="10" val="50"/>
</file>

<file path=xl/ctrlProps/ctrlProp6.xml><?xml version="1.0" encoding="utf-8"?>
<formControlPr xmlns="http://schemas.microsoft.com/office/spreadsheetml/2009/9/main" objectType="Spin" dx="22" fmlaLink="$AM$9" max="100" page="10" val="50"/>
</file>

<file path=xl/ctrlProps/ctrlProp7.xml><?xml version="1.0" encoding="utf-8"?>
<formControlPr xmlns="http://schemas.microsoft.com/office/spreadsheetml/2009/9/main" objectType="Spin" dx="22" fmlaLink="$AN$7" max="100" page="10" val="50"/>
</file>

<file path=xl/ctrlProps/ctrlProp8.xml><?xml version="1.0" encoding="utf-8"?>
<formControlPr xmlns="http://schemas.microsoft.com/office/spreadsheetml/2009/9/main" objectType="Spin" dx="22" fmlaLink="$AN$8" max="100" page="10" val="50"/>
</file>

<file path=xl/ctrlProps/ctrlProp9.xml><?xml version="1.0" encoding="utf-8"?>
<formControlPr xmlns="http://schemas.microsoft.com/office/spreadsheetml/2009/9/main" objectType="Spin" dx="22" fmlaLink="$AN$9" max="100" page="10" val="5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pin" dx="22" fmlaLink="$AO$7" max="100" page="10" val="5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pin" dx="22" fmlaLink="$AS$7" max="100" page="10" val="50"/>
</file>

<file path=xl/ctrlProps/ctrlProp16.xml><?xml version="1.0" encoding="utf-8"?>
<formControlPr xmlns="http://schemas.microsoft.com/office/spreadsheetml/2009/9/main" objectType="Spin" dx="22" fmlaLink="$AT$7" max="100" page="10" val="50"/>
</file>

<file path=xl/ctrlProps/ctrlProp17.xml><?xml version="1.0" encoding="utf-8"?>
<formControlPr xmlns="http://schemas.microsoft.com/office/spreadsheetml/2009/9/main" objectType="Spin" dx="22" fmlaLink="$AS$8" max="100" page="10" val="50"/>
</file>

<file path=xl/ctrlProps/ctrlProp18.xml><?xml version="1.0" encoding="utf-8"?>
<formControlPr xmlns="http://schemas.microsoft.com/office/spreadsheetml/2009/9/main" objectType="Spin" dx="22" fmlaLink="$AS$9" max="100" page="10" val="50"/>
</file>

<file path=xl/ctrlProps/ctrlProp19.xml><?xml version="1.0" encoding="utf-8"?>
<formControlPr xmlns="http://schemas.microsoft.com/office/spreadsheetml/2009/9/main" objectType="Spin" dx="22" fmlaLink="$AT$8" max="100" page="10" val="50"/>
</file>

<file path=xl/ctrlProps/ctrlProp20.xml><?xml version="1.0" encoding="utf-8"?>
<formControlPr xmlns="http://schemas.microsoft.com/office/spreadsheetml/2009/9/main" objectType="Spin" dx="22" fmlaLink="$AT$9" max="100" page="10" val="50"/>
</file>

<file path=xl/ctrlProps/ctrlProp21.xml><?xml version="1.0" encoding="utf-8"?>
<formControlPr xmlns="http://schemas.microsoft.com/office/spreadsheetml/2009/9/main" objectType="Spin" dx="22" fmlaLink="$AU$9" max="250" page="10" val="125"/>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Spin" dx="22" fmlaLink="$AV$9" max="100" page="10" val="100"/>
</file>

<file path=xl/ctrlProps/ctrlProp24.xml><?xml version="1.0" encoding="utf-8"?>
<formControlPr xmlns="http://schemas.microsoft.com/office/spreadsheetml/2009/9/main" objectType="Spin" dx="22" fmlaLink="$AW$9" max="100" page="10" val="100"/>
</file>

<file path=xl/ctrlProps/ctrlProp25.xml><?xml version="1.0" encoding="utf-8"?>
<formControlPr xmlns="http://schemas.microsoft.com/office/spreadsheetml/2009/9/main" objectType="Spin" dx="22" fmlaLink="$AX$9" max="100" page="10" val="100"/>
</file>

<file path=xl/ctrlProps/ctrlProp26.xml><?xml version="1.0" encoding="utf-8"?>
<formControlPr xmlns="http://schemas.microsoft.com/office/spreadsheetml/2009/9/main" objectType="Spin" dx="22" fmlaLink="$AY$9" max="100" page="10" val="100"/>
</file>

<file path=xl/ctrlProps/ctrlProp27.xml><?xml version="1.0" encoding="utf-8"?>
<formControlPr xmlns="http://schemas.microsoft.com/office/spreadsheetml/2009/9/main" objectType="Spin" dx="22" fmlaLink="$AZ$9" max="100" page="10" val="100"/>
</file>

<file path=xl/ctrlProps/ctrlProp28.xml><?xml version="1.0" encoding="utf-8"?>
<formControlPr xmlns="http://schemas.microsoft.com/office/spreadsheetml/2009/9/main" objectType="Spin" dx="22" fmlaLink="$BA$9" max="100" page="10" val="100"/>
</file>

<file path=xl/ctrlProps/ctrlProp29.xml><?xml version="1.0" encoding="utf-8"?>
<formControlPr xmlns="http://schemas.microsoft.com/office/spreadsheetml/2009/9/main" objectType="Spin" dx="22" fmlaLink="$BB$9" max="100" page="10" val="100"/>
</file>

<file path=xl/ctrlProps/ctrlProp30.xml><?xml version="1.0" encoding="utf-8"?>
<formControlPr xmlns="http://schemas.microsoft.com/office/spreadsheetml/2009/9/main" objectType="Spin" dx="22" fmlaLink="$AV$9" max="250" page="10" val="125"/>
</file>

<file path=xl/ctrlProps/ctrlProp31.xml><?xml version="1.0" encoding="utf-8"?>
<formControlPr xmlns="http://schemas.microsoft.com/office/spreadsheetml/2009/9/main" objectType="Spin" dx="22" fmlaLink="$AW$9" max="100" page="10" val="100"/>
</file>

<file path=xl/ctrlProps/ctrlProp32.xml><?xml version="1.0" encoding="utf-8"?>
<formControlPr xmlns="http://schemas.microsoft.com/office/spreadsheetml/2009/9/main" objectType="Spin" dx="22" fmlaLink="$AX$9" max="100" page="10" val="100"/>
</file>

<file path=xl/ctrlProps/ctrlProp33.xml><?xml version="1.0" encoding="utf-8"?>
<formControlPr xmlns="http://schemas.microsoft.com/office/spreadsheetml/2009/9/main" objectType="Spin" dx="22" fmlaLink="$AY$9" max="100" page="10" val="100"/>
</file>

<file path=xl/ctrlProps/ctrlProp34.xml><?xml version="1.0" encoding="utf-8"?>
<formControlPr xmlns="http://schemas.microsoft.com/office/spreadsheetml/2009/9/main" objectType="Spin" dx="22" fmlaLink="$AZ$9" max="100" page="10" val="100"/>
</file>

<file path=xl/ctrlProps/ctrlProp35.xml><?xml version="1.0" encoding="utf-8"?>
<formControlPr xmlns="http://schemas.microsoft.com/office/spreadsheetml/2009/9/main" objectType="Spin" dx="22" fmlaLink="$BA$9" max="100" page="10" val="100"/>
</file>

<file path=xl/ctrlProps/ctrlProp36.xml><?xml version="1.0" encoding="utf-8"?>
<formControlPr xmlns="http://schemas.microsoft.com/office/spreadsheetml/2009/9/main" objectType="Spin" dx="22" fmlaLink="$BB$9" max="100" page="10" val="100"/>
</file>

<file path=xl/ctrlProps/ctrlProp37.xml><?xml version="1.0" encoding="utf-8"?>
<formControlPr xmlns="http://schemas.microsoft.com/office/spreadsheetml/2009/9/main" objectType="Spin" dx="22" fmlaLink="$AV$9" max="100" page="10" val="100"/>
</file>

<file path=xl/ctrlProps/ctrlProp38.xml><?xml version="1.0" encoding="utf-8"?>
<formControlPr xmlns="http://schemas.microsoft.com/office/spreadsheetml/2009/9/main" objectType="Spin" dx="22" fmlaLink="$AW$9" max="250" page="10" val="125"/>
</file>

<file path=xl/ctrlProps/ctrlProp39.xml><?xml version="1.0" encoding="utf-8"?>
<formControlPr xmlns="http://schemas.microsoft.com/office/spreadsheetml/2009/9/main" objectType="Spin" dx="22" fmlaLink="$AV$9" max="100" page="10" val="100"/>
</file>

<file path=xl/ctrlProps/ctrlProp40.xml><?xml version="1.0" encoding="utf-8"?>
<formControlPr xmlns="http://schemas.microsoft.com/office/spreadsheetml/2009/9/main" objectType="Spin" dx="22" fmlaLink="$AX$9" max="250" page="10" val="125"/>
</file>

<file path=xl/ctrlProps/ctrlProp41.xml><?xml version="1.0" encoding="utf-8"?>
<formControlPr xmlns="http://schemas.microsoft.com/office/spreadsheetml/2009/9/main" objectType="Spin" dx="22" fmlaLink="$AV$9" max="100" page="10" val="100"/>
</file>

<file path=xl/ctrlProps/ctrlProp42.xml><?xml version="1.0" encoding="utf-8"?>
<formControlPr xmlns="http://schemas.microsoft.com/office/spreadsheetml/2009/9/main" objectType="Spin" dx="22" fmlaLink="$AY$9" max="250" page="10" val="125"/>
</file>

<file path=xl/ctrlProps/ctrlProp43.xml><?xml version="1.0" encoding="utf-8"?>
<formControlPr xmlns="http://schemas.microsoft.com/office/spreadsheetml/2009/9/main" objectType="Spin" dx="22" fmlaLink="$AV$9" max="100" page="10" val="100"/>
</file>

<file path=xl/ctrlProps/ctrlProp44.xml><?xml version="1.0" encoding="utf-8"?>
<formControlPr xmlns="http://schemas.microsoft.com/office/spreadsheetml/2009/9/main" objectType="Spin" dx="22" fmlaLink="$AZ$9" max="250" page="10" val="125"/>
</file>

<file path=xl/ctrlProps/ctrlProp45.xml><?xml version="1.0" encoding="utf-8"?>
<formControlPr xmlns="http://schemas.microsoft.com/office/spreadsheetml/2009/9/main" objectType="Spin" dx="22" fmlaLink="$AV$9" max="100" page="10" val="100"/>
</file>

<file path=xl/ctrlProps/ctrlProp46.xml><?xml version="1.0" encoding="utf-8"?>
<formControlPr xmlns="http://schemas.microsoft.com/office/spreadsheetml/2009/9/main" objectType="Spin" dx="22" fmlaLink="$BA$9" max="250" page="10" val="125"/>
</file>

<file path=xl/ctrlProps/ctrlProp47.xml><?xml version="1.0" encoding="utf-8"?>
<formControlPr xmlns="http://schemas.microsoft.com/office/spreadsheetml/2009/9/main" objectType="Spin" dx="22" fmlaLink="$AV$9" max="100" page="10" val="100"/>
</file>

<file path=xl/ctrlProps/ctrlProp48.xml><?xml version="1.0" encoding="utf-8"?>
<formControlPr xmlns="http://schemas.microsoft.com/office/spreadsheetml/2009/9/main" objectType="Spin" dx="22" fmlaLink="$BB$9" max="250" page="10" val="125"/>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7620</xdr:rowOff>
        </xdr:from>
        <xdr:to>
          <xdr:col>8</xdr:col>
          <xdr:colOff>830580</xdr:colOff>
          <xdr:row>4</xdr:row>
          <xdr:rowOff>190500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5</xdr:row>
          <xdr:rowOff>7620</xdr:rowOff>
        </xdr:from>
        <xdr:to>
          <xdr:col>8</xdr:col>
          <xdr:colOff>830580</xdr:colOff>
          <xdr:row>6</xdr:row>
          <xdr:rowOff>190500</xdr:rowOff>
        </xdr:to>
        <xdr:sp macro="" textlink="">
          <xdr:nvSpPr>
            <xdr:cNvPr id="1043" name="Spinner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7</xdr:row>
          <xdr:rowOff>7620</xdr:rowOff>
        </xdr:from>
        <xdr:to>
          <xdr:col>8</xdr:col>
          <xdr:colOff>830580</xdr:colOff>
          <xdr:row>8</xdr:row>
          <xdr:rowOff>190500</xdr:rowOff>
        </xdr:to>
        <xdr:sp macro="" textlink="">
          <xdr:nvSpPr>
            <xdr:cNvPr id="1044" name="Spinner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3</xdr:row>
          <xdr:rowOff>7620</xdr:rowOff>
        </xdr:from>
        <xdr:to>
          <xdr:col>9</xdr:col>
          <xdr:colOff>830580</xdr:colOff>
          <xdr:row>4</xdr:row>
          <xdr:rowOff>190500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5</xdr:row>
          <xdr:rowOff>7620</xdr:rowOff>
        </xdr:from>
        <xdr:to>
          <xdr:col>9</xdr:col>
          <xdr:colOff>830580</xdr:colOff>
          <xdr:row>6</xdr:row>
          <xdr:rowOff>190500</xdr:rowOff>
        </xdr:to>
        <xdr:sp macro="" textlink="">
          <xdr:nvSpPr>
            <xdr:cNvPr id="1046" name="Spinner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7</xdr:row>
          <xdr:rowOff>7620</xdr:rowOff>
        </xdr:from>
        <xdr:to>
          <xdr:col>9</xdr:col>
          <xdr:colOff>830580</xdr:colOff>
          <xdr:row>8</xdr:row>
          <xdr:rowOff>190500</xdr:rowOff>
        </xdr:to>
        <xdr:sp macro="" textlink="">
          <xdr:nvSpPr>
            <xdr:cNvPr id="1047" name="Spinner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3</xdr:row>
          <xdr:rowOff>7620</xdr:rowOff>
        </xdr:from>
        <xdr:to>
          <xdr:col>11</xdr:col>
          <xdr:colOff>0</xdr:colOff>
          <xdr:row>5</xdr:row>
          <xdr:rowOff>0</xdr:rowOff>
        </xdr:to>
        <xdr:sp macro="" textlink="">
          <xdr:nvSpPr>
            <xdr:cNvPr id="1048" name="Spinner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5</xdr:row>
          <xdr:rowOff>7620</xdr:rowOff>
        </xdr:from>
        <xdr:to>
          <xdr:col>11</xdr:col>
          <xdr:colOff>0</xdr:colOff>
          <xdr:row>7</xdr:row>
          <xdr:rowOff>0</xdr:rowOff>
        </xdr:to>
        <xdr:sp macro="" textlink="">
          <xdr:nvSpPr>
            <xdr:cNvPr id="1049" name="Spinner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7</xdr:row>
          <xdr:rowOff>7620</xdr:rowOff>
        </xdr:from>
        <xdr:to>
          <xdr:col>11</xdr:col>
          <xdr:colOff>0</xdr:colOff>
          <xdr:row>9</xdr:row>
          <xdr:rowOff>0</xdr:rowOff>
        </xdr:to>
        <xdr:sp macro="" textlink="">
          <xdr:nvSpPr>
            <xdr:cNvPr id="1050" name="Spinner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3</xdr:row>
          <xdr:rowOff>7620</xdr:rowOff>
        </xdr:from>
        <xdr:to>
          <xdr:col>12</xdr:col>
          <xdr:colOff>0</xdr:colOff>
          <xdr:row>5</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7620</xdr:rowOff>
        </xdr:from>
        <xdr:to>
          <xdr:col>12</xdr:col>
          <xdr:colOff>0</xdr:colOff>
          <xdr:row>7</xdr:row>
          <xdr:rowOff>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7</xdr:row>
          <xdr:rowOff>7620</xdr:rowOff>
        </xdr:from>
        <xdr:to>
          <xdr:col>12</xdr:col>
          <xdr:colOff>0</xdr:colOff>
          <xdr:row>9</xdr:row>
          <xdr:rowOff>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10</xdr:row>
          <xdr:rowOff>7620</xdr:rowOff>
        </xdr:from>
        <xdr:to>
          <xdr:col>15</xdr:col>
          <xdr:colOff>0</xdr:colOff>
          <xdr:row>12</xdr:row>
          <xdr:rowOff>0</xdr:rowOff>
        </xdr:to>
        <xdr:sp macro="" textlink="">
          <xdr:nvSpPr>
            <xdr:cNvPr id="1055" name="Spinner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10</xdr:row>
          <xdr:rowOff>7620</xdr:rowOff>
        </xdr:from>
        <xdr:to>
          <xdr:col>12</xdr:col>
          <xdr:colOff>0</xdr:colOff>
          <xdr:row>12</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3</xdr:row>
          <xdr:rowOff>7620</xdr:rowOff>
        </xdr:from>
        <xdr:to>
          <xdr:col>14</xdr:col>
          <xdr:colOff>0</xdr:colOff>
          <xdr:row>5</xdr:row>
          <xdr:rowOff>0</xdr:rowOff>
        </xdr:to>
        <xdr:sp macro="" textlink="">
          <xdr:nvSpPr>
            <xdr:cNvPr id="1057" name="Spinner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3</xdr:row>
          <xdr:rowOff>7620</xdr:rowOff>
        </xdr:from>
        <xdr:to>
          <xdr:col>15</xdr:col>
          <xdr:colOff>0</xdr:colOff>
          <xdr:row>5</xdr:row>
          <xdr:rowOff>0</xdr:rowOff>
        </xdr:to>
        <xdr:sp macro="" textlink="">
          <xdr:nvSpPr>
            <xdr:cNvPr id="1058" name="Spinner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5</xdr:row>
          <xdr:rowOff>7620</xdr:rowOff>
        </xdr:from>
        <xdr:to>
          <xdr:col>14</xdr:col>
          <xdr:colOff>0</xdr:colOff>
          <xdr:row>7</xdr:row>
          <xdr:rowOff>0</xdr:rowOff>
        </xdr:to>
        <xdr:sp macro="" textlink="">
          <xdr:nvSpPr>
            <xdr:cNvPr id="1059" name="Spinner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7</xdr:row>
          <xdr:rowOff>7620</xdr:rowOff>
        </xdr:from>
        <xdr:to>
          <xdr:col>14</xdr:col>
          <xdr:colOff>0</xdr:colOff>
          <xdr:row>9</xdr:row>
          <xdr:rowOff>0</xdr:rowOff>
        </xdr:to>
        <xdr:sp macro="" textlink="">
          <xdr:nvSpPr>
            <xdr:cNvPr id="1060" name="Spinner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5</xdr:row>
          <xdr:rowOff>7620</xdr:rowOff>
        </xdr:from>
        <xdr:to>
          <xdr:col>15</xdr:col>
          <xdr:colOff>0</xdr:colOff>
          <xdr:row>7</xdr:row>
          <xdr:rowOff>0</xdr:rowOff>
        </xdr:to>
        <xdr:sp macro="" textlink="">
          <xdr:nvSpPr>
            <xdr:cNvPr id="1061" name="Spinner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7</xdr:row>
          <xdr:rowOff>7620</xdr:rowOff>
        </xdr:from>
        <xdr:to>
          <xdr:col>15</xdr:col>
          <xdr:colOff>0</xdr:colOff>
          <xdr:row>9</xdr:row>
          <xdr:rowOff>0</xdr:rowOff>
        </xdr:to>
        <xdr:sp macro="" textlink="">
          <xdr:nvSpPr>
            <xdr:cNvPr id="1062" name="Spinner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502920</xdr:colOff>
          <xdr:row>10</xdr:row>
          <xdr:rowOff>7620</xdr:rowOff>
        </xdr:from>
        <xdr:to>
          <xdr:col>29</xdr:col>
          <xdr:colOff>0</xdr:colOff>
          <xdr:row>12</xdr:row>
          <xdr:rowOff>0</xdr:rowOff>
        </xdr:to>
        <xdr:sp macro="" textlink="">
          <xdr:nvSpPr>
            <xdr:cNvPr id="1065" name="Spinner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7620</xdr:colOff>
          <xdr:row>10</xdr:row>
          <xdr:rowOff>7620</xdr:rowOff>
        </xdr:from>
        <xdr:to>
          <xdr:col>27</xdr:col>
          <xdr:colOff>0</xdr:colOff>
          <xdr:row>12</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67" name="Spinner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68" name="Spinner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31</xdr:col>
          <xdr:colOff>830580</xdr:colOff>
          <xdr:row>12</xdr:row>
          <xdr:rowOff>0</xdr:rowOff>
        </xdr:to>
        <xdr:sp macro="" textlink="">
          <xdr:nvSpPr>
            <xdr:cNvPr id="1069" name="Spinner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32</xdr:col>
          <xdr:colOff>830580</xdr:colOff>
          <xdr:row>12</xdr:row>
          <xdr:rowOff>0</xdr:rowOff>
        </xdr:to>
        <xdr:sp macro="" textlink="">
          <xdr:nvSpPr>
            <xdr:cNvPr id="1070" name="Spinner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33</xdr:col>
          <xdr:colOff>830580</xdr:colOff>
          <xdr:row>12</xdr:row>
          <xdr:rowOff>0</xdr:rowOff>
        </xdr:to>
        <xdr:sp macro="" textlink="">
          <xdr:nvSpPr>
            <xdr:cNvPr id="1071" name="Spinner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34</xdr:col>
          <xdr:colOff>830580</xdr:colOff>
          <xdr:row>12</xdr:row>
          <xdr:rowOff>0</xdr:rowOff>
        </xdr:to>
        <xdr:sp macro="" textlink="">
          <xdr:nvSpPr>
            <xdr:cNvPr id="1072" name="Spinner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35</xdr:col>
          <xdr:colOff>830580</xdr:colOff>
          <xdr:row>12</xdr:row>
          <xdr:rowOff>0</xdr:rowOff>
        </xdr:to>
        <xdr:sp macro="" textlink="">
          <xdr:nvSpPr>
            <xdr:cNvPr id="1073" name="Spinner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77" name="Spinner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78" name="Spinner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79" name="Spinner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0" name="Spinner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81" name="Spinner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82" name="Spinner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83" name="Spinner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4" name="Spinner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5" name="Spinner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6" name="Spinner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7" name="Spinner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8" name="Spinner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9" name="Spinner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0" name="Spinner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1" name="Spinner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2" name="Spinner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3" name="Spinner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4" name="Spinner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5" name="Spinner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29</xdr:col>
      <xdr:colOff>10583</xdr:colOff>
      <xdr:row>12</xdr:row>
      <xdr:rowOff>169334</xdr:rowOff>
    </xdr:from>
    <xdr:to>
      <xdr:col>35</xdr:col>
      <xdr:colOff>575530</xdr:colOff>
      <xdr:row>37</xdr:row>
      <xdr:rowOff>169333</xdr:rowOff>
    </xdr:to>
    <xdr:grpSp>
      <xdr:nvGrpSpPr>
        <xdr:cNvPr id="5" name="群組 4">
          <a:extLst>
            <a:ext uri="{FF2B5EF4-FFF2-40B4-BE49-F238E27FC236}">
              <a16:creationId xmlns:a16="http://schemas.microsoft.com/office/drawing/2014/main" id="{00000000-0008-0000-0000-000005000000}"/>
            </a:ext>
          </a:extLst>
        </xdr:cNvPr>
        <xdr:cNvGrpSpPr/>
      </xdr:nvGrpSpPr>
      <xdr:grpSpPr>
        <a:xfrm>
          <a:off x="16444383" y="2506134"/>
          <a:ext cx="5077680" cy="5071532"/>
          <a:chOff x="9626807" y="1968500"/>
          <a:chExt cx="5570863" cy="5270499"/>
        </a:xfrm>
      </xdr:grpSpPr>
      <xdr:pic>
        <xdr:nvPicPr>
          <xdr:cNvPr id="6" name="圖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7" name="圖表 6">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35</xdr:col>
      <xdr:colOff>328084</xdr:colOff>
      <xdr:row>12</xdr:row>
      <xdr:rowOff>179917</xdr:rowOff>
    </xdr:from>
    <xdr:to>
      <xdr:col>42</xdr:col>
      <xdr:colOff>628447</xdr:colOff>
      <xdr:row>37</xdr:row>
      <xdr:rowOff>179916</xdr:rowOff>
    </xdr:to>
    <xdr:grpSp>
      <xdr:nvGrpSpPr>
        <xdr:cNvPr id="17" name="群組 16">
          <a:extLst>
            <a:ext uri="{FF2B5EF4-FFF2-40B4-BE49-F238E27FC236}">
              <a16:creationId xmlns:a16="http://schemas.microsoft.com/office/drawing/2014/main" id="{00000000-0008-0000-0000-000011000000}"/>
            </a:ext>
          </a:extLst>
        </xdr:cNvPr>
        <xdr:cNvGrpSpPr/>
      </xdr:nvGrpSpPr>
      <xdr:grpSpPr>
        <a:xfrm>
          <a:off x="21274617" y="2516717"/>
          <a:ext cx="5050163" cy="5071532"/>
          <a:chOff x="9626807" y="1968500"/>
          <a:chExt cx="5570863" cy="5270499"/>
        </a:xfrm>
      </xdr:grpSpPr>
      <xdr:pic>
        <xdr:nvPicPr>
          <xdr:cNvPr id="18" name="圖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19" name="圖表 18">
            <a:extLst>
              <a:ext uri="{FF2B5EF4-FFF2-40B4-BE49-F238E27FC236}">
                <a16:creationId xmlns:a16="http://schemas.microsoft.com/office/drawing/2014/main" id="{00000000-0008-0000-0000-000013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JT251"/>
  <sheetViews>
    <sheetView tabSelected="1" zoomScale="90" zoomScaleNormal="90" zoomScaleSheetLayoutView="50" workbookViewId="0">
      <selection activeCell="B2" sqref="B2:G6"/>
    </sheetView>
  </sheetViews>
  <sheetFormatPr defaultColWidth="11" defaultRowHeight="16.2" x14ac:dyDescent="0.3"/>
  <cols>
    <col min="1" max="1" width="3.33203125" style="33" customWidth="1"/>
    <col min="2" max="4" width="10.88671875" style="36" customWidth="1"/>
    <col min="5" max="8" width="3.33203125" style="32" customWidth="1"/>
    <col min="9" max="11" width="10.88671875" style="32" customWidth="1"/>
    <col min="12" max="12" width="3.33203125" style="33" customWidth="1"/>
    <col min="13" max="13" width="10.88671875" style="32" customWidth="1"/>
    <col min="14" max="15" width="10.88671875" style="33" customWidth="1"/>
    <col min="16" max="16" width="3.21875" style="33" customWidth="1"/>
    <col min="17" max="19" width="10.88671875" style="33" customWidth="1"/>
    <col min="20" max="20" width="10.88671875" style="32" customWidth="1"/>
    <col min="21" max="21" width="3.33203125" style="32" customWidth="1"/>
    <col min="22" max="22" width="3.33203125" style="33" customWidth="1"/>
    <col min="23" max="25" width="10.88671875" style="33" customWidth="1"/>
    <col min="26" max="26" width="10.88671875" customWidth="1"/>
    <col min="27" max="27" width="3.33203125" style="33" customWidth="1"/>
    <col min="28" max="30" width="10.88671875" style="33" customWidth="1"/>
    <col min="37" max="37" width="3.33203125" style="33" customWidth="1"/>
    <col min="45" max="46" width="11" style="33" customWidth="1"/>
  </cols>
  <sheetData>
    <row r="1" spans="1:280" ht="15" customHeight="1" x14ac:dyDescent="0.3"/>
    <row r="2" spans="1:280" ht="15" customHeight="1" x14ac:dyDescent="0.3">
      <c r="B2" s="257" t="s">
        <v>0</v>
      </c>
      <c r="C2" s="236"/>
      <c r="D2" s="236"/>
      <c r="E2" s="236"/>
      <c r="F2" s="236"/>
      <c r="G2" s="230"/>
      <c r="H2"/>
      <c r="I2" s="268" t="s">
        <v>1</v>
      </c>
      <c r="J2" s="236"/>
      <c r="K2" s="236"/>
      <c r="L2" s="236"/>
      <c r="M2" s="236"/>
      <c r="N2" s="236"/>
      <c r="O2" s="230"/>
      <c r="Q2" s="235" t="s">
        <v>2</v>
      </c>
      <c r="R2" s="236"/>
      <c r="S2" s="230"/>
      <c r="T2" s="225" t="s">
        <v>3</v>
      </c>
      <c r="W2" s="12" t="s">
        <v>4</v>
      </c>
      <c r="X2" s="17"/>
      <c r="Y2" s="18"/>
      <c r="Z2" s="16" t="s">
        <v>5</v>
      </c>
      <c r="AB2" s="227" t="s">
        <v>134</v>
      </c>
      <c r="AC2" s="223" t="s">
        <v>133</v>
      </c>
      <c r="AD2" s="223"/>
      <c r="AE2" s="224" t="str">
        <f>_xlfn.CONCAT(AB9," ",AC9," ",AD9," ",AE9," ",AF9," ",AG9," ",AH9," ",AI9," ",AJ9)</f>
        <v>1 0 0 0 1 0 0 0 1</v>
      </c>
      <c r="AF2" s="224"/>
      <c r="AG2" s="245" t="s">
        <v>185</v>
      </c>
      <c r="AH2" s="247" t="str">
        <f>"&lt;ap type=""float"" range=""[-7.99,7.99]"" length=""1""&gt;" &amp; AM4 &amp; "&lt;/ap&gt;" &amp; CHAR(10) &amp;
"                        &lt;am type=""float"" range=""[-7.99,7.99]"" length=""1""&gt;" &amp; AN4 &amp; "&lt;/am&gt;" &amp; CHAR(10) &amp;
"                        &lt;bp type=""float"" range=""[-7.99,7.99]"" length=""1""&gt;" &amp; AQ4 &amp; "&lt;/bp&gt;" &amp; CHAR(10) &amp;
"                        &lt;bm type=""float"" range=""[-7.99,7.99]"" length=""1""&gt;" &amp; AR4 &amp; "&lt;/bm&gt;" &amp; CHAR(10) &amp;
"                        &lt;cp type=""float"" range=""[-7.99,7.99]"" length=""1""&gt;" &amp; AO4 &amp; "&lt;/cp&gt;" &amp; CHAR(10) &amp;
"                        &lt;cm type=""float"" range=""[-7.99,7.99]"" length=""1""&gt;" &amp; AP4 &amp; "&lt;/cm&gt;" &amp; CHAR(10) &amp;
"                        &lt;dp type=""float"" range=""[-7.99,7.99]"" length=""1""&gt;" &amp; AS4 &amp; "&lt;/dp&gt;" &amp; CHAR(10) &amp;
"                        &lt;dm type=""float"" range=""[-7.99,7.99]"" length=""1""&gt;" &amp; AT4 &amp; "&lt;/dm&gt;"</f>
        <v>&lt;ap type="float" range="[-7.99,7.99]" length="1"&gt;0.5&lt;/ap&gt;
                        &lt;am type="float" range="[-7.99,7.99]" length="1"&gt;0.5&lt;/am&gt;
                        &lt;bp type="float" range="[-7.99,7.99]" length="1"&gt;-0.338&lt;/bp&gt;
                        &lt;bm type="float" range="[-7.99,7.99]" length="1"&gt;-0.338&lt;/bm&gt;
                        &lt;cp type="float" range="[-7.99,7.99]" length="1"&gt;0.5&lt;/cp&gt;
                        &lt;cm type="float" range="[-7.99,7.99]" length="1"&gt;0.5&lt;/cm&gt;
                        &lt;dp type="float" range="[-7.99,7.99]" length="1"&gt;-0.162&lt;/dp&gt;
                        &lt;dm type="float" range="[-7.99,7.99]" length="1"&gt;-0.162&lt;/dm&gt;</v>
      </c>
      <c r="AI2" s="247"/>
      <c r="AJ2" s="248"/>
      <c r="AK2" s="32"/>
      <c r="AL2" s="269" t="s">
        <v>164</v>
      </c>
      <c r="AM2" s="61" t="s">
        <v>165</v>
      </c>
      <c r="AN2" s="61" t="s">
        <v>166</v>
      </c>
      <c r="AO2" s="61" t="s">
        <v>167</v>
      </c>
      <c r="AP2" s="61" t="s">
        <v>168</v>
      </c>
      <c r="AQ2" s="61" t="s">
        <v>169</v>
      </c>
      <c r="AR2" s="61" t="s">
        <v>170</v>
      </c>
      <c r="AS2" s="61" t="s">
        <v>171</v>
      </c>
      <c r="AT2" s="61" t="s">
        <v>172</v>
      </c>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row>
    <row r="3" spans="1:280" ht="15" customHeight="1" x14ac:dyDescent="0.3">
      <c r="B3" s="258"/>
      <c r="C3" s="255"/>
      <c r="D3" s="255"/>
      <c r="E3" s="222"/>
      <c r="F3" s="222"/>
      <c r="G3" s="234"/>
      <c r="H3"/>
      <c r="I3" s="231"/>
      <c r="J3" s="237"/>
      <c r="K3" s="237"/>
      <c r="L3" s="237"/>
      <c r="M3" s="237"/>
      <c r="N3" s="237"/>
      <c r="O3" s="232"/>
      <c r="Q3" s="231"/>
      <c r="R3" s="237"/>
      <c r="S3" s="232"/>
      <c r="T3" s="226"/>
      <c r="W3" s="19">
        <f>AB8</f>
        <v>1</v>
      </c>
      <c r="X3" s="2">
        <f>AC8</f>
        <v>0</v>
      </c>
      <c r="Y3" s="20">
        <f>AD8</f>
        <v>0</v>
      </c>
      <c r="Z3" s="37">
        <f>$W3+$X3+$Y3</f>
        <v>1</v>
      </c>
      <c r="AB3" s="227"/>
      <c r="AC3" s="223"/>
      <c r="AD3" s="223"/>
      <c r="AE3" s="224"/>
      <c r="AF3" s="224"/>
      <c r="AG3" s="246"/>
      <c r="AH3" s="249"/>
      <c r="AI3" s="249"/>
      <c r="AJ3" s="250"/>
      <c r="AK3" s="32"/>
      <c r="AL3" s="269"/>
      <c r="AM3" s="61">
        <v>0.5</v>
      </c>
      <c r="AN3" s="61">
        <v>0.5</v>
      </c>
      <c r="AO3" s="61">
        <v>0.5</v>
      </c>
      <c r="AP3" s="61">
        <v>0.5</v>
      </c>
      <c r="AQ3" s="61">
        <v>-0.33800000000000002</v>
      </c>
      <c r="AR3" s="61">
        <v>-0.33800000000000002</v>
      </c>
      <c r="AS3" s="61">
        <v>-0.16200000000000001</v>
      </c>
      <c r="AT3" s="61">
        <v>-0.16200000000000001</v>
      </c>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row>
    <row r="4" spans="1:280" ht="15" customHeight="1" x14ac:dyDescent="0.3">
      <c r="B4" s="258"/>
      <c r="C4" s="255"/>
      <c r="D4" s="255"/>
      <c r="E4" s="222"/>
      <c r="F4" s="222"/>
      <c r="G4" s="234"/>
      <c r="H4"/>
      <c r="I4" s="239">
        <f>(AL7-50)*0.01+O4</f>
        <v>0</v>
      </c>
      <c r="J4" s="239">
        <f>(AM7-50)*0.01+N4-(0.5*O4)</f>
        <v>0</v>
      </c>
      <c r="K4" s="239">
        <f>(AN7-50)*0.01-N4-(0.5*O4)</f>
        <v>0</v>
      </c>
      <c r="L4" s="11"/>
      <c r="M4" s="270" t="s">
        <v>6</v>
      </c>
      <c r="N4" s="239">
        <f>(AS7-50)*0.01</f>
        <v>0</v>
      </c>
      <c r="O4" s="239">
        <f>(AT7-50)*0.01</f>
        <v>0</v>
      </c>
      <c r="Q4" s="253" t="s">
        <v>7</v>
      </c>
      <c r="R4" s="230"/>
      <c r="S4" s="38">
        <f>AVERAGE(Q15:Q38)</f>
        <v>7.4075671037821786</v>
      </c>
      <c r="T4" s="39">
        <f>AVERAGE(W15:W38)</f>
        <v>7.408624167729525</v>
      </c>
      <c r="U4" s="36"/>
      <c r="W4" s="3">
        <f>AE8</f>
        <v>0</v>
      </c>
      <c r="X4" s="32">
        <f>AF8</f>
        <v>1</v>
      </c>
      <c r="Y4" s="4">
        <f>AG8</f>
        <v>0</v>
      </c>
      <c r="Z4" s="37">
        <f>$W4+$X4+$Y4</f>
        <v>1</v>
      </c>
      <c r="AB4" s="58" t="s">
        <v>135</v>
      </c>
      <c r="AC4" s="223"/>
      <c r="AD4" s="223"/>
      <c r="AE4" s="224"/>
      <c r="AF4" s="224"/>
      <c r="AG4" s="246"/>
      <c r="AH4" s="249"/>
      <c r="AI4" s="249"/>
      <c r="AJ4" s="250"/>
      <c r="AL4" s="269"/>
      <c r="AM4" s="61">
        <f>ROUND(AC12,3)</f>
        <v>0.5</v>
      </c>
      <c r="AN4" s="61">
        <f t="shared" ref="AN4:AT4" si="0">ROUND(AD12,3)</f>
        <v>0.5</v>
      </c>
      <c r="AO4" s="61">
        <f t="shared" si="0"/>
        <v>0.5</v>
      </c>
      <c r="AP4" s="61">
        <f t="shared" si="0"/>
        <v>0.5</v>
      </c>
      <c r="AQ4" s="61">
        <f t="shared" si="0"/>
        <v>-0.33800000000000002</v>
      </c>
      <c r="AR4" s="61">
        <f t="shared" si="0"/>
        <v>-0.33800000000000002</v>
      </c>
      <c r="AS4" s="61">
        <f t="shared" si="0"/>
        <v>-0.16200000000000001</v>
      </c>
      <c r="AT4" s="61">
        <f t="shared" si="0"/>
        <v>-0.16200000000000001</v>
      </c>
    </row>
    <row r="5" spans="1:280" ht="15" customHeight="1" x14ac:dyDescent="0.3">
      <c r="B5" s="258"/>
      <c r="C5" s="255"/>
      <c r="D5" s="255"/>
      <c r="E5" s="222"/>
      <c r="F5" s="222"/>
      <c r="G5" s="234"/>
      <c r="H5"/>
      <c r="I5" s="226"/>
      <c r="J5" s="226"/>
      <c r="K5" s="226"/>
      <c r="L5" s="11"/>
      <c r="M5" s="226"/>
      <c r="N5" s="226"/>
      <c r="O5" s="226"/>
      <c r="Q5" s="1" t="s">
        <v>8</v>
      </c>
      <c r="R5" s="24"/>
      <c r="S5" s="38">
        <f t="array" ref="S5">AVERAGE(ABS(R15:R38))</f>
        <v>2.7122065310567485</v>
      </c>
      <c r="T5" s="40">
        <f t="array" ref="T5">AVERAGE(ABS(X15:X38))</f>
        <v>2.7122017880285969</v>
      </c>
      <c r="U5" s="36"/>
      <c r="W5" s="13">
        <f>AH8</f>
        <v>0</v>
      </c>
      <c r="X5" s="14">
        <f>AI8</f>
        <v>0</v>
      </c>
      <c r="Y5" s="5">
        <f>AJ8</f>
        <v>1</v>
      </c>
      <c r="Z5" s="37">
        <f>$W5+$X5+$Y5</f>
        <v>1</v>
      </c>
      <c r="AB5" s="59">
        <v>1</v>
      </c>
      <c r="AC5" s="223"/>
      <c r="AD5" s="223"/>
      <c r="AE5" s="224"/>
      <c r="AF5" s="224"/>
      <c r="AG5" s="246"/>
      <c r="AH5" s="251"/>
      <c r="AI5" s="251"/>
      <c r="AJ5" s="252"/>
    </row>
    <row r="6" spans="1:280" ht="15" customHeight="1" x14ac:dyDescent="0.3">
      <c r="B6" s="231"/>
      <c r="C6" s="237"/>
      <c r="D6" s="237"/>
      <c r="E6" s="237"/>
      <c r="F6" s="237"/>
      <c r="G6" s="232"/>
      <c r="H6"/>
      <c r="I6" s="240">
        <f>(AL8-50)*0.01-N6-(0.5*O6)</f>
        <v>0</v>
      </c>
      <c r="J6" s="240">
        <f>(AM8-50)*0.01+O6</f>
        <v>0</v>
      </c>
      <c r="K6" s="240">
        <f>(AN8-50)*0.01+N6-(0.5*O6)</f>
        <v>0</v>
      </c>
      <c r="L6" s="11"/>
      <c r="M6" s="246" t="s">
        <v>9</v>
      </c>
      <c r="N6" s="240">
        <f>(AS8-50)*0.01</f>
        <v>0</v>
      </c>
      <c r="O6" s="240">
        <f>(AT8-50)*0.01</f>
        <v>0</v>
      </c>
      <c r="Q6" s="1" t="s">
        <v>10</v>
      </c>
      <c r="R6" s="24"/>
      <c r="S6" s="38">
        <f t="array" ref="S6">AVERAGE(ABS(S15:S38))</f>
        <v>20.236212916629054</v>
      </c>
      <c r="T6" s="40">
        <f t="array" ref="T6">AVERAGE(ABS(Y15:Y38))</f>
        <v>20.234342616049812</v>
      </c>
      <c r="U6" s="36"/>
      <c r="W6" s="233" t="s">
        <v>11</v>
      </c>
      <c r="X6" s="228"/>
      <c r="Y6" s="234"/>
      <c r="Z6" s="34" t="s">
        <v>5</v>
      </c>
      <c r="AL6" s="222" t="s">
        <v>12</v>
      </c>
      <c r="AM6" s="241"/>
      <c r="AN6" s="241"/>
      <c r="AO6" s="222" t="s">
        <v>13</v>
      </c>
      <c r="AP6" s="241"/>
      <c r="AQ6" s="241"/>
      <c r="AR6" s="241"/>
      <c r="AS6" s="32" t="s">
        <v>162</v>
      </c>
      <c r="AT6" s="32" t="s">
        <v>163</v>
      </c>
      <c r="AU6" s="222" t="s">
        <v>147</v>
      </c>
      <c r="AV6" s="222"/>
      <c r="AW6" s="222"/>
      <c r="AX6" s="222"/>
      <c r="AY6" s="222"/>
      <c r="AZ6" s="222"/>
      <c r="BA6" s="222"/>
      <c r="BB6" s="222"/>
    </row>
    <row r="7" spans="1:280" ht="15" customHeight="1" x14ac:dyDescent="0.3">
      <c r="B7" s="259" t="s">
        <v>14</v>
      </c>
      <c r="C7" s="260"/>
      <c r="D7" s="260"/>
      <c r="E7" s="260"/>
      <c r="F7" s="260"/>
      <c r="G7" s="261"/>
      <c r="H7"/>
      <c r="I7" s="226"/>
      <c r="J7" s="226"/>
      <c r="K7" s="226"/>
      <c r="L7" s="11"/>
      <c r="M7" s="226"/>
      <c r="N7" s="226"/>
      <c r="O7" s="226"/>
      <c r="Q7" s="1" t="s">
        <v>15</v>
      </c>
      <c r="R7" s="24"/>
      <c r="S7" s="38">
        <f>AVERAGE(T15:T38)</f>
        <v>3.3962859802058429</v>
      </c>
      <c r="T7" s="40">
        <f>AVERAGE(Z15:Z38)</f>
        <v>3.4055824350214094</v>
      </c>
      <c r="U7" s="36"/>
      <c r="W7" s="19">
        <f>W3+I4+AP7</f>
        <v>1</v>
      </c>
      <c r="X7" s="2">
        <f>X3+J4+AQ7</f>
        <v>0</v>
      </c>
      <c r="Y7" s="20">
        <f>Y3+K4+AR7</f>
        <v>0</v>
      </c>
      <c r="Z7" s="37">
        <f>$W7+$X7+$Y7</f>
        <v>1</v>
      </c>
      <c r="AB7" s="242" t="s">
        <v>136</v>
      </c>
      <c r="AC7" s="243"/>
      <c r="AD7" s="243"/>
      <c r="AE7" s="243"/>
      <c r="AF7" s="243"/>
      <c r="AG7" s="243"/>
      <c r="AH7" s="243"/>
      <c r="AI7" s="243"/>
      <c r="AJ7" s="244"/>
      <c r="AL7" s="32">
        <v>50</v>
      </c>
      <c r="AM7" s="32">
        <v>50</v>
      </c>
      <c r="AN7" s="32">
        <v>50</v>
      </c>
      <c r="AO7" s="222">
        <v>50</v>
      </c>
      <c r="AP7" s="32">
        <f>IF($N$11=0,0,IF($N$11&lt;0,(W3*((0.98252741)^ABS($N$11)))-W3,(W3*((1.0174725)^ABS($N$11)))-W3))</f>
        <v>0</v>
      </c>
      <c r="AQ7" s="32">
        <f>0.815*AP7*(-1)</f>
        <v>0</v>
      </c>
      <c r="AR7" s="32">
        <f>(1-0.815)*AP7*(-1)</f>
        <v>0</v>
      </c>
      <c r="AS7" s="32">
        <v>50</v>
      </c>
      <c r="AT7" s="32">
        <v>50</v>
      </c>
      <c r="AU7" s="222"/>
      <c r="AV7" s="222"/>
      <c r="AW7" s="222"/>
      <c r="AX7" s="222"/>
      <c r="AY7" s="222"/>
      <c r="AZ7" s="222"/>
      <c r="BA7" s="222"/>
      <c r="BB7" s="222"/>
    </row>
    <row r="8" spans="1:280" ht="15" customHeight="1" x14ac:dyDescent="0.3">
      <c r="B8" s="262" t="s">
        <v>184</v>
      </c>
      <c r="C8" s="263"/>
      <c r="D8" s="263"/>
      <c r="E8" s="263"/>
      <c r="F8" s="263"/>
      <c r="G8" s="264"/>
      <c r="H8"/>
      <c r="I8" s="240">
        <f>(AL9-50)*0.01+N8-(0.5*O8)</f>
        <v>0</v>
      </c>
      <c r="J8" s="240">
        <f>(AM9-50)*0.01-N8-(0.5*O8)</f>
        <v>0</v>
      </c>
      <c r="K8" s="240">
        <f>(AN9-50)*0.01+O8</f>
        <v>0</v>
      </c>
      <c r="L8" s="11"/>
      <c r="M8" s="246" t="s">
        <v>16</v>
      </c>
      <c r="N8" s="240">
        <f>(AS9-50)*0.01</f>
        <v>0</v>
      </c>
      <c r="O8" s="240">
        <f>(AT9-50)*0.01</f>
        <v>0</v>
      </c>
      <c r="Q8" s="1" t="s">
        <v>17</v>
      </c>
      <c r="R8" s="9"/>
      <c r="S8" s="8">
        <f>AVERAGE(R41:R64)/AVERAGE(Q41:Q64)</f>
        <v>0.47349109840170556</v>
      </c>
      <c r="T8" s="21">
        <f>AVERAGE(S41:S64)/AVERAGE(Q41:Q64)</f>
        <v>0.47353743719673824</v>
      </c>
      <c r="U8" s="22"/>
      <c r="W8" s="3">
        <f>W4+I6+AP8</f>
        <v>0</v>
      </c>
      <c r="X8" s="32">
        <f>X4+J6+AQ8</f>
        <v>1</v>
      </c>
      <c r="Y8" s="4">
        <f>Y4+K6+AR8</f>
        <v>0</v>
      </c>
      <c r="Z8" s="37">
        <f>$W8+$X8+$Y8</f>
        <v>1</v>
      </c>
      <c r="AB8" s="19">
        <f>VALUE(MID(AC2,1,SEARCH(" ",AC2,1)-1))/AB5</f>
        <v>1</v>
      </c>
      <c r="AC8" s="32">
        <f>VALUE(MID($AC2,FIND("*",SUBSTITUTE($AC2," ","*",1),1)+1,FIND("*",SUBSTITUTE($AC2," ","*",2),1)-FIND("*",SUBSTITUTE($AC2," ","*",1),1)-1))/AB5</f>
        <v>0</v>
      </c>
      <c r="AD8" s="32">
        <f>VALUE(MID($AC2,FIND("*",SUBSTITUTE($AC2," ","*",2),1)+1,FIND("*",SUBSTITUTE($AC2," ","*",3),1)-FIND("*",SUBSTITUTE($AC2," ","*",2),1)-1))/AB5</f>
        <v>0</v>
      </c>
      <c r="AE8" s="32">
        <f>VALUE(MID($AC2,FIND("*",SUBSTITUTE($AC2," ","*",3),1)+1,FIND("*",SUBSTITUTE($AC2," ","*",4),1)-FIND("*",SUBSTITUTE($AC2," ","*",3),1)-1))/AB5</f>
        <v>0</v>
      </c>
      <c r="AF8" s="32">
        <f>VALUE(MID($AC2,FIND("*",SUBSTITUTE($AC2," ","*",4),1)+1,FIND("*",SUBSTITUTE($AC2," ","*",5),1)-FIND("*",SUBSTITUTE($AC2," ","*",4),1)-1))/AB5</f>
        <v>1</v>
      </c>
      <c r="AG8" s="32">
        <f>VALUE(MID($AC2,FIND("*",SUBSTITUTE($AC2," ","*",5),1)+1,FIND("*",SUBSTITUTE($AC2," ","*",6),1)-FIND("*",SUBSTITUTE($AC2," ","*",5),1)-1))/AB5</f>
        <v>0</v>
      </c>
      <c r="AH8" s="32">
        <f>VALUE(MID($AC2,FIND("*",SUBSTITUTE($AC2," ","*",6),1)+1,FIND("*",SUBSTITUTE($AC2," ","*",7),1)-FIND("*",SUBSTITUTE($AC2," ","*",6),1)-1))/AB5</f>
        <v>0</v>
      </c>
      <c r="AI8" s="32">
        <f>VALUE(MID($AC2,FIND("*",SUBSTITUTE($AC2," ","*",7),1)+1,FIND("*",SUBSTITUTE($AC2," ","*",8),1)-FIND("*",SUBSTITUTE($AC2," ","*",7),1)-1))/AB5</f>
        <v>0</v>
      </c>
      <c r="AJ8" s="20">
        <f>VALUE(RIGHT($AC2,LEN($AC2)-FIND("*",SUBSTITUTE($AC2," ","*",8),1)))/AB5</f>
        <v>1</v>
      </c>
      <c r="AL8" s="32">
        <v>50</v>
      </c>
      <c r="AM8" s="32">
        <v>50</v>
      </c>
      <c r="AN8" s="32">
        <v>50</v>
      </c>
      <c r="AO8" s="241"/>
      <c r="AP8" s="32">
        <f>0.815*AQ8*(-1)</f>
        <v>0</v>
      </c>
      <c r="AQ8" s="32">
        <f>IF($N$11=0,0,IF($N$11&lt;0,(X4*((0.98252741)^ABS($N$11)))-X4,(X4*((1.0174725)^ABS($N$11)))-X4))</f>
        <v>0</v>
      </c>
      <c r="AR8" s="32">
        <f>(1-0.815)*AQ8*(-1)</f>
        <v>0</v>
      </c>
      <c r="AS8" s="32">
        <v>50</v>
      </c>
      <c r="AT8" s="32">
        <v>50</v>
      </c>
      <c r="AU8" s="32" t="s">
        <v>148</v>
      </c>
      <c r="AV8" s="32" t="s">
        <v>149</v>
      </c>
      <c r="AW8" s="32" t="s">
        <v>150</v>
      </c>
      <c r="AX8" s="32" t="s">
        <v>151</v>
      </c>
      <c r="AY8" s="32" t="s">
        <v>152</v>
      </c>
      <c r="AZ8" s="32" t="s">
        <v>153</v>
      </c>
      <c r="BA8" s="32" t="s">
        <v>154</v>
      </c>
      <c r="BB8" s="32" t="s">
        <v>155</v>
      </c>
    </row>
    <row r="9" spans="1:280" ht="15" customHeight="1" x14ac:dyDescent="0.3">
      <c r="B9" s="265"/>
      <c r="C9" s="266"/>
      <c r="D9" s="266"/>
      <c r="E9" s="266"/>
      <c r="F9" s="266"/>
      <c r="G9" s="267"/>
      <c r="H9"/>
      <c r="I9" s="226"/>
      <c r="J9" s="226"/>
      <c r="K9" s="226"/>
      <c r="L9" s="11"/>
      <c r="M9" s="226"/>
      <c r="N9" s="226"/>
      <c r="O9" s="226"/>
      <c r="Q9" s="238" t="s">
        <v>18</v>
      </c>
      <c r="R9" s="232"/>
      <c r="S9" s="8">
        <f>((I137-I142)/(I137+I142))/((B137-B142)/(B137+B142))</f>
        <v>1.0167955418848933</v>
      </c>
      <c r="T9" s="21">
        <f>((M137-M142)/(M137+M142))/((B137-B142)/(B137+B142))</f>
        <v>1.016792609549491</v>
      </c>
      <c r="U9" s="22"/>
      <c r="W9" s="13">
        <f>W5+I8+AP9</f>
        <v>0</v>
      </c>
      <c r="X9" s="14">
        <f>X5+J8+AQ9</f>
        <v>0</v>
      </c>
      <c r="Y9" s="5">
        <f>Y5+K8+AR9</f>
        <v>1</v>
      </c>
      <c r="Z9" s="41">
        <f>$W9+$X9+$Y9</f>
        <v>1</v>
      </c>
      <c r="AB9" s="13">
        <f>W7*AB5</f>
        <v>1</v>
      </c>
      <c r="AC9" s="14">
        <f>X7*AB5</f>
        <v>0</v>
      </c>
      <c r="AD9" s="14">
        <f>Y7*AB5</f>
        <v>0</v>
      </c>
      <c r="AE9" s="14">
        <f>W8*AB5</f>
        <v>0</v>
      </c>
      <c r="AF9" s="14">
        <f>X8*AB5</f>
        <v>1</v>
      </c>
      <c r="AG9" s="14">
        <f>Y8*AB5</f>
        <v>0</v>
      </c>
      <c r="AH9" s="14">
        <f>W9*AB5</f>
        <v>0</v>
      </c>
      <c r="AI9" s="14">
        <f>X9*AB5</f>
        <v>0</v>
      </c>
      <c r="AJ9" s="5">
        <f>Y9*AB5</f>
        <v>1</v>
      </c>
      <c r="AL9" s="32">
        <v>50</v>
      </c>
      <c r="AM9" s="32">
        <v>50</v>
      </c>
      <c r="AN9" s="32">
        <v>50</v>
      </c>
      <c r="AO9" s="241"/>
      <c r="AP9" s="32">
        <f>(1-0.815)*AR9*(-1)</f>
        <v>0</v>
      </c>
      <c r="AQ9" s="32">
        <f>0.815*AR9*(-1)</f>
        <v>0</v>
      </c>
      <c r="AR9" s="32">
        <f>IF($N$11=0,0,IF($N$11&lt;0,(Y5*((0.98252741)^ABS($N$11)))-Y5,(Y5*((1.0174725)^ABS($N$11)))-Y5))</f>
        <v>0</v>
      </c>
      <c r="AS9" s="32">
        <v>50</v>
      </c>
      <c r="AT9" s="32">
        <v>50</v>
      </c>
      <c r="AU9" s="32">
        <v>125</v>
      </c>
      <c r="AV9" s="32">
        <v>125</v>
      </c>
      <c r="AW9" s="32">
        <v>125</v>
      </c>
      <c r="AX9" s="32">
        <v>125</v>
      </c>
      <c r="AY9" s="32">
        <v>125</v>
      </c>
      <c r="AZ9" s="32">
        <v>125</v>
      </c>
      <c r="BA9" s="32">
        <v>125</v>
      </c>
      <c r="BB9" s="32">
        <v>125</v>
      </c>
    </row>
    <row r="10" spans="1:280" ht="15" customHeight="1" x14ac:dyDescent="0.3">
      <c r="B10"/>
      <c r="C10"/>
      <c r="D10"/>
      <c r="E10"/>
      <c r="F10"/>
      <c r="G10"/>
      <c r="H10"/>
      <c r="J10"/>
      <c r="K10"/>
      <c r="Q10" s="32"/>
    </row>
    <row r="11" spans="1:280" ht="15" customHeight="1" x14ac:dyDescent="0.3">
      <c r="B11" s="254" t="s">
        <v>19</v>
      </c>
      <c r="C11" s="256" t="s">
        <v>137</v>
      </c>
      <c r="D11" s="255"/>
      <c r="E11" s="222"/>
      <c r="F11" s="222"/>
      <c r="G11" s="222"/>
      <c r="H11" s="222"/>
      <c r="I11" s="222"/>
      <c r="J11" s="222"/>
      <c r="K11" s="23"/>
      <c r="M11" s="235" t="s">
        <v>20</v>
      </c>
      <c r="N11" s="240">
        <f>(AO7-50)*1</f>
        <v>0</v>
      </c>
      <c r="O11" s="230"/>
      <c r="Q11" s="229" t="s">
        <v>21</v>
      </c>
      <c r="R11" s="230"/>
      <c r="S11" s="26" t="s">
        <v>22</v>
      </c>
      <c r="T11" s="35" t="s">
        <v>3</v>
      </c>
      <c r="W11" s="31" t="s">
        <v>23</v>
      </c>
      <c r="X11" s="31" t="s">
        <v>24</v>
      </c>
      <c r="Y11" s="31" t="s">
        <v>25</v>
      </c>
      <c r="AB11" s="269" t="s">
        <v>156</v>
      </c>
      <c r="AC11" s="62" t="s">
        <v>139</v>
      </c>
      <c r="AD11" s="62" t="s">
        <v>140</v>
      </c>
      <c r="AE11" s="62" t="s">
        <v>141</v>
      </c>
      <c r="AF11" s="63" t="s">
        <v>142</v>
      </c>
      <c r="AG11" s="64" t="s">
        <v>143</v>
      </c>
      <c r="AH11" s="62" t="s">
        <v>144</v>
      </c>
      <c r="AI11" s="62" t="s">
        <v>145</v>
      </c>
      <c r="AJ11" s="62" t="s">
        <v>146</v>
      </c>
      <c r="AR11" s="7"/>
    </row>
    <row r="12" spans="1:280" ht="15" customHeight="1" x14ac:dyDescent="0.3">
      <c r="B12" s="255"/>
      <c r="C12" s="255"/>
      <c r="D12" s="255"/>
      <c r="E12" s="222"/>
      <c r="F12" s="222"/>
      <c r="G12" s="222"/>
      <c r="H12" s="222"/>
      <c r="I12" s="222"/>
      <c r="J12" s="222"/>
      <c r="K12" s="23"/>
      <c r="M12" s="226"/>
      <c r="N12" s="231"/>
      <c r="O12" s="232"/>
      <c r="Q12" s="231"/>
      <c r="R12" s="232"/>
      <c r="S12" s="42">
        <f>AVERAGE(AB15:AB38)</f>
        <v>8.7848007260348293</v>
      </c>
      <c r="T12" s="43">
        <f>AVERAGE(AC15:AC38)</f>
        <v>8.7865904409554982</v>
      </c>
      <c r="W12" s="31">
        <v>1</v>
      </c>
      <c r="X12" s="31">
        <v>1</v>
      </c>
      <c r="Y12" s="44">
        <f>AVERAGE(W33:W38)</f>
        <v>2.7834879541909441</v>
      </c>
      <c r="AB12" s="269"/>
      <c r="AC12" s="220">
        <f>AM3+(AU9-125)*0.004</f>
        <v>0.5</v>
      </c>
      <c r="AD12" s="220">
        <f>AN3+(AV9-125)*0.004</f>
        <v>0.5</v>
      </c>
      <c r="AE12" s="220">
        <f t="shared" ref="AE12:AJ12" si="1">AO3+(AW9-125)*0.004</f>
        <v>0.5</v>
      </c>
      <c r="AF12" s="220">
        <f t="shared" si="1"/>
        <v>0.5</v>
      </c>
      <c r="AG12" s="220">
        <f t="shared" si="1"/>
        <v>-0.33800000000000002</v>
      </c>
      <c r="AH12" s="220">
        <f t="shared" si="1"/>
        <v>-0.33800000000000002</v>
      </c>
      <c r="AI12" s="220">
        <f t="shared" si="1"/>
        <v>-0.16200000000000001</v>
      </c>
      <c r="AJ12" s="220">
        <f t="shared" si="1"/>
        <v>-0.16200000000000001</v>
      </c>
    </row>
    <row r="13" spans="1:280" ht="15" customHeight="1" x14ac:dyDescent="0.3">
      <c r="E13" s="45"/>
      <c r="F13" s="45"/>
      <c r="Q13" s="32"/>
    </row>
    <row r="14" spans="1:280" x14ac:dyDescent="0.3">
      <c r="B14" s="46" t="s">
        <v>26</v>
      </c>
      <c r="C14" s="46" t="s">
        <v>27</v>
      </c>
      <c r="D14" s="46" t="s">
        <v>28</v>
      </c>
      <c r="E14" s="46" t="s">
        <v>29</v>
      </c>
      <c r="F14" s="46" t="s">
        <v>30</v>
      </c>
      <c r="G14" s="46" t="s">
        <v>31</v>
      </c>
      <c r="H14" s="46" t="s">
        <v>29</v>
      </c>
      <c r="I14" s="32" t="s">
        <v>32</v>
      </c>
      <c r="J14" s="32" t="s">
        <v>33</v>
      </c>
      <c r="K14" s="32" t="s">
        <v>34</v>
      </c>
      <c r="M14" s="32" t="s">
        <v>35</v>
      </c>
      <c r="N14" s="10" t="s">
        <v>36</v>
      </c>
      <c r="O14" s="10" t="s">
        <v>37</v>
      </c>
      <c r="P14" s="10"/>
      <c r="Q14" s="6" t="s">
        <v>38</v>
      </c>
      <c r="R14" s="32" t="s">
        <v>39</v>
      </c>
      <c r="S14" s="32" t="s">
        <v>40</v>
      </c>
      <c r="T14" s="32" t="s">
        <v>41</v>
      </c>
      <c r="V14" s="32" t="s">
        <v>42</v>
      </c>
      <c r="W14" s="10" t="s">
        <v>43</v>
      </c>
      <c r="X14" s="32" t="s">
        <v>39</v>
      </c>
      <c r="Y14" s="32" t="s">
        <v>40</v>
      </c>
      <c r="Z14" s="32" t="s">
        <v>41</v>
      </c>
      <c r="AB14" s="25" t="s">
        <v>44</v>
      </c>
      <c r="AC14" s="25" t="s">
        <v>45</v>
      </c>
    </row>
    <row r="15" spans="1:280" x14ac:dyDescent="0.3">
      <c r="A15" s="57">
        <v>1</v>
      </c>
      <c r="B15" s="15">
        <v>118.81</v>
      </c>
      <c r="C15" s="15">
        <v>75.81</v>
      </c>
      <c r="D15" s="15">
        <v>56.81</v>
      </c>
      <c r="E15" s="67"/>
      <c r="F15" s="115"/>
      <c r="G15" s="163"/>
      <c r="H15" s="187"/>
      <c r="I15" s="15">
        <v>119.64</v>
      </c>
      <c r="J15" s="15">
        <v>91.05</v>
      </c>
      <c r="K15" s="15">
        <v>79.13</v>
      </c>
      <c r="L15"/>
      <c r="M15" s="66">
        <f>IF((IF(AB171&gt;0.00304,(((1+0.055)*AB171^(1/2.4))-0.055)*255,12.92*AB171*255)*$W$12)&gt;255,255,IF(AB171&gt;0.00304,(((1+0.055)*AB171^(1/2.4))-0.055)*255,12.92*AB171*255)*$W$12)</f>
        <v>119.62685778935108</v>
      </c>
      <c r="N15" s="66">
        <f>IF(AC171&gt;0.00304,(((1+0.055)*AC171^(1/2.4))-0.055)*255,12.92*AC171*255)</f>
        <v>91.062907533025921</v>
      </c>
      <c r="O15" s="66">
        <f>IF((IF(AD171&gt;0.00304,(((1+0.055)*AD171^(1/2.4))-0.055)*255,12.92*AD171*255)*$X$12)&gt;255,255,IF(AD171&gt;0.00304,(((1+0.055)*AD171^(1/2.4))-0.055)*255,12.92*AD171*255)*$X$12)</f>
        <v>79.108463862547978</v>
      </c>
      <c r="P15" s="47"/>
      <c r="Q15" s="36">
        <f t="shared" ref="Q15:Q38" si="2">SQRT((R15/($Q$76*B145))^2+(S15/($R$76*C145))^2+(T15/($S$76*D145))^2)</f>
        <v>6.4678052166867444</v>
      </c>
      <c r="R15" s="36">
        <f t="shared" ref="R15:R38" si="3">I119-B119</f>
        <v>4.6146367889580375</v>
      </c>
      <c r="S15" s="36">
        <f t="shared" ref="S15:S38" si="4">SQRT(J119^2+K119^2)-SQRT(C119^2+D119^2)</f>
        <v>-9.5483845922112796</v>
      </c>
      <c r="T15" s="36">
        <f t="shared" ref="T15:T38" si="5">SQRT(ABS(((C119-J119)^2)+((D119-K119)^2)-(S15^2)))</f>
        <v>0.21751599636939392</v>
      </c>
      <c r="U15" s="67"/>
      <c r="V15" s="15">
        <v>1</v>
      </c>
      <c r="W15" s="36">
        <f t="shared" ref="W15:W38" si="6">SQRT((X15/($Q$76*B145))^2+(Y15/($R$76*C145))^2+(Z15/($S$76*D145))^2)</f>
        <v>6.4682409221488006</v>
      </c>
      <c r="X15" s="36">
        <f t="shared" ref="X15:X38" si="7">M119-B119</f>
        <v>4.6161570301453807</v>
      </c>
      <c r="Y15" s="36">
        <f t="shared" ref="Y15:Y38" si="8">SQRT(N119^2+O119^2)-SQRT(C119^2+D119^2)</f>
        <v>-9.5478681380281003</v>
      </c>
      <c r="Z15" s="36">
        <f t="shared" ref="Z15:Z38" si="9">SQRT(ABS(((C119-N119)^2)+((D119-O119)^2)-(Y15^2)))</f>
        <v>0.18901830554255755</v>
      </c>
      <c r="AB15" s="48">
        <f t="shared" ref="AB15:AB38" si="10">V15*Q15</f>
        <v>6.4678052166867444</v>
      </c>
      <c r="AC15" s="48">
        <f t="shared" ref="AC15:AC38" si="11">V15*W15</f>
        <v>6.4682409221488006</v>
      </c>
      <c r="AT15" s="15"/>
      <c r="AU15" s="15"/>
      <c r="AV15" s="15"/>
      <c r="AW15" s="15"/>
      <c r="BB15" s="32"/>
    </row>
    <row r="16" spans="1:280" x14ac:dyDescent="0.3">
      <c r="A16" s="57">
        <v>2</v>
      </c>
      <c r="B16" s="15">
        <v>226.13</v>
      </c>
      <c r="C16" s="15">
        <v>160.13</v>
      </c>
      <c r="D16" s="15">
        <v>144.13</v>
      </c>
      <c r="E16" s="68"/>
      <c r="F16" s="116"/>
      <c r="G16" s="164"/>
      <c r="H16" s="188"/>
      <c r="I16" s="15">
        <v>220.73</v>
      </c>
      <c r="J16" s="15">
        <v>186.38</v>
      </c>
      <c r="K16" s="15">
        <v>174.38</v>
      </c>
      <c r="L16"/>
      <c r="M16" s="66">
        <f t="shared" ref="M16:M38" si="12">IF((IF(AB172&gt;0.00304,(((1+0.055)*AB172^(1/2.4))-0.055)*255,12.92*AB172*255)*$W$12)&gt;255,255,IF(AB172&gt;0.00304,(((1+0.055)*AB172^(1/2.4))-0.055)*255,12.92*AB172*255)*$W$12)</f>
        <v>220.7018616602773</v>
      </c>
      <c r="N16" s="66">
        <f t="shared" ref="N16:N38" si="13">IF(AC172&gt;0.00304,(((1+0.055)*AC172^(1/2.4))-0.055)*255,12.92*AC172*255)</f>
        <v>186.40186372672508</v>
      </c>
      <c r="O16" s="66">
        <f t="shared" ref="O16:O38" si="14">IF((IF(AD172&gt;0.00304,(((1+0.055)*AD172^(1/2.4))-0.055)*255,12.92*AD172*255)*$X$12)&gt;255,255,IF(AD172&gt;0.00304,(((1+0.055)*AD172^(1/2.4))-0.055)*255,12.92*AD172*255)*$X$12)</f>
        <v>174.34739925237801</v>
      </c>
      <c r="P16" s="47"/>
      <c r="Q16" s="36">
        <f>SQRT((R16/($Q$76*B146))^2+(S16/($R$76*C146))^2+(T16/($S$76*D146))^2)</f>
        <v>9.0230027496038936</v>
      </c>
      <c r="R16" s="36">
        <f t="shared" si="3"/>
        <v>6.4513660238934136</v>
      </c>
      <c r="S16" s="36">
        <f t="shared" si="4"/>
        <v>-13.978999820912144</v>
      </c>
      <c r="T16" s="36">
        <f t="shared" si="5"/>
        <v>2.4265134205576628</v>
      </c>
      <c r="U16" s="68"/>
      <c r="V16" s="15">
        <v>1</v>
      </c>
      <c r="W16" s="36">
        <f t="shared" si="6"/>
        <v>9.0318523675504245</v>
      </c>
      <c r="X16" s="36">
        <f t="shared" si="7"/>
        <v>6.4534449812415033</v>
      </c>
      <c r="Y16" s="36">
        <f t="shared" si="8"/>
        <v>-13.983396654967756</v>
      </c>
      <c r="Z16" s="36">
        <f t="shared" si="9"/>
        <v>2.4725307392478237</v>
      </c>
      <c r="AB16" s="48">
        <f t="shared" si="10"/>
        <v>9.0230027496038936</v>
      </c>
      <c r="AC16" s="48">
        <f t="shared" si="11"/>
        <v>9.0318523675504245</v>
      </c>
      <c r="AT16" s="15"/>
      <c r="AU16" s="15"/>
      <c r="AV16" s="15"/>
      <c r="AW16" s="15"/>
      <c r="BB16" s="32"/>
    </row>
    <row r="17" spans="1:54" x14ac:dyDescent="0.3">
      <c r="A17" s="57">
        <v>3</v>
      </c>
      <c r="B17" s="15">
        <v>104</v>
      </c>
      <c r="C17" s="15">
        <v>130</v>
      </c>
      <c r="D17" s="15">
        <v>181</v>
      </c>
      <c r="E17" s="69"/>
      <c r="F17" s="117"/>
      <c r="G17" s="165"/>
      <c r="H17" s="189"/>
      <c r="I17" s="15">
        <v>122.05</v>
      </c>
      <c r="J17" s="15">
        <v>136.47999999999999</v>
      </c>
      <c r="K17" s="15">
        <v>157.66</v>
      </c>
      <c r="L17"/>
      <c r="M17" s="66">
        <f t="shared" si="12"/>
        <v>122.01961867756101</v>
      </c>
      <c r="N17" s="66">
        <f t="shared" si="13"/>
        <v>136.49204439886219</v>
      </c>
      <c r="O17" s="66">
        <f t="shared" si="14"/>
        <v>157.66595893443883</v>
      </c>
      <c r="P17" s="47"/>
      <c r="Q17" s="36">
        <f t="shared" si="2"/>
        <v>7.9149914586261101</v>
      </c>
      <c r="R17" s="36">
        <f t="shared" si="3"/>
        <v>2.1437653495670048</v>
      </c>
      <c r="S17" s="36">
        <f t="shared" si="4"/>
        <v>-17.086520090213227</v>
      </c>
      <c r="T17" s="36">
        <f t="shared" si="5"/>
        <v>3.3646773485871253</v>
      </c>
      <c r="U17" s="69"/>
      <c r="V17" s="15">
        <v>2</v>
      </c>
      <c r="W17" s="36">
        <f t="shared" si="6"/>
        <v>7.9193257476253889</v>
      </c>
      <c r="X17" s="36">
        <f t="shared" si="7"/>
        <v>2.1451469873986184</v>
      </c>
      <c r="Y17" s="36">
        <f t="shared" si="8"/>
        <v>-17.084481366435988</v>
      </c>
      <c r="Z17" s="36">
        <f t="shared" si="9"/>
        <v>3.388159388900998</v>
      </c>
      <c r="AB17" s="48">
        <f t="shared" si="10"/>
        <v>15.82998291725222</v>
      </c>
      <c r="AC17" s="48">
        <f t="shared" si="11"/>
        <v>15.838651495250778</v>
      </c>
      <c r="AT17" s="15"/>
      <c r="AU17" s="15"/>
      <c r="AV17" s="15"/>
      <c r="AW17" s="15"/>
      <c r="BB17" s="32"/>
    </row>
    <row r="18" spans="1:54" x14ac:dyDescent="0.3">
      <c r="A18" s="57">
        <v>4</v>
      </c>
      <c r="B18" s="15">
        <v>89.49</v>
      </c>
      <c r="C18" s="15">
        <v>105.48</v>
      </c>
      <c r="D18" s="15">
        <v>59.62</v>
      </c>
      <c r="E18" s="70"/>
      <c r="F18" s="118"/>
      <c r="G18" s="166"/>
      <c r="H18" s="190"/>
      <c r="I18" s="15">
        <v>99.87</v>
      </c>
      <c r="J18" s="15">
        <v>108.87</v>
      </c>
      <c r="K18" s="15">
        <v>89.46</v>
      </c>
      <c r="L18"/>
      <c r="M18" s="66">
        <f t="shared" si="12"/>
        <v>99.846037387270655</v>
      </c>
      <c r="N18" s="66">
        <f t="shared" si="13"/>
        <v>108.88008842014116</v>
      </c>
      <c r="O18" s="66">
        <f t="shared" si="14"/>
        <v>89.465779625745029</v>
      </c>
      <c r="P18" s="47"/>
      <c r="Q18" s="36">
        <f t="shared" si="2"/>
        <v>7.4925596500821703</v>
      </c>
      <c r="R18" s="36">
        <f t="shared" si="3"/>
        <v>2.4531167351353034</v>
      </c>
      <c r="S18" s="36">
        <f t="shared" si="4"/>
        <v>-15.697815829423321</v>
      </c>
      <c r="T18" s="36">
        <f t="shared" si="5"/>
        <v>1.7900536859404799</v>
      </c>
      <c r="U18" s="70"/>
      <c r="V18" s="15">
        <v>1</v>
      </c>
      <c r="W18" s="36">
        <f t="shared" si="6"/>
        <v>7.4924031404634404</v>
      </c>
      <c r="X18" s="36">
        <f t="shared" si="7"/>
        <v>2.4543621273643339</v>
      </c>
      <c r="Y18" s="36">
        <f t="shared" si="8"/>
        <v>-15.6907518599645</v>
      </c>
      <c r="Z18" s="36">
        <f t="shared" si="9"/>
        <v>1.809714158193134</v>
      </c>
      <c r="AB18" s="48">
        <f t="shared" si="10"/>
        <v>7.4925596500821703</v>
      </c>
      <c r="AC18" s="48">
        <f t="shared" si="11"/>
        <v>7.4924031404634404</v>
      </c>
      <c r="AT18" s="15"/>
      <c r="AU18" s="15"/>
      <c r="AV18" s="15"/>
      <c r="AW18" s="15"/>
      <c r="BB18" s="32"/>
    </row>
    <row r="19" spans="1:54" x14ac:dyDescent="0.3">
      <c r="A19" s="57">
        <v>5</v>
      </c>
      <c r="B19" s="15">
        <v>157.21</v>
      </c>
      <c r="C19" s="15">
        <v>133.21</v>
      </c>
      <c r="D19" s="15">
        <v>191.2</v>
      </c>
      <c r="E19" s="71"/>
      <c r="F19" s="119"/>
      <c r="G19" s="167"/>
      <c r="H19" s="191"/>
      <c r="I19" s="15">
        <v>164.5</v>
      </c>
      <c r="J19" s="15">
        <v>149.69999999999999</v>
      </c>
      <c r="K19" s="15">
        <v>172.7</v>
      </c>
      <c r="L19"/>
      <c r="M19" s="66">
        <f t="shared" si="12"/>
        <v>164.47458214546415</v>
      </c>
      <c r="N19" s="66">
        <f t="shared" si="13"/>
        <v>149.7162373521368</v>
      </c>
      <c r="O19" s="66">
        <f t="shared" si="14"/>
        <v>172.69303788888223</v>
      </c>
      <c r="P19" s="47"/>
      <c r="Q19" s="36">
        <f t="shared" si="2"/>
        <v>9.0961571319425349</v>
      </c>
      <c r="R19" s="36">
        <f t="shared" si="3"/>
        <v>4.1910820590570097</v>
      </c>
      <c r="S19" s="36">
        <f t="shared" si="4"/>
        <v>-19.950788559515264</v>
      </c>
      <c r="T19" s="36">
        <f t="shared" si="5"/>
        <v>2.5929194014362609</v>
      </c>
      <c r="U19" s="71"/>
      <c r="V19" s="15">
        <v>1</v>
      </c>
      <c r="W19" s="36">
        <f t="shared" si="6"/>
        <v>9.1011646931587205</v>
      </c>
      <c r="X19" s="36">
        <f t="shared" si="7"/>
        <v>4.1928627237178517</v>
      </c>
      <c r="Y19" s="36">
        <f t="shared" si="8"/>
        <v>-19.968910606480087</v>
      </c>
      <c r="Z19" s="36">
        <f t="shared" si="9"/>
        <v>2.5766506600377621</v>
      </c>
      <c r="AB19" s="48">
        <f t="shared" si="10"/>
        <v>9.0961571319425349</v>
      </c>
      <c r="AC19" s="48">
        <f t="shared" si="11"/>
        <v>9.1011646931587205</v>
      </c>
      <c r="AT19" s="15"/>
      <c r="AU19" s="15"/>
      <c r="AV19" s="15"/>
      <c r="AW19" s="15"/>
      <c r="BB19" s="32"/>
    </row>
    <row r="20" spans="1:54" x14ac:dyDescent="0.3">
      <c r="A20" s="57">
        <v>6</v>
      </c>
      <c r="B20" s="15">
        <v>123.34</v>
      </c>
      <c r="C20" s="15">
        <v>205.75</v>
      </c>
      <c r="D20" s="15">
        <v>201.1</v>
      </c>
      <c r="E20" s="72"/>
      <c r="F20" s="120"/>
      <c r="G20" s="168"/>
      <c r="H20" s="192"/>
      <c r="I20" s="15">
        <v>154.55000000000001</v>
      </c>
      <c r="J20" s="15">
        <v>194.29</v>
      </c>
      <c r="K20" s="15">
        <v>194.42</v>
      </c>
      <c r="L20"/>
      <c r="M20" s="66">
        <f t="shared" si="12"/>
        <v>154.50088002463664</v>
      </c>
      <c r="N20" s="66">
        <f t="shared" si="13"/>
        <v>194.30502896020499</v>
      </c>
      <c r="O20" s="66">
        <f t="shared" si="14"/>
        <v>194.43836473085835</v>
      </c>
      <c r="P20" s="47"/>
      <c r="Q20" s="36">
        <f t="shared" si="2"/>
        <v>6.3364529759880668</v>
      </c>
      <c r="R20" s="36">
        <f t="shared" si="3"/>
        <v>-1.7735415534928904</v>
      </c>
      <c r="S20" s="36">
        <f t="shared" si="4"/>
        <v>-12.951828854182672</v>
      </c>
      <c r="T20" s="36">
        <f t="shared" si="5"/>
        <v>2.2127604581232565</v>
      </c>
      <c r="U20" s="72"/>
      <c r="V20" s="15">
        <v>0</v>
      </c>
      <c r="W20" s="36">
        <f t="shared" si="6"/>
        <v>6.3279666408303621</v>
      </c>
      <c r="X20" s="36">
        <f t="shared" si="7"/>
        <v>-1.7718820353115206</v>
      </c>
      <c r="Y20" s="36">
        <f t="shared" si="8"/>
        <v>-12.931267402050475</v>
      </c>
      <c r="Z20" s="36">
        <f t="shared" si="9"/>
        <v>2.2162651376660989</v>
      </c>
      <c r="AB20" s="48">
        <f t="shared" si="10"/>
        <v>0</v>
      </c>
      <c r="AC20" s="48">
        <f t="shared" si="11"/>
        <v>0</v>
      </c>
      <c r="AT20" s="15"/>
      <c r="AU20" s="15"/>
      <c r="AV20" s="15"/>
      <c r="AW20" s="15"/>
      <c r="BB20" s="32"/>
    </row>
    <row r="21" spans="1:54" x14ac:dyDescent="0.3">
      <c r="A21" s="57">
        <v>7</v>
      </c>
      <c r="B21" s="15">
        <v>237.21</v>
      </c>
      <c r="C21" s="15">
        <v>137.21</v>
      </c>
      <c r="D21" s="15">
        <v>45.15</v>
      </c>
      <c r="E21" s="73"/>
      <c r="F21" s="121"/>
      <c r="G21" s="169"/>
      <c r="H21" s="193"/>
      <c r="I21" s="15">
        <v>215.39</v>
      </c>
      <c r="J21" s="15">
        <v>160.11000000000001</v>
      </c>
      <c r="K21" s="15">
        <v>117.73</v>
      </c>
      <c r="L21"/>
      <c r="M21" s="66">
        <f t="shared" si="12"/>
        <v>215.36926469716994</v>
      </c>
      <c r="N21" s="66">
        <f>IF(AC177&gt;0.00304,(((1+0.055)*AC177^(1/2.4))-0.055)*255,12.92*AC177*255)</f>
        <v>160.13256028730453</v>
      </c>
      <c r="O21" s="66">
        <f>IF((IF(AD177&gt;0.00304,(((1+0.055)*AD177^(1/2.4))-0.055)*255,12.92*AD177*255)*$X$12)&gt;255,255,IF(AD177&gt;0.00304,(((1+0.055)*AD177^(1/2.4))-0.055)*255,12.92*AD177*255)*$X$12)</f>
        <v>117.67652671408592</v>
      </c>
      <c r="P21" s="47"/>
      <c r="Q21" s="36">
        <f t="shared" si="2"/>
        <v>9.3530356488173965</v>
      </c>
      <c r="R21" s="36">
        <f t="shared" si="3"/>
        <v>3.5063866840963982</v>
      </c>
      <c r="S21" s="36">
        <f t="shared" si="4"/>
        <v>-35.813284903652779</v>
      </c>
      <c r="T21" s="36">
        <f t="shared" si="5"/>
        <v>0.16010113932333708</v>
      </c>
      <c r="U21" s="73"/>
      <c r="V21" s="15">
        <v>1</v>
      </c>
      <c r="W21" s="36">
        <f t="shared" si="6"/>
        <v>9.3505512567355797</v>
      </c>
      <c r="X21" s="36">
        <f t="shared" si="7"/>
        <v>3.5087795147104259</v>
      </c>
      <c r="Y21" s="36">
        <f t="shared" si="8"/>
        <v>-35.797067009629338</v>
      </c>
      <c r="Z21" s="36">
        <f t="shared" si="9"/>
        <v>0.21391423740725718</v>
      </c>
      <c r="AB21" s="48">
        <f t="shared" si="10"/>
        <v>9.3530356488173965</v>
      </c>
      <c r="AC21" s="48">
        <f t="shared" si="11"/>
        <v>9.3505512567355797</v>
      </c>
      <c r="AT21" s="15"/>
      <c r="AU21" s="15"/>
      <c r="AV21" s="15"/>
      <c r="AW21" s="15"/>
      <c r="BB21" s="32"/>
    </row>
    <row r="22" spans="1:54" x14ac:dyDescent="0.3">
      <c r="A22" s="57">
        <v>8</v>
      </c>
      <c r="B22" s="15">
        <v>59.26</v>
      </c>
      <c r="C22" s="15">
        <v>78.260000000000005</v>
      </c>
      <c r="D22" s="15">
        <v>181.46</v>
      </c>
      <c r="E22" s="74"/>
      <c r="F22" s="122"/>
      <c r="G22" s="170"/>
      <c r="H22" s="194"/>
      <c r="I22" s="15">
        <v>71.709999999999994</v>
      </c>
      <c r="J22" s="15">
        <v>85.7</v>
      </c>
      <c r="K22" s="15">
        <v>131.19999999999999</v>
      </c>
      <c r="L22"/>
      <c r="M22" s="66">
        <f t="shared" si="12"/>
        <v>71.688397062793086</v>
      </c>
      <c r="N22" s="66">
        <f t="shared" si="13"/>
        <v>85.707597655430035</v>
      </c>
      <c r="O22" s="66">
        <f t="shared" si="14"/>
        <v>131.20397171889883</v>
      </c>
      <c r="P22" s="47"/>
      <c r="Q22" s="36">
        <f t="shared" si="2"/>
        <v>9.8243866881929129</v>
      </c>
      <c r="R22" s="36">
        <f t="shared" si="3"/>
        <v>-0.29223804928028585</v>
      </c>
      <c r="S22" s="36">
        <f t="shared" si="4"/>
        <v>-34.80329051200107</v>
      </c>
      <c r="T22" s="36">
        <f t="shared" si="5"/>
        <v>7.3262612075125704</v>
      </c>
      <c r="U22" s="74"/>
      <c r="V22" s="15">
        <v>1</v>
      </c>
      <c r="W22" s="36">
        <f t="shared" si="6"/>
        <v>9.8274751939090947</v>
      </c>
      <c r="X22" s="36">
        <f t="shared" si="7"/>
        <v>-0.29133641570287239</v>
      </c>
      <c r="Y22" s="36">
        <f t="shared" si="8"/>
        <v>-34.804739703482753</v>
      </c>
      <c r="Z22" s="36">
        <f t="shared" si="9"/>
        <v>7.3402967775720178</v>
      </c>
      <c r="AB22" s="48">
        <f t="shared" si="10"/>
        <v>9.8243866881929129</v>
      </c>
      <c r="AC22" s="48">
        <f t="shared" si="11"/>
        <v>9.8274751939090947</v>
      </c>
      <c r="AT22" s="15"/>
      <c r="AU22" s="15"/>
      <c r="AV22" s="15"/>
      <c r="AW22" s="15"/>
      <c r="BB22" s="32"/>
    </row>
    <row r="23" spans="1:54" x14ac:dyDescent="0.3">
      <c r="A23" s="57">
        <v>9</v>
      </c>
      <c r="B23" s="15">
        <v>231.81</v>
      </c>
      <c r="C23" s="15">
        <v>88.82</v>
      </c>
      <c r="D23" s="15">
        <v>92.89</v>
      </c>
      <c r="E23" s="75"/>
      <c r="F23" s="123"/>
      <c r="G23" s="171"/>
      <c r="H23" s="195"/>
      <c r="I23" s="15">
        <v>199.82</v>
      </c>
      <c r="J23" s="15">
        <v>124.65</v>
      </c>
      <c r="K23" s="15">
        <v>114.02</v>
      </c>
      <c r="L23"/>
      <c r="M23" s="66">
        <f t="shared" si="12"/>
        <v>199.80676003451316</v>
      </c>
      <c r="N23" s="66">
        <f t="shared" si="13"/>
        <v>124.67326633914517</v>
      </c>
      <c r="O23" s="66">
        <f t="shared" si="14"/>
        <v>113.95720774987564</v>
      </c>
      <c r="P23" s="47"/>
      <c r="Q23" s="36">
        <f t="shared" si="2"/>
        <v>8.5381751320266641</v>
      </c>
      <c r="R23" s="36">
        <f t="shared" si="3"/>
        <v>2.8283332937358097</v>
      </c>
      <c r="S23" s="36">
        <f t="shared" si="4"/>
        <v>-28.623851773994403</v>
      </c>
      <c r="T23" s="36">
        <f t="shared" si="5"/>
        <v>5.3908888062301097</v>
      </c>
      <c r="U23" s="75"/>
      <c r="V23" s="15">
        <v>1</v>
      </c>
      <c r="W23" s="36">
        <f t="shared" si="6"/>
        <v>8.5495346677821118</v>
      </c>
      <c r="X23" s="36">
        <f t="shared" si="7"/>
        <v>2.830697058745514</v>
      </c>
      <c r="Y23" s="36">
        <f t="shared" si="8"/>
        <v>-28.623491056540601</v>
      </c>
      <c r="Z23" s="36">
        <f t="shared" si="9"/>
        <v>5.4534234644667059</v>
      </c>
      <c r="AB23" s="48">
        <f t="shared" si="10"/>
        <v>8.5381751320266641</v>
      </c>
      <c r="AC23" s="48">
        <f t="shared" si="11"/>
        <v>8.5495346677821118</v>
      </c>
      <c r="AT23" s="15"/>
      <c r="AU23" s="15"/>
      <c r="AV23" s="15"/>
      <c r="AW23" s="15"/>
      <c r="BB23" s="32"/>
    </row>
    <row r="24" spans="1:54" x14ac:dyDescent="0.3">
      <c r="A24" s="57">
        <v>10</v>
      </c>
      <c r="B24" s="15">
        <v>89.8</v>
      </c>
      <c r="C24" s="15">
        <v>42</v>
      </c>
      <c r="D24" s="15">
        <v>83.99</v>
      </c>
      <c r="E24" s="76"/>
      <c r="F24" s="124"/>
      <c r="G24" s="172"/>
      <c r="H24" s="196"/>
      <c r="I24" s="15">
        <v>86.21</v>
      </c>
      <c r="J24" s="15">
        <v>55.09</v>
      </c>
      <c r="K24" s="15">
        <v>72.290000000000006</v>
      </c>
      <c r="L24"/>
      <c r="M24" s="66">
        <f t="shared" si="12"/>
        <v>86.202807609156281</v>
      </c>
      <c r="N24" s="66">
        <f t="shared" si="13"/>
        <v>55.100445981011447</v>
      </c>
      <c r="O24" s="66">
        <f t="shared" si="14"/>
        <v>72.273843080175837</v>
      </c>
      <c r="P24" s="47"/>
      <c r="Q24" s="36">
        <f t="shared" si="2"/>
        <v>7.4223974690328056</v>
      </c>
      <c r="R24" s="36">
        <f t="shared" si="3"/>
        <v>2.1638128953230691</v>
      </c>
      <c r="S24" s="36">
        <f t="shared" si="4"/>
        <v>-15.038834908925086</v>
      </c>
      <c r="T24" s="36">
        <f t="shared" si="5"/>
        <v>5.4129673987797764</v>
      </c>
      <c r="U24" s="76"/>
      <c r="V24" s="15">
        <v>1</v>
      </c>
      <c r="W24" s="36">
        <f t="shared" si="6"/>
        <v>7.4308910901345353</v>
      </c>
      <c r="X24" s="36">
        <f t="shared" si="7"/>
        <v>2.1650336872639642</v>
      </c>
      <c r="Y24" s="36">
        <f t="shared" si="8"/>
        <v>-15.054413174131803</v>
      </c>
      <c r="Z24" s="36">
        <f t="shared" si="9"/>
        <v>5.421923904094089</v>
      </c>
      <c r="AB24" s="48">
        <f t="shared" si="10"/>
        <v>7.4223974690328056</v>
      </c>
      <c r="AC24" s="48">
        <f t="shared" si="11"/>
        <v>7.4308910901345353</v>
      </c>
      <c r="AT24" s="15"/>
      <c r="AU24" s="15"/>
      <c r="AV24" s="15"/>
      <c r="AW24" s="15"/>
      <c r="BB24" s="32"/>
    </row>
    <row r="25" spans="1:54" x14ac:dyDescent="0.3">
      <c r="A25" s="57">
        <v>11</v>
      </c>
      <c r="B25" s="15">
        <v>177.63</v>
      </c>
      <c r="C25" s="15">
        <v>204.63</v>
      </c>
      <c r="D25" s="15">
        <v>71.959999999999994</v>
      </c>
      <c r="E25" s="77"/>
      <c r="F25" s="125"/>
      <c r="G25" s="173"/>
      <c r="H25" s="197"/>
      <c r="I25" s="15">
        <v>172.11</v>
      </c>
      <c r="J25" s="15">
        <v>185.94</v>
      </c>
      <c r="K25" s="15">
        <v>144.87</v>
      </c>
      <c r="L25"/>
      <c r="M25" s="66">
        <f t="shared" si="12"/>
        <v>172.07124871728823</v>
      </c>
      <c r="N25" s="66">
        <f t="shared" si="13"/>
        <v>185.95649077052769</v>
      </c>
      <c r="O25" s="66">
        <f t="shared" si="14"/>
        <v>144.87966111861232</v>
      </c>
      <c r="P25" s="47"/>
      <c r="Q25" s="36">
        <f t="shared" si="2"/>
        <v>12.185370670950416</v>
      </c>
      <c r="R25" s="36">
        <f t="shared" si="3"/>
        <v>-4.6047081438297965</v>
      </c>
      <c r="S25" s="36">
        <f t="shared" si="4"/>
        <v>-43.783956536548715</v>
      </c>
      <c r="T25" s="36">
        <f t="shared" si="5"/>
        <v>5.2897436180047839</v>
      </c>
      <c r="U25" s="77"/>
      <c r="V25" s="15">
        <v>1</v>
      </c>
      <c r="W25" s="36">
        <f t="shared" si="6"/>
        <v>12.18650673436697</v>
      </c>
      <c r="X25" s="36">
        <f t="shared" si="7"/>
        <v>-4.6028541134571554</v>
      </c>
      <c r="Y25" s="36">
        <f t="shared" si="8"/>
        <v>-43.775199519279667</v>
      </c>
      <c r="Z25" s="36">
        <f t="shared" si="9"/>
        <v>5.3246507144676842</v>
      </c>
      <c r="AB25" s="48">
        <f t="shared" si="10"/>
        <v>12.185370670950416</v>
      </c>
      <c r="AC25" s="48">
        <f t="shared" si="11"/>
        <v>12.18650673436697</v>
      </c>
      <c r="AT25" s="15"/>
      <c r="AU25" s="15"/>
      <c r="AV25" s="15"/>
      <c r="AW25" s="15"/>
      <c r="BB25" s="32"/>
    </row>
    <row r="26" spans="1:54" x14ac:dyDescent="0.3">
      <c r="A26" s="57">
        <v>12</v>
      </c>
      <c r="B26" s="15">
        <v>242.26</v>
      </c>
      <c r="C26" s="15">
        <v>175.26</v>
      </c>
      <c r="D26" s="15">
        <v>44.28</v>
      </c>
      <c r="E26" s="78"/>
      <c r="F26" s="126"/>
      <c r="G26" s="174"/>
      <c r="H26" s="198"/>
      <c r="I26" s="15">
        <v>216.17</v>
      </c>
      <c r="J26" s="15">
        <v>178.79</v>
      </c>
      <c r="K26" s="15">
        <v>133.53</v>
      </c>
      <c r="L26"/>
      <c r="M26" s="66">
        <f t="shared" si="12"/>
        <v>216.14363885286218</v>
      </c>
      <c r="N26" s="66">
        <f t="shared" si="13"/>
        <v>178.81160042103846</v>
      </c>
      <c r="O26" s="66">
        <f t="shared" si="14"/>
        <v>133.49708040955844</v>
      </c>
      <c r="P26" s="47"/>
      <c r="Q26" s="36">
        <f t="shared" si="2"/>
        <v>10.230951818556772</v>
      </c>
      <c r="R26" s="36">
        <f t="shared" si="3"/>
        <v>-0.85738671740166694</v>
      </c>
      <c r="S26" s="36">
        <f t="shared" si="4"/>
        <v>-42.841638642808505</v>
      </c>
      <c r="T26" s="36">
        <f t="shared" si="5"/>
        <v>2.7815309399296346</v>
      </c>
      <c r="U26" s="78"/>
      <c r="V26" s="15">
        <v>1</v>
      </c>
      <c r="W26" s="36">
        <f t="shared" si="6"/>
        <v>10.22481818569304</v>
      </c>
      <c r="X26" s="36">
        <f t="shared" si="7"/>
        <v>-0.85506196889919295</v>
      </c>
      <c r="Y26" s="36">
        <f t="shared" si="8"/>
        <v>-42.828614872577838</v>
      </c>
      <c r="Z26" s="36">
        <f t="shared" si="9"/>
        <v>2.7349695661997093</v>
      </c>
      <c r="AB26" s="48">
        <f t="shared" si="10"/>
        <v>10.230951818556772</v>
      </c>
      <c r="AC26" s="48">
        <f t="shared" si="11"/>
        <v>10.22481818569304</v>
      </c>
      <c r="AT26" s="15"/>
      <c r="AU26" s="15"/>
      <c r="AV26" s="15"/>
      <c r="AW26" s="15"/>
      <c r="BB26" s="32"/>
    </row>
    <row r="27" spans="1:54" x14ac:dyDescent="0.3">
      <c r="A27" s="57">
        <v>13</v>
      </c>
      <c r="B27" s="15">
        <v>2.91</v>
      </c>
      <c r="C27" s="15">
        <v>17.91</v>
      </c>
      <c r="D27" s="15">
        <v>135.32</v>
      </c>
      <c r="E27" s="79"/>
      <c r="F27" s="127"/>
      <c r="G27" s="175"/>
      <c r="H27" s="199"/>
      <c r="I27" s="15">
        <v>17.559999999999999</v>
      </c>
      <c r="J27" s="15">
        <v>36.86</v>
      </c>
      <c r="K27" s="15">
        <v>87.23</v>
      </c>
      <c r="L27"/>
      <c r="M27" s="66">
        <f t="shared" si="12"/>
        <v>17.542600810127666</v>
      </c>
      <c r="N27" s="66">
        <f t="shared" si="13"/>
        <v>36.863051739890643</v>
      </c>
      <c r="O27" s="66">
        <f t="shared" si="14"/>
        <v>87.232932148942368</v>
      </c>
      <c r="P27" s="15"/>
      <c r="Q27" s="36">
        <f t="shared" si="2"/>
        <v>10.770654923001871</v>
      </c>
      <c r="R27" s="36">
        <f t="shared" si="3"/>
        <v>-0.37648635039592904</v>
      </c>
      <c r="S27" s="36">
        <f t="shared" si="4"/>
        <v>-41.28046085601418</v>
      </c>
      <c r="T27" s="36">
        <f t="shared" si="5"/>
        <v>11.610630083286566</v>
      </c>
      <c r="U27" s="79"/>
      <c r="V27" s="15">
        <v>2</v>
      </c>
      <c r="W27" s="36">
        <f t="shared" si="6"/>
        <v>10.771956963032945</v>
      </c>
      <c r="X27" s="36">
        <f t="shared" si="7"/>
        <v>-0.37612005751954314</v>
      </c>
      <c r="Y27" s="36">
        <f t="shared" si="8"/>
        <v>-41.280423758765046</v>
      </c>
      <c r="Z27" s="36">
        <f t="shared" si="9"/>
        <v>11.616274395058042</v>
      </c>
      <c r="AB27" s="48">
        <f t="shared" si="10"/>
        <v>21.541309846003742</v>
      </c>
      <c r="AC27" s="48">
        <f t="shared" si="11"/>
        <v>21.543913926065891</v>
      </c>
      <c r="AT27" s="15"/>
      <c r="AU27" s="15"/>
      <c r="AV27" s="15"/>
      <c r="AW27" s="15"/>
      <c r="BB27" s="32"/>
    </row>
    <row r="28" spans="1:54" x14ac:dyDescent="0.3">
      <c r="A28" s="57">
        <v>14</v>
      </c>
      <c r="B28" s="15">
        <v>67.41</v>
      </c>
      <c r="C28" s="15">
        <v>143.4</v>
      </c>
      <c r="D28" s="15">
        <v>71.41</v>
      </c>
      <c r="E28" s="80"/>
      <c r="F28" s="128"/>
      <c r="G28" s="176"/>
      <c r="H28" s="200"/>
      <c r="I28" s="15">
        <v>81.89</v>
      </c>
      <c r="J28" s="15">
        <v>126.25</v>
      </c>
      <c r="K28" s="15">
        <v>99.06</v>
      </c>
      <c r="L28"/>
      <c r="M28" s="66">
        <f t="shared" si="12"/>
        <v>81.84811645445312</v>
      </c>
      <c r="N28" s="66">
        <f t="shared" si="13"/>
        <v>126.25891421438287</v>
      </c>
      <c r="O28" s="66">
        <f t="shared" si="14"/>
        <v>99.085138868013402</v>
      </c>
      <c r="P28" s="15"/>
      <c r="Q28" s="36">
        <f t="shared" si="2"/>
        <v>10.258221132159365</v>
      </c>
      <c r="R28" s="36">
        <f t="shared" si="3"/>
        <v>-4.3186519531259364</v>
      </c>
      <c r="S28" s="36">
        <f t="shared" si="4"/>
        <v>-26.217825093552683</v>
      </c>
      <c r="T28" s="36">
        <f t="shared" si="5"/>
        <v>8.1134621534557194</v>
      </c>
      <c r="U28" s="80"/>
      <c r="V28" s="15">
        <v>2</v>
      </c>
      <c r="W28" s="36">
        <f t="shared" si="6"/>
        <v>10.263132708205196</v>
      </c>
      <c r="X28" s="36">
        <f t="shared" si="7"/>
        <v>-4.3175571688507972</v>
      </c>
      <c r="Y28" s="36">
        <f t="shared" si="8"/>
        <v>-26.211573389201469</v>
      </c>
      <c r="Z28" s="36">
        <f t="shared" si="9"/>
        <v>8.1400808017078674</v>
      </c>
      <c r="AB28" s="48">
        <f t="shared" si="10"/>
        <v>20.51644226431873</v>
      </c>
      <c r="AC28" s="48">
        <f t="shared" si="11"/>
        <v>20.526265416410393</v>
      </c>
      <c r="AT28" s="15"/>
      <c r="AU28" s="15"/>
      <c r="AV28" s="15"/>
      <c r="AW28" s="15"/>
      <c r="BB28" s="32"/>
    </row>
    <row r="29" spans="1:54" x14ac:dyDescent="0.3">
      <c r="A29" s="57">
        <v>15</v>
      </c>
      <c r="B29" s="15">
        <v>207.62</v>
      </c>
      <c r="C29" s="15">
        <v>52.58</v>
      </c>
      <c r="D29" s="15">
        <v>60.62</v>
      </c>
      <c r="E29" s="81"/>
      <c r="F29" s="129"/>
      <c r="G29" s="177"/>
      <c r="H29" s="201"/>
      <c r="I29" s="15">
        <v>177.25</v>
      </c>
      <c r="J29" s="15">
        <v>88.25</v>
      </c>
      <c r="K29" s="15">
        <v>80.25</v>
      </c>
      <c r="L29"/>
      <c r="M29" s="66">
        <f t="shared" si="12"/>
        <v>177.24874704692954</v>
      </c>
      <c r="N29" s="66">
        <f t="shared" si="13"/>
        <v>88.274476356237585</v>
      </c>
      <c r="O29" s="66">
        <f t="shared" si="14"/>
        <v>80.161248782405792</v>
      </c>
      <c r="P29" s="15"/>
      <c r="Q29" s="36">
        <f t="shared" si="2"/>
        <v>6.8156029966985479</v>
      </c>
      <c r="R29" s="36">
        <f t="shared" si="3"/>
        <v>1.0020469238786731</v>
      </c>
      <c r="S29" s="36">
        <f t="shared" si="4"/>
        <v>-27.112112642601126</v>
      </c>
      <c r="T29" s="36">
        <f t="shared" si="5"/>
        <v>2.358852043374263</v>
      </c>
      <c r="U29" s="81"/>
      <c r="V29" s="15">
        <v>2</v>
      </c>
      <c r="W29" s="36">
        <f t="shared" si="6"/>
        <v>6.8198962712549918</v>
      </c>
      <c r="X29" s="36">
        <f t="shared" si="7"/>
        <v>1.0052867721009235</v>
      </c>
      <c r="Y29" s="36">
        <f t="shared" si="8"/>
        <v>-27.100589219264471</v>
      </c>
      <c r="Z29" s="36">
        <f t="shared" si="9"/>
        <v>2.4356101196898048</v>
      </c>
      <c r="AB29" s="48">
        <f t="shared" si="10"/>
        <v>13.631205993397096</v>
      </c>
      <c r="AC29" s="48">
        <f t="shared" si="11"/>
        <v>13.639792542509984</v>
      </c>
      <c r="AT29" s="15"/>
      <c r="AU29" s="15"/>
      <c r="AV29" s="15"/>
      <c r="AW29" s="15"/>
      <c r="BB29" s="32"/>
    </row>
    <row r="30" spans="1:54" x14ac:dyDescent="0.3">
      <c r="A30" s="57">
        <v>16</v>
      </c>
      <c r="B30" s="15">
        <v>248.66</v>
      </c>
      <c r="C30" s="15">
        <v>216.07</v>
      </c>
      <c r="D30" s="15">
        <v>52.72</v>
      </c>
      <c r="E30" s="82"/>
      <c r="F30" s="130"/>
      <c r="G30" s="178"/>
      <c r="H30" s="202"/>
      <c r="I30" s="15">
        <v>222.88</v>
      </c>
      <c r="J30" s="15">
        <v>203.13</v>
      </c>
      <c r="K30" s="15">
        <v>154.27000000000001</v>
      </c>
      <c r="L30"/>
      <c r="M30" s="66">
        <f t="shared" si="12"/>
        <v>222.84631125619617</v>
      </c>
      <c r="N30" s="66">
        <f t="shared" si="13"/>
        <v>203.15155023900977</v>
      </c>
      <c r="O30" s="66">
        <f t="shared" si="14"/>
        <v>154.2540365370171</v>
      </c>
      <c r="P30" s="47"/>
      <c r="Q30" s="36">
        <f t="shared" si="2"/>
        <v>12.196972090554024</v>
      </c>
      <c r="R30" s="36">
        <f t="shared" si="3"/>
        <v>-4.4790447042720132</v>
      </c>
      <c r="S30" s="36">
        <f t="shared" si="4"/>
        <v>-50.934665778201932</v>
      </c>
      <c r="T30" s="36">
        <f t="shared" si="5"/>
        <v>1.9354078105463661</v>
      </c>
      <c r="U30" s="82"/>
      <c r="V30" s="15">
        <v>2</v>
      </c>
      <c r="W30" s="36">
        <f t="shared" si="6"/>
        <v>12.192321858837781</v>
      </c>
      <c r="X30" s="36">
        <f t="shared" si="7"/>
        <v>-4.4767246825127245</v>
      </c>
      <c r="Y30" s="36">
        <f t="shared" si="8"/>
        <v>-50.923332395432439</v>
      </c>
      <c r="Z30" s="36">
        <f t="shared" si="9"/>
        <v>1.8915366852113145</v>
      </c>
      <c r="AB30" s="48">
        <f t="shared" si="10"/>
        <v>24.393944181108047</v>
      </c>
      <c r="AC30" s="48">
        <f t="shared" si="11"/>
        <v>24.384643717675562</v>
      </c>
      <c r="AT30" s="15"/>
      <c r="AU30" s="15"/>
      <c r="AV30" s="15"/>
      <c r="AW30" s="15"/>
      <c r="BB30" s="32"/>
    </row>
    <row r="31" spans="1:54" x14ac:dyDescent="0.3">
      <c r="A31" s="57">
        <v>17</v>
      </c>
      <c r="B31" s="15">
        <v>210.6</v>
      </c>
      <c r="C31" s="15">
        <v>81.69</v>
      </c>
      <c r="D31" s="15">
        <v>137.55000000000001</v>
      </c>
      <c r="E31" s="83"/>
      <c r="F31" s="131"/>
      <c r="G31" s="179"/>
      <c r="H31" s="203"/>
      <c r="I31" s="15">
        <v>182.88</v>
      </c>
      <c r="J31" s="15">
        <v>111.88</v>
      </c>
      <c r="K31" s="15">
        <v>127.88</v>
      </c>
      <c r="L31"/>
      <c r="M31" s="66">
        <f t="shared" si="12"/>
        <v>182.86821445992507</v>
      </c>
      <c r="N31" s="66">
        <f t="shared" si="13"/>
        <v>111.90164929996189</v>
      </c>
      <c r="O31" s="66">
        <f t="shared" si="14"/>
        <v>127.83458846847459</v>
      </c>
      <c r="P31" s="47"/>
      <c r="Q31" s="36">
        <f t="shared" si="2"/>
        <v>8.5648000281419492</v>
      </c>
      <c r="R31" s="36">
        <f t="shared" si="3"/>
        <v>1.6452627040604</v>
      </c>
      <c r="S31" s="36">
        <f t="shared" si="4"/>
        <v>-25.813496122081201</v>
      </c>
      <c r="T31" s="36">
        <f t="shared" si="5"/>
        <v>7.6115698396565987</v>
      </c>
      <c r="U31" s="83"/>
      <c r="V31" s="15">
        <v>1</v>
      </c>
      <c r="W31" s="36">
        <f t="shared" si="6"/>
        <v>8.5805375079309414</v>
      </c>
      <c r="X31" s="36">
        <f t="shared" si="7"/>
        <v>1.6474490569222695</v>
      </c>
      <c r="Y31" s="36">
        <f t="shared" si="8"/>
        <v>-25.832774917584715</v>
      </c>
      <c r="Z31" s="36">
        <f t="shared" si="9"/>
        <v>7.6521614014361443</v>
      </c>
      <c r="AB31" s="48">
        <f t="shared" si="10"/>
        <v>8.5648000281419492</v>
      </c>
      <c r="AC31" s="48">
        <f t="shared" si="11"/>
        <v>8.5805375079309414</v>
      </c>
      <c r="AT31" s="15"/>
      <c r="AU31" s="15"/>
      <c r="AV31" s="15"/>
      <c r="AW31" s="15"/>
      <c r="BB31" s="32"/>
    </row>
    <row r="32" spans="1:54" x14ac:dyDescent="0.3">
      <c r="A32" s="57">
        <v>18</v>
      </c>
      <c r="B32" s="15">
        <v>0.3</v>
      </c>
      <c r="C32" s="15">
        <v>109.91</v>
      </c>
      <c r="D32" s="15">
        <v>174.28</v>
      </c>
      <c r="E32" s="84"/>
      <c r="F32" s="132"/>
      <c r="G32" s="180"/>
      <c r="H32" s="204"/>
      <c r="I32" s="15">
        <v>53.67</v>
      </c>
      <c r="J32" s="15">
        <v>104.66</v>
      </c>
      <c r="K32" s="15">
        <v>135.66</v>
      </c>
      <c r="L32"/>
      <c r="M32" s="66">
        <f t="shared" si="12"/>
        <v>53.624311231612836</v>
      </c>
      <c r="N32" s="66">
        <f t="shared" si="13"/>
        <v>104.666819697422</v>
      </c>
      <c r="O32" s="66">
        <f t="shared" si="14"/>
        <v>135.67405990517344</v>
      </c>
      <c r="P32" s="47"/>
      <c r="Q32" s="36">
        <f t="shared" si="2"/>
        <v>8.5663826909882399</v>
      </c>
      <c r="R32" s="36">
        <f t="shared" si="3"/>
        <v>-2.4002369441930824</v>
      </c>
      <c r="S32" s="36">
        <f t="shared" si="4"/>
        <v>-18.091018756992302</v>
      </c>
      <c r="T32" s="36">
        <f t="shared" si="5"/>
        <v>8.5684480682495749</v>
      </c>
      <c r="U32" s="84"/>
      <c r="V32" s="15">
        <v>0</v>
      </c>
      <c r="W32" s="36">
        <f t="shared" si="6"/>
        <v>8.5674763507026483</v>
      </c>
      <c r="X32" s="36">
        <f t="shared" si="7"/>
        <v>-2.3994256526071496</v>
      </c>
      <c r="Y32" s="36">
        <f t="shared" si="8"/>
        <v>-18.08121967086959</v>
      </c>
      <c r="Z32" s="36">
        <f t="shared" si="9"/>
        <v>8.5785400414381741</v>
      </c>
      <c r="AB32" s="48">
        <f t="shared" si="10"/>
        <v>0</v>
      </c>
      <c r="AC32" s="48">
        <f t="shared" si="11"/>
        <v>0</v>
      </c>
      <c r="AT32" s="15"/>
      <c r="AU32" s="15"/>
      <c r="AV32" s="15"/>
      <c r="AW32" s="15"/>
      <c r="BB32" s="32"/>
    </row>
    <row r="33" spans="1:52" x14ac:dyDescent="0.3">
      <c r="A33" s="57">
        <v>19</v>
      </c>
      <c r="B33" s="15">
        <v>236.43</v>
      </c>
      <c r="C33" s="15">
        <v>231.43</v>
      </c>
      <c r="D33" s="15">
        <v>225.43</v>
      </c>
      <c r="E33" s="85"/>
      <c r="F33" s="133"/>
      <c r="G33" s="181"/>
      <c r="H33" s="205"/>
      <c r="I33" s="15">
        <v>233.31</v>
      </c>
      <c r="J33" s="15">
        <v>229.31</v>
      </c>
      <c r="K33" s="15">
        <v>226.31</v>
      </c>
      <c r="L33"/>
      <c r="M33" s="66">
        <f t="shared" si="12"/>
        <v>233.26831431423204</v>
      </c>
      <c r="N33" s="66">
        <f t="shared" si="13"/>
        <v>229.33213663495306</v>
      </c>
      <c r="O33" s="66">
        <f t="shared" si="14"/>
        <v>226.30781557460554</v>
      </c>
      <c r="P33" s="47"/>
      <c r="Q33" s="36">
        <f t="shared" si="2"/>
        <v>1.5752077018571371</v>
      </c>
      <c r="R33" s="36">
        <f t="shared" si="3"/>
        <v>-0.74755400973489827</v>
      </c>
      <c r="S33" s="36">
        <f t="shared" si="4"/>
        <v>-1.4633600327966989</v>
      </c>
      <c r="T33" s="36">
        <f t="shared" si="5"/>
        <v>0.60768408500666971</v>
      </c>
      <c r="U33" s="85"/>
      <c r="V33" s="15">
        <v>1</v>
      </c>
      <c r="W33" s="36">
        <f t="shared" si="6"/>
        <v>1.5670125211999226</v>
      </c>
      <c r="X33" s="36">
        <f t="shared" si="7"/>
        <v>-0.74523821065854179</v>
      </c>
      <c r="Y33" s="36">
        <f t="shared" si="8"/>
        <v>-1.4696813988899922</v>
      </c>
      <c r="Z33" s="36">
        <f t="shared" si="9"/>
        <v>0.57380944069457529</v>
      </c>
      <c r="AB33" s="48">
        <f t="shared" si="10"/>
        <v>1.5752077018571371</v>
      </c>
      <c r="AC33" s="48">
        <f t="shared" si="11"/>
        <v>1.5670125211999226</v>
      </c>
      <c r="AU33" s="15"/>
      <c r="AV33" s="15"/>
      <c r="AW33" s="15"/>
      <c r="AZ33" s="32"/>
    </row>
    <row r="34" spans="1:52" x14ac:dyDescent="0.3">
      <c r="A34" s="57">
        <v>20</v>
      </c>
      <c r="B34" s="15">
        <v>205.97</v>
      </c>
      <c r="C34" s="15">
        <v>202.8</v>
      </c>
      <c r="D34" s="15">
        <v>197.11</v>
      </c>
      <c r="E34" s="86"/>
      <c r="F34" s="134"/>
      <c r="G34" s="182"/>
      <c r="H34" s="206"/>
      <c r="I34" s="15">
        <v>195.95</v>
      </c>
      <c r="J34" s="15">
        <v>192.16</v>
      </c>
      <c r="K34" s="15">
        <v>190.05</v>
      </c>
      <c r="L34"/>
      <c r="M34" s="66">
        <f t="shared" si="12"/>
        <v>195.91477291484122</v>
      </c>
      <c r="N34" s="66">
        <f t="shared" si="13"/>
        <v>192.17879935417648</v>
      </c>
      <c r="O34" s="66">
        <f t="shared" si="14"/>
        <v>190.04793317729539</v>
      </c>
      <c r="P34" s="47"/>
      <c r="Q34" s="36">
        <f t="shared" si="2"/>
        <v>4.0913965104285053</v>
      </c>
      <c r="R34" s="36">
        <f t="shared" si="3"/>
        <v>-3.7098635560153639</v>
      </c>
      <c r="S34" s="36">
        <f t="shared" si="4"/>
        <v>-1.4218816998329447</v>
      </c>
      <c r="T34" s="36">
        <f t="shared" si="5"/>
        <v>1.255287419399912</v>
      </c>
      <c r="U34" s="86"/>
      <c r="V34" s="15">
        <v>1</v>
      </c>
      <c r="W34" s="36">
        <f t="shared" si="6"/>
        <v>4.0834167221477768</v>
      </c>
      <c r="X34" s="36">
        <f t="shared" si="7"/>
        <v>-3.7078317860400745</v>
      </c>
      <c r="Y34" s="36">
        <f t="shared" si="8"/>
        <v>-1.4305774197070797</v>
      </c>
      <c r="Z34" s="36">
        <f t="shared" si="9"/>
        <v>1.2246742588755499</v>
      </c>
      <c r="AB34" s="48">
        <f t="shared" si="10"/>
        <v>4.0913965104285053</v>
      </c>
      <c r="AC34" s="48">
        <f t="shared" si="11"/>
        <v>4.0834167221477768</v>
      </c>
      <c r="AD34" s="36"/>
      <c r="AG34" s="7"/>
      <c r="AH34" s="7"/>
      <c r="AI34" s="7"/>
      <c r="AU34" s="15"/>
      <c r="AV34" s="15"/>
      <c r="AW34" s="15"/>
    </row>
    <row r="35" spans="1:52" x14ac:dyDescent="0.3">
      <c r="A35" s="57">
        <v>21</v>
      </c>
      <c r="B35" s="15">
        <v>162.65</v>
      </c>
      <c r="C35" s="15">
        <v>159.65</v>
      </c>
      <c r="D35" s="15">
        <v>154.65</v>
      </c>
      <c r="E35" s="87"/>
      <c r="F35" s="135"/>
      <c r="G35" s="183"/>
      <c r="H35" s="207"/>
      <c r="I35" s="15">
        <v>149.31</v>
      </c>
      <c r="J35" s="15">
        <v>148.31</v>
      </c>
      <c r="K35" s="15">
        <v>146.07</v>
      </c>
      <c r="L35"/>
      <c r="M35" s="66">
        <f t="shared" si="12"/>
        <v>149.28179141245352</v>
      </c>
      <c r="N35" s="66">
        <f t="shared" si="13"/>
        <v>148.32459315287667</v>
      </c>
      <c r="O35" s="66">
        <f t="shared" si="14"/>
        <v>146.06945840853427</v>
      </c>
      <c r="P35" s="47"/>
      <c r="Q35" s="36">
        <f t="shared" si="2"/>
        <v>4.6341349789885715</v>
      </c>
      <c r="R35" s="36">
        <f t="shared" si="3"/>
        <v>-4.3875905008378737</v>
      </c>
      <c r="S35" s="36">
        <f t="shared" si="4"/>
        <v>-1.679090126226501</v>
      </c>
      <c r="T35" s="36">
        <f t="shared" si="5"/>
        <v>0.19186522918839963</v>
      </c>
      <c r="U35" s="87"/>
      <c r="V35" s="15">
        <v>1</v>
      </c>
      <c r="W35" s="36">
        <f t="shared" si="6"/>
        <v>4.6327639178394016</v>
      </c>
      <c r="X35" s="36">
        <f t="shared" si="7"/>
        <v>-4.385931983029522</v>
      </c>
      <c r="Y35" s="36">
        <f t="shared" si="8"/>
        <v>-1.6757351902441793</v>
      </c>
      <c r="Z35" s="36">
        <f t="shared" si="9"/>
        <v>0.21993987479287319</v>
      </c>
      <c r="AB35" s="48">
        <f t="shared" si="10"/>
        <v>4.6341349789885715</v>
      </c>
      <c r="AC35" s="48">
        <f t="shared" si="11"/>
        <v>4.6327639178394016</v>
      </c>
      <c r="AD35" s="36"/>
      <c r="AG35" s="7"/>
      <c r="AH35" s="7"/>
      <c r="AI35" s="7"/>
      <c r="AU35" s="15"/>
      <c r="AV35" s="15"/>
      <c r="AW35" s="15"/>
    </row>
    <row r="36" spans="1:52" x14ac:dyDescent="0.3">
      <c r="A36" s="57">
        <v>22</v>
      </c>
      <c r="B36" s="15">
        <v>101.6</v>
      </c>
      <c r="C36" s="15">
        <v>100.6</v>
      </c>
      <c r="D36" s="15">
        <v>96.6</v>
      </c>
      <c r="E36" s="88"/>
      <c r="F36" s="136"/>
      <c r="G36" s="184">
        <v>0.18</v>
      </c>
      <c r="H36" s="208"/>
      <c r="I36" s="15">
        <v>95.91</v>
      </c>
      <c r="J36" s="15">
        <v>94.91</v>
      </c>
      <c r="K36" s="15">
        <v>92.47</v>
      </c>
      <c r="L36"/>
      <c r="M36" s="66">
        <f t="shared" si="12"/>
        <v>95.891149953327073</v>
      </c>
      <c r="N36" s="66">
        <f t="shared" si="13"/>
        <v>94.919827025851873</v>
      </c>
      <c r="O36" s="66">
        <f t="shared" si="14"/>
        <v>92.469449636383004</v>
      </c>
      <c r="P36" s="47"/>
      <c r="Q36" s="36">
        <f t="shared" si="2"/>
        <v>2.4419811432762204</v>
      </c>
      <c r="R36" s="36">
        <f t="shared" si="3"/>
        <v>-2.295198101045365</v>
      </c>
      <c r="S36" s="36">
        <f t="shared" si="4"/>
        <v>-0.89969595286096804</v>
      </c>
      <c r="T36" s="36">
        <f t="shared" si="5"/>
        <v>0.20175468530349072</v>
      </c>
      <c r="U36" s="88"/>
      <c r="V36" s="15">
        <v>1</v>
      </c>
      <c r="W36" s="36">
        <f t="shared" si="6"/>
        <v>2.4387665035795099</v>
      </c>
      <c r="X36" s="36">
        <f t="shared" si="7"/>
        <v>-2.2939879393680656</v>
      </c>
      <c r="Y36" s="36">
        <f t="shared" si="8"/>
        <v>-0.89686405606782515</v>
      </c>
      <c r="Z36" s="36">
        <f t="shared" si="9"/>
        <v>0.18507940692900116</v>
      </c>
      <c r="AB36" s="48">
        <f t="shared" si="10"/>
        <v>2.4419811432762204</v>
      </c>
      <c r="AC36" s="48">
        <f t="shared" si="11"/>
        <v>2.4387665035795099</v>
      </c>
      <c r="AD36" s="36"/>
      <c r="AG36" s="7"/>
      <c r="AH36" s="7"/>
      <c r="AI36" s="7"/>
      <c r="AU36" s="15"/>
      <c r="AV36" s="15"/>
      <c r="AW36" s="15"/>
    </row>
    <row r="37" spans="1:52" x14ac:dyDescent="0.3">
      <c r="A37" s="57">
        <v>23</v>
      </c>
      <c r="B37" s="15">
        <v>53.81</v>
      </c>
      <c r="C37" s="15">
        <v>54.16</v>
      </c>
      <c r="D37" s="15">
        <v>53.99</v>
      </c>
      <c r="E37" s="89"/>
      <c r="F37" s="137"/>
      <c r="G37" s="185"/>
      <c r="H37" s="209"/>
      <c r="I37" s="15">
        <v>47.41</v>
      </c>
      <c r="J37" s="15">
        <v>47.41</v>
      </c>
      <c r="K37" s="15">
        <v>47.38</v>
      </c>
      <c r="L37"/>
      <c r="M37" s="66">
        <f t="shared" si="12"/>
        <v>47.399232290168271</v>
      </c>
      <c r="N37" s="66">
        <f t="shared" si="13"/>
        <v>47.415483528636749</v>
      </c>
      <c r="O37" s="66">
        <f t="shared" si="14"/>
        <v>47.380001034223476</v>
      </c>
      <c r="P37" s="47"/>
      <c r="Q37" s="36">
        <f t="shared" si="2"/>
        <v>3.062865762829722</v>
      </c>
      <c r="R37" s="36">
        <f t="shared" si="3"/>
        <v>-3.0572773234898065</v>
      </c>
      <c r="S37" s="36">
        <f t="shared" si="4"/>
        <v>-0.17494943637568464</v>
      </c>
      <c r="T37" s="36">
        <f t="shared" si="5"/>
        <v>6.4388564526449615E-2</v>
      </c>
      <c r="U37" s="89"/>
      <c r="V37" s="15">
        <v>1</v>
      </c>
      <c r="W37" s="36">
        <f t="shared" si="6"/>
        <v>3.0616099078887333</v>
      </c>
      <c r="X37" s="36">
        <f t="shared" si="7"/>
        <v>-3.0565208248895104</v>
      </c>
      <c r="Y37" s="36">
        <f t="shared" si="8"/>
        <v>-0.17100352666073929</v>
      </c>
      <c r="Z37" s="36">
        <f t="shared" si="9"/>
        <v>4.9102510391683576E-2</v>
      </c>
      <c r="AB37" s="48">
        <f t="shared" si="10"/>
        <v>3.062865762829722</v>
      </c>
      <c r="AC37" s="48">
        <f t="shared" si="11"/>
        <v>3.0616099078887333</v>
      </c>
      <c r="AD37" s="36"/>
      <c r="AG37" s="7"/>
      <c r="AH37" s="7"/>
      <c r="AI37" s="7"/>
      <c r="AU37" s="15"/>
      <c r="AV37" s="15"/>
      <c r="AW37" s="15"/>
    </row>
    <row r="38" spans="1:52" x14ac:dyDescent="0.3">
      <c r="A38" s="57">
        <v>24</v>
      </c>
      <c r="B38" s="15">
        <v>14.83</v>
      </c>
      <c r="C38" s="15">
        <v>14.83</v>
      </c>
      <c r="D38" s="15">
        <v>14.83</v>
      </c>
      <c r="E38" s="90"/>
      <c r="F38" s="138"/>
      <c r="G38" s="186"/>
      <c r="H38" s="210"/>
      <c r="I38" s="15">
        <v>12.38</v>
      </c>
      <c r="J38" s="15">
        <v>12.38</v>
      </c>
      <c r="K38" s="15">
        <v>13.36</v>
      </c>
      <c r="L38"/>
      <c r="M38" s="66">
        <f t="shared" si="12"/>
        <v>12.375371996775344</v>
      </c>
      <c r="N38" s="66">
        <f t="shared" si="13"/>
        <v>12.382356841762071</v>
      </c>
      <c r="O38" s="66">
        <f t="shared" si="14"/>
        <v>13.360000422114798</v>
      </c>
      <c r="P38" s="47"/>
      <c r="Q38" s="36">
        <f t="shared" si="2"/>
        <v>0.9181039213416704</v>
      </c>
      <c r="R38" s="36">
        <f t="shared" si="3"/>
        <v>-0.79336938054193951</v>
      </c>
      <c r="S38" s="36">
        <f t="shared" si="4"/>
        <v>0.46135847717268669</v>
      </c>
      <c r="T38" s="36">
        <f t="shared" si="5"/>
        <v>2.5580122151844388E-2</v>
      </c>
      <c r="U38" s="90"/>
      <c r="V38" s="15">
        <v>1</v>
      </c>
      <c r="W38" s="36">
        <f t="shared" si="6"/>
        <v>0.91735815249032138</v>
      </c>
      <c r="X38" s="36">
        <f t="shared" si="7"/>
        <v>-0.79315013422887048</v>
      </c>
      <c r="Y38" s="36">
        <f t="shared" si="8"/>
        <v>0.46024647893901982</v>
      </c>
      <c r="Z38" s="36">
        <f t="shared" si="9"/>
        <v>2.5652450492951718E-2</v>
      </c>
      <c r="AB38" s="48">
        <f t="shared" si="10"/>
        <v>0.9181039213416704</v>
      </c>
      <c r="AC38" s="48">
        <f t="shared" si="11"/>
        <v>0.91735815249032138</v>
      </c>
      <c r="AD38" s="36"/>
      <c r="AU38" s="15"/>
      <c r="AV38" s="15"/>
      <c r="AW38" s="15"/>
    </row>
    <row r="39" spans="1:52" x14ac:dyDescent="0.3">
      <c r="A39"/>
      <c r="L39"/>
      <c r="N39"/>
      <c r="O39"/>
      <c r="P39"/>
      <c r="Q39"/>
      <c r="R39"/>
      <c r="S39"/>
      <c r="V39"/>
      <c r="W39"/>
      <c r="X39"/>
      <c r="Y39"/>
      <c r="AA39"/>
      <c r="AB39"/>
      <c r="AC39"/>
      <c r="AD39"/>
      <c r="AK39"/>
      <c r="AS39"/>
      <c r="AT39"/>
    </row>
    <row r="40" spans="1:52" x14ac:dyDescent="0.3">
      <c r="B40" s="36" t="s">
        <v>46</v>
      </c>
      <c r="C40" s="36" t="s">
        <v>47</v>
      </c>
      <c r="D40" s="36" t="s">
        <v>48</v>
      </c>
      <c r="I40" s="32" t="s">
        <v>49</v>
      </c>
      <c r="J40" s="32" t="s">
        <v>50</v>
      </c>
      <c r="K40" s="32" t="s">
        <v>51</v>
      </c>
      <c r="M40" s="32" t="s">
        <v>52</v>
      </c>
      <c r="N40" s="32" t="s">
        <v>53</v>
      </c>
      <c r="O40" s="32" t="s">
        <v>54</v>
      </c>
      <c r="P40" s="32"/>
      <c r="Q40" s="32" t="s">
        <v>55</v>
      </c>
      <c r="R40" s="32" t="s">
        <v>56</v>
      </c>
      <c r="S40" s="32" t="s">
        <v>57</v>
      </c>
    </row>
    <row r="41" spans="1:52" x14ac:dyDescent="0.3">
      <c r="B41" s="36">
        <f t="shared" ref="B41:D64" si="15">IF((B15/255)&lt;=0.04045, (B15/255)/12.92, (((B15/255)+0.055)/1.055)^2.4)</f>
        <v>0.18384325979851071</v>
      </c>
      <c r="C41" s="36">
        <f t="shared" si="15"/>
        <v>7.1906315669267667E-2</v>
      </c>
      <c r="D41" s="36">
        <f t="shared" si="15"/>
        <v>4.0653001835934684E-2</v>
      </c>
      <c r="E41" s="91"/>
      <c r="F41" s="139"/>
      <c r="G41" s="163"/>
      <c r="H41" s="187"/>
      <c r="I41" s="36">
        <f>IF((I15/255)&lt;=0.04045, (I15/255)/12.92, (((I15/255)+0.055)/1.055)^2.4)</f>
        <v>0.18661225049060248</v>
      </c>
      <c r="J41" s="36">
        <f t="shared" ref="I41:K64" si="16">IF((J15/255)&lt;=0.04045, (J15/255)/12.92, (((J15/255)+0.055)/1.055)^2.4)</f>
        <v>0.10473605716436993</v>
      </c>
      <c r="K41" s="36">
        <f t="shared" si="16"/>
        <v>7.8449914076049856E-2</v>
      </c>
      <c r="M41" s="36">
        <f>IF((M15/255)&lt;=0.04045, (M15/255)/12.92, (((M15/255)+0.055)/1.055)^2.4)</f>
        <v>0.1865682181043167</v>
      </c>
      <c r="N41" s="36">
        <f t="shared" ref="M41:O64" si="17">IF((N15/255)&lt;=0.04045, (N15/255)/12.92, (((N15/255)+0.055)/1.055)^2.4)</f>
        <v>0.10476693797215064</v>
      </c>
      <c r="O41" s="36">
        <f t="shared" si="17"/>
        <v>7.8406393456156798E-2</v>
      </c>
      <c r="P41" s="36"/>
      <c r="Q41" s="36">
        <f t="shared" ref="Q41:Q64" si="18">SQRT(C119^2+D119^2)</f>
        <v>24.627727640124579</v>
      </c>
      <c r="R41" s="36">
        <f t="shared" ref="R41:R64" si="19">SQRT(J119^2+K119^2)</f>
        <v>15.0793430479133</v>
      </c>
      <c r="S41" s="36">
        <f t="shared" ref="S41:S64" si="20">SQRT(N119^2+O119^2)</f>
        <v>15.079859502096479</v>
      </c>
    </row>
    <row r="42" spans="1:52" x14ac:dyDescent="0.3">
      <c r="B42" s="36">
        <f t="shared" si="15"/>
        <v>0.76151345837858431</v>
      </c>
      <c r="C42" s="36">
        <f t="shared" si="15"/>
        <v>0.35216317286023507</v>
      </c>
      <c r="D42" s="36">
        <f t="shared" si="15"/>
        <v>0.27944522138860833</v>
      </c>
      <c r="E42" s="92"/>
      <c r="F42" s="140"/>
      <c r="G42" s="164"/>
      <c r="H42" s="188"/>
      <c r="I42" s="36">
        <f t="shared" si="16"/>
        <v>0.72106315787299857</v>
      </c>
      <c r="J42" s="36">
        <f t="shared" si="16"/>
        <v>0.49326260302905672</v>
      </c>
      <c r="K42" s="36">
        <f t="shared" si="16"/>
        <v>0.42532360067037861</v>
      </c>
      <c r="M42" s="36">
        <f t="shared" si="17"/>
        <v>0.72085574690148879</v>
      </c>
      <c r="N42" s="36">
        <f t="shared" si="17"/>
        <v>0.49339176606232787</v>
      </c>
      <c r="O42" s="36">
        <f t="shared" si="17"/>
        <v>0.42514699149884605</v>
      </c>
      <c r="P42" s="36"/>
      <c r="Q42" s="36">
        <f t="shared" si="18"/>
        <v>28.896515919530003</v>
      </c>
      <c r="R42" s="36">
        <f t="shared" si="19"/>
        <v>14.91751609861786</v>
      </c>
      <c r="S42" s="36">
        <f t="shared" si="20"/>
        <v>14.913119264562248</v>
      </c>
    </row>
    <row r="43" spans="1:52" x14ac:dyDescent="0.3">
      <c r="B43" s="36">
        <f t="shared" si="15"/>
        <v>0.13843161503245185</v>
      </c>
      <c r="C43" s="36">
        <f t="shared" si="15"/>
        <v>0.2232279573168085</v>
      </c>
      <c r="D43" s="36">
        <f t="shared" si="15"/>
        <v>0.46207699965440707</v>
      </c>
      <c r="E43" s="93"/>
      <c r="F43" s="141"/>
      <c r="G43" s="165"/>
      <c r="H43" s="189"/>
      <c r="I43" s="36">
        <f t="shared" si="16"/>
        <v>0.19478956467498432</v>
      </c>
      <c r="J43" s="36">
        <f t="shared" si="16"/>
        <v>0.24809607365632366</v>
      </c>
      <c r="K43" s="36">
        <f t="shared" si="16"/>
        <v>0.3402947982995006</v>
      </c>
      <c r="M43" s="36">
        <f t="shared" si="17"/>
        <v>0.1946852038794008</v>
      </c>
      <c r="N43" s="36">
        <f t="shared" si="17"/>
        <v>0.24814372659216555</v>
      </c>
      <c r="O43" s="36">
        <f t="shared" si="17"/>
        <v>0.34032314570774824</v>
      </c>
      <c r="P43" s="36"/>
      <c r="Q43" s="36">
        <f t="shared" si="18"/>
        <v>30.093222402240908</v>
      </c>
      <c r="R43" s="36">
        <f t="shared" si="19"/>
        <v>13.006702312027683</v>
      </c>
      <c r="S43" s="36">
        <f t="shared" si="20"/>
        <v>13.008741035804919</v>
      </c>
    </row>
    <row r="44" spans="1:52" x14ac:dyDescent="0.3">
      <c r="B44" s="36">
        <f t="shared" si="15"/>
        <v>0.10104284161920278</v>
      </c>
      <c r="C44" s="36">
        <f t="shared" si="15"/>
        <v>0.14263438922628194</v>
      </c>
      <c r="D44" s="36">
        <f t="shared" si="15"/>
        <v>4.4631502092248233E-2</v>
      </c>
      <c r="E44" s="94"/>
      <c r="F44" s="142"/>
      <c r="G44" s="166"/>
      <c r="H44" s="190"/>
      <c r="I44" s="36">
        <f t="shared" si="16"/>
        <v>0.12708925834058551</v>
      </c>
      <c r="J44" s="36">
        <f t="shared" si="16"/>
        <v>0.15253860741791325</v>
      </c>
      <c r="K44" s="36">
        <f t="shared" si="16"/>
        <v>0.10097257538954146</v>
      </c>
      <c r="M44" s="36">
        <f t="shared" si="17"/>
        <v>0.12702509519697694</v>
      </c>
      <c r="N44" s="36">
        <f t="shared" si="17"/>
        <v>0.15256866160052515</v>
      </c>
      <c r="O44" s="36">
        <f t="shared" si="17"/>
        <v>0.10098611025573294</v>
      </c>
      <c r="P44" s="36"/>
      <c r="Q44" s="36">
        <f t="shared" si="18"/>
        <v>27.854571960047043</v>
      </c>
      <c r="R44" s="36">
        <f t="shared" si="19"/>
        <v>12.156756130623721</v>
      </c>
      <c r="S44" s="36">
        <f t="shared" si="20"/>
        <v>12.163820100082543</v>
      </c>
    </row>
    <row r="45" spans="1:52" x14ac:dyDescent="0.3">
      <c r="B45" s="36">
        <f t="shared" si="15"/>
        <v>0.3381580693392906</v>
      </c>
      <c r="C45" s="36">
        <f t="shared" si="15"/>
        <v>0.23535542289765546</v>
      </c>
      <c r="D45" s="36">
        <f t="shared" si="15"/>
        <v>0.52221614953119633</v>
      </c>
      <c r="E45" s="95"/>
      <c r="F45" s="143"/>
      <c r="G45" s="167"/>
      <c r="H45" s="191"/>
      <c r="I45" s="36">
        <f t="shared" si="16"/>
        <v>0.37374497650267891</v>
      </c>
      <c r="J45" s="36">
        <f t="shared" si="16"/>
        <v>0.30365026304632137</v>
      </c>
      <c r="K45" s="36">
        <f t="shared" si="16"/>
        <v>0.41627812265990083</v>
      </c>
      <c r="M45" s="36">
        <f t="shared" si="17"/>
        <v>0.37361727877504369</v>
      </c>
      <c r="N45" s="36">
        <f t="shared" si="17"/>
        <v>0.30372254256678249</v>
      </c>
      <c r="O45" s="36">
        <f t="shared" si="17"/>
        <v>0.41624087302878038</v>
      </c>
      <c r="P45" s="36"/>
      <c r="Q45" s="36">
        <f t="shared" si="18"/>
        <v>33.981429832637026</v>
      </c>
      <c r="R45" s="36">
        <f t="shared" si="19"/>
        <v>14.030641273121763</v>
      </c>
      <c r="S45" s="36">
        <f t="shared" si="20"/>
        <v>14.012519226156938</v>
      </c>
      <c r="W45" s="15" t="s">
        <v>6</v>
      </c>
      <c r="X45" s="15" t="s">
        <v>9</v>
      </c>
      <c r="Y45" s="15" t="s">
        <v>16</v>
      </c>
      <c r="Z45" s="15"/>
      <c r="AA45" s="7"/>
      <c r="AB45" s="6" t="s">
        <v>38</v>
      </c>
      <c r="AC45" s="36" t="s">
        <v>40</v>
      </c>
      <c r="AD45" s="32" t="s">
        <v>41</v>
      </c>
    </row>
    <row r="46" spans="1:52" x14ac:dyDescent="0.3">
      <c r="B46" s="36">
        <f t="shared" si="15"/>
        <v>0.19925089507401941</v>
      </c>
      <c r="C46" s="36">
        <f t="shared" si="15"/>
        <v>0.61552480153023703</v>
      </c>
      <c r="D46" s="36">
        <f t="shared" si="15"/>
        <v>0.58473054884074183</v>
      </c>
      <c r="E46" s="96"/>
      <c r="F46" s="144"/>
      <c r="G46" s="168"/>
      <c r="H46" s="192"/>
      <c r="I46" s="36">
        <f t="shared" si="16"/>
        <v>0.32568763300909542</v>
      </c>
      <c r="J46" s="36">
        <f t="shared" si="16"/>
        <v>0.54128621512782593</v>
      </c>
      <c r="K46" s="36">
        <f t="shared" si="16"/>
        <v>0.54209727088041881</v>
      </c>
      <c r="M46" s="36">
        <f t="shared" si="17"/>
        <v>0.32545991944877617</v>
      </c>
      <c r="N46" s="36">
        <f t="shared" si="17"/>
        <v>0.54137994295140979</v>
      </c>
      <c r="O46" s="36">
        <f t="shared" si="17"/>
        <v>0.54221190353034532</v>
      </c>
      <c r="P46" s="36"/>
      <c r="Q46" s="36">
        <f t="shared" si="18"/>
        <v>26.770288451107078</v>
      </c>
      <c r="R46" s="36">
        <f t="shared" si="19"/>
        <v>13.818459596924406</v>
      </c>
      <c r="S46" s="36">
        <f t="shared" si="20"/>
        <v>13.839021049056603</v>
      </c>
      <c r="W46" s="15">
        <f>VLOOKUP($AB46,$W$92:$AC$116,4,0)</f>
        <v>248.66</v>
      </c>
      <c r="X46" s="15">
        <f>VLOOKUP($AB46,$W$92:$AC$116,6,0)</f>
        <v>216.07</v>
      </c>
      <c r="Y46" s="15">
        <f>VLOOKUP($AB46,$W$92:$AC$116,7,0)</f>
        <v>52.72</v>
      </c>
      <c r="Z46" s="49" t="str">
        <f>"E"&amp;MATCH(LARGE($Q$15:$Q$38,1),$Q$15:$Q$38,0)+14</f>
        <v>E30</v>
      </c>
      <c r="AA46" s="211"/>
      <c r="AB46" s="50">
        <f>LARGE(Q15:Q38,1)</f>
        <v>12.196972090554024</v>
      </c>
      <c r="AC46" s="36">
        <f>ABS(VLOOKUP($AB46,$Q$15:$T$38,3,0))</f>
        <v>50.934665778201932</v>
      </c>
      <c r="AD46" s="36">
        <f>VLOOKUP($AB46,$Q$15:$T$38,4,0)</f>
        <v>1.9354078105463661</v>
      </c>
    </row>
    <row r="47" spans="1:52" x14ac:dyDescent="0.3">
      <c r="B47" s="36">
        <f t="shared" si="15"/>
        <v>0.84857455243146829</v>
      </c>
      <c r="C47" s="36">
        <f t="shared" si="15"/>
        <v>0.25099392464286469</v>
      </c>
      <c r="D47" s="36">
        <f t="shared" si="15"/>
        <v>2.6401554815240907E-2</v>
      </c>
      <c r="E47" s="97"/>
      <c r="F47" s="145"/>
      <c r="G47" s="169"/>
      <c r="H47" s="193"/>
      <c r="I47" s="36">
        <f t="shared" si="16"/>
        <v>0.68232299622833292</v>
      </c>
      <c r="J47" s="36">
        <f t="shared" si="16"/>
        <v>0.35206611866454673</v>
      </c>
      <c r="K47" s="36">
        <f t="shared" si="16"/>
        <v>0.18027633347188884</v>
      </c>
      <c r="M47" s="36">
        <f t="shared" si="17"/>
        <v>0.68217499601387133</v>
      </c>
      <c r="N47" s="36">
        <f t="shared" si="17"/>
        <v>0.35217559831819018</v>
      </c>
      <c r="O47" s="36">
        <f t="shared" si="17"/>
        <v>0.18010078529149545</v>
      </c>
      <c r="P47" s="36"/>
      <c r="Q47" s="36">
        <f t="shared" si="18"/>
        <v>69.565614308998164</v>
      </c>
      <c r="R47" s="36">
        <f t="shared" si="19"/>
        <v>33.752329405345385</v>
      </c>
      <c r="S47" s="36">
        <f t="shared" si="20"/>
        <v>33.768547299368826</v>
      </c>
      <c r="W47" s="15">
        <f t="shared" ref="W47:W50" si="21">VLOOKUP($AB47,$W$92:$AC$116,4,0)</f>
        <v>177.63</v>
      </c>
      <c r="X47" s="15">
        <f t="shared" ref="X47:X50" si="22">VLOOKUP($AB47,$W$92:$AC$116,6,0)</f>
        <v>204.63</v>
      </c>
      <c r="Y47" s="15">
        <f t="shared" ref="Y47:Y50" si="23">VLOOKUP($AB47,$W$92:$AC$116,7,0)</f>
        <v>71.959999999999994</v>
      </c>
      <c r="Z47" s="49" t="str">
        <f>"E"&amp;MATCH(LARGE($Q$15:$Q$38,2),$Q$15:$Q$38,0)+14</f>
        <v>E25</v>
      </c>
      <c r="AA47" s="212"/>
      <c r="AB47" s="50">
        <f>LARGE(Q15:Q38,2)</f>
        <v>12.185370670950416</v>
      </c>
      <c r="AC47" s="36">
        <f>ABS(VLOOKUP($AB47,$Q$15:$T$38,3,0))</f>
        <v>43.783956536548715</v>
      </c>
      <c r="AD47" s="36">
        <f>VLOOKUP($AB47,$Q$15:$T$38,4,0)</f>
        <v>5.2897436180047839</v>
      </c>
    </row>
    <row r="48" spans="1:52" x14ac:dyDescent="0.3">
      <c r="B48" s="36">
        <f t="shared" si="15"/>
        <v>4.4109677760337175E-2</v>
      </c>
      <c r="C48" s="36">
        <f t="shared" si="15"/>
        <v>7.670299880033514E-2</v>
      </c>
      <c r="D48" s="36">
        <f t="shared" si="15"/>
        <v>0.46469705112424431</v>
      </c>
      <c r="E48" s="98"/>
      <c r="F48" s="146"/>
      <c r="G48" s="170"/>
      <c r="H48" s="194"/>
      <c r="I48" s="36">
        <f t="shared" si="16"/>
        <v>6.4280201442219354E-2</v>
      </c>
      <c r="J48" s="36">
        <f t="shared" si="16"/>
        <v>9.2390511564062638E-2</v>
      </c>
      <c r="K48" s="36">
        <f t="shared" si="16"/>
        <v>0.22771780460769606</v>
      </c>
      <c r="M48" s="36">
        <f t="shared" si="17"/>
        <v>6.4241335740233968E-2</v>
      </c>
      <c r="N48" s="36">
        <f t="shared" si="17"/>
        <v>9.2407405752059205E-2</v>
      </c>
      <c r="O48" s="36">
        <f t="shared" si="17"/>
        <v>0.22773275159488568</v>
      </c>
      <c r="P48" s="36"/>
      <c r="Q48" s="36">
        <f t="shared" si="18"/>
        <v>63.052913202142641</v>
      </c>
      <c r="R48" s="36">
        <f t="shared" si="19"/>
        <v>28.249622690141575</v>
      </c>
      <c r="S48" s="36">
        <f t="shared" si="20"/>
        <v>28.248173498659884</v>
      </c>
      <c r="W48" s="15">
        <f t="shared" si="21"/>
        <v>2.91</v>
      </c>
      <c r="X48" s="15">
        <f t="shared" si="22"/>
        <v>17.91</v>
      </c>
      <c r="Y48" s="15">
        <f t="shared" si="23"/>
        <v>135.32</v>
      </c>
      <c r="Z48" s="49" t="str">
        <f>"E"&amp;MATCH(LARGE($Q$15:$Q$38,3),$Q$15:$Q$38,0)+14</f>
        <v>E27</v>
      </c>
      <c r="AA48" s="213"/>
      <c r="AB48" s="50">
        <f>LARGE(Q15:Q38,3)</f>
        <v>10.770654923001871</v>
      </c>
      <c r="AC48" s="36">
        <f>ABS(VLOOKUP($AB48,$Q$15:$T$38,3,0))</f>
        <v>41.28046085601418</v>
      </c>
      <c r="AD48" s="36">
        <f>VLOOKUP($AB48,$Q$15:$T$38,4,0)</f>
        <v>11.610630083286566</v>
      </c>
    </row>
    <row r="49" spans="2:30" x14ac:dyDescent="0.3">
      <c r="B49" s="36">
        <f t="shared" si="15"/>
        <v>0.80545740419117284</v>
      </c>
      <c r="C49" s="36">
        <f t="shared" si="15"/>
        <v>9.9480349381510499E-2</v>
      </c>
      <c r="D49" s="36">
        <f t="shared" si="15"/>
        <v>0.10919189434593578</v>
      </c>
      <c r="E49" s="99"/>
      <c r="F49" s="147"/>
      <c r="G49" s="171"/>
      <c r="H49" s="195"/>
      <c r="I49" s="36">
        <f t="shared" si="16"/>
        <v>0.57641530610727543</v>
      </c>
      <c r="J49" s="36">
        <f t="shared" si="16"/>
        <v>0.20384181741495772</v>
      </c>
      <c r="K49" s="36">
        <f t="shared" si="16"/>
        <v>0.16833249579187273</v>
      </c>
      <c r="M49" s="36">
        <f t="shared" si="17"/>
        <v>0.57632965841285722</v>
      </c>
      <c r="N49" s="36">
        <f t="shared" si="17"/>
        <v>0.20392390649854095</v>
      </c>
      <c r="O49" s="36">
        <f t="shared" si="17"/>
        <v>0.16813444639334291</v>
      </c>
      <c r="P49" s="36"/>
      <c r="Q49" s="36">
        <f t="shared" si="18"/>
        <v>61.959915553290166</v>
      </c>
      <c r="R49" s="36">
        <f t="shared" si="19"/>
        <v>33.336063779295763</v>
      </c>
      <c r="S49" s="36">
        <f t="shared" si="20"/>
        <v>33.336424496749565</v>
      </c>
      <c r="W49" s="15">
        <f t="shared" si="21"/>
        <v>67.41</v>
      </c>
      <c r="X49" s="15">
        <f t="shared" si="22"/>
        <v>143.4</v>
      </c>
      <c r="Y49" s="15">
        <f t="shared" si="23"/>
        <v>71.41</v>
      </c>
      <c r="Z49" s="49" t="str">
        <f>"E"&amp;MATCH(LARGE($Q$15:$Q$38,4),$Q$15:$Q$38,0)+14</f>
        <v>E28</v>
      </c>
      <c r="AA49" s="214"/>
      <c r="AB49" s="50">
        <f>LARGE(Q15:Q38,4)</f>
        <v>10.258221132159365</v>
      </c>
      <c r="AC49" s="36">
        <f>ABS(VLOOKUP($AB49,$Q$15:$T$38,3,0))</f>
        <v>26.217825093552683</v>
      </c>
      <c r="AD49" s="36">
        <f>VLOOKUP($AB49,$Q$15:$T$38,4,0)</f>
        <v>8.1134621534557194</v>
      </c>
    </row>
    <row r="50" spans="2:30" x14ac:dyDescent="0.3">
      <c r="B50" s="36">
        <f t="shared" si="15"/>
        <v>0.10177059633437534</v>
      </c>
      <c r="C50" s="36">
        <f t="shared" si="15"/>
        <v>2.3153366178110407E-2</v>
      </c>
      <c r="D50" s="36">
        <f t="shared" si="15"/>
        <v>8.8633881800889699E-2</v>
      </c>
      <c r="E50" s="100"/>
      <c r="F50" s="148"/>
      <c r="G50" s="172"/>
      <c r="H50" s="196"/>
      <c r="I50" s="36">
        <f t="shared" si="16"/>
        <v>9.3528552097935411E-2</v>
      </c>
      <c r="J50" s="36">
        <f t="shared" si="16"/>
        <v>3.8324033709237475E-2</v>
      </c>
      <c r="K50" s="36">
        <f t="shared" si="16"/>
        <v>6.5328806416543345E-2</v>
      </c>
      <c r="M50" s="36">
        <f t="shared" si="17"/>
        <v>9.3512446104295988E-2</v>
      </c>
      <c r="N50" s="36">
        <f t="shared" si="17"/>
        <v>3.8337936606727976E-2</v>
      </c>
      <c r="O50" s="36">
        <f t="shared" si="17"/>
        <v>6.5299461603133296E-2</v>
      </c>
      <c r="P50" s="36"/>
      <c r="Q50" s="36">
        <f t="shared" si="18"/>
        <v>32.579520838218265</v>
      </c>
      <c r="R50" s="36">
        <f t="shared" si="19"/>
        <v>17.540685929293179</v>
      </c>
      <c r="S50" s="36">
        <f t="shared" si="20"/>
        <v>17.525107664086462</v>
      </c>
      <c r="W50" s="15">
        <f t="shared" si="21"/>
        <v>242.26</v>
      </c>
      <c r="X50" s="15">
        <f t="shared" si="22"/>
        <v>175.26</v>
      </c>
      <c r="Y50" s="15">
        <f t="shared" si="23"/>
        <v>44.28</v>
      </c>
      <c r="Z50" s="49" t="str">
        <f>"E"&amp;MATCH(LARGE($Q$15:$Q$38,5),$Q$15:$Q$38,0)+14</f>
        <v>E26</v>
      </c>
      <c r="AA50" s="215"/>
      <c r="AB50" s="50">
        <f>LARGE(Q15:Q38,5)</f>
        <v>10.230951818556772</v>
      </c>
      <c r="AC50" s="36">
        <f>ABS(VLOOKUP($AB50,$Q$15:$T$38,3,0))</f>
        <v>42.841638642808505</v>
      </c>
      <c r="AD50" s="36">
        <f>VLOOKUP($AB50,$Q$15:$T$38,4,0)</f>
        <v>2.7815309399296346</v>
      </c>
    </row>
    <row r="51" spans="2:30" x14ac:dyDescent="0.3">
      <c r="B51" s="36">
        <f t="shared" si="15"/>
        <v>0.44314518320618373</v>
      </c>
      <c r="C51" s="36">
        <f t="shared" si="15"/>
        <v>0.60802334550455273</v>
      </c>
      <c r="D51" s="36">
        <f t="shared" si="15"/>
        <v>6.4730972722108315E-2</v>
      </c>
      <c r="E51" s="101"/>
      <c r="F51" s="149"/>
      <c r="G51" s="173"/>
      <c r="H51" s="197"/>
      <c r="I51" s="36">
        <f t="shared" si="16"/>
        <v>0.41312832150363099</v>
      </c>
      <c r="J51" s="36">
        <f t="shared" si="16"/>
        <v>0.49066743324312512</v>
      </c>
      <c r="K51" s="36">
        <f t="shared" si="16"/>
        <v>0.28259353301150525</v>
      </c>
      <c r="M51" s="36">
        <f t="shared" si="17"/>
        <v>0.41292193040838049</v>
      </c>
      <c r="N51" s="36">
        <f t="shared" si="17"/>
        <v>0.49076455365306543</v>
      </c>
      <c r="O51" s="36">
        <f t="shared" si="17"/>
        <v>0.28263477210663768</v>
      </c>
      <c r="P51" s="36"/>
      <c r="Q51" s="36">
        <f t="shared" si="18"/>
        <v>66.499359753110738</v>
      </c>
      <c r="R51" s="36">
        <f t="shared" si="19"/>
        <v>22.71540321656202</v>
      </c>
      <c r="S51" s="36">
        <f t="shared" si="20"/>
        <v>22.724160233831075</v>
      </c>
      <c r="W51" s="7"/>
      <c r="X51" s="7"/>
      <c r="Y51" s="7"/>
      <c r="Z51" s="7"/>
    </row>
    <row r="52" spans="2:30" x14ac:dyDescent="0.3">
      <c r="B52" s="36">
        <f t="shared" si="15"/>
        <v>0.8900887577425689</v>
      </c>
      <c r="C52" s="36">
        <f t="shared" si="15"/>
        <v>0.43010703134952688</v>
      </c>
      <c r="D52" s="36">
        <f t="shared" si="15"/>
        <v>2.5479539998531146E-2</v>
      </c>
      <c r="E52" s="102"/>
      <c r="F52" s="150"/>
      <c r="G52" s="174"/>
      <c r="H52" s="198"/>
      <c r="I52" s="36">
        <f t="shared" si="16"/>
        <v>0.68790393024765517</v>
      </c>
      <c r="J52" s="36">
        <f t="shared" si="16"/>
        <v>0.44960965002443715</v>
      </c>
      <c r="K52" s="36">
        <f t="shared" si="16"/>
        <v>0.23658494059332932</v>
      </c>
      <c r="M52" s="36">
        <f t="shared" si="17"/>
        <v>0.6877148820083957</v>
      </c>
      <c r="N52" s="36">
        <f t="shared" si="17"/>
        <v>0.44973054334918372</v>
      </c>
      <c r="O52" s="36">
        <f t="shared" si="17"/>
        <v>0.23645828306624606</v>
      </c>
      <c r="P52" s="36"/>
      <c r="Q52" s="36">
        <f t="shared" si="18"/>
        <v>71.974970030158147</v>
      </c>
      <c r="R52" s="36">
        <f t="shared" si="19"/>
        <v>29.133331387349642</v>
      </c>
      <c r="S52" s="36">
        <f t="shared" si="20"/>
        <v>29.146355157580309</v>
      </c>
      <c r="W52" s="15" t="s">
        <v>6</v>
      </c>
      <c r="X52" s="15" t="s">
        <v>9</v>
      </c>
      <c r="Y52" s="15" t="s">
        <v>16</v>
      </c>
      <c r="Z52" s="51"/>
      <c r="AB52" s="36" t="s">
        <v>40</v>
      </c>
    </row>
    <row r="53" spans="2:30" x14ac:dyDescent="0.3">
      <c r="B53" s="36">
        <f t="shared" si="15"/>
        <v>8.8326352212711717E-4</v>
      </c>
      <c r="C53" s="36">
        <f t="shared" si="15"/>
        <v>6.0081155009769826E-3</v>
      </c>
      <c r="D53" s="36">
        <f t="shared" si="15"/>
        <v>0.24353159498648458</v>
      </c>
      <c r="E53" s="103"/>
      <c r="F53" s="151"/>
      <c r="G53" s="175"/>
      <c r="H53" s="199"/>
      <c r="I53" s="36">
        <f t="shared" si="16"/>
        <v>5.8512920986318658E-3</v>
      </c>
      <c r="J53" s="36">
        <f t="shared" si="16"/>
        <v>1.8378629935882754E-2</v>
      </c>
      <c r="K53" s="36">
        <f t="shared" si="16"/>
        <v>9.582905623047823E-2</v>
      </c>
      <c r="M53" s="36">
        <f t="shared" si="17"/>
        <v>5.8435591757472465E-3</v>
      </c>
      <c r="N53" s="36">
        <f t="shared" si="17"/>
        <v>1.8381275390663969E-2</v>
      </c>
      <c r="O53" s="36">
        <f t="shared" si="17"/>
        <v>9.5835716423337367E-2</v>
      </c>
      <c r="P53" s="15"/>
      <c r="Q53" s="36">
        <f t="shared" si="18"/>
        <v>76.365961489115534</v>
      </c>
      <c r="R53" s="36">
        <f t="shared" si="19"/>
        <v>35.085500633101354</v>
      </c>
      <c r="S53" s="36">
        <f t="shared" si="20"/>
        <v>35.085537730350488</v>
      </c>
      <c r="W53" s="15">
        <f>VLOOKUP($AB53,$X$92:$AC$116,3,0)</f>
        <v>248.66</v>
      </c>
      <c r="X53" s="15">
        <f>VLOOKUP($AB53,$X$92:$AC$116,5,0)</f>
        <v>216.07</v>
      </c>
      <c r="Y53" s="15">
        <f>VLOOKUP($AB53,$X$92:$AC$116,6,0)</f>
        <v>52.72</v>
      </c>
      <c r="Z53" s="49" t="str">
        <f>"E"&amp;MATCH(LARGE($X$93:$X$116,1),$X$93:$X$116,0)+14</f>
        <v>E30</v>
      </c>
      <c r="AA53" s="211"/>
      <c r="AB53" s="50">
        <f>LARGE($X$93:$X$116,1)</f>
        <v>50.934665778201932</v>
      </c>
    </row>
    <row r="54" spans="2:30" x14ac:dyDescent="0.3">
      <c r="B54" s="36">
        <f t="shared" si="15"/>
        <v>5.6812552977578853E-2</v>
      </c>
      <c r="C54" s="36">
        <f t="shared" si="15"/>
        <v>0.27635959564515239</v>
      </c>
      <c r="D54" s="36">
        <f t="shared" si="15"/>
        <v>6.374169983754481E-2</v>
      </c>
      <c r="E54" s="104"/>
      <c r="F54" s="152"/>
      <c r="G54" s="176"/>
      <c r="H54" s="200"/>
      <c r="I54" s="36">
        <f t="shared" si="16"/>
        <v>8.4144423358102446E-2</v>
      </c>
      <c r="J54" s="36">
        <f t="shared" si="16"/>
        <v>0.20953198608195009</v>
      </c>
      <c r="K54" s="36">
        <f t="shared" si="16"/>
        <v>0.12493084272155099</v>
      </c>
      <c r="M54" s="36">
        <f t="shared" si="17"/>
        <v>8.4056265562144392E-2</v>
      </c>
      <c r="N54" s="36">
        <f t="shared" si="17"/>
        <v>0.2095639443832627</v>
      </c>
      <c r="O54" s="36">
        <f t="shared" si="17"/>
        <v>0.12499750638927877</v>
      </c>
      <c r="P54" s="15"/>
      <c r="Q54" s="36">
        <f t="shared" si="18"/>
        <v>49.99606610130494</v>
      </c>
      <c r="R54" s="36">
        <f t="shared" si="19"/>
        <v>23.778241007752257</v>
      </c>
      <c r="S54" s="36">
        <f t="shared" si="20"/>
        <v>23.784492712103471</v>
      </c>
      <c r="W54" s="15">
        <f t="shared" ref="W54:W57" si="24">VLOOKUP($AB54,$X$92:$AC$116,3,0)</f>
        <v>177.63</v>
      </c>
      <c r="X54" s="15">
        <f t="shared" ref="X54:X57" si="25">VLOOKUP($AB54,$X$92:$AC$116,5,0)</f>
        <v>204.63</v>
      </c>
      <c r="Y54" s="15">
        <f t="shared" ref="Y54:Y57" si="26">VLOOKUP($AB54,$X$92:$AC$116,6,0)</f>
        <v>71.959999999999994</v>
      </c>
      <c r="Z54" s="49" t="str">
        <f>"E"&amp;MATCH(LARGE($X$93:$X$116,2),$X$93:$X$116,0)+14</f>
        <v>E25</v>
      </c>
      <c r="AA54" s="212"/>
      <c r="AB54" s="50">
        <f>LARGE($X$93:$X$116,2)</f>
        <v>43.783956536548715</v>
      </c>
    </row>
    <row r="55" spans="2:30" x14ac:dyDescent="0.3">
      <c r="B55" s="36">
        <f t="shared" si="15"/>
        <v>0.62816931299674628</v>
      </c>
      <c r="C55" s="36">
        <f t="shared" si="15"/>
        <v>3.5068247432844153E-2</v>
      </c>
      <c r="D55" s="36">
        <f t="shared" si="15"/>
        <v>4.6099837819810745E-2</v>
      </c>
      <c r="E55" s="105"/>
      <c r="F55" s="153"/>
      <c r="G55" s="177"/>
      <c r="H55" s="201"/>
      <c r="I55" s="36">
        <f t="shared" si="16"/>
        <v>0.44103938041695179</v>
      </c>
      <c r="J55" s="36">
        <f t="shared" si="16"/>
        <v>9.8162234414918725E-2</v>
      </c>
      <c r="K55" s="36">
        <f t="shared" si="16"/>
        <v>8.0732678675068892E-2</v>
      </c>
      <c r="M55" s="36">
        <f t="shared" si="17"/>
        <v>0.441032446746222</v>
      </c>
      <c r="N55" s="36">
        <f t="shared" si="17"/>
        <v>9.8218624883722544E-2</v>
      </c>
      <c r="O55" s="36">
        <f t="shared" si="17"/>
        <v>8.0550393172119442E-2</v>
      </c>
      <c r="P55" s="15"/>
      <c r="Q55" s="36">
        <f t="shared" si="18"/>
        <v>68.508920248479143</v>
      </c>
      <c r="R55" s="36">
        <f t="shared" si="19"/>
        <v>41.396807605878017</v>
      </c>
      <c r="S55" s="36">
        <f t="shared" si="20"/>
        <v>41.408331029214672</v>
      </c>
      <c r="W55" s="15">
        <f t="shared" si="24"/>
        <v>242.26</v>
      </c>
      <c r="X55" s="15">
        <f t="shared" si="25"/>
        <v>175.26</v>
      </c>
      <c r="Y55" s="15">
        <f t="shared" si="26"/>
        <v>44.28</v>
      </c>
      <c r="Z55" s="49" t="str">
        <f>"E"&amp;MATCH(LARGE($X$93:$X$116,3),$X$93:$X$116,0)+14</f>
        <v>E26</v>
      </c>
      <c r="AA55" s="215"/>
      <c r="AB55" s="50">
        <f>LARGE($X$93:$X$116,3)</f>
        <v>42.841638642808505</v>
      </c>
    </row>
    <row r="56" spans="2:30" x14ac:dyDescent="0.3">
      <c r="B56" s="36">
        <f t="shared" si="15"/>
        <v>0.94437030330217164</v>
      </c>
      <c r="C56" s="36">
        <f t="shared" si="15"/>
        <v>0.68718694359791754</v>
      </c>
      <c r="D56" s="36">
        <f t="shared" si="15"/>
        <v>3.5245415407323406E-2</v>
      </c>
      <c r="E56" s="106"/>
      <c r="F56" s="154"/>
      <c r="G56" s="178"/>
      <c r="H56" s="202"/>
      <c r="I56" s="36">
        <f t="shared" si="16"/>
        <v>0.73701411982494058</v>
      </c>
      <c r="J56" s="36">
        <f t="shared" si="16"/>
        <v>0.59806069905294346</v>
      </c>
      <c r="K56" s="36">
        <f t="shared" si="16"/>
        <v>0.32439083527755141</v>
      </c>
      <c r="M56" s="36">
        <f t="shared" si="17"/>
        <v>0.73676261031663692</v>
      </c>
      <c r="N56" s="36">
        <f t="shared" si="17"/>
        <v>0.59820315117796929</v>
      </c>
      <c r="O56" s="36">
        <f t="shared" si="17"/>
        <v>0.32431699269502889</v>
      </c>
      <c r="P56" s="36"/>
      <c r="Q56" s="36">
        <f t="shared" si="18"/>
        <v>77.85917151978866</v>
      </c>
      <c r="R56" s="36">
        <f t="shared" si="19"/>
        <v>26.924505741586724</v>
      </c>
      <c r="S56" s="36">
        <f t="shared" si="20"/>
        <v>26.935839124356217</v>
      </c>
      <c r="W56" s="15">
        <f t="shared" si="24"/>
        <v>2.91</v>
      </c>
      <c r="X56" s="15">
        <f t="shared" si="25"/>
        <v>17.91</v>
      </c>
      <c r="Y56" s="15">
        <f t="shared" si="26"/>
        <v>135.32</v>
      </c>
      <c r="Z56" s="49" t="str">
        <f>"E"&amp;MATCH(LARGE($X$93:$X$116,4),$X$93:$X$116,0)+14</f>
        <v>E27</v>
      </c>
      <c r="AA56" s="213"/>
      <c r="AB56" s="50">
        <f>LARGE($X$93:$X$116,4)</f>
        <v>41.28046085601418</v>
      </c>
    </row>
    <row r="57" spans="2:30" x14ac:dyDescent="0.3">
      <c r="B57" s="36">
        <f t="shared" si="15"/>
        <v>0.64863007261478722</v>
      </c>
      <c r="C57" s="36">
        <f t="shared" si="15"/>
        <v>8.3723942866908485E-2</v>
      </c>
      <c r="D57" s="36">
        <f t="shared" si="15"/>
        <v>0.25235031339039887</v>
      </c>
      <c r="E57" s="107"/>
      <c r="F57" s="155"/>
      <c r="G57" s="179"/>
      <c r="H57" s="203"/>
      <c r="I57" s="36">
        <f t="shared" si="16"/>
        <v>0.47283960967491151</v>
      </c>
      <c r="J57" s="36">
        <f t="shared" si="16"/>
        <v>0.16165934302125984</v>
      </c>
      <c r="K57" s="36">
        <f t="shared" si="16"/>
        <v>0.21542303446125752</v>
      </c>
      <c r="M57" s="36">
        <f t="shared" si="17"/>
        <v>0.47277168936790076</v>
      </c>
      <c r="N57" s="36">
        <f t="shared" si="17"/>
        <v>0.16172606442940596</v>
      </c>
      <c r="O57" s="36">
        <f t="shared" si="17"/>
        <v>0.21525761959471743</v>
      </c>
      <c r="P57" s="36"/>
      <c r="Q57" s="36">
        <f t="shared" si="18"/>
        <v>56.146708990797613</v>
      </c>
      <c r="R57" s="36">
        <f t="shared" si="19"/>
        <v>30.333212868716412</v>
      </c>
      <c r="S57" s="36">
        <f t="shared" si="20"/>
        <v>30.313934073212899</v>
      </c>
      <c r="W57" s="15">
        <f t="shared" si="24"/>
        <v>237.21</v>
      </c>
      <c r="X57" s="15">
        <f t="shared" si="25"/>
        <v>137.21</v>
      </c>
      <c r="Y57" s="15">
        <f t="shared" si="26"/>
        <v>45.15</v>
      </c>
      <c r="Z57" s="49" t="str">
        <f>"E"&amp;MATCH(LARGE($X$93:$X$116,5),$X$93:$X$116,0)+14</f>
        <v>E21</v>
      </c>
      <c r="AA57" s="216"/>
      <c r="AB57" s="50">
        <f>LARGE($X$93:$X$116,5)</f>
        <v>35.813284903652779</v>
      </c>
    </row>
    <row r="58" spans="2:30" x14ac:dyDescent="0.3">
      <c r="B58" s="36">
        <f t="shared" si="15"/>
        <v>9.1058095064651241E-5</v>
      </c>
      <c r="C58" s="36">
        <f t="shared" si="15"/>
        <v>0.15565504254601573</v>
      </c>
      <c r="D58" s="36">
        <f t="shared" si="15"/>
        <v>0.42478200283111561</v>
      </c>
      <c r="E58" s="108"/>
      <c r="F58" s="156"/>
      <c r="G58" s="180"/>
      <c r="H58" s="204"/>
      <c r="I58" s="36">
        <f t="shared" si="16"/>
        <v>3.6461412247008787E-2</v>
      </c>
      <c r="J58" s="36">
        <f t="shared" si="16"/>
        <v>0.1402967678037588</v>
      </c>
      <c r="K58" s="36">
        <f t="shared" si="16"/>
        <v>0.24486433840410252</v>
      </c>
      <c r="M58" s="36">
        <f t="shared" si="17"/>
        <v>3.6402379583842438E-2</v>
      </c>
      <c r="N58" s="36">
        <f t="shared" si="17"/>
        <v>0.14031611623006351</v>
      </c>
      <c r="O58" s="36">
        <f t="shared" si="17"/>
        <v>0.24491954226415372</v>
      </c>
      <c r="P58" s="36"/>
      <c r="Q58" s="36">
        <f t="shared" si="18"/>
        <v>41.540070135528225</v>
      </c>
      <c r="R58" s="36">
        <f t="shared" si="19"/>
        <v>23.449051378535923</v>
      </c>
      <c r="S58" s="36">
        <f t="shared" si="20"/>
        <v>23.458850464658635</v>
      </c>
      <c r="W58" s="7"/>
      <c r="X58" s="7"/>
      <c r="Y58" s="7"/>
      <c r="Z58" s="51"/>
      <c r="AA58"/>
    </row>
    <row r="59" spans="2:30" x14ac:dyDescent="0.3">
      <c r="B59" s="36">
        <f t="shared" si="15"/>
        <v>0.84226539688651003</v>
      </c>
      <c r="C59" s="36">
        <f t="shared" si="15"/>
        <v>0.80247254652450972</v>
      </c>
      <c r="D59" s="36">
        <f t="shared" si="15"/>
        <v>0.75619716964987382</v>
      </c>
      <c r="E59" s="109"/>
      <c r="F59" s="157"/>
      <c r="G59" s="181"/>
      <c r="H59" s="205"/>
      <c r="I59" s="36">
        <f t="shared" si="16"/>
        <v>0.81730291670621369</v>
      </c>
      <c r="J59" s="36">
        <f t="shared" si="16"/>
        <v>0.78593866687027769</v>
      </c>
      <c r="K59" s="36">
        <f t="shared" si="16"/>
        <v>0.7628840166890426</v>
      </c>
      <c r="M59" s="36">
        <f t="shared" si="17"/>
        <v>0.81697236117777539</v>
      </c>
      <c r="N59" s="36">
        <f t="shared" si="17"/>
        <v>0.78611027370322406</v>
      </c>
      <c r="O59" s="36">
        <f t="shared" si="17"/>
        <v>0.76286737539135607</v>
      </c>
      <c r="P59" s="36"/>
      <c r="Q59" s="36">
        <f t="shared" si="18"/>
        <v>3.5692155316974827</v>
      </c>
      <c r="R59" s="36">
        <f t="shared" si="19"/>
        <v>2.1058554989007838</v>
      </c>
      <c r="S59" s="36">
        <f t="shared" si="20"/>
        <v>2.0995341328074906</v>
      </c>
      <c r="W59" s="15" t="s">
        <v>6</v>
      </c>
      <c r="X59" s="15" t="s">
        <v>9</v>
      </c>
      <c r="Y59" s="15" t="s">
        <v>16</v>
      </c>
      <c r="Z59" s="51"/>
      <c r="AB59" s="32" t="s">
        <v>41</v>
      </c>
    </row>
    <row r="60" spans="2:30" x14ac:dyDescent="0.3">
      <c r="B60" s="36">
        <f t="shared" si="15"/>
        <v>0.6170046097726295</v>
      </c>
      <c r="C60" s="36">
        <f t="shared" si="15"/>
        <v>0.59588179314415868</v>
      </c>
      <c r="D60" s="36">
        <f t="shared" si="15"/>
        <v>0.55903914879280281</v>
      </c>
      <c r="E60" s="110"/>
      <c r="F60" s="158"/>
      <c r="G60" s="182"/>
      <c r="H60" s="206"/>
      <c r="I60" s="36">
        <f t="shared" si="16"/>
        <v>0.55169605653107889</v>
      </c>
      <c r="J60" s="36">
        <f t="shared" si="16"/>
        <v>0.52809812415583479</v>
      </c>
      <c r="K60" s="36">
        <f t="shared" si="16"/>
        <v>0.51522057296205559</v>
      </c>
      <c r="M60" s="36">
        <f t="shared" si="17"/>
        <v>0.55147394595610555</v>
      </c>
      <c r="N60" s="36">
        <f t="shared" si="17"/>
        <v>0.52821369264807627</v>
      </c>
      <c r="O60" s="36">
        <f t="shared" si="17"/>
        <v>0.51520804977759349</v>
      </c>
      <c r="P60" s="36"/>
      <c r="Q60" s="36">
        <f t="shared" si="18"/>
        <v>3.2189621967307076</v>
      </c>
      <c r="R60" s="36">
        <f t="shared" si="19"/>
        <v>1.7970804968977629</v>
      </c>
      <c r="S60" s="36">
        <f t="shared" si="20"/>
        <v>1.7883847770236279</v>
      </c>
      <c r="W60" s="15">
        <f>VLOOKUP($AB60,$Y$92:$AC$116,2,0)</f>
        <v>2.91</v>
      </c>
      <c r="X60" s="15">
        <f>VLOOKUP($AB60,$Y$92:$AC$116,4,0)</f>
        <v>17.91</v>
      </c>
      <c r="Y60" s="15">
        <f>VLOOKUP($AB60,$Y$92:$AC$116,5,0)</f>
        <v>135.32</v>
      </c>
      <c r="Z60" s="49" t="str">
        <f>"E"&amp;MATCH(LARGE($T$15:$T$38,1),$T$15:$T$38,0)+14</f>
        <v>E27</v>
      </c>
      <c r="AA60" s="213"/>
      <c r="AB60" s="50">
        <f>LARGE($T$15:$T$38,1)</f>
        <v>11.610630083286566</v>
      </c>
    </row>
    <row r="61" spans="2:30" x14ac:dyDescent="0.3">
      <c r="B61" s="36">
        <f t="shared" si="15"/>
        <v>0.36451709775118246</v>
      </c>
      <c r="C61" s="36">
        <f t="shared" si="15"/>
        <v>0.34983817756904712</v>
      </c>
      <c r="D61" s="36">
        <f t="shared" si="15"/>
        <v>0.32615150660934578</v>
      </c>
      <c r="E61" s="111"/>
      <c r="F61" s="159"/>
      <c r="G61" s="183"/>
      <c r="H61" s="207"/>
      <c r="I61" s="36">
        <f t="shared" si="16"/>
        <v>0.30191721747979577</v>
      </c>
      <c r="J61" s="36">
        <f t="shared" si="16"/>
        <v>0.29749992506401485</v>
      </c>
      <c r="K61" s="36">
        <f t="shared" si="16"/>
        <v>0.2877426958623413</v>
      </c>
      <c r="M61" s="36">
        <f t="shared" si="17"/>
        <v>0.30179209115145922</v>
      </c>
      <c r="N61" s="36">
        <f t="shared" si="17"/>
        <v>0.29756411432820706</v>
      </c>
      <c r="O61" s="36">
        <f t="shared" si="17"/>
        <v>0.28774035967016487</v>
      </c>
      <c r="P61" s="36"/>
      <c r="Q61" s="36">
        <f t="shared" si="18"/>
        <v>2.98856184803061</v>
      </c>
      <c r="R61" s="36">
        <f t="shared" si="19"/>
        <v>1.309471721804109</v>
      </c>
      <c r="S61" s="36">
        <f t="shared" si="20"/>
        <v>1.3128266577864307</v>
      </c>
      <c r="W61" s="15">
        <f t="shared" ref="W61:W64" si="27">VLOOKUP($AB61,$Y$92:$AC$116,2,0)</f>
        <v>0.3</v>
      </c>
      <c r="X61" s="15">
        <f t="shared" ref="X61:X64" si="28">VLOOKUP($AB61,$Y$92:$AC$116,4,0)</f>
        <v>109.91</v>
      </c>
      <c r="Y61" s="15">
        <f t="shared" ref="Y61:Y64" si="29">VLOOKUP($AB61,$Y$92:$AC$116,5,0)</f>
        <v>174.28</v>
      </c>
      <c r="Z61" s="49" t="str">
        <f>"E"&amp;MATCH(LARGE($T$15:$T$38,2),$T$15:$T$38,0)+14</f>
        <v>E32</v>
      </c>
      <c r="AA61" s="217"/>
      <c r="AB61" s="50">
        <f>LARGE($T$15:$T$38,2)</f>
        <v>8.5684480682495749</v>
      </c>
    </row>
    <row r="62" spans="2:30" x14ac:dyDescent="0.3">
      <c r="B62" s="36">
        <f t="shared" si="15"/>
        <v>0.13177161042578711</v>
      </c>
      <c r="C62" s="36">
        <f t="shared" si="15"/>
        <v>0.12905299879471824</v>
      </c>
      <c r="D62" s="36">
        <f t="shared" si="15"/>
        <v>0.11850742039266582</v>
      </c>
      <c r="E62" s="112"/>
      <c r="F62" s="160"/>
      <c r="G62" s="184">
        <v>0.18</v>
      </c>
      <c r="H62" s="208"/>
      <c r="I62" s="36">
        <f t="shared" si="16"/>
        <v>0.11674116356612824</v>
      </c>
      <c r="J62" s="36">
        <f t="shared" si="16"/>
        <v>0.1142087858056858</v>
      </c>
      <c r="K62" s="36">
        <f t="shared" si="16"/>
        <v>0.1081652570647213</v>
      </c>
      <c r="M62" s="36">
        <f t="shared" si="17"/>
        <v>0.11669312836870337</v>
      </c>
      <c r="N62" s="36">
        <f t="shared" si="17"/>
        <v>0.11423351402482754</v>
      </c>
      <c r="O62" s="36">
        <f t="shared" si="17"/>
        <v>0.10816391548045717</v>
      </c>
      <c r="P62" s="36"/>
      <c r="Q62" s="36">
        <f t="shared" si="18"/>
        <v>2.4354158148700398</v>
      </c>
      <c r="R62" s="36">
        <f t="shared" si="19"/>
        <v>1.5357198620090717</v>
      </c>
      <c r="S62" s="36">
        <f t="shared" si="20"/>
        <v>1.5385517588022146</v>
      </c>
      <c r="W62" s="15">
        <f t="shared" si="27"/>
        <v>67.41</v>
      </c>
      <c r="X62" s="15">
        <f t="shared" si="28"/>
        <v>143.4</v>
      </c>
      <c r="Y62" s="15">
        <f t="shared" si="29"/>
        <v>71.41</v>
      </c>
      <c r="Z62" s="49" t="str">
        <f>"E"&amp;MATCH(LARGE($T$15:$T$38,3),$T$15:$T$38,0)+14</f>
        <v>E28</v>
      </c>
      <c r="AA62" s="214"/>
      <c r="AB62" s="50">
        <f>LARGE($T$15:$T$38,3)</f>
        <v>8.1134621534557194</v>
      </c>
    </row>
    <row r="63" spans="2:30" x14ac:dyDescent="0.3">
      <c r="B63" s="36">
        <f t="shared" si="15"/>
        <v>3.6642648303665398E-2</v>
      </c>
      <c r="C63" s="36">
        <f t="shared" si="15"/>
        <v>3.7098033704055421E-2</v>
      </c>
      <c r="D63" s="36">
        <f t="shared" si="15"/>
        <v>3.6876436719273271E-2</v>
      </c>
      <c r="E63" s="113"/>
      <c r="F63" s="161"/>
      <c r="G63" s="185"/>
      <c r="H63" s="209"/>
      <c r="I63" s="36">
        <f t="shared" si="16"/>
        <v>2.8886553867280763E-2</v>
      </c>
      <c r="J63" s="36">
        <f t="shared" si="16"/>
        <v>2.8886553867280763E-2</v>
      </c>
      <c r="K63" s="36">
        <f t="shared" si="16"/>
        <v>2.8852711253349896E-2</v>
      </c>
      <c r="M63" s="36">
        <f t="shared" si="17"/>
        <v>2.8874404289891461E-2</v>
      </c>
      <c r="N63" s="36">
        <f t="shared" si="17"/>
        <v>2.8892742267079285E-2</v>
      </c>
      <c r="O63" s="36">
        <f t="shared" si="17"/>
        <v>2.8852712419645207E-2</v>
      </c>
      <c r="P63" s="36"/>
      <c r="Q63" s="36">
        <f t="shared" si="18"/>
        <v>0.1938695723830943</v>
      </c>
      <c r="R63" s="36">
        <f t="shared" si="19"/>
        <v>1.892013600740966E-2</v>
      </c>
      <c r="S63" s="36">
        <f t="shared" si="20"/>
        <v>2.2866045722355E-2</v>
      </c>
      <c r="W63" s="15">
        <f t="shared" si="27"/>
        <v>210.6</v>
      </c>
      <c r="X63" s="15">
        <f t="shared" si="28"/>
        <v>81.69</v>
      </c>
      <c r="Y63" s="15">
        <f t="shared" si="29"/>
        <v>137.55000000000001</v>
      </c>
      <c r="Z63" s="49" t="str">
        <f>"E"&amp;MATCH(LARGE($T$15:$T$38,4),$T$15:$T$38,0)+14</f>
        <v>E31</v>
      </c>
      <c r="AA63" s="218"/>
      <c r="AB63" s="50">
        <f>LARGE($T$15:$T$38,4)</f>
        <v>7.6115698396565987</v>
      </c>
    </row>
    <row r="64" spans="2:30" x14ac:dyDescent="0.3">
      <c r="B64" s="36">
        <f t="shared" si="15"/>
        <v>4.7100796634346031E-3</v>
      </c>
      <c r="C64" s="36">
        <f t="shared" si="15"/>
        <v>4.7100796634346031E-3</v>
      </c>
      <c r="D64" s="36">
        <f t="shared" si="15"/>
        <v>4.7100796634346031E-3</v>
      </c>
      <c r="E64" s="114"/>
      <c r="F64" s="162"/>
      <c r="G64" s="186"/>
      <c r="H64" s="210"/>
      <c r="I64" s="36">
        <f t="shared" si="16"/>
        <v>3.8066633974884246E-3</v>
      </c>
      <c r="J64" s="36">
        <f t="shared" si="16"/>
        <v>3.8066633974884246E-3</v>
      </c>
      <c r="K64" s="36">
        <f t="shared" si="16"/>
        <v>4.1545907752271296E-3</v>
      </c>
      <c r="M64" s="36">
        <f t="shared" si="17"/>
        <v>3.8050623289859202E-3</v>
      </c>
      <c r="N64" s="36">
        <f t="shared" si="17"/>
        <v>3.8074789033847025E-3</v>
      </c>
      <c r="O64" s="36">
        <f t="shared" si="17"/>
        <v>4.1545909289212807E-3</v>
      </c>
      <c r="P64" s="36"/>
      <c r="Q64" s="36">
        <f t="shared" si="18"/>
        <v>1.3638263035210738E-3</v>
      </c>
      <c r="R64" s="36">
        <f t="shared" si="19"/>
        <v>0.46272230347620774</v>
      </c>
      <c r="S64" s="36">
        <f t="shared" si="20"/>
        <v>0.46161030524254087</v>
      </c>
      <c r="W64" s="15">
        <f t="shared" si="27"/>
        <v>59.26</v>
      </c>
      <c r="X64" s="15">
        <f t="shared" si="28"/>
        <v>78.260000000000005</v>
      </c>
      <c r="Y64" s="15">
        <f t="shared" si="29"/>
        <v>181.46</v>
      </c>
      <c r="Z64" s="49" t="str">
        <f>"E"&amp;MATCH(LARGE($T$15:$T$38,5),$T$15:$T$38,0)+14</f>
        <v>E22</v>
      </c>
      <c r="AA64" s="219"/>
      <c r="AB64" s="50">
        <f>LARGE($T$15:$T$38,5)</f>
        <v>7.3262612075125704</v>
      </c>
    </row>
    <row r="65" spans="2:30" x14ac:dyDescent="0.3">
      <c r="N65" s="32"/>
      <c r="O65" s="32"/>
      <c r="P65" s="32"/>
    </row>
    <row r="66" spans="2:30" x14ac:dyDescent="0.3">
      <c r="B66" s="36" t="s">
        <v>58</v>
      </c>
      <c r="C66" s="36" t="s">
        <v>59</v>
      </c>
      <c r="D66" s="36" t="s">
        <v>60</v>
      </c>
      <c r="I66" s="32" t="s">
        <v>61</v>
      </c>
      <c r="J66" s="32" t="s">
        <v>62</v>
      </c>
      <c r="K66" s="32" t="s">
        <v>63</v>
      </c>
      <c r="M66" s="32" t="s">
        <v>64</v>
      </c>
      <c r="N66" s="32" t="s">
        <v>65</v>
      </c>
      <c r="O66" s="32" t="s">
        <v>66</v>
      </c>
      <c r="P66" s="32"/>
      <c r="Q66" s="222" t="s">
        <v>67</v>
      </c>
      <c r="R66" s="228"/>
      <c r="S66" s="228"/>
      <c r="V66" s="7"/>
      <c r="W66" s="15" t="s">
        <v>6</v>
      </c>
      <c r="X66" s="15" t="s">
        <v>9</v>
      </c>
      <c r="Y66" s="15" t="s">
        <v>16</v>
      </c>
      <c r="AA66" s="15"/>
      <c r="AB66" s="6" t="s">
        <v>38</v>
      </c>
      <c r="AC66" s="36" t="s">
        <v>40</v>
      </c>
      <c r="AD66" s="32" t="s">
        <v>41</v>
      </c>
    </row>
    <row r="67" spans="2:30" x14ac:dyDescent="0.3">
      <c r="B67" s="36">
        <f t="shared" ref="B67:B90" si="30">$Q$67*$B41+$R$67*$C41+$S$67*$D41</f>
        <v>0.10887463504191554</v>
      </c>
      <c r="C67" s="36">
        <f t="shared" ref="C67:C90" si="31">$Q$68*$B41+$R$68*$C41+$S$68*$D41</f>
        <v>9.3456569459082525E-2</v>
      </c>
      <c r="D67" s="36">
        <f t="shared" ref="D67:D90" si="32">$Q$69*$B41+$R$69*$C41+$S$69*$D41</f>
        <v>5.0757779099866035E-2</v>
      </c>
      <c r="E67" s="91"/>
      <c r="F67" s="139"/>
      <c r="G67" s="163"/>
      <c r="H67" s="187"/>
      <c r="I67" s="36">
        <f t="shared" ref="I67:I90" si="33">$Q$67*I41+$R$67*J41+$S$67*K41</f>
        <v>0.12857583425456184</v>
      </c>
      <c r="J67" s="36">
        <f t="shared" ref="J67:J90" si="34">$Q$68*I41+$R$68*J41+$S$68*K41</f>
        <v>0.12025171273622667</v>
      </c>
      <c r="K67" s="36">
        <f t="shared" ref="K67:K90" si="35">$Q$69*I41+$R$69*J41+$S$69*K41</f>
        <v>9.0642917706413723E-2</v>
      </c>
      <c r="M67" s="36">
        <f t="shared" ref="M67:M90" si="36">$Q$67*M41+$R$67*N41+$S$67*O41</f>
        <v>0.12856086230199013</v>
      </c>
      <c r="N67" s="36">
        <f t="shared" ref="N67:N90" si="37">$Q$68*M41+$R$68*N41+$S$68*O41</f>
        <v>0.12026129161782273</v>
      </c>
      <c r="O67" s="36">
        <f t="shared" ref="O67:O90" si="38">$Q$69*M41+$R$69*N41+$S$69*O41</f>
        <v>9.0604389310382602E-2</v>
      </c>
      <c r="P67" s="36"/>
      <c r="Q67" s="32">
        <v>0.4124564</v>
      </c>
      <c r="R67" s="32">
        <v>0.35757610000000001</v>
      </c>
      <c r="S67" s="32">
        <v>0.1804375</v>
      </c>
      <c r="T67" s="36"/>
      <c r="U67" s="36"/>
      <c r="V67" s="7"/>
      <c r="W67" s="15">
        <f>VLOOKUP($AB67,$W$118:$AC$142,4,0)</f>
        <v>248.66</v>
      </c>
      <c r="X67" s="15">
        <f>VLOOKUP($AB67,$W$118:$AC$142,6,0)</f>
        <v>216.07</v>
      </c>
      <c r="Y67" s="15">
        <f>VLOOKUP($AB67,$W$118:$AC$142,7,0)</f>
        <v>52.72</v>
      </c>
      <c r="Z67" s="49" t="str">
        <f>"E"&amp;MATCH(LARGE($W$15:$W$38,1),$W$15:$W$38,0)+14</f>
        <v>E30</v>
      </c>
      <c r="AA67" s="211"/>
      <c r="AB67" s="50">
        <f>LARGE(W15:W38,1)</f>
        <v>12.192321858837781</v>
      </c>
      <c r="AC67" s="36">
        <f>ABS(VLOOKUP($AB67,$W$15:$Z$38,3,0))</f>
        <v>50.923332395432439</v>
      </c>
      <c r="AD67" s="36">
        <f>VLOOKUP($AB67,$W$15:$Z$38,4,0)</f>
        <v>1.8915366852113145</v>
      </c>
    </row>
    <row r="68" spans="2:30" x14ac:dyDescent="0.3">
      <c r="B68" s="36">
        <f t="shared" si="30"/>
        <v>0.49043863064367643</v>
      </c>
      <c r="C68" s="36">
        <f t="shared" si="31"/>
        <v>0.43397250226610307</v>
      </c>
      <c r="D68" s="36">
        <f t="shared" si="32"/>
        <v>0.32225599756350509</v>
      </c>
      <c r="E68" s="92"/>
      <c r="F68" s="140"/>
      <c r="G68" s="164"/>
      <c r="H68" s="188"/>
      <c r="I68" s="36">
        <f t="shared" si="33"/>
        <v>0.55053035933186834</v>
      </c>
      <c r="J68" s="36">
        <f t="shared" si="34"/>
        <v>0.5368061594803496</v>
      </c>
      <c r="K68" s="36">
        <f t="shared" si="35"/>
        <v>0.47692068071206362</v>
      </c>
      <c r="M68" s="36">
        <f t="shared" si="36"/>
        <v>0.5504591300455518</v>
      </c>
      <c r="N68" s="36">
        <f t="shared" si="37"/>
        <v>0.53684167324799392</v>
      </c>
      <c r="O68" s="36">
        <f t="shared" si="38"/>
        <v>0.47676423342953822</v>
      </c>
      <c r="P68" s="36"/>
      <c r="Q68" s="32">
        <v>0.2126729</v>
      </c>
      <c r="R68" s="32">
        <v>0.71515220000000002</v>
      </c>
      <c r="S68" s="32">
        <v>7.2175000000000003E-2</v>
      </c>
      <c r="T68" s="36"/>
      <c r="U68" s="36"/>
      <c r="V68" s="7"/>
      <c r="W68" s="15">
        <f t="shared" ref="W68:W71" si="39">VLOOKUP($AB68,$W$118:$AC$142,4,0)</f>
        <v>177.63</v>
      </c>
      <c r="X68" s="15">
        <f t="shared" ref="X68:X71" si="40">VLOOKUP($AB68,$W$118:$AC$142,6,0)</f>
        <v>204.63</v>
      </c>
      <c r="Y68" s="15">
        <f t="shared" ref="Y68:Y71" si="41">VLOOKUP($AB68,$W$118:$AC$142,7,0)</f>
        <v>71.959999999999994</v>
      </c>
      <c r="Z68" s="49" t="str">
        <f>"E"&amp;MATCH(LARGE($W$15:$W$38,2),$W$15:$W$38,0)+14</f>
        <v>E25</v>
      </c>
      <c r="AA68" s="212"/>
      <c r="AB68" s="50">
        <f>LARGE(W15:W38,2)</f>
        <v>12.18650673436697</v>
      </c>
      <c r="AC68" s="36">
        <f>ABS(VLOOKUP($AB68,$W$15:$Z$38,3,0))</f>
        <v>43.775199519279667</v>
      </c>
      <c r="AD68" s="36">
        <f>VLOOKUP($AB68,$W$15:$Z$38,4,0)</f>
        <v>5.3246507144676842</v>
      </c>
    </row>
    <row r="69" spans="2:30" x14ac:dyDescent="0.3">
      <c r="B69" s="36">
        <f t="shared" si="30"/>
        <v>0.22029400659592391</v>
      </c>
      <c r="C69" s="36">
        <f t="shared" si="31"/>
        <v>0.22243302524731365</v>
      </c>
      <c r="D69" s="36">
        <f t="shared" si="32"/>
        <v>0.46839707697766259</v>
      </c>
      <c r="E69" s="93"/>
      <c r="F69" s="141"/>
      <c r="G69" s="165"/>
      <c r="H69" s="189"/>
      <c r="I69" s="36">
        <f t="shared" si="33"/>
        <v>0.23045737171491829</v>
      </c>
      <c r="J69" s="36">
        <f t="shared" si="34"/>
        <v>0.24341369156311482</v>
      </c>
      <c r="K69" s="36">
        <f t="shared" si="35"/>
        <v>0.35672065120840263</v>
      </c>
      <c r="M69" s="36">
        <f t="shared" si="36"/>
        <v>0.23043648192329835</v>
      </c>
      <c r="N69" s="36">
        <f t="shared" si="37"/>
        <v>0.24342762192616585</v>
      </c>
      <c r="O69" s="36">
        <f t="shared" si="38"/>
        <v>0.35675125201422792</v>
      </c>
      <c r="P69" s="36"/>
      <c r="Q69" s="32">
        <v>1.9333900000000001E-2</v>
      </c>
      <c r="R69" s="32">
        <v>0.11919200000000001</v>
      </c>
      <c r="S69" s="32">
        <v>0.95030409999999998</v>
      </c>
      <c r="T69" s="36"/>
      <c r="U69" s="36"/>
      <c r="V69" s="7"/>
      <c r="W69" s="15">
        <f t="shared" si="39"/>
        <v>2.91</v>
      </c>
      <c r="X69" s="15">
        <f t="shared" si="40"/>
        <v>17.91</v>
      </c>
      <c r="Y69" s="15">
        <f t="shared" si="41"/>
        <v>135.32</v>
      </c>
      <c r="Z69" s="49" t="str">
        <f>"E"&amp;MATCH(LARGE($W$15:$W$38,3),$W$15:$W$38,0)+14</f>
        <v>E27</v>
      </c>
      <c r="AA69" s="213"/>
      <c r="AB69" s="50">
        <f>LARGE(W15:W38,3)</f>
        <v>10.771956963032945</v>
      </c>
      <c r="AC69" s="36">
        <f>ABS(VLOOKUP($AB69,$W$15:$Z$38,3,0))</f>
        <v>41.280423758765046</v>
      </c>
      <c r="AD69" s="36">
        <f>VLOOKUP($AB69,$W$15:$Z$38,4,0)</f>
        <v>11.616274395058042</v>
      </c>
    </row>
    <row r="70" spans="2:30" x14ac:dyDescent="0.3">
      <c r="B70" s="36">
        <f t="shared" si="30"/>
        <v>0.1007316119842125</v>
      </c>
      <c r="C70" s="36">
        <f t="shared" si="31"/>
        <v>0.1267156500657364</v>
      </c>
      <c r="D70" s="36">
        <f t="shared" si="32"/>
        <v>6.1367929743662571E-2</v>
      </c>
      <c r="E70" s="94"/>
      <c r="F70" s="142"/>
      <c r="G70" s="166"/>
      <c r="H70" s="190"/>
      <c r="I70" s="36">
        <f t="shared" si="33"/>
        <v>0.12518217738560675</v>
      </c>
      <c r="J70" s="36">
        <f t="shared" si="34"/>
        <v>0.14340445743873864</v>
      </c>
      <c r="K70" s="36">
        <f t="shared" si="35"/>
        <v>0.11659316508742731</v>
      </c>
      <c r="M70" s="36">
        <f t="shared" si="36"/>
        <v>0.12516890174120676</v>
      </c>
      <c r="N70" s="36">
        <f t="shared" si="37"/>
        <v>0.14341328187069574</v>
      </c>
      <c r="O70" s="36">
        <f t="shared" si="38"/>
        <v>0.11660836902059368</v>
      </c>
      <c r="P70" s="36"/>
      <c r="Q70" s="32"/>
      <c r="R70" s="32"/>
      <c r="S70" s="32"/>
      <c r="T70" s="36"/>
      <c r="U70" s="36"/>
      <c r="V70" s="7"/>
      <c r="W70" s="15">
        <f t="shared" si="39"/>
        <v>67.41</v>
      </c>
      <c r="X70" s="15">
        <f t="shared" si="40"/>
        <v>143.4</v>
      </c>
      <c r="Y70" s="15">
        <f t="shared" si="41"/>
        <v>71.41</v>
      </c>
      <c r="Z70" s="49" t="str">
        <f>"E"&amp;MATCH(LARGE($W$15:$W$38,4),$W$15:$W$38,0)+14</f>
        <v>E28</v>
      </c>
      <c r="AA70" s="214"/>
      <c r="AB70" s="50">
        <f>LARGE(W15:W38,4)</f>
        <v>10.263132708205196</v>
      </c>
      <c r="AC70" s="36">
        <f>ABS(VLOOKUP($AB70,$W$15:$Z$38,3,0))</f>
        <v>26.211573389201469</v>
      </c>
      <c r="AD70" s="36">
        <f>VLOOKUP($AB70,$W$15:$Z$38,4,0)</f>
        <v>8.1400808017078674</v>
      </c>
    </row>
    <row r="71" spans="2:30" x14ac:dyDescent="0.3">
      <c r="B71" s="36">
        <f t="shared" si="30"/>
        <v>0.31786031062526376</v>
      </c>
      <c r="C71" s="36">
        <f t="shared" si="31"/>
        <v>0.27792295632439079</v>
      </c>
      <c r="D71" s="36">
        <f t="shared" si="32"/>
        <v>0.53085454584852521</v>
      </c>
      <c r="E71" s="95"/>
      <c r="F71" s="143"/>
      <c r="G71" s="167"/>
      <c r="H71" s="191"/>
      <c r="I71" s="36">
        <f t="shared" si="33"/>
        <v>0.33784376810790306</v>
      </c>
      <c r="J71" s="36">
        <f t="shared" si="34"/>
        <v>0.32668645516439038</v>
      </c>
      <c r="K71" s="36">
        <f t="shared" si="35"/>
        <v>0.43900943685822891</v>
      </c>
      <c r="M71" s="36">
        <f t="shared" si="36"/>
        <v>0.33781022256159554</v>
      </c>
      <c r="N71" s="36">
        <f t="shared" si="37"/>
        <v>0.32670829968427734</v>
      </c>
      <c r="O71" s="36">
        <f t="shared" si="38"/>
        <v>0.43898018462655813</v>
      </c>
      <c r="P71" s="36"/>
      <c r="Q71" s="222" t="s">
        <v>68</v>
      </c>
      <c r="R71" s="228"/>
      <c r="S71" s="228"/>
      <c r="T71" s="36"/>
      <c r="U71" s="36"/>
      <c r="V71" s="7"/>
      <c r="W71" s="15">
        <f t="shared" si="39"/>
        <v>242.26</v>
      </c>
      <c r="X71" s="15">
        <f t="shared" si="40"/>
        <v>175.26</v>
      </c>
      <c r="Y71" s="15">
        <f t="shared" si="41"/>
        <v>44.28</v>
      </c>
      <c r="Z71" s="49" t="str">
        <f>"E"&amp;MATCH(LARGE($W$15:$W$38,5),$W$15:$W$38,0)+14</f>
        <v>E26</v>
      </c>
      <c r="AA71" s="215"/>
      <c r="AB71" s="50">
        <f>LARGE(W15:W38,5)</f>
        <v>10.22481818569304</v>
      </c>
      <c r="AC71" s="36">
        <f>ABS(VLOOKUP($AB71,$W$15:$Z$38,3,0))</f>
        <v>42.828614872577838</v>
      </c>
      <c r="AD71" s="36">
        <f>VLOOKUP($AB71,$W$15:$Z$38,4,0)</f>
        <v>2.7349695661997093</v>
      </c>
    </row>
    <row r="72" spans="2:30" x14ac:dyDescent="0.3">
      <c r="B72" s="36">
        <f t="shared" si="30"/>
        <v>0.40778658326991529</v>
      </c>
      <c r="C72" s="36">
        <f t="shared" si="31"/>
        <v>0.52477210901448035</v>
      </c>
      <c r="D72" s="36">
        <f t="shared" si="32"/>
        <v>0.63288976698287081</v>
      </c>
      <c r="E72" s="96"/>
      <c r="F72" s="144"/>
      <c r="G72" s="168"/>
      <c r="H72" s="192"/>
      <c r="I72" s="36">
        <f t="shared" si="33"/>
        <v>0.42569763873910726</v>
      </c>
      <c r="J72" s="36">
        <f t="shared" si="34"/>
        <v>0.49549283151031231</v>
      </c>
      <c r="K72" s="36">
        <f t="shared" si="35"/>
        <v>0.58597105779782299</v>
      </c>
      <c r="M72" s="36">
        <f t="shared" si="36"/>
        <v>0.42565791568217648</v>
      </c>
      <c r="N72" s="36">
        <f t="shared" si="37"/>
        <v>0.4955197062778155</v>
      </c>
      <c r="O72" s="36">
        <f t="shared" si="38"/>
        <v>0.58608676269058679</v>
      </c>
      <c r="P72" s="36"/>
      <c r="Q72" s="32">
        <v>0.95040000000000002</v>
      </c>
      <c r="R72" s="32">
        <v>1</v>
      </c>
      <c r="S72" s="32">
        <v>1.0888</v>
      </c>
      <c r="T72" s="36"/>
      <c r="U72" s="36"/>
      <c r="V72" s="7"/>
      <c r="W72" s="7"/>
      <c r="X72" s="7"/>
      <c r="Y72" s="7"/>
      <c r="Z72" s="7"/>
    </row>
    <row r="73" spans="2:30" x14ac:dyDescent="0.3">
      <c r="B73" s="36">
        <f t="shared" si="30"/>
        <v>0.44451326427195914</v>
      </c>
      <c r="C73" s="36">
        <f t="shared" si="31"/>
        <v>0.36187320054557132</v>
      </c>
      <c r="D73" s="36">
        <f t="shared" si="32"/>
        <v>7.1412229192585275E-2</v>
      </c>
      <c r="E73" s="97"/>
      <c r="F73" s="145"/>
      <c r="G73" s="169"/>
      <c r="H73" s="193"/>
      <c r="I73" s="36">
        <f t="shared" si="33"/>
        <v>0.43984752723659154</v>
      </c>
      <c r="J73" s="36">
        <f t="shared" si="34"/>
        <v>0.40990391402131388</v>
      </c>
      <c r="K73" s="36">
        <f t="shared" si="35"/>
        <v>0.22647276822394682</v>
      </c>
      <c r="M73" s="36">
        <f t="shared" si="36"/>
        <v>0.43979395543371497</v>
      </c>
      <c r="N73" s="36">
        <f t="shared" si="37"/>
        <v>0.40993806281174211</v>
      </c>
      <c r="O73" s="36">
        <f t="shared" si="38"/>
        <v>0.22631613174590212</v>
      </c>
      <c r="P73" s="36"/>
      <c r="Q73" s="32"/>
      <c r="T73" s="36"/>
      <c r="U73" s="36"/>
      <c r="V73" s="7"/>
      <c r="W73" s="15" t="s">
        <v>6</v>
      </c>
      <c r="X73" s="15" t="s">
        <v>9</v>
      </c>
      <c r="Y73" s="15" t="s">
        <v>16</v>
      </c>
      <c r="Z73" s="51"/>
      <c r="AB73" s="36" t="s">
        <v>40</v>
      </c>
    </row>
    <row r="74" spans="2:30" x14ac:dyDescent="0.3">
      <c r="B74" s="36">
        <f t="shared" si="30"/>
        <v>0.12946925222574807</v>
      </c>
      <c r="C74" s="36">
        <f t="shared" si="31"/>
        <v>9.7774761090905798E-2</v>
      </c>
      <c r="D74" s="36">
        <f t="shared" si="32"/>
        <v>0.45159870887313913</v>
      </c>
      <c r="E74" s="98"/>
      <c r="F74" s="146"/>
      <c r="G74" s="170"/>
      <c r="H74" s="194"/>
      <c r="I74" s="36">
        <f t="shared" si="33"/>
        <v>0.10063825064911619</v>
      </c>
      <c r="J74" s="36">
        <f t="shared" si="34"/>
        <v>9.6179467005026276E-2</v>
      </c>
      <c r="K74" s="36">
        <f t="shared" si="35"/>
        <v>0.22865616020269994</v>
      </c>
      <c r="M74" s="36">
        <f t="shared" si="36"/>
        <v>0.10063095819644932</v>
      </c>
      <c r="N74" s="36">
        <f t="shared" si="37"/>
        <v>9.6184362037987872E-2</v>
      </c>
      <c r="O74" s="36">
        <f t="shared" si="38"/>
        <v>0.22867162661236895</v>
      </c>
      <c r="P74" s="36"/>
      <c r="Q74" s="222" t="s">
        <v>69</v>
      </c>
      <c r="R74" s="228"/>
      <c r="S74" s="228"/>
      <c r="T74" s="36"/>
      <c r="U74" s="36"/>
      <c r="V74" s="7"/>
      <c r="W74" s="15">
        <f>VLOOKUP($AB74,$X$118:$AC$142,3,0)</f>
        <v>248.66</v>
      </c>
      <c r="X74" s="15">
        <f>VLOOKUP($AB74,$X$118:$AC$142,5,0)</f>
        <v>216.07</v>
      </c>
      <c r="Y74" s="15">
        <f>VLOOKUP($AB74,$X$118:$AC$142,6,0)</f>
        <v>52.72</v>
      </c>
      <c r="Z74" s="49" t="str">
        <f>"E"&amp;MATCH(LARGE($X$119:$X$142,1),$X$119:$X$142,0)+14</f>
        <v>E30</v>
      </c>
      <c r="AA74" s="211"/>
      <c r="AB74" s="50">
        <f>LARGE($X$119:$X$142,1)</f>
        <v>50.923332395432439</v>
      </c>
    </row>
    <row r="75" spans="2:30" x14ac:dyDescent="0.3">
      <c r="B75" s="36">
        <f t="shared" si="30"/>
        <v>0.38749016908055883</v>
      </c>
      <c r="C75" s="36">
        <f t="shared" si="31"/>
        <v>0.25032347766718266</v>
      </c>
      <c r="D75" s="36">
        <f t="shared" si="32"/>
        <v>0.1311953995940823</v>
      </c>
      <c r="E75" s="99"/>
      <c r="F75" s="147"/>
      <c r="G75" s="171"/>
      <c r="H75" s="195"/>
      <c r="I75" s="36">
        <f t="shared" si="33"/>
        <v>0.34100863885950355</v>
      </c>
      <c r="J75" s="36">
        <f t="shared" si="34"/>
        <v>0.28051523681430568</v>
      </c>
      <c r="K75" s="36">
        <f t="shared" si="35"/>
        <v>0.19540773070232048</v>
      </c>
      <c r="M75" s="36">
        <f t="shared" si="36"/>
        <v>0.34096693047580856</v>
      </c>
      <c r="N75" s="36">
        <f t="shared" si="37"/>
        <v>0.2805414338441371</v>
      </c>
      <c r="O75" s="36">
        <f t="shared" si="38"/>
        <v>0.1952276520049864</v>
      </c>
      <c r="P75" s="36"/>
      <c r="Q75" s="23" t="s">
        <v>70</v>
      </c>
      <c r="R75" s="23" t="s">
        <v>71</v>
      </c>
      <c r="S75" s="23" t="s">
        <v>72</v>
      </c>
      <c r="T75" s="36"/>
      <c r="U75" s="36"/>
      <c r="V75" s="7"/>
      <c r="W75" s="15">
        <f t="shared" ref="W75:W78" si="42">VLOOKUP($AB75,$X$118:$AC$142,3,0)</f>
        <v>177.63</v>
      </c>
      <c r="X75" s="15">
        <f t="shared" ref="X75:X78" si="43">VLOOKUP($AB75,$X$118:$AC$142,5,0)</f>
        <v>204.63</v>
      </c>
      <c r="Y75" s="15">
        <f t="shared" ref="Y75:Y78" si="44">VLOOKUP($AB75,$X$118:$AC$142,6,0)</f>
        <v>71.959999999999994</v>
      </c>
      <c r="Z75" s="49" t="str">
        <f>"E"&amp;MATCH(LARGE($X$119:$X$142,2),$X$119:$X$142,0)+14</f>
        <v>E25</v>
      </c>
      <c r="AA75" s="212"/>
      <c r="AB75" s="50">
        <f>LARGE($X$119:$X$142,2)</f>
        <v>43.775199519279667</v>
      </c>
    </row>
    <row r="76" spans="2:30" x14ac:dyDescent="0.3">
      <c r="B76" s="36">
        <f t="shared" si="30"/>
        <v>6.6247900217218311E-2</v>
      </c>
      <c r="C76" s="36">
        <f t="shared" si="31"/>
        <v>4.4599179035821439E-2</v>
      </c>
      <c r="D76" s="36">
        <f t="shared" si="32"/>
        <v>8.8956459828271384E-2</v>
      </c>
      <c r="E76" s="100"/>
      <c r="F76" s="148"/>
      <c r="G76" s="172"/>
      <c r="H76" s="196"/>
      <c r="I76" s="36">
        <f t="shared" si="33"/>
        <v>6.4067974913329592E-2</v>
      </c>
      <c r="J76" s="36">
        <f t="shared" si="34"/>
        <v>5.2013612030618363E-2</v>
      </c>
      <c r="K76" s="36">
        <f t="shared" si="35"/>
        <v>6.845842248502515E-2</v>
      </c>
      <c r="M76" s="36">
        <f t="shared" si="36"/>
        <v>6.406100833226834E-2</v>
      </c>
      <c r="N76" s="36">
        <f t="shared" si="37"/>
        <v>5.2018011448062521E-2</v>
      </c>
      <c r="O76" s="36">
        <f t="shared" si="38"/>
        <v>6.8431881711015108E-2</v>
      </c>
      <c r="P76" s="36"/>
      <c r="Q76" s="32">
        <v>1</v>
      </c>
      <c r="R76" s="32">
        <v>1</v>
      </c>
      <c r="S76" s="32">
        <v>1</v>
      </c>
      <c r="T76" s="36"/>
      <c r="U76" s="36"/>
      <c r="V76" s="7"/>
      <c r="W76" s="15">
        <f t="shared" si="42"/>
        <v>242.26</v>
      </c>
      <c r="X76" s="15">
        <f t="shared" si="43"/>
        <v>175.26</v>
      </c>
      <c r="Y76" s="15">
        <f t="shared" si="44"/>
        <v>44.28</v>
      </c>
      <c r="Z76" s="49" t="str">
        <f>"E"&amp;MATCH(LARGE($X$119:$X$142,3),$X$119:$X$142,0)+14</f>
        <v>E26</v>
      </c>
      <c r="AA76" s="215"/>
      <c r="AB76" s="50">
        <f>LARGE($X$119:$X$142,3)</f>
        <v>42.828614872577838</v>
      </c>
    </row>
    <row r="77" spans="2:30" x14ac:dyDescent="0.3">
      <c r="B77" s="36">
        <f t="shared" si="30"/>
        <v>0.41187257842757896</v>
      </c>
      <c r="C77" s="36">
        <f t="shared" si="31"/>
        <v>0.53374616237864958</v>
      </c>
      <c r="D77" s="36">
        <f t="shared" si="32"/>
        <v>0.1425533520297764</v>
      </c>
      <c r="E77" s="101"/>
      <c r="F77" s="149"/>
      <c r="G77" s="173"/>
      <c r="H77" s="197"/>
      <c r="I77" s="36">
        <f t="shared" si="33"/>
        <v>0.39683883801428071</v>
      </c>
      <c r="J77" s="36">
        <f t="shared" si="34"/>
        <v>0.45915928080358903</v>
      </c>
      <c r="K77" s="36">
        <f t="shared" si="35"/>
        <v>0.33502080741255247</v>
      </c>
      <c r="M77" s="36">
        <f t="shared" si="36"/>
        <v>0.3967958797027864</v>
      </c>
      <c r="N77" s="36">
        <f t="shared" si="37"/>
        <v>0.45918781931735281</v>
      </c>
      <c r="O77" s="36">
        <f t="shared" si="38"/>
        <v>0.33506758272484216</v>
      </c>
      <c r="P77" s="36"/>
      <c r="Q77" s="23" t="s">
        <v>73</v>
      </c>
      <c r="R77" s="23" t="s">
        <v>74</v>
      </c>
      <c r="S77" s="32"/>
      <c r="T77" s="36"/>
      <c r="U77" s="36"/>
      <c r="V77" s="7"/>
      <c r="W77" s="15">
        <f t="shared" si="42"/>
        <v>2.91</v>
      </c>
      <c r="X77" s="15">
        <f t="shared" si="43"/>
        <v>17.91</v>
      </c>
      <c r="Y77" s="15">
        <f t="shared" si="44"/>
        <v>135.32</v>
      </c>
      <c r="Z77" s="49" t="str">
        <f>"E"&amp;MATCH(LARGE($X$119:$X$142,4),$X$119:$X$142,0)+14</f>
        <v>E27</v>
      </c>
      <c r="AA77" s="213"/>
      <c r="AB77" s="50">
        <f>LARGE($X$119:$X$142,4)</f>
        <v>41.280423758765046</v>
      </c>
    </row>
    <row r="78" spans="2:30" x14ac:dyDescent="0.3">
      <c r="B78" s="36">
        <f t="shared" si="30"/>
        <v>0.52551626404999863</v>
      </c>
      <c r="C78" s="36">
        <f t="shared" si="31"/>
        <v>0.49872873287098674</v>
      </c>
      <c r="D78" s="36">
        <f t="shared" si="32"/>
        <v>9.2687515640650003E-2</v>
      </c>
      <c r="E78" s="102"/>
      <c r="F78" s="150"/>
      <c r="G78" s="174"/>
      <c r="H78" s="198"/>
      <c r="I78" s="36">
        <f t="shared" si="33"/>
        <v>0.48718883901221099</v>
      </c>
      <c r="J78" s="36">
        <f t="shared" si="34"/>
        <v>0.48491337221069641</v>
      </c>
      <c r="K78" s="36">
        <f t="shared" si="35"/>
        <v>0.29171737824682514</v>
      </c>
      <c r="M78" s="36">
        <f t="shared" si="36"/>
        <v>0.48713123965205551</v>
      </c>
      <c r="N78" s="36">
        <f t="shared" si="37"/>
        <v>0.48495048239355376</v>
      </c>
      <c r="O78" s="36">
        <f t="shared" si="38"/>
        <v>0.29160776955695222</v>
      </c>
      <c r="P78" s="36"/>
      <c r="Q78" s="32">
        <v>4.4999999999999998E-2</v>
      </c>
      <c r="R78" s="32">
        <v>1.4999999999999999E-2</v>
      </c>
      <c r="S78" s="32"/>
      <c r="T78" s="36"/>
      <c r="U78" s="36"/>
      <c r="V78" s="7"/>
      <c r="W78" s="15">
        <f t="shared" si="42"/>
        <v>237.21</v>
      </c>
      <c r="X78" s="15">
        <f t="shared" si="43"/>
        <v>137.21</v>
      </c>
      <c r="Y78" s="15">
        <f t="shared" si="44"/>
        <v>45.15</v>
      </c>
      <c r="Z78" s="49" t="str">
        <f>"E"&amp;MATCH(LARGE($X$119:$X$142,5),$X$119:$X$142,0)+14</f>
        <v>E21</v>
      </c>
      <c r="AA78" s="216"/>
      <c r="AB78" s="50">
        <f>LARGE($X$119:$X$142,5)</f>
        <v>35.797067009629338</v>
      </c>
    </row>
    <row r="79" spans="2:30" x14ac:dyDescent="0.3">
      <c r="B79" s="36">
        <f t="shared" si="30"/>
        <v>4.6454898372150576E-2</v>
      </c>
      <c r="C79" s="36">
        <f t="shared" si="31"/>
        <v>2.2061456101242306E-2</v>
      </c>
      <c r="D79" s="36">
        <f t="shared" si="32"/>
        <v>0.23216226942659862</v>
      </c>
      <c r="E79" s="103"/>
      <c r="F79" s="151"/>
      <c r="G79" s="175"/>
      <c r="H79" s="199"/>
      <c r="I79" s="36">
        <f t="shared" si="33"/>
        <v>2.6276317023753264E-2</v>
      </c>
      <c r="J79" s="36">
        <f t="shared" si="34"/>
        <v>2.1304391024430304E-2</v>
      </c>
      <c r="K79" s="36">
        <f t="shared" si="35"/>
        <v>9.3370458990577485E-2</v>
      </c>
      <c r="M79" s="36">
        <f t="shared" si="36"/>
        <v>2.6275275230171209E-2</v>
      </c>
      <c r="N79" s="36">
        <f t="shared" si="37"/>
        <v>2.1305119043521347E-2</v>
      </c>
      <c r="O79" s="36">
        <f t="shared" si="38"/>
        <v>9.3376954008646831E-2</v>
      </c>
      <c r="P79" s="36"/>
      <c r="Q79" s="23" t="s">
        <v>70</v>
      </c>
      <c r="R79" s="23" t="s">
        <v>71</v>
      </c>
      <c r="S79" s="23" t="s">
        <v>72</v>
      </c>
      <c r="T79" s="36"/>
      <c r="U79" s="36"/>
      <c r="V79" s="7"/>
      <c r="W79" s="7"/>
      <c r="X79" s="7"/>
      <c r="Y79" s="7"/>
      <c r="Z79" s="51"/>
    </row>
    <row r="80" spans="2:30" x14ac:dyDescent="0.3">
      <c r="B80" s="36">
        <f t="shared" si="30"/>
        <v>0.13375368044874902</v>
      </c>
      <c r="C80" s="36">
        <f t="shared" si="31"/>
        <v>0.21432222040066126</v>
      </c>
      <c r="D80" s="36">
        <f t="shared" si="32"/>
        <v>9.4612259838738388E-2</v>
      </c>
      <c r="E80" s="104"/>
      <c r="F80" s="152"/>
      <c r="G80" s="176"/>
      <c r="H80" s="200"/>
      <c r="I80" s="36">
        <f t="shared" si="33"/>
        <v>0.13217174528036668</v>
      </c>
      <c r="J80" s="36">
        <f t="shared" si="34"/>
        <v>0.17675938292469934</v>
      </c>
      <c r="K80" s="36">
        <f t="shared" si="35"/>
        <v>0.14532366840658809</v>
      </c>
      <c r="M80" s="36">
        <f t="shared" si="36"/>
        <v>0.13215884018350552</v>
      </c>
      <c r="N80" s="36">
        <f t="shared" si="37"/>
        <v>0.17676830065028554</v>
      </c>
      <c r="O80" s="36">
        <f t="shared" si="38"/>
        <v>0.14538912390318962</v>
      </c>
      <c r="P80" s="36"/>
      <c r="Q80" s="32">
        <v>1</v>
      </c>
      <c r="R80" s="32">
        <v>1</v>
      </c>
      <c r="S80" s="32">
        <v>1</v>
      </c>
      <c r="T80" s="36"/>
      <c r="U80" s="36"/>
      <c r="V80" s="7"/>
      <c r="W80" s="15" t="s">
        <v>6</v>
      </c>
      <c r="X80" s="15" t="s">
        <v>9</v>
      </c>
      <c r="Y80" s="15" t="s">
        <v>16</v>
      </c>
      <c r="Z80" s="51"/>
      <c r="AB80" s="32" t="s">
        <v>41</v>
      </c>
    </row>
    <row r="81" spans="2:29" x14ac:dyDescent="0.3">
      <c r="B81" s="36">
        <f t="shared" si="30"/>
        <v>0.27995016006659468</v>
      </c>
      <c r="C81" s="36">
        <f t="shared" si="31"/>
        <v>0.16200097958241344</v>
      </c>
      <c r="D81" s="36">
        <f t="shared" si="32"/>
        <v>6.0133682118064566E-2</v>
      </c>
      <c r="E81" s="105"/>
      <c r="F81" s="153"/>
      <c r="G81" s="177"/>
      <c r="H81" s="201"/>
      <c r="I81" s="36">
        <f t="shared" si="33"/>
        <v>0.23157718676281161</v>
      </c>
      <c r="J81" s="36">
        <f t="shared" si="34"/>
        <v>0.16982494302959428</v>
      </c>
      <c r="K81" s="36">
        <f t="shared" si="35"/>
        <v>9.6947759870326833E-2</v>
      </c>
      <c r="M81" s="36">
        <f t="shared" si="36"/>
        <v>0.2315615996694172</v>
      </c>
      <c r="N81" s="36">
        <f t="shared" si="37"/>
        <v>0.16985063973738126</v>
      </c>
      <c r="O81" s="36">
        <f t="shared" si="38"/>
        <v>9.678112044736456E-2</v>
      </c>
      <c r="P81" s="36"/>
      <c r="Q81" s="32"/>
      <c r="T81" s="36"/>
      <c r="U81" s="36"/>
      <c r="V81" s="7"/>
      <c r="W81" s="15">
        <f>VLOOKUP($AB81,$Y$118:$AC$142,2,0)</f>
        <v>2.91</v>
      </c>
      <c r="X81" s="15">
        <f>VLOOKUP($AB81,$Y$118:$AC$142,4,0)</f>
        <v>17.91</v>
      </c>
      <c r="Y81" s="15">
        <f>VLOOKUP($AB81,$Y$118:$AC$142,5,0)</f>
        <v>135.32</v>
      </c>
      <c r="Z81" s="49" t="str">
        <f>"E"&amp;MATCH(LARGE($Z$15:$Z$38,1),$Z$15:$Z$38,0)+14</f>
        <v>E27</v>
      </c>
      <c r="AA81" s="213"/>
      <c r="AB81" s="50">
        <f>LARGE($Z$15:$Z$38,1)</f>
        <v>11.616274395058042</v>
      </c>
    </row>
    <row r="82" spans="2:29" x14ac:dyDescent="0.3">
      <c r="B82" s="36">
        <f t="shared" si="30"/>
        <v>0.64159279747214404</v>
      </c>
      <c r="C82" s="36">
        <f t="shared" si="31"/>
        <v>0.69482906345950268</v>
      </c>
      <c r="D82" s="36">
        <f t="shared" si="32"/>
        <v>0.13365940995611947</v>
      </c>
      <c r="E82" s="106"/>
      <c r="F82" s="154"/>
      <c r="G82" s="178"/>
      <c r="H82" s="202"/>
      <c r="I82" s="36">
        <f t="shared" si="33"/>
        <v>0.57637067428318201</v>
      </c>
      <c r="J82" s="36">
        <f t="shared" si="34"/>
        <v>0.60786026340152532</v>
      </c>
      <c r="K82" s="36">
        <f t="shared" si="35"/>
        <v>0.3938033488994836</v>
      </c>
      <c r="M82" s="36">
        <f t="shared" si="36"/>
        <v>0.57630455108114098</v>
      </c>
      <c r="N82" s="36">
        <f t="shared" si="37"/>
        <v>0.60790331950723009</v>
      </c>
      <c r="O82" s="36">
        <f t="shared" si="38"/>
        <v>0.39374529248456136</v>
      </c>
      <c r="P82" s="36"/>
      <c r="Q82" s="222" t="s">
        <v>75</v>
      </c>
      <c r="R82" s="228"/>
      <c r="S82" s="228"/>
      <c r="T82" s="36"/>
      <c r="U82" s="36"/>
      <c r="W82" s="15">
        <f t="shared" ref="W82:W85" si="45">VLOOKUP($AB82,$Y$118:$AC$142,2,0)</f>
        <v>0.3</v>
      </c>
      <c r="X82" s="15">
        <f t="shared" ref="X82:X85" si="46">VLOOKUP($AB82,$Y$118:$AC$142,4,0)</f>
        <v>109.91</v>
      </c>
      <c r="Y82" s="15">
        <f t="shared" ref="Y82:Y85" si="47">VLOOKUP($AB82,$Y$118:$AC$142,5,0)</f>
        <v>174.28</v>
      </c>
      <c r="Z82" s="49" t="str">
        <f>"E"&amp;MATCH(LARGE($Z$15:$Z$38,2),$Z$15:$Z$38,0)+14</f>
        <v>E32</v>
      </c>
      <c r="AA82" s="217"/>
      <c r="AB82" s="50">
        <f>LARGE($Z$15:$Z$38,2)</f>
        <v>8.5785400414381741</v>
      </c>
    </row>
    <row r="83" spans="2:29" x14ac:dyDescent="0.3">
      <c r="B83" s="36">
        <f t="shared" si="30"/>
        <v>0.34300276532178581</v>
      </c>
      <c r="C83" s="36">
        <f t="shared" si="31"/>
        <v>0.21603478437309334</v>
      </c>
      <c r="D83" s="36">
        <f t="shared" si="32"/>
        <v>0.26232931061030051</v>
      </c>
      <c r="E83" s="107"/>
      <c r="F83" s="155"/>
      <c r="G83" s="179"/>
      <c r="H83" s="203"/>
      <c r="I83" s="36">
        <f t="shared" si="33"/>
        <v>0.29170163437062663</v>
      </c>
      <c r="J83" s="36">
        <f t="shared" si="34"/>
        <v>0.23171936334888138</v>
      </c>
      <c r="K83" s="36">
        <f t="shared" si="35"/>
        <v>0.23312772702585807</v>
      </c>
      <c r="M83" s="36">
        <f t="shared" si="36"/>
        <v>0.29166763114124011</v>
      </c>
      <c r="N83" s="36">
        <f t="shared" si="37"/>
        <v>0.23174069568405078</v>
      </c>
      <c r="O83" s="36">
        <f t="shared" si="38"/>
        <v>0.23297717209364011</v>
      </c>
      <c r="P83" s="36"/>
      <c r="Q83" s="32">
        <f t="array" ref="Q83:S85">MINVERSE(W3:Y5)</f>
        <v>1</v>
      </c>
      <c r="R83" s="32">
        <v>0</v>
      </c>
      <c r="S83" s="32">
        <v>0</v>
      </c>
      <c r="T83" s="36"/>
      <c r="U83" s="36"/>
      <c r="W83" s="15">
        <f t="shared" si="45"/>
        <v>67.41</v>
      </c>
      <c r="X83" s="15">
        <f t="shared" si="46"/>
        <v>143.4</v>
      </c>
      <c r="Y83" s="15">
        <f t="shared" si="47"/>
        <v>71.41</v>
      </c>
      <c r="Z83" s="49" t="str">
        <f>"E"&amp;MATCH(LARGE($Z$15:$Z$38,3),$Z$15:$Z$38,0)+14</f>
        <v>E28</v>
      </c>
      <c r="AA83" s="214"/>
      <c r="AB83" s="50">
        <f>LARGE($Z$15:$Z$38,3)</f>
        <v>8.1400808017078674</v>
      </c>
    </row>
    <row r="84" spans="2:29" x14ac:dyDescent="0.3">
      <c r="B84" s="36">
        <f t="shared" si="30"/>
        <v>0.132342683188859</v>
      </c>
      <c r="C84" s="36">
        <f t="shared" si="31"/>
        <v>0.1419950527613584</v>
      </c>
      <c r="D84" s="36">
        <f t="shared" si="32"/>
        <v>0.42222667523586965</v>
      </c>
      <c r="E84" s="108"/>
      <c r="F84" s="156"/>
      <c r="G84" s="180"/>
      <c r="H84" s="204"/>
      <c r="I84" s="36">
        <f t="shared" si="33"/>
        <v>0.10938822296898104</v>
      </c>
      <c r="J84" s="36">
        <f t="shared" si="34"/>
        <v>0.12576098005273023</v>
      </c>
      <c r="K84" s="36">
        <f t="shared" si="35"/>
        <v>0.25012277837551411</v>
      </c>
      <c r="M84" s="36">
        <f t="shared" si="36"/>
        <v>0.10938075395056619</v>
      </c>
      <c r="N84" s="36">
        <f t="shared" si="37"/>
        <v>0.12576624681329748</v>
      </c>
      <c r="O84" s="36">
        <f t="shared" si="38"/>
        <v>0.25017640367607835</v>
      </c>
      <c r="P84" s="36"/>
      <c r="Q84" s="32">
        <v>0</v>
      </c>
      <c r="R84" s="32">
        <v>1</v>
      </c>
      <c r="S84" s="32">
        <v>0</v>
      </c>
      <c r="T84" s="36"/>
      <c r="U84" s="36"/>
      <c r="W84" s="15">
        <f t="shared" si="45"/>
        <v>210.6</v>
      </c>
      <c r="X84" s="15">
        <f t="shared" si="46"/>
        <v>81.69</v>
      </c>
      <c r="Y84" s="15">
        <f t="shared" si="47"/>
        <v>137.55000000000001</v>
      </c>
      <c r="Z84" s="49" t="str">
        <f>"E"&amp;MATCH(LARGE($Z$15:$Z$38,4),$Z$15:$Z$38,0)+14</f>
        <v>E31</v>
      </c>
      <c r="AA84" s="218"/>
      <c r="AB84" s="50">
        <f>LARGE($Z$15:$Z$38,4)</f>
        <v>7.6521614014361443</v>
      </c>
    </row>
    <row r="85" spans="2:29" x14ac:dyDescent="0.3">
      <c r="B85" s="36">
        <f t="shared" si="30"/>
        <v>0.77078908378638289</v>
      </c>
      <c r="C85" s="36">
        <f t="shared" si="31"/>
        <v>0.80759556233159013</v>
      </c>
      <c r="D85" s="36">
        <f t="shared" si="32"/>
        <v>0.83054985344888421</v>
      </c>
      <c r="E85" s="109"/>
      <c r="F85" s="157"/>
      <c r="G85" s="181"/>
      <c r="H85" s="205"/>
      <c r="I85" s="36">
        <f t="shared" si="33"/>
        <v>0.75578758683414693</v>
      </c>
      <c r="J85" s="36">
        <f t="shared" si="34"/>
        <v>0.7909451020562468</v>
      </c>
      <c r="K85" s="36">
        <f t="shared" si="35"/>
        <v>0.83445106332697405</v>
      </c>
      <c r="M85" s="36">
        <f t="shared" si="36"/>
        <v>0.75570960687879429</v>
      </c>
      <c r="N85" s="36">
        <f t="shared" si="37"/>
        <v>0.79099632577185885</v>
      </c>
      <c r="O85" s="36">
        <f t="shared" si="38"/>
        <v>0.8344493122676544</v>
      </c>
      <c r="P85" s="36"/>
      <c r="Q85" s="32">
        <v>0</v>
      </c>
      <c r="R85" s="32">
        <v>0</v>
      </c>
      <c r="S85" s="32">
        <v>1</v>
      </c>
      <c r="T85" s="36"/>
      <c r="U85" s="36"/>
      <c r="W85" s="15">
        <f t="shared" si="45"/>
        <v>59.26</v>
      </c>
      <c r="X85" s="15">
        <f t="shared" si="46"/>
        <v>78.260000000000005</v>
      </c>
      <c r="Y85" s="15">
        <f t="shared" si="47"/>
        <v>181.46</v>
      </c>
      <c r="Z85" s="49" t="str">
        <f>"E"&amp;MATCH(LARGE($Z$15:$Z$38,5),$Z$15:$Z$38,0)+14</f>
        <v>E22</v>
      </c>
      <c r="AA85" s="219"/>
      <c r="AB85" s="50">
        <f>LARGE($Z$15:$Z$38,5)</f>
        <v>7.3402967775720178</v>
      </c>
    </row>
    <row r="86" spans="2:29" x14ac:dyDescent="0.3">
      <c r="B86" s="36">
        <f t="shared" si="30"/>
        <v>0.5684322141940199</v>
      </c>
      <c r="C86" s="36">
        <f t="shared" si="31"/>
        <v>0.59771498554482394</v>
      </c>
      <c r="D86" s="36">
        <f t="shared" si="32"/>
        <v>0.61421064327163222</v>
      </c>
      <c r="E86" s="110"/>
      <c r="F86" s="158"/>
      <c r="G86" s="182"/>
      <c r="H86" s="206"/>
      <c r="I86" s="36">
        <f t="shared" si="33"/>
        <v>0.50935094915780543</v>
      </c>
      <c r="J86" s="36">
        <f t="shared" si="34"/>
        <v>0.53218738042048319</v>
      </c>
      <c r="K86" s="36">
        <f t="shared" si="35"/>
        <v>0.56322773089193912</v>
      </c>
      <c r="M86" s="36">
        <f t="shared" si="36"/>
        <v>0.50929840310829222</v>
      </c>
      <c r="N86" s="36">
        <f t="shared" si="37"/>
        <v>0.53222188872102161</v>
      </c>
      <c r="O86" s="36">
        <f t="shared" si="38"/>
        <v>0.56322531063448145</v>
      </c>
      <c r="P86" s="36"/>
      <c r="Q86" s="32"/>
      <c r="T86" s="36"/>
      <c r="U86" s="36"/>
    </row>
    <row r="87" spans="2:29" x14ac:dyDescent="0.3">
      <c r="B87" s="36">
        <f t="shared" si="30"/>
        <v>0.33429114351697203</v>
      </c>
      <c r="C87" s="36">
        <f t="shared" si="31"/>
        <v>0.35125043560035168</v>
      </c>
      <c r="D87" s="36">
        <f t="shared" si="32"/>
        <v>0.35868856312905983</v>
      </c>
      <c r="E87" s="111"/>
      <c r="F87" s="159"/>
      <c r="G87" s="183"/>
      <c r="H87" s="207"/>
      <c r="I87" s="36">
        <f t="shared" si="33"/>
        <v>0.28282612425907749</v>
      </c>
      <c r="J87" s="36">
        <f t="shared" si="34"/>
        <v>0.2977351651845887</v>
      </c>
      <c r="K87" s="36">
        <f t="shared" si="35"/>
        <v>0.31473991198229867</v>
      </c>
      <c r="M87" s="36">
        <f t="shared" si="36"/>
        <v>0.28279704611422252</v>
      </c>
      <c r="N87" s="36">
        <f t="shared" si="37"/>
        <v>0.29775429068430814</v>
      </c>
      <c r="O87" s="36">
        <f t="shared" si="38"/>
        <v>0.31474292355615319</v>
      </c>
      <c r="P87" s="36"/>
      <c r="Q87" s="222" t="s">
        <v>76</v>
      </c>
      <c r="R87" s="228"/>
      <c r="S87" s="228"/>
      <c r="T87" s="36"/>
      <c r="U87" s="36"/>
    </row>
    <row r="88" spans="2:29" x14ac:dyDescent="0.3">
      <c r="B88" s="36">
        <f t="shared" si="30"/>
        <v>0.1218794947278443</v>
      </c>
      <c r="C88" s="36">
        <f t="shared" si="31"/>
        <v>0.12887005959840314</v>
      </c>
      <c r="D88" s="36">
        <f t="shared" si="32"/>
        <v>0.13054783165072512</v>
      </c>
      <c r="E88" s="112"/>
      <c r="F88" s="160"/>
      <c r="G88" s="184">
        <v>0.18</v>
      </c>
      <c r="H88" s="208"/>
      <c r="I88" s="36">
        <f t="shared" si="33"/>
        <v>0.10850604084204454</v>
      </c>
      <c r="J88" s="36">
        <f t="shared" si="34"/>
        <v>0.11431117366189407</v>
      </c>
      <c r="K88" s="36">
        <f t="shared" si="35"/>
        <v>0.11865972284618109</v>
      </c>
      <c r="M88" s="36">
        <f t="shared" si="36"/>
        <v>0.10849482856549139</v>
      </c>
      <c r="N88" s="36">
        <f t="shared" si="37"/>
        <v>0.11431854548863268</v>
      </c>
      <c r="O88" s="36">
        <f t="shared" si="38"/>
        <v>0.11866046663134683</v>
      </c>
      <c r="P88" s="36"/>
      <c r="Q88" s="32">
        <f t="array" ref="Q88:S90">MINVERSE(W7:Y9)</f>
        <v>1</v>
      </c>
      <c r="R88" s="32">
        <v>0</v>
      </c>
      <c r="S88" s="32">
        <v>0</v>
      </c>
      <c r="T88" s="36"/>
      <c r="U88" s="36"/>
    </row>
    <row r="89" spans="2:29" x14ac:dyDescent="0.3">
      <c r="B89" s="36">
        <f t="shared" si="30"/>
        <v>3.5032757065894503E-2</v>
      </c>
      <c r="C89" s="36">
        <f t="shared" si="31"/>
        <v>3.6985195517763532E-2</v>
      </c>
      <c r="D89" s="36">
        <f t="shared" si="32"/>
        <v>4.0174063139007947E-2</v>
      </c>
      <c r="E89" s="113"/>
      <c r="F89" s="161"/>
      <c r="G89" s="185"/>
      <c r="H89" s="209"/>
      <c r="I89" s="36">
        <f t="shared" si="33"/>
        <v>2.7449696377583196E-2</v>
      </c>
      <c r="J89" s="36">
        <f t="shared" si="34"/>
        <v>2.8884114165275691E-2</v>
      </c>
      <c r="K89" s="36">
        <f t="shared" si="35"/>
        <v>3.142038567253809E-2</v>
      </c>
      <c r="M89" s="36">
        <f t="shared" si="36"/>
        <v>2.7446898240940289E-2</v>
      </c>
      <c r="N89" s="36">
        <f t="shared" si="37"/>
        <v>2.8885956011326291E-2</v>
      </c>
      <c r="O89" s="36">
        <f t="shared" si="38"/>
        <v>3.1420889489907802E-2</v>
      </c>
      <c r="P89" s="36"/>
      <c r="Q89" s="32">
        <v>0</v>
      </c>
      <c r="R89" s="32">
        <v>1</v>
      </c>
      <c r="S89" s="32">
        <v>0</v>
      </c>
      <c r="T89" s="36"/>
      <c r="U89" s="36"/>
    </row>
    <row r="90" spans="2:29" x14ac:dyDescent="0.3">
      <c r="B90" s="36">
        <f t="shared" si="30"/>
        <v>4.4767894177046878E-3</v>
      </c>
      <c r="C90" s="36">
        <f t="shared" si="31"/>
        <v>4.7100801344425692E-3</v>
      </c>
      <c r="D90" s="36">
        <f t="shared" si="32"/>
        <v>5.1284760399374994E-3</v>
      </c>
      <c r="E90" s="114"/>
      <c r="F90" s="162"/>
      <c r="G90" s="186"/>
      <c r="H90" s="210"/>
      <c r="I90" s="36">
        <f t="shared" si="33"/>
        <v>3.6808985056315507E-3</v>
      </c>
      <c r="J90" s="36">
        <f t="shared" si="34"/>
        <v>3.8317754366430554E-3</v>
      </c>
      <c r="K90" s="36">
        <f t="shared" si="35"/>
        <v>4.4754461206546617E-3</v>
      </c>
      <c r="M90" s="36">
        <f t="shared" si="36"/>
        <v>3.6805297678309608E-3</v>
      </c>
      <c r="N90" s="36">
        <f t="shared" si="37"/>
        <v>3.8320181546902406E-3</v>
      </c>
      <c r="O90" s="36">
        <f t="shared" si="38"/>
        <v>4.4755125135913119E-3</v>
      </c>
      <c r="P90" s="36"/>
      <c r="Q90" s="32">
        <v>0</v>
      </c>
      <c r="R90" s="32">
        <v>0</v>
      </c>
      <c r="S90" s="32">
        <v>1</v>
      </c>
      <c r="T90" s="36"/>
      <c r="U90" s="36"/>
    </row>
    <row r="91" spans="2:29" x14ac:dyDescent="0.3">
      <c r="N91" s="32"/>
      <c r="O91" s="32"/>
      <c r="P91" s="32"/>
      <c r="Q91" s="32"/>
    </row>
    <row r="92" spans="2:29" x14ac:dyDescent="0.3">
      <c r="B92" s="36" t="s">
        <v>77</v>
      </c>
      <c r="C92" s="36" t="s">
        <v>78</v>
      </c>
      <c r="D92" s="36" t="s">
        <v>79</v>
      </c>
      <c r="I92" s="32" t="s">
        <v>80</v>
      </c>
      <c r="J92" s="32" t="s">
        <v>81</v>
      </c>
      <c r="K92" s="32" t="s">
        <v>82</v>
      </c>
      <c r="M92" s="32" t="s">
        <v>83</v>
      </c>
      <c r="N92" s="32" t="s">
        <v>84</v>
      </c>
      <c r="O92" s="32" t="s">
        <v>85</v>
      </c>
      <c r="P92" s="32"/>
      <c r="Q92" s="222" t="s">
        <v>160</v>
      </c>
      <c r="R92" s="222"/>
      <c r="S92" s="222"/>
      <c r="W92" s="50" t="str">
        <f t="shared" ref="W92:W116" si="48">Q14</f>
        <v>ΔE</v>
      </c>
      <c r="X92" s="50" t="str">
        <f>S14</f>
        <v>Δchroma</v>
      </c>
      <c r="Y92" s="50" t="str">
        <f>T14</f>
        <v>Δhue</v>
      </c>
      <c r="Z92" s="32" t="str">
        <f t="shared" ref="Z92:Z116" si="49">B14</f>
        <v>Target sR</v>
      </c>
      <c r="AA92" s="32"/>
      <c r="AB92" s="32" t="str">
        <f t="shared" ref="AB92:AB116" si="50">C14</f>
        <v>Target sG</v>
      </c>
      <c r="AC92" s="32" t="str">
        <f t="shared" ref="AC92:AC116" si="51">D14</f>
        <v>Target sB</v>
      </c>
    </row>
    <row r="93" spans="2:29" x14ac:dyDescent="0.3">
      <c r="B93" s="36">
        <f t="shared" ref="B93:B116" si="52">IF((B67/$Q$72)&gt;(216/24389), POWER(B67/$Q$72,1/3), (((24389/27)*B67/$Q$72)+16)/116)</f>
        <v>0.48566867714309431</v>
      </c>
      <c r="C93" s="36">
        <f t="shared" ref="C93:C116" si="53">IF((C67/$R$72)&gt;(216/24389), POWER(C67/$R$72,1/3), (((24389/27)*C67/$R$72)+16)/116)</f>
        <v>0.45380569848487379</v>
      </c>
      <c r="D93" s="36">
        <f t="shared" ref="D93:D116" si="54">IF((D67/$S$72)&gt;(216/24389), POWER(D67/$S$72,1/3), (((24389/27)*D67/$S$72)+16)/116)</f>
        <v>0.35990247483512333</v>
      </c>
      <c r="E93" s="91"/>
      <c r="F93" s="139"/>
      <c r="G93" s="163"/>
      <c r="H93" s="187"/>
      <c r="I93" s="36">
        <f t="shared" ref="I93:I116" si="55">IF((I67/$Q$72)&gt;(216/24389), POWER(I67/$Q$72,1/3), (((24389/27)*I67/$Q$72)+16)/116)</f>
        <v>0.51335481647924297</v>
      </c>
      <c r="J93" s="36">
        <f t="shared" ref="J93:J116" si="56">IF((J67/$R$72)&gt;(216/24389), POWER(J67/$R$72,1/3), (((24389/27)*J67/$R$72)+16)/116)</f>
        <v>0.49358705011382237</v>
      </c>
      <c r="K93" s="36">
        <f t="shared" ref="K93:K116" si="57">IF((K67/$S$72)&gt;(216/24389), POWER(K67/$S$72,1/3), (((24389/27)*K67/$S$72)+16)/116)</f>
        <v>0.4366450972172129</v>
      </c>
      <c r="M93" s="36">
        <f t="shared" ref="M93:M116" si="58">IF((M67/$Q$72)&gt;(216/24389), POWER(M67/$Q$72,1/3), (((24389/27)*M67/$Q$72+16)/116))</f>
        <v>0.51333488991902376</v>
      </c>
      <c r="N93" s="36">
        <f t="shared" ref="N93:N116" si="59">IF((N67/$R$72)&gt;(216/24389), POWER(N67/$R$72,1/3), (((24389/27)*N67/$R$72)+16)/116)</f>
        <v>0.4936001556412995</v>
      </c>
      <c r="O93" s="36">
        <f t="shared" ref="O93:O116" si="60">IF((O67/$S$72)&gt;(216/24389), POWER(O67/$S$72,1/3), (((24389/27)*O67/$S$72)+16)/116)</f>
        <v>0.43658322211496164</v>
      </c>
      <c r="P93" s="36"/>
      <c r="Q93" s="32">
        <v>0.29899999999999999</v>
      </c>
      <c r="R93" s="32">
        <v>0.58699999999999997</v>
      </c>
      <c r="S93" s="32">
        <v>0.114</v>
      </c>
      <c r="W93" s="50">
        <f t="shared" si="48"/>
        <v>6.4678052166867444</v>
      </c>
      <c r="X93" s="50">
        <f t="shared" ref="X93:X116" si="61">ABS(S15)</f>
        <v>9.5483845922112796</v>
      </c>
      <c r="Y93" s="50">
        <f t="shared" ref="Y93:Y116" si="62">T15</f>
        <v>0.21751599636939392</v>
      </c>
      <c r="Z93" s="32">
        <f t="shared" si="49"/>
        <v>118.81</v>
      </c>
      <c r="AA93" s="32"/>
      <c r="AB93" s="32">
        <f t="shared" si="50"/>
        <v>75.81</v>
      </c>
      <c r="AC93" s="32">
        <f t="shared" si="51"/>
        <v>56.81</v>
      </c>
    </row>
    <row r="94" spans="2:29" x14ac:dyDescent="0.3">
      <c r="B94" s="36">
        <f t="shared" si="52"/>
        <v>0.80209550249944794</v>
      </c>
      <c r="C94" s="36">
        <f t="shared" si="53"/>
        <v>0.75710143745559544</v>
      </c>
      <c r="D94" s="36">
        <f t="shared" si="54"/>
        <v>0.66642451646752876</v>
      </c>
      <c r="E94" s="92"/>
      <c r="F94" s="140"/>
      <c r="G94" s="164"/>
      <c r="H94" s="188"/>
      <c r="I94" s="36">
        <f t="shared" si="55"/>
        <v>0.83360110553019651</v>
      </c>
      <c r="J94" s="36">
        <f t="shared" si="56"/>
        <v>0.81271666179950408</v>
      </c>
      <c r="K94" s="36">
        <f t="shared" si="57"/>
        <v>0.75945028190857089</v>
      </c>
      <c r="M94" s="36">
        <f t="shared" si="58"/>
        <v>0.83356515270048048</v>
      </c>
      <c r="N94" s="36">
        <f t="shared" si="59"/>
        <v>0.81273458384560837</v>
      </c>
      <c r="O94" s="36">
        <f t="shared" si="60"/>
        <v>0.75936723041332133</v>
      </c>
      <c r="P94" s="36"/>
      <c r="Q94" s="32">
        <v>-0.16869999999999999</v>
      </c>
      <c r="R94" s="32">
        <v>-0.33129999999999998</v>
      </c>
      <c r="S94" s="32">
        <v>0.5</v>
      </c>
      <c r="W94" s="50">
        <f t="shared" si="48"/>
        <v>9.0230027496038936</v>
      </c>
      <c r="X94" s="50">
        <f t="shared" si="61"/>
        <v>13.978999820912144</v>
      </c>
      <c r="Y94" s="50">
        <f t="shared" si="62"/>
        <v>2.4265134205576628</v>
      </c>
      <c r="Z94" s="32">
        <f t="shared" si="49"/>
        <v>226.13</v>
      </c>
      <c r="AA94" s="32"/>
      <c r="AB94" s="32">
        <f t="shared" si="50"/>
        <v>160.13</v>
      </c>
      <c r="AC94" s="32">
        <f t="shared" si="51"/>
        <v>144.13</v>
      </c>
    </row>
    <row r="95" spans="2:29" x14ac:dyDescent="0.3">
      <c r="B95" s="36">
        <f t="shared" si="52"/>
        <v>0.61427864558710665</v>
      </c>
      <c r="C95" s="36">
        <f t="shared" si="53"/>
        <v>0.6058983310064503</v>
      </c>
      <c r="D95" s="36">
        <f t="shared" si="54"/>
        <v>0.75489871829059829</v>
      </c>
      <c r="E95" s="93"/>
      <c r="F95" s="141"/>
      <c r="G95" s="165"/>
      <c r="H95" s="189"/>
      <c r="I95" s="36">
        <f t="shared" si="55"/>
        <v>0.62358365852472353</v>
      </c>
      <c r="J95" s="36">
        <f t="shared" si="56"/>
        <v>0.62437906677857957</v>
      </c>
      <c r="K95" s="36">
        <f t="shared" si="57"/>
        <v>0.68938216987011103</v>
      </c>
      <c r="M95" s="36">
        <f t="shared" si="58"/>
        <v>0.62356481639034322</v>
      </c>
      <c r="N95" s="36">
        <f t="shared" si="59"/>
        <v>0.62439097744954186</v>
      </c>
      <c r="O95" s="36">
        <f t="shared" si="60"/>
        <v>0.6894018818834714</v>
      </c>
      <c r="P95" s="36"/>
      <c r="Q95" s="32">
        <v>0.5</v>
      </c>
      <c r="R95" s="32">
        <v>-0.41870000000000002</v>
      </c>
      <c r="S95" s="32">
        <v>-8.1000000000000003E-2</v>
      </c>
      <c r="W95" s="50">
        <f t="shared" si="48"/>
        <v>7.9149914586261101</v>
      </c>
      <c r="X95" s="50">
        <f t="shared" si="61"/>
        <v>17.086520090213227</v>
      </c>
      <c r="Y95" s="50">
        <f t="shared" si="62"/>
        <v>3.3646773485871253</v>
      </c>
      <c r="Z95" s="32">
        <f t="shared" si="49"/>
        <v>104</v>
      </c>
      <c r="AA95" s="32"/>
      <c r="AB95" s="32">
        <f t="shared" si="50"/>
        <v>130</v>
      </c>
      <c r="AC95" s="32">
        <f t="shared" si="51"/>
        <v>181</v>
      </c>
    </row>
    <row r="96" spans="2:29" x14ac:dyDescent="0.3">
      <c r="B96" s="36">
        <f t="shared" si="52"/>
        <v>0.47324545538887614</v>
      </c>
      <c r="C96" s="36">
        <f t="shared" si="53"/>
        <v>0.50227714688126057</v>
      </c>
      <c r="D96" s="36">
        <f t="shared" si="54"/>
        <v>0.38341089837582987</v>
      </c>
      <c r="E96" s="94"/>
      <c r="F96" s="142"/>
      <c r="G96" s="166"/>
      <c r="H96" s="190"/>
      <c r="I96" s="36">
        <f t="shared" si="55"/>
        <v>0.50879795592436117</v>
      </c>
      <c r="J96" s="36">
        <f t="shared" si="56"/>
        <v>0.52342470494277182</v>
      </c>
      <c r="K96" s="36">
        <f t="shared" si="57"/>
        <v>0.47487028369517503</v>
      </c>
      <c r="M96" s="36">
        <f t="shared" si="58"/>
        <v>0.50877996917985124</v>
      </c>
      <c r="N96" s="36">
        <f t="shared" si="59"/>
        <v>0.52343544108267726</v>
      </c>
      <c r="O96" s="36">
        <f t="shared" si="60"/>
        <v>0.47489092407675232</v>
      </c>
      <c r="P96" s="36"/>
      <c r="W96" s="50">
        <f t="shared" si="48"/>
        <v>7.4925596500821703</v>
      </c>
      <c r="X96" s="50">
        <f t="shared" si="61"/>
        <v>15.697815829423321</v>
      </c>
      <c r="Y96" s="50">
        <f t="shared" si="62"/>
        <v>1.7900536859404799</v>
      </c>
      <c r="Z96" s="32">
        <f t="shared" si="49"/>
        <v>89.49</v>
      </c>
      <c r="AA96" s="32"/>
      <c r="AB96" s="32">
        <f t="shared" si="50"/>
        <v>105.48</v>
      </c>
      <c r="AC96" s="32">
        <f t="shared" si="51"/>
        <v>59.62</v>
      </c>
    </row>
    <row r="97" spans="2:29" x14ac:dyDescent="0.3">
      <c r="B97" s="36">
        <f t="shared" si="52"/>
        <v>0.69413395916624765</v>
      </c>
      <c r="C97" s="36">
        <f t="shared" si="53"/>
        <v>0.6525915913563225</v>
      </c>
      <c r="D97" s="36">
        <f t="shared" si="54"/>
        <v>0.78706235887259879</v>
      </c>
      <c r="E97" s="95"/>
      <c r="F97" s="143"/>
      <c r="G97" s="167"/>
      <c r="H97" s="191"/>
      <c r="I97" s="36">
        <f t="shared" si="55"/>
        <v>0.70838576949758636</v>
      </c>
      <c r="J97" s="36">
        <f t="shared" si="56"/>
        <v>0.68872160910681401</v>
      </c>
      <c r="K97" s="36">
        <f t="shared" si="57"/>
        <v>0.73876886017181331</v>
      </c>
      <c r="M97" s="36">
        <f t="shared" si="58"/>
        <v>0.70836232278796529</v>
      </c>
      <c r="N97" s="36">
        <f t="shared" si="59"/>
        <v>0.68873695966423509</v>
      </c>
      <c r="O97" s="36">
        <f t="shared" si="60"/>
        <v>0.73875245117157973</v>
      </c>
      <c r="P97" s="36"/>
      <c r="Q97" s="222" t="s">
        <v>161</v>
      </c>
      <c r="R97" s="222"/>
      <c r="S97" s="222"/>
      <c r="W97" s="50">
        <f t="shared" si="48"/>
        <v>9.0961571319425349</v>
      </c>
      <c r="X97" s="50">
        <f t="shared" si="61"/>
        <v>19.950788559515264</v>
      </c>
      <c r="Y97" s="50">
        <f t="shared" si="62"/>
        <v>2.5929194014362609</v>
      </c>
      <c r="Z97" s="32">
        <f t="shared" si="49"/>
        <v>157.21</v>
      </c>
      <c r="AA97" s="32"/>
      <c r="AB97" s="32">
        <f t="shared" si="50"/>
        <v>133.21</v>
      </c>
      <c r="AC97" s="32">
        <f t="shared" si="51"/>
        <v>191.2</v>
      </c>
    </row>
    <row r="98" spans="2:29" x14ac:dyDescent="0.3">
      <c r="B98" s="36">
        <f t="shared" si="52"/>
        <v>0.75423873952117737</v>
      </c>
      <c r="C98" s="36">
        <f t="shared" si="53"/>
        <v>0.80659758045401941</v>
      </c>
      <c r="D98" s="36">
        <f t="shared" si="54"/>
        <v>0.83456465386089074</v>
      </c>
      <c r="E98" s="96"/>
      <c r="F98" s="144"/>
      <c r="G98" s="168"/>
      <c r="H98" s="192"/>
      <c r="I98" s="36">
        <f t="shared" si="55"/>
        <v>0.76512361177654931</v>
      </c>
      <c r="J98" s="36">
        <f t="shared" si="56"/>
        <v>0.79130842913080479</v>
      </c>
      <c r="K98" s="36">
        <f t="shared" si="57"/>
        <v>0.81340970774930466</v>
      </c>
      <c r="M98" s="36">
        <f t="shared" si="58"/>
        <v>0.76509981241645053</v>
      </c>
      <c r="N98" s="36">
        <f t="shared" si="59"/>
        <v>0.79132273532202346</v>
      </c>
      <c r="O98" s="36">
        <f t="shared" si="60"/>
        <v>0.81346324241215484</v>
      </c>
      <c r="P98" s="36"/>
      <c r="Q98" s="36" cm="1">
        <f t="array" ref="Q98:S100">MINVERSE(Q93:S95)</f>
        <v>0.99957940370993792</v>
      </c>
      <c r="R98" s="36">
        <v>-7.8210741229706171E-4</v>
      </c>
      <c r="S98" s="36">
        <v>1.4019876335405481</v>
      </c>
      <c r="W98" s="50">
        <f t="shared" si="48"/>
        <v>6.3364529759880668</v>
      </c>
      <c r="X98" s="50">
        <f t="shared" si="61"/>
        <v>12.951828854182672</v>
      </c>
      <c r="Y98" s="50">
        <f t="shared" si="62"/>
        <v>2.2127604581232565</v>
      </c>
      <c r="Z98" s="32">
        <f t="shared" si="49"/>
        <v>123.34</v>
      </c>
      <c r="AA98" s="32"/>
      <c r="AB98" s="32">
        <f t="shared" si="50"/>
        <v>205.75</v>
      </c>
      <c r="AC98" s="32">
        <f t="shared" si="51"/>
        <v>201.1</v>
      </c>
    </row>
    <row r="99" spans="2:29" x14ac:dyDescent="0.3">
      <c r="B99" s="36">
        <f t="shared" si="52"/>
        <v>0.776234186392324</v>
      </c>
      <c r="C99" s="36">
        <f t="shared" si="53"/>
        <v>0.71261037414867123</v>
      </c>
      <c r="D99" s="36">
        <f t="shared" si="54"/>
        <v>0.40328136956437771</v>
      </c>
      <c r="E99" s="97"/>
      <c r="F99" s="145"/>
      <c r="G99" s="169"/>
      <c r="H99" s="193"/>
      <c r="I99" s="36">
        <f t="shared" si="55"/>
        <v>0.77350877054659506</v>
      </c>
      <c r="J99" s="36">
        <f t="shared" si="56"/>
        <v>0.74283784556329535</v>
      </c>
      <c r="K99" s="36">
        <f t="shared" si="57"/>
        <v>0.59250127894906945</v>
      </c>
      <c r="M99" s="36">
        <f t="shared" si="58"/>
        <v>0.77347736576859893</v>
      </c>
      <c r="N99" s="36">
        <f t="shared" si="59"/>
        <v>0.74285847341341626</v>
      </c>
      <c r="O99" s="36">
        <f t="shared" si="60"/>
        <v>0.59236464925066667</v>
      </c>
      <c r="P99" s="36"/>
      <c r="Q99" s="36">
        <v>1.0002142311549842</v>
      </c>
      <c r="R99" s="36">
        <v>-0.34373366839476227</v>
      </c>
      <c r="S99" s="36">
        <v>-0.71410384994707332</v>
      </c>
      <c r="W99" s="50">
        <f t="shared" si="48"/>
        <v>9.3530356488173965</v>
      </c>
      <c r="X99" s="50">
        <f t="shared" si="61"/>
        <v>35.813284903652779</v>
      </c>
      <c r="Y99" s="50">
        <f t="shared" si="62"/>
        <v>0.16010113932333708</v>
      </c>
      <c r="Z99" s="32">
        <f t="shared" si="49"/>
        <v>237.21</v>
      </c>
      <c r="AA99" s="32"/>
      <c r="AB99" s="32">
        <f t="shared" si="50"/>
        <v>137.21</v>
      </c>
      <c r="AC99" s="32">
        <f t="shared" si="51"/>
        <v>45.15</v>
      </c>
    </row>
    <row r="100" spans="2:29" x14ac:dyDescent="0.3">
      <c r="B100" s="36">
        <f t="shared" si="52"/>
        <v>0.51454110005810993</v>
      </c>
      <c r="C100" s="36">
        <f t="shared" si="53"/>
        <v>0.46069014409223857</v>
      </c>
      <c r="D100" s="36">
        <f t="shared" si="54"/>
        <v>0.745764191432021</v>
      </c>
      <c r="E100" s="98"/>
      <c r="F100" s="146"/>
      <c r="G100" s="170"/>
      <c r="H100" s="194"/>
      <c r="I100" s="36">
        <f t="shared" si="55"/>
        <v>0.47309920376791703</v>
      </c>
      <c r="J100" s="36">
        <f t="shared" si="56"/>
        <v>0.45817085056396023</v>
      </c>
      <c r="K100" s="36">
        <f t="shared" si="57"/>
        <v>0.59439926626621375</v>
      </c>
      <c r="M100" s="36">
        <f t="shared" si="58"/>
        <v>0.4730877762478507</v>
      </c>
      <c r="N100" s="36">
        <f t="shared" si="59"/>
        <v>0.45817862326721381</v>
      </c>
      <c r="O100" s="36">
        <f t="shared" si="60"/>
        <v>0.59441266777889068</v>
      </c>
      <c r="P100" s="36"/>
      <c r="Q100" s="36">
        <v>1.0000000403750255</v>
      </c>
      <c r="R100" s="36">
        <v>1.7719781882807215</v>
      </c>
      <c r="S100" s="36">
        <v>-1.3458341834987511E-4</v>
      </c>
      <c r="W100" s="50">
        <f t="shared" si="48"/>
        <v>9.8243866881929129</v>
      </c>
      <c r="X100" s="50">
        <f t="shared" si="61"/>
        <v>34.80329051200107</v>
      </c>
      <c r="Y100" s="50">
        <f t="shared" si="62"/>
        <v>7.3262612075125704</v>
      </c>
      <c r="Z100" s="32">
        <f t="shared" si="49"/>
        <v>59.26</v>
      </c>
      <c r="AA100" s="32"/>
      <c r="AB100" s="32">
        <f t="shared" si="50"/>
        <v>78.260000000000005</v>
      </c>
      <c r="AC100" s="32">
        <f t="shared" si="51"/>
        <v>181.46</v>
      </c>
    </row>
    <row r="101" spans="2:29" x14ac:dyDescent="0.3">
      <c r="B101" s="36">
        <f t="shared" si="52"/>
        <v>0.74151183491912986</v>
      </c>
      <c r="C101" s="36">
        <f t="shared" si="53"/>
        <v>0.6302321120593114</v>
      </c>
      <c r="D101" s="36">
        <f t="shared" si="54"/>
        <v>0.49392024945820212</v>
      </c>
      <c r="E101" s="99"/>
      <c r="F101" s="147"/>
      <c r="G101" s="171"/>
      <c r="H101" s="195"/>
      <c r="I101" s="36">
        <f t="shared" si="55"/>
        <v>0.71059091585158041</v>
      </c>
      <c r="J101" s="36">
        <f t="shared" si="56"/>
        <v>0.65461429562599938</v>
      </c>
      <c r="K101" s="36">
        <f t="shared" si="57"/>
        <v>0.5640676715410089</v>
      </c>
      <c r="M101" s="36">
        <f t="shared" si="58"/>
        <v>0.71056194414472129</v>
      </c>
      <c r="N101" s="36">
        <f t="shared" si="59"/>
        <v>0.65463467291056576</v>
      </c>
      <c r="O101" s="36">
        <f t="shared" si="60"/>
        <v>0.56389434542289574</v>
      </c>
      <c r="P101" s="36"/>
      <c r="W101" s="50">
        <f t="shared" si="48"/>
        <v>8.5381751320266641</v>
      </c>
      <c r="X101" s="50">
        <f t="shared" si="61"/>
        <v>28.623851773994403</v>
      </c>
      <c r="Y101" s="50">
        <f t="shared" si="62"/>
        <v>5.3908888062301097</v>
      </c>
      <c r="Z101" s="32">
        <f t="shared" si="49"/>
        <v>231.81</v>
      </c>
      <c r="AA101" s="32"/>
      <c r="AB101" s="32">
        <f t="shared" si="50"/>
        <v>88.82</v>
      </c>
      <c r="AC101" s="32">
        <f t="shared" si="51"/>
        <v>92.89</v>
      </c>
    </row>
    <row r="102" spans="2:29" x14ac:dyDescent="0.3">
      <c r="B102" s="36">
        <f t="shared" si="52"/>
        <v>0.41154932774894343</v>
      </c>
      <c r="C102" s="36">
        <f t="shared" si="53"/>
        <v>0.35463012202360722</v>
      </c>
      <c r="D102" s="36">
        <f t="shared" si="54"/>
        <v>0.43392012501060295</v>
      </c>
      <c r="E102" s="100"/>
      <c r="F102" s="148"/>
      <c r="G102" s="172"/>
      <c r="H102" s="196"/>
      <c r="I102" s="36">
        <f t="shared" si="55"/>
        <v>0.40698480015699512</v>
      </c>
      <c r="J102" s="36">
        <f t="shared" si="56"/>
        <v>0.37328368146604746</v>
      </c>
      <c r="K102" s="36">
        <f t="shared" si="57"/>
        <v>0.39764261853992666</v>
      </c>
      <c r="M102" s="36">
        <f t="shared" si="58"/>
        <v>0.40697004814098697</v>
      </c>
      <c r="N102" s="36">
        <f t="shared" si="59"/>
        <v>0.37329420553450343</v>
      </c>
      <c r="O102" s="36">
        <f t="shared" si="60"/>
        <v>0.39759122429383836</v>
      </c>
      <c r="P102" s="36"/>
      <c r="W102" s="50">
        <f t="shared" si="48"/>
        <v>7.4223974690328056</v>
      </c>
      <c r="X102" s="50">
        <f t="shared" si="61"/>
        <v>15.038834908925086</v>
      </c>
      <c r="Y102" s="50">
        <f t="shared" si="62"/>
        <v>5.4129673987797764</v>
      </c>
      <c r="Z102" s="32">
        <f t="shared" si="49"/>
        <v>89.8</v>
      </c>
      <c r="AA102" s="32"/>
      <c r="AB102" s="32">
        <f t="shared" si="50"/>
        <v>42</v>
      </c>
      <c r="AC102" s="32">
        <f t="shared" si="51"/>
        <v>83.99</v>
      </c>
    </row>
    <row r="103" spans="2:29" x14ac:dyDescent="0.3">
      <c r="B103" s="36">
        <f t="shared" si="52"/>
        <v>0.75674951328006757</v>
      </c>
      <c r="C103" s="36">
        <f t="shared" si="53"/>
        <v>0.8111694545815733</v>
      </c>
      <c r="D103" s="36">
        <f t="shared" si="54"/>
        <v>0.50778099300307111</v>
      </c>
      <c r="E103" s="101"/>
      <c r="F103" s="149"/>
      <c r="G103" s="173"/>
      <c r="H103" s="197"/>
      <c r="I103" s="36">
        <f t="shared" si="55"/>
        <v>0.7474278002755258</v>
      </c>
      <c r="J103" s="36">
        <f t="shared" si="56"/>
        <v>0.7714736947209716</v>
      </c>
      <c r="K103" s="36">
        <f t="shared" si="57"/>
        <v>0.67511002374344298</v>
      </c>
      <c r="M103" s="36">
        <f t="shared" si="58"/>
        <v>0.74740082929734908</v>
      </c>
      <c r="N103" s="36">
        <f t="shared" si="59"/>
        <v>0.77148967774142541</v>
      </c>
      <c r="O103" s="36">
        <f t="shared" si="60"/>
        <v>0.67514144170510637</v>
      </c>
      <c r="P103" s="36"/>
      <c r="W103" s="50">
        <f t="shared" si="48"/>
        <v>12.185370670950416</v>
      </c>
      <c r="X103" s="50">
        <f t="shared" si="61"/>
        <v>43.783956536548715</v>
      </c>
      <c r="Y103" s="50">
        <f t="shared" si="62"/>
        <v>5.2897436180047839</v>
      </c>
      <c r="Z103" s="32">
        <f t="shared" si="49"/>
        <v>177.63</v>
      </c>
      <c r="AA103" s="32"/>
      <c r="AB103" s="32">
        <f t="shared" si="50"/>
        <v>204.63</v>
      </c>
      <c r="AC103" s="32">
        <f t="shared" si="51"/>
        <v>71.959999999999994</v>
      </c>
    </row>
    <row r="104" spans="2:29" x14ac:dyDescent="0.3">
      <c r="B104" s="36">
        <f t="shared" si="52"/>
        <v>0.82077964566918027</v>
      </c>
      <c r="C104" s="36">
        <f t="shared" si="53"/>
        <v>0.79302728482242557</v>
      </c>
      <c r="D104" s="36">
        <f t="shared" si="54"/>
        <v>0.43990379623450815</v>
      </c>
      <c r="E104" s="102"/>
      <c r="F104" s="150"/>
      <c r="G104" s="174"/>
      <c r="H104" s="198"/>
      <c r="I104" s="36">
        <f t="shared" si="55"/>
        <v>0.8003199340995546</v>
      </c>
      <c r="J104" s="36">
        <f t="shared" si="56"/>
        <v>0.78563602001723876</v>
      </c>
      <c r="K104" s="36">
        <f t="shared" si="57"/>
        <v>0.64467089449580672</v>
      </c>
      <c r="M104" s="36">
        <f t="shared" si="58"/>
        <v>0.80028839278248565</v>
      </c>
      <c r="N104" s="36">
        <f t="shared" si="59"/>
        <v>0.78565606095260498</v>
      </c>
      <c r="O104" s="36">
        <f t="shared" si="60"/>
        <v>0.64459014238287449</v>
      </c>
      <c r="P104" s="36"/>
      <c r="W104" s="50">
        <f t="shared" si="48"/>
        <v>10.230951818556772</v>
      </c>
      <c r="X104" s="50">
        <f t="shared" si="61"/>
        <v>42.841638642808505</v>
      </c>
      <c r="Y104" s="50">
        <f t="shared" si="62"/>
        <v>2.7815309399296346</v>
      </c>
      <c r="Z104" s="32">
        <f t="shared" si="49"/>
        <v>242.26</v>
      </c>
      <c r="AA104" s="32"/>
      <c r="AB104" s="32">
        <f t="shared" si="50"/>
        <v>175.26</v>
      </c>
      <c r="AC104" s="32">
        <f t="shared" si="51"/>
        <v>44.28</v>
      </c>
    </row>
    <row r="105" spans="2:29" x14ac:dyDescent="0.3">
      <c r="B105" s="36">
        <f t="shared" si="52"/>
        <v>0.36562989316875516</v>
      </c>
      <c r="C105" s="36">
        <f t="shared" si="53"/>
        <v>0.28046460323882832</v>
      </c>
      <c r="D105" s="36">
        <f t="shared" si="54"/>
        <v>0.59742195139252519</v>
      </c>
      <c r="E105" s="103"/>
      <c r="F105" s="151"/>
      <c r="G105" s="175"/>
      <c r="H105" s="199"/>
      <c r="I105" s="36">
        <f t="shared" si="55"/>
        <v>0.30237973942761781</v>
      </c>
      <c r="J105" s="36">
        <f t="shared" si="56"/>
        <v>0.27721903125265657</v>
      </c>
      <c r="K105" s="36">
        <f t="shared" si="57"/>
        <v>0.44098159151208866</v>
      </c>
      <c r="M105" s="36">
        <f t="shared" si="58"/>
        <v>0.30237574316189408</v>
      </c>
      <c r="N105" s="36">
        <f t="shared" si="59"/>
        <v>0.27722218894986678</v>
      </c>
      <c r="O105" s="36">
        <f t="shared" si="60"/>
        <v>0.44099181643413954</v>
      </c>
      <c r="P105" s="36"/>
      <c r="W105" s="50">
        <f t="shared" si="48"/>
        <v>10.770654923001871</v>
      </c>
      <c r="X105" s="50">
        <f t="shared" si="61"/>
        <v>41.28046085601418</v>
      </c>
      <c r="Y105" s="50">
        <f t="shared" si="62"/>
        <v>11.610630083286566</v>
      </c>
      <c r="Z105" s="32">
        <f t="shared" si="49"/>
        <v>2.91</v>
      </c>
      <c r="AA105" s="32"/>
      <c r="AB105" s="32">
        <f t="shared" si="50"/>
        <v>17.91</v>
      </c>
      <c r="AC105" s="32">
        <f t="shared" si="51"/>
        <v>135.32</v>
      </c>
    </row>
    <row r="106" spans="2:29" x14ac:dyDescent="0.3">
      <c r="B106" s="36">
        <f t="shared" si="52"/>
        <v>0.52015539165293967</v>
      </c>
      <c r="C106" s="36">
        <f t="shared" si="53"/>
        <v>0.59844246065488893</v>
      </c>
      <c r="D106" s="36">
        <f t="shared" si="54"/>
        <v>0.44292796515872451</v>
      </c>
      <c r="E106" s="104"/>
      <c r="F106" s="152"/>
      <c r="G106" s="176"/>
      <c r="H106" s="200"/>
      <c r="I106" s="36">
        <f t="shared" si="55"/>
        <v>0.51809658821446702</v>
      </c>
      <c r="J106" s="36">
        <f t="shared" si="56"/>
        <v>0.56121270243828603</v>
      </c>
      <c r="K106" s="36">
        <f t="shared" si="57"/>
        <v>0.51104923989272422</v>
      </c>
      <c r="M106" s="36">
        <f t="shared" si="58"/>
        <v>0.51807972554774195</v>
      </c>
      <c r="N106" s="36">
        <f t="shared" si="59"/>
        <v>0.56122214023376127</v>
      </c>
      <c r="O106" s="36">
        <f t="shared" si="60"/>
        <v>0.5111259559137481</v>
      </c>
      <c r="P106" s="36"/>
      <c r="W106" s="50">
        <f t="shared" si="48"/>
        <v>10.258221132159365</v>
      </c>
      <c r="X106" s="50">
        <f t="shared" si="61"/>
        <v>26.217825093552683</v>
      </c>
      <c r="Y106" s="50">
        <f t="shared" si="62"/>
        <v>8.1134621534557194</v>
      </c>
      <c r="Z106" s="32">
        <f t="shared" si="49"/>
        <v>67.41</v>
      </c>
      <c r="AA106" s="32"/>
      <c r="AB106" s="32">
        <f t="shared" si="50"/>
        <v>143.4</v>
      </c>
      <c r="AC106" s="32">
        <f t="shared" si="51"/>
        <v>71.41</v>
      </c>
    </row>
    <row r="107" spans="2:29" x14ac:dyDescent="0.3">
      <c r="B107" s="36">
        <f t="shared" si="52"/>
        <v>0.66536215870191817</v>
      </c>
      <c r="C107" s="36">
        <f t="shared" si="53"/>
        <v>0.5451372766248197</v>
      </c>
      <c r="D107" s="36">
        <f t="shared" si="54"/>
        <v>0.3808230512820775</v>
      </c>
      <c r="E107" s="105"/>
      <c r="F107" s="153"/>
      <c r="G107" s="177"/>
      <c r="H107" s="201"/>
      <c r="I107" s="36">
        <f t="shared" si="55"/>
        <v>0.62459204512152544</v>
      </c>
      <c r="J107" s="36">
        <f t="shared" si="56"/>
        <v>0.55377561217549798</v>
      </c>
      <c r="K107" s="36">
        <f t="shared" si="57"/>
        <v>0.4465429345349719</v>
      </c>
      <c r="M107" s="36">
        <f t="shared" si="58"/>
        <v>0.62457803137357715</v>
      </c>
      <c r="N107" s="36">
        <f t="shared" si="59"/>
        <v>0.55380354190155179</v>
      </c>
      <c r="O107" s="36">
        <f t="shared" si="60"/>
        <v>0.44628693985580192</v>
      </c>
      <c r="P107" s="36"/>
      <c r="W107" s="50">
        <f t="shared" si="48"/>
        <v>6.8156029966985479</v>
      </c>
      <c r="X107" s="50">
        <f t="shared" si="61"/>
        <v>27.112112642601126</v>
      </c>
      <c r="Y107" s="50">
        <f t="shared" si="62"/>
        <v>2.358852043374263</v>
      </c>
      <c r="Z107" s="32">
        <f t="shared" si="49"/>
        <v>207.62</v>
      </c>
      <c r="AA107" s="32"/>
      <c r="AB107" s="32">
        <f t="shared" si="50"/>
        <v>52.58</v>
      </c>
      <c r="AC107" s="32">
        <f t="shared" si="51"/>
        <v>60.62</v>
      </c>
    </row>
    <row r="108" spans="2:29" x14ac:dyDescent="0.3">
      <c r="B108" s="36">
        <f t="shared" si="52"/>
        <v>0.87723850095144762</v>
      </c>
      <c r="C108" s="36">
        <f t="shared" si="53"/>
        <v>0.88571226495576005</v>
      </c>
      <c r="D108" s="36">
        <f t="shared" si="54"/>
        <v>0.49699323337100237</v>
      </c>
      <c r="E108" s="106"/>
      <c r="F108" s="154"/>
      <c r="G108" s="178"/>
      <c r="H108" s="202"/>
      <c r="I108" s="36">
        <f t="shared" si="55"/>
        <v>0.84644449091165264</v>
      </c>
      <c r="J108" s="36">
        <f t="shared" si="56"/>
        <v>0.84709981060858752</v>
      </c>
      <c r="K108" s="36">
        <f t="shared" si="57"/>
        <v>0.71248725097423926</v>
      </c>
      <c r="M108" s="36">
        <f t="shared" si="58"/>
        <v>0.84641212067778249</v>
      </c>
      <c r="N108" s="36">
        <f t="shared" si="59"/>
        <v>0.8471198107961676</v>
      </c>
      <c r="O108" s="36">
        <f t="shared" si="60"/>
        <v>0.71245223646892986</v>
      </c>
      <c r="P108" s="36"/>
      <c r="W108" s="50">
        <f t="shared" si="48"/>
        <v>12.196972090554024</v>
      </c>
      <c r="X108" s="50">
        <f t="shared" si="61"/>
        <v>50.934665778201932</v>
      </c>
      <c r="Y108" s="50">
        <f t="shared" si="62"/>
        <v>1.9354078105463661</v>
      </c>
      <c r="Z108" s="32">
        <f t="shared" si="49"/>
        <v>248.66</v>
      </c>
      <c r="AA108" s="32"/>
      <c r="AB108" s="32">
        <f t="shared" si="50"/>
        <v>216.07</v>
      </c>
      <c r="AC108" s="32">
        <f t="shared" si="51"/>
        <v>52.72</v>
      </c>
    </row>
    <row r="109" spans="2:29" x14ac:dyDescent="0.3">
      <c r="B109" s="36">
        <f t="shared" si="52"/>
        <v>0.71197333927900153</v>
      </c>
      <c r="C109" s="36">
        <f t="shared" si="53"/>
        <v>0.60003220602412</v>
      </c>
      <c r="D109" s="36">
        <f t="shared" si="54"/>
        <v>0.62225190556108934</v>
      </c>
      <c r="E109" s="107"/>
      <c r="F109" s="155"/>
      <c r="G109" s="179"/>
      <c r="H109" s="203"/>
      <c r="I109" s="36">
        <f t="shared" si="55"/>
        <v>0.6745448200284877</v>
      </c>
      <c r="J109" s="36">
        <f t="shared" si="56"/>
        <v>0.61421550519705448</v>
      </c>
      <c r="K109" s="36">
        <f t="shared" si="57"/>
        <v>0.59824894175081167</v>
      </c>
      <c r="M109" s="36">
        <f t="shared" si="58"/>
        <v>0.67451860877832148</v>
      </c>
      <c r="N109" s="36">
        <f t="shared" si="59"/>
        <v>0.61423435306655338</v>
      </c>
      <c r="O109" s="36">
        <f t="shared" si="60"/>
        <v>0.59812013006741616</v>
      </c>
      <c r="P109" s="36"/>
      <c r="W109" s="50">
        <f t="shared" si="48"/>
        <v>8.5648000281419492</v>
      </c>
      <c r="X109" s="50">
        <f t="shared" si="61"/>
        <v>25.813496122081201</v>
      </c>
      <c r="Y109" s="50">
        <f t="shared" si="62"/>
        <v>7.6115698396565987</v>
      </c>
      <c r="Z109" s="32">
        <f t="shared" si="49"/>
        <v>210.6</v>
      </c>
      <c r="AA109" s="32"/>
      <c r="AB109" s="32">
        <f t="shared" si="50"/>
        <v>81.69</v>
      </c>
      <c r="AC109" s="32">
        <f t="shared" si="51"/>
        <v>137.55000000000001</v>
      </c>
    </row>
    <row r="110" spans="2:29" x14ac:dyDescent="0.3">
      <c r="B110" s="36">
        <f t="shared" si="52"/>
        <v>0.51831984368442752</v>
      </c>
      <c r="C110" s="36">
        <f t="shared" si="53"/>
        <v>0.52170428581176864</v>
      </c>
      <c r="D110" s="36">
        <f t="shared" si="54"/>
        <v>0.72923222457762937</v>
      </c>
      <c r="E110" s="108"/>
      <c r="F110" s="156"/>
      <c r="G110" s="180"/>
      <c r="H110" s="204"/>
      <c r="I110" s="36">
        <f t="shared" si="55"/>
        <v>0.48643115158875894</v>
      </c>
      <c r="J110" s="36">
        <f t="shared" si="56"/>
        <v>0.50101258801700066</v>
      </c>
      <c r="K110" s="36">
        <f t="shared" si="57"/>
        <v>0.612446810596456</v>
      </c>
      <c r="M110" s="36">
        <f t="shared" si="58"/>
        <v>0.48642008017776678</v>
      </c>
      <c r="N110" s="36">
        <f t="shared" si="59"/>
        <v>0.50101958190998286</v>
      </c>
      <c r="O110" s="36">
        <f t="shared" si="60"/>
        <v>0.61249057616588443</v>
      </c>
      <c r="P110" s="36"/>
      <c r="W110" s="50">
        <f t="shared" si="48"/>
        <v>8.5663826909882399</v>
      </c>
      <c r="X110" s="50">
        <f t="shared" si="61"/>
        <v>18.091018756992302</v>
      </c>
      <c r="Y110" s="50">
        <f t="shared" si="62"/>
        <v>8.5684480682495749</v>
      </c>
      <c r="Z110" s="32">
        <f t="shared" si="49"/>
        <v>0.3</v>
      </c>
      <c r="AA110" s="32"/>
      <c r="AB110" s="32">
        <f t="shared" si="50"/>
        <v>109.91</v>
      </c>
      <c r="AC110" s="32">
        <f t="shared" si="51"/>
        <v>174.28</v>
      </c>
    </row>
    <row r="111" spans="2:29" x14ac:dyDescent="0.3">
      <c r="B111" s="36">
        <f t="shared" si="52"/>
        <v>0.93255912487254888</v>
      </c>
      <c r="C111" s="36">
        <f t="shared" si="53"/>
        <v>0.93124647380447467</v>
      </c>
      <c r="D111" s="36">
        <f t="shared" si="54"/>
        <v>0.91370471198796843</v>
      </c>
      <c r="E111" s="109"/>
      <c r="F111" s="157"/>
      <c r="G111" s="181"/>
      <c r="H111" s="205"/>
      <c r="I111" s="36">
        <f t="shared" si="55"/>
        <v>0.92646946246592887</v>
      </c>
      <c r="J111" s="36">
        <f t="shared" si="56"/>
        <v>0.92480204268607036</v>
      </c>
      <c r="K111" s="36">
        <f t="shared" si="57"/>
        <v>0.91513307789959397</v>
      </c>
      <c r="M111" s="36">
        <f t="shared" si="58"/>
        <v>0.92643759789911495</v>
      </c>
      <c r="N111" s="36">
        <f t="shared" si="59"/>
        <v>0.92482200647121138</v>
      </c>
      <c r="O111" s="36">
        <f t="shared" si="60"/>
        <v>0.91513243777680497</v>
      </c>
      <c r="P111" s="36"/>
      <c r="W111" s="50">
        <f t="shared" si="48"/>
        <v>1.5752077018571371</v>
      </c>
      <c r="X111" s="50">
        <f t="shared" si="61"/>
        <v>1.4633600327966989</v>
      </c>
      <c r="Y111" s="50">
        <f t="shared" si="62"/>
        <v>0.60768408500666971</v>
      </c>
      <c r="Z111" s="32">
        <f t="shared" si="49"/>
        <v>236.43</v>
      </c>
      <c r="AA111" s="32"/>
      <c r="AB111" s="32">
        <f t="shared" si="50"/>
        <v>231.43</v>
      </c>
      <c r="AC111" s="32">
        <f t="shared" si="51"/>
        <v>225.43</v>
      </c>
    </row>
    <row r="112" spans="2:29" x14ac:dyDescent="0.3">
      <c r="B112" s="36">
        <f t="shared" si="52"/>
        <v>0.84254043296465453</v>
      </c>
      <c r="C112" s="36">
        <f t="shared" si="53"/>
        <v>0.84236060553432357</v>
      </c>
      <c r="D112" s="36">
        <f t="shared" si="54"/>
        <v>0.82627207456673168</v>
      </c>
      <c r="E112" s="110"/>
      <c r="F112" s="158"/>
      <c r="G112" s="182"/>
      <c r="H112" s="206"/>
      <c r="I112" s="36">
        <f t="shared" si="55"/>
        <v>0.81227589255832355</v>
      </c>
      <c r="J112" s="36">
        <f t="shared" si="56"/>
        <v>0.81037902315488086</v>
      </c>
      <c r="K112" s="36">
        <f t="shared" si="57"/>
        <v>0.80274690364438273</v>
      </c>
      <c r="M112" s="36">
        <f t="shared" si="58"/>
        <v>0.81224795939020655</v>
      </c>
      <c r="N112" s="36">
        <f t="shared" si="59"/>
        <v>0.81039653841328851</v>
      </c>
      <c r="O112" s="36">
        <f t="shared" si="60"/>
        <v>0.80274575380932989</v>
      </c>
      <c r="P112" s="36"/>
      <c r="W112" s="50">
        <f t="shared" si="48"/>
        <v>4.0913965104285053</v>
      </c>
      <c r="X112" s="50">
        <f t="shared" si="61"/>
        <v>1.4218816998329447</v>
      </c>
      <c r="Y112" s="50">
        <f t="shared" si="62"/>
        <v>1.255287419399912</v>
      </c>
      <c r="Z112" s="32">
        <f t="shared" si="49"/>
        <v>205.97</v>
      </c>
      <c r="AA112" s="32"/>
      <c r="AB112" s="32">
        <f t="shared" si="50"/>
        <v>202.8</v>
      </c>
      <c r="AC112" s="32">
        <f t="shared" si="51"/>
        <v>197.11</v>
      </c>
    </row>
    <row r="113" spans="2:35" x14ac:dyDescent="0.3">
      <c r="B113" s="36">
        <f t="shared" si="52"/>
        <v>0.70589398471957632</v>
      </c>
      <c r="C113" s="36">
        <f t="shared" si="53"/>
        <v>0.70556813221970727</v>
      </c>
      <c r="D113" s="36">
        <f t="shared" si="54"/>
        <v>0.69064754496870873</v>
      </c>
      <c r="E113" s="111"/>
      <c r="F113" s="159"/>
      <c r="G113" s="183"/>
      <c r="H113" s="207"/>
      <c r="I113" s="36">
        <f t="shared" si="55"/>
        <v>0.66763285115323612</v>
      </c>
      <c r="J113" s="36">
        <f t="shared" si="56"/>
        <v>0.66774407617800147</v>
      </c>
      <c r="K113" s="36">
        <f t="shared" si="57"/>
        <v>0.66120262481253389</v>
      </c>
      <c r="M113" s="36">
        <f t="shared" si="58"/>
        <v>0.66760996996882849</v>
      </c>
      <c r="N113" s="36">
        <f t="shared" si="59"/>
        <v>0.66775837374531488</v>
      </c>
      <c r="O113" s="36">
        <f t="shared" si="60"/>
        <v>0.66120473370108024</v>
      </c>
      <c r="P113" s="36"/>
      <c r="W113" s="50">
        <f t="shared" si="48"/>
        <v>4.6341349789885715</v>
      </c>
      <c r="X113" s="50">
        <f t="shared" si="61"/>
        <v>1.679090126226501</v>
      </c>
      <c r="Y113" s="50">
        <f t="shared" si="62"/>
        <v>0.19186522918839963</v>
      </c>
      <c r="Z113" s="32">
        <f t="shared" si="49"/>
        <v>162.65</v>
      </c>
      <c r="AA113" s="32"/>
      <c r="AB113" s="32">
        <f t="shared" si="50"/>
        <v>159.65</v>
      </c>
      <c r="AC113" s="32">
        <f t="shared" si="51"/>
        <v>154.65</v>
      </c>
    </row>
    <row r="114" spans="2:35" x14ac:dyDescent="0.3">
      <c r="B114" s="36">
        <f t="shared" si="52"/>
        <v>0.50428347764537751</v>
      </c>
      <c r="C114" s="36">
        <f t="shared" si="53"/>
        <v>0.50510772410072613</v>
      </c>
      <c r="D114" s="36">
        <f t="shared" si="54"/>
        <v>0.49310626102686467</v>
      </c>
      <c r="E114" s="112"/>
      <c r="F114" s="160"/>
      <c r="G114" s="184">
        <v>0.18</v>
      </c>
      <c r="H114" s="208"/>
      <c r="I114" s="36">
        <f t="shared" si="55"/>
        <v>0.48511998167708004</v>
      </c>
      <c r="J114" s="36">
        <f t="shared" si="56"/>
        <v>0.485321533574473</v>
      </c>
      <c r="K114" s="36">
        <f t="shared" si="57"/>
        <v>0.47765948472522013</v>
      </c>
      <c r="M114" s="36">
        <f t="shared" si="58"/>
        <v>0.48510327143459653</v>
      </c>
      <c r="N114" s="36">
        <f t="shared" si="59"/>
        <v>0.48533196600272555</v>
      </c>
      <c r="O114" s="36">
        <f t="shared" si="60"/>
        <v>0.47766048274793632</v>
      </c>
      <c r="P114" s="36"/>
      <c r="W114" s="50">
        <f t="shared" si="48"/>
        <v>2.4419811432762204</v>
      </c>
      <c r="X114" s="50">
        <f t="shared" si="61"/>
        <v>0.89969595286096804</v>
      </c>
      <c r="Y114" s="50">
        <f t="shared" si="62"/>
        <v>0.20175468530349072</v>
      </c>
      <c r="Z114" s="32">
        <f t="shared" si="49"/>
        <v>101.6</v>
      </c>
      <c r="AA114" s="32"/>
      <c r="AB114" s="32">
        <f t="shared" si="50"/>
        <v>100.6</v>
      </c>
      <c r="AC114" s="32">
        <f t="shared" si="51"/>
        <v>96.6</v>
      </c>
    </row>
    <row r="115" spans="2:35" x14ac:dyDescent="0.3">
      <c r="B115" s="36">
        <f t="shared" si="52"/>
        <v>0.33280458173997257</v>
      </c>
      <c r="C115" s="36">
        <f t="shared" si="53"/>
        <v>0.33317773615536878</v>
      </c>
      <c r="D115" s="36">
        <f t="shared" si="54"/>
        <v>0.33291437534471241</v>
      </c>
      <c r="E115" s="113"/>
      <c r="F115" s="161"/>
      <c r="G115" s="185"/>
      <c r="H115" s="209"/>
      <c r="I115" s="36">
        <f t="shared" si="55"/>
        <v>0.30681531858194172</v>
      </c>
      <c r="J115" s="36">
        <f t="shared" si="56"/>
        <v>0.30682189715976699</v>
      </c>
      <c r="K115" s="36">
        <f t="shared" si="57"/>
        <v>0.30672873706571002</v>
      </c>
      <c r="M115" s="36">
        <f t="shared" si="58"/>
        <v>0.3068048929613606</v>
      </c>
      <c r="N115" s="36">
        <f t="shared" si="59"/>
        <v>0.30682841869942473</v>
      </c>
      <c r="O115" s="36">
        <f t="shared" si="60"/>
        <v>0.30673037649434048</v>
      </c>
      <c r="P115" s="36"/>
      <c r="W115" s="50">
        <f t="shared" si="48"/>
        <v>3.062865762829722</v>
      </c>
      <c r="X115" s="50">
        <f t="shared" si="61"/>
        <v>0.17494943637568464</v>
      </c>
      <c r="Y115" s="50">
        <f t="shared" si="62"/>
        <v>6.4388564526449615E-2</v>
      </c>
      <c r="Z115" s="32">
        <f t="shared" si="49"/>
        <v>53.81</v>
      </c>
      <c r="AA115" s="32"/>
      <c r="AB115" s="32">
        <f t="shared" si="50"/>
        <v>54.16</v>
      </c>
      <c r="AC115" s="32">
        <f t="shared" si="51"/>
        <v>53.99</v>
      </c>
    </row>
    <row r="116" spans="2:35" x14ac:dyDescent="0.3">
      <c r="B116" s="36">
        <f t="shared" si="52"/>
        <v>0.17461130068928415</v>
      </c>
      <c r="C116" s="36">
        <f t="shared" si="53"/>
        <v>0.17460860293707528</v>
      </c>
      <c r="D116" s="36">
        <f t="shared" si="54"/>
        <v>0.17460960985615165</v>
      </c>
      <c r="E116" s="114"/>
      <c r="F116" s="162"/>
      <c r="G116" s="186"/>
      <c r="H116" s="210"/>
      <c r="I116" s="36">
        <f t="shared" si="55"/>
        <v>0.16809022323794293</v>
      </c>
      <c r="J116" s="36">
        <f t="shared" si="56"/>
        <v>0.16776921172550685</v>
      </c>
      <c r="K116" s="36">
        <f t="shared" si="57"/>
        <v>0.16993917619730819</v>
      </c>
      <c r="M116" s="36">
        <f t="shared" si="58"/>
        <v>0.16808720201013344</v>
      </c>
      <c r="N116" s="36">
        <f t="shared" si="59"/>
        <v>0.16777110177992985</v>
      </c>
      <c r="O116" s="36">
        <f t="shared" si="60"/>
        <v>0.16993965103589811</v>
      </c>
      <c r="P116" s="36"/>
      <c r="W116" s="50">
        <f t="shared" si="48"/>
        <v>0.9181039213416704</v>
      </c>
      <c r="X116" s="50">
        <f t="shared" si="61"/>
        <v>0.46135847717268669</v>
      </c>
      <c r="Y116" s="50">
        <f t="shared" si="62"/>
        <v>2.5580122151844388E-2</v>
      </c>
      <c r="Z116" s="32">
        <f t="shared" si="49"/>
        <v>14.83</v>
      </c>
      <c r="AA116" s="32"/>
      <c r="AB116" s="32">
        <f t="shared" si="50"/>
        <v>14.83</v>
      </c>
      <c r="AC116" s="32">
        <f t="shared" si="51"/>
        <v>14.83</v>
      </c>
    </row>
    <row r="117" spans="2:35" x14ac:dyDescent="0.3">
      <c r="E117" s="50"/>
      <c r="F117" s="50"/>
      <c r="N117" s="32"/>
      <c r="O117" s="32"/>
      <c r="P117" s="32"/>
      <c r="Q117" s="32"/>
      <c r="AE117" s="32"/>
      <c r="AF117" s="32"/>
      <c r="AG117" s="33"/>
      <c r="AH117" s="33"/>
      <c r="AI117" s="33"/>
    </row>
    <row r="118" spans="2:35" x14ac:dyDescent="0.3">
      <c r="B118" s="36" t="s">
        <v>89</v>
      </c>
      <c r="C118" s="36" t="s">
        <v>90</v>
      </c>
      <c r="D118" s="36" t="s">
        <v>91</v>
      </c>
      <c r="I118" s="32" t="s">
        <v>92</v>
      </c>
      <c r="J118" s="32" t="s">
        <v>93</v>
      </c>
      <c r="K118" s="32" t="s">
        <v>94</v>
      </c>
      <c r="M118" s="32" t="s">
        <v>95</v>
      </c>
      <c r="N118" s="32" t="s">
        <v>96</v>
      </c>
      <c r="O118" s="32" t="s">
        <v>97</v>
      </c>
      <c r="P118" s="32"/>
      <c r="Q118" s="32" t="s">
        <v>86</v>
      </c>
      <c r="R118" s="32" t="s">
        <v>87</v>
      </c>
      <c r="S118" s="32" t="s">
        <v>88</v>
      </c>
      <c r="W118" s="50" t="str">
        <f t="shared" ref="W118:W142" si="63">W14</f>
        <v>ΔE'</v>
      </c>
      <c r="X118" s="50" t="str">
        <f>Y14</f>
        <v>Δchroma</v>
      </c>
      <c r="Y118" s="50" t="str">
        <f>Z14</f>
        <v>Δhue</v>
      </c>
      <c r="Z118" s="36" t="str">
        <f t="shared" ref="Z118:Z142" si="64">B14</f>
        <v>Target sR</v>
      </c>
      <c r="AB118" s="36" t="str">
        <f t="shared" ref="AB118:AB142" si="65">C14</f>
        <v>Target sG</v>
      </c>
      <c r="AC118" s="36" t="str">
        <f t="shared" ref="AC118:AC142" si="66">D14</f>
        <v>Target sB</v>
      </c>
      <c r="AF118" s="36"/>
      <c r="AG118" s="33"/>
    </row>
    <row r="119" spans="2:35" x14ac:dyDescent="0.3">
      <c r="B119" s="36">
        <f t="shared" ref="B119:B142" si="67">(116*C93)-16</f>
        <v>36.641461024245359</v>
      </c>
      <c r="C119" s="36">
        <f t="shared" ref="C119:C142" si="68">500*($B93-$C93)</f>
        <v>15.93148932911026</v>
      </c>
      <c r="D119" s="36">
        <f t="shared" ref="D119:D142" si="69">200*($C93-$D93)</f>
        <v>18.78064472995009</v>
      </c>
      <c r="E119" s="91"/>
      <c r="F119" s="139"/>
      <c r="G119" s="163"/>
      <c r="H119" s="187"/>
      <c r="I119" s="36">
        <f t="shared" ref="I119:I142" si="70">(116*J93)-16</f>
        <v>41.256097813203397</v>
      </c>
      <c r="J119" s="36">
        <f t="shared" ref="J119:J142" si="71">500*(I93-J93)</f>
        <v>9.8838831827103011</v>
      </c>
      <c r="K119" s="36">
        <f t="shared" ref="K119:K142" si="72">200*(J93-K93)</f>
        <v>11.388390579321895</v>
      </c>
      <c r="M119" s="36">
        <f t="shared" ref="M119:M142" si="73">(116*N93)-16</f>
        <v>41.25761805439074</v>
      </c>
      <c r="N119" s="36">
        <f t="shared" ref="N119:N142" si="74">500*(M93-N93)</f>
        <v>9.8673671388621322</v>
      </c>
      <c r="O119" s="36">
        <f t="shared" ref="O119:O142" si="75">200*(N93-O93)</f>
        <v>11.403386705267572</v>
      </c>
      <c r="P119" s="36"/>
      <c r="Q119" s="36">
        <f>gamma_R!D16</f>
        <v>14.61204129170121</v>
      </c>
      <c r="R119" s="36">
        <f>gamma_G!D16</f>
        <v>8.0692315256381129</v>
      </c>
      <c r="S119" s="36">
        <f>gamma_B!D16</f>
        <v>6.1442080255407756</v>
      </c>
      <c r="W119" s="50">
        <f t="shared" si="63"/>
        <v>6.4682409221488006</v>
      </c>
      <c r="X119" s="50">
        <f t="shared" ref="X119:X142" si="76">ABS(Y15)</f>
        <v>9.5478681380281003</v>
      </c>
      <c r="Y119" s="50">
        <f t="shared" ref="Y119:Y142" si="77">Z15</f>
        <v>0.18901830554255755</v>
      </c>
      <c r="Z119" s="36">
        <f t="shared" si="64"/>
        <v>118.81</v>
      </c>
      <c r="AB119" s="36">
        <f t="shared" si="65"/>
        <v>75.81</v>
      </c>
      <c r="AC119" s="36">
        <f t="shared" si="66"/>
        <v>56.81</v>
      </c>
      <c r="AF119" s="36"/>
      <c r="AG119" s="33"/>
    </row>
    <row r="120" spans="2:35" x14ac:dyDescent="0.3">
      <c r="B120" s="36">
        <f t="shared" si="67"/>
        <v>71.823766744849067</v>
      </c>
      <c r="C120" s="36">
        <f t="shared" si="68"/>
        <v>22.497032521926251</v>
      </c>
      <c r="D120" s="36">
        <f t="shared" si="69"/>
        <v>18.135384197613334</v>
      </c>
      <c r="E120" s="92"/>
      <c r="F120" s="140"/>
      <c r="G120" s="164"/>
      <c r="H120" s="188"/>
      <c r="I120" s="36">
        <f t="shared" si="70"/>
        <v>78.27513276874248</v>
      </c>
      <c r="J120" s="36">
        <f t="shared" si="71"/>
        <v>10.442221865346212</v>
      </c>
      <c r="K120" s="36">
        <f t="shared" si="72"/>
        <v>10.653275978186638</v>
      </c>
      <c r="M120" s="36">
        <f t="shared" si="73"/>
        <v>78.27721172609057</v>
      </c>
      <c r="N120" s="36">
        <f t="shared" si="74"/>
        <v>10.415284427436056</v>
      </c>
      <c r="O120" s="36">
        <f t="shared" si="75"/>
        <v>10.67347068645741</v>
      </c>
      <c r="P120" s="36"/>
      <c r="Q120" s="36">
        <f>gamma_R!D17</f>
        <v>115.24221051522926</v>
      </c>
      <c r="R120" s="36">
        <f>gamma_G!D17</f>
        <v>56.187975848272998</v>
      </c>
      <c r="S120" s="36">
        <f>gamma_B!D17</f>
        <v>43.971678780631038</v>
      </c>
      <c r="W120" s="50">
        <f t="shared" si="63"/>
        <v>9.0318523675504245</v>
      </c>
      <c r="X120" s="50">
        <f t="shared" si="76"/>
        <v>13.983396654967756</v>
      </c>
      <c r="Y120" s="50">
        <f t="shared" si="77"/>
        <v>2.4725307392478237</v>
      </c>
      <c r="Z120" s="36">
        <f t="shared" si="64"/>
        <v>226.13</v>
      </c>
      <c r="AB120" s="36">
        <f t="shared" si="65"/>
        <v>160.13</v>
      </c>
      <c r="AC120" s="36">
        <f t="shared" si="66"/>
        <v>144.13</v>
      </c>
      <c r="AF120" s="36"/>
      <c r="AG120" s="33"/>
    </row>
    <row r="121" spans="2:35" x14ac:dyDescent="0.3">
      <c r="B121" s="36">
        <f t="shared" si="67"/>
        <v>54.284206396748232</v>
      </c>
      <c r="C121" s="36">
        <f t="shared" si="68"/>
        <v>4.1901572903281785</v>
      </c>
      <c r="D121" s="36">
        <f t="shared" si="69"/>
        <v>-29.800077456829598</v>
      </c>
      <c r="E121" s="93"/>
      <c r="F121" s="141"/>
      <c r="G121" s="165"/>
      <c r="H121" s="189"/>
      <c r="I121" s="36">
        <f t="shared" si="70"/>
        <v>56.427971746315237</v>
      </c>
      <c r="J121" s="36">
        <f t="shared" si="71"/>
        <v>-0.39770412692802237</v>
      </c>
      <c r="K121" s="36">
        <f t="shared" si="72"/>
        <v>-13.000620618306291</v>
      </c>
      <c r="M121" s="36">
        <f t="shared" si="73"/>
        <v>56.42935338414685</v>
      </c>
      <c r="N121" s="36">
        <f t="shared" si="74"/>
        <v>-0.41308052959931896</v>
      </c>
      <c r="O121" s="36">
        <f t="shared" si="75"/>
        <v>-13.002180886785908</v>
      </c>
      <c r="P121" s="36"/>
      <c r="Q121" s="36">
        <f>gamma_R!D18</f>
        <v>15.307112997373668</v>
      </c>
      <c r="R121" s="36">
        <f>gamma_G!D18</f>
        <v>20.405799512945013</v>
      </c>
      <c r="S121" s="36">
        <f>gamma_B!D18</f>
        <v>31.350115710915105</v>
      </c>
      <c r="W121" s="50">
        <f t="shared" si="63"/>
        <v>7.9193257476253889</v>
      </c>
      <c r="X121" s="50">
        <f t="shared" si="76"/>
        <v>17.084481366435988</v>
      </c>
      <c r="Y121" s="50">
        <f t="shared" si="77"/>
        <v>3.388159388900998</v>
      </c>
      <c r="Z121" s="36">
        <f t="shared" si="64"/>
        <v>104</v>
      </c>
      <c r="AB121" s="36">
        <f t="shared" si="65"/>
        <v>130</v>
      </c>
      <c r="AC121" s="36">
        <f t="shared" si="66"/>
        <v>181</v>
      </c>
      <c r="AF121" s="36"/>
      <c r="AG121" s="33"/>
    </row>
    <row r="122" spans="2:35" x14ac:dyDescent="0.3">
      <c r="B122" s="36">
        <f t="shared" si="67"/>
        <v>42.264149038226229</v>
      </c>
      <c r="C122" s="36">
        <f t="shared" si="68"/>
        <v>-14.515845746192218</v>
      </c>
      <c r="D122" s="36">
        <f t="shared" si="69"/>
        <v>23.77324970108614</v>
      </c>
      <c r="E122" s="94"/>
      <c r="F122" s="142"/>
      <c r="G122" s="166"/>
      <c r="H122" s="190"/>
      <c r="I122" s="36">
        <f t="shared" si="70"/>
        <v>44.717265773361532</v>
      </c>
      <c r="J122" s="36">
        <f t="shared" si="71"/>
        <v>-7.3133745092053282</v>
      </c>
      <c r="K122" s="36">
        <f t="shared" si="72"/>
        <v>9.7108842495193581</v>
      </c>
      <c r="M122" s="36">
        <f t="shared" si="73"/>
        <v>44.718511165590563</v>
      </c>
      <c r="N122" s="36">
        <f t="shared" si="74"/>
        <v>-7.3277359514130058</v>
      </c>
      <c r="O122" s="36">
        <f t="shared" si="75"/>
        <v>9.7089034011849868</v>
      </c>
      <c r="P122" s="36"/>
      <c r="Q122" s="36">
        <f>gamma_R!D19</f>
        <v>9.7754029004931482</v>
      </c>
      <c r="R122" s="36">
        <f>gamma_G!D19</f>
        <v>11.715781630522628</v>
      </c>
      <c r="S122" s="36">
        <f>gamma_B!D19</f>
        <v>7.7851447783808787</v>
      </c>
      <c r="W122" s="50">
        <f t="shared" si="63"/>
        <v>7.4924031404634404</v>
      </c>
      <c r="X122" s="50">
        <f t="shared" si="76"/>
        <v>15.6907518599645</v>
      </c>
      <c r="Y122" s="50">
        <f t="shared" si="77"/>
        <v>1.809714158193134</v>
      </c>
      <c r="Z122" s="36">
        <f t="shared" si="64"/>
        <v>89.49</v>
      </c>
      <c r="AB122" s="36">
        <f t="shared" si="65"/>
        <v>105.48</v>
      </c>
      <c r="AC122" s="36">
        <f t="shared" si="66"/>
        <v>59.62</v>
      </c>
      <c r="AF122" s="36"/>
      <c r="AG122" s="33"/>
    </row>
    <row r="123" spans="2:35" x14ac:dyDescent="0.3">
      <c r="B123" s="36">
        <f t="shared" si="67"/>
        <v>59.700624597333416</v>
      </c>
      <c r="C123" s="36">
        <f t="shared" si="68"/>
        <v>20.771183904962577</v>
      </c>
      <c r="D123" s="36">
        <f t="shared" si="69"/>
        <v>-26.894153503255257</v>
      </c>
      <c r="E123" s="95"/>
      <c r="F123" s="143"/>
      <c r="G123" s="167"/>
      <c r="H123" s="191"/>
      <c r="I123" s="36">
        <f t="shared" si="70"/>
        <v>63.891706656390426</v>
      </c>
      <c r="J123" s="36">
        <f t="shared" si="71"/>
        <v>9.8320801953861725</v>
      </c>
      <c r="K123" s="36">
        <f t="shared" si="72"/>
        <v>-10.009450212999859</v>
      </c>
      <c r="M123" s="36">
        <f t="shared" si="73"/>
        <v>63.893487321051268</v>
      </c>
      <c r="N123" s="36">
        <f t="shared" si="74"/>
        <v>9.8126815618650998</v>
      </c>
      <c r="O123" s="36">
        <f t="shared" si="75"/>
        <v>-10.003098301468928</v>
      </c>
      <c r="P123" s="36"/>
      <c r="Q123" s="36">
        <f>gamma_R!D20</f>
        <v>36.031410861818934</v>
      </c>
      <c r="R123" s="36">
        <f>gamma_G!D20</f>
        <v>26.590408538405967</v>
      </c>
      <c r="S123" s="36">
        <f>gamma_B!D20</f>
        <v>42.767280852183134</v>
      </c>
      <c r="W123" s="50">
        <f t="shared" si="63"/>
        <v>9.1011646931587205</v>
      </c>
      <c r="X123" s="50">
        <f t="shared" si="76"/>
        <v>19.968910606480087</v>
      </c>
      <c r="Y123" s="50">
        <f t="shared" si="77"/>
        <v>2.5766506600377621</v>
      </c>
      <c r="Z123" s="36">
        <f t="shared" si="64"/>
        <v>157.21</v>
      </c>
      <c r="AB123" s="36">
        <f t="shared" si="65"/>
        <v>133.21</v>
      </c>
      <c r="AC123" s="36">
        <f t="shared" si="66"/>
        <v>191.2</v>
      </c>
      <c r="AF123" s="36"/>
      <c r="AG123" s="33"/>
    </row>
    <row r="124" spans="2:35" x14ac:dyDescent="0.3">
      <c r="B124" s="36">
        <f t="shared" si="67"/>
        <v>77.565319332666249</v>
      </c>
      <c r="C124" s="36">
        <f t="shared" si="68"/>
        <v>-26.179420466421021</v>
      </c>
      <c r="D124" s="36">
        <f t="shared" si="69"/>
        <v>-5.5934146813742647</v>
      </c>
      <c r="E124" s="96"/>
      <c r="F124" s="144"/>
      <c r="G124" s="168"/>
      <c r="H124" s="192"/>
      <c r="I124" s="36">
        <f t="shared" si="70"/>
        <v>75.791777779173358</v>
      </c>
      <c r="J124" s="36">
        <f t="shared" si="71"/>
        <v>-13.092408677127743</v>
      </c>
      <c r="K124" s="36">
        <f t="shared" si="72"/>
        <v>-4.4202557236999729</v>
      </c>
      <c r="M124" s="36">
        <f t="shared" si="73"/>
        <v>75.793437297354728</v>
      </c>
      <c r="N124" s="36">
        <f t="shared" si="74"/>
        <v>-13.111461452786466</v>
      </c>
      <c r="O124" s="36">
        <f t="shared" si="75"/>
        <v>-4.4281014180262757</v>
      </c>
      <c r="P124" s="36"/>
      <c r="Q124" s="36">
        <f>gamma_R!D21</f>
        <v>29.400173208659666</v>
      </c>
      <c r="R124" s="36">
        <f>gamma_G!D21</f>
        <v>66.018656571730389</v>
      </c>
      <c r="S124" s="36">
        <f>gamma_B!D21</f>
        <v>66.156536049671217</v>
      </c>
      <c r="W124" s="50">
        <f t="shared" si="63"/>
        <v>6.3279666408303621</v>
      </c>
      <c r="X124" s="50">
        <f t="shared" si="76"/>
        <v>12.931267402050475</v>
      </c>
      <c r="Y124" s="50">
        <f t="shared" si="77"/>
        <v>2.2162651376660989</v>
      </c>
      <c r="Z124" s="36">
        <f t="shared" si="64"/>
        <v>123.34</v>
      </c>
      <c r="AB124" s="36">
        <f t="shared" si="65"/>
        <v>205.75</v>
      </c>
      <c r="AC124" s="36">
        <f t="shared" si="66"/>
        <v>201.1</v>
      </c>
      <c r="AF124" s="36"/>
      <c r="AG124" s="33"/>
    </row>
    <row r="125" spans="2:35" x14ac:dyDescent="0.3">
      <c r="B125" s="36">
        <f t="shared" si="67"/>
        <v>66.662803401245867</v>
      </c>
      <c r="C125" s="36">
        <f t="shared" si="68"/>
        <v>31.811906121826382</v>
      </c>
      <c r="D125" s="36">
        <f t="shared" si="69"/>
        <v>61.865800916858703</v>
      </c>
      <c r="E125" s="97"/>
      <c r="F125" s="145"/>
      <c r="G125" s="169"/>
      <c r="H125" s="193"/>
      <c r="I125" s="36">
        <f t="shared" si="70"/>
        <v>70.169190085342265</v>
      </c>
      <c r="J125" s="36">
        <f t="shared" si="71"/>
        <v>15.335462491649853</v>
      </c>
      <c r="K125" s="36">
        <f t="shared" si="72"/>
        <v>30.06731332284518</v>
      </c>
      <c r="M125" s="36">
        <f t="shared" si="73"/>
        <v>70.171582915956293</v>
      </c>
      <c r="N125" s="36">
        <f t="shared" si="74"/>
        <v>15.309446177591335</v>
      </c>
      <c r="O125" s="36">
        <f t="shared" si="75"/>
        <v>30.098764832549918</v>
      </c>
      <c r="P125" s="36"/>
      <c r="Q125" s="36">
        <f>gamma_R!D22</f>
        <v>102.24236403822488</v>
      </c>
      <c r="R125" s="36">
        <f>gamma_G!D22</f>
        <v>33.263430129729699</v>
      </c>
      <c r="S125" s="36">
        <f>gamma_B!D22</f>
        <v>14.073488345110555</v>
      </c>
      <c r="W125" s="50">
        <f t="shared" si="63"/>
        <v>9.3505512567355797</v>
      </c>
      <c r="X125" s="50">
        <f t="shared" si="76"/>
        <v>35.797067009629338</v>
      </c>
      <c r="Y125" s="50">
        <f t="shared" si="77"/>
        <v>0.21391423740725718</v>
      </c>
      <c r="Z125" s="36">
        <f t="shared" si="64"/>
        <v>237.21</v>
      </c>
      <c r="AB125" s="36">
        <f t="shared" si="65"/>
        <v>137.21</v>
      </c>
      <c r="AC125" s="36">
        <f t="shared" si="66"/>
        <v>45.15</v>
      </c>
      <c r="AF125" s="36"/>
      <c r="AG125" s="33"/>
    </row>
    <row r="126" spans="2:35" x14ac:dyDescent="0.3">
      <c r="B126" s="36">
        <f t="shared" si="67"/>
        <v>37.440056714699672</v>
      </c>
      <c r="C126" s="36">
        <f t="shared" si="68"/>
        <v>26.925477982935682</v>
      </c>
      <c r="D126" s="36">
        <f t="shared" si="69"/>
        <v>-57.014809467956482</v>
      </c>
      <c r="E126" s="98"/>
      <c r="F126" s="146"/>
      <c r="G126" s="170"/>
      <c r="H126" s="194"/>
      <c r="I126" s="36">
        <f t="shared" si="70"/>
        <v>37.147818665419386</v>
      </c>
      <c r="J126" s="36">
        <f t="shared" si="71"/>
        <v>7.4641766019784006</v>
      </c>
      <c r="K126" s="36">
        <f t="shared" si="72"/>
        <v>-27.245683140450705</v>
      </c>
      <c r="M126" s="36">
        <f t="shared" si="73"/>
        <v>37.1487202989968</v>
      </c>
      <c r="N126" s="36">
        <f t="shared" si="74"/>
        <v>7.454576490318443</v>
      </c>
      <c r="O126" s="36">
        <f t="shared" si="75"/>
        <v>-27.246808902335374</v>
      </c>
      <c r="P126" s="36"/>
      <c r="Q126" s="36">
        <f>gamma_R!D23</f>
        <v>4.9638171225886438</v>
      </c>
      <c r="R126" s="36">
        <f>gamma_G!D23</f>
        <v>7.15988012823885</v>
      </c>
      <c r="S126" s="36">
        <f>gamma_B!D23</f>
        <v>18.439346724987502</v>
      </c>
      <c r="W126" s="50">
        <f t="shared" si="63"/>
        <v>9.8274751939090947</v>
      </c>
      <c r="X126" s="50">
        <f t="shared" si="76"/>
        <v>34.804739703482753</v>
      </c>
      <c r="Y126" s="50">
        <f t="shared" si="77"/>
        <v>7.3402967775720178</v>
      </c>
      <c r="Z126" s="36">
        <f t="shared" si="64"/>
        <v>59.26</v>
      </c>
      <c r="AB126" s="36">
        <f t="shared" si="65"/>
        <v>78.260000000000005</v>
      </c>
      <c r="AC126" s="36">
        <f t="shared" si="66"/>
        <v>181.46</v>
      </c>
      <c r="AF126" s="36"/>
      <c r="AG126" s="33"/>
    </row>
    <row r="127" spans="2:35" x14ac:dyDescent="0.3">
      <c r="B127" s="36">
        <f t="shared" si="67"/>
        <v>57.106924998880118</v>
      </c>
      <c r="C127" s="36">
        <f t="shared" si="68"/>
        <v>55.639861429909232</v>
      </c>
      <c r="D127" s="36">
        <f t="shared" si="69"/>
        <v>27.262372520221856</v>
      </c>
      <c r="E127" s="99"/>
      <c r="F127" s="147"/>
      <c r="G127" s="171"/>
      <c r="H127" s="195"/>
      <c r="I127" s="36">
        <f t="shared" si="70"/>
        <v>59.935258292615927</v>
      </c>
      <c r="J127" s="36">
        <f t="shared" si="71"/>
        <v>27.988310112790515</v>
      </c>
      <c r="K127" s="36">
        <f t="shared" si="72"/>
        <v>18.109324816998097</v>
      </c>
      <c r="M127" s="36">
        <f t="shared" si="73"/>
        <v>59.937622057625632</v>
      </c>
      <c r="N127" s="36">
        <f t="shared" si="74"/>
        <v>27.963635617077763</v>
      </c>
      <c r="O127" s="36">
        <f t="shared" si="75"/>
        <v>18.148065497534006</v>
      </c>
      <c r="P127" s="36"/>
      <c r="Q127" s="36">
        <f>gamma_R!D24</f>
        <v>73.985903057355245</v>
      </c>
      <c r="R127" s="36">
        <f>gamma_G!D24</f>
        <v>16.091865376325686</v>
      </c>
      <c r="S127" s="36">
        <f>gamma_B!D24</f>
        <v>13.058262142309182</v>
      </c>
      <c r="W127" s="50">
        <f t="shared" si="63"/>
        <v>8.5495346677821118</v>
      </c>
      <c r="X127" s="50">
        <f t="shared" si="76"/>
        <v>28.623491056540601</v>
      </c>
      <c r="Y127" s="50">
        <f t="shared" si="77"/>
        <v>5.4534234644667059</v>
      </c>
      <c r="Z127" s="36">
        <f t="shared" si="64"/>
        <v>231.81</v>
      </c>
      <c r="AB127" s="36">
        <f t="shared" si="65"/>
        <v>88.82</v>
      </c>
      <c r="AC127" s="36">
        <f t="shared" si="66"/>
        <v>92.89</v>
      </c>
      <c r="AF127" s="36"/>
      <c r="AG127" s="33"/>
    </row>
    <row r="128" spans="2:35" x14ac:dyDescent="0.3">
      <c r="B128" s="36">
        <f t="shared" si="67"/>
        <v>25.137094154738435</v>
      </c>
      <c r="C128" s="36">
        <f t="shared" si="68"/>
        <v>28.459602862668103</v>
      </c>
      <c r="D128" s="36">
        <f t="shared" si="69"/>
        <v>-15.858000597399148</v>
      </c>
      <c r="E128" s="100"/>
      <c r="F128" s="148"/>
      <c r="G128" s="172"/>
      <c r="H128" s="196"/>
      <c r="I128" s="36">
        <f t="shared" si="70"/>
        <v>27.300907050061504</v>
      </c>
      <c r="J128" s="36">
        <f t="shared" si="71"/>
        <v>16.85055934547383</v>
      </c>
      <c r="K128" s="36">
        <f t="shared" si="72"/>
        <v>-4.8717874147758415</v>
      </c>
      <c r="M128" s="36">
        <f t="shared" si="73"/>
        <v>27.302127842002399</v>
      </c>
      <c r="N128" s="36">
        <f t="shared" si="74"/>
        <v>16.837921303241771</v>
      </c>
      <c r="O128" s="36">
        <f t="shared" si="75"/>
        <v>-4.8594037518669868</v>
      </c>
      <c r="P128" s="36"/>
      <c r="Q128" s="36">
        <f>gamma_R!D25</f>
        <v>7.2427945099924376</v>
      </c>
      <c r="R128" s="36">
        <f>gamma_G!D25</f>
        <v>2.7575428652851848</v>
      </c>
      <c r="S128" s="36">
        <f>gamma_B!D25</f>
        <v>5.0529485454061849</v>
      </c>
      <c r="W128" s="50">
        <f t="shared" si="63"/>
        <v>7.4308910901345353</v>
      </c>
      <c r="X128" s="50">
        <f t="shared" si="76"/>
        <v>15.054413174131803</v>
      </c>
      <c r="Y128" s="50">
        <f t="shared" si="77"/>
        <v>5.421923904094089</v>
      </c>
      <c r="Z128" s="36">
        <f t="shared" si="64"/>
        <v>89.8</v>
      </c>
      <c r="AB128" s="36">
        <f t="shared" si="65"/>
        <v>42</v>
      </c>
      <c r="AC128" s="36">
        <f t="shared" si="66"/>
        <v>83.99</v>
      </c>
      <c r="AF128" s="36"/>
      <c r="AG128" s="33"/>
    </row>
    <row r="129" spans="2:33" x14ac:dyDescent="0.3">
      <c r="B129" s="36">
        <f t="shared" si="67"/>
        <v>78.095656731462498</v>
      </c>
      <c r="C129" s="36">
        <f t="shared" si="68"/>
        <v>-27.209970650752869</v>
      </c>
      <c r="D129" s="36">
        <f t="shared" si="69"/>
        <v>60.67769231570044</v>
      </c>
      <c r="E129" s="101"/>
      <c r="F129" s="149"/>
      <c r="G129" s="173"/>
      <c r="H129" s="197"/>
      <c r="I129" s="36">
        <f t="shared" si="70"/>
        <v>73.490948587632701</v>
      </c>
      <c r="J129" s="36">
        <f t="shared" si="71"/>
        <v>-12.022947222722902</v>
      </c>
      <c r="K129" s="36">
        <f t="shared" si="72"/>
        <v>19.272734195505727</v>
      </c>
      <c r="M129" s="36">
        <f t="shared" si="73"/>
        <v>73.492802618005342</v>
      </c>
      <c r="N129" s="36">
        <f t="shared" si="74"/>
        <v>-12.044424222038163</v>
      </c>
      <c r="O129" s="36">
        <f t="shared" si="75"/>
        <v>19.269647207263809</v>
      </c>
      <c r="P129" s="36"/>
      <c r="Q129" s="36">
        <f>gamma_R!D26</f>
        <v>42.231814655617271</v>
      </c>
      <c r="R129" s="36">
        <f>gamma_G!D26</f>
        <v>55.746796984664599</v>
      </c>
      <c r="S129" s="36">
        <f>gamma_B!D26</f>
        <v>24.12454036717353</v>
      </c>
      <c r="W129" s="50">
        <f t="shared" si="63"/>
        <v>12.18650673436697</v>
      </c>
      <c r="X129" s="50">
        <f t="shared" si="76"/>
        <v>43.775199519279667</v>
      </c>
      <c r="Y129" s="50">
        <f t="shared" si="77"/>
        <v>5.3246507144676842</v>
      </c>
      <c r="Z129" s="36">
        <f t="shared" si="64"/>
        <v>177.63</v>
      </c>
      <c r="AB129" s="36">
        <f t="shared" si="65"/>
        <v>204.63</v>
      </c>
      <c r="AC129" s="36">
        <f t="shared" si="66"/>
        <v>71.959999999999994</v>
      </c>
      <c r="AF129" s="36"/>
      <c r="AG129" s="33"/>
    </row>
    <row r="130" spans="2:33" x14ac:dyDescent="0.3">
      <c r="B130" s="36">
        <f t="shared" si="67"/>
        <v>75.991165039401366</v>
      </c>
      <c r="C130" s="36">
        <f t="shared" si="68"/>
        <v>13.876180423377349</v>
      </c>
      <c r="D130" s="36">
        <f t="shared" si="69"/>
        <v>70.624697717583487</v>
      </c>
      <c r="E130" s="102"/>
      <c r="F130" s="150"/>
      <c r="G130" s="174"/>
      <c r="H130" s="198"/>
      <c r="I130" s="36">
        <f t="shared" si="70"/>
        <v>75.133778321999699</v>
      </c>
      <c r="J130" s="36">
        <f t="shared" si="71"/>
        <v>7.3419570411579205</v>
      </c>
      <c r="K130" s="36">
        <f t="shared" si="72"/>
        <v>28.193025104286406</v>
      </c>
      <c r="M130" s="36">
        <f t="shared" si="73"/>
        <v>75.136103070502173</v>
      </c>
      <c r="N130" s="36">
        <f t="shared" si="74"/>
        <v>7.3161659149403313</v>
      </c>
      <c r="O130" s="36">
        <f t="shared" si="75"/>
        <v>28.213183713946101</v>
      </c>
      <c r="P130" s="36"/>
      <c r="Q130" s="36">
        <f>gamma_R!D27</f>
        <v>104.22066961753612</v>
      </c>
      <c r="R130" s="36">
        <f>gamma_G!D27</f>
        <v>48.100307170820983</v>
      </c>
      <c r="S130" s="36">
        <f>gamma_B!D27</f>
        <v>19.231663940519585</v>
      </c>
      <c r="W130" s="50">
        <f t="shared" si="63"/>
        <v>10.22481818569304</v>
      </c>
      <c r="X130" s="50">
        <f t="shared" si="76"/>
        <v>42.828614872577838</v>
      </c>
      <c r="Y130" s="50">
        <f t="shared" si="77"/>
        <v>2.7349695661997093</v>
      </c>
      <c r="Z130" s="36">
        <f t="shared" si="64"/>
        <v>242.26</v>
      </c>
      <c r="AB130" s="36">
        <f t="shared" si="65"/>
        <v>175.26</v>
      </c>
      <c r="AC130" s="36">
        <f t="shared" si="66"/>
        <v>44.28</v>
      </c>
      <c r="AF130" s="36"/>
      <c r="AG130" s="33"/>
    </row>
    <row r="131" spans="2:33" x14ac:dyDescent="0.3">
      <c r="B131" s="36">
        <f t="shared" si="67"/>
        <v>16.533893975704089</v>
      </c>
      <c r="C131" s="36">
        <f t="shared" si="68"/>
        <v>42.582644964963414</v>
      </c>
      <c r="D131" s="36">
        <f t="shared" si="69"/>
        <v>-63.391469630739373</v>
      </c>
      <c r="E131" s="103"/>
      <c r="F131" s="151"/>
      <c r="G131" s="175"/>
      <c r="H131" s="199"/>
      <c r="I131" s="36">
        <f t="shared" si="70"/>
        <v>16.15740762530816</v>
      </c>
      <c r="J131" s="36">
        <f t="shared" si="71"/>
        <v>12.580354087480622</v>
      </c>
      <c r="K131" s="36">
        <f t="shared" si="72"/>
        <v>-32.75251205188642</v>
      </c>
      <c r="M131" s="36">
        <f t="shared" si="73"/>
        <v>16.157773918184546</v>
      </c>
      <c r="N131" s="36">
        <f t="shared" si="74"/>
        <v>12.576777106013653</v>
      </c>
      <c r="O131" s="36">
        <f t="shared" si="75"/>
        <v>-32.753925496854549</v>
      </c>
      <c r="P131" s="36"/>
      <c r="Q131" s="36">
        <f>gamma_R!D28</f>
        <v>0.33157321892247243</v>
      </c>
      <c r="R131" s="36">
        <f>gamma_G!D28</f>
        <v>1.0621835445500345</v>
      </c>
      <c r="S131" s="36">
        <f>gamma_B!D28</f>
        <v>7.4104026682205575</v>
      </c>
      <c r="W131" s="50">
        <f t="shared" si="63"/>
        <v>10.771956963032945</v>
      </c>
      <c r="X131" s="50">
        <f t="shared" si="76"/>
        <v>41.280423758765046</v>
      </c>
      <c r="Y131" s="50">
        <f t="shared" si="77"/>
        <v>11.616274395058042</v>
      </c>
      <c r="Z131" s="36">
        <f t="shared" si="64"/>
        <v>2.91</v>
      </c>
      <c r="AB131" s="36">
        <f t="shared" si="65"/>
        <v>17.91</v>
      </c>
      <c r="AC131" s="36">
        <f t="shared" si="66"/>
        <v>135.32</v>
      </c>
      <c r="AF131" s="36"/>
      <c r="AG131" s="33"/>
    </row>
    <row r="132" spans="2:33" x14ac:dyDescent="0.3">
      <c r="B132" s="36">
        <f t="shared" si="67"/>
        <v>53.41932543596711</v>
      </c>
      <c r="C132" s="36">
        <f t="shared" si="68"/>
        <v>-39.143534500974631</v>
      </c>
      <c r="D132" s="36">
        <f t="shared" si="69"/>
        <v>31.102899099232882</v>
      </c>
      <c r="E132" s="104"/>
      <c r="F132" s="152"/>
      <c r="G132" s="176"/>
      <c r="H132" s="200"/>
      <c r="I132" s="36">
        <f t="shared" si="70"/>
        <v>49.100673482841174</v>
      </c>
      <c r="J132" s="36">
        <f t="shared" si="71"/>
        <v>-21.558057111909502</v>
      </c>
      <c r="K132" s="36">
        <f t="shared" si="72"/>
        <v>10.032692509112362</v>
      </c>
      <c r="M132" s="36">
        <f t="shared" si="73"/>
        <v>49.101768267116313</v>
      </c>
      <c r="N132" s="36">
        <f t="shared" si="74"/>
        <v>-21.571207343009657</v>
      </c>
      <c r="O132" s="36">
        <f t="shared" si="75"/>
        <v>10.019236864002634</v>
      </c>
      <c r="P132" s="36"/>
      <c r="Q132" s="36">
        <f>gamma_R!D29</f>
        <v>6.559093701804608</v>
      </c>
      <c r="R132" s="36">
        <f>gamma_G!D29</f>
        <v>16.672262580358904</v>
      </c>
      <c r="S132" s="36">
        <f>gamma_B!D29</f>
        <v>9.6286306383987998</v>
      </c>
      <c r="W132" s="50">
        <f t="shared" si="63"/>
        <v>10.263132708205196</v>
      </c>
      <c r="X132" s="50">
        <f t="shared" si="76"/>
        <v>26.211573389201469</v>
      </c>
      <c r="Y132" s="50">
        <f t="shared" si="77"/>
        <v>8.1400808017078674</v>
      </c>
      <c r="Z132" s="36">
        <f t="shared" si="64"/>
        <v>67.41</v>
      </c>
      <c r="AB132" s="36">
        <f t="shared" si="65"/>
        <v>143.4</v>
      </c>
      <c r="AC132" s="36">
        <f t="shared" si="66"/>
        <v>71.41</v>
      </c>
      <c r="AF132" s="36"/>
      <c r="AG132" s="33"/>
    </row>
    <row r="133" spans="2:33" x14ac:dyDescent="0.3">
      <c r="B133" s="36">
        <f t="shared" si="67"/>
        <v>47.235924088479088</v>
      </c>
      <c r="C133" s="36">
        <f t="shared" si="68"/>
        <v>60.112441038549235</v>
      </c>
      <c r="D133" s="36">
        <f t="shared" si="69"/>
        <v>32.862845068548438</v>
      </c>
      <c r="E133" s="105"/>
      <c r="F133" s="153"/>
      <c r="G133" s="177"/>
      <c r="H133" s="201"/>
      <c r="I133" s="36">
        <f t="shared" si="70"/>
        <v>48.237971012357761</v>
      </c>
      <c r="J133" s="36">
        <f t="shared" si="71"/>
        <v>35.408216473013731</v>
      </c>
      <c r="K133" s="36">
        <f t="shared" si="72"/>
        <v>21.446535528105215</v>
      </c>
      <c r="M133" s="36">
        <f t="shared" si="73"/>
        <v>48.241210860580011</v>
      </c>
      <c r="N133" s="36">
        <f t="shared" si="74"/>
        <v>35.387244736012683</v>
      </c>
      <c r="O133" s="36">
        <f t="shared" si="75"/>
        <v>21.503320409149971</v>
      </c>
      <c r="P133" s="36"/>
      <c r="Q133" s="36">
        <f>gamma_R!D30</f>
        <v>46.982521003161352</v>
      </c>
      <c r="R133" s="36">
        <f>gamma_G!D30</f>
        <v>7.5803913645155081</v>
      </c>
      <c r="S133" s="36">
        <f>gamma_B!D30</f>
        <v>6.3105237320407337</v>
      </c>
      <c r="W133" s="50">
        <f t="shared" si="63"/>
        <v>6.8198962712549918</v>
      </c>
      <c r="X133" s="50">
        <f t="shared" si="76"/>
        <v>27.100589219264471</v>
      </c>
      <c r="Y133" s="50">
        <f t="shared" si="77"/>
        <v>2.4356101196898048</v>
      </c>
      <c r="Z133" s="36">
        <f t="shared" si="64"/>
        <v>207.62</v>
      </c>
      <c r="AB133" s="36">
        <f t="shared" si="65"/>
        <v>52.58</v>
      </c>
      <c r="AC133" s="36">
        <f t="shared" si="66"/>
        <v>60.62</v>
      </c>
      <c r="AF133" s="36"/>
      <c r="AG133" s="33"/>
    </row>
    <row r="134" spans="2:33" x14ac:dyDescent="0.3">
      <c r="B134" s="36">
        <f t="shared" si="67"/>
        <v>86.742622734868164</v>
      </c>
      <c r="C134" s="36">
        <f t="shared" si="68"/>
        <v>-4.236882002156217</v>
      </c>
      <c r="D134" s="36">
        <f t="shared" si="69"/>
        <v>77.743806316951535</v>
      </c>
      <c r="E134" s="106"/>
      <c r="F134" s="154"/>
      <c r="G134" s="178"/>
      <c r="H134" s="202"/>
      <c r="I134" s="36">
        <f t="shared" si="70"/>
        <v>82.26357803059615</v>
      </c>
      <c r="J134" s="36">
        <f t="shared" si="71"/>
        <v>-0.32765984846744312</v>
      </c>
      <c r="K134" s="36">
        <f t="shared" si="72"/>
        <v>26.922511926869653</v>
      </c>
      <c r="M134" s="36">
        <f t="shared" si="73"/>
        <v>82.265898052355439</v>
      </c>
      <c r="N134" s="36">
        <f t="shared" si="74"/>
        <v>-0.35384505919255904</v>
      </c>
      <c r="O134" s="36">
        <f t="shared" si="75"/>
        <v>26.933514865447549</v>
      </c>
      <c r="P134" s="36"/>
      <c r="Q134" s="36">
        <f>gamma_R!D31</f>
        <v>120.91813407381309</v>
      </c>
      <c r="R134" s="36">
        <f>gamma_G!D31</f>
        <v>79.005478258500574</v>
      </c>
      <c r="S134" s="36">
        <f>gamma_B!D31</f>
        <v>29.234831497887797</v>
      </c>
      <c r="W134" s="50">
        <f t="shared" si="63"/>
        <v>12.192321858837781</v>
      </c>
      <c r="X134" s="50">
        <f t="shared" si="76"/>
        <v>50.923332395432439</v>
      </c>
      <c r="Y134" s="50">
        <f t="shared" si="77"/>
        <v>1.8915366852113145</v>
      </c>
      <c r="Z134" s="36">
        <f t="shared" si="64"/>
        <v>248.66</v>
      </c>
      <c r="AB134" s="36">
        <f t="shared" si="65"/>
        <v>216.07</v>
      </c>
      <c r="AC134" s="36">
        <f t="shared" si="66"/>
        <v>52.72</v>
      </c>
      <c r="AF134" s="36"/>
      <c r="AG134" s="33"/>
    </row>
    <row r="135" spans="2:33" x14ac:dyDescent="0.3">
      <c r="B135" s="36">
        <f t="shared" si="67"/>
        <v>53.603735898797922</v>
      </c>
      <c r="C135" s="36">
        <f t="shared" si="68"/>
        <v>55.970566627440768</v>
      </c>
      <c r="D135" s="36">
        <f t="shared" si="69"/>
        <v>-4.4439399073938679</v>
      </c>
      <c r="E135" s="107"/>
      <c r="F135" s="155"/>
      <c r="G135" s="179"/>
      <c r="H135" s="203"/>
      <c r="I135" s="36">
        <f t="shared" si="70"/>
        <v>55.248998602858322</v>
      </c>
      <c r="J135" s="36">
        <f t="shared" si="71"/>
        <v>30.164657415716611</v>
      </c>
      <c r="K135" s="36">
        <f t="shared" si="72"/>
        <v>3.1933126892485619</v>
      </c>
      <c r="M135" s="36">
        <f t="shared" si="73"/>
        <v>55.251184955720191</v>
      </c>
      <c r="N135" s="36">
        <f t="shared" si="74"/>
        <v>30.142127855884048</v>
      </c>
      <c r="O135" s="36">
        <f t="shared" si="75"/>
        <v>3.2228445998274458</v>
      </c>
      <c r="P135" s="36"/>
      <c r="Q135" s="36">
        <f>gamma_R!D32</f>
        <v>52.382733644734969</v>
      </c>
      <c r="R135" s="36">
        <f>gamma_G!D32</f>
        <v>12.491044156807085</v>
      </c>
      <c r="S135" s="36">
        <f>gamma_B!D32</f>
        <v>17.27314951504826</v>
      </c>
      <c r="W135" s="50">
        <f t="shared" si="63"/>
        <v>8.5805375079309414</v>
      </c>
      <c r="X135" s="50">
        <f t="shared" si="76"/>
        <v>25.832774917584715</v>
      </c>
      <c r="Y135" s="50">
        <f t="shared" si="77"/>
        <v>7.6521614014361443</v>
      </c>
      <c r="Z135" s="36">
        <f t="shared" si="64"/>
        <v>210.6</v>
      </c>
      <c r="AB135" s="36">
        <f t="shared" si="65"/>
        <v>81.69</v>
      </c>
      <c r="AC135" s="36">
        <f t="shared" si="66"/>
        <v>137.55000000000001</v>
      </c>
      <c r="AF135" s="36"/>
      <c r="AG135" s="33"/>
    </row>
    <row r="136" spans="2:33" x14ac:dyDescent="0.3">
      <c r="B136" s="36">
        <f t="shared" si="67"/>
        <v>44.517697154165162</v>
      </c>
      <c r="C136" s="36">
        <f t="shared" si="68"/>
        <v>-1.6922210636705626</v>
      </c>
      <c r="D136" s="36">
        <f t="shared" si="69"/>
        <v>-41.505587753172144</v>
      </c>
      <c r="E136" s="108"/>
      <c r="F136" s="156"/>
      <c r="G136" s="180"/>
      <c r="H136" s="204"/>
      <c r="I136" s="36">
        <f t="shared" si="70"/>
        <v>42.11746020997208</v>
      </c>
      <c r="J136" s="36">
        <f t="shared" si="71"/>
        <v>-7.2907182141208615</v>
      </c>
      <c r="K136" s="36">
        <f t="shared" si="72"/>
        <v>-22.286844515891069</v>
      </c>
      <c r="M136" s="36">
        <f t="shared" si="73"/>
        <v>42.118271501558013</v>
      </c>
      <c r="N136" s="36">
        <f t="shared" si="74"/>
        <v>-7.2997508661080399</v>
      </c>
      <c r="O136" s="36">
        <f t="shared" si="75"/>
        <v>-22.294198851180312</v>
      </c>
      <c r="P136" s="36"/>
      <c r="Q136" s="36">
        <f>gamma_R!D33</f>
        <v>2.5992200409957462</v>
      </c>
      <c r="R136" s="36">
        <f>gamma_G!D33</f>
        <v>10.721621654273854</v>
      </c>
      <c r="S136" s="36">
        <f>gamma_B!D33</f>
        <v>20.076162517218453</v>
      </c>
      <c r="W136" s="50">
        <f t="shared" si="63"/>
        <v>8.5674763507026483</v>
      </c>
      <c r="X136" s="50">
        <f t="shared" si="76"/>
        <v>18.08121967086959</v>
      </c>
      <c r="Y136" s="50">
        <f t="shared" si="77"/>
        <v>8.5785400414381741</v>
      </c>
      <c r="Z136" s="36">
        <f t="shared" si="64"/>
        <v>0.3</v>
      </c>
      <c r="AB136" s="36">
        <f t="shared" si="65"/>
        <v>109.91</v>
      </c>
      <c r="AC136" s="36">
        <f t="shared" si="66"/>
        <v>174.28</v>
      </c>
      <c r="AF136" s="36"/>
      <c r="AG136" s="33"/>
    </row>
    <row r="137" spans="2:33" x14ac:dyDescent="0.3">
      <c r="B137" s="36">
        <f t="shared" si="67"/>
        <v>92.024590961319063</v>
      </c>
      <c r="C137" s="36">
        <f t="shared" si="68"/>
        <v>0.65632553403710547</v>
      </c>
      <c r="D137" s="36">
        <f t="shared" si="69"/>
        <v>3.5083523633012481</v>
      </c>
      <c r="E137" s="109"/>
      <c r="F137" s="157"/>
      <c r="G137" s="181"/>
      <c r="H137" s="205"/>
      <c r="I137" s="36">
        <f t="shared" si="70"/>
        <v>91.277036951584165</v>
      </c>
      <c r="J137" s="36">
        <f t="shared" si="71"/>
        <v>0.83370988992925721</v>
      </c>
      <c r="K137" s="36">
        <f t="shared" si="72"/>
        <v>1.9337929572952772</v>
      </c>
      <c r="M137" s="36">
        <f t="shared" si="73"/>
        <v>91.279352750660522</v>
      </c>
      <c r="N137" s="36">
        <f t="shared" si="74"/>
        <v>0.80779571395178662</v>
      </c>
      <c r="O137" s="36">
        <f t="shared" si="75"/>
        <v>1.9379137388812806</v>
      </c>
      <c r="P137" s="36"/>
      <c r="Q137" s="36">
        <f>gamma_R!D34</f>
        <v>153.21632501344601</v>
      </c>
      <c r="R137" s="36">
        <f>gamma_G!D34</f>
        <v>139.55248006922778</v>
      </c>
      <c r="S137" s="36">
        <f>gamma_B!D34</f>
        <v>130.71389900760784</v>
      </c>
      <c r="W137" s="50">
        <f t="shared" si="63"/>
        <v>1.5670125211999226</v>
      </c>
      <c r="X137" s="50">
        <f t="shared" si="76"/>
        <v>1.4696813988899922</v>
      </c>
      <c r="Y137" s="50">
        <f t="shared" si="77"/>
        <v>0.57380944069457529</v>
      </c>
      <c r="Z137" s="36">
        <f t="shared" si="64"/>
        <v>236.43</v>
      </c>
      <c r="AB137" s="36">
        <f t="shared" si="65"/>
        <v>231.43</v>
      </c>
      <c r="AC137" s="36">
        <f t="shared" si="66"/>
        <v>225.43</v>
      </c>
      <c r="AF137" s="36"/>
      <c r="AG137" s="33"/>
    </row>
    <row r="138" spans="2:33" x14ac:dyDescent="0.3">
      <c r="B138" s="36">
        <f t="shared" si="67"/>
        <v>81.71383024198154</v>
      </c>
      <c r="C138" s="36">
        <f t="shared" si="68"/>
        <v>8.9913715165479413E-2</v>
      </c>
      <c r="D138" s="36">
        <f t="shared" si="69"/>
        <v>3.2177061935183771</v>
      </c>
      <c r="E138" s="110"/>
      <c r="F138" s="158"/>
      <c r="G138" s="182"/>
      <c r="H138" s="206"/>
      <c r="I138" s="36">
        <f t="shared" si="70"/>
        <v>78.003966685966176</v>
      </c>
      <c r="J138" s="36">
        <f t="shared" si="71"/>
        <v>0.9484347017213457</v>
      </c>
      <c r="K138" s="36">
        <f t="shared" si="72"/>
        <v>1.5264239020996273</v>
      </c>
      <c r="M138" s="36">
        <f t="shared" si="73"/>
        <v>78.005998455941466</v>
      </c>
      <c r="N138" s="36">
        <f t="shared" si="74"/>
        <v>0.92571048845901949</v>
      </c>
      <c r="O138" s="36">
        <f t="shared" si="75"/>
        <v>1.5301569207917254</v>
      </c>
      <c r="P138" s="36"/>
      <c r="Q138" s="36">
        <f>gamma_R!D35</f>
        <v>67.788329610283427</v>
      </c>
      <c r="R138" s="36">
        <f>gamma_G!D35</f>
        <v>63.165021659737874</v>
      </c>
      <c r="S138" s="36">
        <f>gamma_B!D35</f>
        <v>60.38124610532418</v>
      </c>
      <c r="W138" s="50">
        <f t="shared" si="63"/>
        <v>4.0834167221477768</v>
      </c>
      <c r="X138" s="50">
        <f t="shared" si="76"/>
        <v>1.4305774197070797</v>
      </c>
      <c r="Y138" s="50">
        <f t="shared" si="77"/>
        <v>1.2246742588755499</v>
      </c>
      <c r="Z138" s="36">
        <f t="shared" si="64"/>
        <v>205.97</v>
      </c>
      <c r="AB138" s="36">
        <f t="shared" si="65"/>
        <v>202.8</v>
      </c>
      <c r="AC138" s="36">
        <f t="shared" si="66"/>
        <v>197.11</v>
      </c>
      <c r="AF138" s="36"/>
      <c r="AG138" s="33"/>
    </row>
    <row r="139" spans="2:33" x14ac:dyDescent="0.3">
      <c r="B139" s="36">
        <f t="shared" si="67"/>
        <v>65.84590333748605</v>
      </c>
      <c r="C139" s="36">
        <f t="shared" si="68"/>
        <v>0.1629262499345252</v>
      </c>
      <c r="D139" s="36">
        <f t="shared" si="69"/>
        <v>2.9841174501997081</v>
      </c>
      <c r="E139" s="111"/>
      <c r="F139" s="159"/>
      <c r="G139" s="183"/>
      <c r="H139" s="207"/>
      <c r="I139" s="36">
        <f t="shared" si="70"/>
        <v>61.458312836648176</v>
      </c>
      <c r="J139" s="36">
        <f t="shared" si="71"/>
        <v>-5.5612512382674506E-2</v>
      </c>
      <c r="K139" s="36">
        <f t="shared" si="72"/>
        <v>1.3082902730935153</v>
      </c>
      <c r="M139" s="36">
        <f t="shared" si="73"/>
        <v>61.459971354456528</v>
      </c>
      <c r="N139" s="36">
        <f t="shared" si="74"/>
        <v>-7.4201888243197178E-2</v>
      </c>
      <c r="O139" s="36">
        <f t="shared" si="75"/>
        <v>1.3107280088469286</v>
      </c>
      <c r="P139" s="36"/>
      <c r="Q139" s="36">
        <f>gamma_R!D36</f>
        <v>26.369445228673953</v>
      </c>
      <c r="R139" s="36">
        <f>gamma_G!D36</f>
        <v>25.806240445661892</v>
      </c>
      <c r="S139" s="36">
        <f>gamma_B!D36</f>
        <v>24.649754977958814</v>
      </c>
      <c r="W139" s="50">
        <f t="shared" si="63"/>
        <v>4.6327639178394016</v>
      </c>
      <c r="X139" s="50">
        <f t="shared" si="76"/>
        <v>1.6757351902441793</v>
      </c>
      <c r="Y139" s="50">
        <f t="shared" si="77"/>
        <v>0.21993987479287319</v>
      </c>
      <c r="Z139" s="36">
        <f t="shared" si="64"/>
        <v>162.65</v>
      </c>
      <c r="AB139" s="36">
        <f t="shared" si="65"/>
        <v>159.65</v>
      </c>
      <c r="AC139" s="36">
        <f t="shared" si="66"/>
        <v>154.65</v>
      </c>
      <c r="AF139" s="36"/>
      <c r="AG139" s="33"/>
    </row>
    <row r="140" spans="2:33" x14ac:dyDescent="0.3">
      <c r="B140" s="36">
        <f t="shared" si="67"/>
        <v>42.592495995684232</v>
      </c>
      <c r="C140" s="36">
        <f t="shared" si="68"/>
        <v>-0.41212322767431031</v>
      </c>
      <c r="D140" s="36">
        <f t="shared" si="69"/>
        <v>2.4002926147722925</v>
      </c>
      <c r="E140" s="112"/>
      <c r="F140" s="160"/>
      <c r="G140" s="184">
        <v>0.18</v>
      </c>
      <c r="H140" s="208"/>
      <c r="I140" s="36">
        <f t="shared" si="70"/>
        <v>40.297297894638866</v>
      </c>
      <c r="J140" s="36">
        <f t="shared" si="71"/>
        <v>-0.10077594869647988</v>
      </c>
      <c r="K140" s="36">
        <f t="shared" si="72"/>
        <v>1.5324097698505734</v>
      </c>
      <c r="M140" s="36">
        <f t="shared" si="73"/>
        <v>40.298508056316166</v>
      </c>
      <c r="N140" s="36">
        <f t="shared" si="74"/>
        <v>-0.11434728406450878</v>
      </c>
      <c r="O140" s="36">
        <f t="shared" si="75"/>
        <v>1.5342966509578448</v>
      </c>
      <c r="P140" s="36"/>
      <c r="Q140" s="36">
        <f>gamma_R!D37</f>
        <v>9.0717324558300518</v>
      </c>
      <c r="R140" s="36">
        <f>gamma_G!D37</f>
        <v>8.8744134601499631</v>
      </c>
      <c r="S140" s="36">
        <f>gamma_B!D37</f>
        <v>8.3607135171679765</v>
      </c>
      <c r="W140" s="50">
        <f t="shared" si="63"/>
        <v>2.4387665035795099</v>
      </c>
      <c r="X140" s="50">
        <f t="shared" si="76"/>
        <v>0.89686405606782515</v>
      </c>
      <c r="Y140" s="50">
        <f t="shared" si="77"/>
        <v>0.18507940692900116</v>
      </c>
      <c r="Z140" s="36">
        <f t="shared" si="64"/>
        <v>101.6</v>
      </c>
      <c r="AB140" s="36">
        <f t="shared" si="65"/>
        <v>100.6</v>
      </c>
      <c r="AC140" s="36">
        <f t="shared" si="66"/>
        <v>96.6</v>
      </c>
      <c r="AF140" s="36"/>
      <c r="AG140" s="33"/>
    </row>
    <row r="141" spans="2:33" x14ac:dyDescent="0.3">
      <c r="B141" s="36">
        <f t="shared" si="67"/>
        <v>22.648617394022779</v>
      </c>
      <c r="C141" s="36">
        <f t="shared" si="68"/>
        <v>-0.18657720769810204</v>
      </c>
      <c r="D141" s="36">
        <f t="shared" si="69"/>
        <v>5.2672162131273126E-2</v>
      </c>
      <c r="E141" s="113"/>
      <c r="F141" s="161"/>
      <c r="G141" s="185"/>
      <c r="H141" s="209"/>
      <c r="I141" s="36">
        <f t="shared" si="70"/>
        <v>19.591340070532972</v>
      </c>
      <c r="J141" s="36">
        <f t="shared" si="71"/>
        <v>-3.2892889126334701E-3</v>
      </c>
      <c r="K141" s="36">
        <f t="shared" si="72"/>
        <v>1.8632018811393092E-2</v>
      </c>
      <c r="M141" s="36">
        <f t="shared" si="73"/>
        <v>19.592096569133268</v>
      </c>
      <c r="N141" s="36">
        <f t="shared" si="74"/>
        <v>-1.1762869032067025E-2</v>
      </c>
      <c r="O141" s="36">
        <f t="shared" si="75"/>
        <v>1.9608441016849554E-2</v>
      </c>
      <c r="P141" s="36"/>
      <c r="Q141" s="36">
        <f>gamma_R!D38</f>
        <v>1.955357078718865</v>
      </c>
      <c r="R141" s="36">
        <f>gamma_G!D38</f>
        <v>1.955357078718865</v>
      </c>
      <c r="S141" s="36">
        <f>gamma_B!D38</f>
        <v>1.9524804565347411</v>
      </c>
      <c r="W141" s="50">
        <f t="shared" si="63"/>
        <v>3.0616099078887333</v>
      </c>
      <c r="X141" s="50">
        <f t="shared" si="76"/>
        <v>0.17100352666073929</v>
      </c>
      <c r="Y141" s="50">
        <f t="shared" si="77"/>
        <v>4.9102510391683576E-2</v>
      </c>
      <c r="Z141" s="36">
        <f t="shared" si="64"/>
        <v>53.81</v>
      </c>
      <c r="AB141" s="36">
        <f t="shared" si="65"/>
        <v>54.16</v>
      </c>
      <c r="AC141" s="36">
        <f t="shared" si="66"/>
        <v>53.99</v>
      </c>
      <c r="AF141" s="36"/>
      <c r="AG141" s="33"/>
    </row>
    <row r="142" spans="2:33" x14ac:dyDescent="0.3">
      <c r="B142" s="36">
        <f t="shared" si="67"/>
        <v>4.2545979407007337</v>
      </c>
      <c r="C142" s="36">
        <f t="shared" si="68"/>
        <v>1.3488761044372355E-3</v>
      </c>
      <c r="D142" s="36">
        <f t="shared" si="69"/>
        <v>-2.0138381527368132E-4</v>
      </c>
      <c r="E142" s="114"/>
      <c r="F142" s="162"/>
      <c r="G142" s="186"/>
      <c r="H142" s="210"/>
      <c r="I142" s="36">
        <f t="shared" si="70"/>
        <v>3.4612285601587942</v>
      </c>
      <c r="J142" s="36">
        <f t="shared" si="71"/>
        <v>0.16050575621803786</v>
      </c>
      <c r="K142" s="36">
        <f t="shared" si="72"/>
        <v>-0.43399289436026889</v>
      </c>
      <c r="M142" s="36">
        <f t="shared" si="73"/>
        <v>3.4614478064718632</v>
      </c>
      <c r="N142" s="36">
        <f t="shared" si="74"/>
        <v>0.15805011510179601</v>
      </c>
      <c r="O142" s="36">
        <f t="shared" si="75"/>
        <v>-0.43370985119365324</v>
      </c>
      <c r="P142" s="36"/>
      <c r="Q142" s="36">
        <f>gamma_R!D39</f>
        <v>0.21571092585767737</v>
      </c>
      <c r="R142" s="36">
        <f>gamma_G!D39</f>
        <v>0.21571092585767737</v>
      </c>
      <c r="S142" s="36">
        <f>gamma_B!D39</f>
        <v>0.23542681059620399</v>
      </c>
      <c r="W142" s="50">
        <f t="shared" si="63"/>
        <v>0.91735815249032138</v>
      </c>
      <c r="X142" s="50">
        <f t="shared" si="76"/>
        <v>0.46024647893901982</v>
      </c>
      <c r="Y142" s="50">
        <f t="shared" si="77"/>
        <v>2.5652450492951718E-2</v>
      </c>
      <c r="Z142" s="36">
        <f t="shared" si="64"/>
        <v>14.83</v>
      </c>
      <c r="AB142" s="36">
        <f t="shared" si="65"/>
        <v>14.83</v>
      </c>
      <c r="AC142" s="36">
        <f t="shared" si="66"/>
        <v>14.83</v>
      </c>
      <c r="AF142" s="36"/>
      <c r="AG142" s="33"/>
    </row>
    <row r="143" spans="2:33" x14ac:dyDescent="0.3">
      <c r="N143" s="32"/>
      <c r="O143" s="32"/>
      <c r="P143" s="32"/>
    </row>
    <row r="144" spans="2:33" x14ac:dyDescent="0.3">
      <c r="B144" s="23" t="s">
        <v>101</v>
      </c>
      <c r="C144" s="23" t="s">
        <v>102</v>
      </c>
      <c r="D144" s="23" t="s">
        <v>103</v>
      </c>
      <c r="E144" s="23"/>
      <c r="F144" s="23"/>
      <c r="I144" s="32" t="s">
        <v>9</v>
      </c>
      <c r="J144" s="32" t="s">
        <v>104</v>
      </c>
      <c r="K144" s="32" t="s">
        <v>105</v>
      </c>
      <c r="M144" s="32" t="s">
        <v>106</v>
      </c>
      <c r="N144" s="32" t="s">
        <v>29</v>
      </c>
      <c r="O144" s="32" t="s">
        <v>107</v>
      </c>
      <c r="P144" s="32"/>
      <c r="Q144" s="57" t="s">
        <v>126</v>
      </c>
      <c r="R144" s="57" t="s">
        <v>127</v>
      </c>
      <c r="S144" s="57" t="s">
        <v>128</v>
      </c>
      <c r="W144" s="32" t="s">
        <v>98</v>
      </c>
      <c r="X144" s="32" t="s">
        <v>99</v>
      </c>
      <c r="Y144" s="32" t="s">
        <v>100</v>
      </c>
      <c r="AB144" s="57" t="s">
        <v>129</v>
      </c>
      <c r="AC144" s="57" t="s">
        <v>130</v>
      </c>
      <c r="AD144" s="57" t="s">
        <v>131</v>
      </c>
    </row>
    <row r="145" spans="2:30" x14ac:dyDescent="0.3">
      <c r="B145" s="36">
        <v>1</v>
      </c>
      <c r="C145" s="36">
        <f t="shared" ref="C145:C168" si="78">1+($Q$78*SQRT(C119^2+D119^2))</f>
        <v>2.108247743805606</v>
      </c>
      <c r="D145" s="36">
        <f t="shared" ref="D145:D168" si="79">1+($R$78*SQRT(C119^2+D119^2))</f>
        <v>1.3694159146018687</v>
      </c>
      <c r="E145" s="91"/>
      <c r="F145" s="139"/>
      <c r="G145" s="163"/>
      <c r="H145" s="187"/>
      <c r="I145" s="36">
        <f t="shared" ref="I145:I168" si="80">1/2*(1-SQRT((((SQRT(C119^2+D119^2)+SQRT(J119^2+K119^2))/2)^7)/((((SQRT(C119^2+D119^2)+SQRT(J119^2+K119^2))/2)^7)+(25^7))))</f>
        <v>0.2962174379915069</v>
      </c>
      <c r="J145" s="36">
        <f t="shared" ref="J145:J168" si="81">IF(ATAN2((C119*(1+I145)),D119)*180/PI()&gt;=0, ATAN2((C119*(1+I145)),D119)*180/PI(), ATAN2((C119*(1+I145)),D119)*180/PI()+360)</f>
        <v>42.284783154701685</v>
      </c>
      <c r="K145" s="36">
        <f t="shared" ref="K145:K168" si="82">IF(ATAN2((J119*(1+I145)),K119)*180/PI()&gt;=0, ATAN2((J119*(1+I145)),K119)*180/PI(), ATAN2((J119*(1+I145)),K119)*180/PI()+360)</f>
        <v>41.634155930179617</v>
      </c>
      <c r="M145" s="36">
        <f t="shared" ref="M145:M168" si="83">IF(ABS(J145-K145)&gt;180, (J145+K145+360)/2, (J145+K145)/2)</f>
        <v>41.959469542440651</v>
      </c>
      <c r="N145" s="36">
        <f t="shared" ref="N145:N168" si="84">1-(0.17*COS(PI()*(M145-30)/180))+(0.24*COS(PI()*(2*M145)/180))+(0.32*COS(PI()*((3*M145)+6)/180))-(0.2*COS(PI()*((4*M145)-63)/180))</f>
        <v>0.69671476660296783</v>
      </c>
      <c r="O145" s="36">
        <f t="shared" ref="O145:O168" si="85">IF(ABS(J145-K145)&lt;=180, K145-J145, IF(AND(ABS(J145-K145)&gt;180, K145&lt;=J145), K145-J145+360, K145-J145-360))</f>
        <v>-0.65062722452206856</v>
      </c>
      <c r="P145" s="36"/>
      <c r="Q145" s="48">
        <f t="shared" ref="Q145:Q168" si="86">Q119*$Q$83+R119*$R$83+S119*$S$83</f>
        <v>14.61204129170121</v>
      </c>
      <c r="R145" s="48">
        <f t="shared" ref="R145:R168" si="87">Q119*$Q$84+R119*$R$84+S119*$S$84</f>
        <v>8.0692315256381129</v>
      </c>
      <c r="S145" s="48">
        <f t="shared" ref="S145:S168" si="88">Q119*$Q$85+R119*$R$85+S119*$S$85</f>
        <v>6.1442080255407756</v>
      </c>
      <c r="W145" s="36">
        <f t="shared" ref="W145:W168" si="89">IF(($W$7*Q145+$X$7*R145+$Y$7*S145)&lt;0,0,IF(($W$7*Q145+$X$7*R145+$Y$7*S145)&gt;255,255,$W$7*Q145+$X$7*R145+$Y$7*S145))</f>
        <v>14.61204129170121</v>
      </c>
      <c r="X145" s="36">
        <f t="shared" ref="X145:X168" si="90">IF(($W$8*Q145+$X$8*R145+$Y$8*S145)&lt;0,0,IF(($W$8*Q145+$X$8*R145+$Y$8*S145)&gt;255,255,$W$8*Q145+$X$8*R145+$Y$8*S145))</f>
        <v>8.0692315256381129</v>
      </c>
      <c r="Y145" s="36">
        <f t="shared" ref="Y145:Y168" si="91">IF(($W$9*Q145+$X$9*R145+$Y$9*S145)&lt;0,0,IF(($W$9*Q145+$X$9*R145+$Y$9*S145)&gt;255,255,$W$9*Q145+$X$9*R145+$Y$9*S145))</f>
        <v>6.1442080255407756</v>
      </c>
      <c r="AB145" s="48">
        <f>gamma_R!E16/255</f>
        <v>0.18661225049060245</v>
      </c>
      <c r="AC145" s="48">
        <f>gamma_G!E16/255</f>
        <v>0.10473605716436994</v>
      </c>
      <c r="AD145" s="48">
        <f>gamma_B!E16/255</f>
        <v>7.8449914076049856E-2</v>
      </c>
    </row>
    <row r="146" spans="2:30" x14ac:dyDescent="0.3">
      <c r="B146" s="36">
        <v>1</v>
      </c>
      <c r="C146" s="36">
        <f t="shared" si="78"/>
        <v>2.3003432163788502</v>
      </c>
      <c r="D146" s="36">
        <f t="shared" si="79"/>
        <v>1.4334477387929501</v>
      </c>
      <c r="E146" s="92"/>
      <c r="F146" s="140"/>
      <c r="G146" s="164"/>
      <c r="H146" s="188"/>
      <c r="I146" s="36">
        <f t="shared" si="80"/>
        <v>0.23352039792197088</v>
      </c>
      <c r="J146" s="36">
        <f t="shared" si="81"/>
        <v>33.16519576904151</v>
      </c>
      <c r="K146" s="36">
        <f t="shared" si="82"/>
        <v>39.593237339581762</v>
      </c>
      <c r="M146" s="36">
        <f t="shared" si="83"/>
        <v>36.37921655431164</v>
      </c>
      <c r="N146" s="36">
        <f t="shared" si="84"/>
        <v>0.74020776107175412</v>
      </c>
      <c r="O146" s="36">
        <f t="shared" si="85"/>
        <v>6.4280415705402518</v>
      </c>
      <c r="P146" s="36"/>
      <c r="Q146" s="48">
        <f t="shared" si="86"/>
        <v>115.24221051522926</v>
      </c>
      <c r="R146" s="48">
        <f t="shared" si="87"/>
        <v>56.187975848272998</v>
      </c>
      <c r="S146" s="48">
        <f t="shared" si="88"/>
        <v>43.971678780631038</v>
      </c>
      <c r="W146" s="36">
        <f t="shared" si="89"/>
        <v>115.24221051522926</v>
      </c>
      <c r="X146" s="36">
        <f t="shared" si="90"/>
        <v>56.187975848272998</v>
      </c>
      <c r="Y146" s="36">
        <f t="shared" si="91"/>
        <v>43.971678780631038</v>
      </c>
      <c r="AB146" s="48">
        <f>gamma_R!E17/255</f>
        <v>0.72106315787299857</v>
      </c>
      <c r="AC146" s="48">
        <f>gamma_G!E17/255</f>
        <v>0.49326260302905678</v>
      </c>
      <c r="AD146" s="48">
        <f>gamma_B!E17/255</f>
        <v>0.42526806886769442</v>
      </c>
    </row>
    <row r="147" spans="2:30" x14ac:dyDescent="0.3">
      <c r="B147" s="36">
        <v>1</v>
      </c>
      <c r="C147" s="36">
        <f t="shared" si="78"/>
        <v>2.3541950081008407</v>
      </c>
      <c r="D147" s="36">
        <f t="shared" si="79"/>
        <v>1.4513983360336136</v>
      </c>
      <c r="E147" s="93"/>
      <c r="F147" s="141"/>
      <c r="G147" s="165"/>
      <c r="H147" s="189"/>
      <c r="I147" s="36">
        <f t="shared" si="80"/>
        <v>0.24443977730485367</v>
      </c>
      <c r="J147" s="36">
        <f t="shared" si="81"/>
        <v>279.925097916261</v>
      </c>
      <c r="K147" s="36">
        <f t="shared" si="82"/>
        <v>267.81986763406877</v>
      </c>
      <c r="M147" s="36">
        <f t="shared" si="83"/>
        <v>273.87248277516488</v>
      </c>
      <c r="N147" s="36">
        <f t="shared" si="84"/>
        <v>0.60510893659927889</v>
      </c>
      <c r="O147" s="36">
        <f t="shared" si="85"/>
        <v>-12.105230282192224</v>
      </c>
      <c r="P147" s="36"/>
      <c r="Q147" s="48">
        <f t="shared" si="86"/>
        <v>15.307112997373668</v>
      </c>
      <c r="R147" s="48">
        <f t="shared" si="87"/>
        <v>20.405799512945013</v>
      </c>
      <c r="S147" s="48">
        <f t="shared" si="88"/>
        <v>31.350115710915105</v>
      </c>
      <c r="W147" s="36">
        <f t="shared" si="89"/>
        <v>15.307112997373668</v>
      </c>
      <c r="X147" s="36">
        <f t="shared" si="90"/>
        <v>20.405799512945013</v>
      </c>
      <c r="Y147" s="36">
        <f t="shared" si="91"/>
        <v>31.350115710915105</v>
      </c>
      <c r="AB147" s="48">
        <f>gamma_R!E18/255</f>
        <v>0.19478956467498434</v>
      </c>
      <c r="AC147" s="48">
        <f>gamma_G!E18/255</f>
        <v>0.24809607365632361</v>
      </c>
      <c r="AD147" s="48">
        <f>gamma_B!E18/255</f>
        <v>0.34029479829950054</v>
      </c>
    </row>
    <row r="148" spans="2:30" x14ac:dyDescent="0.3">
      <c r="B148" s="36">
        <v>1</v>
      </c>
      <c r="C148" s="36">
        <f t="shared" si="78"/>
        <v>2.253455738202117</v>
      </c>
      <c r="D148" s="36">
        <f t="shared" si="79"/>
        <v>1.4178185794007057</v>
      </c>
      <c r="E148" s="94"/>
      <c r="F148" s="142"/>
      <c r="G148" s="166"/>
      <c r="H148" s="190"/>
      <c r="I148" s="36">
        <f t="shared" si="80"/>
        <v>0.29164730245424431</v>
      </c>
      <c r="J148" s="36">
        <f t="shared" si="81"/>
        <v>128.26193959244108</v>
      </c>
      <c r="K148" s="36">
        <f t="shared" si="82"/>
        <v>134.2087265894711</v>
      </c>
      <c r="M148" s="36">
        <f t="shared" si="83"/>
        <v>131.23533309095609</v>
      </c>
      <c r="N148" s="36">
        <f t="shared" si="84"/>
        <v>1.2892430245905531</v>
      </c>
      <c r="O148" s="36">
        <f t="shared" si="85"/>
        <v>5.9467869970300171</v>
      </c>
      <c r="P148" s="36"/>
      <c r="Q148" s="48">
        <f t="shared" si="86"/>
        <v>9.7754029004931482</v>
      </c>
      <c r="R148" s="48">
        <f t="shared" si="87"/>
        <v>11.715781630522628</v>
      </c>
      <c r="S148" s="48">
        <f t="shared" si="88"/>
        <v>7.7851447783808787</v>
      </c>
      <c r="W148" s="36">
        <f t="shared" si="89"/>
        <v>9.7754029004931482</v>
      </c>
      <c r="X148" s="36">
        <f t="shared" si="90"/>
        <v>11.715781630522628</v>
      </c>
      <c r="Y148" s="36">
        <f t="shared" si="91"/>
        <v>7.7851447783808787</v>
      </c>
      <c r="AB148" s="48">
        <f>gamma_R!E19/255</f>
        <v>0.12708925834058551</v>
      </c>
      <c r="AC148" s="48">
        <f>gamma_G!E19/255</f>
        <v>0.15253860741791328</v>
      </c>
      <c r="AD148" s="48">
        <f>gamma_B!E19/255</f>
        <v>0.10097257538954146</v>
      </c>
    </row>
    <row r="149" spans="2:30" x14ac:dyDescent="0.3">
      <c r="B149" s="36">
        <v>1</v>
      </c>
      <c r="C149" s="36">
        <f t="shared" si="78"/>
        <v>2.5291643424686661</v>
      </c>
      <c r="D149" s="36">
        <f t="shared" si="79"/>
        <v>1.5097214474895555</v>
      </c>
      <c r="E149" s="95"/>
      <c r="F149" s="143"/>
      <c r="G149" s="167"/>
      <c r="H149" s="191"/>
      <c r="I149" s="36">
        <f t="shared" si="80"/>
        <v>0.17232832259607994</v>
      </c>
      <c r="J149" s="36">
        <f t="shared" si="81"/>
        <v>312.1584887114937</v>
      </c>
      <c r="K149" s="36">
        <f t="shared" si="82"/>
        <v>319.02922958677135</v>
      </c>
      <c r="M149" s="36">
        <f t="shared" si="83"/>
        <v>315.59385914913253</v>
      </c>
      <c r="N149" s="36">
        <f t="shared" si="84"/>
        <v>0.86382830553376899</v>
      </c>
      <c r="O149" s="36">
        <f t="shared" si="85"/>
        <v>6.8707408752776473</v>
      </c>
      <c r="P149" s="36"/>
      <c r="Q149" s="48">
        <f t="shared" si="86"/>
        <v>36.031410861818934</v>
      </c>
      <c r="R149" s="48">
        <f t="shared" si="87"/>
        <v>26.590408538405967</v>
      </c>
      <c r="S149" s="48">
        <f t="shared" si="88"/>
        <v>42.767280852183134</v>
      </c>
      <c r="W149" s="36">
        <f t="shared" si="89"/>
        <v>36.031410861818934</v>
      </c>
      <c r="X149" s="36">
        <f t="shared" si="90"/>
        <v>26.590408538405967</v>
      </c>
      <c r="Y149" s="36">
        <f t="shared" si="91"/>
        <v>42.767280852183134</v>
      </c>
      <c r="AB149" s="48">
        <f>gamma_R!E20/255</f>
        <v>0.37374497650267902</v>
      </c>
      <c r="AC149" s="48">
        <f>gamma_G!E20/255</f>
        <v>0.30365026304632131</v>
      </c>
      <c r="AD149" s="48">
        <f>gamma_B!E20/255</f>
        <v>0.41627812265990077</v>
      </c>
    </row>
    <row r="150" spans="2:30" x14ac:dyDescent="0.3">
      <c r="B150" s="36">
        <v>1</v>
      </c>
      <c r="C150" s="36">
        <f t="shared" si="78"/>
        <v>2.2046629802998186</v>
      </c>
      <c r="D150" s="36">
        <f t="shared" si="79"/>
        <v>1.4015543267666062</v>
      </c>
      <c r="E150" s="96"/>
      <c r="F150" s="144"/>
      <c r="G150" s="168"/>
      <c r="H150" s="192"/>
      <c r="I150" s="36">
        <f t="shared" si="80"/>
        <v>0.28291164529270602</v>
      </c>
      <c r="J150" s="36">
        <f t="shared" si="81"/>
        <v>189.45529670345496</v>
      </c>
      <c r="K150" s="36">
        <f t="shared" si="82"/>
        <v>194.74403985774089</v>
      </c>
      <c r="M150" s="36">
        <f t="shared" si="83"/>
        <v>192.09966828059794</v>
      </c>
      <c r="N150" s="36">
        <f t="shared" si="84"/>
        <v>0.9504543556822449</v>
      </c>
      <c r="O150" s="36">
        <f t="shared" si="85"/>
        <v>5.2887431542859247</v>
      </c>
      <c r="P150" s="36"/>
      <c r="Q150" s="48">
        <f t="shared" si="86"/>
        <v>29.400173208659666</v>
      </c>
      <c r="R150" s="48">
        <f t="shared" si="87"/>
        <v>66.018656571730389</v>
      </c>
      <c r="S150" s="48">
        <f t="shared" si="88"/>
        <v>66.156536049671217</v>
      </c>
      <c r="W150" s="36">
        <f t="shared" si="89"/>
        <v>29.400173208659666</v>
      </c>
      <c r="X150" s="36">
        <f t="shared" si="90"/>
        <v>66.018656571730389</v>
      </c>
      <c r="Y150" s="36">
        <f t="shared" si="91"/>
        <v>66.156536049671217</v>
      </c>
      <c r="AB150" s="48">
        <f>gamma_R!E21/255</f>
        <v>0.32568763300909542</v>
      </c>
      <c r="AC150" s="48">
        <f>gamma_G!E21/255</f>
        <v>0.54128621512782582</v>
      </c>
      <c r="AD150" s="48">
        <f>gamma_B!E21/255</f>
        <v>0.54209727088041892</v>
      </c>
    </row>
    <row r="151" spans="2:30" x14ac:dyDescent="0.3">
      <c r="B151" s="36">
        <v>1</v>
      </c>
      <c r="C151" s="36">
        <f t="shared" si="78"/>
        <v>4.130452643904917</v>
      </c>
      <c r="D151" s="36">
        <f t="shared" si="79"/>
        <v>2.0434842146349723</v>
      </c>
      <c r="E151" s="97"/>
      <c r="F151" s="145"/>
      <c r="G151" s="169"/>
      <c r="H151" s="193"/>
      <c r="I151" s="36">
        <f t="shared" si="80"/>
        <v>1.5469653974063413E-3</v>
      </c>
      <c r="J151" s="36">
        <f t="shared" si="81"/>
        <v>62.751363800761887</v>
      </c>
      <c r="K151" s="36">
        <f t="shared" si="82"/>
        <v>62.940842360279696</v>
      </c>
      <c r="M151" s="36">
        <f t="shared" si="83"/>
        <v>62.846103080520791</v>
      </c>
      <c r="N151" s="36">
        <f t="shared" si="84"/>
        <v>0.60526324996355529</v>
      </c>
      <c r="O151" s="36">
        <f t="shared" si="85"/>
        <v>0.18947855951780923</v>
      </c>
      <c r="P151" s="36"/>
      <c r="Q151" s="48">
        <f t="shared" si="86"/>
        <v>102.24236403822488</v>
      </c>
      <c r="R151" s="48">
        <f t="shared" si="87"/>
        <v>33.263430129729699</v>
      </c>
      <c r="S151" s="48">
        <f t="shared" si="88"/>
        <v>14.073488345110555</v>
      </c>
      <c r="W151" s="36">
        <f t="shared" si="89"/>
        <v>102.24236403822488</v>
      </c>
      <c r="X151" s="36">
        <f t="shared" si="90"/>
        <v>33.263430129729699</v>
      </c>
      <c r="Y151" s="36">
        <f t="shared" si="91"/>
        <v>14.073488345110555</v>
      </c>
      <c r="AB151" s="48">
        <f>gamma_R!E22/255</f>
        <v>0.68232299622833281</v>
      </c>
      <c r="AC151" s="48">
        <f>gamma_G!E22/255</f>
        <v>0.35206611866454668</v>
      </c>
      <c r="AD151" s="48">
        <f>gamma_B!E22/255</f>
        <v>0.1802763334718889</v>
      </c>
    </row>
    <row r="152" spans="2:30" x14ac:dyDescent="0.3">
      <c r="B152" s="36">
        <v>1</v>
      </c>
      <c r="C152" s="36">
        <f t="shared" si="78"/>
        <v>3.8373810940964188</v>
      </c>
      <c r="D152" s="36">
        <f t="shared" si="79"/>
        <v>1.9457936980321395</v>
      </c>
      <c r="E152" s="98"/>
      <c r="F152" s="146"/>
      <c r="G152" s="170"/>
      <c r="H152" s="194"/>
      <c r="I152" s="36">
        <f t="shared" si="80"/>
        <v>3.6523400219213853E-3</v>
      </c>
      <c r="J152" s="36">
        <f t="shared" si="81"/>
        <v>295.35996651546111</v>
      </c>
      <c r="K152" s="36">
        <f t="shared" si="82"/>
        <v>285.37405264150152</v>
      </c>
      <c r="M152" s="36">
        <f t="shared" si="83"/>
        <v>290.36700957848132</v>
      </c>
      <c r="N152" s="36">
        <f t="shared" si="84"/>
        <v>0.36210624301394845</v>
      </c>
      <c r="O152" s="36">
        <f t="shared" si="85"/>
        <v>-9.9859138739595892</v>
      </c>
      <c r="P152" s="36"/>
      <c r="Q152" s="48">
        <f t="shared" si="86"/>
        <v>4.9638171225886438</v>
      </c>
      <c r="R152" s="48">
        <f t="shared" si="87"/>
        <v>7.15988012823885</v>
      </c>
      <c r="S152" s="48">
        <f t="shared" si="88"/>
        <v>18.439346724987502</v>
      </c>
      <c r="W152" s="36">
        <f t="shared" si="89"/>
        <v>4.9638171225886438</v>
      </c>
      <c r="X152" s="36">
        <f t="shared" si="90"/>
        <v>7.15988012823885</v>
      </c>
      <c r="Y152" s="36">
        <f t="shared" si="91"/>
        <v>18.439346724987502</v>
      </c>
      <c r="AB152" s="48">
        <f>gamma_R!E23/255</f>
        <v>6.428020144221934E-2</v>
      </c>
      <c r="AC152" s="48">
        <f>gamma_G!E23/255</f>
        <v>9.2390511564062638E-2</v>
      </c>
      <c r="AD152" s="48">
        <f>gamma_B!E23/255</f>
        <v>0.22771780460769608</v>
      </c>
    </row>
    <row r="153" spans="2:30" x14ac:dyDescent="0.3">
      <c r="B153" s="36">
        <v>1</v>
      </c>
      <c r="C153" s="36">
        <f t="shared" si="78"/>
        <v>3.7881961998980573</v>
      </c>
      <c r="D153" s="36">
        <f t="shared" si="79"/>
        <v>1.9293987332993523</v>
      </c>
      <c r="E153" s="99"/>
      <c r="F153" s="147"/>
      <c r="G153" s="171"/>
      <c r="H153" s="195"/>
      <c r="I153" s="36">
        <f t="shared" si="80"/>
        <v>2.7143154397848979E-3</v>
      </c>
      <c r="J153" s="36">
        <f t="shared" si="81"/>
        <v>26.042576871675582</v>
      </c>
      <c r="K153" s="36">
        <f t="shared" si="82"/>
        <v>32.833353798814656</v>
      </c>
      <c r="M153" s="36">
        <f t="shared" si="83"/>
        <v>29.437965335245117</v>
      </c>
      <c r="N153" s="36">
        <f t="shared" si="84"/>
        <v>0.81456818160677358</v>
      </c>
      <c r="O153" s="36">
        <f t="shared" si="85"/>
        <v>6.7907769271390741</v>
      </c>
      <c r="P153" s="36"/>
      <c r="Q153" s="48">
        <f t="shared" si="86"/>
        <v>73.985903057355245</v>
      </c>
      <c r="R153" s="48">
        <f t="shared" si="87"/>
        <v>16.091865376325686</v>
      </c>
      <c r="S153" s="48">
        <f t="shared" si="88"/>
        <v>13.058262142309182</v>
      </c>
      <c r="W153" s="36">
        <f t="shared" si="89"/>
        <v>73.985903057355245</v>
      </c>
      <c r="X153" s="36">
        <f t="shared" si="90"/>
        <v>16.091865376325686</v>
      </c>
      <c r="Y153" s="36">
        <f t="shared" si="91"/>
        <v>13.058262142309182</v>
      </c>
      <c r="AB153" s="48">
        <f>gamma_R!E24/255</f>
        <v>0.57641530610727543</v>
      </c>
      <c r="AC153" s="48">
        <f>gamma_G!E24/255</f>
        <v>0.20384181741495774</v>
      </c>
      <c r="AD153" s="48">
        <f>gamma_B!E24/255</f>
        <v>0.1683324957918727</v>
      </c>
    </row>
    <row r="154" spans="2:30" x14ac:dyDescent="0.3">
      <c r="B154" s="36">
        <v>1</v>
      </c>
      <c r="C154" s="36">
        <f t="shared" si="78"/>
        <v>2.4660784377198217</v>
      </c>
      <c r="D154" s="36">
        <f t="shared" si="79"/>
        <v>1.4886928125732739</v>
      </c>
      <c r="E154" s="100"/>
      <c r="F154" s="148"/>
      <c r="G154" s="172"/>
      <c r="H154" s="196"/>
      <c r="I154" s="36">
        <f t="shared" si="80"/>
        <v>0.14496405511730404</v>
      </c>
      <c r="J154" s="36">
        <f t="shared" si="81"/>
        <v>334.04955756274506</v>
      </c>
      <c r="K154" s="36">
        <f t="shared" si="82"/>
        <v>345.82837192794614</v>
      </c>
      <c r="M154" s="36">
        <f t="shared" si="83"/>
        <v>339.93896474534563</v>
      </c>
      <c r="N154" s="36">
        <f t="shared" si="84"/>
        <v>1.42188797042479</v>
      </c>
      <c r="O154" s="36">
        <f t="shared" si="85"/>
        <v>11.778814365201072</v>
      </c>
      <c r="P154" s="36"/>
      <c r="Q154" s="48">
        <f t="shared" si="86"/>
        <v>7.2427945099924376</v>
      </c>
      <c r="R154" s="48">
        <f t="shared" si="87"/>
        <v>2.7575428652851848</v>
      </c>
      <c r="S154" s="48">
        <f t="shared" si="88"/>
        <v>5.0529485454061849</v>
      </c>
      <c r="W154" s="36">
        <f t="shared" si="89"/>
        <v>7.2427945099924376</v>
      </c>
      <c r="X154" s="36">
        <f t="shared" si="90"/>
        <v>2.7575428652851848</v>
      </c>
      <c r="Y154" s="36">
        <f t="shared" si="91"/>
        <v>5.0529485454061849</v>
      </c>
      <c r="AB154" s="48">
        <f>gamma_R!E25/255</f>
        <v>9.3528552097935425E-2</v>
      </c>
      <c r="AC154" s="48">
        <f>gamma_G!E25/255</f>
        <v>3.8324033709237468E-2</v>
      </c>
      <c r="AD154" s="48">
        <f>gamma_B!E25/255</f>
        <v>6.5328806416543345E-2</v>
      </c>
    </row>
    <row r="155" spans="2:30" x14ac:dyDescent="0.3">
      <c r="B155" s="36">
        <v>1</v>
      </c>
      <c r="C155" s="36">
        <f t="shared" si="78"/>
        <v>3.9924711888899833</v>
      </c>
      <c r="D155" s="36">
        <f t="shared" si="79"/>
        <v>1.997490396296661</v>
      </c>
      <c r="E155" s="101"/>
      <c r="F155" s="149"/>
      <c r="G155" s="173"/>
      <c r="H155" s="197"/>
      <c r="I155" s="36">
        <f t="shared" si="80"/>
        <v>4.2860831746200367E-3</v>
      </c>
      <c r="J155" s="36">
        <f t="shared" si="81"/>
        <v>114.24473062626242</v>
      </c>
      <c r="K155" s="36">
        <f t="shared" si="82"/>
        <v>122.06737986170701</v>
      </c>
      <c r="M155" s="36">
        <f t="shared" si="83"/>
        <v>118.15605524398472</v>
      </c>
      <c r="N155" s="36">
        <f t="shared" si="84"/>
        <v>1.0518391289606852</v>
      </c>
      <c r="O155" s="36">
        <f t="shared" si="85"/>
        <v>7.8226492354445867</v>
      </c>
      <c r="P155" s="36"/>
      <c r="Q155" s="48">
        <f t="shared" si="86"/>
        <v>42.231814655617271</v>
      </c>
      <c r="R155" s="48">
        <f t="shared" si="87"/>
        <v>55.746796984664599</v>
      </c>
      <c r="S155" s="48">
        <f t="shared" si="88"/>
        <v>24.12454036717353</v>
      </c>
      <c r="W155" s="36">
        <f t="shared" si="89"/>
        <v>42.231814655617271</v>
      </c>
      <c r="X155" s="36">
        <f t="shared" si="90"/>
        <v>55.746796984664599</v>
      </c>
      <c r="Y155" s="36">
        <f t="shared" si="91"/>
        <v>24.12454036717353</v>
      </c>
      <c r="AB155" s="48">
        <f>gamma_R!E26/255</f>
        <v>0.41312832150363105</v>
      </c>
      <c r="AC155" s="48">
        <f>gamma_G!E26/255</f>
        <v>0.49066743324312517</v>
      </c>
      <c r="AD155" s="48">
        <f>gamma_B!E26/255</f>
        <v>0.28259353301150519</v>
      </c>
    </row>
    <row r="156" spans="2:30" x14ac:dyDescent="0.3">
      <c r="B156" s="36">
        <v>1</v>
      </c>
      <c r="C156" s="36">
        <f t="shared" si="78"/>
        <v>4.2388736513571166</v>
      </c>
      <c r="D156" s="36">
        <f t="shared" si="79"/>
        <v>2.0796245504523725</v>
      </c>
      <c r="E156" s="102"/>
      <c r="F156" s="150"/>
      <c r="G156" s="174"/>
      <c r="H156" s="198"/>
      <c r="I156" s="36">
        <f t="shared" si="80"/>
        <v>1.7983506159577889E-3</v>
      </c>
      <c r="J156" s="36">
        <f t="shared" si="81"/>
        <v>78.864756561230593</v>
      </c>
      <c r="K156" s="36">
        <f t="shared" si="82"/>
        <v>75.378254060975195</v>
      </c>
      <c r="M156" s="36">
        <f t="shared" si="83"/>
        <v>77.121505311102894</v>
      </c>
      <c r="N156" s="36">
        <f t="shared" si="84"/>
        <v>0.57857881761585861</v>
      </c>
      <c r="O156" s="36">
        <f t="shared" si="85"/>
        <v>-3.4865025002553978</v>
      </c>
      <c r="P156" s="36"/>
      <c r="Q156" s="48">
        <f t="shared" si="86"/>
        <v>104.22066961753612</v>
      </c>
      <c r="R156" s="48">
        <f t="shared" si="87"/>
        <v>48.100307170820983</v>
      </c>
      <c r="S156" s="48">
        <f t="shared" si="88"/>
        <v>19.231663940519585</v>
      </c>
      <c r="W156" s="36">
        <f t="shared" si="89"/>
        <v>104.22066961753612</v>
      </c>
      <c r="X156" s="36">
        <f t="shared" si="90"/>
        <v>48.100307170820983</v>
      </c>
      <c r="Y156" s="36">
        <f t="shared" si="91"/>
        <v>19.231663940519585</v>
      </c>
      <c r="AB156" s="48">
        <f>gamma_R!E27/255</f>
        <v>0.68790393024765517</v>
      </c>
      <c r="AC156" s="48">
        <f>gamma_G!E27/255</f>
        <v>0.44960965002443715</v>
      </c>
      <c r="AD156" s="48">
        <f>gamma_B!E27/255</f>
        <v>0.23658494059332924</v>
      </c>
    </row>
    <row r="157" spans="2:30" x14ac:dyDescent="0.3">
      <c r="B157" s="36">
        <v>1</v>
      </c>
      <c r="C157" s="36">
        <f t="shared" si="78"/>
        <v>4.4364682670101985</v>
      </c>
      <c r="D157" s="36">
        <f t="shared" si="79"/>
        <v>2.1454894223367331</v>
      </c>
      <c r="E157" s="103"/>
      <c r="F157" s="151"/>
      <c r="G157" s="175"/>
      <c r="H157" s="199"/>
      <c r="I157" s="36">
        <f t="shared" si="80"/>
        <v>9.1188548035425754E-4</v>
      </c>
      <c r="J157" s="36">
        <f t="shared" si="81"/>
        <v>303.91505090814712</v>
      </c>
      <c r="K157" s="36">
        <f t="shared" si="82"/>
        <v>291.02944280322163</v>
      </c>
      <c r="M157" s="36">
        <f t="shared" si="83"/>
        <v>297.47224685568438</v>
      </c>
      <c r="N157" s="36">
        <f t="shared" si="84"/>
        <v>0.41308817122004937</v>
      </c>
      <c r="O157" s="36">
        <f t="shared" si="85"/>
        <v>-12.885608104925495</v>
      </c>
      <c r="P157" s="36"/>
      <c r="Q157" s="48">
        <f t="shared" si="86"/>
        <v>0.33157321892247243</v>
      </c>
      <c r="R157" s="48">
        <f t="shared" si="87"/>
        <v>1.0621835445500345</v>
      </c>
      <c r="S157" s="48">
        <f t="shared" si="88"/>
        <v>7.4104026682205575</v>
      </c>
      <c r="W157" s="36">
        <f t="shared" si="89"/>
        <v>0.33157321892247243</v>
      </c>
      <c r="X157" s="36">
        <f t="shared" si="90"/>
        <v>1.0621835445500345</v>
      </c>
      <c r="Y157" s="36">
        <f t="shared" si="91"/>
        <v>7.4104026682205575</v>
      </c>
      <c r="AB157" s="48">
        <f>gamma_R!E28/255</f>
        <v>5.8512920986318658E-3</v>
      </c>
      <c r="AC157" s="48">
        <f>gamma_G!E28/255</f>
        <v>1.8378629935882757E-2</v>
      </c>
      <c r="AD157" s="48">
        <f>gamma_B!E28/255</f>
        <v>9.5829056230478243E-2</v>
      </c>
    </row>
    <row r="158" spans="2:30" x14ac:dyDescent="0.3">
      <c r="B158" s="36">
        <v>1</v>
      </c>
      <c r="C158" s="36">
        <f t="shared" si="78"/>
        <v>3.2498229745587222</v>
      </c>
      <c r="D158" s="36">
        <f t="shared" si="79"/>
        <v>1.7499409915195741</v>
      </c>
      <c r="E158" s="104"/>
      <c r="F158" s="152"/>
      <c r="G158" s="176"/>
      <c r="H158" s="200"/>
      <c r="I158" s="36">
        <f t="shared" si="80"/>
        <v>1.5653738103995951E-2</v>
      </c>
      <c r="J158" s="36">
        <f t="shared" si="81"/>
        <v>141.96253013974342</v>
      </c>
      <c r="K158" s="36">
        <f t="shared" si="82"/>
        <v>155.382392656739</v>
      </c>
      <c r="M158" s="36">
        <f t="shared" si="83"/>
        <v>148.67246139824121</v>
      </c>
      <c r="N158" s="36">
        <f t="shared" si="84"/>
        <v>1.3784445539198353</v>
      </c>
      <c r="O158" s="36">
        <f t="shared" si="85"/>
        <v>13.419862516995579</v>
      </c>
      <c r="P158" s="36"/>
      <c r="Q158" s="48">
        <f t="shared" si="86"/>
        <v>6.559093701804608</v>
      </c>
      <c r="R158" s="48">
        <f t="shared" si="87"/>
        <v>16.672262580358904</v>
      </c>
      <c r="S158" s="48">
        <f t="shared" si="88"/>
        <v>9.6286306383987998</v>
      </c>
      <c r="W158" s="36">
        <f t="shared" si="89"/>
        <v>6.559093701804608</v>
      </c>
      <c r="X158" s="36">
        <f t="shared" si="90"/>
        <v>16.672262580358904</v>
      </c>
      <c r="Y158" s="36">
        <f t="shared" si="91"/>
        <v>9.6286306383987998</v>
      </c>
      <c r="AB158" s="48">
        <f>gamma_R!E29/255</f>
        <v>8.4144423358102474E-2</v>
      </c>
      <c r="AC158" s="48">
        <f>gamma_G!E29/255</f>
        <v>0.20953198608195003</v>
      </c>
      <c r="AD158" s="48">
        <f>gamma_B!E29/255</f>
        <v>0.12493084272155101</v>
      </c>
    </row>
    <row r="159" spans="2:30" x14ac:dyDescent="0.3">
      <c r="B159" s="36">
        <v>1</v>
      </c>
      <c r="C159" s="36">
        <f t="shared" si="78"/>
        <v>4.0829014111815614</v>
      </c>
      <c r="D159" s="36">
        <f t="shared" si="79"/>
        <v>2.0276338037271868</v>
      </c>
      <c r="E159" s="105"/>
      <c r="F159" s="153"/>
      <c r="G159" s="177"/>
      <c r="H159" s="201"/>
      <c r="I159" s="36">
        <f t="shared" si="80"/>
        <v>1.0052555576109956E-3</v>
      </c>
      <c r="J159" s="36">
        <f t="shared" si="81"/>
        <v>28.640744235656598</v>
      </c>
      <c r="K159" s="36">
        <f t="shared" si="82"/>
        <v>31.177523707416526</v>
      </c>
      <c r="M159" s="36">
        <f t="shared" si="83"/>
        <v>29.909133971536562</v>
      </c>
      <c r="N159" s="36">
        <f t="shared" si="84"/>
        <v>0.80873460539171893</v>
      </c>
      <c r="O159" s="36">
        <f t="shared" si="85"/>
        <v>2.5367794717599281</v>
      </c>
      <c r="P159" s="36"/>
      <c r="Q159" s="48">
        <f t="shared" si="86"/>
        <v>46.982521003161352</v>
      </c>
      <c r="R159" s="48">
        <f t="shared" si="87"/>
        <v>7.5803913645155081</v>
      </c>
      <c r="S159" s="48">
        <f t="shared" si="88"/>
        <v>6.3105237320407337</v>
      </c>
      <c r="W159" s="36">
        <f t="shared" si="89"/>
        <v>46.982521003161352</v>
      </c>
      <c r="X159" s="36">
        <f t="shared" si="90"/>
        <v>7.5803913645155081</v>
      </c>
      <c r="Y159" s="36">
        <f t="shared" si="91"/>
        <v>6.3105237320407337</v>
      </c>
      <c r="AB159" s="48">
        <f>gamma_R!E30/255</f>
        <v>0.44107365295977263</v>
      </c>
      <c r="AC159" s="48">
        <f>gamma_G!E30/255</f>
        <v>9.8162234414918739E-2</v>
      </c>
      <c r="AD159" s="48">
        <f>gamma_B!E30/255</f>
        <v>8.0732678675068892E-2</v>
      </c>
    </row>
    <row r="160" spans="2:30" x14ac:dyDescent="0.3">
      <c r="B160" s="36">
        <v>1</v>
      </c>
      <c r="C160" s="36">
        <f t="shared" si="78"/>
        <v>4.5036627183904896</v>
      </c>
      <c r="D160" s="36">
        <f t="shared" si="79"/>
        <v>2.1678875727968299</v>
      </c>
      <c r="E160" s="106"/>
      <c r="F160" s="154"/>
      <c r="G160" s="178"/>
      <c r="H160" s="202"/>
      <c r="I160" s="36">
        <f t="shared" si="80"/>
        <v>1.402311666598377E-3</v>
      </c>
      <c r="J160" s="36">
        <f t="shared" si="81"/>
        <v>93.123785350009726</v>
      </c>
      <c r="K160" s="36">
        <f t="shared" si="82"/>
        <v>90.698260328839766</v>
      </c>
      <c r="M160" s="36">
        <f t="shared" si="83"/>
        <v>91.911022839424746</v>
      </c>
      <c r="N160" s="36">
        <f t="shared" si="84"/>
        <v>0.63186799066533827</v>
      </c>
      <c r="O160" s="36">
        <f t="shared" si="85"/>
        <v>-2.4255250211699604</v>
      </c>
      <c r="P160" s="36"/>
      <c r="Q160" s="48">
        <f t="shared" si="86"/>
        <v>120.91813407381309</v>
      </c>
      <c r="R160" s="48">
        <f t="shared" si="87"/>
        <v>79.005478258500574</v>
      </c>
      <c r="S160" s="48">
        <f t="shared" si="88"/>
        <v>29.234831497887797</v>
      </c>
      <c r="W160" s="36">
        <f t="shared" si="89"/>
        <v>120.91813407381309</v>
      </c>
      <c r="X160" s="36">
        <f t="shared" si="90"/>
        <v>79.005478258500574</v>
      </c>
      <c r="Y160" s="36">
        <f t="shared" si="91"/>
        <v>29.234831497887797</v>
      </c>
      <c r="AB160" s="48">
        <f>gamma_R!E31/255</f>
        <v>0.73701411982494047</v>
      </c>
      <c r="AC160" s="48">
        <f>gamma_G!E31/255</f>
        <v>0.59806069905294346</v>
      </c>
      <c r="AD160" s="48">
        <f>gamma_B!E31/255</f>
        <v>0.32439083527755136</v>
      </c>
    </row>
    <row r="161" spans="2:30" x14ac:dyDescent="0.3">
      <c r="B161" s="36">
        <v>1</v>
      </c>
      <c r="C161" s="36">
        <f t="shared" si="78"/>
        <v>3.5266019045858923</v>
      </c>
      <c r="D161" s="36">
        <f t="shared" si="79"/>
        <v>1.8422006348619642</v>
      </c>
      <c r="E161" s="107"/>
      <c r="F161" s="155"/>
      <c r="G161" s="179"/>
      <c r="H161" s="203"/>
      <c r="I161" s="36">
        <f t="shared" si="80"/>
        <v>5.3132136771119609E-3</v>
      </c>
      <c r="J161" s="36">
        <f t="shared" si="81"/>
        <v>355.48425750469318</v>
      </c>
      <c r="K161" s="36">
        <f t="shared" si="82"/>
        <v>6.0112762804190227</v>
      </c>
      <c r="M161" s="36">
        <f t="shared" si="83"/>
        <v>360.74776689255611</v>
      </c>
      <c r="N161" s="36">
        <f t="shared" si="84"/>
        <v>1.308317977872435</v>
      </c>
      <c r="O161" s="36">
        <f t="shared" si="85"/>
        <v>10.527018775725821</v>
      </c>
      <c r="P161" s="36"/>
      <c r="Q161" s="48">
        <f t="shared" si="86"/>
        <v>52.382733644734969</v>
      </c>
      <c r="R161" s="48">
        <f t="shared" si="87"/>
        <v>12.491044156807085</v>
      </c>
      <c r="S161" s="48">
        <f t="shared" si="88"/>
        <v>17.27314951504826</v>
      </c>
      <c r="W161" s="36">
        <f t="shared" si="89"/>
        <v>52.382733644734969</v>
      </c>
      <c r="X161" s="36">
        <f t="shared" si="90"/>
        <v>12.491044156807085</v>
      </c>
      <c r="Y161" s="36">
        <f t="shared" si="91"/>
        <v>17.27314951504826</v>
      </c>
      <c r="AB161" s="48">
        <f>gamma_R!E32/255</f>
        <v>0.47283960967491157</v>
      </c>
      <c r="AC161" s="48">
        <f>gamma_G!E32/255</f>
        <v>0.16165934302125987</v>
      </c>
      <c r="AD161" s="48">
        <f>gamma_B!E32/255</f>
        <v>0.21542303446125746</v>
      </c>
    </row>
    <row r="162" spans="2:30" x14ac:dyDescent="0.3">
      <c r="B162" s="36">
        <v>1</v>
      </c>
      <c r="C162" s="36">
        <f t="shared" si="78"/>
        <v>2.8693031560987698</v>
      </c>
      <c r="D162" s="36">
        <f t="shared" si="79"/>
        <v>1.6231010520329234</v>
      </c>
      <c r="E162" s="108"/>
      <c r="F162" s="156"/>
      <c r="G162" s="180"/>
      <c r="H162" s="204"/>
      <c r="I162" s="36">
        <f t="shared" si="80"/>
        <v>3.5672211513303242E-2</v>
      </c>
      <c r="J162" s="36">
        <f t="shared" si="81"/>
        <v>267.58210425308704</v>
      </c>
      <c r="K162" s="36">
        <f t="shared" si="82"/>
        <v>251.28359361805425</v>
      </c>
      <c r="M162" s="36">
        <f t="shared" si="83"/>
        <v>259.43284893557063</v>
      </c>
      <c r="N162" s="36">
        <f t="shared" si="84"/>
        <v>1.078147629053172</v>
      </c>
      <c r="O162" s="36">
        <f t="shared" si="85"/>
        <v>-16.298510635032784</v>
      </c>
      <c r="P162" s="36"/>
      <c r="Q162" s="48">
        <f t="shared" si="86"/>
        <v>2.5992200409957462</v>
      </c>
      <c r="R162" s="48">
        <f t="shared" si="87"/>
        <v>10.721621654273854</v>
      </c>
      <c r="S162" s="48">
        <f t="shared" si="88"/>
        <v>20.076162517218453</v>
      </c>
      <c r="W162" s="36">
        <f t="shared" si="89"/>
        <v>2.5992200409957462</v>
      </c>
      <c r="X162" s="36">
        <f t="shared" si="90"/>
        <v>10.721621654273854</v>
      </c>
      <c r="Y162" s="36">
        <f t="shared" si="91"/>
        <v>20.076162517218453</v>
      </c>
      <c r="AB162" s="48">
        <f>gamma_R!E33/255</f>
        <v>3.646141224700878E-2</v>
      </c>
      <c r="AC162" s="48">
        <f>gamma_G!E33/255</f>
        <v>0.14029676780375877</v>
      </c>
      <c r="AD162" s="48">
        <f>gamma_B!E33/255</f>
        <v>0.24486433840410243</v>
      </c>
    </row>
    <row r="163" spans="2:30" x14ac:dyDescent="0.3">
      <c r="B163" s="36">
        <v>1</v>
      </c>
      <c r="C163" s="36">
        <f t="shared" si="78"/>
        <v>1.1606146989263868</v>
      </c>
      <c r="D163" s="36">
        <f t="shared" si="79"/>
        <v>1.0535382329754623</v>
      </c>
      <c r="E163" s="109"/>
      <c r="F163" s="157"/>
      <c r="G163" s="181"/>
      <c r="H163" s="205"/>
      <c r="I163" s="36">
        <f t="shared" si="80"/>
        <v>0.49975369428309496</v>
      </c>
      <c r="J163" s="36">
        <f t="shared" si="81"/>
        <v>74.327652038770751</v>
      </c>
      <c r="K163" s="36">
        <f t="shared" si="82"/>
        <v>57.113939758377413</v>
      </c>
      <c r="M163" s="36">
        <f t="shared" si="83"/>
        <v>65.720795898574082</v>
      </c>
      <c r="N163" s="36">
        <f t="shared" si="84"/>
        <v>0.59700792431148209</v>
      </c>
      <c r="O163" s="36">
        <f t="shared" si="85"/>
        <v>-17.213712280393338</v>
      </c>
      <c r="P163" s="36"/>
      <c r="Q163" s="48">
        <f t="shared" si="86"/>
        <v>153.21632501344601</v>
      </c>
      <c r="R163" s="48">
        <f t="shared" si="87"/>
        <v>139.55248006922778</v>
      </c>
      <c r="S163" s="48">
        <f t="shared" si="88"/>
        <v>130.71389900760784</v>
      </c>
      <c r="W163" s="36">
        <f t="shared" si="89"/>
        <v>153.21632501344601</v>
      </c>
      <c r="X163" s="36">
        <f t="shared" si="90"/>
        <v>139.55248006922778</v>
      </c>
      <c r="Y163" s="36">
        <f t="shared" si="91"/>
        <v>130.71389900760784</v>
      </c>
      <c r="AB163" s="48">
        <f>gamma_R!E34/255</f>
        <v>0.81730291670621369</v>
      </c>
      <c r="AC163" s="48">
        <f>gamma_G!E34/255</f>
        <v>0.78593866687027769</v>
      </c>
      <c r="AD163" s="48">
        <f>gamma_B!E34/255</f>
        <v>0.76288401668904271</v>
      </c>
    </row>
    <row r="164" spans="2:30" x14ac:dyDescent="0.3">
      <c r="B164" s="36">
        <v>1</v>
      </c>
      <c r="C164" s="36">
        <f t="shared" si="78"/>
        <v>1.1448532988528819</v>
      </c>
      <c r="D164" s="36">
        <f t="shared" si="79"/>
        <v>1.0482844329509606</v>
      </c>
      <c r="E164" s="110"/>
      <c r="F164" s="158"/>
      <c r="G164" s="182"/>
      <c r="H164" s="206"/>
      <c r="I164" s="36">
        <f t="shared" si="80"/>
        <v>0.49984010339157514</v>
      </c>
      <c r="J164" s="36">
        <f t="shared" si="81"/>
        <v>87.600100452262112</v>
      </c>
      <c r="K164" s="36">
        <f t="shared" si="82"/>
        <v>47.018334223528448</v>
      </c>
      <c r="M164" s="36">
        <f t="shared" si="83"/>
        <v>67.309217337895277</v>
      </c>
      <c r="N164" s="36">
        <f t="shared" si="84"/>
        <v>0.59287649005022947</v>
      </c>
      <c r="O164" s="36">
        <f t="shared" si="85"/>
        <v>-40.581766228733663</v>
      </c>
      <c r="P164" s="36"/>
      <c r="Q164" s="48">
        <f t="shared" si="86"/>
        <v>67.788329610283427</v>
      </c>
      <c r="R164" s="48">
        <f t="shared" si="87"/>
        <v>63.165021659737874</v>
      </c>
      <c r="S164" s="48">
        <f t="shared" si="88"/>
        <v>60.38124610532418</v>
      </c>
      <c r="W164" s="36">
        <f t="shared" si="89"/>
        <v>67.788329610283427</v>
      </c>
      <c r="X164" s="36">
        <f t="shared" si="90"/>
        <v>63.165021659737874</v>
      </c>
      <c r="Y164" s="36">
        <f t="shared" si="91"/>
        <v>60.38124610532418</v>
      </c>
      <c r="AB164" s="48">
        <f>gamma_R!E35/255</f>
        <v>0.551696056531079</v>
      </c>
      <c r="AC164" s="48">
        <f>gamma_G!E35/255</f>
        <v>0.52809812415583479</v>
      </c>
      <c r="AD164" s="48">
        <f>gamma_B!E35/255</f>
        <v>0.51522057296205559</v>
      </c>
    </row>
    <row r="165" spans="2:30" x14ac:dyDescent="0.3">
      <c r="B165" s="36">
        <v>1</v>
      </c>
      <c r="C165" s="36">
        <f t="shared" si="78"/>
        <v>1.1344852831613774</v>
      </c>
      <c r="D165" s="36">
        <f t="shared" si="79"/>
        <v>1.0448284277204591</v>
      </c>
      <c r="E165" s="111"/>
      <c r="F165" s="159"/>
      <c r="G165" s="183"/>
      <c r="H165" s="207"/>
      <c r="I165" s="36">
        <f t="shared" si="80"/>
        <v>0.49990688507604281</v>
      </c>
      <c r="J165" s="36">
        <f t="shared" si="81"/>
        <v>85.31840260510829</v>
      </c>
      <c r="K165" s="36">
        <f t="shared" si="82"/>
        <v>93.648109727207071</v>
      </c>
      <c r="M165" s="36">
        <f t="shared" si="83"/>
        <v>89.483256166157673</v>
      </c>
      <c r="N165" s="36">
        <f t="shared" si="84"/>
        <v>0.61423022800792593</v>
      </c>
      <c r="O165" s="36">
        <f t="shared" si="85"/>
        <v>8.3297071220987817</v>
      </c>
      <c r="P165" s="36"/>
      <c r="Q165" s="48">
        <f t="shared" si="86"/>
        <v>26.369445228673953</v>
      </c>
      <c r="R165" s="48">
        <f t="shared" si="87"/>
        <v>25.806240445661892</v>
      </c>
      <c r="S165" s="48">
        <f t="shared" si="88"/>
        <v>24.649754977958814</v>
      </c>
      <c r="W165" s="36">
        <f t="shared" si="89"/>
        <v>26.369445228673953</v>
      </c>
      <c r="X165" s="36">
        <f t="shared" si="90"/>
        <v>25.806240445661892</v>
      </c>
      <c r="Y165" s="36">
        <f t="shared" si="91"/>
        <v>24.649754977958814</v>
      </c>
      <c r="AB165" s="48">
        <f>gamma_R!E36/255</f>
        <v>0.30191721747979572</v>
      </c>
      <c r="AC165" s="48">
        <f>gamma_G!E36/255</f>
        <v>0.29749992506401485</v>
      </c>
      <c r="AD165" s="48">
        <f>gamma_B!E36/255</f>
        <v>0.28774269586234125</v>
      </c>
    </row>
    <row r="166" spans="2:30" x14ac:dyDescent="0.3">
      <c r="B166" s="36">
        <v>1</v>
      </c>
      <c r="C166" s="36">
        <f t="shared" si="78"/>
        <v>1.1095937116691519</v>
      </c>
      <c r="D166" s="36">
        <f t="shared" si="79"/>
        <v>1.0365312372230506</v>
      </c>
      <c r="E166" s="112"/>
      <c r="F166" s="160"/>
      <c r="G166" s="184">
        <v>0.18</v>
      </c>
      <c r="H166" s="208"/>
      <c r="I166" s="36">
        <f t="shared" si="80"/>
        <v>0.49992940458047308</v>
      </c>
      <c r="J166" s="36">
        <f t="shared" si="81"/>
        <v>104.44176492278892</v>
      </c>
      <c r="K166" s="36">
        <f t="shared" si="82"/>
        <v>95.633428672850286</v>
      </c>
      <c r="M166" s="36">
        <f t="shared" si="83"/>
        <v>100.0375967978196</v>
      </c>
      <c r="N166" s="36">
        <f t="shared" si="84"/>
        <v>0.72083820174654534</v>
      </c>
      <c r="O166" s="36">
        <f t="shared" si="85"/>
        <v>-8.808336249938634</v>
      </c>
      <c r="P166" s="36"/>
      <c r="Q166" s="48">
        <f t="shared" si="86"/>
        <v>9.0717324558300518</v>
      </c>
      <c r="R166" s="48">
        <f t="shared" si="87"/>
        <v>8.8744134601499631</v>
      </c>
      <c r="S166" s="48">
        <f t="shared" si="88"/>
        <v>8.3607135171679765</v>
      </c>
      <c r="W166" s="36">
        <f t="shared" si="89"/>
        <v>9.0717324558300518</v>
      </c>
      <c r="X166" s="36">
        <f t="shared" si="90"/>
        <v>8.8744134601499631</v>
      </c>
      <c r="Y166" s="36">
        <f t="shared" si="91"/>
        <v>8.3607135171679765</v>
      </c>
      <c r="AB166" s="48">
        <f>gamma_R!E37/255</f>
        <v>0.11674116356612822</v>
      </c>
      <c r="AC166" s="48">
        <f>gamma_G!E37/255</f>
        <v>0.11420878580568583</v>
      </c>
      <c r="AD166" s="48">
        <f>gamma_B!E37/255</f>
        <v>0.10816525706472128</v>
      </c>
    </row>
    <row r="167" spans="2:30" x14ac:dyDescent="0.3">
      <c r="B167" s="36">
        <v>1</v>
      </c>
      <c r="C167" s="36">
        <f t="shared" si="78"/>
        <v>1.0087241307572392</v>
      </c>
      <c r="D167" s="36">
        <f t="shared" si="79"/>
        <v>1.0029080435857465</v>
      </c>
      <c r="E167" s="113"/>
      <c r="F167" s="161"/>
      <c r="G167" s="185"/>
      <c r="H167" s="209"/>
      <c r="I167" s="36">
        <f t="shared" si="80"/>
        <v>0.4999999974857865</v>
      </c>
      <c r="J167" s="36">
        <f t="shared" si="81"/>
        <v>169.34132465084031</v>
      </c>
      <c r="K167" s="36">
        <f t="shared" si="82"/>
        <v>104.83202153775898</v>
      </c>
      <c r="M167" s="36">
        <f t="shared" si="83"/>
        <v>137.08667309429964</v>
      </c>
      <c r="N167" s="36">
        <f t="shared" si="84"/>
        <v>1.3561841498073879</v>
      </c>
      <c r="O167" s="36">
        <f t="shared" si="85"/>
        <v>-64.50930311308133</v>
      </c>
      <c r="P167" s="36"/>
      <c r="Q167" s="48">
        <f t="shared" si="86"/>
        <v>1.955357078718865</v>
      </c>
      <c r="R167" s="48">
        <f t="shared" si="87"/>
        <v>1.955357078718865</v>
      </c>
      <c r="S167" s="48">
        <f t="shared" si="88"/>
        <v>1.9524804565347411</v>
      </c>
      <c r="W167" s="36">
        <f t="shared" si="89"/>
        <v>1.955357078718865</v>
      </c>
      <c r="X167" s="36">
        <f t="shared" si="90"/>
        <v>1.955357078718865</v>
      </c>
      <c r="Y167" s="36">
        <f t="shared" si="91"/>
        <v>1.9524804565347411</v>
      </c>
      <c r="AB167" s="48">
        <f>gamma_R!E38/255</f>
        <v>2.8886553867280763E-2</v>
      </c>
      <c r="AC167" s="48">
        <f>gamma_G!E38/255</f>
        <v>2.8886553867280763E-2</v>
      </c>
      <c r="AD167" s="48">
        <f>gamma_B!E38/255</f>
        <v>2.88527112533499E-2</v>
      </c>
    </row>
    <row r="168" spans="2:30" x14ac:dyDescent="0.3">
      <c r="B168" s="36">
        <v>1</v>
      </c>
      <c r="C168" s="36">
        <f t="shared" si="78"/>
        <v>1.0000613721836584</v>
      </c>
      <c r="D168" s="36">
        <f t="shared" si="79"/>
        <v>1.0000204573945528</v>
      </c>
      <c r="E168" s="114"/>
      <c r="F168" s="162"/>
      <c r="G168" s="186"/>
      <c r="H168" s="210"/>
      <c r="I168" s="36">
        <f t="shared" si="80"/>
        <v>0.49999996148143938</v>
      </c>
      <c r="J168" s="36">
        <f t="shared" si="81"/>
        <v>354.3159762111419</v>
      </c>
      <c r="K168" s="36">
        <f t="shared" si="82"/>
        <v>299.01943072062926</v>
      </c>
      <c r="M168" s="36">
        <f t="shared" si="83"/>
        <v>326.66770346588555</v>
      </c>
      <c r="N168" s="36">
        <f t="shared" si="84"/>
        <v>1.1883962069863836</v>
      </c>
      <c r="O168" s="36">
        <f t="shared" si="85"/>
        <v>-55.296545490512642</v>
      </c>
      <c r="P168" s="36"/>
      <c r="Q168" s="48">
        <f t="shared" si="86"/>
        <v>0.21571092585767737</v>
      </c>
      <c r="R168" s="48">
        <f t="shared" si="87"/>
        <v>0.21571092585767737</v>
      </c>
      <c r="S168" s="48">
        <f t="shared" si="88"/>
        <v>0.23542681059620399</v>
      </c>
      <c r="W168" s="36">
        <f t="shared" si="89"/>
        <v>0.21571092585767737</v>
      </c>
      <c r="X168" s="36">
        <f t="shared" si="90"/>
        <v>0.21571092585767737</v>
      </c>
      <c r="Y168" s="36">
        <f t="shared" si="91"/>
        <v>0.23542681059620399</v>
      </c>
      <c r="AB168" s="48">
        <f>gamma_R!E39/255</f>
        <v>3.8066633974884242E-3</v>
      </c>
      <c r="AC168" s="48">
        <f>gamma_G!E39/255</f>
        <v>3.8066633974884242E-3</v>
      </c>
      <c r="AD168" s="48">
        <f>gamma_B!E39/255</f>
        <v>4.1545907752271296E-3</v>
      </c>
    </row>
    <row r="169" spans="2:30" x14ac:dyDescent="0.3">
      <c r="I169" s="221" t="s">
        <v>173</v>
      </c>
      <c r="J169" s="221"/>
      <c r="K169" s="221"/>
      <c r="L169" s="221"/>
      <c r="M169" s="221"/>
      <c r="N169" s="221"/>
      <c r="O169" s="221"/>
      <c r="P169" s="221"/>
      <c r="Q169" s="221"/>
      <c r="R169" s="221"/>
      <c r="S169" s="221"/>
      <c r="T169" s="221"/>
      <c r="U169" s="221"/>
      <c r="V169" s="221"/>
      <c r="W169" s="221"/>
      <c r="X169" s="221"/>
      <c r="Y169" s="221"/>
    </row>
    <row r="170" spans="2:30" x14ac:dyDescent="0.3">
      <c r="B170" s="32" t="s">
        <v>108</v>
      </c>
      <c r="C170" s="32" t="s">
        <v>109</v>
      </c>
      <c r="D170" s="32" t="s">
        <v>110</v>
      </c>
      <c r="I170" s="10" t="s">
        <v>157</v>
      </c>
      <c r="J170" s="10" t="s">
        <v>159</v>
      </c>
      <c r="K170" s="10" t="s">
        <v>158</v>
      </c>
      <c r="M170" s="32" t="s">
        <v>178</v>
      </c>
      <c r="N170" s="10" t="s">
        <v>179</v>
      </c>
      <c r="O170" s="10" t="s">
        <v>180</v>
      </c>
      <c r="P170" s="23"/>
      <c r="Q170" s="57" t="s">
        <v>174</v>
      </c>
      <c r="R170" s="57" t="s">
        <v>175</v>
      </c>
      <c r="S170" s="57" t="s">
        <v>176</v>
      </c>
      <c r="T170" s="57" t="s">
        <v>177</v>
      </c>
      <c r="W170" s="57" t="s">
        <v>182</v>
      </c>
      <c r="X170" s="57" t="s">
        <v>181</v>
      </c>
      <c r="Y170" s="57" t="s">
        <v>183</v>
      </c>
      <c r="AB170" s="57" t="s">
        <v>129</v>
      </c>
      <c r="AC170" s="57" t="s">
        <v>130</v>
      </c>
      <c r="AD170" s="57" t="s">
        <v>131</v>
      </c>
    </row>
    <row r="171" spans="2:30" x14ac:dyDescent="0.3">
      <c r="B171" s="36">
        <f t="shared" ref="B171:B194" si="92">I119-B119</f>
        <v>4.6146367889580375</v>
      </c>
      <c r="C171" s="36">
        <f t="shared" ref="C171:C194" si="93">SQRT((J119*(1+I145))^2+K119^2)-SQRT((C119*(1+I145))^2+D119^2)</f>
        <v>-10.771900476349838</v>
      </c>
      <c r="D171" s="36">
        <f t="shared" ref="D171:D194" si="94">2*SQRT(SQRT((C119*(1+I145))^2+D119^2)*SQRT((J119*(1+I145))^2+K119^2))*SIN(PI()*(O145/2)/180)</f>
        <v>-0.24839331076199589</v>
      </c>
      <c r="E171" s="91"/>
      <c r="F171" s="139"/>
      <c r="G171" s="163"/>
      <c r="H171" s="187"/>
      <c r="I171" s="36">
        <f>$Q$93*AB145*255+$R$93*AC145*255+$S$93*AD145*255</f>
        <v>32.186206757495469</v>
      </c>
      <c r="J171" s="36">
        <f>$Q$94*AB145*255+$R$94*AC145*255+$S$94*AD145*255+128</f>
        <v>121.12632573363466</v>
      </c>
      <c r="K171" s="36">
        <f>$Q$95*AB145*255+$R$95*AC145*255+$S$95*AD145*255+128</f>
        <v>138.99016724295697</v>
      </c>
      <c r="M171" s="36">
        <f>I171</f>
        <v>32.186206757495469</v>
      </c>
      <c r="N171" s="36">
        <f>S171*((AD145*255-AC145*255)+Q171*(AB145*255-AC145*255))+128</f>
        <v>121.1200622048452</v>
      </c>
      <c r="O171" s="36">
        <f>T171*((AB145*255-AC145*255)+R171*(AD145*255-AC145*255))+128</f>
        <v>138.98215493458389</v>
      </c>
      <c r="P171" s="36"/>
      <c r="Q171" s="32">
        <f>IF(I15-J15&gt;0,$AG$12,$AH$12)</f>
        <v>-0.33800000000000002</v>
      </c>
      <c r="R171" s="32">
        <f>IF(K15-J15&gt;0,$AI$12,$AJ$12)</f>
        <v>-0.16200000000000001</v>
      </c>
      <c r="S171" s="32">
        <f>IF(K15-J15+(I15-J15)*Q171&gt;0,$AC$12,$AD$12)</f>
        <v>0.5</v>
      </c>
      <c r="T171" s="32">
        <f>IF((I15-J15)+(K15-J15)*R171&gt;0,$AE$12,$AF$12)</f>
        <v>0.5</v>
      </c>
      <c r="W171" s="36">
        <f>IF((M171*$Q$98+(N171-128)*$R$98+(O171-128)*$S$98)&lt;0,0,IF((M171*$Q$98+(N171-128)*$R$98+(O171-128)*$S$98)&gt;255,255,(M171*$Q$98+(N171-128)*$R$98+(O171-128)*$S$98)))</f>
        <v>47.574895616600749</v>
      </c>
      <c r="X171" s="36">
        <f>IF((M171*$Q$99+(N171-128)*$R$99+(O171-128)*$S$99)&lt;0,0,IF((M171*$Q$99+(N171-128)*$R$99+(O171-128)*$S$99)&gt;255,255,(M171*$Q$99+(N171-128)*$R$99+(O171-128)*$S$99)))</f>
        <v>26.715569182898417</v>
      </c>
      <c r="Y171" s="36">
        <f>IF((M171*$Q$100+(N171-128)*$R$100+(O171-128)*$S$100)&lt;0,0,IF((M171*$Q$100+(N171-128)*$R$100+(O171-128)*$S$100)&gt;255,255,(M171*$Q$100+(N171-128)*$R$100+(O171-128)*$S$100)))</f>
        <v>19.993630331319981</v>
      </c>
      <c r="AB171" s="48">
        <f>W171/255</f>
        <v>0.18656821810431667</v>
      </c>
      <c r="AC171" s="48">
        <f t="shared" ref="AC171:AD186" si="95">X171/255</f>
        <v>0.10476693797215066</v>
      </c>
      <c r="AD171" s="48">
        <f t="shared" si="95"/>
        <v>7.8406393456156784E-2</v>
      </c>
    </row>
    <row r="172" spans="2:30" x14ac:dyDescent="0.3">
      <c r="B172" s="36">
        <f t="shared" si="92"/>
        <v>6.4513660238934136</v>
      </c>
      <c r="C172" s="36">
        <f t="shared" si="93"/>
        <v>-16.435545373971269</v>
      </c>
      <c r="D172" s="36">
        <f t="shared" si="94"/>
        <v>2.6395784833758267</v>
      </c>
      <c r="E172" s="92"/>
      <c r="F172" s="140"/>
      <c r="G172" s="164"/>
      <c r="H172" s="188"/>
      <c r="I172" s="36">
        <f t="shared" ref="I172:I194" si="96">$Q$93*AB146*255+$R$93*AC146*255+$S$93*AD146*255</f>
        <v>141.17401596841501</v>
      </c>
      <c r="J172" s="36">
        <f t="shared" ref="J172:J194" si="97">$Q$94*AB146*255+$R$94*AC146*255+$S$94*AD146*255+128</f>
        <v>109.5310587258722</v>
      </c>
      <c r="K172" s="36">
        <f t="shared" ref="K172:K194" si="98">$Q$95*AB146*255+$R$95*AC146*255+$S$95*AD146*255+128</f>
        <v>158.48673243483722</v>
      </c>
      <c r="M172" s="36">
        <f>I172</f>
        <v>141.17401596841501</v>
      </c>
      <c r="N172" s="36">
        <f>S172*((AD146*255-AC146*255)+Q172*(AB146*255-AC146*255))+128</f>
        <v>109.51363198342662</v>
      </c>
      <c r="O172" s="36">
        <f>T172*((AB146*255-AC146*255)+R172*(AD146*255-AC146*255))+128</f>
        <v>158.44899784570552</v>
      </c>
      <c r="P172" s="36"/>
      <c r="Q172" s="32">
        <f t="shared" ref="Q172:Q188" si="99">IF(I16-J16&gt;0,$AG$12,$AH$12)</f>
        <v>-0.33800000000000002</v>
      </c>
      <c r="R172" s="32">
        <f t="shared" ref="R172:R188" si="100">IF(K16-J16&gt;0,$AI$12,$AJ$12)</f>
        <v>-0.16200000000000001</v>
      </c>
      <c r="S172" s="32">
        <f t="shared" ref="S172:S188" si="101">IF(K16-J16+(I16-J16)*Q172&gt;0,$AC$12,$AD$12)</f>
        <v>0.5</v>
      </c>
      <c r="T172" s="32">
        <f t="shared" ref="T172:T188" si="102">IF((I16-J16)+(K16-J16)*R172&gt;0,$AE$12,$AF$12)</f>
        <v>0.5</v>
      </c>
      <c r="W172" s="36">
        <f t="shared" ref="W172:W188" si="103">IF((M172*$Q$98+(N172-128)*$R$98+(O172-128)*$S$98)&lt;0,0,IF((M172*$Q$98+(N172-128)*$R$98+(O172-128)*$S$98)&gt;255,255,(M172*$Q$98+(N172-128)*$R$98+(O172-128)*$S$98)))</f>
        <v>183.81821545987967</v>
      </c>
      <c r="X172" s="36">
        <f t="shared" ref="X172:X188" si="104">IF((M172*$Q$99+(N172-128)*$R$99+(O172-128)*$S$99)&lt;0,0,IF((M172*$Q$99+(N172-128)*$R$99+(O172-128)*$S$99)&gt;255,255,(M172*$Q$99+(N172-128)*$R$99+(O172-128)*$S$99)))</f>
        <v>125.81490034589361</v>
      </c>
      <c r="Y172" s="36">
        <f t="shared" ref="Y172:Y188" si="105">IF((M172*$Q$100+(N172-128)*$R$100+(O172-128)*$S$100)&lt;0,0,IF((M172*$Q$100+(N172-128)*$R$100+(O172-128)*$S$100)&gt;255,255,(M172*$Q$100+(N172-128)*$R$100+(O172-128)*$S$100)))</f>
        <v>108.41248283220574</v>
      </c>
      <c r="AB172" s="48">
        <f t="shared" ref="AB172:AB188" si="106">W172/255</f>
        <v>0.7208557469014889</v>
      </c>
      <c r="AC172" s="48">
        <f t="shared" si="95"/>
        <v>0.49339176606232787</v>
      </c>
      <c r="AD172" s="48">
        <f t="shared" si="95"/>
        <v>0.42514699149884605</v>
      </c>
    </row>
    <row r="173" spans="2:30" x14ac:dyDescent="0.3">
      <c r="B173" s="36">
        <f t="shared" si="92"/>
        <v>2.1437653495670048</v>
      </c>
      <c r="C173" s="36">
        <f t="shared" si="93"/>
        <v>-17.242806245516146</v>
      </c>
      <c r="D173" s="36">
        <f t="shared" si="94"/>
        <v>-4.1837406946986979</v>
      </c>
      <c r="E173" s="93"/>
      <c r="F173" s="141"/>
      <c r="G173" s="165"/>
      <c r="H173" s="189"/>
      <c r="I173" s="36">
        <f t="shared" si="96"/>
        <v>61.880360930457464</v>
      </c>
      <c r="J173" s="36">
        <f t="shared" si="97"/>
        <v>142.04850344861882</v>
      </c>
      <c r="K173" s="36">
        <f t="shared" si="98"/>
        <v>119.31803479700913</v>
      </c>
      <c r="M173" s="36">
        <f t="shared" ref="M173:M188" si="107">I173</f>
        <v>61.880360930457464</v>
      </c>
      <c r="N173" s="36">
        <f t="shared" ref="N173:N188" si="108">S173*((AD147*255-AC147*255)+Q173*(AB147*255-AC147*255))+128</f>
        <v>142.05258139655587</v>
      </c>
      <c r="O173" s="36">
        <f t="shared" ref="O173:O188" si="109">T173*((AB147*255-AC147*255)+R173*(AD147*255-AC147*255))+128</f>
        <v>119.29905544737443</v>
      </c>
      <c r="P173" s="36"/>
      <c r="Q173" s="32">
        <f t="shared" si="99"/>
        <v>-0.33800000000000002</v>
      </c>
      <c r="R173" s="32">
        <f t="shared" si="100"/>
        <v>-0.16200000000000001</v>
      </c>
      <c r="S173" s="32">
        <f t="shared" si="101"/>
        <v>0.5</v>
      </c>
      <c r="T173" s="32">
        <f t="shared" si="102"/>
        <v>0.5</v>
      </c>
      <c r="W173" s="36">
        <f t="shared" si="103"/>
        <v>49.644726989247204</v>
      </c>
      <c r="X173" s="36">
        <f t="shared" si="104"/>
        <v>63.276650281002233</v>
      </c>
      <c r="Y173" s="36">
        <f t="shared" si="105"/>
        <v>86.782402155475808</v>
      </c>
      <c r="AB173" s="48">
        <f t="shared" si="106"/>
        <v>0.1946852038794008</v>
      </c>
      <c r="AC173" s="48">
        <f t="shared" si="95"/>
        <v>0.24814372659216563</v>
      </c>
      <c r="AD173" s="48">
        <f t="shared" si="95"/>
        <v>0.34032314570774824</v>
      </c>
    </row>
    <row r="174" spans="2:30" x14ac:dyDescent="0.3">
      <c r="B174" s="36">
        <f t="shared" si="92"/>
        <v>2.4531167351353034</v>
      </c>
      <c r="C174" s="36">
        <f t="shared" si="93"/>
        <v>-16.729680031301669</v>
      </c>
      <c r="D174" s="36">
        <f t="shared" si="94"/>
        <v>2.1011222679601125</v>
      </c>
      <c r="E174" s="94"/>
      <c r="F174" s="142"/>
      <c r="G174" s="166"/>
      <c r="H174" s="190"/>
      <c r="I174" s="36">
        <f t="shared" si="96"/>
        <v>35.457934720102266</v>
      </c>
      <c r="J174" s="36">
        <f t="shared" si="97"/>
        <v>122.52012373966562</v>
      </c>
      <c r="K174" s="36">
        <f t="shared" si="98"/>
        <v>125.8319735876542</v>
      </c>
      <c r="M174" s="36">
        <f t="shared" si="107"/>
        <v>35.457934720102266</v>
      </c>
      <c r="N174" s="36">
        <f t="shared" si="108"/>
        <v>122.52207061487003</v>
      </c>
      <c r="O174" s="36">
        <f t="shared" si="109"/>
        <v>125.82030438418673</v>
      </c>
      <c r="P174" s="36"/>
      <c r="Q174" s="32">
        <f t="shared" si="99"/>
        <v>-0.33800000000000002</v>
      </c>
      <c r="R174" s="32">
        <f t="shared" si="100"/>
        <v>-0.16200000000000001</v>
      </c>
      <c r="S174" s="32">
        <f t="shared" si="101"/>
        <v>0.5</v>
      </c>
      <c r="T174" s="32">
        <f t="shared" si="102"/>
        <v>0.5</v>
      </c>
      <c r="W174" s="36">
        <f t="shared" si="103"/>
        <v>32.391399275229119</v>
      </c>
      <c r="X174" s="36">
        <f t="shared" si="104"/>
        <v>38.905008708133913</v>
      </c>
      <c r="Y174" s="36">
        <f t="shared" si="105"/>
        <v>25.751458115211893</v>
      </c>
      <c r="AB174" s="48">
        <f t="shared" si="106"/>
        <v>0.12702509519697694</v>
      </c>
      <c r="AC174" s="48">
        <f t="shared" si="95"/>
        <v>0.15256866160052515</v>
      </c>
      <c r="AD174" s="48">
        <f t="shared" si="95"/>
        <v>0.10098611025573291</v>
      </c>
    </row>
    <row r="175" spans="2:30" x14ac:dyDescent="0.3">
      <c r="B175" s="36">
        <f t="shared" si="92"/>
        <v>4.1910820590570097</v>
      </c>
      <c r="C175" s="36">
        <f t="shared" si="93"/>
        <v>-21.014256763722269</v>
      </c>
      <c r="D175" s="36">
        <f t="shared" si="94"/>
        <v>2.8204369795230524</v>
      </c>
      <c r="E175" s="95"/>
      <c r="F175" s="143"/>
      <c r="G175" s="167"/>
      <c r="H175" s="191"/>
      <c r="I175" s="36">
        <f t="shared" si="96"/>
        <v>86.049280383258676</v>
      </c>
      <c r="J175" s="36">
        <f t="shared" si="97"/>
        <v>139.34468266990905</v>
      </c>
      <c r="K175" s="36">
        <f t="shared" si="98"/>
        <v>134.63397677049016</v>
      </c>
      <c r="M175" s="36">
        <f t="shared" si="107"/>
        <v>86.049280383258676</v>
      </c>
      <c r="N175" s="36">
        <f t="shared" si="108"/>
        <v>139.33932042432966</v>
      </c>
      <c r="O175" s="36">
        <f t="shared" si="109"/>
        <v>134.61074752536712</v>
      </c>
      <c r="P175" s="36"/>
      <c r="Q175" s="32">
        <f t="shared" si="99"/>
        <v>-0.33800000000000002</v>
      </c>
      <c r="R175" s="32">
        <f t="shared" si="100"/>
        <v>-0.16200000000000001</v>
      </c>
      <c r="S175" s="32">
        <f t="shared" si="101"/>
        <v>0.5</v>
      </c>
      <c r="T175" s="32">
        <f t="shared" si="102"/>
        <v>0.5</v>
      </c>
      <c r="W175" s="36">
        <f t="shared" si="103"/>
        <v>95.272406087636156</v>
      </c>
      <c r="X175" s="36">
        <f t="shared" si="104"/>
        <v>77.449248354529516</v>
      </c>
      <c r="Y175" s="36">
        <f t="shared" si="105"/>
        <v>106.14142262233901</v>
      </c>
      <c r="AB175" s="48">
        <f t="shared" si="106"/>
        <v>0.37361727877504375</v>
      </c>
      <c r="AC175" s="48">
        <f t="shared" si="95"/>
        <v>0.30372254256678244</v>
      </c>
      <c r="AD175" s="48">
        <f t="shared" si="95"/>
        <v>0.41624087302878043</v>
      </c>
    </row>
    <row r="176" spans="2:30" x14ac:dyDescent="0.3">
      <c r="B176" s="36">
        <f t="shared" si="92"/>
        <v>-1.7735415534928904</v>
      </c>
      <c r="C176" s="36">
        <f t="shared" si="93"/>
        <v>-16.680163600293604</v>
      </c>
      <c r="D176" s="36">
        <f t="shared" si="94"/>
        <v>2.2438977370017348</v>
      </c>
      <c r="E176" s="96"/>
      <c r="F176" s="144"/>
      <c r="G176" s="168"/>
      <c r="H176" s="192"/>
      <c r="I176" s="36">
        <f t="shared" si="96"/>
        <v>121.61324835468085</v>
      </c>
      <c r="J176" s="36">
        <f t="shared" si="97"/>
        <v>137.37813721333023</v>
      </c>
      <c r="K176" s="36">
        <f t="shared" si="98"/>
        <v>100.53583681874935</v>
      </c>
      <c r="M176" s="36">
        <f t="shared" si="107"/>
        <v>121.61324835468085</v>
      </c>
      <c r="N176" s="36">
        <f t="shared" si="108"/>
        <v>137.39463050486231</v>
      </c>
      <c r="O176" s="36">
        <f t="shared" si="109"/>
        <v>100.49442842329206</v>
      </c>
      <c r="P176" s="36"/>
      <c r="Q176" s="32">
        <f t="shared" si="99"/>
        <v>-0.33800000000000002</v>
      </c>
      <c r="R176" s="32">
        <f t="shared" si="100"/>
        <v>-0.16200000000000001</v>
      </c>
      <c r="S176" s="32">
        <f t="shared" si="101"/>
        <v>0.5</v>
      </c>
      <c r="T176" s="32">
        <f t="shared" si="102"/>
        <v>0.5</v>
      </c>
      <c r="W176" s="36">
        <f t="shared" si="103"/>
        <v>82.992279459437896</v>
      </c>
      <c r="X176" s="36">
        <f t="shared" si="104"/>
        <v>138.05188545260953</v>
      </c>
      <c r="Y176" s="36">
        <f t="shared" si="105"/>
        <v>138.26403540023801</v>
      </c>
      <c r="AB176" s="48">
        <f t="shared" si="106"/>
        <v>0.32545991944877606</v>
      </c>
      <c r="AC176" s="48">
        <f t="shared" si="95"/>
        <v>0.5413799429514099</v>
      </c>
      <c r="AD176" s="48">
        <f t="shared" si="95"/>
        <v>0.54221190353034521</v>
      </c>
    </row>
    <row r="177" spans="2:30" x14ac:dyDescent="0.3">
      <c r="B177" s="36">
        <f t="shared" si="92"/>
        <v>3.5063866840963982</v>
      </c>
      <c r="C177" s="36">
        <f t="shared" si="93"/>
        <v>-35.825017539352132</v>
      </c>
      <c r="D177" s="36">
        <f t="shared" si="94"/>
        <v>0.16029725575083978</v>
      </c>
      <c r="E177" s="97"/>
      <c r="F177" s="145"/>
      <c r="G177" s="169"/>
      <c r="H177" s="193"/>
      <c r="I177" s="36">
        <f t="shared" si="96"/>
        <v>109.96336683375971</v>
      </c>
      <c r="J177" s="36">
        <f t="shared" si="97"/>
        <v>91.889646900458402</v>
      </c>
      <c r="K177" s="36">
        <f t="shared" si="98"/>
        <v>173.68300296061491</v>
      </c>
      <c r="M177" s="36">
        <f t="shared" si="107"/>
        <v>109.96336683375971</v>
      </c>
      <c r="N177" s="36">
        <f>S177*((AD151*255-AC151*255)+Q177*(AB151*255-AC151*255))+128</f>
        <v>91.864382249324763</v>
      </c>
      <c r="O177" s="36">
        <f t="shared" si="109"/>
        <v>173.65606990253707</v>
      </c>
      <c r="P177" s="36"/>
      <c r="Q177" s="32">
        <f t="shared" si="99"/>
        <v>-0.33800000000000002</v>
      </c>
      <c r="R177" s="32">
        <f t="shared" si="100"/>
        <v>-0.16200000000000001</v>
      </c>
      <c r="S177" s="32">
        <f t="shared" si="101"/>
        <v>0.5</v>
      </c>
      <c r="T177" s="32">
        <f t="shared" si="102"/>
        <v>0.5</v>
      </c>
      <c r="W177" s="36">
        <f t="shared" si="103"/>
        <v>173.9546239835372</v>
      </c>
      <c r="X177" s="36">
        <f t="shared" si="104"/>
        <v>89.804777571138516</v>
      </c>
      <c r="Y177" s="36">
        <f t="shared" si="105"/>
        <v>45.925700249331356</v>
      </c>
      <c r="AB177" s="48">
        <f t="shared" si="106"/>
        <v>0.68217499601387144</v>
      </c>
      <c r="AC177" s="48">
        <f t="shared" si="95"/>
        <v>0.35217559831819023</v>
      </c>
      <c r="AD177" s="48">
        <f t="shared" si="95"/>
        <v>0.18010078529149551</v>
      </c>
    </row>
    <row r="178" spans="2:30" x14ac:dyDescent="0.3">
      <c r="B178" s="36">
        <f t="shared" si="92"/>
        <v>-0.29223804928028585</v>
      </c>
      <c r="C178" s="36">
        <f t="shared" si="93"/>
        <v>-34.838132339496624</v>
      </c>
      <c r="D178" s="36">
        <f t="shared" si="94"/>
        <v>-7.3497831308467303</v>
      </c>
      <c r="E178" s="98"/>
      <c r="F178" s="146"/>
      <c r="G178" s="170"/>
      <c r="H178" s="194"/>
      <c r="I178" s="36">
        <f t="shared" si="96"/>
        <v>25.350274262374452</v>
      </c>
      <c r="J178" s="36">
        <f t="shared" si="97"/>
        <v>146.46349323903979</v>
      </c>
      <c r="K178" s="36">
        <f t="shared" si="98"/>
        <v>121.62781809578338</v>
      </c>
      <c r="M178" s="36">
        <f t="shared" si="107"/>
        <v>25.350274262374452</v>
      </c>
      <c r="N178" s="36">
        <f>S178*((AD152*255-AC152*255)+Q178*(AB152*255-AC152*255))+128</f>
        <v>146.46564367776409</v>
      </c>
      <c r="O178" s="36">
        <f t="shared" si="109"/>
        <v>121.62075022164873</v>
      </c>
      <c r="P178" s="36"/>
      <c r="Q178" s="32">
        <f t="shared" si="99"/>
        <v>-0.33800000000000002</v>
      </c>
      <c r="R178" s="32">
        <f t="shared" si="100"/>
        <v>-0.16200000000000001</v>
      </c>
      <c r="S178" s="32">
        <f t="shared" si="101"/>
        <v>0.5</v>
      </c>
      <c r="T178" s="32">
        <f t="shared" si="102"/>
        <v>0.5</v>
      </c>
      <c r="W178" s="36">
        <f t="shared" si="103"/>
        <v>16.381540613759668</v>
      </c>
      <c r="X178" s="36">
        <f t="shared" si="104"/>
        <v>23.563888466775097</v>
      </c>
      <c r="Y178" s="36">
        <f t="shared" si="105"/>
        <v>58.071851656695877</v>
      </c>
      <c r="AB178" s="48">
        <f t="shared" si="106"/>
        <v>6.4241335740233996E-2</v>
      </c>
      <c r="AC178" s="48">
        <f t="shared" si="95"/>
        <v>9.2407405752059205E-2</v>
      </c>
      <c r="AD178" s="48">
        <f t="shared" si="95"/>
        <v>0.22773275159488579</v>
      </c>
    </row>
    <row r="179" spans="2:30" x14ac:dyDescent="0.3">
      <c r="B179" s="36">
        <f t="shared" si="92"/>
        <v>2.8283332937358097</v>
      </c>
      <c r="C179" s="36">
        <f t="shared" si="93"/>
        <v>-28.695698979476369</v>
      </c>
      <c r="D179" s="36">
        <f t="shared" si="94"/>
        <v>5.3944269401983709</v>
      </c>
      <c r="E179" s="99"/>
      <c r="F179" s="147"/>
      <c r="G179" s="171"/>
      <c r="H179" s="195"/>
      <c r="I179" s="36">
        <f t="shared" si="96"/>
        <v>79.354273106576883</v>
      </c>
      <c r="J179" s="36">
        <f t="shared" si="97"/>
        <v>107.44500886974619</v>
      </c>
      <c r="K179" s="36">
        <f t="shared" si="98"/>
        <v>176.25215874542758</v>
      </c>
      <c r="M179" s="36">
        <f t="shared" si="107"/>
        <v>79.354273106576883</v>
      </c>
      <c r="N179" s="36">
        <f t="shared" si="108"/>
        <v>107.41650699786123</v>
      </c>
      <c r="O179" s="36">
        <f t="shared" si="109"/>
        <v>176.23656484639534</v>
      </c>
      <c r="P179" s="36"/>
      <c r="Q179" s="32">
        <f t="shared" si="99"/>
        <v>-0.33800000000000002</v>
      </c>
      <c r="R179" s="32">
        <f t="shared" si="100"/>
        <v>-0.16200000000000001</v>
      </c>
      <c r="S179" s="32">
        <f t="shared" si="101"/>
        <v>0.5</v>
      </c>
      <c r="T179" s="32">
        <f t="shared" si="102"/>
        <v>0.5</v>
      </c>
      <c r="W179" s="36">
        <f t="shared" si="103"/>
        <v>146.9640628952786</v>
      </c>
      <c r="X179" s="36">
        <f t="shared" si="104"/>
        <v>52.000596157127944</v>
      </c>
      <c r="Y179" s="36">
        <f t="shared" si="105"/>
        <v>42.874283830302439</v>
      </c>
      <c r="AB179" s="48">
        <f t="shared" si="106"/>
        <v>0.57632965841285722</v>
      </c>
      <c r="AC179" s="48">
        <f t="shared" si="95"/>
        <v>0.20392390649854095</v>
      </c>
      <c r="AD179" s="48">
        <f t="shared" si="95"/>
        <v>0.16813444639334291</v>
      </c>
    </row>
    <row r="180" spans="2:30" x14ac:dyDescent="0.3">
      <c r="B180" s="36">
        <f t="shared" si="92"/>
        <v>2.1638128953230691</v>
      </c>
      <c r="C180" s="36">
        <f t="shared" si="93"/>
        <v>-16.340234195600623</v>
      </c>
      <c r="D180" s="36">
        <f t="shared" si="94"/>
        <v>5.5108284434897472</v>
      </c>
      <c r="E180" s="100"/>
      <c r="F180" s="148"/>
      <c r="G180" s="172"/>
      <c r="H180" s="196"/>
      <c r="I180" s="36">
        <f t="shared" si="96"/>
        <v>14.766725843003211</v>
      </c>
      <c r="J180" s="36">
        <f t="shared" si="97"/>
        <v>129.06829294587729</v>
      </c>
      <c r="K180" s="36">
        <f t="shared" si="98"/>
        <v>134.48372430286835</v>
      </c>
      <c r="M180" s="36">
        <f t="shared" si="107"/>
        <v>14.766725843003211</v>
      </c>
      <c r="N180" s="36">
        <f t="shared" si="108"/>
        <v>129.06406980022055</v>
      </c>
      <c r="O180" s="36">
        <f t="shared" si="109"/>
        <v>134.48079251428959</v>
      </c>
      <c r="P180" s="36"/>
      <c r="Q180" s="32">
        <f t="shared" si="99"/>
        <v>-0.33800000000000002</v>
      </c>
      <c r="R180" s="32">
        <f t="shared" si="100"/>
        <v>-0.16200000000000001</v>
      </c>
      <c r="S180" s="32">
        <f t="shared" si="101"/>
        <v>0.5</v>
      </c>
      <c r="T180" s="32">
        <f t="shared" si="102"/>
        <v>0.5</v>
      </c>
      <c r="W180" s="36">
        <f t="shared" si="103"/>
        <v>23.845673756595488</v>
      </c>
      <c r="X180" s="36">
        <f t="shared" si="104"/>
        <v>9.7761738347156317</v>
      </c>
      <c r="Y180" s="36">
        <f t="shared" si="105"/>
        <v>16.651362708798995</v>
      </c>
      <c r="AB180" s="48">
        <f t="shared" si="106"/>
        <v>9.3512446104296029E-2</v>
      </c>
      <c r="AC180" s="48">
        <f t="shared" si="95"/>
        <v>3.8337936606727969E-2</v>
      </c>
      <c r="AD180" s="48">
        <f t="shared" si="95"/>
        <v>6.529946160313331E-2</v>
      </c>
    </row>
    <row r="181" spans="2:30" x14ac:dyDescent="0.3">
      <c r="B181" s="36">
        <f t="shared" si="92"/>
        <v>-4.6047081438297965</v>
      </c>
      <c r="C181" s="36">
        <f t="shared" si="93"/>
        <v>-43.804444637831416</v>
      </c>
      <c r="D181" s="36">
        <f t="shared" si="94"/>
        <v>5.3073757856576922</v>
      </c>
      <c r="E181" s="101"/>
      <c r="F181" s="149"/>
      <c r="G181" s="173"/>
      <c r="H181" s="197"/>
      <c r="I181" s="36">
        <f t="shared" si="96"/>
        <v>113.159517622686</v>
      </c>
      <c r="J181" s="36">
        <f t="shared" si="97"/>
        <v>104.80619399883389</v>
      </c>
      <c r="K181" s="36">
        <f t="shared" si="98"/>
        <v>122.44906572114171</v>
      </c>
      <c r="M181" s="36">
        <f t="shared" si="107"/>
        <v>113.159517622686</v>
      </c>
      <c r="N181" s="36">
        <f t="shared" si="108"/>
        <v>104.81212574088195</v>
      </c>
      <c r="O181" s="36">
        <f t="shared" si="109"/>
        <v>122.41152966249861</v>
      </c>
      <c r="P181" s="36"/>
      <c r="Q181" s="32">
        <f t="shared" si="99"/>
        <v>-0.33800000000000002</v>
      </c>
      <c r="R181" s="32">
        <f t="shared" si="100"/>
        <v>-0.16200000000000001</v>
      </c>
      <c r="S181" s="32">
        <f t="shared" si="101"/>
        <v>0.5</v>
      </c>
      <c r="T181" s="32">
        <f t="shared" si="102"/>
        <v>0.5</v>
      </c>
      <c r="W181" s="36">
        <f t="shared" si="103"/>
        <v>105.29509225413702</v>
      </c>
      <c r="X181" s="36">
        <f t="shared" si="104"/>
        <v>125.14496118153166</v>
      </c>
      <c r="Y181" s="36">
        <f t="shared" si="105"/>
        <v>72.071866887192613</v>
      </c>
      <c r="AB181" s="48">
        <f t="shared" si="106"/>
        <v>0.41292193040838049</v>
      </c>
      <c r="AC181" s="48">
        <f t="shared" si="95"/>
        <v>0.49076455365306532</v>
      </c>
      <c r="AD181" s="48">
        <f t="shared" si="95"/>
        <v>0.28263477210663768</v>
      </c>
    </row>
    <row r="182" spans="2:30" x14ac:dyDescent="0.3">
      <c r="B182" s="36">
        <f t="shared" si="92"/>
        <v>-0.85738671740166694</v>
      </c>
      <c r="C182" s="36">
        <f t="shared" si="93"/>
        <v>-42.843123555085008</v>
      </c>
      <c r="D182" s="36">
        <f t="shared" si="94"/>
        <v>-2.7862848243979901</v>
      </c>
      <c r="E182" s="102"/>
      <c r="F182" s="150"/>
      <c r="G182" s="174"/>
      <c r="H182" s="198"/>
      <c r="I182" s="36">
        <f>$Q$93*AB156*255+$R$93*AC156*255+$S$93*AD156*255</f>
        <v>126.62657984868844</v>
      </c>
      <c r="J182" s="36">
        <f t="shared" si="97"/>
        <v>90.588287053751245</v>
      </c>
      <c r="K182" s="36">
        <f t="shared" si="98"/>
        <v>162.8169412399867</v>
      </c>
      <c r="M182" s="36">
        <f t="shared" si="107"/>
        <v>126.62657984868844</v>
      </c>
      <c r="N182" s="36">
        <f t="shared" si="108"/>
        <v>90.570057541314156</v>
      </c>
      <c r="O182" s="36">
        <f t="shared" si="109"/>
        <v>162.78254610175983</v>
      </c>
      <c r="P182" s="36"/>
      <c r="Q182" s="32">
        <f t="shared" si="99"/>
        <v>-0.33800000000000002</v>
      </c>
      <c r="R182" s="32">
        <f t="shared" si="100"/>
        <v>-0.16200000000000001</v>
      </c>
      <c r="S182" s="32">
        <f t="shared" si="101"/>
        <v>0.5</v>
      </c>
      <c r="T182" s="32">
        <f t="shared" si="102"/>
        <v>0.5</v>
      </c>
      <c r="W182" s="36">
        <f t="shared" si="103"/>
        <v>175.36729491214092</v>
      </c>
      <c r="X182" s="36">
        <f t="shared" si="104"/>
        <v>114.68128855404183</v>
      </c>
      <c r="Y182" s="36">
        <f t="shared" si="105"/>
        <v>60.296862181892749</v>
      </c>
      <c r="AB182" s="48">
        <f t="shared" si="106"/>
        <v>0.68771488200839581</v>
      </c>
      <c r="AC182" s="48">
        <f t="shared" si="95"/>
        <v>0.44973054334918366</v>
      </c>
      <c r="AD182" s="48">
        <f t="shared" si="95"/>
        <v>0.23645828306624608</v>
      </c>
    </row>
    <row r="183" spans="2:30" x14ac:dyDescent="0.3">
      <c r="B183" s="36">
        <f t="shared" si="92"/>
        <v>-0.37648635039592904</v>
      </c>
      <c r="C183" s="36">
        <f t="shared" si="93"/>
        <v>-41.298005032275022</v>
      </c>
      <c r="D183" s="36">
        <f t="shared" si="94"/>
        <v>-11.618965221666731</v>
      </c>
      <c r="E183" s="103"/>
      <c r="F183" s="151"/>
      <c r="G183" s="175"/>
      <c r="H183" s="199"/>
      <c r="I183" s="36">
        <f t="shared" si="96"/>
        <v>5.9828876526328001</v>
      </c>
      <c r="J183" s="36">
        <f t="shared" si="97"/>
        <v>138.41383663531269</v>
      </c>
      <c r="K183" s="36">
        <f t="shared" si="98"/>
        <v>124.80443183582574</v>
      </c>
      <c r="M183" s="36">
        <f t="shared" si="107"/>
        <v>5.9828876526328001</v>
      </c>
      <c r="N183" s="36">
        <f t="shared" si="108"/>
        <v>138.41479497665725</v>
      </c>
      <c r="O183" s="36">
        <f t="shared" si="109"/>
        <v>124.80302587063564</v>
      </c>
      <c r="P183" s="36"/>
      <c r="Q183" s="32">
        <f t="shared" si="99"/>
        <v>-0.33800000000000002</v>
      </c>
      <c r="R183" s="32">
        <f t="shared" si="100"/>
        <v>-0.16200000000000001</v>
      </c>
      <c r="S183" s="32">
        <f t="shared" si="101"/>
        <v>0.5</v>
      </c>
      <c r="T183" s="32">
        <f t="shared" si="102"/>
        <v>0.5</v>
      </c>
      <c r="W183" s="36">
        <f t="shared" si="103"/>
        <v>1.4901075898155485</v>
      </c>
      <c r="X183" s="36">
        <f t="shared" si="104"/>
        <v>4.6872252246193113</v>
      </c>
      <c r="Y183" s="36">
        <f t="shared" si="105"/>
        <v>24.438107687951021</v>
      </c>
      <c r="AB183" s="48">
        <f t="shared" si="106"/>
        <v>5.8435591757472491E-3</v>
      </c>
      <c r="AC183" s="48">
        <f t="shared" si="95"/>
        <v>1.8381275390663965E-2</v>
      </c>
      <c r="AD183" s="48">
        <f t="shared" si="95"/>
        <v>9.5835716423337339E-2</v>
      </c>
    </row>
    <row r="184" spans="2:30" x14ac:dyDescent="0.3">
      <c r="B184" s="36">
        <f t="shared" si="92"/>
        <v>-4.3186519531259364</v>
      </c>
      <c r="C184" s="36">
        <f t="shared" si="93"/>
        <v>-26.392624540404558</v>
      </c>
      <c r="D184" s="36">
        <f t="shared" si="94"/>
        <v>8.1479798127859357</v>
      </c>
      <c r="E184" s="104"/>
      <c r="F184" s="152"/>
      <c r="G184" s="176"/>
      <c r="H184" s="200"/>
      <c r="I184" s="36">
        <f t="shared" si="96"/>
        <v>41.411126493530709</v>
      </c>
      <c r="J184" s="36">
        <f t="shared" si="97"/>
        <v>122.60733908858496</v>
      </c>
      <c r="K184" s="36">
        <f>$Q$95*AB158*255+$R$95*AC158*255+$S$95*AD158*255+128</f>
        <v>113.77655156575375</v>
      </c>
      <c r="M184" s="36">
        <f t="shared" si="107"/>
        <v>41.411126493530709</v>
      </c>
      <c r="N184" s="36">
        <f t="shared" si="108"/>
        <v>122.61693123713333</v>
      </c>
      <c r="O184" s="36">
        <f t="shared" si="109"/>
        <v>113.76052236881847</v>
      </c>
      <c r="P184" s="36"/>
      <c r="Q184" s="32">
        <f t="shared" si="99"/>
        <v>-0.33800000000000002</v>
      </c>
      <c r="R184" s="32">
        <f t="shared" si="100"/>
        <v>-0.16200000000000001</v>
      </c>
      <c r="S184" s="32">
        <f t="shared" si="101"/>
        <v>0.5</v>
      </c>
      <c r="T184" s="32">
        <f t="shared" si="102"/>
        <v>0.5</v>
      </c>
      <c r="W184" s="36">
        <f t="shared" si="103"/>
        <v>21.434347718346821</v>
      </c>
      <c r="X184" s="36">
        <f t="shared" si="104"/>
        <v>53.438805817731989</v>
      </c>
      <c r="Y184" s="36">
        <f t="shared" si="105"/>
        <v>31.874364129266095</v>
      </c>
      <c r="AB184" s="48">
        <f t="shared" si="106"/>
        <v>8.4056265562144392E-2</v>
      </c>
      <c r="AC184" s="48">
        <f t="shared" si="95"/>
        <v>0.2095639443832627</v>
      </c>
      <c r="AD184" s="48">
        <f t="shared" si="95"/>
        <v>0.1249975063892788</v>
      </c>
    </row>
    <row r="185" spans="2:30" x14ac:dyDescent="0.3">
      <c r="B185" s="36">
        <f t="shared" si="92"/>
        <v>1.0020469238786731</v>
      </c>
      <c r="C185" s="36">
        <f t="shared" si="93"/>
        <v>-27.134691784870924</v>
      </c>
      <c r="D185" s="36">
        <f t="shared" si="94"/>
        <v>2.3594418240367072</v>
      </c>
      <c r="E185" s="105"/>
      <c r="F185" s="153"/>
      <c r="G185" s="177"/>
      <c r="H185" s="201"/>
      <c r="I185" s="36">
        <f t="shared" si="96"/>
        <v>50.669973697399222</v>
      </c>
      <c r="J185" s="36">
        <f t="shared" si="97"/>
        <v>111.02619678449736</v>
      </c>
      <c r="K185" s="36">
        <f t="shared" si="98"/>
        <v>172.08872274920822</v>
      </c>
      <c r="M185" s="36">
        <f t="shared" si="107"/>
        <v>50.669973697399222</v>
      </c>
      <c r="N185" s="36">
        <f t="shared" si="108"/>
        <v>110.99996406097867</v>
      </c>
      <c r="O185" s="36">
        <f t="shared" si="109"/>
        <v>172.08121333827546</v>
      </c>
      <c r="P185" s="36"/>
      <c r="Q185" s="32">
        <f t="shared" si="99"/>
        <v>-0.33800000000000002</v>
      </c>
      <c r="R185" s="32">
        <f t="shared" si="100"/>
        <v>-0.16200000000000001</v>
      </c>
      <c r="S185" s="32">
        <f t="shared" si="101"/>
        <v>0.5</v>
      </c>
      <c r="T185" s="32">
        <f t="shared" si="102"/>
        <v>0.5</v>
      </c>
      <c r="W185" s="36">
        <f t="shared" si="103"/>
        <v>112.46327392028664</v>
      </c>
      <c r="X185" s="36">
        <f t="shared" si="104"/>
        <v>25.04574934534925</v>
      </c>
      <c r="Y185" s="36">
        <f t="shared" si="105"/>
        <v>20.540350258890456</v>
      </c>
      <c r="AB185" s="48">
        <f t="shared" si="106"/>
        <v>0.44103244674622211</v>
      </c>
      <c r="AC185" s="48">
        <f t="shared" si="95"/>
        <v>9.8218624883722544E-2</v>
      </c>
      <c r="AD185" s="48">
        <f t="shared" si="95"/>
        <v>8.0550393172119442E-2</v>
      </c>
    </row>
    <row r="186" spans="2:30" x14ac:dyDescent="0.3">
      <c r="B186" s="36">
        <f t="shared" si="92"/>
        <v>-4.4790447042720132</v>
      </c>
      <c r="C186" s="36">
        <f t="shared" si="93"/>
        <v>-50.934983724843121</v>
      </c>
      <c r="D186" s="36">
        <f t="shared" si="94"/>
        <v>-1.9381188394444713</v>
      </c>
      <c r="E186" s="106"/>
      <c r="F186" s="154"/>
      <c r="G186" s="178"/>
      <c r="H186" s="202"/>
      <c r="I186" s="36">
        <f>$Q$93*AB160*255+$R$93*AC160*255+$S$93*AD160*255</f>
        <v>155.14439888531084</v>
      </c>
      <c r="J186" s="36">
        <f>$Q$94*AB160*255+$R$94*AC160*255+$S$94*AD160*255+128</f>
        <v>87.12952463715736</v>
      </c>
      <c r="K186" s="36">
        <f t="shared" si="98"/>
        <v>151.41496382818789</v>
      </c>
      <c r="M186" s="36">
        <f t="shared" si="107"/>
        <v>155.14439888531084</v>
      </c>
      <c r="N186" s="36">
        <f t="shared" si="108"/>
        <v>87.118894700468303</v>
      </c>
      <c r="O186" s="36">
        <f t="shared" si="109"/>
        <v>151.36921218471034</v>
      </c>
      <c r="P186" s="36"/>
      <c r="Q186" s="32">
        <f t="shared" si="99"/>
        <v>-0.33800000000000002</v>
      </c>
      <c r="R186" s="32">
        <f t="shared" si="100"/>
        <v>-0.16200000000000001</v>
      </c>
      <c r="S186" s="32">
        <f t="shared" si="101"/>
        <v>0.5</v>
      </c>
      <c r="T186" s="32">
        <f t="shared" si="102"/>
        <v>0.5</v>
      </c>
      <c r="W186" s="36">
        <f t="shared" si="103"/>
        <v>187.87446563074241</v>
      </c>
      <c r="X186" s="36">
        <f t="shared" si="104"/>
        <v>152.54180355038221</v>
      </c>
      <c r="Y186" s="36">
        <f t="shared" si="105"/>
        <v>82.700833137232379</v>
      </c>
      <c r="AB186" s="48">
        <f t="shared" si="106"/>
        <v>0.73676261031663692</v>
      </c>
      <c r="AC186" s="48">
        <f t="shared" si="95"/>
        <v>0.59820315117796941</v>
      </c>
      <c r="AD186" s="48">
        <f t="shared" si="95"/>
        <v>0.32431699269502895</v>
      </c>
    </row>
    <row r="187" spans="2:30" x14ac:dyDescent="0.3">
      <c r="B187" s="36">
        <f t="shared" si="92"/>
        <v>1.6452627040604</v>
      </c>
      <c r="C187" s="36">
        <f t="shared" si="93"/>
        <v>-25.950566320208154</v>
      </c>
      <c r="D187" s="36">
        <f t="shared" si="94"/>
        <v>7.6115767453477439</v>
      </c>
      <c r="E187" s="107"/>
      <c r="F187" s="155"/>
      <c r="G187" s="179"/>
      <c r="H187" s="203"/>
      <c r="I187" s="36">
        <f t="shared" si="96"/>
        <v>66.511982411589656</v>
      </c>
      <c r="J187" s="36">
        <f t="shared" si="97"/>
        <v>121.46836235755958</v>
      </c>
      <c r="K187" s="36">
        <f t="shared" si="98"/>
        <v>166.57736189138856</v>
      </c>
      <c r="M187" s="36">
        <f t="shared" si="107"/>
        <v>66.511982411589656</v>
      </c>
      <c r="N187" s="36">
        <f t="shared" si="108"/>
        <v>121.44455706716057</v>
      </c>
      <c r="O187" s="36">
        <f t="shared" si="109"/>
        <v>166.56499495164744</v>
      </c>
      <c r="P187" s="36"/>
      <c r="Q187" s="32">
        <f t="shared" si="99"/>
        <v>-0.33800000000000002</v>
      </c>
      <c r="R187" s="32">
        <f t="shared" si="100"/>
        <v>-0.16200000000000001</v>
      </c>
      <c r="S187" s="32">
        <f t="shared" si="101"/>
        <v>0.5</v>
      </c>
      <c r="T187" s="32">
        <f t="shared" si="102"/>
        <v>0.5</v>
      </c>
      <c r="W187" s="36">
        <f t="shared" si="103"/>
        <v>120.55678078881471</v>
      </c>
      <c r="X187" s="36">
        <f t="shared" si="104"/>
        <v>41.240146429498523</v>
      </c>
      <c r="Y187" s="36">
        <f t="shared" si="105"/>
        <v>54.890692996652938</v>
      </c>
      <c r="AB187" s="48">
        <f t="shared" si="106"/>
        <v>0.47277168936790082</v>
      </c>
      <c r="AC187" s="48">
        <f t="shared" ref="AC187:AC188" si="110">X187/255</f>
        <v>0.16172606442940599</v>
      </c>
      <c r="AD187" s="48">
        <f t="shared" ref="AD187:AD188" si="111">Y187/255</f>
        <v>0.2152576195947174</v>
      </c>
    </row>
    <row r="188" spans="2:30" x14ac:dyDescent="0.3">
      <c r="B188" s="36">
        <f t="shared" si="92"/>
        <v>-2.4002369441930824</v>
      </c>
      <c r="C188" s="36">
        <f t="shared" si="93"/>
        <v>-18.011361149067827</v>
      </c>
      <c r="D188" s="36">
        <f t="shared" si="94"/>
        <v>-8.8639819674585425</v>
      </c>
      <c r="E188" s="108"/>
      <c r="F188" s="156"/>
      <c r="G188" s="180"/>
      <c r="H188" s="204"/>
      <c r="I188" s="36">
        <f t="shared" si="96"/>
        <v>30.898528382886074</v>
      </c>
      <c r="J188" s="36">
        <f>$Q$94*AB162*255+$R$94*AC162*255+$S$94*AD162*255+128</f>
        <v>145.79920649456187</v>
      </c>
      <c r="K188" s="36">
        <f t="shared" si="98"/>
        <v>112.61188169850126</v>
      </c>
      <c r="M188" s="36">
        <f t="shared" si="107"/>
        <v>30.898528382886074</v>
      </c>
      <c r="N188" s="36">
        <f t="shared" si="108"/>
        <v>145.80714989926196</v>
      </c>
      <c r="O188" s="36">
        <f t="shared" si="109"/>
        <v>112.60114899576428</v>
      </c>
      <c r="P188" s="36"/>
      <c r="Q188" s="32">
        <f t="shared" si="99"/>
        <v>-0.33800000000000002</v>
      </c>
      <c r="R188" s="32">
        <f t="shared" si="100"/>
        <v>-0.16200000000000001</v>
      </c>
      <c r="S188" s="32">
        <f t="shared" si="101"/>
        <v>0.5</v>
      </c>
      <c r="T188" s="32">
        <f t="shared" si="102"/>
        <v>0.5</v>
      </c>
      <c r="W188" s="36">
        <f t="shared" si="103"/>
        <v>9.2826067938798218</v>
      </c>
      <c r="X188" s="36">
        <f t="shared" si="104"/>
        <v>35.780609638666206</v>
      </c>
      <c r="Y188" s="36">
        <f t="shared" si="105"/>
        <v>62.454483277359195</v>
      </c>
      <c r="AB188" s="48">
        <f t="shared" si="106"/>
        <v>3.6402379583842438E-2</v>
      </c>
      <c r="AC188" s="48">
        <f t="shared" si="110"/>
        <v>0.14031611623006354</v>
      </c>
      <c r="AD188" s="48">
        <f t="shared" si="111"/>
        <v>0.24491954226415372</v>
      </c>
    </row>
    <row r="189" spans="2:30" x14ac:dyDescent="0.3">
      <c r="B189" s="36">
        <f t="shared" si="92"/>
        <v>-0.74755400973489827</v>
      </c>
      <c r="C189" s="36">
        <f t="shared" si="93"/>
        <v>-1.3410071412122408</v>
      </c>
      <c r="D189" s="36">
        <f t="shared" si="94"/>
        <v>-0.8670124819429007</v>
      </c>
      <c r="E189" s="109"/>
      <c r="F189" s="157"/>
      <c r="G189" s="181"/>
      <c r="H189" s="205"/>
      <c r="I189" s="36">
        <f t="shared" si="96"/>
        <v>202.13552859989326</v>
      </c>
      <c r="J189" s="36">
        <f t="shared" si="97"/>
        <v>123.71128912032532</v>
      </c>
      <c r="K189" s="36">
        <f t="shared" si="98"/>
        <v>132.53525996159081</v>
      </c>
      <c r="M189" s="36">
        <f t="shared" ref="M189:M194" si="112">I189</f>
        <v>202.13552859989326</v>
      </c>
      <c r="N189" s="36">
        <f t="shared" ref="N189:N194" si="113">S189*((AD163*255-AC163*255)+Q189*(AB163*255-AC163*255))+128</f>
        <v>123.70888975521288</v>
      </c>
      <c r="O189" s="36">
        <f t="shared" ref="O189:O194" si="114">T189*((AB163*255-AC163*255)+R189*(AD163*255-AC163*255))+128</f>
        <v>132.47513565357525</v>
      </c>
      <c r="P189" s="36"/>
      <c r="Q189" s="32">
        <f t="shared" ref="Q189:Q194" si="115">IF(I33-J33&gt;0,$AG$12,$AH$12)</f>
        <v>-0.33800000000000002</v>
      </c>
      <c r="R189" s="32">
        <f t="shared" ref="R189:R194" si="116">IF(K33-J33&gt;0,$AI$12,$AJ$12)</f>
        <v>-0.16200000000000001</v>
      </c>
      <c r="S189" s="32">
        <f t="shared" ref="S189:S194" si="117">IF(K33-J33+(I33-J33)*Q189&gt;0,$AC$12,$AD$12)</f>
        <v>0.5</v>
      </c>
      <c r="T189" s="32">
        <f t="shared" ref="T189:T194" si="118">IF((I33-J33)+(K33-J33)*R189&gt;0,$AE$12,$AF$12)</f>
        <v>0.5</v>
      </c>
      <c r="W189" s="36">
        <f t="shared" ref="W189:W194" si="119">IF((M189*$Q$98+(N189-128)*$R$98+(O189-128)*$S$98)&lt;0,0,IF((M189*$Q$98+(N189-128)*$R$98+(O189-128)*$S$98)&gt;255,255,(M189*$Q$98+(N189-128)*$R$98+(O189-128)*$S$98)))</f>
        <v>208.32795210033274</v>
      </c>
      <c r="X189" s="36">
        <f t="shared" ref="X189:X194" si="120">IF((M189*$Q$99+(N189-128)*$R$99+(O189-128)*$S$99)&lt;0,0,IF((M189*$Q$99+(N189-128)*$R$99+(O189-128)*$S$99)&gt;255,255,(M189*$Q$99+(N189-128)*$R$99+(O189-128)*$S$99)))</f>
        <v>200.4581197943221</v>
      </c>
      <c r="Y189" s="36">
        <f t="shared" ref="Y189:Y194" si="121">IF((M189*$Q$100+(N189-128)*$R$100+(O189-128)*$S$100)&lt;0,0,IF((M189*$Q$100+(N189-128)*$R$100+(O189-128)*$S$100)&gt;255,255,(M189*$Q$100+(N189-128)*$R$100+(O189-128)*$S$100)))</f>
        <v>194.5311807247958</v>
      </c>
      <c r="AB189" s="48">
        <f t="shared" ref="AB189:AB194" si="122">W189/255</f>
        <v>0.81697236117777539</v>
      </c>
      <c r="AC189" s="48">
        <f t="shared" ref="AC189:AC194" si="123">X189/255</f>
        <v>0.78611027370322395</v>
      </c>
      <c r="AD189" s="48">
        <f t="shared" ref="AD189:AD194" si="124">Y189/255</f>
        <v>0.76286737539135607</v>
      </c>
    </row>
    <row r="190" spans="2:30" x14ac:dyDescent="0.3">
      <c r="B190" s="36">
        <f t="shared" si="92"/>
        <v>-3.7098635560153639</v>
      </c>
      <c r="C190" s="36">
        <f t="shared" si="93"/>
        <v>-1.1340320912644368</v>
      </c>
      <c r="D190" s="36">
        <f t="shared" si="94"/>
        <v>-1.7978972730767091</v>
      </c>
      <c r="E190" s="110"/>
      <c r="F190" s="158"/>
      <c r="G190" s="182"/>
      <c r="H190" s="206"/>
      <c r="I190" s="36">
        <f t="shared" si="96"/>
        <v>136.08989560048519</v>
      </c>
      <c r="J190" s="36">
        <f t="shared" si="97"/>
        <v>125.34296456890871</v>
      </c>
      <c r="K190" s="36">
        <f t="shared" si="98"/>
        <v>131.31512170424907</v>
      </c>
      <c r="M190" s="36">
        <f t="shared" si="112"/>
        <v>136.08989560048519</v>
      </c>
      <c r="N190" s="36">
        <f t="shared" si="113"/>
        <v>125.34115932708201</v>
      </c>
      <c r="O190" s="36">
        <f t="shared" si="114"/>
        <v>131.27472219775115</v>
      </c>
      <c r="P190" s="36"/>
      <c r="Q190" s="32">
        <f t="shared" si="115"/>
        <v>-0.33800000000000002</v>
      </c>
      <c r="R190" s="32">
        <f t="shared" si="116"/>
        <v>-0.16200000000000001</v>
      </c>
      <c r="S190" s="32">
        <f t="shared" si="117"/>
        <v>0.5</v>
      </c>
      <c r="T190" s="32">
        <f t="shared" si="118"/>
        <v>0.5</v>
      </c>
      <c r="W190" s="36">
        <f t="shared" si="119"/>
        <v>140.62585621880692</v>
      </c>
      <c r="X190" s="36">
        <f t="shared" si="120"/>
        <v>134.69449162525945</v>
      </c>
      <c r="Y190" s="36">
        <f t="shared" si="121"/>
        <v>131.37805269328635</v>
      </c>
      <c r="AB190" s="48">
        <f t="shared" si="122"/>
        <v>0.55147394595610555</v>
      </c>
      <c r="AC190" s="48">
        <f t="shared" si="123"/>
        <v>0.52821369264807627</v>
      </c>
      <c r="AD190" s="48">
        <f t="shared" si="124"/>
        <v>0.51520804977759349</v>
      </c>
    </row>
    <row r="191" spans="2:30" x14ac:dyDescent="0.3">
      <c r="B191" s="36">
        <f t="shared" si="92"/>
        <v>-4.3875905008378737</v>
      </c>
      <c r="C191" s="36">
        <f t="shared" si="93"/>
        <v>-1.6831601238904594</v>
      </c>
      <c r="D191" s="36">
        <f t="shared" si="94"/>
        <v>0.2877734576636502</v>
      </c>
      <c r="E191" s="111"/>
      <c r="F191" s="159"/>
      <c r="G191" s="183"/>
      <c r="H191" s="207"/>
      <c r="I191" s="36">
        <f t="shared" si="96"/>
        <v>75.915634698672349</v>
      </c>
      <c r="J191" s="36">
        <f t="shared" si="97"/>
        <v>126.56592798299835</v>
      </c>
      <c r="K191" s="36">
        <f t="shared" si="98"/>
        <v>128.78749909644003</v>
      </c>
      <c r="M191" s="36">
        <f t="shared" si="112"/>
        <v>75.915634698672349</v>
      </c>
      <c r="N191" s="36">
        <f t="shared" si="113"/>
        <v>126.56559006012854</v>
      </c>
      <c r="O191" s="36">
        <f t="shared" si="114"/>
        <v>128.76474035217262</v>
      </c>
      <c r="P191" s="36"/>
      <c r="Q191" s="32">
        <f t="shared" si="115"/>
        <v>-0.33800000000000002</v>
      </c>
      <c r="R191" s="32">
        <f t="shared" si="116"/>
        <v>-0.16200000000000001</v>
      </c>
      <c r="S191" s="32">
        <f t="shared" si="117"/>
        <v>0.5</v>
      </c>
      <c r="T191" s="32">
        <f t="shared" si="118"/>
        <v>0.5</v>
      </c>
      <c r="W191" s="36">
        <f t="shared" si="119"/>
        <v>76.956983243622091</v>
      </c>
      <c r="X191" s="36">
        <f t="shared" si="120"/>
        <v>75.878849153692784</v>
      </c>
      <c r="Y191" s="36">
        <f t="shared" si="121"/>
        <v>73.373791715892025</v>
      </c>
      <c r="AB191" s="48">
        <f t="shared" si="122"/>
        <v>0.30179209115145916</v>
      </c>
      <c r="AC191" s="48">
        <f t="shared" si="123"/>
        <v>0.29756411432820701</v>
      </c>
      <c r="AD191" s="48">
        <f t="shared" si="124"/>
        <v>0.28774035967016481</v>
      </c>
    </row>
    <row r="192" spans="2:30" x14ac:dyDescent="0.3">
      <c r="B192" s="36">
        <f t="shared" si="92"/>
        <v>-2.295198101045365</v>
      </c>
      <c r="C192" s="36">
        <f t="shared" si="93"/>
        <v>-0.93876597729445943</v>
      </c>
      <c r="D192" s="36">
        <f t="shared" si="94"/>
        <v>-0.30004513193974858</v>
      </c>
      <c r="E192" s="112"/>
      <c r="F192" s="160"/>
      <c r="G192" s="184">
        <v>0.18</v>
      </c>
      <c r="H192" s="208"/>
      <c r="I192" s="36">
        <f t="shared" si="96"/>
        <v>29.14063614229498</v>
      </c>
      <c r="J192" s="36">
        <f t="shared" si="97"/>
        <v>127.12051099283943</v>
      </c>
      <c r="K192" s="36">
        <f t="shared" si="98"/>
        <v>128.45644422271516</v>
      </c>
      <c r="M192" s="36">
        <f t="shared" si="112"/>
        <v>29.14063614229498</v>
      </c>
      <c r="N192" s="36">
        <f t="shared" si="113"/>
        <v>127.12031726594076</v>
      </c>
      <c r="O192" s="36">
        <f t="shared" si="114"/>
        <v>128.44770725060104</v>
      </c>
      <c r="P192" s="36"/>
      <c r="Q192" s="32">
        <f t="shared" si="115"/>
        <v>-0.33800000000000002</v>
      </c>
      <c r="R192" s="32">
        <f t="shared" si="116"/>
        <v>-0.16200000000000001</v>
      </c>
      <c r="S192" s="32">
        <f t="shared" si="117"/>
        <v>0.5</v>
      </c>
      <c r="T192" s="32">
        <f t="shared" si="118"/>
        <v>0.5</v>
      </c>
      <c r="W192" s="36">
        <f t="shared" si="119"/>
        <v>29.75674773401936</v>
      </c>
      <c r="X192" s="36">
        <f t="shared" si="120"/>
        <v>29.129546076331014</v>
      </c>
      <c r="Y192" s="36">
        <f t="shared" si="121"/>
        <v>27.581798447516572</v>
      </c>
      <c r="AB192" s="48">
        <f t="shared" si="122"/>
        <v>0.11669312836870337</v>
      </c>
      <c r="AC192" s="48">
        <f t="shared" si="123"/>
        <v>0.11423351402482751</v>
      </c>
      <c r="AD192" s="48">
        <f t="shared" si="124"/>
        <v>0.10816391548045715</v>
      </c>
    </row>
    <row r="193" spans="2:30" x14ac:dyDescent="0.3">
      <c r="B193" s="36">
        <f t="shared" si="92"/>
        <v>-3.0572773234898065</v>
      </c>
      <c r="C193" s="36">
        <f t="shared" si="93"/>
        <v>-0.26550503649903545</v>
      </c>
      <c r="D193" s="36">
        <f t="shared" si="94"/>
        <v>-7.9078090114057989E-2</v>
      </c>
      <c r="E193" s="113"/>
      <c r="F193" s="161"/>
      <c r="G193" s="185"/>
      <c r="H193" s="209"/>
      <c r="I193" s="36">
        <f t="shared" si="96"/>
        <v>7.3650874313696244</v>
      </c>
      <c r="J193" s="36">
        <f t="shared" si="97"/>
        <v>127.99568506672381</v>
      </c>
      <c r="K193" s="36">
        <f t="shared" si="98"/>
        <v>128.00290884056159</v>
      </c>
      <c r="M193" s="36">
        <f t="shared" si="112"/>
        <v>7.3650874313696244</v>
      </c>
      <c r="N193" s="36">
        <f t="shared" si="113"/>
        <v>127.99568506672381</v>
      </c>
      <c r="O193" s="36">
        <f t="shared" si="114"/>
        <v>128.00069901919073</v>
      </c>
      <c r="P193" s="36"/>
      <c r="Q193" s="32">
        <f t="shared" si="115"/>
        <v>-0.33800000000000002</v>
      </c>
      <c r="R193" s="32">
        <f t="shared" si="116"/>
        <v>-0.16200000000000001</v>
      </c>
      <c r="S193" s="32">
        <f t="shared" si="117"/>
        <v>0.5</v>
      </c>
      <c r="T193" s="32">
        <f t="shared" si="118"/>
        <v>0.5</v>
      </c>
      <c r="W193" s="36">
        <f t="shared" si="119"/>
        <v>7.3629730939223226</v>
      </c>
      <c r="X193" s="36">
        <f t="shared" si="120"/>
        <v>7.3676492781052207</v>
      </c>
      <c r="Y193" s="36">
        <f t="shared" si="121"/>
        <v>7.3574416670095282</v>
      </c>
      <c r="AB193" s="48">
        <f t="shared" si="122"/>
        <v>2.8874404289891461E-2</v>
      </c>
      <c r="AC193" s="48">
        <f t="shared" si="123"/>
        <v>2.8892742267079299E-2</v>
      </c>
      <c r="AD193" s="48">
        <f t="shared" si="124"/>
        <v>2.885271241964521E-2</v>
      </c>
    </row>
    <row r="194" spans="2:30" x14ac:dyDescent="0.3">
      <c r="B194" s="36">
        <f t="shared" si="92"/>
        <v>-0.79336938054193951</v>
      </c>
      <c r="C194" s="36">
        <f t="shared" si="93"/>
        <v>0.49426755434851039</v>
      </c>
      <c r="D194" s="36">
        <f t="shared" si="94"/>
        <v>-2.9482359284562807E-2</v>
      </c>
      <c r="E194" s="114"/>
      <c r="F194" s="162"/>
      <c r="G194" s="186"/>
      <c r="H194" s="210"/>
      <c r="I194" s="36">
        <f t="shared" si="96"/>
        <v>0.98081341523041232</v>
      </c>
      <c r="J194" s="36">
        <f t="shared" si="97"/>
        <v>128.04436074066169</v>
      </c>
      <c r="K194" s="36">
        <f t="shared" si="98"/>
        <v>127.99310476976271</v>
      </c>
      <c r="M194" s="36">
        <f t="shared" si="112"/>
        <v>0.98081341523041232</v>
      </c>
      <c r="N194" s="36">
        <f t="shared" si="113"/>
        <v>128.04436074066169</v>
      </c>
      <c r="O194" s="36">
        <f t="shared" si="114"/>
        <v>127.99281356001281</v>
      </c>
      <c r="P194" s="36"/>
      <c r="Q194" s="32">
        <f t="shared" si="115"/>
        <v>-0.33800000000000002</v>
      </c>
      <c r="R194" s="32">
        <f t="shared" si="116"/>
        <v>-0.16200000000000001</v>
      </c>
      <c r="S194" s="32">
        <f t="shared" si="117"/>
        <v>0.5</v>
      </c>
      <c r="T194" s="32">
        <f t="shared" si="118"/>
        <v>0.5</v>
      </c>
      <c r="W194" s="36">
        <f t="shared" si="119"/>
        <v>0.97029089389140932</v>
      </c>
      <c r="X194" s="36">
        <f t="shared" si="120"/>
        <v>0.97090712036309945</v>
      </c>
      <c r="Y194" s="36">
        <f t="shared" si="121"/>
        <v>1.0594206868749267</v>
      </c>
      <c r="AB194" s="48">
        <f t="shared" si="122"/>
        <v>3.8050623289859189E-3</v>
      </c>
      <c r="AC194" s="48">
        <f t="shared" si="123"/>
        <v>3.8074789033847038E-3</v>
      </c>
      <c r="AD194" s="48">
        <f t="shared" si="124"/>
        <v>4.1545909289212816E-3</v>
      </c>
    </row>
    <row r="195" spans="2:30" x14ac:dyDescent="0.3">
      <c r="N195" s="32"/>
      <c r="O195" s="32"/>
      <c r="P195" s="32"/>
    </row>
    <row r="196" spans="2:30" x14ac:dyDescent="0.3">
      <c r="B196" s="23"/>
      <c r="C196" s="23"/>
      <c r="D196" s="23"/>
      <c r="E196" s="23"/>
      <c r="F196" s="23"/>
      <c r="N196" s="32"/>
      <c r="O196" s="32"/>
      <c r="P196" s="32"/>
    </row>
    <row r="197" spans="2:30" x14ac:dyDescent="0.3">
      <c r="E197" s="36"/>
      <c r="F197" s="36"/>
      <c r="I197" s="36"/>
      <c r="J197" s="36"/>
      <c r="K197" s="36"/>
      <c r="M197" s="36"/>
      <c r="N197" s="36"/>
      <c r="O197" s="36"/>
      <c r="P197" s="36"/>
    </row>
    <row r="198" spans="2:30" x14ac:dyDescent="0.3">
      <c r="E198" s="36"/>
      <c r="F198" s="36"/>
      <c r="I198" s="36"/>
      <c r="J198" s="36"/>
      <c r="K198" s="36"/>
      <c r="M198" s="36"/>
      <c r="N198" s="36"/>
      <c r="O198" s="36"/>
      <c r="P198" s="36"/>
    </row>
    <row r="199" spans="2:30" x14ac:dyDescent="0.3">
      <c r="E199" s="36"/>
      <c r="F199" s="36"/>
      <c r="I199" s="36"/>
      <c r="J199" s="36"/>
      <c r="K199" s="36"/>
      <c r="M199" s="36"/>
      <c r="N199" s="36"/>
      <c r="O199" s="36"/>
      <c r="P199" s="36"/>
    </row>
    <row r="200" spans="2:30" x14ac:dyDescent="0.3">
      <c r="E200" s="36"/>
      <c r="F200" s="36"/>
      <c r="I200" s="36"/>
      <c r="J200" s="36"/>
      <c r="K200" s="36"/>
      <c r="M200" s="36"/>
      <c r="N200" s="36"/>
      <c r="O200" s="36"/>
      <c r="P200" s="36"/>
    </row>
    <row r="201" spans="2:30" x14ac:dyDescent="0.3">
      <c r="E201" s="36"/>
      <c r="F201" s="36"/>
      <c r="I201" s="36"/>
      <c r="J201" s="36"/>
      <c r="K201" s="36"/>
      <c r="M201" s="36"/>
      <c r="N201" s="36"/>
      <c r="O201" s="36"/>
      <c r="P201" s="36"/>
    </row>
    <row r="202" spans="2:30" x14ac:dyDescent="0.3">
      <c r="E202" s="36"/>
      <c r="F202" s="36"/>
      <c r="I202" s="36"/>
      <c r="J202" s="36"/>
      <c r="K202" s="36"/>
      <c r="M202" s="36"/>
      <c r="N202" s="36"/>
      <c r="O202" s="36"/>
      <c r="P202" s="36"/>
    </row>
    <row r="203" spans="2:30" x14ac:dyDescent="0.3">
      <c r="E203" s="36"/>
      <c r="F203" s="36"/>
      <c r="I203" s="36"/>
      <c r="J203" s="36"/>
      <c r="K203" s="36"/>
      <c r="M203" s="36"/>
      <c r="N203" s="36"/>
      <c r="O203" s="36"/>
      <c r="P203" s="36"/>
    </row>
    <row r="204" spans="2:30" x14ac:dyDescent="0.3">
      <c r="E204" s="36"/>
      <c r="F204" s="36"/>
      <c r="I204" s="36"/>
      <c r="J204" s="36"/>
      <c r="K204" s="36"/>
      <c r="M204" s="36"/>
      <c r="N204" s="36"/>
      <c r="O204" s="36"/>
      <c r="P204" s="36"/>
    </row>
    <row r="205" spans="2:30" x14ac:dyDescent="0.3">
      <c r="E205" s="36"/>
      <c r="F205" s="36"/>
      <c r="I205" s="36"/>
      <c r="J205" s="36"/>
      <c r="K205" s="36"/>
      <c r="M205" s="36"/>
      <c r="N205" s="36"/>
      <c r="O205" s="36"/>
      <c r="P205" s="36"/>
    </row>
    <row r="206" spans="2:30" x14ac:dyDescent="0.3">
      <c r="E206" s="36"/>
      <c r="F206" s="36"/>
      <c r="I206" s="36"/>
      <c r="J206" s="36"/>
      <c r="K206" s="36"/>
      <c r="M206" s="36"/>
      <c r="N206" s="36"/>
      <c r="O206" s="36"/>
      <c r="P206" s="36"/>
    </row>
    <row r="207" spans="2:30" x14ac:dyDescent="0.3">
      <c r="E207" s="36"/>
      <c r="F207" s="36"/>
      <c r="I207" s="36"/>
      <c r="J207" s="36"/>
      <c r="K207" s="36"/>
      <c r="M207" s="36"/>
      <c r="N207" s="36"/>
      <c r="O207" s="36"/>
      <c r="P207" s="36"/>
    </row>
    <row r="208" spans="2:30" x14ac:dyDescent="0.3">
      <c r="E208" s="36"/>
      <c r="F208" s="36"/>
      <c r="I208" s="36"/>
      <c r="J208" s="36"/>
      <c r="K208" s="36"/>
      <c r="M208" s="36"/>
      <c r="N208" s="36"/>
      <c r="O208" s="36"/>
      <c r="P208" s="36"/>
    </row>
    <row r="209" spans="5:16" x14ac:dyDescent="0.3">
      <c r="E209" s="36"/>
      <c r="F209" s="36"/>
      <c r="I209" s="36"/>
      <c r="J209" s="36"/>
      <c r="K209" s="36"/>
      <c r="M209" s="36"/>
      <c r="N209" s="36"/>
      <c r="O209" s="36"/>
      <c r="P209" s="36"/>
    </row>
    <row r="210" spans="5:16" x14ac:dyDescent="0.3">
      <c r="E210" s="36"/>
      <c r="F210" s="36"/>
      <c r="I210" s="36"/>
      <c r="J210" s="36"/>
      <c r="K210" s="36"/>
      <c r="M210" s="36"/>
      <c r="N210" s="36"/>
      <c r="O210" s="36"/>
      <c r="P210" s="36"/>
    </row>
    <row r="211" spans="5:16" x14ac:dyDescent="0.3">
      <c r="E211" s="36"/>
      <c r="F211" s="36"/>
      <c r="I211" s="36"/>
      <c r="J211" s="36"/>
      <c r="K211" s="36"/>
      <c r="M211" s="36"/>
      <c r="N211" s="36"/>
      <c r="O211" s="36"/>
      <c r="P211" s="36"/>
    </row>
    <row r="212" spans="5:16" x14ac:dyDescent="0.3">
      <c r="E212" s="36"/>
      <c r="F212" s="36"/>
      <c r="I212" s="36"/>
      <c r="J212" s="36"/>
      <c r="K212" s="36"/>
      <c r="M212" s="36"/>
      <c r="N212" s="36"/>
      <c r="O212" s="36"/>
      <c r="P212" s="36"/>
    </row>
    <row r="213" spans="5:16" x14ac:dyDescent="0.3">
      <c r="E213" s="36"/>
      <c r="F213" s="36"/>
      <c r="I213" s="36"/>
      <c r="J213" s="36"/>
      <c r="K213" s="36"/>
      <c r="M213" s="36"/>
      <c r="N213" s="36"/>
      <c r="O213" s="36"/>
      <c r="P213" s="36"/>
    </row>
    <row r="214" spans="5:16" x14ac:dyDescent="0.3">
      <c r="E214" s="36"/>
      <c r="F214" s="36"/>
      <c r="I214" s="36"/>
      <c r="J214" s="36"/>
      <c r="K214" s="36"/>
      <c r="M214" s="36"/>
      <c r="N214" s="36"/>
      <c r="O214" s="36"/>
      <c r="P214" s="36"/>
    </row>
    <row r="215" spans="5:16" x14ac:dyDescent="0.3">
      <c r="E215" s="36"/>
      <c r="F215" s="36"/>
      <c r="I215" s="36"/>
      <c r="J215" s="36"/>
      <c r="K215" s="36"/>
      <c r="M215" s="36"/>
      <c r="N215" s="36"/>
      <c r="O215" s="36"/>
      <c r="P215" s="36"/>
    </row>
    <row r="216" spans="5:16" x14ac:dyDescent="0.3">
      <c r="E216" s="36"/>
      <c r="F216" s="36"/>
      <c r="I216" s="36"/>
      <c r="J216" s="36"/>
      <c r="K216" s="36"/>
      <c r="M216" s="36"/>
      <c r="N216" s="36"/>
      <c r="O216" s="36"/>
      <c r="P216" s="36"/>
    </row>
    <row r="217" spans="5:16" x14ac:dyDescent="0.3">
      <c r="E217" s="36"/>
      <c r="F217" s="36"/>
      <c r="I217" s="36"/>
      <c r="J217" s="36"/>
      <c r="K217" s="36"/>
      <c r="M217" s="36"/>
      <c r="N217" s="36"/>
      <c r="O217" s="36"/>
      <c r="P217" s="36"/>
    </row>
    <row r="218" spans="5:16" x14ac:dyDescent="0.3">
      <c r="E218" s="36"/>
      <c r="F218" s="36"/>
      <c r="G218" s="65"/>
      <c r="H218" s="65"/>
      <c r="I218" s="36"/>
      <c r="J218" s="36"/>
      <c r="K218" s="36"/>
      <c r="M218" s="36"/>
      <c r="N218" s="36"/>
      <c r="O218" s="36"/>
      <c r="P218" s="36"/>
    </row>
    <row r="219" spans="5:16" x14ac:dyDescent="0.3">
      <c r="E219" s="36"/>
      <c r="F219" s="36"/>
      <c r="I219" s="36"/>
      <c r="J219" s="36"/>
      <c r="K219" s="36"/>
      <c r="M219" s="36"/>
      <c r="N219" s="36"/>
      <c r="O219" s="36"/>
      <c r="P219" s="36"/>
    </row>
    <row r="220" spans="5:16" x14ac:dyDescent="0.3">
      <c r="E220" s="36"/>
      <c r="F220" s="36"/>
      <c r="I220" s="36"/>
      <c r="J220" s="36"/>
      <c r="K220" s="36"/>
      <c r="M220" s="36"/>
      <c r="N220" s="36"/>
      <c r="O220" s="36"/>
      <c r="P220" s="36"/>
    </row>
    <row r="247" spans="2:2" x14ac:dyDescent="0.3">
      <c r="B247" s="52"/>
    </row>
    <row r="248" spans="2:2" x14ac:dyDescent="0.3">
      <c r="B248" s="52"/>
    </row>
    <row r="249" spans="2:2" x14ac:dyDescent="0.3">
      <c r="B249" s="52"/>
    </row>
    <row r="250" spans="2:2" x14ac:dyDescent="0.3">
      <c r="B250" s="52"/>
    </row>
    <row r="251" spans="2:2" x14ac:dyDescent="0.3">
      <c r="B251" s="52"/>
    </row>
  </sheetData>
  <mergeCells count="52">
    <mergeCell ref="AU6:BB7"/>
    <mergeCell ref="AB11:AB12"/>
    <mergeCell ref="I4:I5"/>
    <mergeCell ref="J4:J5"/>
    <mergeCell ref="Q87:S87"/>
    <mergeCell ref="Q74:S74"/>
    <mergeCell ref="Q66:S66"/>
    <mergeCell ref="Q71:S71"/>
    <mergeCell ref="M4:M5"/>
    <mergeCell ref="N4:N5"/>
    <mergeCell ref="O4:O5"/>
    <mergeCell ref="M6:M7"/>
    <mergeCell ref="N6:N7"/>
    <mergeCell ref="O6:O7"/>
    <mergeCell ref="M8:M9"/>
    <mergeCell ref="AL2:AL4"/>
    <mergeCell ref="AG2:AG5"/>
    <mergeCell ref="AH2:AJ5"/>
    <mergeCell ref="Q4:R4"/>
    <mergeCell ref="B11:B12"/>
    <mergeCell ref="C11:J12"/>
    <mergeCell ref="N8:N9"/>
    <mergeCell ref="O8:O9"/>
    <mergeCell ref="M11:M12"/>
    <mergeCell ref="N11:O12"/>
    <mergeCell ref="B2:G6"/>
    <mergeCell ref="B7:G7"/>
    <mergeCell ref="B8:G9"/>
    <mergeCell ref="J8:J9"/>
    <mergeCell ref="K8:K9"/>
    <mergeCell ref="I2:O3"/>
    <mergeCell ref="AO7:AO9"/>
    <mergeCell ref="AO6:AR6"/>
    <mergeCell ref="AB7:AJ7"/>
    <mergeCell ref="AL6:AN6"/>
    <mergeCell ref="Q92:S92"/>
    <mergeCell ref="I169:Y169"/>
    <mergeCell ref="Q97:S97"/>
    <mergeCell ref="AC2:AD5"/>
    <mergeCell ref="AE2:AF5"/>
    <mergeCell ref="T2:T3"/>
    <mergeCell ref="AB2:AB3"/>
    <mergeCell ref="Q82:S82"/>
    <mergeCell ref="Q11:R12"/>
    <mergeCell ref="W6:Y6"/>
    <mergeCell ref="Q2:S3"/>
    <mergeCell ref="Q9:R9"/>
    <mergeCell ref="K4:K5"/>
    <mergeCell ref="K6:K7"/>
    <mergeCell ref="I8:I9"/>
    <mergeCell ref="I6:I7"/>
    <mergeCell ref="J6:J7"/>
  </mergeCells>
  <phoneticPr fontId="1" type="noConversion"/>
  <conditionalFormatting sqref="Q15:Q38">
    <cfRule type="expression" dxfId="21" priority="16">
      <formula>Q15=MIN($Q$15:$Q$38)</formula>
    </cfRule>
    <cfRule type="expression" dxfId="20" priority="30" stopIfTrue="1">
      <formula>Q15=MAX($Q$15:$Q$38)</formula>
    </cfRule>
    <cfRule type="aboveAverage" dxfId="19" priority="31"/>
  </conditionalFormatting>
  <conditionalFormatting sqref="R15:R38">
    <cfRule type="expression" dxfId="18" priority="6">
      <formula>ABS(R15)=MIN(ABS($R$15:$R$38))</formula>
    </cfRule>
    <cfRule type="expression" dxfId="17" priority="28">
      <formula>ABS(R15)=MAX(ABS($R$15:$R$38))</formula>
    </cfRule>
    <cfRule type="expression" dxfId="16" priority="29">
      <formula>ABS(R15)&gt;AVERAGE(ABS($R$15:$R$38))</formula>
    </cfRule>
  </conditionalFormatting>
  <conditionalFormatting sqref="S15:S38">
    <cfRule type="expression" dxfId="15" priority="5">
      <formula>ABS(S15)=MIN(ABS($S$15:$S$38))</formula>
    </cfRule>
    <cfRule type="expression" dxfId="14" priority="26">
      <formula>ABS(S15)=MAX(ABS($S$15:$S$38))</formula>
    </cfRule>
    <cfRule type="expression" dxfId="13" priority="27">
      <formula>ABS(S15)&gt;AVERAGE(ABS($S$15:$S$38))</formula>
    </cfRule>
  </conditionalFormatting>
  <conditionalFormatting sqref="W15:W38">
    <cfRule type="expression" dxfId="12" priority="7">
      <formula>W15=MIN($W$15:$W$38)</formula>
    </cfRule>
    <cfRule type="expression" dxfId="11" priority="14">
      <formula>W15=MAX($W$15:$W$38)</formula>
    </cfRule>
    <cfRule type="expression" dxfId="10" priority="15">
      <formula>W15&gt;AVERAGE($Q$15:$Q$38)</formula>
    </cfRule>
  </conditionalFormatting>
  <conditionalFormatting sqref="X15:X38">
    <cfRule type="expression" dxfId="9" priority="3">
      <formula>ABS(X15)=MIN(ABS($X$15:$X$38))</formula>
    </cfRule>
    <cfRule type="expression" dxfId="8" priority="12">
      <formula>ABS(X15)=MAX(ABS($X$15:$X$38))</formula>
    </cfRule>
    <cfRule type="expression" dxfId="7" priority="13">
      <formula>ABS(X15)&gt;AVERAGE(ABS($R$15:$R$38))</formula>
    </cfRule>
  </conditionalFormatting>
  <conditionalFormatting sqref="Y15:Y38">
    <cfRule type="expression" dxfId="6" priority="2">
      <formula>ABS(Y15)=MIN(ABS($Y$15:$Y$38))</formula>
    </cfRule>
    <cfRule type="expression" dxfId="5" priority="10">
      <formula>ABS(Y15)=MAX(ABS($Y$15:$Y$38))</formula>
    </cfRule>
    <cfRule type="expression" dxfId="4" priority="11">
      <formula>ABS(Y15)&gt;AVERAGE(ABS($S$15:$S$38))</formula>
    </cfRule>
  </conditionalFormatting>
  <conditionalFormatting sqref="Z15:Z38">
    <cfRule type="expression" dxfId="3" priority="1">
      <formula>Z15=MIN($Z$15:$Z$38)</formula>
    </cfRule>
    <cfRule type="expression" dxfId="2" priority="8">
      <formula>Z15=MAX($Z$15:$Z$38)</formula>
    </cfRule>
    <cfRule type="expression" dxfId="1" priority="9">
      <formula>Z15&gt;AVERAGE($T$15:$T$38)</formula>
    </cfRule>
  </conditionalFormatting>
  <conditionalFormatting sqref="T15:T38">
    <cfRule type="aboveAverage" dxfId="0" priority="25"/>
  </conditionalFormatting>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ner 2">
              <controlPr defaultSize="0" autoPict="0">
                <anchor moveWithCells="1" sizeWithCells="1">
                  <from>
                    <xdr:col>8</xdr:col>
                    <xdr:colOff>495300</xdr:colOff>
                    <xdr:row>3</xdr:row>
                    <xdr:rowOff>7620</xdr:rowOff>
                  </from>
                  <to>
                    <xdr:col>8</xdr:col>
                    <xdr:colOff>830580</xdr:colOff>
                    <xdr:row>4</xdr:row>
                    <xdr:rowOff>190500</xdr:rowOff>
                  </to>
                </anchor>
              </controlPr>
            </control>
          </mc:Choice>
        </mc:AlternateContent>
        <mc:AlternateContent xmlns:mc="http://schemas.openxmlformats.org/markup-compatibility/2006">
          <mc:Choice Requires="x14">
            <control shapeId="1043" r:id="rId5" name="Spinner 19">
              <controlPr defaultSize="0" autoPict="0">
                <anchor moveWithCells="1" sizeWithCells="1">
                  <from>
                    <xdr:col>8</xdr:col>
                    <xdr:colOff>495300</xdr:colOff>
                    <xdr:row>5</xdr:row>
                    <xdr:rowOff>7620</xdr:rowOff>
                  </from>
                  <to>
                    <xdr:col>8</xdr:col>
                    <xdr:colOff>830580</xdr:colOff>
                    <xdr:row>6</xdr:row>
                    <xdr:rowOff>190500</xdr:rowOff>
                  </to>
                </anchor>
              </controlPr>
            </control>
          </mc:Choice>
        </mc:AlternateContent>
        <mc:AlternateContent xmlns:mc="http://schemas.openxmlformats.org/markup-compatibility/2006">
          <mc:Choice Requires="x14">
            <control shapeId="1044" r:id="rId6" name="Spinner 20">
              <controlPr defaultSize="0" autoPict="0">
                <anchor moveWithCells="1" sizeWithCells="1">
                  <from>
                    <xdr:col>8</xdr:col>
                    <xdr:colOff>495300</xdr:colOff>
                    <xdr:row>7</xdr:row>
                    <xdr:rowOff>7620</xdr:rowOff>
                  </from>
                  <to>
                    <xdr:col>8</xdr:col>
                    <xdr:colOff>830580</xdr:colOff>
                    <xdr:row>8</xdr:row>
                    <xdr:rowOff>190500</xdr:rowOff>
                  </to>
                </anchor>
              </controlPr>
            </control>
          </mc:Choice>
        </mc:AlternateContent>
        <mc:AlternateContent xmlns:mc="http://schemas.openxmlformats.org/markup-compatibility/2006">
          <mc:Choice Requires="x14">
            <control shapeId="1045" r:id="rId7" name="Spinner 21">
              <controlPr defaultSize="0" autoPict="0">
                <anchor moveWithCells="1" sizeWithCells="1">
                  <from>
                    <xdr:col>9</xdr:col>
                    <xdr:colOff>495300</xdr:colOff>
                    <xdr:row>3</xdr:row>
                    <xdr:rowOff>7620</xdr:rowOff>
                  </from>
                  <to>
                    <xdr:col>9</xdr:col>
                    <xdr:colOff>830580</xdr:colOff>
                    <xdr:row>4</xdr:row>
                    <xdr:rowOff>190500</xdr:rowOff>
                  </to>
                </anchor>
              </controlPr>
            </control>
          </mc:Choice>
        </mc:AlternateContent>
        <mc:AlternateContent xmlns:mc="http://schemas.openxmlformats.org/markup-compatibility/2006">
          <mc:Choice Requires="x14">
            <control shapeId="1046" r:id="rId8" name="Spinner 22">
              <controlPr defaultSize="0" autoPict="0">
                <anchor moveWithCells="1" sizeWithCells="1">
                  <from>
                    <xdr:col>9</xdr:col>
                    <xdr:colOff>495300</xdr:colOff>
                    <xdr:row>5</xdr:row>
                    <xdr:rowOff>7620</xdr:rowOff>
                  </from>
                  <to>
                    <xdr:col>9</xdr:col>
                    <xdr:colOff>830580</xdr:colOff>
                    <xdr:row>6</xdr:row>
                    <xdr:rowOff>190500</xdr:rowOff>
                  </to>
                </anchor>
              </controlPr>
            </control>
          </mc:Choice>
        </mc:AlternateContent>
        <mc:AlternateContent xmlns:mc="http://schemas.openxmlformats.org/markup-compatibility/2006">
          <mc:Choice Requires="x14">
            <control shapeId="1047" r:id="rId9" name="Spinner 23">
              <controlPr defaultSize="0" autoPict="0">
                <anchor moveWithCells="1" sizeWithCells="1">
                  <from>
                    <xdr:col>9</xdr:col>
                    <xdr:colOff>495300</xdr:colOff>
                    <xdr:row>7</xdr:row>
                    <xdr:rowOff>7620</xdr:rowOff>
                  </from>
                  <to>
                    <xdr:col>9</xdr:col>
                    <xdr:colOff>830580</xdr:colOff>
                    <xdr:row>8</xdr:row>
                    <xdr:rowOff>190500</xdr:rowOff>
                  </to>
                </anchor>
              </controlPr>
            </control>
          </mc:Choice>
        </mc:AlternateContent>
        <mc:AlternateContent xmlns:mc="http://schemas.openxmlformats.org/markup-compatibility/2006">
          <mc:Choice Requires="x14">
            <control shapeId="1048" r:id="rId10" name="Spinner 24">
              <controlPr defaultSize="0" autoPict="0">
                <anchor moveWithCells="1" sizeWithCells="1">
                  <from>
                    <xdr:col>10</xdr:col>
                    <xdr:colOff>495300</xdr:colOff>
                    <xdr:row>3</xdr:row>
                    <xdr:rowOff>7620</xdr:rowOff>
                  </from>
                  <to>
                    <xdr:col>11</xdr:col>
                    <xdr:colOff>0</xdr:colOff>
                    <xdr:row>5</xdr:row>
                    <xdr:rowOff>0</xdr:rowOff>
                  </to>
                </anchor>
              </controlPr>
            </control>
          </mc:Choice>
        </mc:AlternateContent>
        <mc:AlternateContent xmlns:mc="http://schemas.openxmlformats.org/markup-compatibility/2006">
          <mc:Choice Requires="x14">
            <control shapeId="1049" r:id="rId11" name="Spinner 25">
              <controlPr defaultSize="0" autoPict="0">
                <anchor moveWithCells="1" sizeWithCells="1">
                  <from>
                    <xdr:col>10</xdr:col>
                    <xdr:colOff>495300</xdr:colOff>
                    <xdr:row>5</xdr:row>
                    <xdr:rowOff>7620</xdr:rowOff>
                  </from>
                  <to>
                    <xdr:col>11</xdr:col>
                    <xdr:colOff>0</xdr:colOff>
                    <xdr:row>7</xdr:row>
                    <xdr:rowOff>0</xdr:rowOff>
                  </to>
                </anchor>
              </controlPr>
            </control>
          </mc:Choice>
        </mc:AlternateContent>
        <mc:AlternateContent xmlns:mc="http://schemas.openxmlformats.org/markup-compatibility/2006">
          <mc:Choice Requires="x14">
            <control shapeId="1050" r:id="rId12" name="Spinner 26">
              <controlPr defaultSize="0" autoPict="0">
                <anchor moveWithCells="1" sizeWithCells="1">
                  <from>
                    <xdr:col>10</xdr:col>
                    <xdr:colOff>495300</xdr:colOff>
                    <xdr:row>7</xdr:row>
                    <xdr:rowOff>7620</xdr:rowOff>
                  </from>
                  <to>
                    <xdr:col>11</xdr:col>
                    <xdr:colOff>0</xdr:colOff>
                    <xdr:row>9</xdr:row>
                    <xdr:rowOff>0</xdr:rowOff>
                  </to>
                </anchor>
              </controlPr>
            </control>
          </mc:Choice>
        </mc:AlternateContent>
        <mc:AlternateContent xmlns:mc="http://schemas.openxmlformats.org/markup-compatibility/2006">
          <mc:Choice Requires="x14">
            <control shapeId="1052" r:id="rId13" name="Button 28">
              <controlPr defaultSize="0" print="0" autoFill="0" autoPict="0" macro="[0]!Module2.zero">
                <anchor moveWithCells="1" sizeWithCells="1">
                  <from>
                    <xdr:col>11</xdr:col>
                    <xdr:colOff>7620</xdr:colOff>
                    <xdr:row>3</xdr:row>
                    <xdr:rowOff>7620</xdr:rowOff>
                  </from>
                  <to>
                    <xdr:col>12</xdr:col>
                    <xdr:colOff>0</xdr:colOff>
                    <xdr:row>5</xdr:row>
                    <xdr:rowOff>0</xdr:rowOff>
                  </to>
                </anchor>
              </controlPr>
            </control>
          </mc:Choice>
        </mc:AlternateContent>
        <mc:AlternateContent xmlns:mc="http://schemas.openxmlformats.org/markup-compatibility/2006">
          <mc:Choice Requires="x14">
            <control shapeId="1053" r:id="rId14" name="Button 29">
              <controlPr defaultSize="0" print="0" autoFill="0" autoPict="0" macro="[0]!Module3.zero">
                <anchor moveWithCells="1" sizeWithCells="1">
                  <from>
                    <xdr:col>11</xdr:col>
                    <xdr:colOff>7620</xdr:colOff>
                    <xdr:row>5</xdr:row>
                    <xdr:rowOff>7620</xdr:rowOff>
                  </from>
                  <to>
                    <xdr:col>12</xdr:col>
                    <xdr:colOff>0</xdr:colOff>
                    <xdr:row>7</xdr:row>
                    <xdr:rowOff>0</xdr:rowOff>
                  </to>
                </anchor>
              </controlPr>
            </control>
          </mc:Choice>
        </mc:AlternateContent>
        <mc:AlternateContent xmlns:mc="http://schemas.openxmlformats.org/markup-compatibility/2006">
          <mc:Choice Requires="x14">
            <control shapeId="1054" r:id="rId15" name="Button 30">
              <controlPr defaultSize="0" print="0" autoFill="0" autoPict="0" macro="[0]!Module4.zero">
                <anchor moveWithCells="1" sizeWithCells="1">
                  <from>
                    <xdr:col>11</xdr:col>
                    <xdr:colOff>7620</xdr:colOff>
                    <xdr:row>7</xdr:row>
                    <xdr:rowOff>7620</xdr:rowOff>
                  </from>
                  <to>
                    <xdr:col>12</xdr:col>
                    <xdr:colOff>0</xdr:colOff>
                    <xdr:row>9</xdr:row>
                    <xdr:rowOff>0</xdr:rowOff>
                  </to>
                </anchor>
              </controlPr>
            </control>
          </mc:Choice>
        </mc:AlternateContent>
        <mc:AlternateContent xmlns:mc="http://schemas.openxmlformats.org/markup-compatibility/2006">
          <mc:Choice Requires="x14">
            <control shapeId="1055" r:id="rId16" name="Spinner 31">
              <controlPr defaultSize="0" autoPict="0">
                <anchor moveWithCells="1" sizeWithCells="1">
                  <from>
                    <xdr:col>14</xdr:col>
                    <xdr:colOff>495300</xdr:colOff>
                    <xdr:row>10</xdr:row>
                    <xdr:rowOff>7620</xdr:rowOff>
                  </from>
                  <to>
                    <xdr:col>15</xdr:col>
                    <xdr:colOff>0</xdr:colOff>
                    <xdr:row>12</xdr:row>
                    <xdr:rowOff>0</xdr:rowOff>
                  </to>
                </anchor>
              </controlPr>
            </control>
          </mc:Choice>
        </mc:AlternateContent>
        <mc:AlternateContent xmlns:mc="http://schemas.openxmlformats.org/markup-compatibility/2006">
          <mc:Choice Requires="x14">
            <control shapeId="1056" r:id="rId17" name="Button 32">
              <controlPr defaultSize="0" print="0" autoFill="0" autoPict="0" macro="[0]!Module5.zero">
                <anchor moveWithCells="1" sizeWithCells="1">
                  <from>
                    <xdr:col>11</xdr:col>
                    <xdr:colOff>7620</xdr:colOff>
                    <xdr:row>10</xdr:row>
                    <xdr:rowOff>7620</xdr:rowOff>
                  </from>
                  <to>
                    <xdr:col>12</xdr:col>
                    <xdr:colOff>0</xdr:colOff>
                    <xdr:row>12</xdr:row>
                    <xdr:rowOff>0</xdr:rowOff>
                  </to>
                </anchor>
              </controlPr>
            </control>
          </mc:Choice>
        </mc:AlternateContent>
        <mc:AlternateContent xmlns:mc="http://schemas.openxmlformats.org/markup-compatibility/2006">
          <mc:Choice Requires="x14">
            <control shapeId="1057" r:id="rId18" name="Spinner 33">
              <controlPr defaultSize="0" autoPict="0">
                <anchor moveWithCells="1" sizeWithCells="1">
                  <from>
                    <xdr:col>13</xdr:col>
                    <xdr:colOff>495300</xdr:colOff>
                    <xdr:row>3</xdr:row>
                    <xdr:rowOff>7620</xdr:rowOff>
                  </from>
                  <to>
                    <xdr:col>14</xdr:col>
                    <xdr:colOff>0</xdr:colOff>
                    <xdr:row>5</xdr:row>
                    <xdr:rowOff>0</xdr:rowOff>
                  </to>
                </anchor>
              </controlPr>
            </control>
          </mc:Choice>
        </mc:AlternateContent>
        <mc:AlternateContent xmlns:mc="http://schemas.openxmlformats.org/markup-compatibility/2006">
          <mc:Choice Requires="x14">
            <control shapeId="1058" r:id="rId19" name="Spinner 34">
              <controlPr defaultSize="0" autoPict="0">
                <anchor moveWithCells="1" sizeWithCells="1">
                  <from>
                    <xdr:col>14</xdr:col>
                    <xdr:colOff>495300</xdr:colOff>
                    <xdr:row>3</xdr:row>
                    <xdr:rowOff>7620</xdr:rowOff>
                  </from>
                  <to>
                    <xdr:col>15</xdr:col>
                    <xdr:colOff>0</xdr:colOff>
                    <xdr:row>5</xdr:row>
                    <xdr:rowOff>0</xdr:rowOff>
                  </to>
                </anchor>
              </controlPr>
            </control>
          </mc:Choice>
        </mc:AlternateContent>
        <mc:AlternateContent xmlns:mc="http://schemas.openxmlformats.org/markup-compatibility/2006">
          <mc:Choice Requires="x14">
            <control shapeId="1059" r:id="rId20" name="Spinner 35">
              <controlPr defaultSize="0" autoPict="0">
                <anchor moveWithCells="1" sizeWithCells="1">
                  <from>
                    <xdr:col>13</xdr:col>
                    <xdr:colOff>495300</xdr:colOff>
                    <xdr:row>5</xdr:row>
                    <xdr:rowOff>7620</xdr:rowOff>
                  </from>
                  <to>
                    <xdr:col>14</xdr:col>
                    <xdr:colOff>0</xdr:colOff>
                    <xdr:row>7</xdr:row>
                    <xdr:rowOff>0</xdr:rowOff>
                  </to>
                </anchor>
              </controlPr>
            </control>
          </mc:Choice>
        </mc:AlternateContent>
        <mc:AlternateContent xmlns:mc="http://schemas.openxmlformats.org/markup-compatibility/2006">
          <mc:Choice Requires="x14">
            <control shapeId="1060" r:id="rId21" name="Spinner 36">
              <controlPr defaultSize="0" autoPict="0">
                <anchor moveWithCells="1" sizeWithCells="1">
                  <from>
                    <xdr:col>13</xdr:col>
                    <xdr:colOff>495300</xdr:colOff>
                    <xdr:row>7</xdr:row>
                    <xdr:rowOff>7620</xdr:rowOff>
                  </from>
                  <to>
                    <xdr:col>14</xdr:col>
                    <xdr:colOff>0</xdr:colOff>
                    <xdr:row>9</xdr:row>
                    <xdr:rowOff>0</xdr:rowOff>
                  </to>
                </anchor>
              </controlPr>
            </control>
          </mc:Choice>
        </mc:AlternateContent>
        <mc:AlternateContent xmlns:mc="http://schemas.openxmlformats.org/markup-compatibility/2006">
          <mc:Choice Requires="x14">
            <control shapeId="1061" r:id="rId22" name="Spinner 37">
              <controlPr defaultSize="0" autoPict="0">
                <anchor moveWithCells="1" sizeWithCells="1">
                  <from>
                    <xdr:col>14</xdr:col>
                    <xdr:colOff>495300</xdr:colOff>
                    <xdr:row>5</xdr:row>
                    <xdr:rowOff>7620</xdr:rowOff>
                  </from>
                  <to>
                    <xdr:col>15</xdr:col>
                    <xdr:colOff>0</xdr:colOff>
                    <xdr:row>7</xdr:row>
                    <xdr:rowOff>0</xdr:rowOff>
                  </to>
                </anchor>
              </controlPr>
            </control>
          </mc:Choice>
        </mc:AlternateContent>
        <mc:AlternateContent xmlns:mc="http://schemas.openxmlformats.org/markup-compatibility/2006">
          <mc:Choice Requires="x14">
            <control shapeId="1062" r:id="rId23" name="Spinner 38">
              <controlPr defaultSize="0" autoPict="0">
                <anchor moveWithCells="1" sizeWithCells="1">
                  <from>
                    <xdr:col>14</xdr:col>
                    <xdr:colOff>495300</xdr:colOff>
                    <xdr:row>7</xdr:row>
                    <xdr:rowOff>7620</xdr:rowOff>
                  </from>
                  <to>
                    <xdr:col>15</xdr:col>
                    <xdr:colOff>0</xdr:colOff>
                    <xdr:row>9</xdr:row>
                    <xdr:rowOff>0</xdr:rowOff>
                  </to>
                </anchor>
              </controlPr>
            </control>
          </mc:Choice>
        </mc:AlternateContent>
        <mc:AlternateContent xmlns:mc="http://schemas.openxmlformats.org/markup-compatibility/2006">
          <mc:Choice Requires="x14">
            <control shapeId="1065" r:id="rId24" name="Spinner 41">
              <controlPr defaultSize="0" autoPict="0">
                <anchor moveWithCells="1" sizeWithCells="1">
                  <from>
                    <xdr:col>28</xdr:col>
                    <xdr:colOff>502920</xdr:colOff>
                    <xdr:row>10</xdr:row>
                    <xdr:rowOff>7620</xdr:rowOff>
                  </from>
                  <to>
                    <xdr:col>29</xdr:col>
                    <xdr:colOff>0</xdr:colOff>
                    <xdr:row>12</xdr:row>
                    <xdr:rowOff>0</xdr:rowOff>
                  </to>
                </anchor>
              </controlPr>
            </control>
          </mc:Choice>
        </mc:AlternateContent>
        <mc:AlternateContent xmlns:mc="http://schemas.openxmlformats.org/markup-compatibility/2006">
          <mc:Choice Requires="x14">
            <control shapeId="1066" r:id="rId25" name="Button 42">
              <controlPr defaultSize="0" print="0" autoFill="0" autoPict="0" macro="[0]!Module6.zero">
                <anchor moveWithCells="1" sizeWithCells="1">
                  <from>
                    <xdr:col>26</xdr:col>
                    <xdr:colOff>7620</xdr:colOff>
                    <xdr:row>10</xdr:row>
                    <xdr:rowOff>7620</xdr:rowOff>
                  </from>
                  <to>
                    <xdr:col>27</xdr:col>
                    <xdr:colOff>0</xdr:colOff>
                    <xdr:row>12</xdr:row>
                    <xdr:rowOff>0</xdr:rowOff>
                  </to>
                </anchor>
              </controlPr>
            </control>
          </mc:Choice>
        </mc:AlternateContent>
        <mc:AlternateContent xmlns:mc="http://schemas.openxmlformats.org/markup-compatibility/2006">
          <mc:Choice Requires="x14">
            <control shapeId="1067" r:id="rId26" name="Spinner 4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68" r:id="rId27" name="Spinner 4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69" r:id="rId28" name="Spinner 45">
              <controlPr defaultSize="0" autoPict="0">
                <anchor moveWithCells="1" sizeWithCells="1">
                  <from>
                    <xdr:col>31</xdr:col>
                    <xdr:colOff>502920</xdr:colOff>
                    <xdr:row>10</xdr:row>
                    <xdr:rowOff>7620</xdr:rowOff>
                  </from>
                  <to>
                    <xdr:col>31</xdr:col>
                    <xdr:colOff>830580</xdr:colOff>
                    <xdr:row>12</xdr:row>
                    <xdr:rowOff>0</xdr:rowOff>
                  </to>
                </anchor>
              </controlPr>
            </control>
          </mc:Choice>
        </mc:AlternateContent>
        <mc:AlternateContent xmlns:mc="http://schemas.openxmlformats.org/markup-compatibility/2006">
          <mc:Choice Requires="x14">
            <control shapeId="1070" r:id="rId29" name="Spinner 46">
              <controlPr defaultSize="0" autoPict="0">
                <anchor moveWithCells="1" sizeWithCells="1">
                  <from>
                    <xdr:col>32</xdr:col>
                    <xdr:colOff>502920</xdr:colOff>
                    <xdr:row>10</xdr:row>
                    <xdr:rowOff>7620</xdr:rowOff>
                  </from>
                  <to>
                    <xdr:col>32</xdr:col>
                    <xdr:colOff>830580</xdr:colOff>
                    <xdr:row>12</xdr:row>
                    <xdr:rowOff>0</xdr:rowOff>
                  </to>
                </anchor>
              </controlPr>
            </control>
          </mc:Choice>
        </mc:AlternateContent>
        <mc:AlternateContent xmlns:mc="http://schemas.openxmlformats.org/markup-compatibility/2006">
          <mc:Choice Requires="x14">
            <control shapeId="1071" r:id="rId30" name="Spinner 47">
              <controlPr defaultSize="0" autoPict="0">
                <anchor moveWithCells="1" sizeWithCells="1">
                  <from>
                    <xdr:col>33</xdr:col>
                    <xdr:colOff>502920</xdr:colOff>
                    <xdr:row>10</xdr:row>
                    <xdr:rowOff>7620</xdr:rowOff>
                  </from>
                  <to>
                    <xdr:col>33</xdr:col>
                    <xdr:colOff>830580</xdr:colOff>
                    <xdr:row>12</xdr:row>
                    <xdr:rowOff>0</xdr:rowOff>
                  </to>
                </anchor>
              </controlPr>
            </control>
          </mc:Choice>
        </mc:AlternateContent>
        <mc:AlternateContent xmlns:mc="http://schemas.openxmlformats.org/markup-compatibility/2006">
          <mc:Choice Requires="x14">
            <control shapeId="1072" r:id="rId31" name="Spinner 48">
              <controlPr defaultSize="0" autoPict="0">
                <anchor moveWithCells="1" sizeWithCells="1">
                  <from>
                    <xdr:col>34</xdr:col>
                    <xdr:colOff>502920</xdr:colOff>
                    <xdr:row>10</xdr:row>
                    <xdr:rowOff>7620</xdr:rowOff>
                  </from>
                  <to>
                    <xdr:col>34</xdr:col>
                    <xdr:colOff>830580</xdr:colOff>
                    <xdr:row>12</xdr:row>
                    <xdr:rowOff>0</xdr:rowOff>
                  </to>
                </anchor>
              </controlPr>
            </control>
          </mc:Choice>
        </mc:AlternateContent>
        <mc:AlternateContent xmlns:mc="http://schemas.openxmlformats.org/markup-compatibility/2006">
          <mc:Choice Requires="x14">
            <control shapeId="1073" r:id="rId32" name="Spinner 49">
              <controlPr defaultSize="0" autoPict="0">
                <anchor moveWithCells="1" sizeWithCells="1">
                  <from>
                    <xdr:col>35</xdr:col>
                    <xdr:colOff>502920</xdr:colOff>
                    <xdr:row>10</xdr:row>
                    <xdr:rowOff>7620</xdr:rowOff>
                  </from>
                  <to>
                    <xdr:col>35</xdr:col>
                    <xdr:colOff>830580</xdr:colOff>
                    <xdr:row>12</xdr:row>
                    <xdr:rowOff>0</xdr:rowOff>
                  </to>
                </anchor>
              </controlPr>
            </control>
          </mc:Choice>
        </mc:AlternateContent>
        <mc:AlternateContent xmlns:mc="http://schemas.openxmlformats.org/markup-compatibility/2006">
          <mc:Choice Requires="x14">
            <control shapeId="1077" r:id="rId33" name="Spinner 5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78" r:id="rId34" name="Spinner 5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79" r:id="rId35" name="Spinner 55">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0" r:id="rId36" name="Spinner 56">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1" r:id="rId37" name="Spinner 5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82" r:id="rId38" name="Spinner 5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83" r:id="rId39" name="Spinner 59">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84" r:id="rId40" name="Spinner 60">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5" r:id="rId41" name="Spinner 61">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6" r:id="rId42" name="Spinner 62">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7" r:id="rId43" name="Spinner 63">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8" r:id="rId44" name="Spinner 64">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9" r:id="rId45" name="Spinner 65">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90" r:id="rId46" name="Spinner 66">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1" r:id="rId47" name="Spinner 6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2" r:id="rId48" name="Spinner 6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3" r:id="rId49" name="Spinner 69">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4" r:id="rId50" name="Spinner 70">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95" r:id="rId51" name="Spinner 71">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6"/>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3">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3">
      <c r="B4" s="258"/>
      <c r="C4" s="222"/>
      <c r="D4" s="222"/>
      <c r="E4" s="222"/>
      <c r="F4" s="234"/>
      <c r="H4" s="29">
        <f t="shared" ref="H4:H67" si="0">J4</f>
        <v>0</v>
      </c>
      <c r="I4" s="32">
        <v>0</v>
      </c>
      <c r="J4" s="32">
        <f>VALUE(MID(O2,1,SEARCH(" ",O2,1)-1))/$F$12</f>
        <v>0</v>
      </c>
      <c r="K4" s="32">
        <v>0</v>
      </c>
      <c r="L4" s="36"/>
      <c r="M4" s="258"/>
      <c r="N4" s="234"/>
      <c r="O4" s="258"/>
      <c r="P4" s="222"/>
      <c r="Q4" s="222"/>
      <c r="R4" s="222"/>
      <c r="S4" s="234"/>
      <c r="T4"/>
      <c r="Y4"/>
    </row>
    <row r="5" spans="2:27" ht="16.5" customHeight="1" x14ac:dyDescent="0.3">
      <c r="B5" s="258"/>
      <c r="C5" s="222"/>
      <c r="D5" s="222"/>
      <c r="E5" s="222"/>
      <c r="F5" s="234"/>
      <c r="H5" s="29">
        <f t="shared" si="0"/>
        <v>4.5</v>
      </c>
      <c r="I5" s="32">
        <v>1</v>
      </c>
      <c r="J5" s="32">
        <f>VALUE(MID($O$2,FIND("*",SUBSTITUTE($O$2," ","*",I5),1)+1,FIND("*",SUBSTITUTE($O$2," ","*",I6),1)-FIND("*",SUBSTITUTE($O$2," ","*",I5),1)-1))/$F$12</f>
        <v>4.5</v>
      </c>
      <c r="K5" s="32">
        <f t="shared" ref="K5:K68" si="1">J5-J4</f>
        <v>4.5</v>
      </c>
      <c r="L5" s="36"/>
      <c r="M5" s="231"/>
      <c r="N5" s="232"/>
      <c r="O5" s="231"/>
      <c r="P5" s="237"/>
      <c r="Q5" s="237"/>
      <c r="R5" s="237"/>
      <c r="S5" s="232"/>
      <c r="T5"/>
      <c r="Y5"/>
    </row>
    <row r="6" spans="2:27" ht="16.5" customHeight="1" x14ac:dyDescent="0.3">
      <c r="B6" s="258"/>
      <c r="C6" s="222"/>
      <c r="D6" s="222"/>
      <c r="E6" s="222"/>
      <c r="F6" s="234"/>
      <c r="H6" s="29">
        <f t="shared" si="0"/>
        <v>7.5</v>
      </c>
      <c r="I6" s="32">
        <v>2</v>
      </c>
      <c r="J6" s="32">
        <f t="shared" ref="J6:J69" si="2">VALUE(MID($O$2,FIND("*",SUBSTITUTE($O$2," ","*",I6),1)+1,FIND("*",SUBSTITUTE($O$2," ","*",I7),1)-FIND("*",SUBSTITUTE($O$2," ","*",I6),1)-1))/$F$12</f>
        <v>7.5</v>
      </c>
      <c r="K6" s="32">
        <f t="shared" si="1"/>
        <v>3</v>
      </c>
      <c r="L6" s="36"/>
    </row>
    <row r="7" spans="2:27" x14ac:dyDescent="0.3">
      <c r="B7" s="258"/>
      <c r="C7" s="222"/>
      <c r="D7" s="222"/>
      <c r="E7" s="222"/>
      <c r="F7" s="234"/>
      <c r="H7" s="29">
        <f t="shared" si="0"/>
        <v>10.5</v>
      </c>
      <c r="I7" s="32">
        <v>3</v>
      </c>
      <c r="J7" s="32">
        <f t="shared" si="2"/>
        <v>10.5</v>
      </c>
      <c r="K7" s="32">
        <f t="shared" si="1"/>
        <v>3</v>
      </c>
      <c r="L7" s="36"/>
    </row>
    <row r="8" spans="2:27" x14ac:dyDescent="0.3">
      <c r="B8" s="258"/>
      <c r="C8" s="222"/>
      <c r="D8" s="222"/>
      <c r="E8" s="222"/>
      <c r="F8" s="234"/>
      <c r="G8"/>
      <c r="H8" s="29">
        <f t="shared" si="0"/>
        <v>13.5</v>
      </c>
      <c r="I8" s="32">
        <v>4</v>
      </c>
      <c r="J8" s="32">
        <f t="shared" si="2"/>
        <v>13.5</v>
      </c>
      <c r="K8" s="32">
        <f t="shared" si="1"/>
        <v>3</v>
      </c>
      <c r="L8" s="22"/>
    </row>
    <row r="9" spans="2:27" x14ac:dyDescent="0.3">
      <c r="B9" s="231"/>
      <c r="C9" s="237"/>
      <c r="D9" s="237"/>
      <c r="E9" s="237"/>
      <c r="F9" s="232"/>
      <c r="G9"/>
      <c r="H9" s="29">
        <f t="shared" si="0"/>
        <v>16.5</v>
      </c>
      <c r="I9" s="32">
        <v>5</v>
      </c>
      <c r="J9" s="32">
        <f t="shared" si="2"/>
        <v>16.5</v>
      </c>
      <c r="K9" s="32">
        <f t="shared" si="1"/>
        <v>3</v>
      </c>
      <c r="L9" s="22"/>
    </row>
    <row r="10" spans="2:27" x14ac:dyDescent="0.3">
      <c r="H10" s="29">
        <f t="shared" si="0"/>
        <v>19.5</v>
      </c>
      <c r="I10" s="32">
        <v>6</v>
      </c>
      <c r="J10" s="32">
        <f t="shared" si="2"/>
        <v>19.5</v>
      </c>
      <c r="K10" s="32">
        <f t="shared" si="1"/>
        <v>3</v>
      </c>
    </row>
    <row r="11" spans="2:27" ht="16.5" customHeight="1" x14ac:dyDescent="0.3">
      <c r="B11" s="274" t="s">
        <v>117</v>
      </c>
      <c r="C11" s="274"/>
      <c r="D11" s="274"/>
      <c r="E11" s="274"/>
      <c r="F11" s="60" t="s">
        <v>138</v>
      </c>
      <c r="H11" s="29">
        <f t="shared" si="0"/>
        <v>23</v>
      </c>
      <c r="I11" s="32">
        <v>7</v>
      </c>
      <c r="J11" s="32">
        <f t="shared" si="2"/>
        <v>23</v>
      </c>
      <c r="K11" s="32">
        <f t="shared" si="1"/>
        <v>3.5</v>
      </c>
    </row>
    <row r="12" spans="2:27" x14ac:dyDescent="0.3">
      <c r="B12" s="274"/>
      <c r="C12" s="274"/>
      <c r="D12" s="274"/>
      <c r="E12" s="274"/>
      <c r="F12" s="269">
        <v>4</v>
      </c>
      <c r="H12" s="29">
        <f t="shared" si="0"/>
        <v>26.5</v>
      </c>
      <c r="I12" s="32">
        <v>8</v>
      </c>
      <c r="J12" s="32">
        <f t="shared" si="2"/>
        <v>26.5</v>
      </c>
      <c r="K12" s="32">
        <f t="shared" si="1"/>
        <v>3.5</v>
      </c>
    </row>
    <row r="13" spans="2:27" x14ac:dyDescent="0.3">
      <c r="B13" s="274"/>
      <c r="C13" s="274"/>
      <c r="D13" s="274"/>
      <c r="E13" s="274"/>
      <c r="F13" s="269"/>
      <c r="H13" s="29">
        <f t="shared" si="0"/>
        <v>29.5</v>
      </c>
      <c r="I13" s="32">
        <v>9</v>
      </c>
      <c r="J13" s="32">
        <f t="shared" si="2"/>
        <v>29.5</v>
      </c>
      <c r="K13" s="32">
        <f t="shared" si="1"/>
        <v>3</v>
      </c>
    </row>
    <row r="14" spans="2:27" x14ac:dyDescent="0.3">
      <c r="H14" s="29">
        <f t="shared" si="0"/>
        <v>33.25</v>
      </c>
      <c r="I14" s="32">
        <v>10</v>
      </c>
      <c r="J14" s="32">
        <f t="shared" si="2"/>
        <v>33.25</v>
      </c>
      <c r="K14" s="32">
        <f t="shared" si="1"/>
        <v>3.75</v>
      </c>
    </row>
    <row r="15" spans="2:27" x14ac:dyDescent="0.3">
      <c r="B15" s="30" t="s">
        <v>118</v>
      </c>
      <c r="C15" s="32" t="s">
        <v>119</v>
      </c>
      <c r="D15" s="32" t="s">
        <v>120</v>
      </c>
      <c r="E15" s="32" t="s">
        <v>121</v>
      </c>
      <c r="F15" s="32" t="s">
        <v>120</v>
      </c>
      <c r="H15" s="29">
        <f t="shared" si="0"/>
        <v>36.75</v>
      </c>
      <c r="I15" s="32">
        <v>11</v>
      </c>
      <c r="J15" s="32">
        <f t="shared" si="2"/>
        <v>36.75</v>
      </c>
      <c r="K15" s="32">
        <f t="shared" si="1"/>
        <v>3.5</v>
      </c>
    </row>
    <row r="16" spans="2:27" x14ac:dyDescent="0.3">
      <c r="B16" s="32">
        <v>1</v>
      </c>
      <c r="C16" s="32">
        <f>colorCalculate!I41*255</f>
        <v>47.586123875103631</v>
      </c>
      <c r="D16" s="54">
        <f t="shared" ref="D16:D33" si="3">IF(C42=D42,E42,((F42-E42)*C16)/(D42-C42)+E42-(C42*((F42-E42)/(D42-C42))))</f>
        <v>14.61204129170121</v>
      </c>
      <c r="E16" s="32">
        <f>IF(C68-D68=0,VLOOKUP(F16,$I$4:$J$260,2),((F68-E68)*F16)/(D68-C68)+E68-(C68*((F68-E68)/(D68-C68))))</f>
        <v>47.586123875103624</v>
      </c>
      <c r="F16" s="55">
        <f>colorCalculate!W145</f>
        <v>14.61204129170121</v>
      </c>
      <c r="H16" s="29">
        <f t="shared" si="0"/>
        <v>39.75</v>
      </c>
      <c r="I16" s="32">
        <v>12</v>
      </c>
      <c r="J16" s="32">
        <f t="shared" si="2"/>
        <v>39.75</v>
      </c>
      <c r="K16" s="32">
        <f t="shared" si="1"/>
        <v>3</v>
      </c>
    </row>
    <row r="17" spans="2:18" x14ac:dyDescent="0.3">
      <c r="B17" s="32">
        <v>2</v>
      </c>
      <c r="C17" s="32">
        <f>colorCalculate!I42*255</f>
        <v>183.87110525761463</v>
      </c>
      <c r="D17" s="54">
        <f t="shared" si="3"/>
        <v>115.24221051522926</v>
      </c>
      <c r="E17" s="32">
        <f t="shared" ref="E17:E39" si="4">IF(C69-D69=0,VLOOKUP(F17,$I$4:$J$260,2),((F69-E69)*F17)/(D69-C69)+E69-(C69*((F69-E69)/(D69-C69))))</f>
        <v>183.87110525761463</v>
      </c>
      <c r="F17" s="55">
        <f>colorCalculate!W146</f>
        <v>115.24221051522926</v>
      </c>
      <c r="H17" s="29">
        <f t="shared" si="0"/>
        <v>42.75</v>
      </c>
      <c r="I17" s="32">
        <v>13</v>
      </c>
      <c r="J17" s="32">
        <f t="shared" si="2"/>
        <v>42.75</v>
      </c>
      <c r="K17" s="32">
        <f t="shared" si="1"/>
        <v>3</v>
      </c>
    </row>
    <row r="18" spans="2:18" x14ac:dyDescent="0.3">
      <c r="B18" s="32">
        <v>3</v>
      </c>
      <c r="C18" s="32">
        <f>colorCalculate!I43*255</f>
        <v>49.671338992121001</v>
      </c>
      <c r="D18" s="54">
        <f t="shared" si="3"/>
        <v>15.307112997373668</v>
      </c>
      <c r="E18" s="32">
        <f t="shared" si="4"/>
        <v>49.671338992121008</v>
      </c>
      <c r="F18" s="55">
        <f>colorCalculate!W147</f>
        <v>15.307112997373668</v>
      </c>
      <c r="H18" s="29">
        <f t="shared" si="0"/>
        <v>45.75</v>
      </c>
      <c r="I18" s="32">
        <v>14</v>
      </c>
      <c r="J18" s="32">
        <f t="shared" si="2"/>
        <v>45.75</v>
      </c>
      <c r="K18" s="32">
        <f t="shared" si="1"/>
        <v>3</v>
      </c>
    </row>
    <row r="19" spans="2:18" x14ac:dyDescent="0.3">
      <c r="B19" s="32">
        <v>4</v>
      </c>
      <c r="C19" s="32">
        <f>colorCalculate!I44*255</f>
        <v>32.407760876849309</v>
      </c>
      <c r="D19" s="54">
        <f t="shared" si="3"/>
        <v>9.7754029004931482</v>
      </c>
      <c r="E19" s="32">
        <f t="shared" si="4"/>
        <v>32.407760876849309</v>
      </c>
      <c r="F19" s="55">
        <f>colorCalculate!W148</f>
        <v>9.7754029004931482</v>
      </c>
      <c r="H19" s="29">
        <f t="shared" si="0"/>
        <v>48.75</v>
      </c>
      <c r="I19" s="32">
        <v>15</v>
      </c>
      <c r="J19" s="32">
        <f t="shared" si="2"/>
        <v>48.75</v>
      </c>
      <c r="K19" s="32">
        <f t="shared" si="1"/>
        <v>3</v>
      </c>
    </row>
    <row r="20" spans="2:18" x14ac:dyDescent="0.3">
      <c r="B20" s="32">
        <v>5</v>
      </c>
      <c r="C20" s="32">
        <f>colorCalculate!I45*255</f>
        <v>95.304969008183122</v>
      </c>
      <c r="D20" s="54">
        <f t="shared" si="3"/>
        <v>36.031410861818934</v>
      </c>
      <c r="E20" s="32">
        <f t="shared" si="4"/>
        <v>95.30496900818315</v>
      </c>
      <c r="F20" s="55">
        <f>colorCalculate!W149</f>
        <v>36.031410861818934</v>
      </c>
      <c r="H20" s="29">
        <f t="shared" si="0"/>
        <v>51.75</v>
      </c>
      <c r="I20" s="32">
        <v>16</v>
      </c>
      <c r="J20" s="32">
        <f t="shared" si="2"/>
        <v>51.75</v>
      </c>
      <c r="K20" s="32">
        <f t="shared" si="1"/>
        <v>3</v>
      </c>
    </row>
    <row r="21" spans="2:18" x14ac:dyDescent="0.3">
      <c r="B21" s="32">
        <v>6</v>
      </c>
      <c r="C21" s="32">
        <f>colorCalculate!I46*255</f>
        <v>83.050346417319332</v>
      </c>
      <c r="D21" s="54">
        <f t="shared" si="3"/>
        <v>29.400173208659666</v>
      </c>
      <c r="E21" s="32">
        <f t="shared" si="4"/>
        <v>83.050346417319332</v>
      </c>
      <c r="F21" s="55">
        <f>colorCalculate!W150</f>
        <v>29.400173208659666</v>
      </c>
      <c r="H21" s="29">
        <f t="shared" si="0"/>
        <v>54.25</v>
      </c>
      <c r="I21" s="32">
        <v>17</v>
      </c>
      <c r="J21" s="32">
        <f t="shared" si="2"/>
        <v>54.25</v>
      </c>
      <c r="K21" s="32">
        <f t="shared" si="1"/>
        <v>2.5</v>
      </c>
    </row>
    <row r="22" spans="2:18" x14ac:dyDescent="0.3">
      <c r="B22" s="32">
        <v>7</v>
      </c>
      <c r="C22" s="32">
        <f>colorCalculate!I47*255</f>
        <v>173.99236403822491</v>
      </c>
      <c r="D22" s="54">
        <f t="shared" si="3"/>
        <v>102.24236403822488</v>
      </c>
      <c r="E22" s="32">
        <f t="shared" si="4"/>
        <v>173.99236403822488</v>
      </c>
      <c r="F22" s="55">
        <f>colorCalculate!W151</f>
        <v>102.24236403822488</v>
      </c>
      <c r="H22" s="29">
        <f t="shared" si="0"/>
        <v>56.75</v>
      </c>
      <c r="I22" s="32">
        <v>18</v>
      </c>
      <c r="J22" s="32">
        <f t="shared" si="2"/>
        <v>56.75</v>
      </c>
      <c r="K22" s="32">
        <f t="shared" si="1"/>
        <v>2.5</v>
      </c>
    </row>
    <row r="23" spans="2:18" x14ac:dyDescent="0.3">
      <c r="B23" s="32">
        <v>8</v>
      </c>
      <c r="C23" s="32">
        <f>colorCalculate!I48*255</f>
        <v>16.391451367765935</v>
      </c>
      <c r="D23" s="54">
        <f t="shared" si="3"/>
        <v>4.9638171225886438</v>
      </c>
      <c r="E23" s="32">
        <f t="shared" si="4"/>
        <v>16.391451367765931</v>
      </c>
      <c r="F23" s="55">
        <f>colorCalculate!W152</f>
        <v>4.9638171225886438</v>
      </c>
      <c r="H23" s="29">
        <f t="shared" si="0"/>
        <v>59.75</v>
      </c>
      <c r="I23" s="32">
        <v>19</v>
      </c>
      <c r="J23" s="32">
        <f t="shared" si="2"/>
        <v>59.75</v>
      </c>
      <c r="K23" s="32">
        <f t="shared" si="1"/>
        <v>3</v>
      </c>
    </row>
    <row r="24" spans="2:18" x14ac:dyDescent="0.3">
      <c r="B24" s="32">
        <v>9</v>
      </c>
      <c r="C24" s="32">
        <f>colorCalculate!I49*255</f>
        <v>146.98590305735524</v>
      </c>
      <c r="D24" s="54">
        <f t="shared" si="3"/>
        <v>73.985903057355245</v>
      </c>
      <c r="E24" s="32">
        <f t="shared" si="4"/>
        <v>146.98590305735524</v>
      </c>
      <c r="F24" s="55">
        <f>colorCalculate!W153</f>
        <v>73.985903057355245</v>
      </c>
      <c r="H24" s="29">
        <f t="shared" si="0"/>
        <v>62.25</v>
      </c>
      <c r="I24" s="32">
        <v>20</v>
      </c>
      <c r="J24" s="32">
        <f t="shared" si="2"/>
        <v>62.25</v>
      </c>
      <c r="K24" s="32">
        <f t="shared" si="1"/>
        <v>2.5</v>
      </c>
      <c r="M24"/>
      <c r="N24"/>
      <c r="O24"/>
      <c r="P24"/>
      <c r="Q24"/>
    </row>
    <row r="25" spans="2:18" x14ac:dyDescent="0.3">
      <c r="B25" s="32">
        <v>10</v>
      </c>
      <c r="C25" s="32">
        <f>colorCalculate!I50*255</f>
        <v>23.849780784973529</v>
      </c>
      <c r="D25" s="54">
        <f t="shared" si="3"/>
        <v>7.2427945099924376</v>
      </c>
      <c r="E25" s="32">
        <f t="shared" si="4"/>
        <v>23.849780784973532</v>
      </c>
      <c r="F25" s="55">
        <f>colorCalculate!W154</f>
        <v>7.2427945099924376</v>
      </c>
      <c r="H25" s="29">
        <f t="shared" si="0"/>
        <v>64.75</v>
      </c>
      <c r="I25" s="32">
        <v>21</v>
      </c>
      <c r="J25" s="32">
        <f t="shared" si="2"/>
        <v>64.75</v>
      </c>
      <c r="K25" s="32">
        <f t="shared" si="1"/>
        <v>2.5</v>
      </c>
      <c r="M25"/>
      <c r="N25"/>
      <c r="O25"/>
      <c r="P25"/>
      <c r="Q25"/>
      <c r="R25"/>
    </row>
    <row r="26" spans="2:18" x14ac:dyDescent="0.3">
      <c r="B26" s="32">
        <v>11</v>
      </c>
      <c r="C26" s="32">
        <f>colorCalculate!I51*255</f>
        <v>105.3477219834259</v>
      </c>
      <c r="D26" s="54">
        <f t="shared" si="3"/>
        <v>42.231814655617271</v>
      </c>
      <c r="E26" s="32">
        <f t="shared" si="4"/>
        <v>105.34772198342591</v>
      </c>
      <c r="F26" s="55">
        <f>colorCalculate!W155</f>
        <v>42.231814655617271</v>
      </c>
      <c r="H26" s="29">
        <f t="shared" si="0"/>
        <v>67.25</v>
      </c>
      <c r="I26" s="32">
        <v>22</v>
      </c>
      <c r="J26" s="32">
        <f t="shared" si="2"/>
        <v>67.25</v>
      </c>
      <c r="K26" s="32">
        <f t="shared" si="1"/>
        <v>2.5</v>
      </c>
      <c r="M26"/>
      <c r="N26"/>
      <c r="O26"/>
      <c r="P26"/>
      <c r="Q26"/>
      <c r="R26"/>
    </row>
    <row r="27" spans="2:18" x14ac:dyDescent="0.3">
      <c r="B27" s="32">
        <v>12</v>
      </c>
      <c r="C27" s="32">
        <f>colorCalculate!I52*255</f>
        <v>175.41550221315208</v>
      </c>
      <c r="D27" s="54">
        <f t="shared" si="3"/>
        <v>104.22066961753612</v>
      </c>
      <c r="E27" s="32">
        <f t="shared" si="4"/>
        <v>175.41550221315208</v>
      </c>
      <c r="F27" s="55">
        <f>colorCalculate!W156</f>
        <v>104.22066961753612</v>
      </c>
      <c r="H27" s="29">
        <f t="shared" si="0"/>
        <v>69.25</v>
      </c>
      <c r="I27" s="32">
        <v>23</v>
      </c>
      <c r="J27" s="32">
        <f t="shared" si="2"/>
        <v>69.25</v>
      </c>
      <c r="K27" s="32">
        <f t="shared" si="1"/>
        <v>2</v>
      </c>
      <c r="M27"/>
      <c r="N27"/>
      <c r="O27"/>
      <c r="P27"/>
      <c r="Q27"/>
      <c r="R27"/>
    </row>
    <row r="28" spans="2:18" x14ac:dyDescent="0.3">
      <c r="B28" s="32">
        <v>13</v>
      </c>
      <c r="C28" s="32">
        <f>colorCalculate!I53*255</f>
        <v>1.4920794851511259</v>
      </c>
      <c r="D28" s="54">
        <f t="shared" si="3"/>
        <v>0.33157321892247243</v>
      </c>
      <c r="E28" s="32">
        <f t="shared" si="4"/>
        <v>1.4920794851511259</v>
      </c>
      <c r="F28" s="55">
        <f>colorCalculate!W157</f>
        <v>0.33157321892247243</v>
      </c>
      <c r="H28" s="29">
        <f t="shared" si="0"/>
        <v>71.75</v>
      </c>
      <c r="I28" s="32">
        <v>24</v>
      </c>
      <c r="J28" s="32">
        <f t="shared" si="2"/>
        <v>71.75</v>
      </c>
      <c r="K28" s="32">
        <f t="shared" si="1"/>
        <v>2.5</v>
      </c>
      <c r="M28"/>
      <c r="N28"/>
      <c r="O28"/>
      <c r="P28"/>
      <c r="Q28"/>
      <c r="R28"/>
    </row>
    <row r="29" spans="2:18" x14ac:dyDescent="0.3">
      <c r="B29" s="32">
        <v>14</v>
      </c>
      <c r="C29" s="32">
        <f>colorCalculate!I54*255</f>
        <v>21.456827956316125</v>
      </c>
      <c r="D29" s="54">
        <f t="shared" si="3"/>
        <v>6.559093701804608</v>
      </c>
      <c r="E29" s="32">
        <f t="shared" si="4"/>
        <v>21.456827956316133</v>
      </c>
      <c r="F29" s="55">
        <f>colorCalculate!W158</f>
        <v>6.559093701804608</v>
      </c>
      <c r="H29" s="29">
        <f t="shared" si="0"/>
        <v>74.25</v>
      </c>
      <c r="I29" s="32">
        <v>25</v>
      </c>
      <c r="J29" s="32">
        <f t="shared" si="2"/>
        <v>74.25</v>
      </c>
      <c r="K29" s="32">
        <f t="shared" si="1"/>
        <v>2.5</v>
      </c>
      <c r="M29"/>
      <c r="N29"/>
      <c r="O29"/>
      <c r="P29"/>
      <c r="Q29"/>
      <c r="R29"/>
    </row>
    <row r="30" spans="2:18" x14ac:dyDescent="0.3">
      <c r="B30" s="32">
        <v>15</v>
      </c>
      <c r="C30" s="32">
        <f>colorCalculate!I55*255</f>
        <v>112.4650420063227</v>
      </c>
      <c r="D30" s="54">
        <f t="shared" si="3"/>
        <v>46.982521003161352</v>
      </c>
      <c r="E30" s="32">
        <f t="shared" si="4"/>
        <v>112.47378150474202</v>
      </c>
      <c r="F30" s="55">
        <f>colorCalculate!W159</f>
        <v>46.982521003161352</v>
      </c>
      <c r="H30" s="29">
        <f t="shared" si="0"/>
        <v>76.25</v>
      </c>
      <c r="I30" s="32">
        <v>26</v>
      </c>
      <c r="J30" s="32">
        <f t="shared" si="2"/>
        <v>76.25</v>
      </c>
      <c r="K30" s="32">
        <f t="shared" si="1"/>
        <v>2</v>
      </c>
      <c r="M30"/>
      <c r="N30"/>
      <c r="O30"/>
      <c r="P30"/>
      <c r="Q30"/>
      <c r="R30"/>
    </row>
    <row r="31" spans="2:18" x14ac:dyDescent="0.3">
      <c r="B31" s="32">
        <v>16</v>
      </c>
      <c r="C31" s="32">
        <f>colorCalculate!I56*255</f>
        <v>187.93860055535984</v>
      </c>
      <c r="D31" s="54">
        <f t="shared" si="3"/>
        <v>120.91813407381309</v>
      </c>
      <c r="E31" s="32">
        <f t="shared" si="4"/>
        <v>187.93860055535981</v>
      </c>
      <c r="F31" s="55">
        <f>colorCalculate!W160</f>
        <v>120.91813407381309</v>
      </c>
      <c r="H31" s="29">
        <f t="shared" si="0"/>
        <v>78.25</v>
      </c>
      <c r="I31" s="32">
        <v>27</v>
      </c>
      <c r="J31" s="32">
        <f t="shared" si="2"/>
        <v>78.25</v>
      </c>
      <c r="K31" s="32">
        <f t="shared" si="1"/>
        <v>2</v>
      </c>
      <c r="M31"/>
      <c r="N31"/>
      <c r="O31"/>
      <c r="P31"/>
      <c r="Q31"/>
      <c r="R31"/>
    </row>
    <row r="32" spans="2:18" x14ac:dyDescent="0.3">
      <c r="B32" s="32">
        <v>17</v>
      </c>
      <c r="C32" s="32">
        <f>colorCalculate!I57*255</f>
        <v>120.57410046710244</v>
      </c>
      <c r="D32" s="54">
        <f t="shared" si="3"/>
        <v>52.382733644734969</v>
      </c>
      <c r="E32" s="32">
        <f t="shared" si="4"/>
        <v>120.57410046710245</v>
      </c>
      <c r="F32" s="55">
        <f>colorCalculate!W161</f>
        <v>52.382733644734969</v>
      </c>
      <c r="H32" s="29">
        <f t="shared" si="0"/>
        <v>80.25</v>
      </c>
      <c r="I32" s="32">
        <v>28</v>
      </c>
      <c r="J32" s="32">
        <f t="shared" si="2"/>
        <v>80.25</v>
      </c>
      <c r="K32" s="32">
        <f t="shared" si="1"/>
        <v>2</v>
      </c>
      <c r="M32"/>
      <c r="N32"/>
      <c r="O32"/>
      <c r="P32"/>
      <c r="Q32"/>
      <c r="R32"/>
    </row>
    <row r="33" spans="2:18" x14ac:dyDescent="0.3">
      <c r="B33" s="32">
        <v>18</v>
      </c>
      <c r="C33" s="32">
        <f>colorCalculate!I58*255</f>
        <v>9.2976601229872404</v>
      </c>
      <c r="D33" s="54">
        <f t="shared" si="3"/>
        <v>2.5992200409957462</v>
      </c>
      <c r="E33" s="32">
        <f t="shared" si="4"/>
        <v>9.2976601229872387</v>
      </c>
      <c r="F33" s="55">
        <f>colorCalculate!W162</f>
        <v>2.5992200409957462</v>
      </c>
      <c r="H33" s="29">
        <f t="shared" si="0"/>
        <v>82.25</v>
      </c>
      <c r="I33" s="32">
        <v>29</v>
      </c>
      <c r="J33" s="32">
        <f t="shared" si="2"/>
        <v>82.25</v>
      </c>
      <c r="K33" s="32">
        <f t="shared" si="1"/>
        <v>2</v>
      </c>
      <c r="M33"/>
      <c r="N33"/>
      <c r="O33"/>
      <c r="P33"/>
      <c r="Q33"/>
      <c r="R33"/>
    </row>
    <row r="34" spans="2:18" x14ac:dyDescent="0.3">
      <c r="B34" s="32">
        <v>19</v>
      </c>
      <c r="C34" s="32">
        <f>colorCalculate!I59*255</f>
        <v>208.41224376008449</v>
      </c>
      <c r="D34" s="54">
        <f>IF(C60=D60,E60,((F60-E60)*C34)/(D60-C60)+E60-(C60*((F60-E60)/(D60-C60))))</f>
        <v>153.21632501344601</v>
      </c>
      <c r="E34" s="32">
        <f t="shared" si="4"/>
        <v>208.41224376008449</v>
      </c>
      <c r="F34" s="55">
        <f>colorCalculate!W163</f>
        <v>153.21632501344601</v>
      </c>
      <c r="H34" s="29">
        <f t="shared" si="0"/>
        <v>84.25</v>
      </c>
      <c r="I34" s="32">
        <v>30</v>
      </c>
      <c r="J34" s="32">
        <f t="shared" si="2"/>
        <v>84.25</v>
      </c>
      <c r="K34" s="32">
        <f t="shared" si="1"/>
        <v>2</v>
      </c>
      <c r="M34"/>
      <c r="N34"/>
      <c r="O34"/>
      <c r="P34"/>
      <c r="Q34"/>
      <c r="R34"/>
    </row>
    <row r="35" spans="2:18" x14ac:dyDescent="0.3">
      <c r="B35" s="32">
        <v>20</v>
      </c>
      <c r="C35" s="32">
        <f>colorCalculate!I60*255</f>
        <v>140.68249441542511</v>
      </c>
      <c r="D35" s="54">
        <f t="shared" ref="D35:D39" si="5">IF(C61=D61,E61,((F61-E61)*C35)/(D61-C61)+E61-(C61*((F61-E61)/(D61-C61))))</f>
        <v>67.788329610283427</v>
      </c>
      <c r="E35" s="32">
        <f t="shared" si="4"/>
        <v>140.68249441542514</v>
      </c>
      <c r="F35" s="55">
        <f>colorCalculate!W164</f>
        <v>67.788329610283427</v>
      </c>
      <c r="H35" s="29">
        <f t="shared" si="0"/>
        <v>86.25</v>
      </c>
      <c r="I35" s="32">
        <v>31</v>
      </c>
      <c r="J35" s="32">
        <f t="shared" si="2"/>
        <v>86.25</v>
      </c>
      <c r="K35" s="32">
        <f t="shared" si="1"/>
        <v>2</v>
      </c>
      <c r="M35"/>
      <c r="N35"/>
      <c r="O35"/>
      <c r="P35"/>
      <c r="Q35"/>
      <c r="R35"/>
    </row>
    <row r="36" spans="2:18" x14ac:dyDescent="0.3">
      <c r="B36" s="32">
        <v>21</v>
      </c>
      <c r="C36" s="32">
        <f>colorCalculate!I61*255</f>
        <v>76.988890457347921</v>
      </c>
      <c r="D36" s="54">
        <f t="shared" si="5"/>
        <v>26.369445228673953</v>
      </c>
      <c r="E36" s="32">
        <f t="shared" si="4"/>
        <v>76.988890457347907</v>
      </c>
      <c r="F36" s="55">
        <f>colorCalculate!W165</f>
        <v>26.369445228673953</v>
      </c>
      <c r="H36" s="29">
        <f t="shared" si="0"/>
        <v>87.75</v>
      </c>
      <c r="I36" s="32">
        <v>32</v>
      </c>
      <c r="J36" s="32">
        <f t="shared" si="2"/>
        <v>87.75</v>
      </c>
      <c r="K36" s="32">
        <f t="shared" si="1"/>
        <v>1.5</v>
      </c>
      <c r="M36"/>
      <c r="N36"/>
      <c r="O36"/>
      <c r="P36"/>
      <c r="Q36"/>
      <c r="R36"/>
    </row>
    <row r="37" spans="2:18" x14ac:dyDescent="0.3">
      <c r="B37" s="32">
        <v>22</v>
      </c>
      <c r="C37" s="32">
        <f>colorCalculate!I62*255</f>
        <v>29.7689967093627</v>
      </c>
      <c r="D37" s="54">
        <f t="shared" si="5"/>
        <v>9.0717324558300518</v>
      </c>
      <c r="E37" s="32">
        <f t="shared" si="4"/>
        <v>29.768996709362696</v>
      </c>
      <c r="F37" s="55">
        <f>colorCalculate!W166</f>
        <v>9.0717324558300518</v>
      </c>
      <c r="H37" s="29">
        <f t="shared" si="0"/>
        <v>89.25</v>
      </c>
      <c r="I37" s="32">
        <v>33</v>
      </c>
      <c r="J37" s="32">
        <f t="shared" si="2"/>
        <v>89.25</v>
      </c>
      <c r="K37" s="32">
        <f t="shared" si="1"/>
        <v>1.5</v>
      </c>
      <c r="M37"/>
      <c r="N37"/>
      <c r="O37"/>
      <c r="P37"/>
      <c r="Q37"/>
      <c r="R37"/>
    </row>
    <row r="38" spans="2:18" x14ac:dyDescent="0.3">
      <c r="B38" s="32">
        <v>23</v>
      </c>
      <c r="C38" s="32">
        <f>colorCalculate!I63*255</f>
        <v>7.3660712361565945</v>
      </c>
      <c r="D38" s="54">
        <f t="shared" si="5"/>
        <v>1.955357078718865</v>
      </c>
      <c r="E38" s="32">
        <f t="shared" si="4"/>
        <v>7.3660712361565945</v>
      </c>
      <c r="F38" s="55">
        <f>colorCalculate!W167</f>
        <v>1.955357078718865</v>
      </c>
      <c r="H38" s="29">
        <f t="shared" si="0"/>
        <v>91.25</v>
      </c>
      <c r="I38" s="32">
        <v>34</v>
      </c>
      <c r="J38" s="32">
        <f t="shared" si="2"/>
        <v>91.25</v>
      </c>
      <c r="K38" s="32">
        <f t="shared" si="1"/>
        <v>2</v>
      </c>
      <c r="M38"/>
      <c r="N38"/>
      <c r="O38"/>
      <c r="P38"/>
      <c r="Q38"/>
      <c r="R38"/>
    </row>
    <row r="39" spans="2:18" x14ac:dyDescent="0.3">
      <c r="B39" s="32">
        <v>24</v>
      </c>
      <c r="C39" s="32">
        <f>colorCalculate!I64*255</f>
        <v>0.97069916635954823</v>
      </c>
      <c r="D39" s="54">
        <f t="shared" si="5"/>
        <v>0.21571092585767737</v>
      </c>
      <c r="E39" s="32">
        <f t="shared" si="4"/>
        <v>0.97069916635954812</v>
      </c>
      <c r="F39" s="55">
        <f>colorCalculate!W168</f>
        <v>0.21571092585767737</v>
      </c>
      <c r="H39" s="29">
        <f t="shared" si="0"/>
        <v>93.25</v>
      </c>
      <c r="I39" s="32">
        <v>35</v>
      </c>
      <c r="J39" s="32">
        <f t="shared" si="2"/>
        <v>93.25</v>
      </c>
      <c r="K39" s="32">
        <f t="shared" si="1"/>
        <v>2</v>
      </c>
      <c r="M39"/>
      <c r="N39"/>
      <c r="O39"/>
      <c r="P39"/>
      <c r="Q39"/>
      <c r="R39"/>
    </row>
    <row r="40" spans="2:18" x14ac:dyDescent="0.3">
      <c r="H40" s="29">
        <f t="shared" si="0"/>
        <v>95.25</v>
      </c>
      <c r="I40" s="32">
        <v>36</v>
      </c>
      <c r="J40" s="32">
        <f t="shared" si="2"/>
        <v>95.25</v>
      </c>
      <c r="K40" s="32">
        <f t="shared" si="1"/>
        <v>2</v>
      </c>
      <c r="M40"/>
      <c r="N40"/>
      <c r="O40"/>
      <c r="P40"/>
      <c r="Q40"/>
      <c r="R40"/>
    </row>
    <row r="41" spans="2:18" x14ac:dyDescent="0.3">
      <c r="C41" s="32" t="s">
        <v>122</v>
      </c>
      <c r="D41" s="32" t="s">
        <v>123</v>
      </c>
      <c r="E41" s="32" t="s">
        <v>124</v>
      </c>
      <c r="F41" s="32" t="s">
        <v>125</v>
      </c>
      <c r="H41" s="29">
        <f t="shared" si="0"/>
        <v>97</v>
      </c>
      <c r="I41" s="32">
        <v>37</v>
      </c>
      <c r="J41" s="32">
        <f t="shared" si="2"/>
        <v>97</v>
      </c>
      <c r="K41" s="32">
        <f t="shared" si="1"/>
        <v>1.75</v>
      </c>
      <c r="M41"/>
      <c r="N41"/>
      <c r="O41"/>
      <c r="P41"/>
      <c r="Q41"/>
      <c r="R41"/>
    </row>
    <row r="42" spans="2:18" x14ac:dyDescent="0.3">
      <c r="B42" s="32">
        <v>1</v>
      </c>
      <c r="C42" s="32">
        <f t="shared" ref="C42:C65" si="6">VLOOKUP(E42,$I$4:$J$260,2,TRUE)</f>
        <v>45.75</v>
      </c>
      <c r="D42" s="32">
        <f t="shared" ref="D42:D65" si="7">VLOOKUP(F42,$I$4:$J$260,2,TRUE)</f>
        <v>48.75</v>
      </c>
      <c r="E42" s="32">
        <f t="shared" ref="E42:E65" si="8">VLOOKUP(ROUNDUP(C16,1),$H$4:$I$260,2,TRUE)</f>
        <v>14</v>
      </c>
      <c r="F42" s="32">
        <f t="shared" ref="F42:F59" si="9">IF((VLOOKUP(ROUNDUP(C16,1),$H$4:$I$260,2,TRUE)+1)&gt;=257,256,VLOOKUP(ROUNDUP(C16,1),$H$4:$I$260,2,TRUE)+1)</f>
        <v>15</v>
      </c>
      <c r="H42" s="29">
        <f t="shared" si="0"/>
        <v>98.5</v>
      </c>
      <c r="I42" s="32">
        <v>38</v>
      </c>
      <c r="J42" s="32">
        <f t="shared" si="2"/>
        <v>98.5</v>
      </c>
      <c r="K42" s="32">
        <f t="shared" si="1"/>
        <v>1.5</v>
      </c>
      <c r="M42"/>
      <c r="N42"/>
      <c r="O42"/>
      <c r="P42"/>
      <c r="Q42"/>
      <c r="R42"/>
    </row>
    <row r="43" spans="2:18" x14ac:dyDescent="0.3">
      <c r="B43" s="32">
        <v>2</v>
      </c>
      <c r="C43" s="32">
        <f t="shared" si="6"/>
        <v>183.75</v>
      </c>
      <c r="D43" s="32">
        <f t="shared" si="7"/>
        <v>184.25</v>
      </c>
      <c r="E43" s="32">
        <f t="shared" si="8"/>
        <v>115</v>
      </c>
      <c r="F43" s="32">
        <f t="shared" si="9"/>
        <v>116</v>
      </c>
      <c r="H43" s="29">
        <f t="shared" si="0"/>
        <v>100</v>
      </c>
      <c r="I43" s="32">
        <v>39</v>
      </c>
      <c r="J43" s="32">
        <f t="shared" si="2"/>
        <v>100</v>
      </c>
      <c r="K43" s="32">
        <f t="shared" si="1"/>
        <v>1.5</v>
      </c>
      <c r="M43"/>
      <c r="N43"/>
      <c r="O43"/>
      <c r="P43"/>
      <c r="Q43"/>
      <c r="R43"/>
    </row>
    <row r="44" spans="2:18" x14ac:dyDescent="0.3">
      <c r="B44" s="32">
        <v>3</v>
      </c>
      <c r="C44" s="32">
        <f t="shared" si="6"/>
        <v>48.75</v>
      </c>
      <c r="D44" s="32">
        <f t="shared" si="7"/>
        <v>51.75</v>
      </c>
      <c r="E44" s="32">
        <f t="shared" si="8"/>
        <v>15</v>
      </c>
      <c r="F44" s="32">
        <f t="shared" si="9"/>
        <v>16</v>
      </c>
      <c r="H44" s="29">
        <f t="shared" si="0"/>
        <v>101.5</v>
      </c>
      <c r="I44" s="32">
        <v>40</v>
      </c>
      <c r="J44" s="32">
        <f t="shared" si="2"/>
        <v>101.5</v>
      </c>
      <c r="K44" s="32">
        <f t="shared" si="1"/>
        <v>1.5</v>
      </c>
      <c r="M44"/>
      <c r="N44"/>
      <c r="O44"/>
      <c r="P44"/>
      <c r="Q44"/>
      <c r="R44"/>
    </row>
    <row r="45" spans="2:18" x14ac:dyDescent="0.3">
      <c r="B45" s="32">
        <v>4</v>
      </c>
      <c r="C45" s="32">
        <f t="shared" si="6"/>
        <v>29.5</v>
      </c>
      <c r="D45" s="32">
        <f t="shared" si="7"/>
        <v>33.25</v>
      </c>
      <c r="E45" s="32">
        <f t="shared" si="8"/>
        <v>9</v>
      </c>
      <c r="F45" s="32">
        <f t="shared" si="9"/>
        <v>10</v>
      </c>
      <c r="H45" s="29">
        <f t="shared" si="0"/>
        <v>103.5</v>
      </c>
      <c r="I45" s="32">
        <v>41</v>
      </c>
      <c r="J45" s="32">
        <f t="shared" si="2"/>
        <v>103.5</v>
      </c>
      <c r="K45" s="32">
        <f t="shared" si="1"/>
        <v>2</v>
      </c>
      <c r="M45"/>
      <c r="N45"/>
      <c r="O45"/>
      <c r="P45"/>
      <c r="Q45"/>
    </row>
    <row r="46" spans="2:18" x14ac:dyDescent="0.3">
      <c r="B46" s="32">
        <v>5</v>
      </c>
      <c r="C46" s="32">
        <f t="shared" si="6"/>
        <v>95.25</v>
      </c>
      <c r="D46" s="32">
        <f t="shared" si="7"/>
        <v>97</v>
      </c>
      <c r="E46" s="32">
        <f t="shared" si="8"/>
        <v>36</v>
      </c>
      <c r="F46" s="32">
        <f t="shared" si="9"/>
        <v>37</v>
      </c>
      <c r="H46" s="29">
        <f t="shared" si="0"/>
        <v>105</v>
      </c>
      <c r="I46" s="32">
        <v>42</v>
      </c>
      <c r="J46" s="32">
        <f t="shared" si="2"/>
        <v>105</v>
      </c>
      <c r="K46" s="32">
        <f t="shared" si="1"/>
        <v>1.5</v>
      </c>
      <c r="M46"/>
      <c r="N46"/>
      <c r="O46"/>
      <c r="P46"/>
      <c r="Q46"/>
    </row>
    <row r="47" spans="2:18" x14ac:dyDescent="0.3">
      <c r="B47" s="32">
        <v>6</v>
      </c>
      <c r="C47" s="32">
        <f t="shared" si="6"/>
        <v>82.25</v>
      </c>
      <c r="D47" s="32">
        <f t="shared" si="7"/>
        <v>84.25</v>
      </c>
      <c r="E47" s="32">
        <f t="shared" si="8"/>
        <v>29</v>
      </c>
      <c r="F47" s="32">
        <f t="shared" si="9"/>
        <v>30</v>
      </c>
      <c r="H47" s="29">
        <f t="shared" si="0"/>
        <v>106.5</v>
      </c>
      <c r="I47" s="32">
        <v>43</v>
      </c>
      <c r="J47" s="32">
        <f t="shared" si="2"/>
        <v>106.5</v>
      </c>
      <c r="K47" s="32">
        <f t="shared" si="1"/>
        <v>1.5</v>
      </c>
      <c r="M47"/>
      <c r="N47"/>
      <c r="O47"/>
      <c r="P47"/>
      <c r="Q47"/>
    </row>
    <row r="48" spans="2:18" x14ac:dyDescent="0.3">
      <c r="B48" s="32">
        <v>7</v>
      </c>
      <c r="C48" s="32">
        <f t="shared" si="6"/>
        <v>173.75</v>
      </c>
      <c r="D48" s="32">
        <f t="shared" si="7"/>
        <v>174.75</v>
      </c>
      <c r="E48" s="32">
        <f t="shared" si="8"/>
        <v>102</v>
      </c>
      <c r="F48" s="32">
        <f t="shared" si="9"/>
        <v>103</v>
      </c>
      <c r="H48" s="29">
        <f t="shared" si="0"/>
        <v>108.5</v>
      </c>
      <c r="I48" s="32">
        <v>44</v>
      </c>
      <c r="J48" s="32">
        <f t="shared" si="2"/>
        <v>108.5</v>
      </c>
      <c r="K48" s="32">
        <f t="shared" si="1"/>
        <v>2</v>
      </c>
      <c r="M48"/>
      <c r="N48"/>
      <c r="O48"/>
      <c r="P48"/>
      <c r="Q48"/>
    </row>
    <row r="49" spans="2:17" x14ac:dyDescent="0.3">
      <c r="B49" s="32">
        <v>8</v>
      </c>
      <c r="C49" s="32">
        <f t="shared" si="6"/>
        <v>13.5</v>
      </c>
      <c r="D49" s="32">
        <f t="shared" si="7"/>
        <v>16.5</v>
      </c>
      <c r="E49" s="32">
        <f t="shared" si="8"/>
        <v>4</v>
      </c>
      <c r="F49" s="32">
        <f t="shared" si="9"/>
        <v>5</v>
      </c>
      <c r="H49" s="29">
        <f t="shared" si="0"/>
        <v>110</v>
      </c>
      <c r="I49" s="32">
        <v>45</v>
      </c>
      <c r="J49" s="32">
        <f t="shared" si="2"/>
        <v>110</v>
      </c>
      <c r="K49" s="32">
        <f t="shared" si="1"/>
        <v>1.5</v>
      </c>
      <c r="M49"/>
      <c r="N49"/>
      <c r="O49"/>
      <c r="P49"/>
      <c r="Q49"/>
    </row>
    <row r="50" spans="2:17" x14ac:dyDescent="0.3">
      <c r="B50" s="32">
        <v>9</v>
      </c>
      <c r="C50" s="32">
        <f t="shared" si="6"/>
        <v>147</v>
      </c>
      <c r="D50" s="32">
        <f t="shared" si="7"/>
        <v>148</v>
      </c>
      <c r="E50" s="32">
        <f t="shared" si="8"/>
        <v>74</v>
      </c>
      <c r="F50" s="32">
        <f t="shared" si="9"/>
        <v>75</v>
      </c>
      <c r="H50" s="29">
        <f t="shared" si="0"/>
        <v>111</v>
      </c>
      <c r="I50" s="32">
        <v>46</v>
      </c>
      <c r="J50" s="32">
        <f t="shared" si="2"/>
        <v>111</v>
      </c>
      <c r="K50" s="32">
        <f t="shared" si="1"/>
        <v>1</v>
      </c>
      <c r="M50"/>
      <c r="N50"/>
      <c r="O50"/>
      <c r="P50"/>
      <c r="Q50"/>
    </row>
    <row r="51" spans="2:17" x14ac:dyDescent="0.3">
      <c r="B51" s="32">
        <v>10</v>
      </c>
      <c r="C51" s="32">
        <f t="shared" si="6"/>
        <v>23</v>
      </c>
      <c r="D51" s="32">
        <f t="shared" si="7"/>
        <v>26.5</v>
      </c>
      <c r="E51" s="32">
        <f t="shared" si="8"/>
        <v>7</v>
      </c>
      <c r="F51" s="32">
        <f t="shared" si="9"/>
        <v>8</v>
      </c>
      <c r="H51" s="29">
        <f t="shared" si="0"/>
        <v>112.5</v>
      </c>
      <c r="I51" s="32">
        <v>47</v>
      </c>
      <c r="J51" s="32">
        <f t="shared" si="2"/>
        <v>112.5</v>
      </c>
      <c r="K51" s="32">
        <f t="shared" si="1"/>
        <v>1.5</v>
      </c>
      <c r="M51"/>
      <c r="N51"/>
      <c r="O51"/>
      <c r="P51"/>
      <c r="Q51"/>
    </row>
    <row r="52" spans="2:17" x14ac:dyDescent="0.3">
      <c r="B52" s="32">
        <v>11</v>
      </c>
      <c r="C52" s="32">
        <f t="shared" si="6"/>
        <v>105</v>
      </c>
      <c r="D52" s="32">
        <f t="shared" si="7"/>
        <v>106.5</v>
      </c>
      <c r="E52" s="32">
        <f t="shared" si="8"/>
        <v>42</v>
      </c>
      <c r="F52" s="32">
        <f t="shared" si="9"/>
        <v>43</v>
      </c>
      <c r="H52" s="29">
        <f t="shared" si="0"/>
        <v>114.5</v>
      </c>
      <c r="I52" s="32">
        <v>48</v>
      </c>
      <c r="J52" s="32">
        <f t="shared" si="2"/>
        <v>114.5</v>
      </c>
      <c r="K52" s="32">
        <f t="shared" si="1"/>
        <v>2</v>
      </c>
      <c r="M52"/>
      <c r="N52"/>
      <c r="O52"/>
      <c r="P52"/>
      <c r="Q52"/>
    </row>
    <row r="53" spans="2:17" x14ac:dyDescent="0.3">
      <c r="B53" s="32">
        <v>12</v>
      </c>
      <c r="C53" s="32">
        <f t="shared" si="6"/>
        <v>175.25</v>
      </c>
      <c r="D53" s="32">
        <f t="shared" si="7"/>
        <v>176</v>
      </c>
      <c r="E53" s="32">
        <f t="shared" si="8"/>
        <v>104</v>
      </c>
      <c r="F53" s="32">
        <f t="shared" si="9"/>
        <v>105</v>
      </c>
      <c r="H53" s="29">
        <f t="shared" si="0"/>
        <v>116</v>
      </c>
      <c r="I53" s="32">
        <v>49</v>
      </c>
      <c r="J53" s="32">
        <f t="shared" si="2"/>
        <v>116</v>
      </c>
      <c r="K53" s="32">
        <f t="shared" si="1"/>
        <v>1.5</v>
      </c>
      <c r="M53"/>
      <c r="N53"/>
      <c r="O53"/>
      <c r="P53"/>
      <c r="Q53"/>
    </row>
    <row r="54" spans="2:17" x14ac:dyDescent="0.3">
      <c r="B54" s="32">
        <v>13</v>
      </c>
      <c r="C54" s="32">
        <f t="shared" si="6"/>
        <v>0</v>
      </c>
      <c r="D54" s="32">
        <f t="shared" si="7"/>
        <v>4.5</v>
      </c>
      <c r="E54" s="32">
        <f t="shared" si="8"/>
        <v>0</v>
      </c>
      <c r="F54" s="32">
        <f t="shared" si="9"/>
        <v>1</v>
      </c>
      <c r="H54" s="29">
        <f t="shared" si="0"/>
        <v>117</v>
      </c>
      <c r="I54" s="32">
        <v>50</v>
      </c>
      <c r="J54" s="32">
        <f t="shared" si="2"/>
        <v>117</v>
      </c>
      <c r="K54" s="32">
        <f t="shared" si="1"/>
        <v>1</v>
      </c>
      <c r="M54"/>
      <c r="N54"/>
      <c r="O54"/>
      <c r="P54"/>
      <c r="Q54"/>
    </row>
    <row r="55" spans="2:17" x14ac:dyDescent="0.3">
      <c r="B55" s="32">
        <v>14</v>
      </c>
      <c r="C55" s="32">
        <f t="shared" si="6"/>
        <v>19.5</v>
      </c>
      <c r="D55" s="32">
        <f t="shared" si="7"/>
        <v>23</v>
      </c>
      <c r="E55" s="32">
        <f t="shared" si="8"/>
        <v>6</v>
      </c>
      <c r="F55" s="32">
        <f t="shared" si="9"/>
        <v>7</v>
      </c>
      <c r="H55" s="29">
        <f t="shared" si="0"/>
        <v>118.5</v>
      </c>
      <c r="I55" s="32">
        <v>51</v>
      </c>
      <c r="J55" s="32">
        <f t="shared" si="2"/>
        <v>118.5</v>
      </c>
      <c r="K55" s="32">
        <f t="shared" si="1"/>
        <v>1.5</v>
      </c>
      <c r="M55"/>
      <c r="N55"/>
      <c r="O55"/>
      <c r="P55"/>
      <c r="Q55"/>
    </row>
    <row r="56" spans="2:17" x14ac:dyDescent="0.3">
      <c r="B56" s="32">
        <v>15</v>
      </c>
      <c r="C56" s="32">
        <f t="shared" si="6"/>
        <v>112.5</v>
      </c>
      <c r="D56" s="32">
        <f t="shared" si="7"/>
        <v>114.5</v>
      </c>
      <c r="E56" s="32">
        <f t="shared" si="8"/>
        <v>47</v>
      </c>
      <c r="F56" s="32">
        <f t="shared" si="9"/>
        <v>48</v>
      </c>
      <c r="H56" s="29">
        <f t="shared" si="0"/>
        <v>120</v>
      </c>
      <c r="I56" s="32">
        <v>52</v>
      </c>
      <c r="J56" s="32">
        <f t="shared" si="2"/>
        <v>120</v>
      </c>
      <c r="K56" s="32">
        <f t="shared" si="1"/>
        <v>1.5</v>
      </c>
      <c r="M56"/>
      <c r="N56"/>
      <c r="O56"/>
      <c r="P56"/>
      <c r="Q56"/>
    </row>
    <row r="57" spans="2:17" x14ac:dyDescent="0.3">
      <c r="B57" s="32">
        <v>16</v>
      </c>
      <c r="C57" s="32">
        <f t="shared" si="6"/>
        <v>188</v>
      </c>
      <c r="D57" s="32">
        <f t="shared" si="7"/>
        <v>188.75</v>
      </c>
      <c r="E57" s="32">
        <f t="shared" si="8"/>
        <v>121</v>
      </c>
      <c r="F57" s="32">
        <f t="shared" si="9"/>
        <v>122</v>
      </c>
      <c r="H57" s="29">
        <f t="shared" si="0"/>
        <v>121.5</v>
      </c>
      <c r="I57" s="32">
        <v>53</v>
      </c>
      <c r="J57" s="32">
        <f t="shared" si="2"/>
        <v>121.5</v>
      </c>
      <c r="K57" s="32">
        <f t="shared" si="1"/>
        <v>1.5</v>
      </c>
      <c r="M57"/>
      <c r="N57"/>
      <c r="O57"/>
      <c r="P57"/>
      <c r="Q57"/>
    </row>
    <row r="58" spans="2:17" x14ac:dyDescent="0.3">
      <c r="B58" s="32">
        <v>17</v>
      </c>
      <c r="C58" s="32">
        <f t="shared" si="6"/>
        <v>120</v>
      </c>
      <c r="D58" s="32">
        <f t="shared" si="7"/>
        <v>121.5</v>
      </c>
      <c r="E58" s="32">
        <f t="shared" si="8"/>
        <v>52</v>
      </c>
      <c r="F58" s="32">
        <f t="shared" si="9"/>
        <v>53</v>
      </c>
      <c r="H58" s="29">
        <f t="shared" si="0"/>
        <v>123</v>
      </c>
      <c r="I58" s="32">
        <v>54</v>
      </c>
      <c r="J58" s="32">
        <f t="shared" si="2"/>
        <v>123</v>
      </c>
      <c r="K58" s="32">
        <f t="shared" si="1"/>
        <v>1.5</v>
      </c>
      <c r="M58"/>
      <c r="N58"/>
      <c r="O58"/>
      <c r="P58"/>
      <c r="Q58"/>
    </row>
    <row r="59" spans="2:17" x14ac:dyDescent="0.3">
      <c r="B59" s="32">
        <v>18</v>
      </c>
      <c r="C59" s="32">
        <f t="shared" si="6"/>
        <v>7.5</v>
      </c>
      <c r="D59" s="32">
        <f t="shared" si="7"/>
        <v>10.5</v>
      </c>
      <c r="E59" s="32">
        <f t="shared" si="8"/>
        <v>2</v>
      </c>
      <c r="F59" s="32">
        <f t="shared" si="9"/>
        <v>3</v>
      </c>
      <c r="H59" s="29">
        <f t="shared" si="0"/>
        <v>124</v>
      </c>
      <c r="I59" s="32">
        <v>55</v>
      </c>
      <c r="J59" s="32">
        <f t="shared" si="2"/>
        <v>124</v>
      </c>
      <c r="K59" s="32">
        <f t="shared" si="1"/>
        <v>1</v>
      </c>
      <c r="M59"/>
      <c r="N59"/>
      <c r="O59"/>
      <c r="P59"/>
      <c r="Q59"/>
    </row>
    <row r="60" spans="2:17" x14ac:dyDescent="0.3">
      <c r="B60" s="32">
        <v>19</v>
      </c>
      <c r="C60" s="32">
        <f t="shared" si="6"/>
        <v>208.25</v>
      </c>
      <c r="D60" s="32">
        <f t="shared" si="7"/>
        <v>209</v>
      </c>
      <c r="E60" s="32">
        <f t="shared" si="8"/>
        <v>153</v>
      </c>
      <c r="F60" s="32">
        <f>IF((VLOOKUP(ROUNDUP(C34,1),$H$4:$I$260,2,TRUE)+1)&gt;=257,256,VLOOKUP(ROUNDUP(C34,1),$H$4:$I$260,2,TRUE)+1)</f>
        <v>154</v>
      </c>
      <c r="H60" s="29">
        <f t="shared" si="0"/>
        <v>125.5</v>
      </c>
      <c r="I60" s="32">
        <v>56</v>
      </c>
      <c r="J60" s="32">
        <f t="shared" si="2"/>
        <v>125.5</v>
      </c>
      <c r="K60" s="32">
        <f t="shared" si="1"/>
        <v>1.5</v>
      </c>
      <c r="M60"/>
      <c r="N60"/>
      <c r="O60"/>
      <c r="P60"/>
      <c r="Q60"/>
    </row>
    <row r="61" spans="2:17" x14ac:dyDescent="0.3">
      <c r="B61" s="32">
        <v>20</v>
      </c>
      <c r="C61" s="32">
        <f t="shared" si="6"/>
        <v>139.5</v>
      </c>
      <c r="D61" s="32">
        <f t="shared" si="7"/>
        <v>141</v>
      </c>
      <c r="E61" s="32">
        <f t="shared" si="8"/>
        <v>67</v>
      </c>
      <c r="F61" s="32">
        <f t="shared" ref="F61:F65" si="10">IF((VLOOKUP(ROUNDUP(C35,1),$H$4:$I$260,2,TRUE)+1)&gt;=257,256,VLOOKUP(ROUNDUP(C35,1),$H$4:$I$260,2,TRUE)+1)</f>
        <v>68</v>
      </c>
      <c r="H61" s="29">
        <f t="shared" si="0"/>
        <v>127</v>
      </c>
      <c r="I61" s="32">
        <v>57</v>
      </c>
      <c r="J61" s="32">
        <f t="shared" si="2"/>
        <v>127</v>
      </c>
      <c r="K61" s="32">
        <f t="shared" si="1"/>
        <v>1.5</v>
      </c>
      <c r="M61"/>
      <c r="N61"/>
      <c r="O61"/>
      <c r="P61"/>
      <c r="Q61"/>
    </row>
    <row r="62" spans="2:17" x14ac:dyDescent="0.3">
      <c r="B62" s="32">
        <v>21</v>
      </c>
      <c r="C62" s="32">
        <f t="shared" si="6"/>
        <v>76.25</v>
      </c>
      <c r="D62" s="32">
        <f t="shared" si="7"/>
        <v>78.25</v>
      </c>
      <c r="E62" s="32">
        <f t="shared" si="8"/>
        <v>26</v>
      </c>
      <c r="F62" s="32">
        <f t="shared" si="10"/>
        <v>27</v>
      </c>
      <c r="H62" s="29">
        <f t="shared" si="0"/>
        <v>128</v>
      </c>
      <c r="I62" s="32">
        <v>58</v>
      </c>
      <c r="J62" s="32">
        <f t="shared" si="2"/>
        <v>128</v>
      </c>
      <c r="K62" s="32">
        <f t="shared" si="1"/>
        <v>1</v>
      </c>
      <c r="M62"/>
      <c r="N62"/>
      <c r="O62"/>
      <c r="P62"/>
      <c r="Q62"/>
    </row>
    <row r="63" spans="2:17" x14ac:dyDescent="0.3">
      <c r="B63" s="32">
        <v>22</v>
      </c>
      <c r="C63" s="32">
        <f t="shared" si="6"/>
        <v>29.5</v>
      </c>
      <c r="D63" s="32">
        <f t="shared" si="7"/>
        <v>33.25</v>
      </c>
      <c r="E63" s="32">
        <f t="shared" si="8"/>
        <v>9</v>
      </c>
      <c r="F63" s="32">
        <f t="shared" si="10"/>
        <v>10</v>
      </c>
      <c r="H63" s="29">
        <f t="shared" si="0"/>
        <v>129.5</v>
      </c>
      <c r="I63" s="32">
        <v>59</v>
      </c>
      <c r="J63" s="32">
        <f t="shared" si="2"/>
        <v>129.5</v>
      </c>
      <c r="K63" s="32">
        <f t="shared" si="1"/>
        <v>1.5</v>
      </c>
      <c r="M63"/>
      <c r="N63"/>
      <c r="O63"/>
      <c r="P63"/>
      <c r="Q63"/>
    </row>
    <row r="64" spans="2:17" x14ac:dyDescent="0.3">
      <c r="B64" s="32">
        <v>23</v>
      </c>
      <c r="C64" s="32">
        <f t="shared" si="6"/>
        <v>4.5</v>
      </c>
      <c r="D64" s="32">
        <f t="shared" si="7"/>
        <v>7.5</v>
      </c>
      <c r="E64" s="32">
        <f t="shared" si="8"/>
        <v>1</v>
      </c>
      <c r="F64" s="32">
        <f t="shared" si="10"/>
        <v>2</v>
      </c>
      <c r="H64" s="29">
        <f t="shared" si="0"/>
        <v>131</v>
      </c>
      <c r="I64" s="32">
        <v>60</v>
      </c>
      <c r="J64" s="32">
        <f t="shared" si="2"/>
        <v>131</v>
      </c>
      <c r="K64" s="32">
        <f t="shared" si="1"/>
        <v>1.5</v>
      </c>
      <c r="M64"/>
      <c r="N64"/>
      <c r="O64"/>
      <c r="P64"/>
      <c r="Q64"/>
    </row>
    <row r="65" spans="2:17" x14ac:dyDescent="0.3">
      <c r="B65" s="32">
        <v>24</v>
      </c>
      <c r="C65" s="32">
        <f t="shared" si="6"/>
        <v>0</v>
      </c>
      <c r="D65" s="32">
        <f t="shared" si="7"/>
        <v>4.5</v>
      </c>
      <c r="E65" s="32">
        <f t="shared" si="8"/>
        <v>0</v>
      </c>
      <c r="F65" s="32">
        <f t="shared" si="10"/>
        <v>1</v>
      </c>
      <c r="H65" s="29">
        <f t="shared" si="0"/>
        <v>132</v>
      </c>
      <c r="I65" s="32">
        <v>61</v>
      </c>
      <c r="J65" s="32">
        <f t="shared" si="2"/>
        <v>132</v>
      </c>
      <c r="K65" s="32">
        <f t="shared" si="1"/>
        <v>1</v>
      </c>
      <c r="M65"/>
      <c r="N65"/>
      <c r="O65"/>
      <c r="P65"/>
      <c r="Q65"/>
    </row>
    <row r="66" spans="2:17" x14ac:dyDescent="0.3">
      <c r="H66" s="29">
        <f t="shared" si="0"/>
        <v>133.5</v>
      </c>
      <c r="I66" s="32">
        <v>62</v>
      </c>
      <c r="J66" s="32">
        <f t="shared" si="2"/>
        <v>133.5</v>
      </c>
      <c r="K66" s="32">
        <f t="shared" si="1"/>
        <v>1.5</v>
      </c>
      <c r="M66"/>
      <c r="N66"/>
      <c r="O66"/>
      <c r="P66"/>
      <c r="Q66"/>
    </row>
    <row r="67" spans="2:17" x14ac:dyDescent="0.3">
      <c r="C67" s="32" t="s">
        <v>122</v>
      </c>
      <c r="D67" s="32" t="s">
        <v>123</v>
      </c>
      <c r="E67" s="32" t="s">
        <v>124</v>
      </c>
      <c r="F67" s="32" t="s">
        <v>125</v>
      </c>
      <c r="H67" s="29">
        <f t="shared" si="0"/>
        <v>134.5</v>
      </c>
      <c r="I67" s="32">
        <v>63</v>
      </c>
      <c r="J67" s="32">
        <f t="shared" si="2"/>
        <v>134.5</v>
      </c>
      <c r="K67" s="32">
        <f t="shared" si="1"/>
        <v>1</v>
      </c>
      <c r="M67"/>
      <c r="N67"/>
      <c r="O67"/>
      <c r="P67"/>
      <c r="Q67"/>
    </row>
    <row r="68" spans="2:17" x14ac:dyDescent="0.3">
      <c r="B68" s="32">
        <v>1</v>
      </c>
      <c r="C68" s="56">
        <f t="shared" ref="C68:C91" si="11">ROUNDDOWN(F16,0)</f>
        <v>14</v>
      </c>
      <c r="D68" s="56">
        <f t="shared" ref="D68:D91" si="12">ROUNDUP(F16,0)</f>
        <v>15</v>
      </c>
      <c r="E68" s="45">
        <f t="shared" ref="E68:E91" si="13">VLOOKUP(ROUNDUP(C68,1),$I$4:$J$260,2,TRUE)</f>
        <v>45.75</v>
      </c>
      <c r="F68" s="45">
        <f t="shared" ref="F68:F91" si="14">VLOOKUP(ROUNDUP(D68,1),$I$4:$J$260,2,TRUE)</f>
        <v>48.75</v>
      </c>
      <c r="H68" s="29">
        <f t="shared" ref="H68:H131" si="15">J68</f>
        <v>135.5</v>
      </c>
      <c r="I68" s="32">
        <v>64</v>
      </c>
      <c r="J68" s="32">
        <f t="shared" si="2"/>
        <v>135.5</v>
      </c>
      <c r="K68" s="32">
        <f t="shared" si="1"/>
        <v>1</v>
      </c>
      <c r="M68"/>
      <c r="N68"/>
      <c r="O68"/>
      <c r="P68"/>
      <c r="Q68"/>
    </row>
    <row r="69" spans="2:17" x14ac:dyDescent="0.3">
      <c r="B69" s="32">
        <v>2</v>
      </c>
      <c r="C69" s="56">
        <f t="shared" si="11"/>
        <v>115</v>
      </c>
      <c r="D69" s="56">
        <f t="shared" si="12"/>
        <v>116</v>
      </c>
      <c r="E69" s="45">
        <f t="shared" si="13"/>
        <v>183.75</v>
      </c>
      <c r="F69" s="45">
        <f t="shared" si="14"/>
        <v>184.25</v>
      </c>
      <c r="H69" s="29">
        <f t="shared" si="15"/>
        <v>137</v>
      </c>
      <c r="I69" s="32">
        <v>65</v>
      </c>
      <c r="J69" s="32">
        <f t="shared" si="2"/>
        <v>137</v>
      </c>
      <c r="K69" s="32">
        <f t="shared" ref="K69:K132" si="16">J69-J68</f>
        <v>1.5</v>
      </c>
      <c r="M69"/>
      <c r="N69"/>
      <c r="O69"/>
      <c r="P69"/>
      <c r="Q69"/>
    </row>
    <row r="70" spans="2:17" x14ac:dyDescent="0.3">
      <c r="B70" s="32">
        <v>3</v>
      </c>
      <c r="C70" s="56">
        <f t="shared" si="11"/>
        <v>15</v>
      </c>
      <c r="D70" s="56">
        <f t="shared" si="12"/>
        <v>16</v>
      </c>
      <c r="E70" s="45">
        <f t="shared" si="13"/>
        <v>48.75</v>
      </c>
      <c r="F70" s="45">
        <f t="shared" si="14"/>
        <v>51.75</v>
      </c>
      <c r="H70" s="29">
        <f t="shared" si="15"/>
        <v>138</v>
      </c>
      <c r="I70" s="32">
        <v>66</v>
      </c>
      <c r="J70" s="32">
        <f t="shared" ref="J70:J133" si="17">VALUE(MID($O$2,FIND("*",SUBSTITUTE($O$2," ","*",I70),1)+1,FIND("*",SUBSTITUTE($O$2," ","*",I71),1)-FIND("*",SUBSTITUTE($O$2," ","*",I70),1)-1))/$F$12</f>
        <v>138</v>
      </c>
      <c r="K70" s="32">
        <f t="shared" si="16"/>
        <v>1</v>
      </c>
      <c r="M70"/>
      <c r="N70"/>
      <c r="O70"/>
      <c r="P70"/>
      <c r="Q70"/>
    </row>
    <row r="71" spans="2:17" x14ac:dyDescent="0.3">
      <c r="B71" s="32">
        <v>4</v>
      </c>
      <c r="C71" s="56">
        <f t="shared" si="11"/>
        <v>9</v>
      </c>
      <c r="D71" s="56">
        <f t="shared" si="12"/>
        <v>10</v>
      </c>
      <c r="E71" s="45">
        <f t="shared" si="13"/>
        <v>29.5</v>
      </c>
      <c r="F71" s="45">
        <f t="shared" si="14"/>
        <v>33.25</v>
      </c>
      <c r="H71" s="29">
        <f t="shared" si="15"/>
        <v>139.5</v>
      </c>
      <c r="I71" s="32">
        <v>67</v>
      </c>
      <c r="J71" s="32">
        <f t="shared" si="17"/>
        <v>139.5</v>
      </c>
      <c r="K71" s="32">
        <f t="shared" si="16"/>
        <v>1.5</v>
      </c>
      <c r="M71"/>
      <c r="N71"/>
      <c r="O71"/>
      <c r="P71"/>
      <c r="Q71"/>
    </row>
    <row r="72" spans="2:17" x14ac:dyDescent="0.3">
      <c r="B72" s="32">
        <v>5</v>
      </c>
      <c r="C72" s="56">
        <f t="shared" si="11"/>
        <v>36</v>
      </c>
      <c r="D72" s="56">
        <f t="shared" si="12"/>
        <v>37</v>
      </c>
      <c r="E72" s="45">
        <f t="shared" si="13"/>
        <v>95.25</v>
      </c>
      <c r="F72" s="45">
        <f t="shared" si="14"/>
        <v>97</v>
      </c>
      <c r="H72" s="29">
        <f t="shared" si="15"/>
        <v>141</v>
      </c>
      <c r="I72" s="32">
        <v>68</v>
      </c>
      <c r="J72" s="32">
        <f t="shared" si="17"/>
        <v>141</v>
      </c>
      <c r="K72" s="32">
        <f t="shared" si="16"/>
        <v>1.5</v>
      </c>
      <c r="M72"/>
      <c r="N72"/>
      <c r="O72"/>
      <c r="P72"/>
      <c r="Q72"/>
    </row>
    <row r="73" spans="2:17" x14ac:dyDescent="0.3">
      <c r="B73" s="32">
        <v>6</v>
      </c>
      <c r="C73" s="56">
        <f t="shared" si="11"/>
        <v>29</v>
      </c>
      <c r="D73" s="56">
        <f t="shared" si="12"/>
        <v>30</v>
      </c>
      <c r="E73" s="45">
        <f t="shared" si="13"/>
        <v>82.25</v>
      </c>
      <c r="F73" s="45">
        <f t="shared" si="14"/>
        <v>84.25</v>
      </c>
      <c r="H73" s="29">
        <f t="shared" si="15"/>
        <v>142</v>
      </c>
      <c r="I73" s="32">
        <v>69</v>
      </c>
      <c r="J73" s="32">
        <f t="shared" si="17"/>
        <v>142</v>
      </c>
      <c r="K73" s="32">
        <f t="shared" si="16"/>
        <v>1</v>
      </c>
      <c r="M73"/>
      <c r="N73"/>
      <c r="O73"/>
      <c r="P73"/>
      <c r="Q73"/>
    </row>
    <row r="74" spans="2:17" x14ac:dyDescent="0.3">
      <c r="B74" s="32">
        <v>7</v>
      </c>
      <c r="C74" s="56">
        <f t="shared" si="11"/>
        <v>102</v>
      </c>
      <c r="D74" s="56">
        <f t="shared" si="12"/>
        <v>103</v>
      </c>
      <c r="E74" s="45">
        <f t="shared" si="13"/>
        <v>173.75</v>
      </c>
      <c r="F74" s="45">
        <f t="shared" si="14"/>
        <v>174.75</v>
      </c>
      <c r="H74" s="29">
        <f t="shared" si="15"/>
        <v>143</v>
      </c>
      <c r="I74" s="32">
        <v>70</v>
      </c>
      <c r="J74" s="32">
        <f t="shared" si="17"/>
        <v>143</v>
      </c>
      <c r="K74" s="32">
        <f t="shared" si="16"/>
        <v>1</v>
      </c>
      <c r="M74"/>
      <c r="N74"/>
      <c r="O74"/>
      <c r="P74"/>
      <c r="Q74"/>
    </row>
    <row r="75" spans="2:17" x14ac:dyDescent="0.3">
      <c r="B75" s="32">
        <v>8</v>
      </c>
      <c r="C75" s="56">
        <f t="shared" si="11"/>
        <v>4</v>
      </c>
      <c r="D75" s="56">
        <f t="shared" si="12"/>
        <v>5</v>
      </c>
      <c r="E75" s="45">
        <f t="shared" si="13"/>
        <v>13.5</v>
      </c>
      <c r="F75" s="45">
        <f t="shared" si="14"/>
        <v>16.5</v>
      </c>
      <c r="H75" s="29">
        <f t="shared" si="15"/>
        <v>144</v>
      </c>
      <c r="I75" s="32">
        <v>71</v>
      </c>
      <c r="J75" s="32">
        <f t="shared" si="17"/>
        <v>144</v>
      </c>
      <c r="K75" s="32">
        <f t="shared" si="16"/>
        <v>1</v>
      </c>
      <c r="M75"/>
      <c r="N75"/>
      <c r="O75"/>
      <c r="P75"/>
      <c r="Q75"/>
    </row>
    <row r="76" spans="2:17" x14ac:dyDescent="0.3">
      <c r="B76" s="32">
        <v>9</v>
      </c>
      <c r="C76" s="56">
        <f t="shared" si="11"/>
        <v>73</v>
      </c>
      <c r="D76" s="56">
        <f t="shared" si="12"/>
        <v>74</v>
      </c>
      <c r="E76" s="45">
        <f t="shared" si="13"/>
        <v>146</v>
      </c>
      <c r="F76" s="45">
        <f t="shared" si="14"/>
        <v>147</v>
      </c>
      <c r="H76" s="29">
        <f t="shared" si="15"/>
        <v>145</v>
      </c>
      <c r="I76" s="32">
        <v>72</v>
      </c>
      <c r="J76" s="32">
        <f t="shared" si="17"/>
        <v>145</v>
      </c>
      <c r="K76" s="32">
        <f t="shared" si="16"/>
        <v>1</v>
      </c>
      <c r="M76"/>
      <c r="N76"/>
      <c r="O76"/>
      <c r="P76"/>
      <c r="Q76"/>
    </row>
    <row r="77" spans="2:17" x14ac:dyDescent="0.3">
      <c r="B77" s="32">
        <v>10</v>
      </c>
      <c r="C77" s="56">
        <f t="shared" si="11"/>
        <v>7</v>
      </c>
      <c r="D77" s="56">
        <f t="shared" si="12"/>
        <v>8</v>
      </c>
      <c r="E77" s="45">
        <f t="shared" si="13"/>
        <v>23</v>
      </c>
      <c r="F77" s="45">
        <f t="shared" si="14"/>
        <v>26.5</v>
      </c>
      <c r="H77" s="29">
        <f t="shared" si="15"/>
        <v>146</v>
      </c>
      <c r="I77" s="32">
        <v>73</v>
      </c>
      <c r="J77" s="32">
        <f t="shared" si="17"/>
        <v>146</v>
      </c>
      <c r="K77" s="32">
        <f t="shared" si="16"/>
        <v>1</v>
      </c>
      <c r="M77"/>
      <c r="N77"/>
      <c r="O77"/>
      <c r="P77"/>
      <c r="Q77"/>
    </row>
    <row r="78" spans="2:17" x14ac:dyDescent="0.3">
      <c r="B78" s="32">
        <v>11</v>
      </c>
      <c r="C78" s="56">
        <f t="shared" si="11"/>
        <v>42</v>
      </c>
      <c r="D78" s="56">
        <f t="shared" si="12"/>
        <v>43</v>
      </c>
      <c r="E78" s="45">
        <f t="shared" si="13"/>
        <v>105</v>
      </c>
      <c r="F78" s="45">
        <f t="shared" si="14"/>
        <v>106.5</v>
      </c>
      <c r="H78" s="29">
        <f t="shared" si="15"/>
        <v>147</v>
      </c>
      <c r="I78" s="32">
        <v>74</v>
      </c>
      <c r="J78" s="32">
        <f t="shared" si="17"/>
        <v>147</v>
      </c>
      <c r="K78" s="32">
        <f t="shared" si="16"/>
        <v>1</v>
      </c>
      <c r="M78"/>
      <c r="N78"/>
      <c r="O78"/>
      <c r="P78"/>
      <c r="Q78"/>
    </row>
    <row r="79" spans="2:17" x14ac:dyDescent="0.3">
      <c r="B79" s="32">
        <v>12</v>
      </c>
      <c r="C79" s="56">
        <f t="shared" si="11"/>
        <v>104</v>
      </c>
      <c r="D79" s="56">
        <f t="shared" si="12"/>
        <v>105</v>
      </c>
      <c r="E79" s="45">
        <f t="shared" si="13"/>
        <v>175.25</v>
      </c>
      <c r="F79" s="45">
        <f t="shared" si="14"/>
        <v>176</v>
      </c>
      <c r="H79" s="29">
        <f t="shared" si="15"/>
        <v>148</v>
      </c>
      <c r="I79" s="32">
        <v>75</v>
      </c>
      <c r="J79" s="32">
        <f t="shared" si="17"/>
        <v>148</v>
      </c>
      <c r="K79" s="32">
        <f t="shared" si="16"/>
        <v>1</v>
      </c>
      <c r="M79"/>
      <c r="N79"/>
      <c r="O79"/>
      <c r="P79"/>
      <c r="Q79"/>
    </row>
    <row r="80" spans="2:17" x14ac:dyDescent="0.3">
      <c r="B80" s="32">
        <v>13</v>
      </c>
      <c r="C80" s="56">
        <f t="shared" si="11"/>
        <v>0</v>
      </c>
      <c r="D80" s="56">
        <f t="shared" si="12"/>
        <v>1</v>
      </c>
      <c r="E80" s="45">
        <f t="shared" si="13"/>
        <v>0</v>
      </c>
      <c r="F80" s="45">
        <f t="shared" si="14"/>
        <v>4.5</v>
      </c>
      <c r="H80" s="29">
        <f t="shared" si="15"/>
        <v>149.5</v>
      </c>
      <c r="I80" s="32">
        <v>76</v>
      </c>
      <c r="J80" s="32">
        <f t="shared" si="17"/>
        <v>149.5</v>
      </c>
      <c r="K80" s="32">
        <f t="shared" si="16"/>
        <v>1.5</v>
      </c>
      <c r="M80"/>
      <c r="N80"/>
      <c r="O80"/>
      <c r="P80"/>
      <c r="Q80"/>
    </row>
    <row r="81" spans="2:17" x14ac:dyDescent="0.3">
      <c r="B81" s="32">
        <v>14</v>
      </c>
      <c r="C81" s="56">
        <f t="shared" si="11"/>
        <v>6</v>
      </c>
      <c r="D81" s="56">
        <f t="shared" si="12"/>
        <v>7</v>
      </c>
      <c r="E81" s="45">
        <f t="shared" si="13"/>
        <v>19.5</v>
      </c>
      <c r="F81" s="45">
        <f t="shared" si="14"/>
        <v>23</v>
      </c>
      <c r="H81" s="29">
        <f t="shared" si="15"/>
        <v>150.5</v>
      </c>
      <c r="I81" s="32">
        <v>77</v>
      </c>
      <c r="J81" s="32">
        <f t="shared" si="17"/>
        <v>150.5</v>
      </c>
      <c r="K81" s="32">
        <f t="shared" si="16"/>
        <v>1</v>
      </c>
      <c r="M81"/>
      <c r="N81"/>
      <c r="O81"/>
      <c r="P81"/>
      <c r="Q81"/>
    </row>
    <row r="82" spans="2:17" x14ac:dyDescent="0.3">
      <c r="B82" s="32">
        <v>15</v>
      </c>
      <c r="C82" s="56">
        <f t="shared" si="11"/>
        <v>46</v>
      </c>
      <c r="D82" s="56">
        <f t="shared" si="12"/>
        <v>47</v>
      </c>
      <c r="E82" s="45">
        <f t="shared" si="13"/>
        <v>111</v>
      </c>
      <c r="F82" s="45">
        <f t="shared" si="14"/>
        <v>112.5</v>
      </c>
      <c r="H82" s="29">
        <f t="shared" si="15"/>
        <v>151.5</v>
      </c>
      <c r="I82" s="32">
        <v>78</v>
      </c>
      <c r="J82" s="32">
        <f t="shared" si="17"/>
        <v>151.5</v>
      </c>
      <c r="K82" s="32">
        <f t="shared" si="16"/>
        <v>1</v>
      </c>
      <c r="M82"/>
      <c r="N82"/>
      <c r="O82"/>
      <c r="P82"/>
      <c r="Q82"/>
    </row>
    <row r="83" spans="2:17" x14ac:dyDescent="0.3">
      <c r="B83" s="32">
        <v>16</v>
      </c>
      <c r="C83" s="56">
        <f t="shared" si="11"/>
        <v>120</v>
      </c>
      <c r="D83" s="56">
        <f t="shared" si="12"/>
        <v>121</v>
      </c>
      <c r="E83" s="45">
        <f t="shared" si="13"/>
        <v>187.25</v>
      </c>
      <c r="F83" s="45">
        <f t="shared" si="14"/>
        <v>188</v>
      </c>
      <c r="H83" s="29">
        <f t="shared" si="15"/>
        <v>152.5</v>
      </c>
      <c r="I83" s="32">
        <v>79</v>
      </c>
      <c r="J83" s="32">
        <f t="shared" si="17"/>
        <v>152.5</v>
      </c>
      <c r="K83" s="32">
        <f t="shared" si="16"/>
        <v>1</v>
      </c>
      <c r="M83"/>
      <c r="N83"/>
      <c r="O83"/>
      <c r="P83"/>
      <c r="Q83"/>
    </row>
    <row r="84" spans="2:17" x14ac:dyDescent="0.3">
      <c r="B84" s="32">
        <v>17</v>
      </c>
      <c r="C84" s="56">
        <f t="shared" si="11"/>
        <v>52</v>
      </c>
      <c r="D84" s="56">
        <f t="shared" si="12"/>
        <v>53</v>
      </c>
      <c r="E84" s="45">
        <f t="shared" si="13"/>
        <v>120</v>
      </c>
      <c r="F84" s="45">
        <f t="shared" si="14"/>
        <v>121.5</v>
      </c>
      <c r="H84" s="29">
        <f t="shared" si="15"/>
        <v>153.5</v>
      </c>
      <c r="I84" s="32">
        <v>80</v>
      </c>
      <c r="J84" s="32">
        <f t="shared" si="17"/>
        <v>153.5</v>
      </c>
      <c r="K84" s="32">
        <f t="shared" si="16"/>
        <v>1</v>
      </c>
      <c r="M84"/>
      <c r="N84"/>
      <c r="O84"/>
      <c r="P84"/>
      <c r="Q84"/>
    </row>
    <row r="85" spans="2:17" x14ac:dyDescent="0.3">
      <c r="B85" s="32">
        <v>18</v>
      </c>
      <c r="C85" s="56">
        <f t="shared" si="11"/>
        <v>2</v>
      </c>
      <c r="D85" s="56">
        <f t="shared" si="12"/>
        <v>3</v>
      </c>
      <c r="E85" s="45">
        <f t="shared" si="13"/>
        <v>7.5</v>
      </c>
      <c r="F85" s="45">
        <f t="shared" si="14"/>
        <v>10.5</v>
      </c>
      <c r="H85" s="29">
        <f t="shared" si="15"/>
        <v>154.5</v>
      </c>
      <c r="I85" s="32">
        <v>81</v>
      </c>
      <c r="J85" s="32">
        <f t="shared" si="17"/>
        <v>154.5</v>
      </c>
      <c r="K85" s="32">
        <f t="shared" si="16"/>
        <v>1</v>
      </c>
      <c r="M85"/>
      <c r="N85"/>
      <c r="O85"/>
      <c r="P85"/>
      <c r="Q85"/>
    </row>
    <row r="86" spans="2:17" x14ac:dyDescent="0.3">
      <c r="B86" s="32">
        <v>19</v>
      </c>
      <c r="C86" s="56">
        <f t="shared" si="11"/>
        <v>153</v>
      </c>
      <c r="D86" s="56">
        <f t="shared" si="12"/>
        <v>154</v>
      </c>
      <c r="E86" s="45">
        <f t="shared" si="13"/>
        <v>208.25</v>
      </c>
      <c r="F86" s="45">
        <f t="shared" si="14"/>
        <v>209</v>
      </c>
      <c r="H86" s="29">
        <f t="shared" si="15"/>
        <v>155.5</v>
      </c>
      <c r="I86" s="32">
        <v>82</v>
      </c>
      <c r="J86" s="32">
        <f t="shared" si="17"/>
        <v>155.5</v>
      </c>
      <c r="K86" s="32">
        <f t="shared" si="16"/>
        <v>1</v>
      </c>
      <c r="M86"/>
      <c r="N86"/>
      <c r="O86"/>
      <c r="P86"/>
      <c r="Q86"/>
    </row>
    <row r="87" spans="2:17" x14ac:dyDescent="0.3">
      <c r="B87" s="32">
        <v>20</v>
      </c>
      <c r="C87" s="56">
        <f t="shared" si="11"/>
        <v>67</v>
      </c>
      <c r="D87" s="56">
        <f t="shared" si="12"/>
        <v>68</v>
      </c>
      <c r="E87" s="45">
        <f t="shared" si="13"/>
        <v>139.5</v>
      </c>
      <c r="F87" s="45">
        <f t="shared" si="14"/>
        <v>141</v>
      </c>
      <c r="H87" s="29">
        <f t="shared" si="15"/>
        <v>156.5</v>
      </c>
      <c r="I87" s="32">
        <v>83</v>
      </c>
      <c r="J87" s="32">
        <f t="shared" si="17"/>
        <v>156.5</v>
      </c>
      <c r="K87" s="32">
        <f t="shared" si="16"/>
        <v>1</v>
      </c>
      <c r="M87"/>
      <c r="N87"/>
      <c r="O87"/>
      <c r="P87"/>
      <c r="Q87"/>
    </row>
    <row r="88" spans="2:17" x14ac:dyDescent="0.3">
      <c r="B88" s="32">
        <v>21</v>
      </c>
      <c r="C88" s="56">
        <f t="shared" si="11"/>
        <v>26</v>
      </c>
      <c r="D88" s="56">
        <f t="shared" si="12"/>
        <v>27</v>
      </c>
      <c r="E88" s="45">
        <f t="shared" si="13"/>
        <v>76.25</v>
      </c>
      <c r="F88" s="45">
        <f t="shared" si="14"/>
        <v>78.25</v>
      </c>
      <c r="H88" s="29">
        <f t="shared" si="15"/>
        <v>157.5</v>
      </c>
      <c r="I88" s="32">
        <v>84</v>
      </c>
      <c r="J88" s="32">
        <f t="shared" si="17"/>
        <v>157.5</v>
      </c>
      <c r="K88" s="32">
        <f t="shared" si="16"/>
        <v>1</v>
      </c>
      <c r="M88"/>
      <c r="N88"/>
      <c r="O88"/>
      <c r="P88"/>
      <c r="Q88"/>
    </row>
    <row r="89" spans="2:17" x14ac:dyDescent="0.3">
      <c r="B89" s="32">
        <v>22</v>
      </c>
      <c r="C89" s="56">
        <f t="shared" si="11"/>
        <v>9</v>
      </c>
      <c r="D89" s="56">
        <f t="shared" si="12"/>
        <v>10</v>
      </c>
      <c r="E89" s="45">
        <f t="shared" si="13"/>
        <v>29.5</v>
      </c>
      <c r="F89" s="45">
        <f t="shared" si="14"/>
        <v>33.25</v>
      </c>
      <c r="H89" s="29">
        <f t="shared" si="15"/>
        <v>158</v>
      </c>
      <c r="I89" s="32">
        <v>85</v>
      </c>
      <c r="J89" s="32">
        <f t="shared" si="17"/>
        <v>158</v>
      </c>
      <c r="K89" s="32">
        <f t="shared" si="16"/>
        <v>0.5</v>
      </c>
      <c r="M89"/>
      <c r="N89"/>
      <c r="O89"/>
      <c r="P89"/>
      <c r="Q89"/>
    </row>
    <row r="90" spans="2:17" x14ac:dyDescent="0.3">
      <c r="B90" s="32">
        <v>23</v>
      </c>
      <c r="C90" s="56">
        <f t="shared" si="11"/>
        <v>1</v>
      </c>
      <c r="D90" s="56">
        <f t="shared" si="12"/>
        <v>2</v>
      </c>
      <c r="E90" s="45">
        <f t="shared" si="13"/>
        <v>4.5</v>
      </c>
      <c r="F90" s="45">
        <f t="shared" si="14"/>
        <v>7.5</v>
      </c>
      <c r="H90" s="29">
        <f t="shared" si="15"/>
        <v>159</v>
      </c>
      <c r="I90" s="32">
        <v>86</v>
      </c>
      <c r="J90" s="32">
        <f t="shared" si="17"/>
        <v>159</v>
      </c>
      <c r="K90" s="32">
        <f t="shared" si="16"/>
        <v>1</v>
      </c>
      <c r="M90"/>
      <c r="N90"/>
      <c r="O90"/>
      <c r="P90"/>
      <c r="Q90"/>
    </row>
    <row r="91" spans="2:17" x14ac:dyDescent="0.3">
      <c r="B91" s="32">
        <v>24</v>
      </c>
      <c r="C91" s="56">
        <f t="shared" si="11"/>
        <v>0</v>
      </c>
      <c r="D91" s="56">
        <f t="shared" si="12"/>
        <v>1</v>
      </c>
      <c r="E91" s="45">
        <f t="shared" si="13"/>
        <v>0</v>
      </c>
      <c r="F91" s="45">
        <f t="shared" si="14"/>
        <v>4.5</v>
      </c>
      <c r="H91" s="29">
        <f t="shared" si="15"/>
        <v>160</v>
      </c>
      <c r="I91" s="32">
        <v>87</v>
      </c>
      <c r="J91" s="32">
        <f t="shared" si="17"/>
        <v>160</v>
      </c>
      <c r="K91" s="32">
        <f t="shared" si="16"/>
        <v>1</v>
      </c>
      <c r="M91"/>
      <c r="N91"/>
      <c r="O91"/>
      <c r="P91"/>
      <c r="Q91"/>
    </row>
    <row r="92" spans="2:17" x14ac:dyDescent="0.3">
      <c r="H92" s="29">
        <f t="shared" si="15"/>
        <v>161.25</v>
      </c>
      <c r="I92" s="32">
        <v>88</v>
      </c>
      <c r="J92" s="32">
        <f t="shared" si="17"/>
        <v>161.25</v>
      </c>
      <c r="K92" s="32">
        <f t="shared" si="16"/>
        <v>1.25</v>
      </c>
      <c r="M92"/>
      <c r="N92"/>
      <c r="O92"/>
      <c r="P92"/>
      <c r="Q92"/>
    </row>
    <row r="93" spans="2:17" x14ac:dyDescent="0.3">
      <c r="H93" s="29">
        <f t="shared" si="15"/>
        <v>162.25</v>
      </c>
      <c r="I93" s="32">
        <v>89</v>
      </c>
      <c r="J93" s="32">
        <f t="shared" si="17"/>
        <v>162.25</v>
      </c>
      <c r="K93" s="32">
        <f t="shared" si="16"/>
        <v>1</v>
      </c>
      <c r="M93"/>
      <c r="N93"/>
      <c r="O93"/>
      <c r="P93"/>
      <c r="Q93"/>
    </row>
    <row r="94" spans="2:17" x14ac:dyDescent="0.3">
      <c r="H94" s="29">
        <f t="shared" si="15"/>
        <v>163.25</v>
      </c>
      <c r="I94" s="32">
        <v>90</v>
      </c>
      <c r="J94" s="32">
        <f t="shared" si="17"/>
        <v>163.25</v>
      </c>
      <c r="K94" s="32">
        <f t="shared" si="16"/>
        <v>1</v>
      </c>
      <c r="M94"/>
      <c r="N94"/>
      <c r="O94"/>
      <c r="P94"/>
      <c r="Q94"/>
    </row>
    <row r="95" spans="2:17" x14ac:dyDescent="0.3">
      <c r="H95" s="29">
        <f t="shared" si="15"/>
        <v>164.25</v>
      </c>
      <c r="I95" s="32">
        <v>91</v>
      </c>
      <c r="J95" s="32">
        <f t="shared" si="17"/>
        <v>164.25</v>
      </c>
      <c r="K95" s="32">
        <f t="shared" si="16"/>
        <v>1</v>
      </c>
      <c r="M95"/>
      <c r="N95"/>
      <c r="O95"/>
      <c r="P95"/>
      <c r="Q95"/>
    </row>
    <row r="96" spans="2:17" x14ac:dyDescent="0.3">
      <c r="H96" s="29">
        <f t="shared" si="15"/>
        <v>165.25</v>
      </c>
      <c r="I96" s="32">
        <v>92</v>
      </c>
      <c r="J96" s="32">
        <f t="shared" si="17"/>
        <v>165.25</v>
      </c>
      <c r="K96" s="32">
        <f t="shared" si="16"/>
        <v>1</v>
      </c>
      <c r="M96"/>
      <c r="N96"/>
      <c r="O96"/>
      <c r="P96"/>
      <c r="Q96"/>
    </row>
    <row r="97" spans="8:17" x14ac:dyDescent="0.3">
      <c r="H97" s="29">
        <f t="shared" si="15"/>
        <v>166.25</v>
      </c>
      <c r="I97" s="32">
        <v>93</v>
      </c>
      <c r="J97" s="32">
        <f t="shared" si="17"/>
        <v>166.25</v>
      </c>
      <c r="K97" s="32">
        <f t="shared" si="16"/>
        <v>1</v>
      </c>
      <c r="M97"/>
      <c r="N97"/>
      <c r="O97"/>
      <c r="P97"/>
      <c r="Q97"/>
    </row>
    <row r="98" spans="8:17" x14ac:dyDescent="0.3">
      <c r="H98" s="29">
        <f t="shared" si="15"/>
        <v>167.25</v>
      </c>
      <c r="I98" s="32">
        <v>94</v>
      </c>
      <c r="J98" s="32">
        <f t="shared" si="17"/>
        <v>167.25</v>
      </c>
      <c r="K98" s="32">
        <f t="shared" si="16"/>
        <v>1</v>
      </c>
      <c r="M98"/>
      <c r="N98"/>
      <c r="O98"/>
      <c r="P98"/>
      <c r="Q98"/>
    </row>
    <row r="99" spans="8:17" x14ac:dyDescent="0.3">
      <c r="H99" s="29">
        <f t="shared" si="15"/>
        <v>168</v>
      </c>
      <c r="I99" s="32">
        <v>95</v>
      </c>
      <c r="J99" s="32">
        <f t="shared" si="17"/>
        <v>168</v>
      </c>
      <c r="K99" s="32">
        <f t="shared" si="16"/>
        <v>0.75</v>
      </c>
      <c r="M99"/>
      <c r="N99"/>
      <c r="O99"/>
      <c r="P99"/>
      <c r="Q99"/>
    </row>
    <row r="100" spans="8:17" x14ac:dyDescent="0.3">
      <c r="H100" s="29">
        <f t="shared" si="15"/>
        <v>168.75</v>
      </c>
      <c r="I100" s="32">
        <v>96</v>
      </c>
      <c r="J100" s="32">
        <f t="shared" si="17"/>
        <v>168.75</v>
      </c>
      <c r="K100" s="32">
        <f t="shared" si="16"/>
        <v>0.75</v>
      </c>
      <c r="M100"/>
      <c r="N100"/>
      <c r="O100"/>
      <c r="P100"/>
      <c r="Q100"/>
    </row>
    <row r="101" spans="8:17" x14ac:dyDescent="0.3">
      <c r="H101" s="29">
        <f t="shared" si="15"/>
        <v>169.75</v>
      </c>
      <c r="I101" s="32">
        <v>97</v>
      </c>
      <c r="J101" s="32">
        <f t="shared" si="17"/>
        <v>169.75</v>
      </c>
      <c r="K101" s="32">
        <f t="shared" si="16"/>
        <v>1</v>
      </c>
      <c r="M101"/>
      <c r="N101"/>
      <c r="O101"/>
      <c r="P101"/>
      <c r="Q101"/>
    </row>
    <row r="102" spans="8:17" x14ac:dyDescent="0.3">
      <c r="H102" s="29">
        <f t="shared" si="15"/>
        <v>170.25</v>
      </c>
      <c r="I102" s="32">
        <v>98</v>
      </c>
      <c r="J102" s="32">
        <f t="shared" si="17"/>
        <v>170.25</v>
      </c>
      <c r="K102" s="32">
        <f t="shared" si="16"/>
        <v>0.5</v>
      </c>
      <c r="M102"/>
      <c r="N102"/>
      <c r="O102"/>
      <c r="P102"/>
      <c r="Q102"/>
    </row>
    <row r="103" spans="8:17" x14ac:dyDescent="0.3">
      <c r="H103" s="29">
        <f t="shared" si="15"/>
        <v>171.25</v>
      </c>
      <c r="I103" s="32">
        <v>99</v>
      </c>
      <c r="J103" s="32">
        <f t="shared" si="17"/>
        <v>171.25</v>
      </c>
      <c r="K103" s="32">
        <f t="shared" si="16"/>
        <v>1</v>
      </c>
      <c r="M103"/>
      <c r="N103"/>
      <c r="O103"/>
      <c r="P103"/>
      <c r="Q103"/>
    </row>
    <row r="104" spans="8:17" x14ac:dyDescent="0.3">
      <c r="H104" s="29">
        <f t="shared" si="15"/>
        <v>172</v>
      </c>
      <c r="I104" s="32">
        <v>100</v>
      </c>
      <c r="J104" s="32">
        <f t="shared" si="17"/>
        <v>172</v>
      </c>
      <c r="K104" s="32">
        <f t="shared" si="16"/>
        <v>0.75</v>
      </c>
      <c r="M104"/>
      <c r="N104"/>
      <c r="O104"/>
      <c r="P104"/>
      <c r="Q104"/>
    </row>
    <row r="105" spans="8:17" x14ac:dyDescent="0.3">
      <c r="H105" s="29">
        <f t="shared" si="15"/>
        <v>172.75</v>
      </c>
      <c r="I105" s="32">
        <v>101</v>
      </c>
      <c r="J105" s="32">
        <f t="shared" si="17"/>
        <v>172.75</v>
      </c>
      <c r="K105" s="32">
        <f t="shared" si="16"/>
        <v>0.75</v>
      </c>
      <c r="M105"/>
      <c r="N105"/>
      <c r="O105"/>
      <c r="P105"/>
      <c r="Q105"/>
    </row>
    <row r="106" spans="8:17" x14ac:dyDescent="0.3">
      <c r="H106" s="29">
        <f t="shared" si="15"/>
        <v>173.75</v>
      </c>
      <c r="I106" s="32">
        <v>102</v>
      </c>
      <c r="J106" s="32">
        <f t="shared" si="17"/>
        <v>173.75</v>
      </c>
      <c r="K106" s="32">
        <f t="shared" si="16"/>
        <v>1</v>
      </c>
      <c r="M106"/>
      <c r="N106"/>
      <c r="O106"/>
      <c r="P106"/>
      <c r="Q106"/>
    </row>
    <row r="107" spans="8:17" x14ac:dyDescent="0.3">
      <c r="H107" s="29">
        <f t="shared" si="15"/>
        <v>174.75</v>
      </c>
      <c r="I107" s="32">
        <v>103</v>
      </c>
      <c r="J107" s="32">
        <f t="shared" si="17"/>
        <v>174.75</v>
      </c>
      <c r="K107" s="32">
        <f t="shared" si="16"/>
        <v>1</v>
      </c>
      <c r="M107"/>
      <c r="N107"/>
      <c r="O107"/>
      <c r="P107"/>
      <c r="Q107"/>
    </row>
    <row r="108" spans="8:17" x14ac:dyDescent="0.3">
      <c r="H108" s="29">
        <f t="shared" si="15"/>
        <v>175.25</v>
      </c>
      <c r="I108" s="32">
        <v>104</v>
      </c>
      <c r="J108" s="32">
        <f t="shared" si="17"/>
        <v>175.25</v>
      </c>
      <c r="K108" s="32">
        <f t="shared" si="16"/>
        <v>0.5</v>
      </c>
      <c r="M108"/>
      <c r="N108"/>
      <c r="O108"/>
      <c r="P108"/>
      <c r="Q108"/>
    </row>
    <row r="109" spans="8:17" x14ac:dyDescent="0.3">
      <c r="H109" s="29">
        <f t="shared" si="15"/>
        <v>176</v>
      </c>
      <c r="I109" s="32">
        <v>105</v>
      </c>
      <c r="J109" s="32">
        <f t="shared" si="17"/>
        <v>176</v>
      </c>
      <c r="K109" s="32">
        <f t="shared" si="16"/>
        <v>0.75</v>
      </c>
      <c r="M109"/>
      <c r="N109"/>
      <c r="O109"/>
      <c r="P109"/>
      <c r="Q109"/>
    </row>
    <row r="110" spans="8:17" x14ac:dyDescent="0.3">
      <c r="H110" s="29">
        <f t="shared" si="15"/>
        <v>176.75</v>
      </c>
      <c r="I110" s="32">
        <v>106</v>
      </c>
      <c r="J110" s="32">
        <f t="shared" si="17"/>
        <v>176.75</v>
      </c>
      <c r="K110" s="32">
        <f t="shared" si="16"/>
        <v>0.75</v>
      </c>
      <c r="M110"/>
      <c r="N110"/>
      <c r="O110"/>
      <c r="P110"/>
      <c r="Q110"/>
    </row>
    <row r="111" spans="8:17" x14ac:dyDescent="0.3">
      <c r="H111" s="29">
        <f t="shared" si="15"/>
        <v>177.75</v>
      </c>
      <c r="I111" s="32">
        <v>107</v>
      </c>
      <c r="J111" s="32">
        <f t="shared" si="17"/>
        <v>177.75</v>
      </c>
      <c r="K111" s="32">
        <f t="shared" si="16"/>
        <v>1</v>
      </c>
      <c r="M111"/>
      <c r="N111"/>
      <c r="O111"/>
      <c r="P111"/>
      <c r="Q111"/>
    </row>
    <row r="112" spans="8:17" x14ac:dyDescent="0.3">
      <c r="H112" s="29">
        <f t="shared" si="15"/>
        <v>178.25</v>
      </c>
      <c r="I112" s="32">
        <v>108</v>
      </c>
      <c r="J112" s="32">
        <f t="shared" si="17"/>
        <v>178.25</v>
      </c>
      <c r="K112" s="32">
        <f t="shared" si="16"/>
        <v>0.5</v>
      </c>
      <c r="M112"/>
      <c r="N112"/>
      <c r="O112"/>
      <c r="P112"/>
      <c r="Q112"/>
    </row>
    <row r="113" spans="8:17" x14ac:dyDescent="0.3">
      <c r="H113" s="29">
        <f t="shared" si="15"/>
        <v>179</v>
      </c>
      <c r="I113" s="32">
        <v>109</v>
      </c>
      <c r="J113" s="32">
        <f t="shared" si="17"/>
        <v>179</v>
      </c>
      <c r="K113" s="32">
        <f t="shared" si="16"/>
        <v>0.75</v>
      </c>
      <c r="M113"/>
      <c r="N113"/>
      <c r="O113"/>
      <c r="P113"/>
      <c r="Q113"/>
    </row>
    <row r="114" spans="8:17" x14ac:dyDescent="0.3">
      <c r="H114" s="29">
        <f t="shared" si="15"/>
        <v>179.75</v>
      </c>
      <c r="I114" s="32">
        <v>110</v>
      </c>
      <c r="J114" s="32">
        <f t="shared" si="17"/>
        <v>179.75</v>
      </c>
      <c r="K114" s="32">
        <f t="shared" si="16"/>
        <v>0.75</v>
      </c>
      <c r="M114"/>
      <c r="N114"/>
      <c r="O114"/>
      <c r="P114"/>
      <c r="Q114"/>
    </row>
    <row r="115" spans="8:17" x14ac:dyDescent="0.3">
      <c r="H115" s="29">
        <f t="shared" si="15"/>
        <v>180.75</v>
      </c>
      <c r="I115" s="32">
        <v>111</v>
      </c>
      <c r="J115" s="32">
        <f t="shared" si="17"/>
        <v>180.75</v>
      </c>
      <c r="K115" s="32">
        <f t="shared" si="16"/>
        <v>1</v>
      </c>
      <c r="M115"/>
      <c r="N115"/>
      <c r="O115"/>
      <c r="P115"/>
      <c r="Q115"/>
    </row>
    <row r="116" spans="8:17" x14ac:dyDescent="0.3">
      <c r="H116" s="29">
        <f t="shared" si="15"/>
        <v>181.25</v>
      </c>
      <c r="I116" s="32">
        <v>112</v>
      </c>
      <c r="J116" s="32">
        <f t="shared" si="17"/>
        <v>181.25</v>
      </c>
      <c r="K116" s="32">
        <f t="shared" si="16"/>
        <v>0.5</v>
      </c>
      <c r="M116"/>
      <c r="N116"/>
      <c r="O116"/>
      <c r="P116"/>
      <c r="Q116"/>
    </row>
    <row r="117" spans="8:17" x14ac:dyDescent="0.3">
      <c r="H117" s="29">
        <f t="shared" si="15"/>
        <v>182</v>
      </c>
      <c r="I117" s="32">
        <v>113</v>
      </c>
      <c r="J117" s="32">
        <f t="shared" si="17"/>
        <v>182</v>
      </c>
      <c r="K117" s="32">
        <f t="shared" si="16"/>
        <v>0.75</v>
      </c>
      <c r="M117"/>
      <c r="N117"/>
      <c r="O117"/>
      <c r="P117"/>
      <c r="Q117"/>
    </row>
    <row r="118" spans="8:17" x14ac:dyDescent="0.3">
      <c r="H118" s="29">
        <f t="shared" si="15"/>
        <v>182.75</v>
      </c>
      <c r="I118" s="32">
        <v>114</v>
      </c>
      <c r="J118" s="32">
        <f t="shared" si="17"/>
        <v>182.75</v>
      </c>
      <c r="K118" s="32">
        <f t="shared" si="16"/>
        <v>0.75</v>
      </c>
      <c r="M118"/>
      <c r="N118"/>
      <c r="O118"/>
      <c r="P118"/>
      <c r="Q118"/>
    </row>
    <row r="119" spans="8:17" x14ac:dyDescent="0.3">
      <c r="H119" s="29">
        <f t="shared" si="15"/>
        <v>183.75</v>
      </c>
      <c r="I119" s="32">
        <v>115</v>
      </c>
      <c r="J119" s="32">
        <f t="shared" si="17"/>
        <v>183.75</v>
      </c>
      <c r="K119" s="32">
        <f t="shared" si="16"/>
        <v>1</v>
      </c>
      <c r="M119"/>
      <c r="N119"/>
      <c r="O119"/>
      <c r="P119"/>
      <c r="Q119"/>
    </row>
    <row r="120" spans="8:17" x14ac:dyDescent="0.3">
      <c r="H120" s="29">
        <f t="shared" si="15"/>
        <v>184.25</v>
      </c>
      <c r="I120" s="32">
        <v>116</v>
      </c>
      <c r="J120" s="32">
        <f t="shared" si="17"/>
        <v>184.25</v>
      </c>
      <c r="K120" s="32">
        <f t="shared" si="16"/>
        <v>0.5</v>
      </c>
      <c r="M120"/>
      <c r="N120"/>
      <c r="O120"/>
      <c r="P120"/>
      <c r="Q120"/>
    </row>
    <row r="121" spans="8:17" x14ac:dyDescent="0.3">
      <c r="H121" s="29">
        <f t="shared" si="15"/>
        <v>185.25</v>
      </c>
      <c r="I121" s="32">
        <v>117</v>
      </c>
      <c r="J121" s="32">
        <f t="shared" si="17"/>
        <v>185.25</v>
      </c>
      <c r="K121" s="32">
        <f t="shared" si="16"/>
        <v>1</v>
      </c>
      <c r="M121"/>
      <c r="N121"/>
      <c r="O121"/>
      <c r="P121"/>
      <c r="Q121"/>
    </row>
    <row r="122" spans="8:17" x14ac:dyDescent="0.3">
      <c r="H122" s="29">
        <f t="shared" si="15"/>
        <v>186</v>
      </c>
      <c r="I122" s="32">
        <v>118</v>
      </c>
      <c r="J122" s="32">
        <f t="shared" si="17"/>
        <v>186</v>
      </c>
      <c r="K122" s="32">
        <f t="shared" si="16"/>
        <v>0.75</v>
      </c>
      <c r="M122"/>
      <c r="N122"/>
      <c r="O122"/>
      <c r="P122"/>
      <c r="Q122"/>
    </row>
    <row r="123" spans="8:17" x14ac:dyDescent="0.3">
      <c r="H123" s="29">
        <f t="shared" si="15"/>
        <v>186.75</v>
      </c>
      <c r="I123" s="32">
        <v>119</v>
      </c>
      <c r="J123" s="32">
        <f t="shared" si="17"/>
        <v>186.75</v>
      </c>
      <c r="K123" s="32">
        <f t="shared" si="16"/>
        <v>0.75</v>
      </c>
      <c r="M123"/>
      <c r="N123"/>
      <c r="O123"/>
      <c r="P123"/>
      <c r="Q123"/>
    </row>
    <row r="124" spans="8:17" x14ac:dyDescent="0.3">
      <c r="H124" s="29">
        <f t="shared" si="15"/>
        <v>187.25</v>
      </c>
      <c r="I124" s="32">
        <v>120</v>
      </c>
      <c r="J124" s="32">
        <f t="shared" si="17"/>
        <v>187.25</v>
      </c>
      <c r="K124" s="32">
        <f t="shared" si="16"/>
        <v>0.5</v>
      </c>
      <c r="M124"/>
      <c r="N124"/>
      <c r="O124"/>
      <c r="P124"/>
      <c r="Q124"/>
    </row>
    <row r="125" spans="8:17" x14ac:dyDescent="0.3">
      <c r="H125" s="29">
        <f t="shared" si="15"/>
        <v>188</v>
      </c>
      <c r="I125" s="32">
        <v>121</v>
      </c>
      <c r="J125" s="32">
        <f t="shared" si="17"/>
        <v>188</v>
      </c>
      <c r="K125" s="32">
        <f t="shared" si="16"/>
        <v>0.75</v>
      </c>
      <c r="M125"/>
      <c r="N125"/>
      <c r="O125"/>
      <c r="P125"/>
      <c r="Q125"/>
    </row>
    <row r="126" spans="8:17" x14ac:dyDescent="0.3">
      <c r="H126" s="29">
        <f t="shared" si="15"/>
        <v>188.75</v>
      </c>
      <c r="I126" s="32">
        <v>122</v>
      </c>
      <c r="J126" s="32">
        <f t="shared" si="17"/>
        <v>188.75</v>
      </c>
      <c r="K126" s="32">
        <f t="shared" si="16"/>
        <v>0.75</v>
      </c>
      <c r="M126"/>
      <c r="N126"/>
      <c r="O126"/>
      <c r="P126"/>
      <c r="Q126"/>
    </row>
    <row r="127" spans="8:17" x14ac:dyDescent="0.3">
      <c r="H127" s="29">
        <f t="shared" si="15"/>
        <v>189.25</v>
      </c>
      <c r="I127" s="32">
        <v>123</v>
      </c>
      <c r="J127" s="32">
        <f t="shared" si="17"/>
        <v>189.25</v>
      </c>
      <c r="K127" s="32">
        <f t="shared" si="16"/>
        <v>0.5</v>
      </c>
      <c r="M127"/>
      <c r="N127"/>
      <c r="O127"/>
      <c r="P127"/>
      <c r="Q127"/>
    </row>
    <row r="128" spans="8:17" x14ac:dyDescent="0.3">
      <c r="H128" s="29">
        <f t="shared" si="15"/>
        <v>190</v>
      </c>
      <c r="I128" s="32">
        <v>124</v>
      </c>
      <c r="J128" s="32">
        <f t="shared" si="17"/>
        <v>190</v>
      </c>
      <c r="K128" s="32">
        <f t="shared" si="16"/>
        <v>0.75</v>
      </c>
      <c r="M128"/>
      <c r="N128"/>
      <c r="O128"/>
      <c r="P128"/>
      <c r="Q128"/>
    </row>
    <row r="129" spans="8:17" x14ac:dyDescent="0.3">
      <c r="H129" s="29">
        <f t="shared" si="15"/>
        <v>190.75</v>
      </c>
      <c r="I129" s="32">
        <v>125</v>
      </c>
      <c r="J129" s="32">
        <f t="shared" si="17"/>
        <v>190.75</v>
      </c>
      <c r="K129" s="32">
        <f t="shared" si="16"/>
        <v>0.75</v>
      </c>
      <c r="M129"/>
      <c r="N129"/>
      <c r="O129"/>
      <c r="P129"/>
      <c r="Q129"/>
    </row>
    <row r="130" spans="8:17" x14ac:dyDescent="0.3">
      <c r="H130" s="29">
        <f t="shared" si="15"/>
        <v>191.25</v>
      </c>
      <c r="I130" s="32">
        <v>126</v>
      </c>
      <c r="J130" s="32">
        <f t="shared" si="17"/>
        <v>191.25</v>
      </c>
      <c r="K130" s="32">
        <f t="shared" si="16"/>
        <v>0.5</v>
      </c>
      <c r="M130"/>
      <c r="N130"/>
      <c r="O130"/>
      <c r="P130"/>
      <c r="Q130"/>
    </row>
    <row r="131" spans="8:17" x14ac:dyDescent="0.3">
      <c r="H131" s="29">
        <f t="shared" si="15"/>
        <v>192</v>
      </c>
      <c r="I131" s="32">
        <v>127</v>
      </c>
      <c r="J131" s="32">
        <f t="shared" si="17"/>
        <v>192</v>
      </c>
      <c r="K131" s="32">
        <f t="shared" si="16"/>
        <v>0.75</v>
      </c>
      <c r="M131"/>
      <c r="N131"/>
      <c r="O131"/>
      <c r="P131"/>
      <c r="Q131"/>
    </row>
    <row r="132" spans="8:17" x14ac:dyDescent="0.3">
      <c r="H132" s="29">
        <f t="shared" ref="H132:H195" si="18">J132</f>
        <v>192.75</v>
      </c>
      <c r="I132" s="32">
        <v>128</v>
      </c>
      <c r="J132" s="32">
        <f t="shared" si="17"/>
        <v>192.75</v>
      </c>
      <c r="K132" s="32">
        <f t="shared" si="16"/>
        <v>0.75</v>
      </c>
      <c r="M132"/>
      <c r="N132"/>
      <c r="O132"/>
      <c r="P132"/>
      <c r="Q132"/>
    </row>
    <row r="133" spans="8:17" x14ac:dyDescent="0.3">
      <c r="H133" s="29">
        <f t="shared" si="18"/>
        <v>193.25</v>
      </c>
      <c r="I133" s="32">
        <v>129</v>
      </c>
      <c r="J133" s="32">
        <f t="shared" si="17"/>
        <v>193.25</v>
      </c>
      <c r="K133" s="32">
        <f t="shared" ref="K133:K196" si="19">J133-J132</f>
        <v>0.5</v>
      </c>
      <c r="M133"/>
      <c r="N133"/>
      <c r="O133"/>
      <c r="P133"/>
      <c r="Q133"/>
    </row>
    <row r="134" spans="8:17" x14ac:dyDescent="0.3">
      <c r="H134" s="29">
        <f t="shared" si="18"/>
        <v>194</v>
      </c>
      <c r="I134" s="32">
        <v>130</v>
      </c>
      <c r="J134" s="32">
        <f t="shared" ref="J134:J197" si="20">VALUE(MID($O$2,FIND("*",SUBSTITUTE($O$2," ","*",I134),1)+1,FIND("*",SUBSTITUTE($O$2," ","*",I135),1)-FIND("*",SUBSTITUTE($O$2," ","*",I134),1)-1))/$F$12</f>
        <v>194</v>
      </c>
      <c r="K134" s="32">
        <f t="shared" si="19"/>
        <v>0.75</v>
      </c>
      <c r="M134"/>
      <c r="N134"/>
      <c r="O134"/>
      <c r="P134"/>
      <c r="Q134"/>
    </row>
    <row r="135" spans="8:17" x14ac:dyDescent="0.3">
      <c r="H135" s="29">
        <f t="shared" si="18"/>
        <v>194.75</v>
      </c>
      <c r="I135" s="32">
        <v>131</v>
      </c>
      <c r="J135" s="32">
        <f t="shared" si="20"/>
        <v>194.75</v>
      </c>
      <c r="K135" s="32">
        <f t="shared" si="19"/>
        <v>0.75</v>
      </c>
      <c r="M135"/>
      <c r="N135"/>
      <c r="O135"/>
      <c r="P135"/>
      <c r="Q135"/>
    </row>
    <row r="136" spans="8:17" x14ac:dyDescent="0.3">
      <c r="H136" s="29">
        <f t="shared" si="18"/>
        <v>195.25</v>
      </c>
      <c r="I136" s="32">
        <v>132</v>
      </c>
      <c r="J136" s="32">
        <f t="shared" si="20"/>
        <v>195.25</v>
      </c>
      <c r="K136" s="32">
        <f t="shared" si="19"/>
        <v>0.5</v>
      </c>
      <c r="M136"/>
      <c r="N136"/>
      <c r="O136"/>
      <c r="P136"/>
      <c r="Q136"/>
    </row>
    <row r="137" spans="8:17" x14ac:dyDescent="0.3">
      <c r="H137" s="29">
        <f t="shared" si="18"/>
        <v>196</v>
      </c>
      <c r="I137" s="32">
        <v>133</v>
      </c>
      <c r="J137" s="32">
        <f t="shared" si="20"/>
        <v>196</v>
      </c>
      <c r="K137" s="32">
        <f t="shared" si="19"/>
        <v>0.75</v>
      </c>
      <c r="M137"/>
      <c r="N137"/>
      <c r="O137"/>
      <c r="P137"/>
      <c r="Q137"/>
    </row>
    <row r="138" spans="8:17" x14ac:dyDescent="0.3">
      <c r="H138" s="29">
        <f t="shared" si="18"/>
        <v>196.75</v>
      </c>
      <c r="I138" s="32">
        <v>134</v>
      </c>
      <c r="J138" s="32">
        <f t="shared" si="20"/>
        <v>196.75</v>
      </c>
      <c r="K138" s="32">
        <f t="shared" si="19"/>
        <v>0.75</v>
      </c>
      <c r="M138"/>
      <c r="N138"/>
      <c r="O138"/>
      <c r="P138"/>
      <c r="Q138"/>
    </row>
    <row r="139" spans="8:17" x14ac:dyDescent="0.3">
      <c r="H139" s="29">
        <f t="shared" si="18"/>
        <v>197.25</v>
      </c>
      <c r="I139" s="32">
        <v>135</v>
      </c>
      <c r="J139" s="32">
        <f t="shared" si="20"/>
        <v>197.25</v>
      </c>
      <c r="K139" s="32">
        <f t="shared" si="19"/>
        <v>0.5</v>
      </c>
      <c r="M139"/>
      <c r="N139"/>
      <c r="O139"/>
      <c r="P139"/>
      <c r="Q139"/>
    </row>
    <row r="140" spans="8:17" x14ac:dyDescent="0.3">
      <c r="H140" s="29">
        <f t="shared" si="18"/>
        <v>198</v>
      </c>
      <c r="I140" s="32">
        <v>136</v>
      </c>
      <c r="J140" s="32">
        <f t="shared" si="20"/>
        <v>198</v>
      </c>
      <c r="K140" s="32">
        <f t="shared" si="19"/>
        <v>0.75</v>
      </c>
      <c r="M140"/>
      <c r="N140"/>
      <c r="O140"/>
      <c r="P140"/>
      <c r="Q140"/>
    </row>
    <row r="141" spans="8:17" x14ac:dyDescent="0.3">
      <c r="H141" s="29">
        <f t="shared" si="18"/>
        <v>198.75</v>
      </c>
      <c r="I141" s="32">
        <v>137</v>
      </c>
      <c r="J141" s="32">
        <f t="shared" si="20"/>
        <v>198.75</v>
      </c>
      <c r="K141" s="32">
        <f t="shared" si="19"/>
        <v>0.75</v>
      </c>
      <c r="M141"/>
      <c r="N141"/>
      <c r="O141"/>
      <c r="P141"/>
      <c r="Q141"/>
    </row>
    <row r="142" spans="8:17" x14ac:dyDescent="0.3">
      <c r="H142" s="29">
        <f t="shared" si="18"/>
        <v>199.25</v>
      </c>
      <c r="I142" s="32">
        <v>138</v>
      </c>
      <c r="J142" s="32">
        <f t="shared" si="20"/>
        <v>199.25</v>
      </c>
      <c r="K142" s="32">
        <f t="shared" si="19"/>
        <v>0.5</v>
      </c>
      <c r="M142"/>
      <c r="N142"/>
      <c r="O142"/>
      <c r="P142"/>
      <c r="Q142"/>
    </row>
    <row r="143" spans="8:17" x14ac:dyDescent="0.3">
      <c r="H143" s="29">
        <f t="shared" si="18"/>
        <v>200</v>
      </c>
      <c r="I143" s="32">
        <v>139</v>
      </c>
      <c r="J143" s="32">
        <f t="shared" si="20"/>
        <v>200</v>
      </c>
      <c r="K143" s="32">
        <f t="shared" si="19"/>
        <v>0.75</v>
      </c>
      <c r="M143"/>
      <c r="N143"/>
      <c r="O143"/>
      <c r="P143"/>
      <c r="Q143"/>
    </row>
    <row r="144" spans="8:17" x14ac:dyDescent="0.3">
      <c r="H144" s="29">
        <f t="shared" si="18"/>
        <v>200.75</v>
      </c>
      <c r="I144" s="32">
        <v>140</v>
      </c>
      <c r="J144" s="32">
        <f t="shared" si="20"/>
        <v>200.75</v>
      </c>
      <c r="K144" s="32">
        <f t="shared" si="19"/>
        <v>0.75</v>
      </c>
      <c r="M144"/>
      <c r="N144"/>
      <c r="O144"/>
      <c r="P144"/>
      <c r="Q144"/>
    </row>
    <row r="145" spans="8:17" x14ac:dyDescent="0.3">
      <c r="H145" s="29">
        <f t="shared" si="18"/>
        <v>201.25</v>
      </c>
      <c r="I145" s="32">
        <v>141</v>
      </c>
      <c r="J145" s="32">
        <f t="shared" si="20"/>
        <v>201.25</v>
      </c>
      <c r="K145" s="32">
        <f t="shared" si="19"/>
        <v>0.5</v>
      </c>
      <c r="M145"/>
      <c r="N145"/>
      <c r="O145"/>
      <c r="P145"/>
      <c r="Q145"/>
    </row>
    <row r="146" spans="8:17" x14ac:dyDescent="0.3">
      <c r="H146" s="29">
        <f t="shared" si="18"/>
        <v>202</v>
      </c>
      <c r="I146" s="32">
        <v>142</v>
      </c>
      <c r="J146" s="32">
        <f t="shared" si="20"/>
        <v>202</v>
      </c>
      <c r="K146" s="32">
        <f t="shared" si="19"/>
        <v>0.75</v>
      </c>
      <c r="M146"/>
      <c r="N146"/>
      <c r="O146"/>
      <c r="P146"/>
      <c r="Q146"/>
    </row>
    <row r="147" spans="8:17" x14ac:dyDescent="0.3">
      <c r="H147" s="29">
        <f t="shared" si="18"/>
        <v>202.75</v>
      </c>
      <c r="I147" s="32">
        <v>143</v>
      </c>
      <c r="J147" s="32">
        <f t="shared" si="20"/>
        <v>202.75</v>
      </c>
      <c r="K147" s="32">
        <f t="shared" si="19"/>
        <v>0.75</v>
      </c>
      <c r="M147"/>
      <c r="N147"/>
      <c r="O147"/>
      <c r="P147"/>
      <c r="Q147"/>
    </row>
    <row r="148" spans="8:17" x14ac:dyDescent="0.3">
      <c r="H148" s="29">
        <f t="shared" si="18"/>
        <v>203.25</v>
      </c>
      <c r="I148" s="32">
        <v>144</v>
      </c>
      <c r="J148" s="32">
        <f t="shared" si="20"/>
        <v>203.25</v>
      </c>
      <c r="K148" s="32">
        <f t="shared" si="19"/>
        <v>0.5</v>
      </c>
      <c r="M148"/>
      <c r="N148"/>
      <c r="O148"/>
      <c r="P148"/>
      <c r="Q148"/>
    </row>
    <row r="149" spans="8:17" x14ac:dyDescent="0.3">
      <c r="H149" s="29">
        <f t="shared" si="18"/>
        <v>204</v>
      </c>
      <c r="I149" s="32">
        <v>145</v>
      </c>
      <c r="J149" s="32">
        <f t="shared" si="20"/>
        <v>204</v>
      </c>
      <c r="K149" s="32">
        <f t="shared" si="19"/>
        <v>0.75</v>
      </c>
      <c r="M149"/>
      <c r="N149"/>
      <c r="O149"/>
      <c r="P149"/>
      <c r="Q149"/>
    </row>
    <row r="150" spans="8:17" x14ac:dyDescent="0.3">
      <c r="H150" s="29">
        <f t="shared" si="18"/>
        <v>204.75</v>
      </c>
      <c r="I150" s="32">
        <v>146</v>
      </c>
      <c r="J150" s="32">
        <f t="shared" si="20"/>
        <v>204.75</v>
      </c>
      <c r="K150" s="32">
        <f t="shared" si="19"/>
        <v>0.75</v>
      </c>
      <c r="M150"/>
      <c r="N150"/>
      <c r="O150"/>
      <c r="P150"/>
      <c r="Q150"/>
    </row>
    <row r="151" spans="8:17" x14ac:dyDescent="0.3">
      <c r="H151" s="29">
        <f t="shared" si="18"/>
        <v>205.25</v>
      </c>
      <c r="I151" s="32">
        <v>147</v>
      </c>
      <c r="J151" s="32">
        <f t="shared" si="20"/>
        <v>205.25</v>
      </c>
      <c r="K151" s="32">
        <f t="shared" si="19"/>
        <v>0.5</v>
      </c>
      <c r="M151"/>
      <c r="N151"/>
      <c r="O151"/>
      <c r="P151"/>
      <c r="Q151"/>
    </row>
    <row r="152" spans="8:17" x14ac:dyDescent="0.3">
      <c r="H152" s="29">
        <f t="shared" si="18"/>
        <v>205.75</v>
      </c>
      <c r="I152" s="32">
        <v>148</v>
      </c>
      <c r="J152" s="32">
        <f t="shared" si="20"/>
        <v>205.75</v>
      </c>
      <c r="K152" s="32">
        <f t="shared" si="19"/>
        <v>0.5</v>
      </c>
      <c r="M152"/>
      <c r="N152"/>
      <c r="O152"/>
      <c r="P152"/>
      <c r="Q152"/>
    </row>
    <row r="153" spans="8:17" x14ac:dyDescent="0.3">
      <c r="H153" s="29">
        <f t="shared" si="18"/>
        <v>206.25</v>
      </c>
      <c r="I153" s="32">
        <v>149</v>
      </c>
      <c r="J153" s="32">
        <f t="shared" si="20"/>
        <v>206.25</v>
      </c>
      <c r="K153" s="32">
        <f t="shared" si="19"/>
        <v>0.5</v>
      </c>
      <c r="M153"/>
      <c r="N153"/>
      <c r="O153"/>
      <c r="P153"/>
      <c r="Q153"/>
    </row>
    <row r="154" spans="8:17" x14ac:dyDescent="0.3">
      <c r="H154" s="29">
        <f t="shared" si="18"/>
        <v>206.75</v>
      </c>
      <c r="I154" s="32">
        <v>150</v>
      </c>
      <c r="J154" s="32">
        <f t="shared" si="20"/>
        <v>206.75</v>
      </c>
      <c r="K154" s="32">
        <f t="shared" si="19"/>
        <v>0.5</v>
      </c>
      <c r="M154"/>
      <c r="N154"/>
      <c r="O154"/>
      <c r="P154"/>
      <c r="Q154"/>
    </row>
    <row r="155" spans="8:17" x14ac:dyDescent="0.3">
      <c r="H155" s="29">
        <f t="shared" si="18"/>
        <v>207.25</v>
      </c>
      <c r="I155" s="32">
        <v>151</v>
      </c>
      <c r="J155" s="32">
        <f t="shared" si="20"/>
        <v>207.25</v>
      </c>
      <c r="K155" s="32">
        <f t="shared" si="19"/>
        <v>0.5</v>
      </c>
      <c r="M155"/>
      <c r="N155"/>
      <c r="O155"/>
      <c r="P155"/>
      <c r="Q155"/>
    </row>
    <row r="156" spans="8:17" x14ac:dyDescent="0.3">
      <c r="H156" s="29">
        <f t="shared" si="18"/>
        <v>207.75</v>
      </c>
      <c r="I156" s="32">
        <v>152</v>
      </c>
      <c r="J156" s="32">
        <f t="shared" si="20"/>
        <v>207.75</v>
      </c>
      <c r="K156" s="32">
        <f t="shared" si="19"/>
        <v>0.5</v>
      </c>
      <c r="M156"/>
      <c r="N156"/>
      <c r="O156"/>
      <c r="P156"/>
      <c r="Q156"/>
    </row>
    <row r="157" spans="8:17" x14ac:dyDescent="0.3">
      <c r="H157" s="29">
        <f t="shared" si="18"/>
        <v>208.25</v>
      </c>
      <c r="I157" s="32">
        <v>153</v>
      </c>
      <c r="J157" s="32">
        <f t="shared" si="20"/>
        <v>208.25</v>
      </c>
      <c r="K157" s="32">
        <f t="shared" si="19"/>
        <v>0.5</v>
      </c>
      <c r="M157"/>
      <c r="N157"/>
      <c r="O157"/>
      <c r="P157"/>
      <c r="Q157"/>
    </row>
    <row r="158" spans="8:17" x14ac:dyDescent="0.3">
      <c r="H158" s="29">
        <f t="shared" si="18"/>
        <v>209</v>
      </c>
      <c r="I158" s="32">
        <v>154</v>
      </c>
      <c r="J158" s="32">
        <f t="shared" si="20"/>
        <v>209</v>
      </c>
      <c r="K158" s="32">
        <f t="shared" si="19"/>
        <v>0.75</v>
      </c>
      <c r="M158"/>
      <c r="N158"/>
      <c r="O158"/>
      <c r="P158"/>
      <c r="Q158"/>
    </row>
    <row r="159" spans="8:17" x14ac:dyDescent="0.3">
      <c r="H159" s="29">
        <f t="shared" si="18"/>
        <v>209.75</v>
      </c>
      <c r="I159" s="32">
        <v>155</v>
      </c>
      <c r="J159" s="32">
        <f t="shared" si="20"/>
        <v>209.75</v>
      </c>
      <c r="K159" s="32">
        <f t="shared" si="19"/>
        <v>0.75</v>
      </c>
      <c r="M159"/>
      <c r="N159"/>
      <c r="O159"/>
      <c r="P159"/>
      <c r="Q159"/>
    </row>
    <row r="160" spans="8:17" x14ac:dyDescent="0.3">
      <c r="H160" s="29">
        <f t="shared" si="18"/>
        <v>210.25</v>
      </c>
      <c r="I160" s="32">
        <v>156</v>
      </c>
      <c r="J160" s="32">
        <f t="shared" si="20"/>
        <v>210.25</v>
      </c>
      <c r="K160" s="32">
        <f t="shared" si="19"/>
        <v>0.5</v>
      </c>
      <c r="M160"/>
      <c r="N160"/>
      <c r="O160"/>
      <c r="P160"/>
      <c r="Q160"/>
    </row>
    <row r="161" spans="8:17" x14ac:dyDescent="0.3">
      <c r="H161" s="29">
        <f t="shared" si="18"/>
        <v>211</v>
      </c>
      <c r="I161" s="32">
        <v>157</v>
      </c>
      <c r="J161" s="32">
        <f t="shared" si="20"/>
        <v>211</v>
      </c>
      <c r="K161" s="32">
        <f t="shared" si="19"/>
        <v>0.75</v>
      </c>
      <c r="M161"/>
      <c r="N161"/>
      <c r="O161"/>
      <c r="P161"/>
      <c r="Q161"/>
    </row>
    <row r="162" spans="8:17" x14ac:dyDescent="0.3">
      <c r="H162" s="29">
        <f t="shared" si="18"/>
        <v>211.5</v>
      </c>
      <c r="I162" s="32">
        <v>158</v>
      </c>
      <c r="J162" s="32">
        <f t="shared" si="20"/>
        <v>211.5</v>
      </c>
      <c r="K162" s="32">
        <f t="shared" si="19"/>
        <v>0.5</v>
      </c>
      <c r="M162"/>
      <c r="N162"/>
      <c r="O162"/>
      <c r="P162"/>
      <c r="Q162"/>
    </row>
    <row r="163" spans="8:17" x14ac:dyDescent="0.3">
      <c r="H163" s="29">
        <f t="shared" si="18"/>
        <v>212</v>
      </c>
      <c r="I163" s="32">
        <v>159</v>
      </c>
      <c r="J163" s="32">
        <f t="shared" si="20"/>
        <v>212</v>
      </c>
      <c r="K163" s="32">
        <f t="shared" si="19"/>
        <v>0.5</v>
      </c>
      <c r="M163"/>
      <c r="N163"/>
      <c r="O163"/>
      <c r="P163"/>
      <c r="Q163"/>
    </row>
    <row r="164" spans="8:17" x14ac:dyDescent="0.3">
      <c r="H164" s="29">
        <f t="shared" si="18"/>
        <v>212.75</v>
      </c>
      <c r="I164" s="32">
        <v>160</v>
      </c>
      <c r="J164" s="32">
        <f t="shared" si="20"/>
        <v>212.75</v>
      </c>
      <c r="K164" s="32">
        <f t="shared" si="19"/>
        <v>0.75</v>
      </c>
      <c r="M164"/>
      <c r="N164"/>
      <c r="O164"/>
      <c r="P164"/>
      <c r="Q164"/>
    </row>
    <row r="165" spans="8:17" x14ac:dyDescent="0.3">
      <c r="H165" s="29">
        <f t="shared" si="18"/>
        <v>213.25</v>
      </c>
      <c r="I165" s="32">
        <v>161</v>
      </c>
      <c r="J165" s="32">
        <f t="shared" si="20"/>
        <v>213.25</v>
      </c>
      <c r="K165" s="32">
        <f t="shared" si="19"/>
        <v>0.5</v>
      </c>
      <c r="M165"/>
      <c r="N165"/>
      <c r="O165"/>
      <c r="P165"/>
      <c r="Q165"/>
    </row>
    <row r="166" spans="8:17" x14ac:dyDescent="0.3">
      <c r="H166" s="29">
        <f t="shared" si="18"/>
        <v>213.75</v>
      </c>
      <c r="I166" s="32">
        <v>162</v>
      </c>
      <c r="J166" s="32">
        <f t="shared" si="20"/>
        <v>213.75</v>
      </c>
      <c r="K166" s="32">
        <f t="shared" si="19"/>
        <v>0.5</v>
      </c>
      <c r="M166"/>
      <c r="N166"/>
      <c r="O166"/>
      <c r="P166"/>
      <c r="Q166"/>
    </row>
    <row r="167" spans="8:17" x14ac:dyDescent="0.3">
      <c r="H167" s="29">
        <f t="shared" si="18"/>
        <v>214.25</v>
      </c>
      <c r="I167" s="32">
        <v>163</v>
      </c>
      <c r="J167" s="32">
        <f t="shared" si="20"/>
        <v>214.25</v>
      </c>
      <c r="K167" s="32">
        <f t="shared" si="19"/>
        <v>0.5</v>
      </c>
      <c r="M167"/>
      <c r="N167"/>
      <c r="O167"/>
      <c r="P167"/>
      <c r="Q167"/>
    </row>
    <row r="168" spans="8:17" x14ac:dyDescent="0.3">
      <c r="H168" s="29">
        <f t="shared" si="18"/>
        <v>214.75</v>
      </c>
      <c r="I168" s="32">
        <v>164</v>
      </c>
      <c r="J168" s="32">
        <f t="shared" si="20"/>
        <v>214.75</v>
      </c>
      <c r="K168" s="32">
        <f t="shared" si="19"/>
        <v>0.5</v>
      </c>
      <c r="M168"/>
      <c r="N168"/>
      <c r="O168"/>
      <c r="P168"/>
      <c r="Q168"/>
    </row>
    <row r="169" spans="8:17" x14ac:dyDescent="0.3">
      <c r="H169" s="29">
        <f t="shared" si="18"/>
        <v>215.25</v>
      </c>
      <c r="I169" s="32">
        <v>165</v>
      </c>
      <c r="J169" s="32">
        <f t="shared" si="20"/>
        <v>215.25</v>
      </c>
      <c r="K169" s="32">
        <f t="shared" si="19"/>
        <v>0.5</v>
      </c>
      <c r="M169"/>
      <c r="N169"/>
      <c r="O169"/>
      <c r="P169"/>
      <c r="Q169"/>
    </row>
    <row r="170" spans="8:17" x14ac:dyDescent="0.3">
      <c r="H170" s="29">
        <f t="shared" si="18"/>
        <v>216</v>
      </c>
      <c r="I170" s="32">
        <v>166</v>
      </c>
      <c r="J170" s="32">
        <f t="shared" si="20"/>
        <v>216</v>
      </c>
      <c r="K170" s="32">
        <f t="shared" si="19"/>
        <v>0.75</v>
      </c>
      <c r="M170"/>
      <c r="N170"/>
      <c r="O170"/>
      <c r="P170"/>
      <c r="Q170"/>
    </row>
    <row r="171" spans="8:17" x14ac:dyDescent="0.3">
      <c r="H171" s="29">
        <f t="shared" si="18"/>
        <v>216.5</v>
      </c>
      <c r="I171" s="32">
        <v>167</v>
      </c>
      <c r="J171" s="32">
        <f t="shared" si="20"/>
        <v>216.5</v>
      </c>
      <c r="K171" s="32">
        <f t="shared" si="19"/>
        <v>0.5</v>
      </c>
      <c r="M171"/>
      <c r="N171"/>
      <c r="O171"/>
      <c r="P171"/>
      <c r="Q171"/>
    </row>
    <row r="172" spans="8:17" x14ac:dyDescent="0.3">
      <c r="H172" s="29">
        <f t="shared" si="18"/>
        <v>217</v>
      </c>
      <c r="I172" s="32">
        <v>168</v>
      </c>
      <c r="J172" s="32">
        <f t="shared" si="20"/>
        <v>217</v>
      </c>
      <c r="K172" s="32">
        <f t="shared" si="19"/>
        <v>0.5</v>
      </c>
      <c r="M172"/>
      <c r="N172"/>
      <c r="O172"/>
      <c r="P172"/>
      <c r="Q172"/>
    </row>
    <row r="173" spans="8:17" x14ac:dyDescent="0.3">
      <c r="H173" s="29">
        <f t="shared" si="18"/>
        <v>217.5</v>
      </c>
      <c r="I173" s="32">
        <v>169</v>
      </c>
      <c r="J173" s="32">
        <f t="shared" si="20"/>
        <v>217.5</v>
      </c>
      <c r="K173" s="32">
        <f t="shared" si="19"/>
        <v>0.5</v>
      </c>
      <c r="M173"/>
      <c r="N173"/>
      <c r="O173"/>
      <c r="P173"/>
      <c r="Q173"/>
    </row>
    <row r="174" spans="8:17" x14ac:dyDescent="0.3">
      <c r="H174" s="29">
        <f t="shared" si="18"/>
        <v>218</v>
      </c>
      <c r="I174" s="32">
        <v>170</v>
      </c>
      <c r="J174" s="32">
        <f t="shared" si="20"/>
        <v>218</v>
      </c>
      <c r="K174" s="32">
        <f t="shared" si="19"/>
        <v>0.5</v>
      </c>
      <c r="M174"/>
      <c r="N174"/>
      <c r="O174"/>
      <c r="P174"/>
      <c r="Q174"/>
    </row>
    <row r="175" spans="8:17" x14ac:dyDescent="0.3">
      <c r="H175" s="29">
        <f t="shared" si="18"/>
        <v>218.5</v>
      </c>
      <c r="I175" s="32">
        <v>171</v>
      </c>
      <c r="J175" s="32">
        <f t="shared" si="20"/>
        <v>218.5</v>
      </c>
      <c r="K175" s="32">
        <f t="shared" si="19"/>
        <v>0.5</v>
      </c>
      <c r="M175"/>
      <c r="N175"/>
      <c r="O175"/>
      <c r="P175"/>
      <c r="Q175"/>
    </row>
    <row r="176" spans="8:17" x14ac:dyDescent="0.3">
      <c r="H176" s="29">
        <f t="shared" si="18"/>
        <v>219</v>
      </c>
      <c r="I176" s="32">
        <v>172</v>
      </c>
      <c r="J176" s="32">
        <f t="shared" si="20"/>
        <v>219</v>
      </c>
      <c r="K176" s="32">
        <f t="shared" si="19"/>
        <v>0.5</v>
      </c>
      <c r="M176"/>
      <c r="N176"/>
      <c r="O176"/>
      <c r="P176"/>
      <c r="Q176"/>
    </row>
    <row r="177" spans="8:17" x14ac:dyDescent="0.3">
      <c r="H177" s="29">
        <f t="shared" si="18"/>
        <v>219.5</v>
      </c>
      <c r="I177" s="32">
        <v>173</v>
      </c>
      <c r="J177" s="32">
        <f t="shared" si="20"/>
        <v>219.5</v>
      </c>
      <c r="K177" s="32">
        <f t="shared" si="19"/>
        <v>0.5</v>
      </c>
      <c r="M177"/>
      <c r="N177"/>
      <c r="O177"/>
      <c r="P177"/>
      <c r="Q177"/>
    </row>
    <row r="178" spans="8:17" x14ac:dyDescent="0.3">
      <c r="H178" s="29">
        <f t="shared" si="18"/>
        <v>220</v>
      </c>
      <c r="I178" s="32">
        <v>174</v>
      </c>
      <c r="J178" s="32">
        <f t="shared" si="20"/>
        <v>220</v>
      </c>
      <c r="K178" s="32">
        <f t="shared" si="19"/>
        <v>0.5</v>
      </c>
      <c r="M178"/>
      <c r="N178"/>
      <c r="O178"/>
      <c r="P178"/>
      <c r="Q178"/>
    </row>
    <row r="179" spans="8:17" x14ac:dyDescent="0.3">
      <c r="H179" s="29">
        <f t="shared" si="18"/>
        <v>220.5</v>
      </c>
      <c r="I179" s="32">
        <v>175</v>
      </c>
      <c r="J179" s="32">
        <f t="shared" si="20"/>
        <v>220.5</v>
      </c>
      <c r="K179" s="32">
        <f t="shared" si="19"/>
        <v>0.5</v>
      </c>
      <c r="M179"/>
      <c r="N179"/>
      <c r="O179"/>
      <c r="P179"/>
      <c r="Q179"/>
    </row>
    <row r="180" spans="8:17" x14ac:dyDescent="0.3">
      <c r="H180" s="29">
        <f t="shared" si="18"/>
        <v>221</v>
      </c>
      <c r="I180" s="32">
        <v>176</v>
      </c>
      <c r="J180" s="32">
        <f t="shared" si="20"/>
        <v>221</v>
      </c>
      <c r="K180" s="32">
        <f t="shared" si="19"/>
        <v>0.5</v>
      </c>
      <c r="M180"/>
      <c r="N180"/>
      <c r="O180"/>
      <c r="P180"/>
      <c r="Q180"/>
    </row>
    <row r="181" spans="8:17" x14ac:dyDescent="0.3">
      <c r="H181" s="29">
        <f t="shared" si="18"/>
        <v>221.5</v>
      </c>
      <c r="I181" s="32">
        <v>177</v>
      </c>
      <c r="J181" s="32">
        <f t="shared" si="20"/>
        <v>221.5</v>
      </c>
      <c r="K181" s="32">
        <f t="shared" si="19"/>
        <v>0.5</v>
      </c>
      <c r="M181"/>
      <c r="N181"/>
      <c r="O181"/>
      <c r="P181"/>
      <c r="Q181"/>
    </row>
    <row r="182" spans="8:17" x14ac:dyDescent="0.3">
      <c r="H182" s="29">
        <f t="shared" si="18"/>
        <v>222</v>
      </c>
      <c r="I182" s="32">
        <v>178</v>
      </c>
      <c r="J182" s="32">
        <f t="shared" si="20"/>
        <v>222</v>
      </c>
      <c r="K182" s="32">
        <f t="shared" si="19"/>
        <v>0.5</v>
      </c>
      <c r="M182"/>
      <c r="N182"/>
      <c r="O182"/>
      <c r="P182"/>
      <c r="Q182"/>
    </row>
    <row r="183" spans="8:17" x14ac:dyDescent="0.3">
      <c r="H183" s="29">
        <f t="shared" si="18"/>
        <v>222.5</v>
      </c>
      <c r="I183" s="32">
        <v>179</v>
      </c>
      <c r="J183" s="32">
        <f t="shared" si="20"/>
        <v>222.5</v>
      </c>
      <c r="K183" s="32">
        <f t="shared" si="19"/>
        <v>0.5</v>
      </c>
      <c r="M183"/>
      <c r="N183"/>
      <c r="O183"/>
      <c r="P183"/>
      <c r="Q183"/>
    </row>
    <row r="184" spans="8:17" x14ac:dyDescent="0.3">
      <c r="H184" s="29">
        <f t="shared" si="18"/>
        <v>223</v>
      </c>
      <c r="I184" s="32">
        <v>180</v>
      </c>
      <c r="J184" s="32">
        <f t="shared" si="20"/>
        <v>223</v>
      </c>
      <c r="K184" s="32">
        <f t="shared" si="19"/>
        <v>0.5</v>
      </c>
      <c r="M184"/>
      <c r="N184"/>
      <c r="O184"/>
      <c r="P184"/>
      <c r="Q184"/>
    </row>
    <row r="185" spans="8:17" x14ac:dyDescent="0.3">
      <c r="H185" s="29">
        <f t="shared" si="18"/>
        <v>223.5</v>
      </c>
      <c r="I185" s="32">
        <v>181</v>
      </c>
      <c r="J185" s="32">
        <f t="shared" si="20"/>
        <v>223.5</v>
      </c>
      <c r="K185" s="32">
        <f t="shared" si="19"/>
        <v>0.5</v>
      </c>
      <c r="M185"/>
      <c r="N185"/>
      <c r="O185"/>
      <c r="P185"/>
      <c r="Q185"/>
    </row>
    <row r="186" spans="8:17" x14ac:dyDescent="0.3">
      <c r="H186" s="29">
        <f t="shared" si="18"/>
        <v>224</v>
      </c>
      <c r="I186" s="32">
        <v>182</v>
      </c>
      <c r="J186" s="32">
        <f t="shared" si="20"/>
        <v>224</v>
      </c>
      <c r="K186" s="32">
        <f t="shared" si="19"/>
        <v>0.5</v>
      </c>
      <c r="M186"/>
      <c r="N186"/>
      <c r="O186"/>
      <c r="P186"/>
      <c r="Q186"/>
    </row>
    <row r="187" spans="8:17" x14ac:dyDescent="0.3">
      <c r="H187" s="29">
        <f t="shared" si="18"/>
        <v>224.5</v>
      </c>
      <c r="I187" s="32">
        <v>183</v>
      </c>
      <c r="J187" s="32">
        <f t="shared" si="20"/>
        <v>224.5</v>
      </c>
      <c r="K187" s="32">
        <f t="shared" si="19"/>
        <v>0.5</v>
      </c>
      <c r="M187"/>
      <c r="N187"/>
      <c r="O187"/>
      <c r="P187"/>
      <c r="Q187"/>
    </row>
    <row r="188" spans="8:17" x14ac:dyDescent="0.3">
      <c r="H188" s="29">
        <f t="shared" si="18"/>
        <v>225</v>
      </c>
      <c r="I188" s="32">
        <v>184</v>
      </c>
      <c r="J188" s="32">
        <f t="shared" si="20"/>
        <v>225</v>
      </c>
      <c r="K188" s="32">
        <f t="shared" si="19"/>
        <v>0.5</v>
      </c>
      <c r="M188"/>
      <c r="N188"/>
      <c r="O188"/>
      <c r="P188"/>
      <c r="Q188"/>
    </row>
    <row r="189" spans="8:17" x14ac:dyDescent="0.3">
      <c r="H189" s="29">
        <f t="shared" si="18"/>
        <v>225.75</v>
      </c>
      <c r="I189" s="32">
        <v>185</v>
      </c>
      <c r="J189" s="32">
        <f t="shared" si="20"/>
        <v>225.75</v>
      </c>
      <c r="K189" s="32">
        <f t="shared" si="19"/>
        <v>0.75</v>
      </c>
      <c r="M189"/>
      <c r="N189"/>
      <c r="O189"/>
      <c r="P189"/>
      <c r="Q189"/>
    </row>
    <row r="190" spans="8:17" x14ac:dyDescent="0.3">
      <c r="H190" s="29">
        <f t="shared" si="18"/>
        <v>226.25</v>
      </c>
      <c r="I190" s="32">
        <v>186</v>
      </c>
      <c r="J190" s="32">
        <f t="shared" si="20"/>
        <v>226.25</v>
      </c>
      <c r="K190" s="32">
        <f t="shared" si="19"/>
        <v>0.5</v>
      </c>
      <c r="M190"/>
      <c r="N190"/>
      <c r="O190"/>
      <c r="P190"/>
      <c r="Q190"/>
    </row>
    <row r="191" spans="8:17" x14ac:dyDescent="0.3">
      <c r="H191" s="29">
        <f t="shared" si="18"/>
        <v>226.75</v>
      </c>
      <c r="I191" s="32">
        <v>187</v>
      </c>
      <c r="J191" s="32">
        <f t="shared" si="20"/>
        <v>226.75</v>
      </c>
      <c r="K191" s="32">
        <f t="shared" si="19"/>
        <v>0.5</v>
      </c>
      <c r="M191"/>
      <c r="N191"/>
      <c r="O191"/>
      <c r="P191"/>
      <c r="Q191"/>
    </row>
    <row r="192" spans="8:17" x14ac:dyDescent="0.3">
      <c r="H192" s="29">
        <f t="shared" si="18"/>
        <v>227.25</v>
      </c>
      <c r="I192" s="32">
        <v>188</v>
      </c>
      <c r="J192" s="32">
        <f t="shared" si="20"/>
        <v>227.25</v>
      </c>
      <c r="K192" s="32">
        <f t="shared" si="19"/>
        <v>0.5</v>
      </c>
      <c r="M192"/>
      <c r="N192"/>
      <c r="O192"/>
      <c r="P192"/>
      <c r="Q192"/>
    </row>
    <row r="193" spans="8:17" x14ac:dyDescent="0.3">
      <c r="H193" s="29">
        <f t="shared" si="18"/>
        <v>227.75</v>
      </c>
      <c r="I193" s="32">
        <v>189</v>
      </c>
      <c r="J193" s="32">
        <f t="shared" si="20"/>
        <v>227.75</v>
      </c>
      <c r="K193" s="32">
        <f t="shared" si="19"/>
        <v>0.5</v>
      </c>
      <c r="M193"/>
      <c r="N193"/>
      <c r="O193"/>
      <c r="P193"/>
      <c r="Q193"/>
    </row>
    <row r="194" spans="8:17" x14ac:dyDescent="0.3">
      <c r="H194" s="29">
        <f t="shared" si="18"/>
        <v>228.25</v>
      </c>
      <c r="I194" s="32">
        <v>190</v>
      </c>
      <c r="J194" s="32">
        <f t="shared" si="20"/>
        <v>228.25</v>
      </c>
      <c r="K194" s="32">
        <f t="shared" si="19"/>
        <v>0.5</v>
      </c>
      <c r="M194"/>
      <c r="N194"/>
      <c r="O194"/>
      <c r="P194"/>
      <c r="Q194"/>
    </row>
    <row r="195" spans="8:17" x14ac:dyDescent="0.3">
      <c r="H195" s="29">
        <f t="shared" si="18"/>
        <v>228.75</v>
      </c>
      <c r="I195" s="32">
        <v>191</v>
      </c>
      <c r="J195" s="32">
        <f t="shared" si="20"/>
        <v>228.75</v>
      </c>
      <c r="K195" s="32">
        <f t="shared" si="19"/>
        <v>0.5</v>
      </c>
      <c r="M195"/>
      <c r="N195"/>
      <c r="O195"/>
      <c r="P195"/>
      <c r="Q195"/>
    </row>
    <row r="196" spans="8:17" x14ac:dyDescent="0.3">
      <c r="H196" s="29">
        <f t="shared" ref="H196:H260" si="21">J196</f>
        <v>229</v>
      </c>
      <c r="I196" s="32">
        <v>192</v>
      </c>
      <c r="J196" s="32">
        <f t="shared" si="20"/>
        <v>229</v>
      </c>
      <c r="K196" s="32">
        <f t="shared" si="19"/>
        <v>0.25</v>
      </c>
      <c r="M196"/>
      <c r="N196"/>
      <c r="O196"/>
      <c r="P196"/>
      <c r="Q196"/>
    </row>
    <row r="197" spans="8:17" x14ac:dyDescent="0.3">
      <c r="H197" s="29">
        <f t="shared" si="21"/>
        <v>229.5</v>
      </c>
      <c r="I197" s="32">
        <v>193</v>
      </c>
      <c r="J197" s="32">
        <f t="shared" si="20"/>
        <v>229.5</v>
      </c>
      <c r="K197" s="32">
        <f t="shared" ref="K197:K260" si="22">J197-J196</f>
        <v>0.5</v>
      </c>
      <c r="M197"/>
      <c r="N197"/>
      <c r="O197"/>
      <c r="P197"/>
      <c r="Q197"/>
    </row>
    <row r="198" spans="8:17" x14ac:dyDescent="0.3">
      <c r="H198" s="29">
        <f t="shared" si="21"/>
        <v>230</v>
      </c>
      <c r="I198" s="32">
        <v>194</v>
      </c>
      <c r="J198" s="32">
        <f t="shared" ref="J198:J259" si="23">VALUE(MID($O$2,FIND("*",SUBSTITUTE($O$2," ","*",I198),1)+1,FIND("*",SUBSTITUTE($O$2," ","*",I199),1)-FIND("*",SUBSTITUTE($O$2," ","*",I198),1)-1))/$F$12</f>
        <v>230</v>
      </c>
      <c r="K198" s="32">
        <f t="shared" si="22"/>
        <v>0.5</v>
      </c>
      <c r="M198"/>
      <c r="N198"/>
      <c r="O198"/>
      <c r="P198"/>
      <c r="Q198"/>
    </row>
    <row r="199" spans="8:17" x14ac:dyDescent="0.3">
      <c r="H199" s="29">
        <f t="shared" si="21"/>
        <v>230.5</v>
      </c>
      <c r="I199" s="32">
        <v>195</v>
      </c>
      <c r="J199" s="32">
        <f t="shared" si="23"/>
        <v>230.5</v>
      </c>
      <c r="K199" s="32">
        <f t="shared" si="22"/>
        <v>0.5</v>
      </c>
      <c r="M199"/>
      <c r="N199"/>
      <c r="O199"/>
      <c r="P199"/>
      <c r="Q199"/>
    </row>
    <row r="200" spans="8:17" x14ac:dyDescent="0.3">
      <c r="H200" s="29">
        <f t="shared" si="21"/>
        <v>230.75</v>
      </c>
      <c r="I200" s="32">
        <v>196</v>
      </c>
      <c r="J200" s="32">
        <f t="shared" si="23"/>
        <v>230.75</v>
      </c>
      <c r="K200" s="32">
        <f t="shared" si="22"/>
        <v>0.25</v>
      </c>
      <c r="M200"/>
      <c r="N200"/>
      <c r="O200"/>
      <c r="P200"/>
      <c r="Q200"/>
    </row>
    <row r="201" spans="8:17" x14ac:dyDescent="0.3">
      <c r="H201" s="29">
        <f t="shared" si="21"/>
        <v>231.25</v>
      </c>
      <c r="I201" s="32">
        <v>197</v>
      </c>
      <c r="J201" s="32">
        <f t="shared" si="23"/>
        <v>231.25</v>
      </c>
      <c r="K201" s="32">
        <f t="shared" si="22"/>
        <v>0.5</v>
      </c>
      <c r="M201"/>
      <c r="N201"/>
      <c r="O201"/>
      <c r="P201"/>
      <c r="Q201"/>
    </row>
    <row r="202" spans="8:17" x14ac:dyDescent="0.3">
      <c r="H202" s="29">
        <f t="shared" si="21"/>
        <v>231.75</v>
      </c>
      <c r="I202" s="32">
        <v>198</v>
      </c>
      <c r="J202" s="32">
        <f t="shared" si="23"/>
        <v>231.75</v>
      </c>
      <c r="K202" s="32">
        <f t="shared" si="22"/>
        <v>0.5</v>
      </c>
      <c r="M202"/>
      <c r="N202"/>
      <c r="O202"/>
      <c r="P202"/>
      <c r="Q202"/>
    </row>
    <row r="203" spans="8:17" x14ac:dyDescent="0.3">
      <c r="H203" s="29">
        <f t="shared" si="21"/>
        <v>232.25</v>
      </c>
      <c r="I203" s="32">
        <v>199</v>
      </c>
      <c r="J203" s="32">
        <f t="shared" si="23"/>
        <v>232.25</v>
      </c>
      <c r="K203" s="32">
        <f t="shared" si="22"/>
        <v>0.5</v>
      </c>
      <c r="M203"/>
      <c r="N203"/>
      <c r="O203"/>
      <c r="P203"/>
      <c r="Q203"/>
    </row>
    <row r="204" spans="8:17" x14ac:dyDescent="0.3">
      <c r="H204" s="29">
        <f t="shared" si="21"/>
        <v>232.75</v>
      </c>
      <c r="I204" s="32">
        <v>200</v>
      </c>
      <c r="J204" s="32">
        <f t="shared" si="23"/>
        <v>232.75</v>
      </c>
      <c r="K204" s="32">
        <f t="shared" si="22"/>
        <v>0.5</v>
      </c>
      <c r="M204"/>
      <c r="N204"/>
      <c r="O204"/>
      <c r="P204"/>
      <c r="Q204"/>
    </row>
    <row r="205" spans="8:17" x14ac:dyDescent="0.3">
      <c r="H205" s="29">
        <f t="shared" si="21"/>
        <v>233</v>
      </c>
      <c r="I205" s="32">
        <v>201</v>
      </c>
      <c r="J205" s="32">
        <f t="shared" si="23"/>
        <v>233</v>
      </c>
      <c r="K205" s="32">
        <f t="shared" si="22"/>
        <v>0.25</v>
      </c>
      <c r="M205"/>
      <c r="N205"/>
      <c r="O205"/>
      <c r="P205"/>
      <c r="Q205"/>
    </row>
    <row r="206" spans="8:17" x14ac:dyDescent="0.3">
      <c r="H206" s="29">
        <f t="shared" si="21"/>
        <v>233.5</v>
      </c>
      <c r="I206" s="32">
        <v>202</v>
      </c>
      <c r="J206" s="32">
        <f t="shared" si="23"/>
        <v>233.5</v>
      </c>
      <c r="K206" s="32">
        <f t="shared" si="22"/>
        <v>0.5</v>
      </c>
      <c r="M206"/>
      <c r="N206"/>
      <c r="O206"/>
      <c r="P206"/>
      <c r="Q206"/>
    </row>
    <row r="207" spans="8:17" x14ac:dyDescent="0.3">
      <c r="H207" s="29">
        <f t="shared" si="21"/>
        <v>233.75</v>
      </c>
      <c r="I207" s="32">
        <v>203</v>
      </c>
      <c r="J207" s="32">
        <f t="shared" si="23"/>
        <v>233.75</v>
      </c>
      <c r="K207" s="32">
        <f t="shared" si="22"/>
        <v>0.25</v>
      </c>
      <c r="M207"/>
      <c r="N207"/>
      <c r="O207"/>
      <c r="P207"/>
      <c r="Q207"/>
    </row>
    <row r="208" spans="8:17" x14ac:dyDescent="0.3">
      <c r="H208" s="29">
        <f t="shared" si="21"/>
        <v>234.25</v>
      </c>
      <c r="I208" s="32">
        <v>204</v>
      </c>
      <c r="J208" s="32">
        <f t="shared" si="23"/>
        <v>234.25</v>
      </c>
      <c r="K208" s="32">
        <f t="shared" si="22"/>
        <v>0.5</v>
      </c>
      <c r="M208"/>
      <c r="N208"/>
      <c r="O208"/>
      <c r="P208"/>
      <c r="Q208"/>
    </row>
    <row r="209" spans="8:17" x14ac:dyDescent="0.3">
      <c r="H209" s="29">
        <f t="shared" si="21"/>
        <v>234.75</v>
      </c>
      <c r="I209" s="32">
        <v>205</v>
      </c>
      <c r="J209" s="32">
        <f t="shared" si="23"/>
        <v>234.75</v>
      </c>
      <c r="K209" s="32">
        <f t="shared" si="22"/>
        <v>0.5</v>
      </c>
      <c r="M209"/>
      <c r="N209"/>
      <c r="O209"/>
      <c r="P209"/>
      <c r="Q209"/>
    </row>
    <row r="210" spans="8:17" x14ac:dyDescent="0.3">
      <c r="H210" s="29">
        <f t="shared" si="21"/>
        <v>235.25</v>
      </c>
      <c r="I210" s="32">
        <v>206</v>
      </c>
      <c r="J210" s="32">
        <f t="shared" si="23"/>
        <v>235.25</v>
      </c>
      <c r="K210" s="32">
        <f t="shared" si="22"/>
        <v>0.5</v>
      </c>
      <c r="M210"/>
      <c r="N210"/>
      <c r="O210"/>
      <c r="P210"/>
      <c r="Q210"/>
    </row>
    <row r="211" spans="8:17" x14ac:dyDescent="0.3">
      <c r="H211" s="29">
        <f t="shared" si="21"/>
        <v>235.75</v>
      </c>
      <c r="I211" s="32">
        <v>207</v>
      </c>
      <c r="J211" s="32">
        <f t="shared" si="23"/>
        <v>235.75</v>
      </c>
      <c r="K211" s="32">
        <f t="shared" si="22"/>
        <v>0.5</v>
      </c>
      <c r="M211"/>
      <c r="N211"/>
      <c r="O211"/>
      <c r="P211"/>
      <c r="Q211"/>
    </row>
    <row r="212" spans="8:17" x14ac:dyDescent="0.3">
      <c r="H212" s="29">
        <f t="shared" si="21"/>
        <v>236.25</v>
      </c>
      <c r="I212" s="32">
        <v>208</v>
      </c>
      <c r="J212" s="32">
        <f t="shared" si="23"/>
        <v>236.25</v>
      </c>
      <c r="K212" s="32">
        <f t="shared" si="22"/>
        <v>0.5</v>
      </c>
      <c r="M212"/>
      <c r="N212"/>
      <c r="O212"/>
      <c r="P212"/>
      <c r="Q212"/>
    </row>
    <row r="213" spans="8:17" x14ac:dyDescent="0.3">
      <c r="H213" s="29">
        <f t="shared" si="21"/>
        <v>236.75</v>
      </c>
      <c r="I213" s="32">
        <v>209</v>
      </c>
      <c r="J213" s="32">
        <f t="shared" si="23"/>
        <v>236.75</v>
      </c>
      <c r="K213" s="32">
        <f t="shared" si="22"/>
        <v>0.5</v>
      </c>
      <c r="M213"/>
      <c r="N213"/>
      <c r="O213"/>
      <c r="P213"/>
      <c r="Q213"/>
    </row>
    <row r="214" spans="8:17" x14ac:dyDescent="0.3">
      <c r="H214" s="29">
        <f t="shared" si="21"/>
        <v>237</v>
      </c>
      <c r="I214" s="32">
        <v>210</v>
      </c>
      <c r="J214" s="32">
        <f t="shared" si="23"/>
        <v>237</v>
      </c>
      <c r="K214" s="32">
        <f t="shared" si="22"/>
        <v>0.25</v>
      </c>
      <c r="M214"/>
      <c r="N214"/>
      <c r="O214"/>
      <c r="P214"/>
      <c r="Q214"/>
    </row>
    <row r="215" spans="8:17" x14ac:dyDescent="0.3">
      <c r="H215" s="29">
        <f t="shared" si="21"/>
        <v>237.5</v>
      </c>
      <c r="I215" s="32">
        <v>211</v>
      </c>
      <c r="J215" s="32">
        <f t="shared" si="23"/>
        <v>237.5</v>
      </c>
      <c r="K215" s="32">
        <f t="shared" si="22"/>
        <v>0.5</v>
      </c>
      <c r="M215"/>
      <c r="N215"/>
      <c r="O215"/>
      <c r="P215"/>
      <c r="Q215"/>
    </row>
    <row r="216" spans="8:17" x14ac:dyDescent="0.3">
      <c r="H216" s="29">
        <f t="shared" si="21"/>
        <v>238</v>
      </c>
      <c r="I216" s="32">
        <v>212</v>
      </c>
      <c r="J216" s="32">
        <f t="shared" si="23"/>
        <v>238</v>
      </c>
      <c r="K216" s="32">
        <f t="shared" si="22"/>
        <v>0.5</v>
      </c>
      <c r="M216"/>
      <c r="N216"/>
      <c r="O216"/>
      <c r="P216"/>
      <c r="Q216"/>
    </row>
    <row r="217" spans="8:17" x14ac:dyDescent="0.3">
      <c r="H217" s="29">
        <f t="shared" si="21"/>
        <v>238.5</v>
      </c>
      <c r="I217" s="32">
        <v>213</v>
      </c>
      <c r="J217" s="32">
        <f t="shared" si="23"/>
        <v>238.5</v>
      </c>
      <c r="K217" s="32">
        <f t="shared" si="22"/>
        <v>0.5</v>
      </c>
      <c r="M217"/>
      <c r="N217"/>
      <c r="O217"/>
      <c r="P217"/>
      <c r="Q217"/>
    </row>
    <row r="218" spans="8:17" x14ac:dyDescent="0.3">
      <c r="H218" s="29">
        <f t="shared" si="21"/>
        <v>238.75</v>
      </c>
      <c r="I218" s="32">
        <v>214</v>
      </c>
      <c r="J218" s="32">
        <f t="shared" si="23"/>
        <v>238.75</v>
      </c>
      <c r="K218" s="32">
        <f t="shared" si="22"/>
        <v>0.25</v>
      </c>
      <c r="M218"/>
      <c r="N218"/>
      <c r="O218"/>
      <c r="P218"/>
      <c r="Q218"/>
    </row>
    <row r="219" spans="8:17" x14ac:dyDescent="0.3">
      <c r="H219" s="29">
        <f t="shared" si="21"/>
        <v>239.25</v>
      </c>
      <c r="I219" s="32">
        <v>215</v>
      </c>
      <c r="J219" s="32">
        <f t="shared" si="23"/>
        <v>239.25</v>
      </c>
      <c r="K219" s="32">
        <f t="shared" si="22"/>
        <v>0.5</v>
      </c>
      <c r="M219"/>
      <c r="N219"/>
      <c r="O219"/>
      <c r="P219"/>
      <c r="Q219"/>
    </row>
    <row r="220" spans="8:17" x14ac:dyDescent="0.3">
      <c r="H220" s="29">
        <f t="shared" si="21"/>
        <v>239.75</v>
      </c>
      <c r="I220" s="32">
        <v>216</v>
      </c>
      <c r="J220" s="32">
        <f t="shared" si="23"/>
        <v>239.75</v>
      </c>
      <c r="K220" s="32">
        <f t="shared" si="22"/>
        <v>0.5</v>
      </c>
      <c r="M220"/>
      <c r="N220"/>
      <c r="O220"/>
      <c r="P220"/>
      <c r="Q220"/>
    </row>
    <row r="221" spans="8:17" x14ac:dyDescent="0.3">
      <c r="H221" s="29">
        <f t="shared" si="21"/>
        <v>240.25</v>
      </c>
      <c r="I221" s="32">
        <v>217</v>
      </c>
      <c r="J221" s="32">
        <f t="shared" si="23"/>
        <v>240.25</v>
      </c>
      <c r="K221" s="32">
        <f t="shared" si="22"/>
        <v>0.5</v>
      </c>
      <c r="M221"/>
      <c r="N221"/>
      <c r="O221"/>
      <c r="P221"/>
      <c r="Q221"/>
    </row>
    <row r="222" spans="8:17" x14ac:dyDescent="0.3">
      <c r="H222" s="29">
        <f t="shared" si="21"/>
        <v>240.75</v>
      </c>
      <c r="I222" s="32">
        <v>218</v>
      </c>
      <c r="J222" s="32">
        <f t="shared" si="23"/>
        <v>240.75</v>
      </c>
      <c r="K222" s="32">
        <f t="shared" si="22"/>
        <v>0.5</v>
      </c>
      <c r="M222"/>
      <c r="N222"/>
      <c r="O222"/>
      <c r="P222"/>
      <c r="Q222"/>
    </row>
    <row r="223" spans="8:17" x14ac:dyDescent="0.3">
      <c r="H223" s="29">
        <f t="shared" si="21"/>
        <v>241</v>
      </c>
      <c r="I223" s="32">
        <v>219</v>
      </c>
      <c r="J223" s="32">
        <f t="shared" si="23"/>
        <v>241</v>
      </c>
      <c r="K223" s="32">
        <f t="shared" si="22"/>
        <v>0.25</v>
      </c>
      <c r="M223"/>
      <c r="N223"/>
      <c r="O223"/>
      <c r="P223"/>
      <c r="Q223"/>
    </row>
    <row r="224" spans="8:17" x14ac:dyDescent="0.3">
      <c r="H224" s="29">
        <f t="shared" si="21"/>
        <v>241.5</v>
      </c>
      <c r="I224" s="32">
        <v>220</v>
      </c>
      <c r="J224" s="32">
        <f t="shared" si="23"/>
        <v>241.5</v>
      </c>
      <c r="K224" s="32">
        <f t="shared" si="22"/>
        <v>0.5</v>
      </c>
      <c r="M224"/>
      <c r="N224"/>
      <c r="O224"/>
      <c r="P224"/>
      <c r="Q224"/>
    </row>
    <row r="225" spans="8:17" x14ac:dyDescent="0.3">
      <c r="H225" s="29">
        <f t="shared" si="21"/>
        <v>241.75</v>
      </c>
      <c r="I225" s="32">
        <v>221</v>
      </c>
      <c r="J225" s="32">
        <f t="shared" si="23"/>
        <v>241.75</v>
      </c>
      <c r="K225" s="32">
        <f t="shared" si="22"/>
        <v>0.25</v>
      </c>
      <c r="M225"/>
      <c r="N225"/>
      <c r="O225"/>
      <c r="P225"/>
      <c r="Q225"/>
    </row>
    <row r="226" spans="8:17" x14ac:dyDescent="0.3">
      <c r="H226" s="29">
        <f t="shared" si="21"/>
        <v>242.25</v>
      </c>
      <c r="I226" s="32">
        <v>222</v>
      </c>
      <c r="J226" s="32">
        <f t="shared" si="23"/>
        <v>242.25</v>
      </c>
      <c r="K226" s="32">
        <f t="shared" si="22"/>
        <v>0.5</v>
      </c>
      <c r="M226"/>
      <c r="N226"/>
      <c r="O226"/>
      <c r="P226"/>
      <c r="Q226"/>
    </row>
    <row r="227" spans="8:17" x14ac:dyDescent="0.3">
      <c r="H227" s="29">
        <f t="shared" si="21"/>
        <v>242.75</v>
      </c>
      <c r="I227" s="32">
        <v>223</v>
      </c>
      <c r="J227" s="32">
        <f t="shared" si="23"/>
        <v>242.75</v>
      </c>
      <c r="K227" s="32">
        <f t="shared" si="22"/>
        <v>0.5</v>
      </c>
      <c r="M227"/>
      <c r="N227"/>
      <c r="O227"/>
      <c r="P227"/>
      <c r="Q227"/>
    </row>
    <row r="228" spans="8:17" x14ac:dyDescent="0.3">
      <c r="H228" s="29">
        <f t="shared" si="21"/>
        <v>243</v>
      </c>
      <c r="I228" s="32">
        <v>224</v>
      </c>
      <c r="J228" s="32">
        <f t="shared" si="23"/>
        <v>243</v>
      </c>
      <c r="K228" s="32">
        <f t="shared" si="22"/>
        <v>0.25</v>
      </c>
      <c r="M228"/>
      <c r="N228"/>
      <c r="O228"/>
      <c r="P228"/>
      <c r="Q228"/>
    </row>
    <row r="229" spans="8:17" x14ac:dyDescent="0.3">
      <c r="H229" s="29">
        <f t="shared" si="21"/>
        <v>243.5</v>
      </c>
      <c r="I229" s="32">
        <v>225</v>
      </c>
      <c r="J229" s="32">
        <f t="shared" si="23"/>
        <v>243.5</v>
      </c>
      <c r="K229" s="32">
        <f t="shared" si="22"/>
        <v>0.5</v>
      </c>
      <c r="M229"/>
      <c r="N229"/>
      <c r="O229"/>
      <c r="P229"/>
      <c r="Q229"/>
    </row>
    <row r="230" spans="8:17" x14ac:dyDescent="0.3">
      <c r="H230" s="29">
        <f t="shared" si="21"/>
        <v>243.75</v>
      </c>
      <c r="I230" s="32">
        <v>226</v>
      </c>
      <c r="J230" s="32">
        <f t="shared" si="23"/>
        <v>243.75</v>
      </c>
      <c r="K230" s="32">
        <f t="shared" si="22"/>
        <v>0.25</v>
      </c>
      <c r="M230"/>
      <c r="N230"/>
      <c r="O230"/>
      <c r="P230"/>
      <c r="Q230"/>
    </row>
    <row r="231" spans="8:17" x14ac:dyDescent="0.3">
      <c r="H231" s="29">
        <f t="shared" si="21"/>
        <v>244</v>
      </c>
      <c r="I231" s="32">
        <v>227</v>
      </c>
      <c r="J231" s="32">
        <f t="shared" si="23"/>
        <v>244</v>
      </c>
      <c r="K231" s="32">
        <f t="shared" si="22"/>
        <v>0.25</v>
      </c>
      <c r="M231"/>
      <c r="N231"/>
      <c r="O231"/>
      <c r="P231"/>
      <c r="Q231"/>
    </row>
    <row r="232" spans="8:17" x14ac:dyDescent="0.3">
      <c r="H232" s="29">
        <f t="shared" si="21"/>
        <v>244.5</v>
      </c>
      <c r="I232" s="32">
        <v>228</v>
      </c>
      <c r="J232" s="32">
        <f t="shared" si="23"/>
        <v>244.5</v>
      </c>
      <c r="K232" s="32">
        <f t="shared" si="22"/>
        <v>0.5</v>
      </c>
      <c r="M232"/>
      <c r="N232"/>
      <c r="O232"/>
      <c r="P232"/>
      <c r="Q232"/>
    </row>
    <row r="233" spans="8:17" x14ac:dyDescent="0.3">
      <c r="H233" s="29">
        <f t="shared" si="21"/>
        <v>245</v>
      </c>
      <c r="I233" s="32">
        <v>229</v>
      </c>
      <c r="J233" s="32">
        <f t="shared" si="23"/>
        <v>245</v>
      </c>
      <c r="K233" s="32">
        <f t="shared" si="22"/>
        <v>0.5</v>
      </c>
      <c r="M233"/>
      <c r="N233"/>
      <c r="O233"/>
      <c r="P233"/>
      <c r="Q233"/>
    </row>
    <row r="234" spans="8:17" x14ac:dyDescent="0.3">
      <c r="H234" s="29">
        <f t="shared" si="21"/>
        <v>245.5</v>
      </c>
      <c r="I234" s="32">
        <v>230</v>
      </c>
      <c r="J234" s="32">
        <f t="shared" si="23"/>
        <v>245.5</v>
      </c>
      <c r="K234" s="32">
        <f t="shared" si="22"/>
        <v>0.5</v>
      </c>
      <c r="M234"/>
      <c r="N234"/>
      <c r="O234"/>
      <c r="P234"/>
      <c r="Q234"/>
    </row>
    <row r="235" spans="8:17" x14ac:dyDescent="0.3">
      <c r="H235" s="29">
        <f t="shared" si="21"/>
        <v>245.75</v>
      </c>
      <c r="I235" s="32">
        <v>231</v>
      </c>
      <c r="J235" s="32">
        <f t="shared" si="23"/>
        <v>245.75</v>
      </c>
      <c r="K235" s="32">
        <f t="shared" si="22"/>
        <v>0.25</v>
      </c>
      <c r="M235"/>
      <c r="N235"/>
      <c r="O235"/>
      <c r="P235"/>
      <c r="Q235"/>
    </row>
    <row r="236" spans="8:17" x14ac:dyDescent="0.3">
      <c r="H236" s="29">
        <f t="shared" si="21"/>
        <v>246.25</v>
      </c>
      <c r="I236" s="32">
        <v>232</v>
      </c>
      <c r="J236" s="32">
        <f t="shared" si="23"/>
        <v>246.25</v>
      </c>
      <c r="K236" s="32">
        <f t="shared" si="22"/>
        <v>0.5</v>
      </c>
      <c r="M236"/>
      <c r="N236"/>
      <c r="O236"/>
      <c r="P236"/>
      <c r="Q236"/>
    </row>
    <row r="237" spans="8:17" x14ac:dyDescent="0.3">
      <c r="H237" s="29">
        <f t="shared" si="21"/>
        <v>246.75</v>
      </c>
      <c r="I237" s="32">
        <v>233</v>
      </c>
      <c r="J237" s="32">
        <f t="shared" si="23"/>
        <v>246.75</v>
      </c>
      <c r="K237" s="32">
        <f t="shared" si="22"/>
        <v>0.5</v>
      </c>
      <c r="M237"/>
      <c r="N237"/>
      <c r="O237"/>
      <c r="P237"/>
      <c r="Q237"/>
    </row>
    <row r="238" spans="8:17" x14ac:dyDescent="0.3">
      <c r="H238" s="29">
        <f t="shared" si="21"/>
        <v>247</v>
      </c>
      <c r="I238" s="32">
        <v>234</v>
      </c>
      <c r="J238" s="32">
        <f t="shared" si="23"/>
        <v>247</v>
      </c>
      <c r="K238" s="32">
        <f t="shared" si="22"/>
        <v>0.25</v>
      </c>
      <c r="M238"/>
      <c r="N238"/>
      <c r="O238"/>
      <c r="P238"/>
      <c r="Q238"/>
    </row>
    <row r="239" spans="8:17" x14ac:dyDescent="0.3">
      <c r="H239" s="29">
        <f t="shared" si="21"/>
        <v>247.5</v>
      </c>
      <c r="I239" s="32">
        <v>235</v>
      </c>
      <c r="J239" s="32">
        <f t="shared" si="23"/>
        <v>247.5</v>
      </c>
      <c r="K239" s="32">
        <f t="shared" si="22"/>
        <v>0.5</v>
      </c>
      <c r="M239"/>
      <c r="N239"/>
      <c r="O239"/>
      <c r="P239"/>
      <c r="Q239"/>
    </row>
    <row r="240" spans="8:17" x14ac:dyDescent="0.3">
      <c r="H240" s="29">
        <f t="shared" si="21"/>
        <v>248</v>
      </c>
      <c r="I240" s="32">
        <v>236</v>
      </c>
      <c r="J240" s="32">
        <f t="shared" si="23"/>
        <v>248</v>
      </c>
      <c r="K240" s="32">
        <f t="shared" si="22"/>
        <v>0.5</v>
      </c>
      <c r="M240"/>
      <c r="N240"/>
      <c r="O240"/>
      <c r="P240"/>
      <c r="Q240"/>
    </row>
    <row r="241" spans="8:17" x14ac:dyDescent="0.3">
      <c r="H241" s="29">
        <f t="shared" si="21"/>
        <v>248.5</v>
      </c>
      <c r="I241" s="32">
        <v>237</v>
      </c>
      <c r="J241" s="32">
        <f t="shared" si="23"/>
        <v>248.5</v>
      </c>
      <c r="K241" s="32">
        <f t="shared" si="22"/>
        <v>0.5</v>
      </c>
      <c r="M241"/>
      <c r="N241"/>
      <c r="O241"/>
      <c r="P241"/>
      <c r="Q241"/>
    </row>
    <row r="242" spans="8:17" x14ac:dyDescent="0.3">
      <c r="H242" s="29">
        <f t="shared" si="21"/>
        <v>248.75</v>
      </c>
      <c r="I242" s="32">
        <v>238</v>
      </c>
      <c r="J242" s="32">
        <f t="shared" si="23"/>
        <v>248.75</v>
      </c>
      <c r="K242" s="32">
        <f t="shared" si="22"/>
        <v>0.25</v>
      </c>
      <c r="M242"/>
      <c r="N242"/>
      <c r="O242"/>
      <c r="P242"/>
      <c r="Q242"/>
    </row>
    <row r="243" spans="8:17" x14ac:dyDescent="0.3">
      <c r="H243" s="29">
        <f t="shared" si="21"/>
        <v>249.25</v>
      </c>
      <c r="I243" s="32">
        <v>239</v>
      </c>
      <c r="J243" s="32">
        <f t="shared" si="23"/>
        <v>249.25</v>
      </c>
      <c r="K243" s="32">
        <f t="shared" si="22"/>
        <v>0.5</v>
      </c>
      <c r="M243"/>
      <c r="N243"/>
      <c r="O243"/>
      <c r="P243"/>
      <c r="Q243"/>
    </row>
    <row r="244" spans="8:17" x14ac:dyDescent="0.3">
      <c r="H244" s="29">
        <f t="shared" si="21"/>
        <v>249.75</v>
      </c>
      <c r="I244" s="32">
        <v>240</v>
      </c>
      <c r="J244" s="32">
        <f t="shared" si="23"/>
        <v>249.75</v>
      </c>
      <c r="K244" s="32">
        <f t="shared" si="22"/>
        <v>0.5</v>
      </c>
      <c r="M244"/>
      <c r="N244"/>
      <c r="O244"/>
      <c r="P244"/>
      <c r="Q244"/>
    </row>
    <row r="245" spans="8:17" x14ac:dyDescent="0.3">
      <c r="H245" s="29">
        <f t="shared" si="21"/>
        <v>250.25</v>
      </c>
      <c r="I245" s="32">
        <v>241</v>
      </c>
      <c r="J245" s="32">
        <f t="shared" si="23"/>
        <v>250.25</v>
      </c>
      <c r="K245" s="32">
        <f t="shared" si="22"/>
        <v>0.5</v>
      </c>
      <c r="M245"/>
      <c r="N245"/>
      <c r="O245"/>
      <c r="P245"/>
      <c r="Q245"/>
    </row>
    <row r="246" spans="8:17" x14ac:dyDescent="0.3">
      <c r="H246" s="29">
        <f t="shared" si="21"/>
        <v>250.75</v>
      </c>
      <c r="I246" s="32">
        <v>242</v>
      </c>
      <c r="J246" s="32">
        <f t="shared" si="23"/>
        <v>250.75</v>
      </c>
      <c r="K246" s="32">
        <f t="shared" si="22"/>
        <v>0.5</v>
      </c>
      <c r="M246"/>
      <c r="N246"/>
      <c r="O246"/>
      <c r="P246"/>
      <c r="Q246"/>
    </row>
    <row r="247" spans="8:17" x14ac:dyDescent="0.3">
      <c r="H247" s="29">
        <f t="shared" si="21"/>
        <v>251</v>
      </c>
      <c r="I247" s="32">
        <v>243</v>
      </c>
      <c r="J247" s="32">
        <f t="shared" si="23"/>
        <v>251</v>
      </c>
      <c r="K247" s="32">
        <f t="shared" si="22"/>
        <v>0.25</v>
      </c>
      <c r="M247"/>
      <c r="N247"/>
      <c r="O247"/>
      <c r="P247"/>
      <c r="Q247"/>
    </row>
    <row r="248" spans="8:17" x14ac:dyDescent="0.3">
      <c r="H248" s="29">
        <f t="shared" si="21"/>
        <v>251.25</v>
      </c>
      <c r="I248" s="32">
        <v>244</v>
      </c>
      <c r="J248" s="32">
        <f t="shared" si="23"/>
        <v>251.25</v>
      </c>
      <c r="K248" s="32">
        <f t="shared" si="22"/>
        <v>0.25</v>
      </c>
      <c r="M248"/>
      <c r="N248"/>
      <c r="O248"/>
      <c r="P248"/>
      <c r="Q248"/>
    </row>
    <row r="249" spans="8:17" x14ac:dyDescent="0.3">
      <c r="H249" s="29">
        <f t="shared" si="21"/>
        <v>251.75</v>
      </c>
      <c r="I249" s="32">
        <v>245</v>
      </c>
      <c r="J249" s="32">
        <f t="shared" si="23"/>
        <v>251.75</v>
      </c>
      <c r="K249" s="32">
        <f t="shared" si="22"/>
        <v>0.5</v>
      </c>
      <c r="M249"/>
      <c r="N249"/>
      <c r="O249"/>
      <c r="P249"/>
      <c r="Q249"/>
    </row>
    <row r="250" spans="8:17" x14ac:dyDescent="0.3">
      <c r="H250" s="29">
        <f t="shared" si="21"/>
        <v>252</v>
      </c>
      <c r="I250" s="32">
        <v>246</v>
      </c>
      <c r="J250" s="32">
        <f t="shared" si="23"/>
        <v>252</v>
      </c>
      <c r="K250" s="32">
        <f t="shared" si="22"/>
        <v>0.25</v>
      </c>
      <c r="M250"/>
      <c r="N250"/>
      <c r="O250"/>
      <c r="P250"/>
      <c r="Q250"/>
    </row>
    <row r="251" spans="8:17" x14ac:dyDescent="0.3">
      <c r="H251" s="29">
        <f t="shared" si="21"/>
        <v>252.5</v>
      </c>
      <c r="I251" s="32">
        <v>247</v>
      </c>
      <c r="J251" s="32">
        <f t="shared" si="23"/>
        <v>252.5</v>
      </c>
      <c r="K251" s="32">
        <f t="shared" si="22"/>
        <v>0.5</v>
      </c>
      <c r="M251"/>
      <c r="N251"/>
      <c r="O251"/>
      <c r="P251"/>
      <c r="Q251"/>
    </row>
    <row r="252" spans="8:17" x14ac:dyDescent="0.3">
      <c r="H252" s="29">
        <f t="shared" si="21"/>
        <v>252.75</v>
      </c>
      <c r="I252" s="32">
        <v>248</v>
      </c>
      <c r="J252" s="32">
        <f t="shared" si="23"/>
        <v>252.75</v>
      </c>
      <c r="K252" s="32">
        <f t="shared" si="22"/>
        <v>0.25</v>
      </c>
      <c r="M252"/>
      <c r="N252"/>
      <c r="O252"/>
      <c r="P252"/>
      <c r="Q252"/>
    </row>
    <row r="253" spans="8:17" x14ac:dyDescent="0.3">
      <c r="H253" s="29">
        <f t="shared" si="21"/>
        <v>253.25</v>
      </c>
      <c r="I253" s="32">
        <v>249</v>
      </c>
      <c r="J253" s="32">
        <f t="shared" si="23"/>
        <v>253.25</v>
      </c>
      <c r="K253" s="32">
        <f t="shared" si="22"/>
        <v>0.5</v>
      </c>
      <c r="M253"/>
      <c r="N253"/>
      <c r="O253"/>
      <c r="P253"/>
      <c r="Q253"/>
    </row>
    <row r="254" spans="8:17" x14ac:dyDescent="0.3">
      <c r="H254" s="29">
        <f t="shared" si="21"/>
        <v>253.75</v>
      </c>
      <c r="I254" s="32">
        <v>250</v>
      </c>
      <c r="J254" s="32">
        <f t="shared" si="23"/>
        <v>253.75</v>
      </c>
      <c r="K254" s="32">
        <f t="shared" si="22"/>
        <v>0.5</v>
      </c>
      <c r="M254"/>
      <c r="N254"/>
      <c r="O254"/>
      <c r="P254"/>
      <c r="Q254"/>
    </row>
    <row r="255" spans="8:17" x14ac:dyDescent="0.3">
      <c r="H255" s="29">
        <f t="shared" si="21"/>
        <v>254</v>
      </c>
      <c r="I255" s="32">
        <v>251</v>
      </c>
      <c r="J255" s="32">
        <f t="shared" si="23"/>
        <v>254</v>
      </c>
      <c r="K255" s="32">
        <f t="shared" si="22"/>
        <v>0.25</v>
      </c>
      <c r="M255"/>
      <c r="N255"/>
      <c r="O255"/>
      <c r="P255"/>
      <c r="Q255"/>
    </row>
    <row r="256" spans="8:17" x14ac:dyDescent="0.3">
      <c r="H256" s="29">
        <f t="shared" si="21"/>
        <v>254.25</v>
      </c>
      <c r="I256" s="32">
        <v>252</v>
      </c>
      <c r="J256" s="32">
        <f t="shared" si="23"/>
        <v>254.25</v>
      </c>
      <c r="K256" s="32">
        <f t="shared" si="22"/>
        <v>0.25</v>
      </c>
      <c r="M256"/>
      <c r="N256"/>
      <c r="O256"/>
      <c r="P256"/>
      <c r="Q256"/>
    </row>
    <row r="257" spans="8:17" x14ac:dyDescent="0.3">
      <c r="H257" s="29">
        <f t="shared" si="21"/>
        <v>254.75</v>
      </c>
      <c r="I257" s="32">
        <v>253</v>
      </c>
      <c r="J257" s="32">
        <f t="shared" si="23"/>
        <v>254.75</v>
      </c>
      <c r="K257" s="32">
        <f t="shared" si="22"/>
        <v>0.5</v>
      </c>
      <c r="M257"/>
      <c r="N257"/>
      <c r="O257"/>
      <c r="P257"/>
      <c r="Q257"/>
    </row>
    <row r="258" spans="8:17" x14ac:dyDescent="0.3">
      <c r="H258" s="29">
        <f t="shared" si="21"/>
        <v>255</v>
      </c>
      <c r="I258" s="32">
        <v>254</v>
      </c>
      <c r="J258" s="32">
        <f t="shared" si="23"/>
        <v>255</v>
      </c>
      <c r="K258" s="32">
        <f t="shared" si="22"/>
        <v>0.25</v>
      </c>
      <c r="M258"/>
      <c r="N258"/>
      <c r="O258"/>
      <c r="P258"/>
      <c r="Q258"/>
    </row>
    <row r="259" spans="8:17" x14ac:dyDescent="0.3">
      <c r="H259" s="29">
        <f t="shared" si="21"/>
        <v>255.5</v>
      </c>
      <c r="I259" s="32">
        <v>255</v>
      </c>
      <c r="J259" s="32">
        <f t="shared" si="23"/>
        <v>255.5</v>
      </c>
      <c r="K259" s="32">
        <f t="shared" si="22"/>
        <v>0.5</v>
      </c>
      <c r="M259"/>
      <c r="N259"/>
      <c r="O259"/>
      <c r="P259"/>
      <c r="Q259"/>
    </row>
    <row r="260" spans="8:17" x14ac:dyDescent="0.3">
      <c r="H260" s="29">
        <f t="shared" si="21"/>
        <v>255.75</v>
      </c>
      <c r="I260" s="32">
        <v>256</v>
      </c>
      <c r="J260" s="32">
        <f>VALUE(RIGHT($O$2,LEN($O$2)-FIND("*",SUBSTITUTE($O$2," ","*",256),1)))/$F$12</f>
        <v>255.75</v>
      </c>
      <c r="K260" s="32">
        <f t="shared" si="22"/>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6">
    <mergeCell ref="B2:F9"/>
    <mergeCell ref="H2:K2"/>
    <mergeCell ref="M2:N5"/>
    <mergeCell ref="O2:S5"/>
    <mergeCell ref="B11:E13"/>
    <mergeCell ref="F12:F13"/>
  </mergeCells>
  <phoneticPr fontId="1" type="noConversion"/>
  <pageMargins left="0.7" right="0.7"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7"/>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3">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3">
      <c r="B4" s="258"/>
      <c r="C4" s="222"/>
      <c r="D4" s="222"/>
      <c r="E4" s="222"/>
      <c r="F4" s="234"/>
      <c r="H4" s="29">
        <f t="shared" ref="H4:H67" si="0">J4</f>
        <v>0</v>
      </c>
      <c r="I4" s="32">
        <v>0</v>
      </c>
      <c r="J4" s="32">
        <f>VALUE(MID(O2,1,SEARCH(" ",O2,1)-1))/gamma_R!$F$12</f>
        <v>0</v>
      </c>
      <c r="K4" s="32">
        <v>0</v>
      </c>
      <c r="L4" s="36"/>
      <c r="M4" s="258"/>
      <c r="N4" s="234"/>
      <c r="O4" s="258"/>
      <c r="P4" s="222"/>
      <c r="Q4" s="222"/>
      <c r="R4" s="222"/>
      <c r="S4" s="234"/>
      <c r="T4"/>
      <c r="Y4"/>
    </row>
    <row r="5" spans="2:27" ht="16.5" customHeight="1" x14ac:dyDescent="0.3">
      <c r="B5" s="258"/>
      <c r="C5" s="222"/>
      <c r="D5" s="222"/>
      <c r="E5" s="222"/>
      <c r="F5" s="234"/>
      <c r="H5" s="29">
        <f t="shared" si="0"/>
        <v>4.5</v>
      </c>
      <c r="I5" s="32">
        <v>1</v>
      </c>
      <c r="J5" s="32">
        <f>VALUE(MID($O$2,FIND("*",SUBSTITUTE($O$2," ","*",I5),1)+1,FIND("*",SUBSTITUTE($O$2," ","*",I6),1)-FIND("*",SUBSTITUTE($O$2," ","*",I5),1)-1))/gamma_R!$F$12</f>
        <v>4.5</v>
      </c>
      <c r="K5" s="32">
        <f t="shared" ref="K5:K68" si="1">J5-J4</f>
        <v>4.5</v>
      </c>
      <c r="L5" s="36"/>
      <c r="M5" s="231"/>
      <c r="N5" s="232"/>
      <c r="O5" s="231"/>
      <c r="P5" s="237"/>
      <c r="Q5" s="237"/>
      <c r="R5" s="237"/>
      <c r="S5" s="232"/>
      <c r="T5"/>
      <c r="Y5"/>
    </row>
    <row r="6" spans="2:27" ht="16.5" customHeight="1" x14ac:dyDescent="0.3">
      <c r="B6" s="258"/>
      <c r="C6" s="222"/>
      <c r="D6" s="222"/>
      <c r="E6" s="222"/>
      <c r="F6" s="234"/>
      <c r="H6" s="29">
        <f t="shared" si="0"/>
        <v>7.5</v>
      </c>
      <c r="I6" s="32">
        <v>2</v>
      </c>
      <c r="J6" s="32">
        <f>VALUE(MID($O$2,FIND("*",SUBSTITUTE($O$2," ","*",I6),1)+1,FIND("*",SUBSTITUTE($O$2," ","*",I7),1)-FIND("*",SUBSTITUTE($O$2," ","*",I6),1)-1))/gamma_R!$F$12</f>
        <v>7.5</v>
      </c>
      <c r="K6" s="32">
        <f t="shared" si="1"/>
        <v>3</v>
      </c>
      <c r="L6" s="36"/>
    </row>
    <row r="7" spans="2:27" x14ac:dyDescent="0.3">
      <c r="B7" s="258"/>
      <c r="C7" s="222"/>
      <c r="D7" s="222"/>
      <c r="E7" s="222"/>
      <c r="F7" s="234"/>
      <c r="H7" s="29">
        <f t="shared" si="0"/>
        <v>10.5</v>
      </c>
      <c r="I7" s="32">
        <v>3</v>
      </c>
      <c r="J7" s="32">
        <f>VALUE(MID($O$2,FIND("*",SUBSTITUTE($O$2," ","*",I7),1)+1,FIND("*",SUBSTITUTE($O$2," ","*",I8),1)-FIND("*",SUBSTITUTE($O$2," ","*",I7),1)-1))/gamma_R!$F$12</f>
        <v>10.5</v>
      </c>
      <c r="K7" s="32">
        <f t="shared" si="1"/>
        <v>3</v>
      </c>
      <c r="L7" s="36"/>
    </row>
    <row r="8" spans="2:27" x14ac:dyDescent="0.3">
      <c r="B8" s="258"/>
      <c r="C8" s="222"/>
      <c r="D8" s="222"/>
      <c r="E8" s="222"/>
      <c r="F8" s="234"/>
      <c r="G8"/>
      <c r="H8" s="29">
        <f t="shared" si="0"/>
        <v>13.5</v>
      </c>
      <c r="I8" s="32">
        <v>4</v>
      </c>
      <c r="J8" s="32">
        <f>VALUE(MID($O$2,FIND("*",SUBSTITUTE($O$2," ","*",I8),1)+1,FIND("*",SUBSTITUTE($O$2," ","*",I9),1)-FIND("*",SUBSTITUTE($O$2," ","*",I8),1)-1))/gamma_R!$F$12</f>
        <v>13.5</v>
      </c>
      <c r="K8" s="32">
        <f t="shared" si="1"/>
        <v>3</v>
      </c>
      <c r="L8" s="22"/>
    </row>
    <row r="9" spans="2:27" x14ac:dyDescent="0.3">
      <c r="B9" s="231"/>
      <c r="C9" s="237"/>
      <c r="D9" s="237"/>
      <c r="E9" s="237"/>
      <c r="F9" s="232"/>
      <c r="G9"/>
      <c r="H9" s="29">
        <f t="shared" si="0"/>
        <v>16.5</v>
      </c>
      <c r="I9" s="32">
        <v>5</v>
      </c>
      <c r="J9" s="32">
        <f>VALUE(MID($O$2,FIND("*",SUBSTITUTE($O$2," ","*",I9),1)+1,FIND("*",SUBSTITUTE($O$2," ","*",I10),1)-FIND("*",SUBSTITUTE($O$2," ","*",I9),1)-1))/gamma_R!$F$12</f>
        <v>16.5</v>
      </c>
      <c r="K9" s="32">
        <f t="shared" si="1"/>
        <v>3</v>
      </c>
      <c r="L9" s="22"/>
    </row>
    <row r="10" spans="2:27" x14ac:dyDescent="0.3">
      <c r="H10" s="29">
        <f t="shared" si="0"/>
        <v>19.5</v>
      </c>
      <c r="I10" s="32">
        <v>6</v>
      </c>
      <c r="J10" s="32">
        <f>VALUE(MID($O$2,FIND("*",SUBSTITUTE($O$2," ","*",I10),1)+1,FIND("*",SUBSTITUTE($O$2," ","*",I11),1)-FIND("*",SUBSTITUTE($O$2," ","*",I10),1)-1))/gamma_R!$F$12</f>
        <v>19.5</v>
      </c>
      <c r="K10" s="32">
        <f t="shared" si="1"/>
        <v>3</v>
      </c>
    </row>
    <row r="11" spans="2:27" ht="16.5" customHeight="1" x14ac:dyDescent="0.3">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3">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3">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3">
      <c r="H14" s="29">
        <f t="shared" si="0"/>
        <v>33.25</v>
      </c>
      <c r="I14" s="32">
        <v>10</v>
      </c>
      <c r="J14" s="32">
        <f>VALUE(MID($O$2,FIND("*",SUBSTITUTE($O$2," ","*",I14),1)+1,FIND("*",SUBSTITUTE($O$2," ","*",I15),1)-FIND("*",SUBSTITUTE($O$2," ","*",I14),1)-1))/gamma_R!$F$12</f>
        <v>33.25</v>
      </c>
      <c r="K14" s="32">
        <f t="shared" si="1"/>
        <v>3.75</v>
      </c>
    </row>
    <row r="15" spans="2:27" x14ac:dyDescent="0.3">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3">
      <c r="B16" s="32">
        <v>1</v>
      </c>
      <c r="C16" s="32">
        <f>colorCalculate!J41*255</f>
        <v>26.707694576914331</v>
      </c>
      <c r="D16" s="54">
        <f t="shared" ref="D16:D33" si="2">IF(C42=D42,E42,((F42-E42)*C16)/(D42-C42)+E42-(C42*((F42-E42)/(D42-C42))))</f>
        <v>8.0692315256381129</v>
      </c>
      <c r="E16" s="32">
        <f t="shared" ref="E16:E39" si="3">IF(C68-D68=0,VLOOKUP(F16,$I$4:$J$260,2),((F68-E68)*F16)/(D68-C68)+E68-(C68*((F68-E68)/(D68-C68))))</f>
        <v>26.707694576914335</v>
      </c>
      <c r="F16" s="55">
        <f>colorCalculate!X145</f>
        <v>8.0692315256381129</v>
      </c>
      <c r="H16" s="29">
        <f t="shared" si="0"/>
        <v>39.75</v>
      </c>
      <c r="I16" s="32">
        <v>12</v>
      </c>
      <c r="J16" s="32">
        <f>VALUE(MID($O$2,FIND("*",SUBSTITUTE($O$2," ","*",I16),1)+1,FIND("*",SUBSTITUTE($O$2," ","*",I17),1)-FIND("*",SUBSTITUTE($O$2," ","*",I16),1)-1))/gamma_R!$F$12</f>
        <v>39.75</v>
      </c>
      <c r="K16" s="32">
        <f t="shared" si="1"/>
        <v>3</v>
      </c>
    </row>
    <row r="17" spans="2:18" x14ac:dyDescent="0.3">
      <c r="B17" s="32">
        <v>2</v>
      </c>
      <c r="C17" s="32">
        <f>colorCalculate!J42*255</f>
        <v>125.78196377240947</v>
      </c>
      <c r="D17" s="54">
        <f t="shared" si="2"/>
        <v>56.187975848272998</v>
      </c>
      <c r="E17" s="32">
        <f t="shared" si="3"/>
        <v>125.78196377240948</v>
      </c>
      <c r="F17" s="55">
        <f>colorCalculate!X146</f>
        <v>56.187975848272998</v>
      </c>
      <c r="H17" s="29">
        <f t="shared" si="0"/>
        <v>42.75</v>
      </c>
      <c r="I17" s="32">
        <v>13</v>
      </c>
      <c r="J17" s="32">
        <f>VALUE(MID($O$2,FIND("*",SUBSTITUTE($O$2," ","*",I17),1)+1,FIND("*",SUBSTITUTE($O$2," ","*",I18),1)-FIND("*",SUBSTITUTE($O$2," ","*",I17),1)-1))/gamma_R!$F$12</f>
        <v>42.75</v>
      </c>
      <c r="K17" s="32">
        <f t="shared" si="1"/>
        <v>3</v>
      </c>
    </row>
    <row r="18" spans="2:18" x14ac:dyDescent="0.3">
      <c r="B18" s="32">
        <v>3</v>
      </c>
      <c r="C18" s="32">
        <f>colorCalculate!J43*255</f>
        <v>63.264498782362537</v>
      </c>
      <c r="D18" s="54">
        <f t="shared" si="2"/>
        <v>20.405799512945013</v>
      </c>
      <c r="E18" s="32">
        <f t="shared" si="3"/>
        <v>63.264498782362523</v>
      </c>
      <c r="F18" s="55">
        <f>colorCalculate!X147</f>
        <v>20.405799512945013</v>
      </c>
      <c r="H18" s="29">
        <f t="shared" si="0"/>
        <v>45.75</v>
      </c>
      <c r="I18" s="32">
        <v>14</v>
      </c>
      <c r="J18" s="32">
        <f>VALUE(MID($O$2,FIND("*",SUBSTITUTE($O$2," ","*",I18),1)+1,FIND("*",SUBSTITUTE($O$2," ","*",I19),1)-FIND("*",SUBSTITUTE($O$2," ","*",I18),1)-1))/gamma_R!$F$12</f>
        <v>45.75</v>
      </c>
      <c r="K18" s="32">
        <f t="shared" si="1"/>
        <v>3</v>
      </c>
    </row>
    <row r="19" spans="2:18" x14ac:dyDescent="0.3">
      <c r="B19" s="32">
        <v>4</v>
      </c>
      <c r="C19" s="32">
        <f>colorCalculate!J44*255</f>
        <v>38.897344891567876</v>
      </c>
      <c r="D19" s="54">
        <f t="shared" si="2"/>
        <v>11.715781630522628</v>
      </c>
      <c r="E19" s="32">
        <f t="shared" si="3"/>
        <v>38.897344891567883</v>
      </c>
      <c r="F19" s="55">
        <f>colorCalculate!X148</f>
        <v>11.715781630522628</v>
      </c>
      <c r="H19" s="29">
        <f t="shared" si="0"/>
        <v>48.75</v>
      </c>
      <c r="I19" s="32">
        <v>15</v>
      </c>
      <c r="J19" s="32">
        <f>VALUE(MID($O$2,FIND("*",SUBSTITUTE($O$2," ","*",I19),1)+1,FIND("*",SUBSTITUTE($O$2," ","*",I20),1)-FIND("*",SUBSTITUTE($O$2," ","*",I19),1)-1))/gamma_R!$F$12</f>
        <v>48.75</v>
      </c>
      <c r="K19" s="32">
        <f t="shared" si="1"/>
        <v>3</v>
      </c>
    </row>
    <row r="20" spans="2:18" x14ac:dyDescent="0.3">
      <c r="B20" s="32">
        <v>5</v>
      </c>
      <c r="C20" s="32">
        <f>colorCalculate!J45*255</f>
        <v>77.430817076811948</v>
      </c>
      <c r="D20" s="54">
        <f t="shared" si="2"/>
        <v>26.590408538405967</v>
      </c>
      <c r="E20" s="32">
        <f t="shared" si="3"/>
        <v>77.430817076811934</v>
      </c>
      <c r="F20" s="55">
        <f>colorCalculate!X149</f>
        <v>26.590408538405967</v>
      </c>
      <c r="H20" s="29">
        <f t="shared" si="0"/>
        <v>51.75</v>
      </c>
      <c r="I20" s="32">
        <v>16</v>
      </c>
      <c r="J20" s="32">
        <f>VALUE(MID($O$2,FIND("*",SUBSTITUTE($O$2," ","*",I20),1)+1,FIND("*",SUBSTITUTE($O$2," ","*",I21),1)-FIND("*",SUBSTITUTE($O$2," ","*",I20),1)-1))/gamma_R!$F$12</f>
        <v>51.75</v>
      </c>
      <c r="K20" s="32">
        <f t="shared" si="1"/>
        <v>3</v>
      </c>
    </row>
    <row r="21" spans="2:18" x14ac:dyDescent="0.3">
      <c r="B21" s="32">
        <v>6</v>
      </c>
      <c r="C21" s="32">
        <f>colorCalculate!J46*255</f>
        <v>138.02798485759561</v>
      </c>
      <c r="D21" s="54">
        <f t="shared" si="2"/>
        <v>66.018656571730389</v>
      </c>
      <c r="E21" s="32">
        <f t="shared" si="3"/>
        <v>138.02798485759558</v>
      </c>
      <c r="F21" s="55">
        <f>colorCalculate!X150</f>
        <v>66.018656571730389</v>
      </c>
      <c r="H21" s="29">
        <f t="shared" si="0"/>
        <v>54.25</v>
      </c>
      <c r="I21" s="32">
        <v>17</v>
      </c>
      <c r="J21" s="32">
        <f>VALUE(MID($O$2,FIND("*",SUBSTITUTE($O$2," ","*",I21),1)+1,FIND("*",SUBSTITUTE($O$2," ","*",I22),1)-FIND("*",SUBSTITUTE($O$2," ","*",I21),1)-1))/gamma_R!$F$12</f>
        <v>54.25</v>
      </c>
      <c r="K21" s="32">
        <f t="shared" si="1"/>
        <v>2.5</v>
      </c>
    </row>
    <row r="22" spans="2:18" x14ac:dyDescent="0.3">
      <c r="B22" s="32">
        <v>7</v>
      </c>
      <c r="C22" s="32">
        <f>colorCalculate!J47*255</f>
        <v>89.776860259459411</v>
      </c>
      <c r="D22" s="54">
        <f t="shared" si="2"/>
        <v>33.263430129729699</v>
      </c>
      <c r="E22" s="32">
        <f t="shared" si="3"/>
        <v>89.776860259459397</v>
      </c>
      <c r="F22" s="55">
        <f>colorCalculate!X151</f>
        <v>33.263430129729699</v>
      </c>
      <c r="H22" s="29">
        <f t="shared" si="0"/>
        <v>56.75</v>
      </c>
      <c r="I22" s="32">
        <v>18</v>
      </c>
      <c r="J22" s="32">
        <f>VALUE(MID($O$2,FIND("*",SUBSTITUTE($O$2," ","*",I22),1)+1,FIND("*",SUBSTITUTE($O$2," ","*",I23),1)-FIND("*",SUBSTITUTE($O$2," ","*",I22),1)-1))/gamma_R!$F$12</f>
        <v>56.75</v>
      </c>
      <c r="K22" s="32">
        <f t="shared" si="1"/>
        <v>2.5</v>
      </c>
    </row>
    <row r="23" spans="2:18" x14ac:dyDescent="0.3">
      <c r="B23" s="32">
        <v>8</v>
      </c>
      <c r="C23" s="32">
        <f>colorCalculate!J48*255</f>
        <v>23.559580448835973</v>
      </c>
      <c r="D23" s="54">
        <f t="shared" si="2"/>
        <v>7.15988012823885</v>
      </c>
      <c r="E23" s="32">
        <f t="shared" si="3"/>
        <v>23.559580448835973</v>
      </c>
      <c r="F23" s="55">
        <f>colorCalculate!X152</f>
        <v>7.15988012823885</v>
      </c>
      <c r="H23" s="29">
        <f t="shared" si="0"/>
        <v>59.75</v>
      </c>
      <c r="I23" s="32">
        <v>19</v>
      </c>
      <c r="J23" s="32">
        <f>VALUE(MID($O$2,FIND("*",SUBSTITUTE($O$2," ","*",I23),1)+1,FIND("*",SUBSTITUTE($O$2," ","*",I24),1)-FIND("*",SUBSTITUTE($O$2," ","*",I23),1)-1))/gamma_R!$F$12</f>
        <v>59.75</v>
      </c>
      <c r="K23" s="32">
        <f t="shared" si="1"/>
        <v>3</v>
      </c>
    </row>
    <row r="24" spans="2:18" x14ac:dyDescent="0.3">
      <c r="B24" s="32">
        <v>9</v>
      </c>
      <c r="C24" s="32">
        <f>colorCalculate!J49*255</f>
        <v>51.979663440814214</v>
      </c>
      <c r="D24" s="54">
        <f t="shared" si="2"/>
        <v>16.091865376325686</v>
      </c>
      <c r="E24" s="32">
        <f t="shared" si="3"/>
        <v>51.979663440814221</v>
      </c>
      <c r="F24" s="55">
        <f>colorCalculate!X153</f>
        <v>16.091865376325686</v>
      </c>
      <c r="H24" s="29">
        <f t="shared" si="0"/>
        <v>62.25</v>
      </c>
      <c r="I24" s="32">
        <v>20</v>
      </c>
      <c r="J24" s="32">
        <f>VALUE(MID($O$2,FIND("*",SUBSTITUTE($O$2," ","*",I24),1)+1,FIND("*",SUBSTITUTE($O$2," ","*",I25),1)-FIND("*",SUBSTITUTE($O$2," ","*",I24),1)-1))/gamma_R!$F$12</f>
        <v>62.25</v>
      </c>
      <c r="K24" s="32">
        <f t="shared" si="1"/>
        <v>2.5</v>
      </c>
      <c r="M24"/>
      <c r="N24"/>
      <c r="O24"/>
      <c r="P24"/>
      <c r="Q24"/>
    </row>
    <row r="25" spans="2:18" x14ac:dyDescent="0.3">
      <c r="B25" s="32">
        <v>10</v>
      </c>
      <c r="C25" s="32">
        <f>colorCalculate!J50*255</f>
        <v>9.7726285958555561</v>
      </c>
      <c r="D25" s="54">
        <f t="shared" si="2"/>
        <v>2.7575428652851848</v>
      </c>
      <c r="E25" s="32">
        <f t="shared" si="3"/>
        <v>9.7726285958555543</v>
      </c>
      <c r="F25" s="55">
        <f>colorCalculate!X154</f>
        <v>2.7575428652851848</v>
      </c>
      <c r="H25" s="29">
        <f t="shared" si="0"/>
        <v>64.75</v>
      </c>
      <c r="I25" s="32">
        <v>21</v>
      </c>
      <c r="J25" s="32">
        <f>VALUE(MID($O$2,FIND("*",SUBSTITUTE($O$2," ","*",I25),1)+1,FIND("*",SUBSTITUTE($O$2," ","*",I26),1)-FIND("*",SUBSTITUTE($O$2," ","*",I25),1)-1))/gamma_R!$F$12</f>
        <v>64.75</v>
      </c>
      <c r="K25" s="32">
        <f t="shared" si="1"/>
        <v>2.5</v>
      </c>
      <c r="M25"/>
      <c r="N25"/>
      <c r="O25"/>
      <c r="P25"/>
      <c r="Q25"/>
      <c r="R25"/>
    </row>
    <row r="26" spans="2:18" x14ac:dyDescent="0.3">
      <c r="B26" s="32">
        <v>11</v>
      </c>
      <c r="C26" s="32">
        <f>colorCalculate!J51*255</f>
        <v>125.12019547699691</v>
      </c>
      <c r="D26" s="54">
        <f t="shared" si="2"/>
        <v>55.746796984664599</v>
      </c>
      <c r="E26" s="32">
        <f t="shared" si="3"/>
        <v>125.12019547699691</v>
      </c>
      <c r="F26" s="55">
        <f>colorCalculate!X155</f>
        <v>55.746796984664599</v>
      </c>
      <c r="H26" s="29">
        <f t="shared" si="0"/>
        <v>67.25</v>
      </c>
      <c r="I26" s="32">
        <v>22</v>
      </c>
      <c r="J26" s="32">
        <f>VALUE(MID($O$2,FIND("*",SUBSTITUTE($O$2," ","*",I26),1)+1,FIND("*",SUBSTITUTE($O$2," ","*",I27),1)-FIND("*",SUBSTITUTE($O$2," ","*",I26),1)-1))/gamma_R!$F$12</f>
        <v>67.25</v>
      </c>
      <c r="K26" s="32">
        <f t="shared" si="1"/>
        <v>2.5</v>
      </c>
      <c r="M26"/>
      <c r="N26"/>
      <c r="O26"/>
      <c r="P26"/>
      <c r="Q26"/>
      <c r="R26"/>
    </row>
    <row r="27" spans="2:18" x14ac:dyDescent="0.3">
      <c r="B27" s="32">
        <v>12</v>
      </c>
      <c r="C27" s="32">
        <f>colorCalculate!J52*255</f>
        <v>114.65046075623147</v>
      </c>
      <c r="D27" s="54">
        <f t="shared" si="2"/>
        <v>48.100307170820983</v>
      </c>
      <c r="E27" s="32">
        <f t="shared" si="3"/>
        <v>114.65046075623147</v>
      </c>
      <c r="F27" s="55">
        <f>colorCalculate!X156</f>
        <v>48.100307170820983</v>
      </c>
      <c r="H27" s="29">
        <f t="shared" si="0"/>
        <v>69.25</v>
      </c>
      <c r="I27" s="32">
        <v>23</v>
      </c>
      <c r="J27" s="32">
        <f>VALUE(MID($O$2,FIND("*",SUBSTITUTE($O$2," ","*",I27),1)+1,FIND("*",SUBSTITUTE($O$2," ","*",I28),1)-FIND("*",SUBSTITUTE($O$2," ","*",I27),1)-1))/gamma_R!$F$12</f>
        <v>69.25</v>
      </c>
      <c r="K27" s="32">
        <f t="shared" si="1"/>
        <v>2</v>
      </c>
      <c r="M27"/>
      <c r="N27"/>
      <c r="O27"/>
      <c r="P27"/>
      <c r="Q27"/>
      <c r="R27"/>
    </row>
    <row r="28" spans="2:18" x14ac:dyDescent="0.3">
      <c r="B28" s="32">
        <v>13</v>
      </c>
      <c r="C28" s="32">
        <f>colorCalculate!J53*255</f>
        <v>4.6865506336501026</v>
      </c>
      <c r="D28" s="54">
        <f t="shared" si="2"/>
        <v>1.0621835445500345</v>
      </c>
      <c r="E28" s="32">
        <f t="shared" si="3"/>
        <v>4.6865506336501035</v>
      </c>
      <c r="F28" s="55">
        <f>colorCalculate!X157</f>
        <v>1.0621835445500345</v>
      </c>
      <c r="H28" s="29">
        <f t="shared" si="0"/>
        <v>71.75</v>
      </c>
      <c r="I28" s="32">
        <v>24</v>
      </c>
      <c r="J28" s="32">
        <f>VALUE(MID($O$2,FIND("*",SUBSTITUTE($O$2," ","*",I28),1)+1,FIND("*",SUBSTITUTE($O$2," ","*",I29),1)-FIND("*",SUBSTITUTE($O$2," ","*",I28),1)-1))/gamma_R!$F$12</f>
        <v>71.75</v>
      </c>
      <c r="K28" s="32">
        <f t="shared" si="1"/>
        <v>2.5</v>
      </c>
      <c r="M28"/>
      <c r="N28"/>
      <c r="O28"/>
      <c r="P28"/>
      <c r="Q28"/>
      <c r="R28"/>
    </row>
    <row r="29" spans="2:18" x14ac:dyDescent="0.3">
      <c r="B29" s="32">
        <v>14</v>
      </c>
      <c r="C29" s="32">
        <f>colorCalculate!J54*255</f>
        <v>53.430656450897274</v>
      </c>
      <c r="D29" s="54">
        <f t="shared" si="2"/>
        <v>16.672262580358904</v>
      </c>
      <c r="E29" s="32">
        <f t="shared" si="3"/>
        <v>53.43065645089726</v>
      </c>
      <c r="F29" s="55">
        <f>colorCalculate!X158</f>
        <v>16.672262580358904</v>
      </c>
      <c r="H29" s="29">
        <f t="shared" si="0"/>
        <v>74.25</v>
      </c>
      <c r="I29" s="32">
        <v>25</v>
      </c>
      <c r="J29" s="32">
        <f>VALUE(MID($O$2,FIND("*",SUBSTITUTE($O$2," ","*",I29),1)+1,FIND("*",SUBSTITUTE($O$2," ","*",I30),1)-FIND("*",SUBSTITUTE($O$2," ","*",I29),1)-1))/gamma_R!$F$12</f>
        <v>74.25</v>
      </c>
      <c r="K29" s="32">
        <f t="shared" si="1"/>
        <v>2.5</v>
      </c>
      <c r="M29"/>
      <c r="N29"/>
      <c r="O29"/>
      <c r="P29"/>
      <c r="Q29"/>
      <c r="R29"/>
    </row>
    <row r="30" spans="2:18" x14ac:dyDescent="0.3">
      <c r="B30" s="32">
        <v>15</v>
      </c>
      <c r="C30" s="32">
        <f>colorCalculate!J55*255</f>
        <v>25.031369775804276</v>
      </c>
      <c r="D30" s="54">
        <f t="shared" si="2"/>
        <v>7.5803913645155081</v>
      </c>
      <c r="E30" s="32">
        <f t="shared" si="3"/>
        <v>25.031369775804279</v>
      </c>
      <c r="F30" s="55">
        <f>colorCalculate!X159</f>
        <v>7.5803913645155081</v>
      </c>
      <c r="H30" s="29">
        <f t="shared" si="0"/>
        <v>76.25</v>
      </c>
      <c r="I30" s="32">
        <v>26</v>
      </c>
      <c r="J30" s="32">
        <f>VALUE(MID($O$2,FIND("*",SUBSTITUTE($O$2," ","*",I30),1)+1,FIND("*",SUBSTITUTE($O$2," ","*",I31),1)-FIND("*",SUBSTITUTE($O$2," ","*",I30),1)-1))/gamma_R!$F$12</f>
        <v>76.25</v>
      </c>
      <c r="K30" s="32">
        <f t="shared" si="1"/>
        <v>2</v>
      </c>
      <c r="M30"/>
      <c r="N30"/>
      <c r="O30"/>
      <c r="P30"/>
      <c r="Q30"/>
      <c r="R30"/>
    </row>
    <row r="31" spans="2:18" x14ac:dyDescent="0.3">
      <c r="B31" s="32">
        <v>16</v>
      </c>
      <c r="C31" s="32">
        <f>colorCalculate!J56*255</f>
        <v>152.50547825850057</v>
      </c>
      <c r="D31" s="54">
        <f t="shared" si="2"/>
        <v>79.005478258500574</v>
      </c>
      <c r="E31" s="32">
        <f t="shared" si="3"/>
        <v>152.50547825850057</v>
      </c>
      <c r="F31" s="55">
        <f>colorCalculate!X160</f>
        <v>79.005478258500574</v>
      </c>
      <c r="H31" s="29">
        <f t="shared" si="0"/>
        <v>78.25</v>
      </c>
      <c r="I31" s="32">
        <v>27</v>
      </c>
      <c r="J31" s="32">
        <f>VALUE(MID($O$2,FIND("*",SUBSTITUTE($O$2," ","*",I31),1)+1,FIND("*",SUBSTITUTE($O$2," ","*",I32),1)-FIND("*",SUBSTITUTE($O$2," ","*",I31),1)-1))/gamma_R!$F$12</f>
        <v>78.25</v>
      </c>
      <c r="K31" s="32">
        <f t="shared" si="1"/>
        <v>2</v>
      </c>
      <c r="M31"/>
      <c r="N31"/>
      <c r="O31"/>
      <c r="P31"/>
      <c r="Q31"/>
      <c r="R31"/>
    </row>
    <row r="32" spans="2:18" x14ac:dyDescent="0.3">
      <c r="B32" s="32">
        <v>17</v>
      </c>
      <c r="C32" s="32">
        <f>colorCalculate!J57*255</f>
        <v>41.223132470421255</v>
      </c>
      <c r="D32" s="54">
        <f t="shared" si="2"/>
        <v>12.491044156807085</v>
      </c>
      <c r="E32" s="32">
        <f t="shared" si="3"/>
        <v>41.223132470421262</v>
      </c>
      <c r="F32" s="55">
        <f>colorCalculate!X161</f>
        <v>12.491044156807085</v>
      </c>
      <c r="H32" s="29">
        <f t="shared" si="0"/>
        <v>80.25</v>
      </c>
      <c r="I32" s="32">
        <v>28</v>
      </c>
      <c r="J32" s="32">
        <f>VALUE(MID($O$2,FIND("*",SUBSTITUTE($O$2," ","*",I32),1)+1,FIND("*",SUBSTITUTE($O$2," ","*",I33),1)-FIND("*",SUBSTITUTE($O$2," ","*",I32),1)-1))/gamma_R!$F$12</f>
        <v>80.25</v>
      </c>
      <c r="K32" s="32">
        <f t="shared" si="1"/>
        <v>2</v>
      </c>
      <c r="M32"/>
      <c r="N32"/>
      <c r="O32"/>
      <c r="P32"/>
      <c r="Q32"/>
      <c r="R32"/>
    </row>
    <row r="33" spans="2:18" x14ac:dyDescent="0.3">
      <c r="B33" s="32">
        <v>18</v>
      </c>
      <c r="C33" s="32">
        <f>colorCalculate!J58*255</f>
        <v>35.775675789958491</v>
      </c>
      <c r="D33" s="54">
        <f t="shared" si="2"/>
        <v>10.721621654273854</v>
      </c>
      <c r="E33" s="32">
        <f t="shared" si="3"/>
        <v>35.775675789958484</v>
      </c>
      <c r="F33" s="55">
        <f>colorCalculate!X162</f>
        <v>10.721621654273854</v>
      </c>
      <c r="H33" s="29">
        <f t="shared" si="0"/>
        <v>82.25</v>
      </c>
      <c r="I33" s="32">
        <v>29</v>
      </c>
      <c r="J33" s="32">
        <f>VALUE(MID($O$2,FIND("*",SUBSTITUTE($O$2," ","*",I33),1)+1,FIND("*",SUBSTITUTE($O$2," ","*",I34),1)-FIND("*",SUBSTITUTE($O$2," ","*",I33),1)-1))/gamma_R!$F$12</f>
        <v>82.25</v>
      </c>
      <c r="K33" s="32">
        <f t="shared" si="1"/>
        <v>2</v>
      </c>
      <c r="M33"/>
      <c r="N33"/>
      <c r="O33"/>
      <c r="P33"/>
      <c r="Q33"/>
      <c r="R33"/>
    </row>
    <row r="34" spans="2:18" x14ac:dyDescent="0.3">
      <c r="B34" s="32">
        <v>19</v>
      </c>
      <c r="C34" s="32">
        <f>colorCalculate!J59*255</f>
        <v>200.41436005192082</v>
      </c>
      <c r="D34" s="54">
        <f>IF(C60=D60,E60,((F60-E60)*C34)/(D60-C60)+E60-(C60*((F60-E60)/(D60-C60))))</f>
        <v>139.55248006922778</v>
      </c>
      <c r="E34" s="32">
        <f t="shared" si="3"/>
        <v>200.41436005192082</v>
      </c>
      <c r="F34" s="55">
        <f>colorCalculate!X163</f>
        <v>139.55248006922778</v>
      </c>
      <c r="H34" s="29">
        <f t="shared" si="0"/>
        <v>84.25</v>
      </c>
      <c r="I34" s="32">
        <v>30</v>
      </c>
      <c r="J34" s="32">
        <f>VALUE(MID($O$2,FIND("*",SUBSTITUTE($O$2," ","*",I34),1)+1,FIND("*",SUBSTITUTE($O$2," ","*",I35),1)-FIND("*",SUBSTITUTE($O$2," ","*",I34),1)-1))/gamma_R!$F$12</f>
        <v>84.25</v>
      </c>
      <c r="K34" s="32">
        <f t="shared" si="1"/>
        <v>2</v>
      </c>
      <c r="M34"/>
      <c r="N34"/>
      <c r="O34"/>
      <c r="P34"/>
      <c r="Q34"/>
      <c r="R34"/>
    </row>
    <row r="35" spans="2:18" x14ac:dyDescent="0.3">
      <c r="B35" s="32">
        <v>20</v>
      </c>
      <c r="C35" s="32">
        <f>colorCalculate!J60*255</f>
        <v>134.66502165973787</v>
      </c>
      <c r="D35" s="54">
        <f t="shared" ref="D35:D39" si="4">IF(C61=D61,E61,((F61-E61)*C35)/(D61-C61)+E61-(C61*((F61-E61)/(D61-C61))))</f>
        <v>63.165021659737874</v>
      </c>
      <c r="E35" s="32">
        <f t="shared" si="3"/>
        <v>134.66502165973787</v>
      </c>
      <c r="F35" s="55">
        <f>colorCalculate!X164</f>
        <v>63.165021659737874</v>
      </c>
      <c r="H35" s="29">
        <f t="shared" si="0"/>
        <v>86.25</v>
      </c>
      <c r="I35" s="32">
        <v>31</v>
      </c>
      <c r="J35" s="32">
        <f>VALUE(MID($O$2,FIND("*",SUBSTITUTE($O$2," ","*",I35),1)+1,FIND("*",SUBSTITUTE($O$2," ","*",I36),1)-FIND("*",SUBSTITUTE($O$2," ","*",I35),1)-1))/gamma_R!$F$12</f>
        <v>86.25</v>
      </c>
      <c r="K35" s="32">
        <f t="shared" si="1"/>
        <v>2</v>
      </c>
      <c r="M35"/>
      <c r="N35"/>
      <c r="O35"/>
      <c r="P35"/>
      <c r="Q35"/>
      <c r="R35"/>
    </row>
    <row r="36" spans="2:18" x14ac:dyDescent="0.3">
      <c r="B36" s="32">
        <v>21</v>
      </c>
      <c r="C36" s="32">
        <f>colorCalculate!J61*255</f>
        <v>75.862480891323784</v>
      </c>
      <c r="D36" s="54">
        <f t="shared" si="4"/>
        <v>25.806240445661892</v>
      </c>
      <c r="E36" s="32">
        <f t="shared" si="3"/>
        <v>75.862480891323784</v>
      </c>
      <c r="F36" s="55">
        <f>colorCalculate!X165</f>
        <v>25.806240445661892</v>
      </c>
      <c r="H36" s="29">
        <f t="shared" si="0"/>
        <v>87.75</v>
      </c>
      <c r="I36" s="32">
        <v>32</v>
      </c>
      <c r="J36" s="32">
        <f>VALUE(MID($O$2,FIND("*",SUBSTITUTE($O$2," ","*",I36),1)+1,FIND("*",SUBSTITUTE($O$2," ","*",I37),1)-FIND("*",SUBSTITUTE($O$2," ","*",I36),1)-1))/gamma_R!$F$12</f>
        <v>87.75</v>
      </c>
      <c r="K36" s="32">
        <f t="shared" si="1"/>
        <v>1.5</v>
      </c>
      <c r="M36"/>
      <c r="N36"/>
      <c r="O36"/>
      <c r="P36"/>
      <c r="Q36"/>
      <c r="R36"/>
    </row>
    <row r="37" spans="2:18" x14ac:dyDescent="0.3">
      <c r="B37" s="32">
        <v>22</v>
      </c>
      <c r="C37" s="32">
        <f>colorCalculate!J62*255</f>
        <v>29.123240380449879</v>
      </c>
      <c r="D37" s="54">
        <f t="shared" si="4"/>
        <v>8.8744134601499631</v>
      </c>
      <c r="E37" s="32">
        <f t="shared" si="3"/>
        <v>29.123240380449886</v>
      </c>
      <c r="F37" s="55">
        <f>colorCalculate!X166</f>
        <v>8.8744134601499631</v>
      </c>
      <c r="H37" s="29">
        <f t="shared" si="0"/>
        <v>89.25</v>
      </c>
      <c r="I37" s="32">
        <v>33</v>
      </c>
      <c r="J37" s="32">
        <f>VALUE(MID($O$2,FIND("*",SUBSTITUTE($O$2," ","*",I37),1)+1,FIND("*",SUBSTITUTE($O$2," ","*",I38),1)-FIND("*",SUBSTITUTE($O$2," ","*",I37),1)-1))/gamma_R!$F$12</f>
        <v>89.25</v>
      </c>
      <c r="K37" s="32">
        <f t="shared" si="1"/>
        <v>1.5</v>
      </c>
      <c r="M37"/>
      <c r="N37"/>
      <c r="O37"/>
      <c r="P37"/>
      <c r="Q37"/>
      <c r="R37"/>
    </row>
    <row r="38" spans="2:18" x14ac:dyDescent="0.3">
      <c r="B38" s="32">
        <v>23</v>
      </c>
      <c r="C38" s="32">
        <f>colorCalculate!J63*255</f>
        <v>7.3660712361565945</v>
      </c>
      <c r="D38" s="54">
        <f t="shared" si="4"/>
        <v>1.955357078718865</v>
      </c>
      <c r="E38" s="32">
        <f t="shared" si="3"/>
        <v>7.3660712361565945</v>
      </c>
      <c r="F38" s="55">
        <f>colorCalculate!X167</f>
        <v>1.955357078718865</v>
      </c>
      <c r="H38" s="29">
        <f t="shared" si="0"/>
        <v>91.25</v>
      </c>
      <c r="I38" s="32">
        <v>34</v>
      </c>
      <c r="J38" s="32">
        <f>VALUE(MID($O$2,FIND("*",SUBSTITUTE($O$2," ","*",I38),1)+1,FIND("*",SUBSTITUTE($O$2," ","*",I39),1)-FIND("*",SUBSTITUTE($O$2," ","*",I38),1)-1))/gamma_R!$F$12</f>
        <v>91.25</v>
      </c>
      <c r="K38" s="32">
        <f t="shared" si="1"/>
        <v>2</v>
      </c>
      <c r="M38"/>
      <c r="N38"/>
      <c r="O38"/>
      <c r="P38"/>
      <c r="Q38"/>
      <c r="R38"/>
    </row>
    <row r="39" spans="2:18" x14ac:dyDescent="0.3">
      <c r="B39" s="32">
        <v>24</v>
      </c>
      <c r="C39" s="32">
        <f>colorCalculate!J64*255</f>
        <v>0.97069916635954823</v>
      </c>
      <c r="D39" s="54">
        <f t="shared" si="4"/>
        <v>0.21571092585767737</v>
      </c>
      <c r="E39" s="32">
        <f t="shared" si="3"/>
        <v>0.97069916635954812</v>
      </c>
      <c r="F39" s="55">
        <f>colorCalculate!X168</f>
        <v>0.21571092585767737</v>
      </c>
      <c r="H39" s="29">
        <f t="shared" si="0"/>
        <v>93.25</v>
      </c>
      <c r="I39" s="32">
        <v>35</v>
      </c>
      <c r="J39" s="32">
        <f>VALUE(MID($O$2,FIND("*",SUBSTITUTE($O$2," ","*",I39),1)+1,FIND("*",SUBSTITUTE($O$2," ","*",I40),1)-FIND("*",SUBSTITUTE($O$2," ","*",I39),1)-1))/gamma_R!$F$12</f>
        <v>93.25</v>
      </c>
      <c r="K39" s="32">
        <f t="shared" si="1"/>
        <v>2</v>
      </c>
      <c r="M39"/>
      <c r="N39"/>
      <c r="O39"/>
      <c r="P39"/>
      <c r="Q39"/>
      <c r="R39"/>
    </row>
    <row r="40" spans="2:18" x14ac:dyDescent="0.3">
      <c r="H40" s="29">
        <f t="shared" si="0"/>
        <v>95.25</v>
      </c>
      <c r="I40" s="32">
        <v>36</v>
      </c>
      <c r="J40" s="32">
        <f>VALUE(MID($O$2,FIND("*",SUBSTITUTE($O$2," ","*",I40),1)+1,FIND("*",SUBSTITUTE($O$2," ","*",I41),1)-FIND("*",SUBSTITUTE($O$2," ","*",I40),1)-1))/gamma_R!$F$12</f>
        <v>95.25</v>
      </c>
      <c r="K40" s="32">
        <f t="shared" si="1"/>
        <v>2</v>
      </c>
      <c r="M40"/>
      <c r="N40"/>
      <c r="O40"/>
      <c r="P40"/>
      <c r="Q40"/>
      <c r="R40"/>
    </row>
    <row r="41" spans="2:18" x14ac:dyDescent="0.3">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3">
      <c r="B42" s="32">
        <v>1</v>
      </c>
      <c r="C42" s="32">
        <f t="shared" ref="C42:C65" si="5">VLOOKUP(E42,$I$4:$J$260,2,TRUE)</f>
        <v>26.5</v>
      </c>
      <c r="D42" s="32">
        <f t="shared" ref="D42:D65" si="6">VLOOKUP(F42,$I$4:$J$260,2,TRUE)</f>
        <v>29.5</v>
      </c>
      <c r="E42" s="32">
        <f t="shared" ref="E42:E65" si="7">VLOOKUP(ROUNDUP(C16,1),$H$4:$I$260,2,TRUE)</f>
        <v>8</v>
      </c>
      <c r="F42" s="32">
        <f t="shared" ref="F42:F59" si="8">IF((VLOOKUP(ROUNDUP(C16,1),$H$4:$I$260,2,TRUE)+1)&gt;=257,256,VLOOKUP(ROUNDUP(C16,1),$H$4:$I$260,2,TRUE)+1)</f>
        <v>9</v>
      </c>
      <c r="H42" s="29">
        <f t="shared" si="0"/>
        <v>98.5</v>
      </c>
      <c r="I42" s="32">
        <v>38</v>
      </c>
      <c r="J42" s="32">
        <f>VALUE(MID($O$2,FIND("*",SUBSTITUTE($O$2," ","*",I42),1)+1,FIND("*",SUBSTITUTE($O$2," ","*",I43),1)-FIND("*",SUBSTITUTE($O$2," ","*",I42),1)-1))/gamma_R!$F$12</f>
        <v>98.5</v>
      </c>
      <c r="K42" s="32">
        <f t="shared" si="1"/>
        <v>1.5</v>
      </c>
      <c r="M42"/>
      <c r="N42"/>
      <c r="O42"/>
      <c r="P42"/>
      <c r="Q42"/>
      <c r="R42"/>
    </row>
    <row r="43" spans="2:18" x14ac:dyDescent="0.3">
      <c r="B43" s="32">
        <v>2</v>
      </c>
      <c r="C43" s="32">
        <f t="shared" si="5"/>
        <v>125.5</v>
      </c>
      <c r="D43" s="32">
        <f t="shared" si="6"/>
        <v>127</v>
      </c>
      <c r="E43" s="32">
        <f t="shared" si="7"/>
        <v>56</v>
      </c>
      <c r="F43" s="32">
        <f t="shared" si="8"/>
        <v>57</v>
      </c>
      <c r="H43" s="29">
        <f t="shared" si="0"/>
        <v>100</v>
      </c>
      <c r="I43" s="32">
        <v>39</v>
      </c>
      <c r="J43" s="32">
        <f>VALUE(MID($O$2,FIND("*",SUBSTITUTE($O$2," ","*",I43),1)+1,FIND("*",SUBSTITUTE($O$2," ","*",I44),1)-FIND("*",SUBSTITUTE($O$2," ","*",I43),1)-1))/gamma_R!$F$12</f>
        <v>100</v>
      </c>
      <c r="K43" s="32">
        <f t="shared" si="1"/>
        <v>1.5</v>
      </c>
      <c r="M43"/>
      <c r="N43"/>
      <c r="O43"/>
      <c r="P43"/>
      <c r="Q43"/>
      <c r="R43"/>
    </row>
    <row r="44" spans="2:18" x14ac:dyDescent="0.3">
      <c r="B44" s="32">
        <v>3</v>
      </c>
      <c r="C44" s="32">
        <f t="shared" si="5"/>
        <v>62.25</v>
      </c>
      <c r="D44" s="32">
        <f t="shared" si="6"/>
        <v>64.75</v>
      </c>
      <c r="E44" s="32">
        <f t="shared" si="7"/>
        <v>20</v>
      </c>
      <c r="F44" s="32">
        <f t="shared" si="8"/>
        <v>21</v>
      </c>
      <c r="H44" s="29">
        <f t="shared" si="0"/>
        <v>101.5</v>
      </c>
      <c r="I44" s="32">
        <v>40</v>
      </c>
      <c r="J44" s="32">
        <f>VALUE(MID($O$2,FIND("*",SUBSTITUTE($O$2," ","*",I44),1)+1,FIND("*",SUBSTITUTE($O$2," ","*",I45),1)-FIND("*",SUBSTITUTE($O$2," ","*",I44),1)-1))/gamma_R!$F$12</f>
        <v>101.5</v>
      </c>
      <c r="K44" s="32">
        <f t="shared" si="1"/>
        <v>1.5</v>
      </c>
      <c r="M44"/>
      <c r="N44"/>
      <c r="O44"/>
      <c r="P44"/>
      <c r="Q44"/>
      <c r="R44"/>
    </row>
    <row r="45" spans="2:18" x14ac:dyDescent="0.3">
      <c r="B45" s="32">
        <v>4</v>
      </c>
      <c r="C45" s="32">
        <f t="shared" si="5"/>
        <v>36.75</v>
      </c>
      <c r="D45" s="32">
        <f t="shared" si="6"/>
        <v>39.75</v>
      </c>
      <c r="E45" s="32">
        <f t="shared" si="7"/>
        <v>11</v>
      </c>
      <c r="F45" s="32">
        <f t="shared" si="8"/>
        <v>12</v>
      </c>
      <c r="H45" s="29">
        <f t="shared" si="0"/>
        <v>103.5</v>
      </c>
      <c r="I45" s="32">
        <v>41</v>
      </c>
      <c r="J45" s="32">
        <f>VALUE(MID($O$2,FIND("*",SUBSTITUTE($O$2," ","*",I45),1)+1,FIND("*",SUBSTITUTE($O$2," ","*",I46),1)-FIND("*",SUBSTITUTE($O$2," ","*",I45),1)-1))/gamma_R!$F$12</f>
        <v>103.5</v>
      </c>
      <c r="K45" s="32">
        <f t="shared" si="1"/>
        <v>2</v>
      </c>
      <c r="M45"/>
      <c r="N45"/>
      <c r="O45"/>
      <c r="P45"/>
      <c r="Q45"/>
    </row>
    <row r="46" spans="2:18" x14ac:dyDescent="0.3">
      <c r="B46" s="32">
        <v>5</v>
      </c>
      <c r="C46" s="32">
        <f t="shared" si="5"/>
        <v>76.25</v>
      </c>
      <c r="D46" s="32">
        <f t="shared" si="6"/>
        <v>78.25</v>
      </c>
      <c r="E46" s="32">
        <f t="shared" si="7"/>
        <v>26</v>
      </c>
      <c r="F46" s="32">
        <f t="shared" si="8"/>
        <v>27</v>
      </c>
      <c r="H46" s="29">
        <f t="shared" si="0"/>
        <v>105</v>
      </c>
      <c r="I46" s="32">
        <v>42</v>
      </c>
      <c r="J46" s="32">
        <f>VALUE(MID($O$2,FIND("*",SUBSTITUTE($O$2," ","*",I46),1)+1,FIND("*",SUBSTITUTE($O$2," ","*",I47),1)-FIND("*",SUBSTITUTE($O$2," ","*",I46),1)-1))/gamma_R!$F$12</f>
        <v>105</v>
      </c>
      <c r="K46" s="32">
        <f t="shared" si="1"/>
        <v>1.5</v>
      </c>
      <c r="M46"/>
      <c r="N46"/>
      <c r="O46"/>
      <c r="P46"/>
      <c r="Q46"/>
    </row>
    <row r="47" spans="2:18" x14ac:dyDescent="0.3">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3">
      <c r="B48" s="32">
        <v>7</v>
      </c>
      <c r="C48" s="32">
        <f t="shared" si="5"/>
        <v>89.25</v>
      </c>
      <c r="D48" s="32">
        <f t="shared" si="6"/>
        <v>91.25</v>
      </c>
      <c r="E48" s="32">
        <f t="shared" si="7"/>
        <v>33</v>
      </c>
      <c r="F48" s="32">
        <f t="shared" si="8"/>
        <v>34</v>
      </c>
      <c r="H48" s="29">
        <f t="shared" si="0"/>
        <v>108.5</v>
      </c>
      <c r="I48" s="32">
        <v>44</v>
      </c>
      <c r="J48" s="32">
        <f>VALUE(MID($O$2,FIND("*",SUBSTITUTE($O$2," ","*",I48),1)+1,FIND("*",SUBSTITUTE($O$2," ","*",I49),1)-FIND("*",SUBSTITUTE($O$2," ","*",I48),1)-1))/gamma_R!$F$12</f>
        <v>108.5</v>
      </c>
      <c r="K48" s="32">
        <f t="shared" si="1"/>
        <v>2</v>
      </c>
      <c r="M48"/>
      <c r="N48"/>
      <c r="O48"/>
      <c r="P48"/>
      <c r="Q48"/>
    </row>
    <row r="49" spans="2:17" x14ac:dyDescent="0.3">
      <c r="B49" s="32">
        <v>8</v>
      </c>
      <c r="C49" s="32">
        <f t="shared" si="5"/>
        <v>23</v>
      </c>
      <c r="D49" s="32">
        <f t="shared" si="6"/>
        <v>26.5</v>
      </c>
      <c r="E49" s="32">
        <f t="shared" si="7"/>
        <v>7</v>
      </c>
      <c r="F49" s="32">
        <f t="shared" si="8"/>
        <v>8</v>
      </c>
      <c r="H49" s="29">
        <f t="shared" si="0"/>
        <v>110</v>
      </c>
      <c r="I49" s="32">
        <v>45</v>
      </c>
      <c r="J49" s="32">
        <f>VALUE(MID($O$2,FIND("*",SUBSTITUTE($O$2," ","*",I49),1)+1,FIND("*",SUBSTITUTE($O$2," ","*",I50),1)-FIND("*",SUBSTITUTE($O$2," ","*",I49),1)-1))/gamma_R!$F$12</f>
        <v>110</v>
      </c>
      <c r="K49" s="32">
        <f t="shared" si="1"/>
        <v>1.5</v>
      </c>
      <c r="M49"/>
      <c r="N49"/>
      <c r="O49"/>
      <c r="P49"/>
      <c r="Q49"/>
    </row>
    <row r="50" spans="2:17" x14ac:dyDescent="0.3">
      <c r="B50" s="32">
        <v>9</v>
      </c>
      <c r="C50" s="32">
        <f t="shared" si="5"/>
        <v>51.75</v>
      </c>
      <c r="D50" s="32">
        <f t="shared" si="6"/>
        <v>54.25</v>
      </c>
      <c r="E50" s="32">
        <f t="shared" si="7"/>
        <v>16</v>
      </c>
      <c r="F50" s="32">
        <f t="shared" si="8"/>
        <v>17</v>
      </c>
      <c r="H50" s="29">
        <f t="shared" si="0"/>
        <v>111</v>
      </c>
      <c r="I50" s="32">
        <v>46</v>
      </c>
      <c r="J50" s="32">
        <f>VALUE(MID($O$2,FIND("*",SUBSTITUTE($O$2," ","*",I50),1)+1,FIND("*",SUBSTITUTE($O$2," ","*",I51),1)-FIND("*",SUBSTITUTE($O$2," ","*",I50),1)-1))/gamma_R!$F$12</f>
        <v>111</v>
      </c>
      <c r="K50" s="32">
        <f t="shared" si="1"/>
        <v>1</v>
      </c>
      <c r="M50"/>
      <c r="N50"/>
      <c r="O50"/>
      <c r="P50"/>
      <c r="Q50"/>
    </row>
    <row r="51" spans="2:17" x14ac:dyDescent="0.3">
      <c r="B51" s="32">
        <v>10</v>
      </c>
      <c r="C51" s="32">
        <f t="shared" si="5"/>
        <v>7.5</v>
      </c>
      <c r="D51" s="32">
        <f t="shared" si="6"/>
        <v>10.5</v>
      </c>
      <c r="E51" s="32">
        <f t="shared" si="7"/>
        <v>2</v>
      </c>
      <c r="F51" s="32">
        <f t="shared" si="8"/>
        <v>3</v>
      </c>
      <c r="H51" s="29">
        <f t="shared" si="0"/>
        <v>112.5</v>
      </c>
      <c r="I51" s="32">
        <v>47</v>
      </c>
      <c r="J51" s="32">
        <f>VALUE(MID($O$2,FIND("*",SUBSTITUTE($O$2," ","*",I51),1)+1,FIND("*",SUBSTITUTE($O$2," ","*",I52),1)-FIND("*",SUBSTITUTE($O$2," ","*",I51),1)-1))/gamma_R!$F$12</f>
        <v>112.5</v>
      </c>
      <c r="K51" s="32">
        <f t="shared" si="1"/>
        <v>1.5</v>
      </c>
      <c r="M51"/>
      <c r="N51"/>
      <c r="O51"/>
      <c r="P51"/>
      <c r="Q51"/>
    </row>
    <row r="52" spans="2:17" x14ac:dyDescent="0.3">
      <c r="B52" s="32">
        <v>11</v>
      </c>
      <c r="C52" s="32">
        <f t="shared" si="5"/>
        <v>124</v>
      </c>
      <c r="D52" s="32">
        <f t="shared" si="6"/>
        <v>125.5</v>
      </c>
      <c r="E52" s="32">
        <f t="shared" si="7"/>
        <v>55</v>
      </c>
      <c r="F52" s="32">
        <f t="shared" si="8"/>
        <v>56</v>
      </c>
      <c r="H52" s="29">
        <f t="shared" si="0"/>
        <v>114.5</v>
      </c>
      <c r="I52" s="32">
        <v>48</v>
      </c>
      <c r="J52" s="32">
        <f>VALUE(MID($O$2,FIND("*",SUBSTITUTE($O$2," ","*",I52),1)+1,FIND("*",SUBSTITUTE($O$2," ","*",I53),1)-FIND("*",SUBSTITUTE($O$2," ","*",I52),1)-1))/gamma_R!$F$12</f>
        <v>114.5</v>
      </c>
      <c r="K52" s="32">
        <f t="shared" si="1"/>
        <v>2</v>
      </c>
      <c r="M52"/>
      <c r="N52"/>
      <c r="O52"/>
      <c r="P52"/>
      <c r="Q52"/>
    </row>
    <row r="53" spans="2:17" x14ac:dyDescent="0.3">
      <c r="B53" s="32">
        <v>12</v>
      </c>
      <c r="C53" s="32">
        <f t="shared" si="5"/>
        <v>114.5</v>
      </c>
      <c r="D53" s="32">
        <f t="shared" si="6"/>
        <v>116</v>
      </c>
      <c r="E53" s="32">
        <f t="shared" si="7"/>
        <v>48</v>
      </c>
      <c r="F53" s="32">
        <f t="shared" si="8"/>
        <v>49</v>
      </c>
      <c r="H53" s="29">
        <f t="shared" si="0"/>
        <v>116</v>
      </c>
      <c r="I53" s="32">
        <v>49</v>
      </c>
      <c r="J53" s="32">
        <f>VALUE(MID($O$2,FIND("*",SUBSTITUTE($O$2," ","*",I53),1)+1,FIND("*",SUBSTITUTE($O$2," ","*",I54),1)-FIND("*",SUBSTITUTE($O$2," ","*",I53),1)-1))/gamma_R!$F$12</f>
        <v>116</v>
      </c>
      <c r="K53" s="32">
        <f t="shared" si="1"/>
        <v>1.5</v>
      </c>
      <c r="M53"/>
      <c r="N53"/>
      <c r="O53"/>
      <c r="P53"/>
      <c r="Q53"/>
    </row>
    <row r="54" spans="2:17" x14ac:dyDescent="0.3">
      <c r="B54" s="32">
        <v>13</v>
      </c>
      <c r="C54" s="32">
        <f t="shared" si="5"/>
        <v>4.5</v>
      </c>
      <c r="D54" s="32">
        <f t="shared" si="6"/>
        <v>7.5</v>
      </c>
      <c r="E54" s="32">
        <f t="shared" si="7"/>
        <v>1</v>
      </c>
      <c r="F54" s="32">
        <f t="shared" si="8"/>
        <v>2</v>
      </c>
      <c r="H54" s="29">
        <f t="shared" si="0"/>
        <v>117</v>
      </c>
      <c r="I54" s="32">
        <v>50</v>
      </c>
      <c r="J54" s="32">
        <f>VALUE(MID($O$2,FIND("*",SUBSTITUTE($O$2," ","*",I54),1)+1,FIND("*",SUBSTITUTE($O$2," ","*",I55),1)-FIND("*",SUBSTITUTE($O$2," ","*",I54),1)-1))/gamma_R!$F$12</f>
        <v>117</v>
      </c>
      <c r="K54" s="32">
        <f t="shared" si="1"/>
        <v>1</v>
      </c>
      <c r="M54"/>
      <c r="N54"/>
      <c r="O54"/>
      <c r="P54"/>
      <c r="Q54"/>
    </row>
    <row r="55" spans="2:17" x14ac:dyDescent="0.3">
      <c r="B55" s="32">
        <v>14</v>
      </c>
      <c r="C55" s="32">
        <f t="shared" si="5"/>
        <v>51.75</v>
      </c>
      <c r="D55" s="32">
        <f t="shared" si="6"/>
        <v>54.25</v>
      </c>
      <c r="E55" s="32">
        <f t="shared" si="7"/>
        <v>16</v>
      </c>
      <c r="F55" s="32">
        <f t="shared" si="8"/>
        <v>17</v>
      </c>
      <c r="H55" s="29">
        <f t="shared" si="0"/>
        <v>118.5</v>
      </c>
      <c r="I55" s="32">
        <v>51</v>
      </c>
      <c r="J55" s="32">
        <f>VALUE(MID($O$2,FIND("*",SUBSTITUTE($O$2," ","*",I55),1)+1,FIND("*",SUBSTITUTE($O$2," ","*",I56),1)-FIND("*",SUBSTITUTE($O$2," ","*",I55),1)-1))/gamma_R!$F$12</f>
        <v>118.5</v>
      </c>
      <c r="K55" s="32">
        <f t="shared" si="1"/>
        <v>1.5</v>
      </c>
      <c r="M55"/>
      <c r="N55"/>
      <c r="O55"/>
      <c r="P55"/>
      <c r="Q55"/>
    </row>
    <row r="56" spans="2:17" x14ac:dyDescent="0.3">
      <c r="B56" s="32">
        <v>15</v>
      </c>
      <c r="C56" s="32">
        <f t="shared" si="5"/>
        <v>23</v>
      </c>
      <c r="D56" s="32">
        <f t="shared" si="6"/>
        <v>26.5</v>
      </c>
      <c r="E56" s="32">
        <f t="shared" si="7"/>
        <v>7</v>
      </c>
      <c r="F56" s="32">
        <f t="shared" si="8"/>
        <v>8</v>
      </c>
      <c r="H56" s="29">
        <f t="shared" si="0"/>
        <v>120</v>
      </c>
      <c r="I56" s="32">
        <v>52</v>
      </c>
      <c r="J56" s="32">
        <f>VALUE(MID($O$2,FIND("*",SUBSTITUTE($O$2," ","*",I56),1)+1,FIND("*",SUBSTITUTE($O$2," ","*",I57),1)-FIND("*",SUBSTITUTE($O$2," ","*",I56),1)-1))/gamma_R!$F$12</f>
        <v>120</v>
      </c>
      <c r="K56" s="32">
        <f t="shared" si="1"/>
        <v>1.5</v>
      </c>
      <c r="M56"/>
      <c r="N56"/>
      <c r="O56"/>
      <c r="P56"/>
      <c r="Q56"/>
    </row>
    <row r="57" spans="2:17" x14ac:dyDescent="0.3">
      <c r="B57" s="32">
        <v>16</v>
      </c>
      <c r="C57" s="32">
        <f t="shared" si="5"/>
        <v>152.5</v>
      </c>
      <c r="D57" s="32">
        <f t="shared" si="6"/>
        <v>153.5</v>
      </c>
      <c r="E57" s="32">
        <f t="shared" si="7"/>
        <v>79</v>
      </c>
      <c r="F57" s="32">
        <f t="shared" si="8"/>
        <v>80</v>
      </c>
      <c r="H57" s="29">
        <f t="shared" si="0"/>
        <v>121.5</v>
      </c>
      <c r="I57" s="32">
        <v>53</v>
      </c>
      <c r="J57" s="32">
        <f>VALUE(MID($O$2,FIND("*",SUBSTITUTE($O$2," ","*",I57),1)+1,FIND("*",SUBSTITUTE($O$2," ","*",I58),1)-FIND("*",SUBSTITUTE($O$2," ","*",I57),1)-1))/gamma_R!$F$12</f>
        <v>121.5</v>
      </c>
      <c r="K57" s="32">
        <f t="shared" si="1"/>
        <v>1.5</v>
      </c>
      <c r="M57"/>
      <c r="N57"/>
      <c r="O57"/>
      <c r="P57"/>
      <c r="Q57"/>
    </row>
    <row r="58" spans="2:17" x14ac:dyDescent="0.3">
      <c r="B58" s="32">
        <v>17</v>
      </c>
      <c r="C58" s="32">
        <f t="shared" si="5"/>
        <v>39.75</v>
      </c>
      <c r="D58" s="32">
        <f t="shared" si="6"/>
        <v>42.75</v>
      </c>
      <c r="E58" s="32">
        <f t="shared" si="7"/>
        <v>12</v>
      </c>
      <c r="F58" s="32">
        <f t="shared" si="8"/>
        <v>13</v>
      </c>
      <c r="H58" s="29">
        <f t="shared" si="0"/>
        <v>123</v>
      </c>
      <c r="I58" s="32">
        <v>54</v>
      </c>
      <c r="J58" s="32">
        <f>VALUE(MID($O$2,FIND("*",SUBSTITUTE($O$2," ","*",I58),1)+1,FIND("*",SUBSTITUTE($O$2," ","*",I59),1)-FIND("*",SUBSTITUTE($O$2," ","*",I58),1)-1))/gamma_R!$F$12</f>
        <v>123</v>
      </c>
      <c r="K58" s="32">
        <f t="shared" si="1"/>
        <v>1.5</v>
      </c>
      <c r="M58"/>
      <c r="N58"/>
      <c r="O58"/>
      <c r="P58"/>
      <c r="Q58"/>
    </row>
    <row r="59" spans="2:17" x14ac:dyDescent="0.3">
      <c r="B59" s="32">
        <v>18</v>
      </c>
      <c r="C59" s="32">
        <f t="shared" si="5"/>
        <v>33.25</v>
      </c>
      <c r="D59" s="32">
        <f t="shared" si="6"/>
        <v>36.75</v>
      </c>
      <c r="E59" s="32">
        <f t="shared" si="7"/>
        <v>10</v>
      </c>
      <c r="F59" s="32">
        <f t="shared" si="8"/>
        <v>11</v>
      </c>
      <c r="H59" s="29">
        <f t="shared" si="0"/>
        <v>124</v>
      </c>
      <c r="I59" s="32">
        <v>55</v>
      </c>
      <c r="J59" s="32">
        <f>VALUE(MID($O$2,FIND("*",SUBSTITUTE($O$2," ","*",I59),1)+1,FIND("*",SUBSTITUTE($O$2," ","*",I60),1)-FIND("*",SUBSTITUTE($O$2," ","*",I59),1)-1))/gamma_R!$F$12</f>
        <v>124</v>
      </c>
      <c r="K59" s="32">
        <f t="shared" si="1"/>
        <v>1</v>
      </c>
      <c r="M59"/>
      <c r="N59"/>
      <c r="O59"/>
      <c r="P59"/>
      <c r="Q59"/>
    </row>
    <row r="60" spans="2:17" x14ac:dyDescent="0.3">
      <c r="B60" s="32">
        <v>19</v>
      </c>
      <c r="C60" s="32">
        <f t="shared" si="5"/>
        <v>200</v>
      </c>
      <c r="D60" s="32">
        <f t="shared" si="6"/>
        <v>200.75</v>
      </c>
      <c r="E60" s="32">
        <f t="shared" si="7"/>
        <v>139</v>
      </c>
      <c r="F60" s="32">
        <f>IF((VLOOKUP(ROUNDUP(C34,1),$H$4:$I$260,2,TRUE)+1)&gt;=257,256,VLOOKUP(ROUNDUP(C34,1),$H$4:$I$260,2,TRUE)+1)</f>
        <v>140</v>
      </c>
      <c r="H60" s="29">
        <f t="shared" si="0"/>
        <v>125.5</v>
      </c>
      <c r="I60" s="32">
        <v>56</v>
      </c>
      <c r="J60" s="32">
        <f>VALUE(MID($O$2,FIND("*",SUBSTITUTE($O$2," ","*",I60),1)+1,FIND("*",SUBSTITUTE($O$2," ","*",I61),1)-FIND("*",SUBSTITUTE($O$2," ","*",I60),1)-1))/gamma_R!$F$12</f>
        <v>125.5</v>
      </c>
      <c r="K60" s="32">
        <f t="shared" si="1"/>
        <v>1.5</v>
      </c>
      <c r="M60"/>
      <c r="N60"/>
      <c r="O60"/>
      <c r="P60"/>
      <c r="Q60"/>
    </row>
    <row r="61" spans="2:17" x14ac:dyDescent="0.3">
      <c r="B61" s="32">
        <v>20</v>
      </c>
      <c r="C61" s="32">
        <f t="shared" si="5"/>
        <v>134.5</v>
      </c>
      <c r="D61" s="32">
        <f t="shared" si="6"/>
        <v>135.5</v>
      </c>
      <c r="E61" s="32">
        <f t="shared" si="7"/>
        <v>63</v>
      </c>
      <c r="F61" s="32">
        <f t="shared" ref="F61:F65" si="9">IF((VLOOKUP(ROUNDUP(C35,1),$H$4:$I$260,2,TRUE)+1)&gt;=257,256,VLOOKUP(ROUNDUP(C35,1),$H$4:$I$260,2,TRUE)+1)</f>
        <v>64</v>
      </c>
      <c r="H61" s="29">
        <f t="shared" si="0"/>
        <v>127</v>
      </c>
      <c r="I61" s="32">
        <v>57</v>
      </c>
      <c r="J61" s="32">
        <f>VALUE(MID($O$2,FIND("*",SUBSTITUTE($O$2," ","*",I61),1)+1,FIND("*",SUBSTITUTE($O$2," ","*",I62),1)-FIND("*",SUBSTITUTE($O$2," ","*",I61),1)-1))/gamma_R!$F$12</f>
        <v>127</v>
      </c>
      <c r="K61" s="32">
        <f t="shared" si="1"/>
        <v>1.5</v>
      </c>
      <c r="M61"/>
      <c r="N61"/>
      <c r="O61"/>
      <c r="P61"/>
      <c r="Q61"/>
    </row>
    <row r="62" spans="2:17" x14ac:dyDescent="0.3">
      <c r="B62" s="32">
        <v>21</v>
      </c>
      <c r="C62" s="32">
        <f t="shared" si="5"/>
        <v>74.25</v>
      </c>
      <c r="D62" s="32">
        <f t="shared" si="6"/>
        <v>76.25</v>
      </c>
      <c r="E62" s="32">
        <f t="shared" si="7"/>
        <v>25</v>
      </c>
      <c r="F62" s="32">
        <f t="shared" si="9"/>
        <v>26</v>
      </c>
      <c r="H62" s="29">
        <f t="shared" si="0"/>
        <v>128</v>
      </c>
      <c r="I62" s="32">
        <v>58</v>
      </c>
      <c r="J62" s="32">
        <f>VALUE(MID($O$2,FIND("*",SUBSTITUTE($O$2," ","*",I62),1)+1,FIND("*",SUBSTITUTE($O$2," ","*",I63),1)-FIND("*",SUBSTITUTE($O$2," ","*",I62),1)-1))/gamma_R!$F$12</f>
        <v>128</v>
      </c>
      <c r="K62" s="32">
        <f t="shared" si="1"/>
        <v>1</v>
      </c>
      <c r="M62"/>
      <c r="N62"/>
      <c r="O62"/>
      <c r="P62"/>
      <c r="Q62"/>
    </row>
    <row r="63" spans="2:17" x14ac:dyDescent="0.3">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3">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3">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3">
      <c r="H66" s="29">
        <f t="shared" si="0"/>
        <v>133.5</v>
      </c>
      <c r="I66" s="32">
        <v>62</v>
      </c>
      <c r="J66" s="32">
        <f>VALUE(MID($O$2,FIND("*",SUBSTITUTE($O$2," ","*",I66),1)+1,FIND("*",SUBSTITUTE($O$2," ","*",I67),1)-FIND("*",SUBSTITUTE($O$2," ","*",I66),1)-1))/gamma_R!$F$12</f>
        <v>133.5</v>
      </c>
      <c r="K66" s="32">
        <f t="shared" si="1"/>
        <v>1.5</v>
      </c>
      <c r="M66"/>
      <c r="N66"/>
      <c r="O66"/>
      <c r="P66"/>
      <c r="Q66"/>
    </row>
    <row r="67" spans="2:17" x14ac:dyDescent="0.3">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3">
      <c r="B68" s="32">
        <v>1</v>
      </c>
      <c r="C68" s="56">
        <f t="shared" ref="C68:C91" si="10">ROUNDDOWN(F16,0)</f>
        <v>8</v>
      </c>
      <c r="D68" s="56">
        <f t="shared" ref="D68:D91" si="11">ROUNDUP(F16,0)</f>
        <v>9</v>
      </c>
      <c r="E68" s="45">
        <f t="shared" ref="E68:E91" si="12">VLOOKUP(ROUNDUP(C68,1),$I$4:$J$260,2,TRUE)</f>
        <v>26.5</v>
      </c>
      <c r="F68" s="45">
        <f t="shared" ref="F68:F91" si="13">VLOOKUP(ROUNDUP(D68,1),$I$4:$J$260,2,TRUE)</f>
        <v>29.5</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3">
      <c r="B69" s="32">
        <v>2</v>
      </c>
      <c r="C69" s="56">
        <f t="shared" si="10"/>
        <v>56</v>
      </c>
      <c r="D69" s="56">
        <f t="shared" si="11"/>
        <v>57</v>
      </c>
      <c r="E69" s="45">
        <f t="shared" si="12"/>
        <v>125.5</v>
      </c>
      <c r="F69" s="45">
        <f t="shared" si="13"/>
        <v>127</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3">
      <c r="B70" s="32">
        <v>3</v>
      </c>
      <c r="C70" s="56">
        <f t="shared" si="10"/>
        <v>20</v>
      </c>
      <c r="D70" s="56">
        <f t="shared" si="11"/>
        <v>21</v>
      </c>
      <c r="E70" s="45">
        <f t="shared" si="12"/>
        <v>62.25</v>
      </c>
      <c r="F70" s="45">
        <f t="shared" si="13"/>
        <v>64.75</v>
      </c>
      <c r="H70" s="29">
        <f t="shared" si="14"/>
        <v>138</v>
      </c>
      <c r="I70" s="32">
        <v>66</v>
      </c>
      <c r="J70" s="32">
        <f>VALUE(MID($O$2,FIND("*",SUBSTITUTE($O$2," ","*",I70),1)+1,FIND("*",SUBSTITUTE($O$2," ","*",I71),1)-FIND("*",SUBSTITUTE($O$2," ","*",I70),1)-1))/gamma_R!$F$12</f>
        <v>138</v>
      </c>
      <c r="K70" s="32">
        <f t="shared" si="15"/>
        <v>1</v>
      </c>
      <c r="M70"/>
      <c r="N70"/>
      <c r="O70"/>
      <c r="P70"/>
      <c r="Q70"/>
    </row>
    <row r="71" spans="2:17" x14ac:dyDescent="0.3">
      <c r="B71" s="32">
        <v>4</v>
      </c>
      <c r="C71" s="56">
        <f t="shared" si="10"/>
        <v>11</v>
      </c>
      <c r="D71" s="56">
        <f t="shared" si="11"/>
        <v>12</v>
      </c>
      <c r="E71" s="45">
        <f t="shared" si="12"/>
        <v>36.75</v>
      </c>
      <c r="F71" s="45">
        <f t="shared" si="13"/>
        <v>39.75</v>
      </c>
      <c r="H71" s="29">
        <f t="shared" si="14"/>
        <v>139.5</v>
      </c>
      <c r="I71" s="32">
        <v>67</v>
      </c>
      <c r="J71" s="32">
        <f>VALUE(MID($O$2,FIND("*",SUBSTITUTE($O$2," ","*",I71),1)+1,FIND("*",SUBSTITUTE($O$2," ","*",I72),1)-FIND("*",SUBSTITUTE($O$2," ","*",I71),1)-1))/gamma_R!$F$12</f>
        <v>139.5</v>
      </c>
      <c r="K71" s="32">
        <f t="shared" si="15"/>
        <v>1.5</v>
      </c>
      <c r="M71"/>
      <c r="N71"/>
      <c r="O71"/>
      <c r="P71"/>
      <c r="Q71"/>
    </row>
    <row r="72" spans="2:17" x14ac:dyDescent="0.3">
      <c r="B72" s="32">
        <v>5</v>
      </c>
      <c r="C72" s="56">
        <f t="shared" si="10"/>
        <v>26</v>
      </c>
      <c r="D72" s="56">
        <f t="shared" si="11"/>
        <v>27</v>
      </c>
      <c r="E72" s="45">
        <f t="shared" si="12"/>
        <v>76.25</v>
      </c>
      <c r="F72" s="45">
        <f t="shared" si="13"/>
        <v>78.25</v>
      </c>
      <c r="H72" s="29">
        <f t="shared" si="14"/>
        <v>141</v>
      </c>
      <c r="I72" s="32">
        <v>68</v>
      </c>
      <c r="J72" s="32">
        <f>VALUE(MID($O$2,FIND("*",SUBSTITUTE($O$2," ","*",I72),1)+1,FIND("*",SUBSTITUTE($O$2," ","*",I73),1)-FIND("*",SUBSTITUTE($O$2," ","*",I72),1)-1))/gamma_R!$F$12</f>
        <v>141</v>
      </c>
      <c r="K72" s="32">
        <f t="shared" si="15"/>
        <v>1.5</v>
      </c>
      <c r="M72"/>
      <c r="N72"/>
      <c r="O72"/>
      <c r="P72"/>
      <c r="Q72"/>
    </row>
    <row r="73" spans="2:17" x14ac:dyDescent="0.3">
      <c r="B73" s="32">
        <v>6</v>
      </c>
      <c r="C73" s="56">
        <f t="shared" si="10"/>
        <v>66</v>
      </c>
      <c r="D73" s="56">
        <f t="shared" si="11"/>
        <v>67</v>
      </c>
      <c r="E73" s="45">
        <f t="shared" si="12"/>
        <v>138</v>
      </c>
      <c r="F73" s="45">
        <f t="shared" si="13"/>
        <v>139.5</v>
      </c>
      <c r="H73" s="29">
        <f t="shared" si="14"/>
        <v>142</v>
      </c>
      <c r="I73" s="32">
        <v>69</v>
      </c>
      <c r="J73" s="32">
        <f>VALUE(MID($O$2,FIND("*",SUBSTITUTE($O$2," ","*",I73),1)+1,FIND("*",SUBSTITUTE($O$2," ","*",I74),1)-FIND("*",SUBSTITUTE($O$2," ","*",I73),1)-1))/gamma_R!$F$12</f>
        <v>142</v>
      </c>
      <c r="K73" s="32">
        <f t="shared" si="15"/>
        <v>1</v>
      </c>
      <c r="M73"/>
      <c r="N73"/>
      <c r="O73"/>
      <c r="P73"/>
      <c r="Q73"/>
    </row>
    <row r="74" spans="2:17" x14ac:dyDescent="0.3">
      <c r="B74" s="32">
        <v>7</v>
      </c>
      <c r="C74" s="56">
        <f t="shared" si="10"/>
        <v>33</v>
      </c>
      <c r="D74" s="56">
        <f t="shared" si="11"/>
        <v>34</v>
      </c>
      <c r="E74" s="45">
        <f t="shared" si="12"/>
        <v>89.25</v>
      </c>
      <c r="F74" s="45">
        <f t="shared" si="13"/>
        <v>91.25</v>
      </c>
      <c r="H74" s="29">
        <f t="shared" si="14"/>
        <v>143</v>
      </c>
      <c r="I74" s="32">
        <v>70</v>
      </c>
      <c r="J74" s="32">
        <f>VALUE(MID($O$2,FIND("*",SUBSTITUTE($O$2," ","*",I74),1)+1,FIND("*",SUBSTITUTE($O$2," ","*",I75),1)-FIND("*",SUBSTITUTE($O$2," ","*",I74),1)-1))/gamma_R!$F$12</f>
        <v>143</v>
      </c>
      <c r="K74" s="32">
        <f t="shared" si="15"/>
        <v>1</v>
      </c>
      <c r="M74"/>
      <c r="N74"/>
      <c r="O74"/>
      <c r="P74"/>
      <c r="Q74"/>
    </row>
    <row r="75" spans="2:17" x14ac:dyDescent="0.3">
      <c r="B75" s="32">
        <v>8</v>
      </c>
      <c r="C75" s="56">
        <f t="shared" si="10"/>
        <v>7</v>
      </c>
      <c r="D75" s="56">
        <f t="shared" si="11"/>
        <v>8</v>
      </c>
      <c r="E75" s="45">
        <f t="shared" si="12"/>
        <v>23</v>
      </c>
      <c r="F75" s="45">
        <f t="shared" si="13"/>
        <v>26.5</v>
      </c>
      <c r="H75" s="29">
        <f t="shared" si="14"/>
        <v>144</v>
      </c>
      <c r="I75" s="32">
        <v>71</v>
      </c>
      <c r="J75" s="32">
        <f>VALUE(MID($O$2,FIND("*",SUBSTITUTE($O$2," ","*",I75),1)+1,FIND("*",SUBSTITUTE($O$2," ","*",I76),1)-FIND("*",SUBSTITUTE($O$2," ","*",I75),1)-1))/gamma_R!$F$12</f>
        <v>144</v>
      </c>
      <c r="K75" s="32">
        <f t="shared" si="15"/>
        <v>1</v>
      </c>
      <c r="M75"/>
      <c r="N75"/>
      <c r="O75"/>
      <c r="P75"/>
      <c r="Q75"/>
    </row>
    <row r="76" spans="2:17" x14ac:dyDescent="0.3">
      <c r="B76" s="32">
        <v>9</v>
      </c>
      <c r="C76" s="56">
        <f t="shared" si="10"/>
        <v>16</v>
      </c>
      <c r="D76" s="56">
        <f t="shared" si="11"/>
        <v>17</v>
      </c>
      <c r="E76" s="45">
        <f t="shared" si="12"/>
        <v>51.75</v>
      </c>
      <c r="F76" s="45">
        <f t="shared" si="13"/>
        <v>54.25</v>
      </c>
      <c r="H76" s="29">
        <f t="shared" si="14"/>
        <v>145</v>
      </c>
      <c r="I76" s="32">
        <v>72</v>
      </c>
      <c r="J76" s="32">
        <f>VALUE(MID($O$2,FIND("*",SUBSTITUTE($O$2," ","*",I76),1)+1,FIND("*",SUBSTITUTE($O$2," ","*",I77),1)-FIND("*",SUBSTITUTE($O$2," ","*",I76),1)-1))/gamma_R!$F$12</f>
        <v>145</v>
      </c>
      <c r="K76" s="32">
        <f t="shared" si="15"/>
        <v>1</v>
      </c>
      <c r="M76"/>
      <c r="N76"/>
      <c r="O76"/>
      <c r="P76"/>
      <c r="Q76"/>
    </row>
    <row r="77" spans="2:17" x14ac:dyDescent="0.3">
      <c r="B77" s="32">
        <v>10</v>
      </c>
      <c r="C77" s="56">
        <f t="shared" si="10"/>
        <v>2</v>
      </c>
      <c r="D77" s="56">
        <f t="shared" si="11"/>
        <v>3</v>
      </c>
      <c r="E77" s="45">
        <f t="shared" si="12"/>
        <v>7.5</v>
      </c>
      <c r="F77" s="45">
        <f t="shared" si="13"/>
        <v>10.5</v>
      </c>
      <c r="H77" s="29">
        <f t="shared" si="14"/>
        <v>146</v>
      </c>
      <c r="I77" s="32">
        <v>73</v>
      </c>
      <c r="J77" s="32">
        <f>VALUE(MID($O$2,FIND("*",SUBSTITUTE($O$2," ","*",I77),1)+1,FIND("*",SUBSTITUTE($O$2," ","*",I78),1)-FIND("*",SUBSTITUTE($O$2," ","*",I77),1)-1))/gamma_R!$F$12</f>
        <v>146</v>
      </c>
      <c r="K77" s="32">
        <f t="shared" si="15"/>
        <v>1</v>
      </c>
      <c r="M77"/>
      <c r="N77"/>
      <c r="O77"/>
      <c r="P77"/>
      <c r="Q77"/>
    </row>
    <row r="78" spans="2:17" x14ac:dyDescent="0.3">
      <c r="B78" s="32">
        <v>11</v>
      </c>
      <c r="C78" s="56">
        <f t="shared" si="10"/>
        <v>55</v>
      </c>
      <c r="D78" s="56">
        <f t="shared" si="11"/>
        <v>56</v>
      </c>
      <c r="E78" s="45">
        <f t="shared" si="12"/>
        <v>124</v>
      </c>
      <c r="F78" s="45">
        <f t="shared" si="13"/>
        <v>125.5</v>
      </c>
      <c r="H78" s="29">
        <f t="shared" si="14"/>
        <v>147</v>
      </c>
      <c r="I78" s="32">
        <v>74</v>
      </c>
      <c r="J78" s="32">
        <f>VALUE(MID($O$2,FIND("*",SUBSTITUTE($O$2," ","*",I78),1)+1,FIND("*",SUBSTITUTE($O$2," ","*",I79),1)-FIND("*",SUBSTITUTE($O$2," ","*",I78),1)-1))/gamma_R!$F$12</f>
        <v>147</v>
      </c>
      <c r="K78" s="32">
        <f t="shared" si="15"/>
        <v>1</v>
      </c>
      <c r="M78"/>
      <c r="N78"/>
      <c r="O78"/>
      <c r="P78"/>
      <c r="Q78"/>
    </row>
    <row r="79" spans="2:17" x14ac:dyDescent="0.3">
      <c r="B79" s="32">
        <v>12</v>
      </c>
      <c r="C79" s="56">
        <f t="shared" si="10"/>
        <v>48</v>
      </c>
      <c r="D79" s="56">
        <f t="shared" si="11"/>
        <v>49</v>
      </c>
      <c r="E79" s="45">
        <f t="shared" si="12"/>
        <v>114.5</v>
      </c>
      <c r="F79" s="45">
        <f t="shared" si="13"/>
        <v>116</v>
      </c>
      <c r="H79" s="29">
        <f t="shared" si="14"/>
        <v>148</v>
      </c>
      <c r="I79" s="32">
        <v>75</v>
      </c>
      <c r="J79" s="32">
        <f>VALUE(MID($O$2,FIND("*",SUBSTITUTE($O$2," ","*",I79),1)+1,FIND("*",SUBSTITUTE($O$2," ","*",I80),1)-FIND("*",SUBSTITUTE($O$2," ","*",I79),1)-1))/gamma_R!$F$12</f>
        <v>148</v>
      </c>
      <c r="K79" s="32">
        <f t="shared" si="15"/>
        <v>1</v>
      </c>
      <c r="M79"/>
      <c r="N79"/>
      <c r="O79"/>
      <c r="P79"/>
      <c r="Q79"/>
    </row>
    <row r="80" spans="2:17" x14ac:dyDescent="0.3">
      <c r="B80" s="32">
        <v>13</v>
      </c>
      <c r="C80" s="56">
        <f t="shared" si="10"/>
        <v>1</v>
      </c>
      <c r="D80" s="56">
        <f t="shared" si="11"/>
        <v>2</v>
      </c>
      <c r="E80" s="45">
        <f t="shared" si="12"/>
        <v>4.5</v>
      </c>
      <c r="F80" s="45">
        <f t="shared" si="13"/>
        <v>7.5</v>
      </c>
      <c r="H80" s="29">
        <f t="shared" si="14"/>
        <v>149.5</v>
      </c>
      <c r="I80" s="32">
        <v>76</v>
      </c>
      <c r="J80" s="32">
        <f>VALUE(MID($O$2,FIND("*",SUBSTITUTE($O$2," ","*",I80),1)+1,FIND("*",SUBSTITUTE($O$2," ","*",I81),1)-FIND("*",SUBSTITUTE($O$2," ","*",I80),1)-1))/gamma_R!$F$12</f>
        <v>149.5</v>
      </c>
      <c r="K80" s="32">
        <f t="shared" si="15"/>
        <v>1.5</v>
      </c>
      <c r="M80"/>
      <c r="N80"/>
      <c r="O80"/>
      <c r="P80"/>
      <c r="Q80"/>
    </row>
    <row r="81" spans="2:17" x14ac:dyDescent="0.3">
      <c r="B81" s="32">
        <v>14</v>
      </c>
      <c r="C81" s="56">
        <f t="shared" si="10"/>
        <v>16</v>
      </c>
      <c r="D81" s="56">
        <f t="shared" si="11"/>
        <v>17</v>
      </c>
      <c r="E81" s="45">
        <f t="shared" si="12"/>
        <v>51.75</v>
      </c>
      <c r="F81" s="45">
        <f t="shared" si="13"/>
        <v>54.25</v>
      </c>
      <c r="H81" s="29">
        <f t="shared" si="14"/>
        <v>150.5</v>
      </c>
      <c r="I81" s="32">
        <v>77</v>
      </c>
      <c r="J81" s="32">
        <f>VALUE(MID($O$2,FIND("*",SUBSTITUTE($O$2," ","*",I81),1)+1,FIND("*",SUBSTITUTE($O$2," ","*",I82),1)-FIND("*",SUBSTITUTE($O$2," ","*",I81),1)-1))/gamma_R!$F$12</f>
        <v>150.5</v>
      </c>
      <c r="K81" s="32">
        <f t="shared" si="15"/>
        <v>1</v>
      </c>
      <c r="M81"/>
      <c r="N81"/>
      <c r="O81"/>
      <c r="P81"/>
      <c r="Q81"/>
    </row>
    <row r="82" spans="2:17" x14ac:dyDescent="0.3">
      <c r="B82" s="32">
        <v>15</v>
      </c>
      <c r="C82" s="56">
        <f t="shared" si="10"/>
        <v>7</v>
      </c>
      <c r="D82" s="56">
        <f t="shared" si="11"/>
        <v>8</v>
      </c>
      <c r="E82" s="45">
        <f t="shared" si="12"/>
        <v>23</v>
      </c>
      <c r="F82" s="45">
        <f t="shared" si="13"/>
        <v>26.5</v>
      </c>
      <c r="H82" s="29">
        <f t="shared" si="14"/>
        <v>151.5</v>
      </c>
      <c r="I82" s="32">
        <v>78</v>
      </c>
      <c r="J82" s="32">
        <f>VALUE(MID($O$2,FIND("*",SUBSTITUTE($O$2," ","*",I82),1)+1,FIND("*",SUBSTITUTE($O$2," ","*",I83),1)-FIND("*",SUBSTITUTE($O$2," ","*",I82),1)-1))/gamma_R!$F$12</f>
        <v>151.5</v>
      </c>
      <c r="K82" s="32">
        <f t="shared" si="15"/>
        <v>1</v>
      </c>
      <c r="M82"/>
      <c r="N82"/>
      <c r="O82"/>
      <c r="P82"/>
      <c r="Q82"/>
    </row>
    <row r="83" spans="2:17" x14ac:dyDescent="0.3">
      <c r="B83" s="32">
        <v>16</v>
      </c>
      <c r="C83" s="56">
        <f t="shared" si="10"/>
        <v>79</v>
      </c>
      <c r="D83" s="56">
        <f t="shared" si="11"/>
        <v>80</v>
      </c>
      <c r="E83" s="45">
        <f t="shared" si="12"/>
        <v>152.5</v>
      </c>
      <c r="F83" s="45">
        <f t="shared" si="13"/>
        <v>153.5</v>
      </c>
      <c r="H83" s="29">
        <f t="shared" si="14"/>
        <v>152.5</v>
      </c>
      <c r="I83" s="32">
        <v>79</v>
      </c>
      <c r="J83" s="32">
        <f>VALUE(MID($O$2,FIND("*",SUBSTITUTE($O$2," ","*",I83),1)+1,FIND("*",SUBSTITUTE($O$2," ","*",I84),1)-FIND("*",SUBSTITUTE($O$2," ","*",I83),1)-1))/gamma_R!$F$12</f>
        <v>152.5</v>
      </c>
      <c r="K83" s="32">
        <f t="shared" si="15"/>
        <v>1</v>
      </c>
      <c r="M83"/>
      <c r="N83"/>
      <c r="O83"/>
      <c r="P83"/>
      <c r="Q83"/>
    </row>
    <row r="84" spans="2:17" x14ac:dyDescent="0.3">
      <c r="B84" s="32">
        <v>17</v>
      </c>
      <c r="C84" s="56">
        <f t="shared" si="10"/>
        <v>12</v>
      </c>
      <c r="D84" s="56">
        <f t="shared" si="11"/>
        <v>13</v>
      </c>
      <c r="E84" s="45">
        <f t="shared" si="12"/>
        <v>39.75</v>
      </c>
      <c r="F84" s="45">
        <f t="shared" si="13"/>
        <v>42.75</v>
      </c>
      <c r="H84" s="29">
        <f t="shared" si="14"/>
        <v>153.5</v>
      </c>
      <c r="I84" s="32">
        <v>80</v>
      </c>
      <c r="J84" s="32">
        <f>VALUE(MID($O$2,FIND("*",SUBSTITUTE($O$2," ","*",I84),1)+1,FIND("*",SUBSTITUTE($O$2," ","*",I85),1)-FIND("*",SUBSTITUTE($O$2," ","*",I84),1)-1))/gamma_R!$F$12</f>
        <v>153.5</v>
      </c>
      <c r="K84" s="32">
        <f t="shared" si="15"/>
        <v>1</v>
      </c>
      <c r="M84"/>
      <c r="N84"/>
      <c r="O84"/>
      <c r="P84"/>
      <c r="Q84"/>
    </row>
    <row r="85" spans="2:17" x14ac:dyDescent="0.3">
      <c r="B85" s="32">
        <v>18</v>
      </c>
      <c r="C85" s="56">
        <f t="shared" si="10"/>
        <v>10</v>
      </c>
      <c r="D85" s="56">
        <f t="shared" si="11"/>
        <v>11</v>
      </c>
      <c r="E85" s="45">
        <f t="shared" si="12"/>
        <v>33.25</v>
      </c>
      <c r="F85" s="45">
        <f t="shared" si="13"/>
        <v>36.75</v>
      </c>
      <c r="H85" s="29">
        <f t="shared" si="14"/>
        <v>154.5</v>
      </c>
      <c r="I85" s="32">
        <v>81</v>
      </c>
      <c r="J85" s="32">
        <f>VALUE(MID($O$2,FIND("*",SUBSTITUTE($O$2," ","*",I85),1)+1,FIND("*",SUBSTITUTE($O$2," ","*",I86),1)-FIND("*",SUBSTITUTE($O$2," ","*",I85),1)-1))/gamma_R!$F$12</f>
        <v>154.5</v>
      </c>
      <c r="K85" s="32">
        <f t="shared" si="15"/>
        <v>1</v>
      </c>
      <c r="M85"/>
      <c r="N85"/>
      <c r="O85"/>
      <c r="P85"/>
      <c r="Q85"/>
    </row>
    <row r="86" spans="2:17" x14ac:dyDescent="0.3">
      <c r="B86" s="32">
        <v>19</v>
      </c>
      <c r="C86" s="56">
        <f t="shared" si="10"/>
        <v>139</v>
      </c>
      <c r="D86" s="56">
        <f t="shared" si="11"/>
        <v>140</v>
      </c>
      <c r="E86" s="45">
        <f t="shared" si="12"/>
        <v>200</v>
      </c>
      <c r="F86" s="45">
        <f t="shared" si="13"/>
        <v>200.75</v>
      </c>
      <c r="H86" s="29">
        <f t="shared" si="14"/>
        <v>155.5</v>
      </c>
      <c r="I86" s="32">
        <v>82</v>
      </c>
      <c r="J86" s="32">
        <f>VALUE(MID($O$2,FIND("*",SUBSTITUTE($O$2," ","*",I86),1)+1,FIND("*",SUBSTITUTE($O$2," ","*",I87),1)-FIND("*",SUBSTITUTE($O$2," ","*",I86),1)-1))/gamma_R!$F$12</f>
        <v>155.5</v>
      </c>
      <c r="K86" s="32">
        <f t="shared" si="15"/>
        <v>1</v>
      </c>
      <c r="M86"/>
      <c r="N86"/>
      <c r="O86"/>
      <c r="P86"/>
      <c r="Q86"/>
    </row>
    <row r="87" spans="2:17" x14ac:dyDescent="0.3">
      <c r="B87" s="32">
        <v>20</v>
      </c>
      <c r="C87" s="56">
        <f t="shared" si="10"/>
        <v>63</v>
      </c>
      <c r="D87" s="56">
        <f t="shared" si="11"/>
        <v>64</v>
      </c>
      <c r="E87" s="45">
        <f t="shared" si="12"/>
        <v>134.5</v>
      </c>
      <c r="F87" s="45">
        <f t="shared" si="13"/>
        <v>135.5</v>
      </c>
      <c r="H87" s="29">
        <f t="shared" si="14"/>
        <v>156.5</v>
      </c>
      <c r="I87" s="32">
        <v>83</v>
      </c>
      <c r="J87" s="32">
        <f>VALUE(MID($O$2,FIND("*",SUBSTITUTE($O$2," ","*",I87),1)+1,FIND("*",SUBSTITUTE($O$2," ","*",I88),1)-FIND("*",SUBSTITUTE($O$2," ","*",I87),1)-1))/gamma_R!$F$12</f>
        <v>156.5</v>
      </c>
      <c r="K87" s="32">
        <f t="shared" si="15"/>
        <v>1</v>
      </c>
      <c r="M87"/>
      <c r="N87"/>
      <c r="O87"/>
      <c r="P87"/>
      <c r="Q87"/>
    </row>
    <row r="88" spans="2:17" x14ac:dyDescent="0.3">
      <c r="B88" s="32">
        <v>21</v>
      </c>
      <c r="C88" s="56">
        <f t="shared" si="10"/>
        <v>25</v>
      </c>
      <c r="D88" s="56">
        <f t="shared" si="11"/>
        <v>26</v>
      </c>
      <c r="E88" s="45">
        <f t="shared" si="12"/>
        <v>74.25</v>
      </c>
      <c r="F88" s="45">
        <f t="shared" si="13"/>
        <v>76.25</v>
      </c>
      <c r="H88" s="29">
        <f t="shared" si="14"/>
        <v>157.5</v>
      </c>
      <c r="I88" s="32">
        <v>84</v>
      </c>
      <c r="J88" s="32">
        <f>VALUE(MID($O$2,FIND("*",SUBSTITUTE($O$2," ","*",I88),1)+1,FIND("*",SUBSTITUTE($O$2," ","*",I89),1)-FIND("*",SUBSTITUTE($O$2," ","*",I88),1)-1))/gamma_R!$F$12</f>
        <v>157.5</v>
      </c>
      <c r="K88" s="32">
        <f t="shared" si="15"/>
        <v>1</v>
      </c>
      <c r="M88"/>
      <c r="N88"/>
      <c r="O88"/>
      <c r="P88"/>
      <c r="Q88"/>
    </row>
    <row r="89" spans="2:17" x14ac:dyDescent="0.3">
      <c r="B89" s="32">
        <v>22</v>
      </c>
      <c r="C89" s="56">
        <f t="shared" si="10"/>
        <v>8</v>
      </c>
      <c r="D89" s="56">
        <f t="shared" si="11"/>
        <v>9</v>
      </c>
      <c r="E89" s="45">
        <f t="shared" si="12"/>
        <v>26.5</v>
      </c>
      <c r="F89" s="45">
        <f t="shared" si="13"/>
        <v>29.5</v>
      </c>
      <c r="H89" s="29">
        <f t="shared" si="14"/>
        <v>158</v>
      </c>
      <c r="I89" s="32">
        <v>85</v>
      </c>
      <c r="J89" s="32">
        <f>VALUE(MID($O$2,FIND("*",SUBSTITUTE($O$2," ","*",I89),1)+1,FIND("*",SUBSTITUTE($O$2," ","*",I90),1)-FIND("*",SUBSTITUTE($O$2," ","*",I89),1)-1))/gamma_R!$F$12</f>
        <v>158</v>
      </c>
      <c r="K89" s="32">
        <f t="shared" si="15"/>
        <v>0.5</v>
      </c>
      <c r="M89"/>
      <c r="N89"/>
      <c r="O89"/>
      <c r="P89"/>
      <c r="Q89"/>
    </row>
    <row r="90" spans="2:17" x14ac:dyDescent="0.3">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3">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3">
      <c r="H92" s="29">
        <f t="shared" si="14"/>
        <v>161.25</v>
      </c>
      <c r="I92" s="32">
        <v>88</v>
      </c>
      <c r="J92" s="32">
        <f>VALUE(MID($O$2,FIND("*",SUBSTITUTE($O$2," ","*",I92),1)+1,FIND("*",SUBSTITUTE($O$2," ","*",I93),1)-FIND("*",SUBSTITUTE($O$2," ","*",I92),1)-1))/gamma_R!$F$12</f>
        <v>161.25</v>
      </c>
      <c r="K92" s="32">
        <f t="shared" si="15"/>
        <v>1.25</v>
      </c>
      <c r="M92"/>
      <c r="N92"/>
      <c r="O92"/>
      <c r="P92"/>
      <c r="Q92"/>
    </row>
    <row r="93" spans="2:17" x14ac:dyDescent="0.3">
      <c r="H93" s="29">
        <f t="shared" si="14"/>
        <v>162.25</v>
      </c>
      <c r="I93" s="32">
        <v>89</v>
      </c>
      <c r="J93" s="32">
        <f>VALUE(MID($O$2,FIND("*",SUBSTITUTE($O$2," ","*",I93),1)+1,FIND("*",SUBSTITUTE($O$2," ","*",I94),1)-FIND("*",SUBSTITUTE($O$2," ","*",I93),1)-1))/gamma_R!$F$12</f>
        <v>162.25</v>
      </c>
      <c r="K93" s="32">
        <f t="shared" si="15"/>
        <v>1</v>
      </c>
      <c r="M93"/>
      <c r="N93"/>
      <c r="O93"/>
      <c r="P93"/>
      <c r="Q93"/>
    </row>
    <row r="94" spans="2:17" x14ac:dyDescent="0.3">
      <c r="H94" s="29">
        <f t="shared" si="14"/>
        <v>163.25</v>
      </c>
      <c r="I94" s="32">
        <v>90</v>
      </c>
      <c r="J94" s="32">
        <f>VALUE(MID($O$2,FIND("*",SUBSTITUTE($O$2," ","*",I94),1)+1,FIND("*",SUBSTITUTE($O$2," ","*",I95),1)-FIND("*",SUBSTITUTE($O$2," ","*",I94),1)-1))/gamma_R!$F$12</f>
        <v>163.25</v>
      </c>
      <c r="K94" s="32">
        <f t="shared" si="15"/>
        <v>1</v>
      </c>
      <c r="M94"/>
      <c r="N94"/>
      <c r="O94"/>
      <c r="P94"/>
      <c r="Q94"/>
    </row>
    <row r="95" spans="2:17" x14ac:dyDescent="0.3">
      <c r="H95" s="29">
        <f t="shared" si="14"/>
        <v>164.25</v>
      </c>
      <c r="I95" s="32">
        <v>91</v>
      </c>
      <c r="J95" s="32">
        <f>VALUE(MID($O$2,FIND("*",SUBSTITUTE($O$2," ","*",I95),1)+1,FIND("*",SUBSTITUTE($O$2," ","*",I96),1)-FIND("*",SUBSTITUTE($O$2," ","*",I95),1)-1))/gamma_R!$F$12</f>
        <v>164.25</v>
      </c>
      <c r="K95" s="32">
        <f t="shared" si="15"/>
        <v>1</v>
      </c>
      <c r="M95"/>
      <c r="N95"/>
      <c r="O95"/>
      <c r="P95"/>
      <c r="Q95"/>
    </row>
    <row r="96" spans="2:17" x14ac:dyDescent="0.3">
      <c r="H96" s="29">
        <f t="shared" si="14"/>
        <v>165.25</v>
      </c>
      <c r="I96" s="32">
        <v>92</v>
      </c>
      <c r="J96" s="32">
        <f>VALUE(MID($O$2,FIND("*",SUBSTITUTE($O$2," ","*",I96),1)+1,FIND("*",SUBSTITUTE($O$2," ","*",I97),1)-FIND("*",SUBSTITUTE($O$2," ","*",I96),1)-1))/gamma_R!$F$12</f>
        <v>165.25</v>
      </c>
      <c r="K96" s="32">
        <f t="shared" si="15"/>
        <v>1</v>
      </c>
      <c r="M96"/>
      <c r="N96"/>
      <c r="O96"/>
      <c r="P96"/>
      <c r="Q96"/>
    </row>
    <row r="97" spans="8:17" x14ac:dyDescent="0.3">
      <c r="H97" s="29">
        <f t="shared" si="14"/>
        <v>166.25</v>
      </c>
      <c r="I97" s="32">
        <v>93</v>
      </c>
      <c r="J97" s="32">
        <f>VALUE(MID($O$2,FIND("*",SUBSTITUTE($O$2," ","*",I97),1)+1,FIND("*",SUBSTITUTE($O$2," ","*",I98),1)-FIND("*",SUBSTITUTE($O$2," ","*",I97),1)-1))/gamma_R!$F$12</f>
        <v>166.25</v>
      </c>
      <c r="K97" s="32">
        <f t="shared" si="15"/>
        <v>1</v>
      </c>
      <c r="M97"/>
      <c r="N97"/>
      <c r="O97"/>
      <c r="P97"/>
      <c r="Q97"/>
    </row>
    <row r="98" spans="8:17" x14ac:dyDescent="0.3">
      <c r="H98" s="29">
        <f t="shared" si="14"/>
        <v>167.25</v>
      </c>
      <c r="I98" s="32">
        <v>94</v>
      </c>
      <c r="J98" s="32">
        <f>VALUE(MID($O$2,FIND("*",SUBSTITUTE($O$2," ","*",I98),1)+1,FIND("*",SUBSTITUTE($O$2," ","*",I99),1)-FIND("*",SUBSTITUTE($O$2," ","*",I98),1)-1))/gamma_R!$F$12</f>
        <v>167.25</v>
      </c>
      <c r="K98" s="32">
        <f t="shared" si="15"/>
        <v>1</v>
      </c>
      <c r="M98"/>
      <c r="N98"/>
      <c r="O98"/>
      <c r="P98"/>
      <c r="Q98"/>
    </row>
    <row r="99" spans="8:17" x14ac:dyDescent="0.3">
      <c r="H99" s="29">
        <f t="shared" si="14"/>
        <v>168</v>
      </c>
      <c r="I99" s="32">
        <v>95</v>
      </c>
      <c r="J99" s="32">
        <f>VALUE(MID($O$2,FIND("*",SUBSTITUTE($O$2," ","*",I99),1)+1,FIND("*",SUBSTITUTE($O$2," ","*",I100),1)-FIND("*",SUBSTITUTE($O$2," ","*",I99),1)-1))/gamma_R!$F$12</f>
        <v>168</v>
      </c>
      <c r="K99" s="32">
        <f t="shared" si="15"/>
        <v>0.75</v>
      </c>
      <c r="M99"/>
      <c r="N99"/>
      <c r="O99"/>
      <c r="P99"/>
      <c r="Q99"/>
    </row>
    <row r="100" spans="8:17" x14ac:dyDescent="0.3">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3">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3">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3">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3">
      <c r="H104" s="29">
        <f t="shared" si="14"/>
        <v>172</v>
      </c>
      <c r="I104" s="32">
        <v>100</v>
      </c>
      <c r="J104" s="32">
        <f>VALUE(MID($O$2,FIND("*",SUBSTITUTE($O$2," ","*",I104),1)+1,FIND("*",SUBSTITUTE($O$2," ","*",I105),1)-FIND("*",SUBSTITUTE($O$2," ","*",I104),1)-1))/gamma_R!$F$12</f>
        <v>172</v>
      </c>
      <c r="K104" s="32">
        <f t="shared" si="15"/>
        <v>0.75</v>
      </c>
      <c r="M104"/>
      <c r="N104"/>
      <c r="O104"/>
      <c r="P104"/>
      <c r="Q104"/>
    </row>
    <row r="105" spans="8:17" x14ac:dyDescent="0.3">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3">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3">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3">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3">
      <c r="H109" s="29">
        <f t="shared" si="14"/>
        <v>176</v>
      </c>
      <c r="I109" s="32">
        <v>105</v>
      </c>
      <c r="J109" s="32">
        <f>VALUE(MID($O$2,FIND("*",SUBSTITUTE($O$2," ","*",I109),1)+1,FIND("*",SUBSTITUTE($O$2," ","*",I110),1)-FIND("*",SUBSTITUTE($O$2," ","*",I109),1)-1))/gamma_R!$F$12</f>
        <v>176</v>
      </c>
      <c r="K109" s="32">
        <f t="shared" si="15"/>
        <v>0.75</v>
      </c>
      <c r="M109"/>
      <c r="N109"/>
      <c r="O109"/>
      <c r="P109"/>
      <c r="Q109"/>
    </row>
    <row r="110" spans="8:17" x14ac:dyDescent="0.3">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3">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3">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3">
      <c r="H113" s="29">
        <f t="shared" si="14"/>
        <v>179</v>
      </c>
      <c r="I113" s="32">
        <v>109</v>
      </c>
      <c r="J113" s="32">
        <f>VALUE(MID($O$2,FIND("*",SUBSTITUTE($O$2," ","*",I113),1)+1,FIND("*",SUBSTITUTE($O$2," ","*",I114),1)-FIND("*",SUBSTITUTE($O$2," ","*",I113),1)-1))/gamma_R!$F$12</f>
        <v>179</v>
      </c>
      <c r="K113" s="32">
        <f t="shared" si="15"/>
        <v>0.75</v>
      </c>
      <c r="M113"/>
      <c r="N113"/>
      <c r="O113"/>
      <c r="P113"/>
      <c r="Q113"/>
    </row>
    <row r="114" spans="8:17" x14ac:dyDescent="0.3">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3">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3">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3">
      <c r="H117" s="29">
        <f t="shared" si="14"/>
        <v>182</v>
      </c>
      <c r="I117" s="32">
        <v>113</v>
      </c>
      <c r="J117" s="32">
        <f>VALUE(MID($O$2,FIND("*",SUBSTITUTE($O$2," ","*",I117),1)+1,FIND("*",SUBSTITUTE($O$2," ","*",I118),1)-FIND("*",SUBSTITUTE($O$2," ","*",I117),1)-1))/gamma_R!$F$12</f>
        <v>182</v>
      </c>
      <c r="K117" s="32">
        <f t="shared" si="15"/>
        <v>0.75</v>
      </c>
      <c r="M117"/>
      <c r="N117"/>
      <c r="O117"/>
      <c r="P117"/>
      <c r="Q117"/>
    </row>
    <row r="118" spans="8:17" x14ac:dyDescent="0.3">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3">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3">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3">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3">
      <c r="H122" s="29">
        <f t="shared" si="14"/>
        <v>186</v>
      </c>
      <c r="I122" s="32">
        <v>118</v>
      </c>
      <c r="J122" s="32">
        <f>VALUE(MID($O$2,FIND("*",SUBSTITUTE($O$2," ","*",I122),1)+1,FIND("*",SUBSTITUTE($O$2," ","*",I123),1)-FIND("*",SUBSTITUTE($O$2," ","*",I122),1)-1))/gamma_R!$F$12</f>
        <v>186</v>
      </c>
      <c r="K122" s="32">
        <f t="shared" si="15"/>
        <v>0.75</v>
      </c>
      <c r="M122"/>
      <c r="N122"/>
      <c r="O122"/>
      <c r="P122"/>
      <c r="Q122"/>
    </row>
    <row r="123" spans="8:17" x14ac:dyDescent="0.3">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3">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3">
      <c r="H125" s="29">
        <f t="shared" si="14"/>
        <v>188</v>
      </c>
      <c r="I125" s="32">
        <v>121</v>
      </c>
      <c r="J125" s="32">
        <f>VALUE(MID($O$2,FIND("*",SUBSTITUTE($O$2," ","*",I125),1)+1,FIND("*",SUBSTITUTE($O$2," ","*",I126),1)-FIND("*",SUBSTITUTE($O$2," ","*",I125),1)-1))/gamma_R!$F$12</f>
        <v>188</v>
      </c>
      <c r="K125" s="32">
        <f t="shared" si="15"/>
        <v>0.75</v>
      </c>
      <c r="M125"/>
      <c r="N125"/>
      <c r="O125"/>
      <c r="P125"/>
      <c r="Q125"/>
    </row>
    <row r="126" spans="8:17" x14ac:dyDescent="0.3">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3">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3">
      <c r="H128" s="29">
        <f t="shared" si="14"/>
        <v>190</v>
      </c>
      <c r="I128" s="32">
        <v>124</v>
      </c>
      <c r="J128" s="32">
        <f>VALUE(MID($O$2,FIND("*",SUBSTITUTE($O$2," ","*",I128),1)+1,FIND("*",SUBSTITUTE($O$2," ","*",I129),1)-FIND("*",SUBSTITUTE($O$2," ","*",I128),1)-1))/gamma_R!$F$12</f>
        <v>190</v>
      </c>
      <c r="K128" s="32">
        <f t="shared" si="15"/>
        <v>0.75</v>
      </c>
      <c r="M128"/>
      <c r="N128"/>
      <c r="O128"/>
      <c r="P128"/>
      <c r="Q128"/>
    </row>
    <row r="129" spans="8:17" x14ac:dyDescent="0.3">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3">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3">
      <c r="H131" s="29">
        <f t="shared" si="14"/>
        <v>192</v>
      </c>
      <c r="I131" s="32">
        <v>127</v>
      </c>
      <c r="J131" s="32">
        <f>VALUE(MID($O$2,FIND("*",SUBSTITUTE($O$2," ","*",I131),1)+1,FIND("*",SUBSTITUTE($O$2," ","*",I132),1)-FIND("*",SUBSTITUTE($O$2," ","*",I131),1)-1))/gamma_R!$F$12</f>
        <v>192</v>
      </c>
      <c r="K131" s="32">
        <f t="shared" si="15"/>
        <v>0.75</v>
      </c>
      <c r="M131"/>
      <c r="N131"/>
      <c r="O131"/>
      <c r="P131"/>
      <c r="Q131"/>
    </row>
    <row r="132" spans="8:17" x14ac:dyDescent="0.3">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3">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3">
      <c r="H134" s="29">
        <f t="shared" si="16"/>
        <v>194</v>
      </c>
      <c r="I134" s="32">
        <v>130</v>
      </c>
      <c r="J134" s="32">
        <f>VALUE(MID($O$2,FIND("*",SUBSTITUTE($O$2," ","*",I134),1)+1,FIND("*",SUBSTITUTE($O$2," ","*",I135),1)-FIND("*",SUBSTITUTE($O$2," ","*",I134),1)-1))/gamma_R!$F$12</f>
        <v>194</v>
      </c>
      <c r="K134" s="32">
        <f t="shared" si="17"/>
        <v>0.75</v>
      </c>
      <c r="M134"/>
      <c r="N134"/>
      <c r="O134"/>
      <c r="P134"/>
      <c r="Q134"/>
    </row>
    <row r="135" spans="8:17" x14ac:dyDescent="0.3">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3">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3">
      <c r="H137" s="29">
        <f t="shared" si="16"/>
        <v>196</v>
      </c>
      <c r="I137" s="32">
        <v>133</v>
      </c>
      <c r="J137" s="32">
        <f>VALUE(MID($O$2,FIND("*",SUBSTITUTE($O$2," ","*",I137),1)+1,FIND("*",SUBSTITUTE($O$2," ","*",I138),1)-FIND("*",SUBSTITUTE($O$2," ","*",I137),1)-1))/gamma_R!$F$12</f>
        <v>196</v>
      </c>
      <c r="K137" s="32">
        <f t="shared" si="17"/>
        <v>0.75</v>
      </c>
      <c r="M137"/>
      <c r="N137"/>
      <c r="O137"/>
      <c r="P137"/>
      <c r="Q137"/>
    </row>
    <row r="138" spans="8:17" x14ac:dyDescent="0.3">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3">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3">
      <c r="H140" s="29">
        <f t="shared" si="16"/>
        <v>198</v>
      </c>
      <c r="I140" s="32">
        <v>136</v>
      </c>
      <c r="J140" s="32">
        <f>VALUE(MID($O$2,FIND("*",SUBSTITUTE($O$2," ","*",I140),1)+1,FIND("*",SUBSTITUTE($O$2," ","*",I141),1)-FIND("*",SUBSTITUTE($O$2," ","*",I140),1)-1))/gamma_R!$F$12</f>
        <v>198</v>
      </c>
      <c r="K140" s="32">
        <f t="shared" si="17"/>
        <v>0.75</v>
      </c>
      <c r="M140"/>
      <c r="N140"/>
      <c r="O140"/>
      <c r="P140"/>
      <c r="Q140"/>
    </row>
    <row r="141" spans="8:17" x14ac:dyDescent="0.3">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3">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3">
      <c r="H143" s="29">
        <f t="shared" si="16"/>
        <v>200</v>
      </c>
      <c r="I143" s="32">
        <v>139</v>
      </c>
      <c r="J143" s="32">
        <f>VALUE(MID($O$2,FIND("*",SUBSTITUTE($O$2," ","*",I143),1)+1,FIND("*",SUBSTITUTE($O$2," ","*",I144),1)-FIND("*",SUBSTITUTE($O$2," ","*",I143),1)-1))/gamma_R!$F$12</f>
        <v>200</v>
      </c>
      <c r="K143" s="32">
        <f t="shared" si="17"/>
        <v>0.75</v>
      </c>
      <c r="M143"/>
      <c r="N143"/>
      <c r="O143"/>
      <c r="P143"/>
      <c r="Q143"/>
    </row>
    <row r="144" spans="8:17" x14ac:dyDescent="0.3">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3">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3">
      <c r="H146" s="29">
        <f t="shared" si="16"/>
        <v>202</v>
      </c>
      <c r="I146" s="32">
        <v>142</v>
      </c>
      <c r="J146" s="32">
        <f>VALUE(MID($O$2,FIND("*",SUBSTITUTE($O$2," ","*",I146),1)+1,FIND("*",SUBSTITUTE($O$2," ","*",I147),1)-FIND("*",SUBSTITUTE($O$2," ","*",I146),1)-1))/gamma_R!$F$12</f>
        <v>202</v>
      </c>
      <c r="K146" s="32">
        <f t="shared" si="17"/>
        <v>0.75</v>
      </c>
      <c r="M146"/>
      <c r="N146"/>
      <c r="O146"/>
      <c r="P146"/>
      <c r="Q146"/>
    </row>
    <row r="147" spans="8:17" x14ac:dyDescent="0.3">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3">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3">
      <c r="H149" s="29">
        <f t="shared" si="16"/>
        <v>204</v>
      </c>
      <c r="I149" s="32">
        <v>145</v>
      </c>
      <c r="J149" s="32">
        <f>VALUE(MID($O$2,FIND("*",SUBSTITUTE($O$2," ","*",I149),1)+1,FIND("*",SUBSTITUTE($O$2," ","*",I150),1)-FIND("*",SUBSTITUTE($O$2," ","*",I149),1)-1))/gamma_R!$F$12</f>
        <v>204</v>
      </c>
      <c r="K149" s="32">
        <f t="shared" si="17"/>
        <v>0.75</v>
      </c>
      <c r="M149"/>
      <c r="N149"/>
      <c r="O149"/>
      <c r="P149"/>
      <c r="Q149"/>
    </row>
    <row r="150" spans="8:17" x14ac:dyDescent="0.3">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3">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3">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3">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3">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3">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3">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3">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3">
      <c r="H158" s="29">
        <f t="shared" si="16"/>
        <v>209</v>
      </c>
      <c r="I158" s="32">
        <v>154</v>
      </c>
      <c r="J158" s="32">
        <f>VALUE(MID($O$2,FIND("*",SUBSTITUTE($O$2," ","*",I158),1)+1,FIND("*",SUBSTITUTE($O$2," ","*",I159),1)-FIND("*",SUBSTITUTE($O$2," ","*",I158),1)-1))/gamma_R!$F$12</f>
        <v>209</v>
      </c>
      <c r="K158" s="32">
        <f t="shared" si="17"/>
        <v>0.75</v>
      </c>
      <c r="M158"/>
      <c r="N158"/>
      <c r="O158"/>
      <c r="P158"/>
      <c r="Q158"/>
    </row>
    <row r="159" spans="8:17" x14ac:dyDescent="0.3">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3">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3">
      <c r="H161" s="29">
        <f t="shared" si="16"/>
        <v>211</v>
      </c>
      <c r="I161" s="32">
        <v>157</v>
      </c>
      <c r="J161" s="32">
        <f>VALUE(MID($O$2,FIND("*",SUBSTITUTE($O$2," ","*",I161),1)+1,FIND("*",SUBSTITUTE($O$2," ","*",I162),1)-FIND("*",SUBSTITUTE($O$2," ","*",I161),1)-1))/gamma_R!$F$12</f>
        <v>211</v>
      </c>
      <c r="K161" s="32">
        <f t="shared" si="17"/>
        <v>0.75</v>
      </c>
      <c r="M161"/>
      <c r="N161"/>
      <c r="O161"/>
      <c r="P161"/>
      <c r="Q161"/>
    </row>
    <row r="162" spans="8:17" x14ac:dyDescent="0.3">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3">
      <c r="H163" s="29">
        <f t="shared" si="16"/>
        <v>212</v>
      </c>
      <c r="I163" s="32">
        <v>159</v>
      </c>
      <c r="J163" s="32">
        <f>VALUE(MID($O$2,FIND("*",SUBSTITUTE($O$2," ","*",I163),1)+1,FIND("*",SUBSTITUTE($O$2," ","*",I164),1)-FIND("*",SUBSTITUTE($O$2," ","*",I163),1)-1))/gamma_R!$F$12</f>
        <v>212</v>
      </c>
      <c r="K163" s="32">
        <f t="shared" si="17"/>
        <v>0.5</v>
      </c>
      <c r="M163"/>
      <c r="N163"/>
      <c r="O163"/>
      <c r="P163"/>
      <c r="Q163"/>
    </row>
    <row r="164" spans="8:17" x14ac:dyDescent="0.3">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3">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3">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3">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3">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3">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3">
      <c r="H170" s="29">
        <f t="shared" si="16"/>
        <v>216</v>
      </c>
      <c r="I170" s="32">
        <v>166</v>
      </c>
      <c r="J170" s="32">
        <f>VALUE(MID($O$2,FIND("*",SUBSTITUTE($O$2," ","*",I170),1)+1,FIND("*",SUBSTITUTE($O$2," ","*",I171),1)-FIND("*",SUBSTITUTE($O$2," ","*",I170),1)-1))/gamma_R!$F$12</f>
        <v>216</v>
      </c>
      <c r="K170" s="32">
        <f t="shared" si="17"/>
        <v>0.75</v>
      </c>
      <c r="M170"/>
      <c r="N170"/>
      <c r="O170"/>
      <c r="P170"/>
      <c r="Q170"/>
    </row>
    <row r="171" spans="8:17" x14ac:dyDescent="0.3">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3">
      <c r="H172" s="29">
        <f t="shared" si="16"/>
        <v>217</v>
      </c>
      <c r="I172" s="32">
        <v>168</v>
      </c>
      <c r="J172" s="32">
        <f>VALUE(MID($O$2,FIND("*",SUBSTITUTE($O$2," ","*",I172),1)+1,FIND("*",SUBSTITUTE($O$2," ","*",I173),1)-FIND("*",SUBSTITUTE($O$2," ","*",I172),1)-1))/gamma_R!$F$12</f>
        <v>217</v>
      </c>
      <c r="K172" s="32">
        <f t="shared" si="17"/>
        <v>0.5</v>
      </c>
      <c r="M172"/>
      <c r="N172"/>
      <c r="O172"/>
      <c r="P172"/>
      <c r="Q172"/>
    </row>
    <row r="173" spans="8:17" x14ac:dyDescent="0.3">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3">
      <c r="H174" s="29">
        <f t="shared" si="16"/>
        <v>218</v>
      </c>
      <c r="I174" s="32">
        <v>170</v>
      </c>
      <c r="J174" s="32">
        <f>VALUE(MID($O$2,FIND("*",SUBSTITUTE($O$2," ","*",I174),1)+1,FIND("*",SUBSTITUTE($O$2," ","*",I175),1)-FIND("*",SUBSTITUTE($O$2," ","*",I174),1)-1))/gamma_R!$F$12</f>
        <v>218</v>
      </c>
      <c r="K174" s="32">
        <f t="shared" si="17"/>
        <v>0.5</v>
      </c>
      <c r="M174"/>
      <c r="N174"/>
      <c r="O174"/>
      <c r="P174"/>
      <c r="Q174"/>
    </row>
    <row r="175" spans="8:17" x14ac:dyDescent="0.3">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3">
      <c r="H176" s="29">
        <f t="shared" si="16"/>
        <v>219</v>
      </c>
      <c r="I176" s="32">
        <v>172</v>
      </c>
      <c r="J176" s="32">
        <f>VALUE(MID($O$2,FIND("*",SUBSTITUTE($O$2," ","*",I176),1)+1,FIND("*",SUBSTITUTE($O$2," ","*",I177),1)-FIND("*",SUBSTITUTE($O$2," ","*",I176),1)-1))/gamma_R!$F$12</f>
        <v>219</v>
      </c>
      <c r="K176" s="32">
        <f t="shared" si="17"/>
        <v>0.5</v>
      </c>
      <c r="M176"/>
      <c r="N176"/>
      <c r="O176"/>
      <c r="P176"/>
      <c r="Q176"/>
    </row>
    <row r="177" spans="8:17" x14ac:dyDescent="0.3">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3">
      <c r="H178" s="29">
        <f t="shared" si="16"/>
        <v>220</v>
      </c>
      <c r="I178" s="32">
        <v>174</v>
      </c>
      <c r="J178" s="32">
        <f>VALUE(MID($O$2,FIND("*",SUBSTITUTE($O$2," ","*",I178),1)+1,FIND("*",SUBSTITUTE($O$2," ","*",I179),1)-FIND("*",SUBSTITUTE($O$2," ","*",I178),1)-1))/gamma_R!$F$12</f>
        <v>220</v>
      </c>
      <c r="K178" s="32">
        <f t="shared" si="17"/>
        <v>0.5</v>
      </c>
      <c r="M178"/>
      <c r="N178"/>
      <c r="O178"/>
      <c r="P178"/>
      <c r="Q178"/>
    </row>
    <row r="179" spans="8:17" x14ac:dyDescent="0.3">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3">
      <c r="H180" s="29">
        <f t="shared" si="16"/>
        <v>221</v>
      </c>
      <c r="I180" s="32">
        <v>176</v>
      </c>
      <c r="J180" s="32">
        <f>VALUE(MID($O$2,FIND("*",SUBSTITUTE($O$2," ","*",I180),1)+1,FIND("*",SUBSTITUTE($O$2," ","*",I181),1)-FIND("*",SUBSTITUTE($O$2," ","*",I180),1)-1))/gamma_R!$F$12</f>
        <v>221</v>
      </c>
      <c r="K180" s="32">
        <f t="shared" si="17"/>
        <v>0.5</v>
      </c>
      <c r="M180"/>
      <c r="N180"/>
      <c r="O180"/>
      <c r="P180"/>
      <c r="Q180"/>
    </row>
    <row r="181" spans="8:17" x14ac:dyDescent="0.3">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3">
      <c r="H182" s="29">
        <f t="shared" si="16"/>
        <v>222</v>
      </c>
      <c r="I182" s="32">
        <v>178</v>
      </c>
      <c r="J182" s="32">
        <f>VALUE(MID($O$2,FIND("*",SUBSTITUTE($O$2," ","*",I182),1)+1,FIND("*",SUBSTITUTE($O$2," ","*",I183),1)-FIND("*",SUBSTITUTE($O$2," ","*",I182),1)-1))/gamma_R!$F$12</f>
        <v>222</v>
      </c>
      <c r="K182" s="32">
        <f t="shared" si="17"/>
        <v>0.5</v>
      </c>
      <c r="M182"/>
      <c r="N182"/>
      <c r="O182"/>
      <c r="P182"/>
      <c r="Q182"/>
    </row>
    <row r="183" spans="8:17" x14ac:dyDescent="0.3">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3">
      <c r="H184" s="29">
        <f t="shared" si="16"/>
        <v>223</v>
      </c>
      <c r="I184" s="32">
        <v>180</v>
      </c>
      <c r="J184" s="32">
        <f>VALUE(MID($O$2,FIND("*",SUBSTITUTE($O$2," ","*",I184),1)+1,FIND("*",SUBSTITUTE($O$2," ","*",I185),1)-FIND("*",SUBSTITUTE($O$2," ","*",I184),1)-1))/gamma_R!$F$12</f>
        <v>223</v>
      </c>
      <c r="K184" s="32">
        <f t="shared" si="17"/>
        <v>0.5</v>
      </c>
      <c r="M184"/>
      <c r="N184"/>
      <c r="O184"/>
      <c r="P184"/>
      <c r="Q184"/>
    </row>
    <row r="185" spans="8:17" x14ac:dyDescent="0.3">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3">
      <c r="H186" s="29">
        <f t="shared" si="16"/>
        <v>224</v>
      </c>
      <c r="I186" s="32">
        <v>182</v>
      </c>
      <c r="J186" s="32">
        <f>VALUE(MID($O$2,FIND("*",SUBSTITUTE($O$2," ","*",I186),1)+1,FIND("*",SUBSTITUTE($O$2," ","*",I187),1)-FIND("*",SUBSTITUTE($O$2," ","*",I186),1)-1))/gamma_R!$F$12</f>
        <v>224</v>
      </c>
      <c r="K186" s="32">
        <f t="shared" si="17"/>
        <v>0.5</v>
      </c>
      <c r="M186"/>
      <c r="N186"/>
      <c r="O186"/>
      <c r="P186"/>
      <c r="Q186"/>
    </row>
    <row r="187" spans="8:17" x14ac:dyDescent="0.3">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3">
      <c r="H188" s="29">
        <f t="shared" si="16"/>
        <v>225</v>
      </c>
      <c r="I188" s="32">
        <v>184</v>
      </c>
      <c r="J188" s="32">
        <f>VALUE(MID($O$2,FIND("*",SUBSTITUTE($O$2," ","*",I188),1)+1,FIND("*",SUBSTITUTE($O$2," ","*",I189),1)-FIND("*",SUBSTITUTE($O$2," ","*",I188),1)-1))/gamma_R!$F$12</f>
        <v>225</v>
      </c>
      <c r="K188" s="32">
        <f t="shared" si="17"/>
        <v>0.5</v>
      </c>
      <c r="M188"/>
      <c r="N188"/>
      <c r="O188"/>
      <c r="P188"/>
      <c r="Q188"/>
    </row>
    <row r="189" spans="8:17" x14ac:dyDescent="0.3">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3">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3">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3">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3">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3">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3">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3">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3">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3">
      <c r="H198" s="29">
        <f t="shared" si="18"/>
        <v>230</v>
      </c>
      <c r="I198" s="32">
        <v>194</v>
      </c>
      <c r="J198" s="32">
        <f>VALUE(MID($O$2,FIND("*",SUBSTITUTE($O$2," ","*",I198),1)+1,FIND("*",SUBSTITUTE($O$2," ","*",I199),1)-FIND("*",SUBSTITUTE($O$2," ","*",I198),1)-1))/gamma_R!$F$12</f>
        <v>230</v>
      </c>
      <c r="K198" s="32">
        <f t="shared" si="19"/>
        <v>0.5</v>
      </c>
      <c r="M198"/>
      <c r="N198"/>
      <c r="O198"/>
      <c r="P198"/>
      <c r="Q198"/>
    </row>
    <row r="199" spans="8:17" x14ac:dyDescent="0.3">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3">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3">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3">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3">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3">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3">
      <c r="H205" s="29">
        <f t="shared" si="18"/>
        <v>233</v>
      </c>
      <c r="I205" s="32">
        <v>201</v>
      </c>
      <c r="J205" s="32">
        <f>VALUE(MID($O$2,FIND("*",SUBSTITUTE($O$2," ","*",I205),1)+1,FIND("*",SUBSTITUTE($O$2," ","*",I206),1)-FIND("*",SUBSTITUTE($O$2," ","*",I205),1)-1))/gamma_R!$F$12</f>
        <v>233</v>
      </c>
      <c r="K205" s="32">
        <f t="shared" si="19"/>
        <v>0.25</v>
      </c>
      <c r="M205"/>
      <c r="N205"/>
      <c r="O205"/>
      <c r="P205"/>
      <c r="Q205"/>
    </row>
    <row r="206" spans="8:17" x14ac:dyDescent="0.3">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3">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3">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3">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3">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3">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3">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3">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3">
      <c r="H214" s="29">
        <f t="shared" si="18"/>
        <v>237</v>
      </c>
      <c r="I214" s="32">
        <v>210</v>
      </c>
      <c r="J214" s="32">
        <f>VALUE(MID($O$2,FIND("*",SUBSTITUTE($O$2," ","*",I214),1)+1,FIND("*",SUBSTITUTE($O$2," ","*",I215),1)-FIND("*",SUBSTITUTE($O$2," ","*",I214),1)-1))/gamma_R!$F$12</f>
        <v>237</v>
      </c>
      <c r="K214" s="32">
        <f t="shared" si="19"/>
        <v>0.25</v>
      </c>
      <c r="M214"/>
      <c r="N214"/>
      <c r="O214"/>
      <c r="P214"/>
      <c r="Q214"/>
    </row>
    <row r="215" spans="8:17" x14ac:dyDescent="0.3">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3">
      <c r="H216" s="29">
        <f t="shared" si="18"/>
        <v>238</v>
      </c>
      <c r="I216" s="32">
        <v>212</v>
      </c>
      <c r="J216" s="32">
        <f>VALUE(MID($O$2,FIND("*",SUBSTITUTE($O$2," ","*",I216),1)+1,FIND("*",SUBSTITUTE($O$2," ","*",I217),1)-FIND("*",SUBSTITUTE($O$2," ","*",I216),1)-1))/gamma_R!$F$12</f>
        <v>238</v>
      </c>
      <c r="K216" s="32">
        <f t="shared" si="19"/>
        <v>0.5</v>
      </c>
      <c r="M216"/>
      <c r="N216"/>
      <c r="O216"/>
      <c r="P216"/>
      <c r="Q216"/>
    </row>
    <row r="217" spans="8:17" x14ac:dyDescent="0.3">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3">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3">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3">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3">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3">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3">
      <c r="H223" s="29">
        <f t="shared" si="18"/>
        <v>241</v>
      </c>
      <c r="I223" s="32">
        <v>219</v>
      </c>
      <c r="J223" s="32">
        <f>VALUE(MID($O$2,FIND("*",SUBSTITUTE($O$2," ","*",I223),1)+1,FIND("*",SUBSTITUTE($O$2," ","*",I224),1)-FIND("*",SUBSTITUTE($O$2," ","*",I223),1)-1))/gamma_R!$F$12</f>
        <v>241</v>
      </c>
      <c r="K223" s="32">
        <f t="shared" si="19"/>
        <v>0.25</v>
      </c>
      <c r="M223"/>
      <c r="N223"/>
      <c r="O223"/>
      <c r="P223"/>
      <c r="Q223"/>
    </row>
    <row r="224" spans="8:17" x14ac:dyDescent="0.3">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3">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3">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3">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3">
      <c r="H228" s="29">
        <f t="shared" si="18"/>
        <v>243</v>
      </c>
      <c r="I228" s="32">
        <v>224</v>
      </c>
      <c r="J228" s="32">
        <f>VALUE(MID($O$2,FIND("*",SUBSTITUTE($O$2," ","*",I228),1)+1,FIND("*",SUBSTITUTE($O$2," ","*",I229),1)-FIND("*",SUBSTITUTE($O$2," ","*",I228),1)-1))/gamma_R!$F$12</f>
        <v>243</v>
      </c>
      <c r="K228" s="32">
        <f t="shared" si="19"/>
        <v>0.25</v>
      </c>
      <c r="M228"/>
      <c r="N228"/>
      <c r="O228"/>
      <c r="P228"/>
      <c r="Q228"/>
    </row>
    <row r="229" spans="8:17" x14ac:dyDescent="0.3">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3">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3">
      <c r="H231" s="29">
        <f t="shared" si="18"/>
        <v>244</v>
      </c>
      <c r="I231" s="32">
        <v>227</v>
      </c>
      <c r="J231" s="32">
        <f>VALUE(MID($O$2,FIND("*",SUBSTITUTE($O$2," ","*",I231),1)+1,FIND("*",SUBSTITUTE($O$2," ","*",I232),1)-FIND("*",SUBSTITUTE($O$2," ","*",I231),1)-1))/gamma_R!$F$12</f>
        <v>244</v>
      </c>
      <c r="K231" s="32">
        <f t="shared" si="19"/>
        <v>0.25</v>
      </c>
      <c r="M231"/>
      <c r="N231"/>
      <c r="O231"/>
      <c r="P231"/>
      <c r="Q231"/>
    </row>
    <row r="232" spans="8:17" x14ac:dyDescent="0.3">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3">
      <c r="H233" s="29">
        <f t="shared" si="18"/>
        <v>245</v>
      </c>
      <c r="I233" s="32">
        <v>229</v>
      </c>
      <c r="J233" s="32">
        <f>VALUE(MID($O$2,FIND("*",SUBSTITUTE($O$2," ","*",I233),1)+1,FIND("*",SUBSTITUTE($O$2," ","*",I234),1)-FIND("*",SUBSTITUTE($O$2," ","*",I233),1)-1))/gamma_R!$F$12</f>
        <v>245</v>
      </c>
      <c r="K233" s="32">
        <f t="shared" si="19"/>
        <v>0.5</v>
      </c>
      <c r="M233"/>
      <c r="N233"/>
      <c r="O233"/>
      <c r="P233"/>
      <c r="Q233"/>
    </row>
    <row r="234" spans="8:17" x14ac:dyDescent="0.3">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3">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3">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3">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3">
      <c r="H238" s="29">
        <f t="shared" si="18"/>
        <v>247</v>
      </c>
      <c r="I238" s="32">
        <v>234</v>
      </c>
      <c r="J238" s="32">
        <f>VALUE(MID($O$2,FIND("*",SUBSTITUTE($O$2," ","*",I238),1)+1,FIND("*",SUBSTITUTE($O$2," ","*",I239),1)-FIND("*",SUBSTITUTE($O$2," ","*",I238),1)-1))/gamma_R!$F$12</f>
        <v>247</v>
      </c>
      <c r="K238" s="32">
        <f t="shared" si="19"/>
        <v>0.25</v>
      </c>
      <c r="M238"/>
      <c r="N238"/>
      <c r="O238"/>
      <c r="P238"/>
      <c r="Q238"/>
    </row>
    <row r="239" spans="8:17" x14ac:dyDescent="0.3">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3">
      <c r="H240" s="29">
        <f t="shared" si="18"/>
        <v>248</v>
      </c>
      <c r="I240" s="32">
        <v>236</v>
      </c>
      <c r="J240" s="32">
        <f>VALUE(MID($O$2,FIND("*",SUBSTITUTE($O$2," ","*",I240),1)+1,FIND("*",SUBSTITUTE($O$2," ","*",I241),1)-FIND("*",SUBSTITUTE($O$2," ","*",I240),1)-1))/gamma_R!$F$12</f>
        <v>248</v>
      </c>
      <c r="K240" s="32">
        <f t="shared" si="19"/>
        <v>0.5</v>
      </c>
      <c r="M240"/>
      <c r="N240"/>
      <c r="O240"/>
      <c r="P240"/>
      <c r="Q240"/>
    </row>
    <row r="241" spans="8:17" x14ac:dyDescent="0.3">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3">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3">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3">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3">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3">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3">
      <c r="H247" s="29">
        <f t="shared" si="18"/>
        <v>251</v>
      </c>
      <c r="I247" s="32">
        <v>243</v>
      </c>
      <c r="J247" s="32">
        <f>VALUE(MID($O$2,FIND("*",SUBSTITUTE($O$2," ","*",I247),1)+1,FIND("*",SUBSTITUTE($O$2," ","*",I248),1)-FIND("*",SUBSTITUTE($O$2," ","*",I247),1)-1))/gamma_R!$F$12</f>
        <v>251</v>
      </c>
      <c r="K247" s="32">
        <f t="shared" si="19"/>
        <v>0.25</v>
      </c>
      <c r="M247"/>
      <c r="N247"/>
      <c r="O247"/>
      <c r="P247"/>
      <c r="Q247"/>
    </row>
    <row r="248" spans="8:17" x14ac:dyDescent="0.3">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3">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3">
      <c r="H250" s="29">
        <f t="shared" si="18"/>
        <v>252</v>
      </c>
      <c r="I250" s="32">
        <v>246</v>
      </c>
      <c r="J250" s="32">
        <f>VALUE(MID($O$2,FIND("*",SUBSTITUTE($O$2," ","*",I250),1)+1,FIND("*",SUBSTITUTE($O$2," ","*",I251),1)-FIND("*",SUBSTITUTE($O$2," ","*",I250),1)-1))/gamma_R!$F$12</f>
        <v>252</v>
      </c>
      <c r="K250" s="32">
        <f t="shared" si="19"/>
        <v>0.25</v>
      </c>
      <c r="M250"/>
      <c r="N250"/>
      <c r="O250"/>
      <c r="P250"/>
      <c r="Q250"/>
    </row>
    <row r="251" spans="8:17" x14ac:dyDescent="0.3">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3">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3">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3">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3">
      <c r="H255" s="29">
        <f t="shared" si="18"/>
        <v>254</v>
      </c>
      <c r="I255" s="32">
        <v>251</v>
      </c>
      <c r="J255" s="32">
        <f>VALUE(MID($O$2,FIND("*",SUBSTITUTE($O$2," ","*",I255),1)+1,FIND("*",SUBSTITUTE($O$2," ","*",I256),1)-FIND("*",SUBSTITUTE($O$2," ","*",I255),1)-1))/gamma_R!$F$12</f>
        <v>254</v>
      </c>
      <c r="K255" s="32">
        <f t="shared" si="19"/>
        <v>0.25</v>
      </c>
      <c r="M255"/>
      <c r="N255"/>
      <c r="O255"/>
      <c r="P255"/>
      <c r="Q255"/>
    </row>
    <row r="256" spans="8:17" x14ac:dyDescent="0.3">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3">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3">
      <c r="H258" s="29">
        <f t="shared" si="18"/>
        <v>255</v>
      </c>
      <c r="I258" s="32">
        <v>254</v>
      </c>
      <c r="J258" s="32">
        <f>VALUE(MID($O$2,FIND("*",SUBSTITUTE($O$2," ","*",I258),1)+1,FIND("*",SUBSTITUTE($O$2," ","*",I259),1)-FIND("*",SUBSTITUTE($O$2," ","*",I258),1)-1))/gamma_R!$F$12</f>
        <v>255</v>
      </c>
      <c r="K258" s="32">
        <f t="shared" si="19"/>
        <v>0.25</v>
      </c>
      <c r="M258"/>
      <c r="N258"/>
      <c r="O258"/>
      <c r="P258"/>
      <c r="Q258"/>
    </row>
    <row r="259" spans="8:17" x14ac:dyDescent="0.3">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3">
      <c r="H260" s="29">
        <f t="shared" si="18"/>
        <v>255.75</v>
      </c>
      <c r="I260" s="32">
        <v>256</v>
      </c>
      <c r="J260" s="32">
        <f>VALUE(RIGHT($O$2,LEN($O$2)-FIND("*",SUBSTITUTE($O$2," ","*",256),1)))/gamma_R!$F$12</f>
        <v>255.75</v>
      </c>
      <c r="K260" s="32">
        <f t="shared" si="19"/>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3">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3">
      <c r="B4" s="258"/>
      <c r="C4" s="222"/>
      <c r="D4" s="222"/>
      <c r="E4" s="222"/>
      <c r="F4" s="234"/>
      <c r="H4" s="29">
        <f t="shared" ref="H4:H67" si="0">J4</f>
        <v>0</v>
      </c>
      <c r="I4" s="32">
        <v>0</v>
      </c>
      <c r="J4" s="32">
        <f>VALUE(MID(O2,1,SEARCH(" ",O2,1)-1))/gamma_R!$F$12</f>
        <v>0</v>
      </c>
      <c r="K4" s="32">
        <v>0</v>
      </c>
      <c r="L4" s="36"/>
      <c r="M4" s="258"/>
      <c r="N4" s="234"/>
      <c r="O4" s="258"/>
      <c r="P4" s="222"/>
      <c r="Q4" s="222"/>
      <c r="R4" s="222"/>
      <c r="S4" s="234"/>
      <c r="T4"/>
      <c r="Y4"/>
    </row>
    <row r="5" spans="2:27" ht="16.5" customHeight="1" x14ac:dyDescent="0.3">
      <c r="B5" s="258"/>
      <c r="C5" s="222"/>
      <c r="D5" s="222"/>
      <c r="E5" s="222"/>
      <c r="F5" s="234"/>
      <c r="H5" s="29">
        <f t="shared" si="0"/>
        <v>4.5</v>
      </c>
      <c r="I5" s="32">
        <v>1</v>
      </c>
      <c r="J5" s="32">
        <f>VALUE(MID($O$2,FIND("*",SUBSTITUTE($O$2," ","*",I5),1)+1,FIND("*",SUBSTITUTE($O$2," ","*",I6),1)-FIND("*",SUBSTITUTE($O$2," ","*",I5),1)-1))/gamma_R!$F$12</f>
        <v>4.5</v>
      </c>
      <c r="K5" s="32">
        <f t="shared" ref="K5:K68" si="1">J5-J4</f>
        <v>4.5</v>
      </c>
      <c r="L5" s="36"/>
      <c r="M5" s="231"/>
      <c r="N5" s="232"/>
      <c r="O5" s="231"/>
      <c r="P5" s="237"/>
      <c r="Q5" s="237"/>
      <c r="R5" s="237"/>
      <c r="S5" s="232"/>
      <c r="T5"/>
      <c r="Y5"/>
    </row>
    <row r="6" spans="2:27" ht="16.5" customHeight="1" x14ac:dyDescent="0.3">
      <c r="B6" s="258"/>
      <c r="C6" s="222"/>
      <c r="D6" s="222"/>
      <c r="E6" s="222"/>
      <c r="F6" s="234"/>
      <c r="H6" s="29">
        <f t="shared" si="0"/>
        <v>7.5</v>
      </c>
      <c r="I6" s="32">
        <v>2</v>
      </c>
      <c r="J6" s="32">
        <f>VALUE(MID($O$2,FIND("*",SUBSTITUTE($O$2," ","*",I6),1)+1,FIND("*",SUBSTITUTE($O$2," ","*",I7),1)-FIND("*",SUBSTITUTE($O$2," ","*",I6),1)-1))/gamma_R!$F$12</f>
        <v>7.5</v>
      </c>
      <c r="K6" s="32">
        <f t="shared" si="1"/>
        <v>3</v>
      </c>
      <c r="L6" s="36"/>
    </row>
    <row r="7" spans="2:27" x14ac:dyDescent="0.3">
      <c r="B7" s="258"/>
      <c r="C7" s="222"/>
      <c r="D7" s="222"/>
      <c r="E7" s="222"/>
      <c r="F7" s="234"/>
      <c r="H7" s="29">
        <f t="shared" si="0"/>
        <v>10.5</v>
      </c>
      <c r="I7" s="32">
        <v>3</v>
      </c>
      <c r="J7" s="32">
        <f>VALUE(MID($O$2,FIND("*",SUBSTITUTE($O$2," ","*",I7),1)+1,FIND("*",SUBSTITUTE($O$2," ","*",I8),1)-FIND("*",SUBSTITUTE($O$2," ","*",I7),1)-1))/gamma_R!$F$12</f>
        <v>10.5</v>
      </c>
      <c r="K7" s="32">
        <f t="shared" si="1"/>
        <v>3</v>
      </c>
      <c r="L7" s="36"/>
    </row>
    <row r="8" spans="2:27" x14ac:dyDescent="0.3">
      <c r="B8" s="258"/>
      <c r="C8" s="222"/>
      <c r="D8" s="222"/>
      <c r="E8" s="222"/>
      <c r="F8" s="234"/>
      <c r="G8"/>
      <c r="H8" s="29">
        <f t="shared" si="0"/>
        <v>13.5</v>
      </c>
      <c r="I8" s="32">
        <v>4</v>
      </c>
      <c r="J8" s="32">
        <f>VALUE(MID($O$2,FIND("*",SUBSTITUTE($O$2," ","*",I8),1)+1,FIND("*",SUBSTITUTE($O$2," ","*",I9),1)-FIND("*",SUBSTITUTE($O$2," ","*",I8),1)-1))/gamma_R!$F$12</f>
        <v>13.5</v>
      </c>
      <c r="K8" s="32">
        <f t="shared" si="1"/>
        <v>3</v>
      </c>
      <c r="L8" s="22"/>
    </row>
    <row r="9" spans="2:27" x14ac:dyDescent="0.3">
      <c r="B9" s="231"/>
      <c r="C9" s="237"/>
      <c r="D9" s="237"/>
      <c r="E9" s="237"/>
      <c r="F9" s="232"/>
      <c r="G9"/>
      <c r="H9" s="29">
        <f t="shared" si="0"/>
        <v>16.5</v>
      </c>
      <c r="I9" s="32">
        <v>5</v>
      </c>
      <c r="J9" s="32">
        <f>VALUE(MID($O$2,FIND("*",SUBSTITUTE($O$2," ","*",I9),1)+1,FIND("*",SUBSTITUTE($O$2," ","*",I10),1)-FIND("*",SUBSTITUTE($O$2," ","*",I9),1)-1))/gamma_R!$F$12</f>
        <v>16.5</v>
      </c>
      <c r="K9" s="32">
        <f t="shared" si="1"/>
        <v>3</v>
      </c>
      <c r="L9" s="22"/>
    </row>
    <row r="10" spans="2:27" x14ac:dyDescent="0.3">
      <c r="H10" s="29">
        <f t="shared" si="0"/>
        <v>19.5</v>
      </c>
      <c r="I10" s="32">
        <v>6</v>
      </c>
      <c r="J10" s="32">
        <f>VALUE(MID($O$2,FIND("*",SUBSTITUTE($O$2," ","*",I10),1)+1,FIND("*",SUBSTITUTE($O$2," ","*",I11),1)-FIND("*",SUBSTITUTE($O$2," ","*",I10),1)-1))/gamma_R!$F$12</f>
        <v>19.5</v>
      </c>
      <c r="K10" s="32">
        <f t="shared" si="1"/>
        <v>3</v>
      </c>
    </row>
    <row r="11" spans="2:27" ht="16.5" customHeight="1" x14ac:dyDescent="0.3">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3">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3">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3">
      <c r="H14" s="29">
        <f t="shared" si="0"/>
        <v>33.25</v>
      </c>
      <c r="I14" s="32">
        <v>10</v>
      </c>
      <c r="J14" s="32">
        <f>VALUE(MID($O$2,FIND("*",SUBSTITUTE($O$2," ","*",I14),1)+1,FIND("*",SUBSTITUTE($O$2," ","*",I15),1)-FIND("*",SUBSTITUTE($O$2," ","*",I14),1)-1))/gamma_R!$F$12</f>
        <v>33.25</v>
      </c>
      <c r="K14" s="32">
        <f t="shared" si="1"/>
        <v>3.75</v>
      </c>
    </row>
    <row r="15" spans="2:27" x14ac:dyDescent="0.3">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3">
      <c r="B16" s="32">
        <v>1</v>
      </c>
      <c r="C16" s="32">
        <f>colorCalculate!K41*255</f>
        <v>20.004728089392714</v>
      </c>
      <c r="D16" s="54">
        <f t="shared" ref="D16:D33" si="2">IF(C42=D42,E42,((F42-E42)*C16)/(D42-C42)+E42-(C42*((F42-E42)/(D42-C42))))</f>
        <v>6.1442080255407756</v>
      </c>
      <c r="E16" s="32">
        <f t="shared" ref="E16:E39" si="3">IF(C68-D68=0,VLOOKUP(F16,$I$4:$J$260,2),((F68-E68)*F16)/(D68-C68)+E68-(C68*((F68-E68)/(D68-C68))))</f>
        <v>20.004728089392714</v>
      </c>
      <c r="F16" s="55">
        <f>colorCalculate!Y145</f>
        <v>6.1442080255407756</v>
      </c>
      <c r="H16" s="29">
        <f t="shared" si="0"/>
        <v>39.75</v>
      </c>
      <c r="I16" s="32">
        <v>12</v>
      </c>
      <c r="J16" s="32">
        <f>VALUE(MID($O$2,FIND("*",SUBSTITUTE($O$2," ","*",I16),1)+1,FIND("*",SUBSTITUTE($O$2," ","*",I17),1)-FIND("*",SUBSTITUTE($O$2," ","*",I16),1)-1))/gamma_R!$F$12</f>
        <v>39.75</v>
      </c>
      <c r="K16" s="32">
        <f t="shared" si="1"/>
        <v>3</v>
      </c>
    </row>
    <row r="17" spans="2:18" x14ac:dyDescent="0.3">
      <c r="B17" s="32">
        <v>2</v>
      </c>
      <c r="C17" s="32">
        <f>colorCalculate!K42*255</f>
        <v>108.45751817094654</v>
      </c>
      <c r="D17" s="54">
        <f t="shared" si="2"/>
        <v>43.971678780631038</v>
      </c>
      <c r="E17" s="32">
        <f t="shared" si="3"/>
        <v>108.44335756126208</v>
      </c>
      <c r="F17" s="55">
        <f>colorCalculate!Y146</f>
        <v>43.971678780631038</v>
      </c>
      <c r="H17" s="29">
        <f t="shared" si="0"/>
        <v>42.75</v>
      </c>
      <c r="I17" s="32">
        <v>13</v>
      </c>
      <c r="J17" s="32">
        <f>VALUE(MID($O$2,FIND("*",SUBSTITUTE($O$2," ","*",I17),1)+1,FIND("*",SUBSTITUTE($O$2," ","*",I18),1)-FIND("*",SUBSTITUTE($O$2," ","*",I17),1)-1))/gamma_R!$F$12</f>
        <v>42.75</v>
      </c>
      <c r="K17" s="32">
        <f t="shared" si="1"/>
        <v>3</v>
      </c>
    </row>
    <row r="18" spans="2:18" x14ac:dyDescent="0.3">
      <c r="B18" s="32">
        <v>3</v>
      </c>
      <c r="C18" s="32">
        <f>colorCalculate!K43*255</f>
        <v>86.775173566372658</v>
      </c>
      <c r="D18" s="54">
        <f t="shared" si="2"/>
        <v>31.350115710915105</v>
      </c>
      <c r="E18" s="32">
        <f t="shared" si="3"/>
        <v>86.775173566372644</v>
      </c>
      <c r="F18" s="55">
        <f>colorCalculate!Y147</f>
        <v>31.350115710915105</v>
      </c>
      <c r="H18" s="29">
        <f t="shared" si="0"/>
        <v>45.75</v>
      </c>
      <c r="I18" s="32">
        <v>14</v>
      </c>
      <c r="J18" s="32">
        <f>VALUE(MID($O$2,FIND("*",SUBSTITUTE($O$2," ","*",I18),1)+1,FIND("*",SUBSTITUTE($O$2," ","*",I19),1)-FIND("*",SUBSTITUTE($O$2," ","*",I18),1)-1))/gamma_R!$F$12</f>
        <v>45.75</v>
      </c>
      <c r="K18" s="32">
        <f t="shared" si="1"/>
        <v>3</v>
      </c>
    </row>
    <row r="19" spans="2:18" x14ac:dyDescent="0.3">
      <c r="B19" s="32">
        <v>4</v>
      </c>
      <c r="C19" s="32">
        <f>colorCalculate!K44*255</f>
        <v>25.748006724333074</v>
      </c>
      <c r="D19" s="54">
        <f t="shared" si="2"/>
        <v>7.7851447783808787</v>
      </c>
      <c r="E19" s="32">
        <f t="shared" si="3"/>
        <v>25.748006724333074</v>
      </c>
      <c r="F19" s="55">
        <f>colorCalculate!Y148</f>
        <v>7.7851447783808787</v>
      </c>
      <c r="H19" s="29">
        <f t="shared" si="0"/>
        <v>48.75</v>
      </c>
      <c r="I19" s="32">
        <v>15</v>
      </c>
      <c r="J19" s="32">
        <f>VALUE(MID($O$2,FIND("*",SUBSTITUTE($O$2," ","*",I19),1)+1,FIND("*",SUBSTITUTE($O$2," ","*",I20),1)-FIND("*",SUBSTITUTE($O$2," ","*",I19),1)-1))/gamma_R!$F$12</f>
        <v>48.75</v>
      </c>
      <c r="K19" s="32">
        <f t="shared" si="1"/>
        <v>3</v>
      </c>
    </row>
    <row r="20" spans="2:18" x14ac:dyDescent="0.3">
      <c r="B20" s="32">
        <v>5</v>
      </c>
      <c r="C20" s="32">
        <f>colorCalculate!K45*255</f>
        <v>106.15092127827471</v>
      </c>
      <c r="D20" s="54">
        <f t="shared" si="2"/>
        <v>42.767280852183134</v>
      </c>
      <c r="E20" s="32">
        <f t="shared" si="3"/>
        <v>106.15092127827469</v>
      </c>
      <c r="F20" s="55">
        <f>colorCalculate!Y149</f>
        <v>42.767280852183134</v>
      </c>
      <c r="H20" s="29">
        <f t="shared" si="0"/>
        <v>51.75</v>
      </c>
      <c r="I20" s="32">
        <v>16</v>
      </c>
      <c r="J20" s="32">
        <f>VALUE(MID($O$2,FIND("*",SUBSTITUTE($O$2," ","*",I20),1)+1,FIND("*",SUBSTITUTE($O$2," ","*",I21),1)-FIND("*",SUBSTITUTE($O$2," ","*",I20),1)-1))/gamma_R!$F$12</f>
        <v>51.75</v>
      </c>
      <c r="K20" s="32">
        <f t="shared" si="1"/>
        <v>3</v>
      </c>
    </row>
    <row r="21" spans="2:18" x14ac:dyDescent="0.3">
      <c r="B21" s="32">
        <v>6</v>
      </c>
      <c r="C21" s="32">
        <f>colorCalculate!K46*255</f>
        <v>138.2348040745068</v>
      </c>
      <c r="D21" s="54">
        <f t="shared" si="2"/>
        <v>66.156536049671217</v>
      </c>
      <c r="E21" s="32">
        <f t="shared" si="3"/>
        <v>138.23480407450683</v>
      </c>
      <c r="F21" s="55">
        <f>colorCalculate!Y150</f>
        <v>66.156536049671217</v>
      </c>
      <c r="H21" s="29">
        <f t="shared" si="0"/>
        <v>54.25</v>
      </c>
      <c r="I21" s="32">
        <v>17</v>
      </c>
      <c r="J21" s="32">
        <f>VALUE(MID($O$2,FIND("*",SUBSTITUTE($O$2," ","*",I21),1)+1,FIND("*",SUBSTITUTE($O$2," ","*",I22),1)-FIND("*",SUBSTITUTE($O$2," ","*",I21),1)-1))/gamma_R!$F$12</f>
        <v>54.25</v>
      </c>
      <c r="K21" s="32">
        <f t="shared" si="1"/>
        <v>2.5</v>
      </c>
    </row>
    <row r="22" spans="2:18" x14ac:dyDescent="0.3">
      <c r="B22" s="32">
        <v>7</v>
      </c>
      <c r="C22" s="32">
        <f>colorCalculate!K47*255</f>
        <v>45.970465035331657</v>
      </c>
      <c r="D22" s="54">
        <f t="shared" si="2"/>
        <v>14.073488345110555</v>
      </c>
      <c r="E22" s="32">
        <f t="shared" si="3"/>
        <v>45.970465035331671</v>
      </c>
      <c r="F22" s="55">
        <f>colorCalculate!Y151</f>
        <v>14.073488345110555</v>
      </c>
      <c r="H22" s="29">
        <f t="shared" si="0"/>
        <v>56.75</v>
      </c>
      <c r="I22" s="32">
        <v>18</v>
      </c>
      <c r="J22" s="32">
        <f>VALUE(MID($O$2,FIND("*",SUBSTITUTE($O$2," ","*",I22),1)+1,FIND("*",SUBSTITUTE($O$2," ","*",I23),1)-FIND("*",SUBSTITUTE($O$2," ","*",I22),1)-1))/gamma_R!$F$12</f>
        <v>56.75</v>
      </c>
      <c r="K22" s="32">
        <f t="shared" si="1"/>
        <v>2.5</v>
      </c>
    </row>
    <row r="23" spans="2:18" x14ac:dyDescent="0.3">
      <c r="B23" s="32">
        <v>8</v>
      </c>
      <c r="C23" s="32">
        <f>colorCalculate!K48*255</f>
        <v>58.068040174962498</v>
      </c>
      <c r="D23" s="54">
        <f t="shared" si="2"/>
        <v>18.439346724987502</v>
      </c>
      <c r="E23" s="32">
        <f t="shared" si="3"/>
        <v>58.068040174962505</v>
      </c>
      <c r="F23" s="55">
        <f>colorCalculate!Y152</f>
        <v>18.439346724987502</v>
      </c>
      <c r="H23" s="29">
        <f t="shared" si="0"/>
        <v>59.75</v>
      </c>
      <c r="I23" s="32">
        <v>19</v>
      </c>
      <c r="J23" s="32">
        <f>VALUE(MID($O$2,FIND("*",SUBSTITUTE($O$2," ","*",I23),1)+1,FIND("*",SUBSTITUTE($O$2," ","*",I24),1)-FIND("*",SUBSTITUTE($O$2," ","*",I23),1)-1))/gamma_R!$F$12</f>
        <v>59.75</v>
      </c>
      <c r="K23" s="32">
        <f t="shared" si="1"/>
        <v>3</v>
      </c>
    </row>
    <row r="24" spans="2:18" x14ac:dyDescent="0.3">
      <c r="B24" s="32">
        <v>9</v>
      </c>
      <c r="C24" s="32">
        <f>colorCalculate!K49*255</f>
        <v>42.924786426927547</v>
      </c>
      <c r="D24" s="54">
        <f t="shared" si="2"/>
        <v>13.058262142309182</v>
      </c>
      <c r="E24" s="32">
        <f t="shared" si="3"/>
        <v>42.92478642692754</v>
      </c>
      <c r="F24" s="55">
        <f>colorCalculate!Y153</f>
        <v>13.058262142309182</v>
      </c>
      <c r="H24" s="29">
        <f t="shared" si="0"/>
        <v>62.25</v>
      </c>
      <c r="I24" s="32">
        <v>20</v>
      </c>
      <c r="J24" s="32">
        <f>VALUE(MID($O$2,FIND("*",SUBSTITUTE($O$2," ","*",I24),1)+1,FIND("*",SUBSTITUTE($O$2," ","*",I25),1)-FIND("*",SUBSTITUTE($O$2," ","*",I24),1)-1))/gamma_R!$F$12</f>
        <v>62.25</v>
      </c>
      <c r="K24" s="32">
        <f t="shared" si="1"/>
        <v>2.5</v>
      </c>
      <c r="M24"/>
      <c r="N24"/>
      <c r="O24"/>
      <c r="P24"/>
      <c r="Q24"/>
    </row>
    <row r="25" spans="2:18" x14ac:dyDescent="0.3">
      <c r="B25" s="32">
        <v>10</v>
      </c>
      <c r="C25" s="32">
        <f>colorCalculate!K50*255</f>
        <v>16.658845636218555</v>
      </c>
      <c r="D25" s="54">
        <f t="shared" si="2"/>
        <v>5.0529485454061849</v>
      </c>
      <c r="E25" s="32">
        <f t="shared" si="3"/>
        <v>16.658845636218555</v>
      </c>
      <c r="F25" s="55">
        <f>colorCalculate!Y154</f>
        <v>5.0529485454061849</v>
      </c>
      <c r="H25" s="29">
        <f t="shared" si="0"/>
        <v>64.75</v>
      </c>
      <c r="I25" s="32">
        <v>21</v>
      </c>
      <c r="J25" s="32">
        <f>VALUE(MID($O$2,FIND("*",SUBSTITUTE($O$2," ","*",I25),1)+1,FIND("*",SUBSTITUTE($O$2," ","*",I26),1)-FIND("*",SUBSTITUTE($O$2," ","*",I25),1)-1))/gamma_R!$F$12</f>
        <v>64.75</v>
      </c>
      <c r="K25" s="32">
        <f t="shared" si="1"/>
        <v>2.5</v>
      </c>
      <c r="M25"/>
      <c r="N25"/>
      <c r="O25"/>
      <c r="P25"/>
      <c r="Q25"/>
      <c r="R25"/>
    </row>
    <row r="26" spans="2:18" x14ac:dyDescent="0.3">
      <c r="B26" s="32">
        <v>11</v>
      </c>
      <c r="C26" s="32">
        <f>colorCalculate!K51*255</f>
        <v>72.061350917933837</v>
      </c>
      <c r="D26" s="54">
        <f t="shared" si="2"/>
        <v>24.12454036717353</v>
      </c>
      <c r="E26" s="32">
        <f t="shared" si="3"/>
        <v>72.061350917933822</v>
      </c>
      <c r="F26" s="55">
        <f>colorCalculate!Y155</f>
        <v>24.12454036717353</v>
      </c>
      <c r="H26" s="29">
        <f t="shared" si="0"/>
        <v>67.25</v>
      </c>
      <c r="I26" s="32">
        <v>22</v>
      </c>
      <c r="J26" s="32">
        <f>VALUE(MID($O$2,FIND("*",SUBSTITUTE($O$2," ","*",I26),1)+1,FIND("*",SUBSTITUTE($O$2," ","*",I27),1)-FIND("*",SUBSTITUTE($O$2," ","*",I26),1)-1))/gamma_R!$F$12</f>
        <v>67.25</v>
      </c>
      <c r="K26" s="32">
        <f t="shared" si="1"/>
        <v>2.5</v>
      </c>
      <c r="M26"/>
      <c r="N26"/>
      <c r="O26"/>
      <c r="P26"/>
      <c r="Q26"/>
      <c r="R26"/>
    </row>
    <row r="27" spans="2:18" x14ac:dyDescent="0.3">
      <c r="B27" s="32">
        <v>12</v>
      </c>
      <c r="C27" s="32">
        <f>colorCalculate!K52*255</f>
        <v>60.329159851298975</v>
      </c>
      <c r="D27" s="54">
        <f t="shared" si="2"/>
        <v>19.231663940519585</v>
      </c>
      <c r="E27" s="32">
        <f t="shared" si="3"/>
        <v>60.329159851298954</v>
      </c>
      <c r="F27" s="55">
        <f>colorCalculate!Y156</f>
        <v>19.231663940519585</v>
      </c>
      <c r="H27" s="29">
        <f t="shared" si="0"/>
        <v>69.25</v>
      </c>
      <c r="I27" s="32">
        <v>23</v>
      </c>
      <c r="J27" s="32">
        <f>VALUE(MID($O$2,FIND("*",SUBSTITUTE($O$2," ","*",I27),1)+1,FIND("*",SUBSTITUTE($O$2," ","*",I28),1)-FIND("*",SUBSTITUTE($O$2," ","*",I27),1)-1))/gamma_R!$F$12</f>
        <v>69.25</v>
      </c>
      <c r="K27" s="32">
        <f t="shared" si="1"/>
        <v>2</v>
      </c>
      <c r="M27"/>
      <c r="N27"/>
      <c r="O27"/>
      <c r="P27"/>
      <c r="Q27"/>
      <c r="R27"/>
    </row>
    <row r="28" spans="2:18" x14ac:dyDescent="0.3">
      <c r="B28" s="32">
        <v>13</v>
      </c>
      <c r="C28" s="32">
        <f>colorCalculate!K53*255</f>
        <v>24.436409338771949</v>
      </c>
      <c r="D28" s="54">
        <f t="shared" si="2"/>
        <v>7.4104026682205575</v>
      </c>
      <c r="E28" s="32">
        <f t="shared" si="3"/>
        <v>24.436409338771952</v>
      </c>
      <c r="F28" s="55">
        <f>colorCalculate!Y157</f>
        <v>7.4104026682205575</v>
      </c>
      <c r="H28" s="29">
        <f t="shared" si="0"/>
        <v>71.75</v>
      </c>
      <c r="I28" s="32">
        <v>24</v>
      </c>
      <c r="J28" s="32">
        <f>VALUE(MID($O$2,FIND("*",SUBSTITUTE($O$2," ","*",I28),1)+1,FIND("*",SUBSTITUTE($O$2," ","*",I29),1)-FIND("*",SUBSTITUTE($O$2," ","*",I28),1)-1))/gamma_R!$F$12</f>
        <v>71.75</v>
      </c>
      <c r="K28" s="32">
        <f t="shared" si="1"/>
        <v>2.5</v>
      </c>
      <c r="M28"/>
      <c r="N28"/>
      <c r="O28"/>
      <c r="P28"/>
      <c r="Q28"/>
      <c r="R28"/>
    </row>
    <row r="29" spans="2:18" x14ac:dyDescent="0.3">
      <c r="B29" s="32">
        <v>14</v>
      </c>
      <c r="C29" s="32">
        <f>colorCalculate!K54*255</f>
        <v>31.857364893995502</v>
      </c>
      <c r="D29" s="54">
        <f t="shared" si="2"/>
        <v>9.6286306383987998</v>
      </c>
      <c r="E29" s="32">
        <f t="shared" si="3"/>
        <v>31.857364893995509</v>
      </c>
      <c r="F29" s="55">
        <f>colorCalculate!Y158</f>
        <v>9.6286306383987998</v>
      </c>
      <c r="H29" s="29">
        <f t="shared" si="0"/>
        <v>74.25</v>
      </c>
      <c r="I29" s="32">
        <v>25</v>
      </c>
      <c r="J29" s="32">
        <f>VALUE(MID($O$2,FIND("*",SUBSTITUTE($O$2," ","*",I29),1)+1,FIND("*",SUBSTITUTE($O$2," ","*",I30),1)-FIND("*",SUBSTITUTE($O$2," ","*",I29),1)-1))/gamma_R!$F$12</f>
        <v>74.25</v>
      </c>
      <c r="K29" s="32">
        <f t="shared" si="1"/>
        <v>2.5</v>
      </c>
      <c r="M29"/>
      <c r="N29"/>
      <c r="O29"/>
      <c r="P29"/>
      <c r="Q29"/>
      <c r="R29"/>
    </row>
    <row r="30" spans="2:18" x14ac:dyDescent="0.3">
      <c r="B30" s="32">
        <v>15</v>
      </c>
      <c r="C30" s="32">
        <f>colorCalculate!K55*255</f>
        <v>20.586833062142567</v>
      </c>
      <c r="D30" s="54">
        <f t="shared" si="2"/>
        <v>6.3105237320407337</v>
      </c>
      <c r="E30" s="32">
        <f t="shared" si="3"/>
        <v>20.586833062142567</v>
      </c>
      <c r="F30" s="55">
        <f>colorCalculate!Y159</f>
        <v>6.3105237320407337</v>
      </c>
      <c r="H30" s="29">
        <f t="shared" si="0"/>
        <v>76.25</v>
      </c>
      <c r="I30" s="32">
        <v>26</v>
      </c>
      <c r="J30" s="32">
        <f>VALUE(MID($O$2,FIND("*",SUBSTITUTE($O$2," ","*",I30),1)+1,FIND("*",SUBSTITUTE($O$2," ","*",I31),1)-FIND("*",SUBSTITUTE($O$2," ","*",I30),1)-1))/gamma_R!$F$12</f>
        <v>76.25</v>
      </c>
      <c r="K30" s="32">
        <f t="shared" si="1"/>
        <v>2</v>
      </c>
      <c r="M30"/>
      <c r="N30"/>
      <c r="O30"/>
      <c r="P30"/>
      <c r="Q30"/>
      <c r="R30"/>
    </row>
    <row r="31" spans="2:18" x14ac:dyDescent="0.3">
      <c r="B31" s="32">
        <v>16</v>
      </c>
      <c r="C31" s="32">
        <f>colorCalculate!K56*255</f>
        <v>82.719662995775607</v>
      </c>
      <c r="D31" s="54">
        <f t="shared" si="2"/>
        <v>29.234831497887797</v>
      </c>
      <c r="E31" s="32">
        <f t="shared" si="3"/>
        <v>82.719662995775593</v>
      </c>
      <c r="F31" s="55">
        <f>colorCalculate!Y160</f>
        <v>29.234831497887797</v>
      </c>
      <c r="H31" s="29">
        <f t="shared" si="0"/>
        <v>78.25</v>
      </c>
      <c r="I31" s="32">
        <v>27</v>
      </c>
      <c r="J31" s="32">
        <f>VALUE(MID($O$2,FIND("*",SUBSTITUTE($O$2," ","*",I31),1)+1,FIND("*",SUBSTITUTE($O$2," ","*",I32),1)-FIND("*",SUBSTITUTE($O$2," ","*",I31),1)-1))/gamma_R!$F$12</f>
        <v>78.25</v>
      </c>
      <c r="K31" s="32">
        <f t="shared" si="1"/>
        <v>2</v>
      </c>
      <c r="M31"/>
      <c r="N31"/>
      <c r="O31"/>
      <c r="P31"/>
      <c r="Q31"/>
      <c r="R31"/>
    </row>
    <row r="32" spans="2:18" x14ac:dyDescent="0.3">
      <c r="B32" s="32">
        <v>17</v>
      </c>
      <c r="C32" s="32">
        <f>colorCalculate!K57*255</f>
        <v>54.932873787620665</v>
      </c>
      <c r="D32" s="54">
        <f t="shared" si="2"/>
        <v>17.27314951504826</v>
      </c>
      <c r="E32" s="32">
        <f t="shared" si="3"/>
        <v>54.93287378762065</v>
      </c>
      <c r="F32" s="55">
        <f>colorCalculate!Y161</f>
        <v>17.27314951504826</v>
      </c>
      <c r="H32" s="29">
        <f t="shared" si="0"/>
        <v>80.25</v>
      </c>
      <c r="I32" s="32">
        <v>28</v>
      </c>
      <c r="J32" s="32">
        <f>VALUE(MID($O$2,FIND("*",SUBSTITUTE($O$2," ","*",I32),1)+1,FIND("*",SUBSTITUTE($O$2," ","*",I33),1)-FIND("*",SUBSTITUTE($O$2," ","*",I32),1)-1))/gamma_R!$F$12</f>
        <v>80.25</v>
      </c>
      <c r="K32" s="32">
        <f t="shared" si="1"/>
        <v>2</v>
      </c>
      <c r="M32"/>
      <c r="N32"/>
      <c r="O32"/>
      <c r="P32"/>
      <c r="Q32"/>
      <c r="R32"/>
    </row>
    <row r="33" spans="2:18" x14ac:dyDescent="0.3">
      <c r="B33" s="32">
        <v>18</v>
      </c>
      <c r="C33" s="32">
        <f>colorCalculate!K58*255</f>
        <v>62.440406293046145</v>
      </c>
      <c r="D33" s="54">
        <f t="shared" si="2"/>
        <v>20.076162517218453</v>
      </c>
      <c r="E33" s="32">
        <f t="shared" si="3"/>
        <v>62.440406293046124</v>
      </c>
      <c r="F33" s="55">
        <f>colorCalculate!Y162</f>
        <v>20.076162517218453</v>
      </c>
      <c r="H33" s="29">
        <f t="shared" si="0"/>
        <v>82.25</v>
      </c>
      <c r="I33" s="32">
        <v>29</v>
      </c>
      <c r="J33" s="32">
        <f>VALUE(MID($O$2,FIND("*",SUBSTITUTE($O$2," ","*",I33),1)+1,FIND("*",SUBSTITUTE($O$2," ","*",I34),1)-FIND("*",SUBSTITUTE($O$2," ","*",I33),1)-1))/gamma_R!$F$12</f>
        <v>82.25</v>
      </c>
      <c r="K33" s="32">
        <f t="shared" si="1"/>
        <v>2</v>
      </c>
      <c r="M33"/>
      <c r="N33"/>
      <c r="O33"/>
      <c r="P33"/>
      <c r="Q33"/>
      <c r="R33"/>
    </row>
    <row r="34" spans="2:18" x14ac:dyDescent="0.3">
      <c r="B34" s="32">
        <v>19</v>
      </c>
      <c r="C34" s="32">
        <f>colorCalculate!K59*255</f>
        <v>194.53542425570586</v>
      </c>
      <c r="D34" s="54">
        <f>IF(C60=D60,E60,((F60-E60)*C34)/(D60-C60)+E60-(C60*((F60-E60)/(D60-C60))))</f>
        <v>130.71389900760784</v>
      </c>
      <c r="E34" s="32">
        <f t="shared" si="3"/>
        <v>194.53542425570589</v>
      </c>
      <c r="F34" s="55">
        <f>colorCalculate!Y163</f>
        <v>130.71389900760784</v>
      </c>
      <c r="H34" s="29">
        <f t="shared" si="0"/>
        <v>84.25</v>
      </c>
      <c r="I34" s="32">
        <v>30</v>
      </c>
      <c r="J34" s="32">
        <f>VALUE(MID($O$2,FIND("*",SUBSTITUTE($O$2," ","*",I34),1)+1,FIND("*",SUBSTITUTE($O$2," ","*",I35),1)-FIND("*",SUBSTITUTE($O$2," ","*",I34),1)-1))/gamma_R!$F$12</f>
        <v>84.25</v>
      </c>
      <c r="K34" s="32">
        <f t="shared" si="1"/>
        <v>2</v>
      </c>
      <c r="M34"/>
      <c r="N34"/>
      <c r="O34"/>
      <c r="P34"/>
      <c r="Q34"/>
      <c r="R34"/>
    </row>
    <row r="35" spans="2:18" x14ac:dyDescent="0.3">
      <c r="B35" s="32">
        <v>20</v>
      </c>
      <c r="C35" s="32">
        <f>colorCalculate!K60*255</f>
        <v>131.38124610532418</v>
      </c>
      <c r="D35" s="54">
        <f t="shared" ref="D35:D39" si="4">IF(C61=D61,E61,((F61-E61)*C35)/(D61-C61)+E61-(C61*((F61-E61)/(D61-C61))))</f>
        <v>60.38124610532418</v>
      </c>
      <c r="E35" s="32">
        <f t="shared" si="3"/>
        <v>131.38124610532418</v>
      </c>
      <c r="F35" s="55">
        <f>colorCalculate!Y164</f>
        <v>60.38124610532418</v>
      </c>
      <c r="H35" s="29">
        <f t="shared" si="0"/>
        <v>86.25</v>
      </c>
      <c r="I35" s="32">
        <v>31</v>
      </c>
      <c r="J35" s="32">
        <f>VALUE(MID($O$2,FIND("*",SUBSTITUTE($O$2," ","*",I35),1)+1,FIND("*",SUBSTITUTE($O$2," ","*",I36),1)-FIND("*",SUBSTITUTE($O$2," ","*",I35),1)-1))/gamma_R!$F$12</f>
        <v>86.25</v>
      </c>
      <c r="K35" s="32">
        <f t="shared" si="1"/>
        <v>2</v>
      </c>
      <c r="M35"/>
      <c r="N35"/>
      <c r="O35"/>
      <c r="P35"/>
      <c r="Q35"/>
      <c r="R35"/>
    </row>
    <row r="36" spans="2:18" x14ac:dyDescent="0.3">
      <c r="B36" s="32">
        <v>21</v>
      </c>
      <c r="C36" s="32">
        <f>colorCalculate!K61*255</f>
        <v>73.374387444897039</v>
      </c>
      <c r="D36" s="54">
        <f t="shared" si="4"/>
        <v>24.649754977958814</v>
      </c>
      <c r="E36" s="32">
        <f t="shared" si="3"/>
        <v>73.374387444897025</v>
      </c>
      <c r="F36" s="55">
        <f>colorCalculate!Y165</f>
        <v>24.649754977958814</v>
      </c>
      <c r="H36" s="29">
        <f t="shared" si="0"/>
        <v>87.75</v>
      </c>
      <c r="I36" s="32">
        <v>32</v>
      </c>
      <c r="J36" s="32">
        <f>VALUE(MID($O$2,FIND("*",SUBSTITUTE($O$2," ","*",I36),1)+1,FIND("*",SUBSTITUTE($O$2," ","*",I37),1)-FIND("*",SUBSTITUTE($O$2," ","*",I36),1)-1))/gamma_R!$F$12</f>
        <v>87.75</v>
      </c>
      <c r="K36" s="32">
        <f t="shared" si="1"/>
        <v>1.5</v>
      </c>
      <c r="M36"/>
      <c r="N36"/>
      <c r="O36"/>
      <c r="P36"/>
      <c r="Q36"/>
      <c r="R36"/>
    </row>
    <row r="37" spans="2:18" x14ac:dyDescent="0.3">
      <c r="B37" s="32">
        <v>22</v>
      </c>
      <c r="C37" s="32">
        <f>colorCalculate!K62*255</f>
        <v>27.58214055150393</v>
      </c>
      <c r="D37" s="54">
        <f t="shared" si="4"/>
        <v>8.3607135171679765</v>
      </c>
      <c r="E37" s="32">
        <f t="shared" si="3"/>
        <v>27.582140551503926</v>
      </c>
      <c r="F37" s="55">
        <f>colorCalculate!Y166</f>
        <v>8.3607135171679765</v>
      </c>
      <c r="H37" s="29">
        <f t="shared" si="0"/>
        <v>89.25</v>
      </c>
      <c r="I37" s="32">
        <v>33</v>
      </c>
      <c r="J37" s="32">
        <f>VALUE(MID($O$2,FIND("*",SUBSTITUTE($O$2," ","*",I37),1)+1,FIND("*",SUBSTITUTE($O$2," ","*",I38),1)-FIND("*",SUBSTITUTE($O$2," ","*",I37),1)-1))/gamma_R!$F$12</f>
        <v>89.25</v>
      </c>
      <c r="K37" s="32">
        <f t="shared" si="1"/>
        <v>1.5</v>
      </c>
      <c r="M37"/>
      <c r="N37"/>
      <c r="O37"/>
      <c r="P37"/>
      <c r="Q37"/>
      <c r="R37"/>
    </row>
    <row r="38" spans="2:18" x14ac:dyDescent="0.3">
      <c r="B38" s="32">
        <v>23</v>
      </c>
      <c r="C38" s="32">
        <f>colorCalculate!K63*255</f>
        <v>7.3574413696042233</v>
      </c>
      <c r="D38" s="54">
        <f t="shared" si="4"/>
        <v>1.9524804565347411</v>
      </c>
      <c r="E38" s="32">
        <f t="shared" si="3"/>
        <v>7.3574413696042242</v>
      </c>
      <c r="F38" s="55">
        <f>colorCalculate!Y167</f>
        <v>1.9524804565347411</v>
      </c>
      <c r="H38" s="29">
        <f t="shared" si="0"/>
        <v>91.25</v>
      </c>
      <c r="I38" s="32">
        <v>34</v>
      </c>
      <c r="J38" s="32">
        <f>VALUE(MID($O$2,FIND("*",SUBSTITUTE($O$2," ","*",I38),1)+1,FIND("*",SUBSTITUTE($O$2," ","*",I39),1)-FIND("*",SUBSTITUTE($O$2," ","*",I38),1)-1))/gamma_R!$F$12</f>
        <v>91.25</v>
      </c>
      <c r="K38" s="32">
        <f t="shared" si="1"/>
        <v>2</v>
      </c>
      <c r="M38"/>
      <c r="N38"/>
      <c r="O38"/>
      <c r="P38"/>
      <c r="Q38"/>
      <c r="R38"/>
    </row>
    <row r="39" spans="2:18" x14ac:dyDescent="0.3">
      <c r="B39" s="32">
        <v>24</v>
      </c>
      <c r="C39" s="32">
        <f>colorCalculate!K64*255</f>
        <v>1.059420647682918</v>
      </c>
      <c r="D39" s="54">
        <f t="shared" si="4"/>
        <v>0.23542681059620399</v>
      </c>
      <c r="E39" s="32">
        <f t="shared" si="3"/>
        <v>1.059420647682918</v>
      </c>
      <c r="F39" s="55">
        <f>colorCalculate!Y168</f>
        <v>0.23542681059620399</v>
      </c>
      <c r="H39" s="29">
        <f t="shared" si="0"/>
        <v>93.25</v>
      </c>
      <c r="I39" s="32">
        <v>35</v>
      </c>
      <c r="J39" s="32">
        <f>VALUE(MID($O$2,FIND("*",SUBSTITUTE($O$2," ","*",I39),1)+1,FIND("*",SUBSTITUTE($O$2," ","*",I40),1)-FIND("*",SUBSTITUTE($O$2," ","*",I39),1)-1))/gamma_R!$F$12</f>
        <v>93.25</v>
      </c>
      <c r="K39" s="32">
        <f t="shared" si="1"/>
        <v>2</v>
      </c>
      <c r="M39"/>
      <c r="N39"/>
      <c r="O39"/>
      <c r="P39"/>
      <c r="Q39"/>
      <c r="R39"/>
    </row>
    <row r="40" spans="2:18" x14ac:dyDescent="0.3">
      <c r="H40" s="29">
        <f t="shared" si="0"/>
        <v>95.25</v>
      </c>
      <c r="I40" s="32">
        <v>36</v>
      </c>
      <c r="J40" s="32">
        <f>VALUE(MID($O$2,FIND("*",SUBSTITUTE($O$2," ","*",I40),1)+1,FIND("*",SUBSTITUTE($O$2," ","*",I41),1)-FIND("*",SUBSTITUTE($O$2," ","*",I40),1)-1))/gamma_R!$F$12</f>
        <v>95.25</v>
      </c>
      <c r="K40" s="32">
        <f t="shared" si="1"/>
        <v>2</v>
      </c>
      <c r="M40"/>
      <c r="N40"/>
      <c r="O40"/>
      <c r="P40"/>
      <c r="Q40"/>
      <c r="R40"/>
    </row>
    <row r="41" spans="2:18" x14ac:dyDescent="0.3">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3">
      <c r="B42" s="32">
        <v>1</v>
      </c>
      <c r="C42" s="32">
        <f t="shared" ref="C42:C65" si="5">VLOOKUP(E42,$I$4:$J$260,2,TRUE)</f>
        <v>19.5</v>
      </c>
      <c r="D42" s="32">
        <f t="shared" ref="D42:D65" si="6">VLOOKUP(F42,$I$4:$J$260,2,TRUE)</f>
        <v>23</v>
      </c>
      <c r="E42" s="32">
        <f t="shared" ref="E42:E65" si="7">VLOOKUP(ROUNDUP(C16,1),$H$4:$I$260,2,TRUE)</f>
        <v>6</v>
      </c>
      <c r="F42" s="32">
        <f t="shared" ref="F42:F59" si="8">IF((VLOOKUP(ROUNDUP(C16,1),$H$4:$I$260,2,TRUE)+1)&gt;=257,256,VLOOKUP(ROUNDUP(C16,1),$H$4:$I$260,2,TRUE)+1)</f>
        <v>7</v>
      </c>
      <c r="H42" s="29">
        <f t="shared" si="0"/>
        <v>98.5</v>
      </c>
      <c r="I42" s="32">
        <v>38</v>
      </c>
      <c r="J42" s="32">
        <f>VALUE(MID($O$2,FIND("*",SUBSTITUTE($O$2," ","*",I42),1)+1,FIND("*",SUBSTITUTE($O$2," ","*",I43),1)-FIND("*",SUBSTITUTE($O$2," ","*",I42),1)-1))/gamma_R!$F$12</f>
        <v>98.5</v>
      </c>
      <c r="K42" s="32">
        <f t="shared" si="1"/>
        <v>1.5</v>
      </c>
      <c r="M42"/>
      <c r="N42"/>
      <c r="O42"/>
      <c r="P42"/>
      <c r="Q42"/>
      <c r="R42"/>
    </row>
    <row r="43" spans="2:18" x14ac:dyDescent="0.3">
      <c r="B43" s="32">
        <v>2</v>
      </c>
      <c r="C43" s="32">
        <f t="shared" si="5"/>
        <v>108.5</v>
      </c>
      <c r="D43" s="32">
        <f t="shared" si="6"/>
        <v>110</v>
      </c>
      <c r="E43" s="32">
        <f t="shared" si="7"/>
        <v>44</v>
      </c>
      <c r="F43" s="32">
        <f t="shared" si="8"/>
        <v>45</v>
      </c>
      <c r="H43" s="29">
        <f t="shared" si="0"/>
        <v>100</v>
      </c>
      <c r="I43" s="32">
        <v>39</v>
      </c>
      <c r="J43" s="32">
        <f>VALUE(MID($O$2,FIND("*",SUBSTITUTE($O$2," ","*",I43),1)+1,FIND("*",SUBSTITUTE($O$2," ","*",I44),1)-FIND("*",SUBSTITUTE($O$2," ","*",I43),1)-1))/gamma_R!$F$12</f>
        <v>100</v>
      </c>
      <c r="K43" s="32">
        <f t="shared" si="1"/>
        <v>1.5</v>
      </c>
      <c r="M43"/>
      <c r="N43"/>
      <c r="O43"/>
      <c r="P43"/>
      <c r="Q43"/>
      <c r="R43"/>
    </row>
    <row r="44" spans="2:18" x14ac:dyDescent="0.3">
      <c r="B44" s="32">
        <v>3</v>
      </c>
      <c r="C44" s="32">
        <f t="shared" si="5"/>
        <v>86.25</v>
      </c>
      <c r="D44" s="32">
        <f t="shared" si="6"/>
        <v>87.75</v>
      </c>
      <c r="E44" s="32">
        <f t="shared" si="7"/>
        <v>31</v>
      </c>
      <c r="F44" s="32">
        <f t="shared" si="8"/>
        <v>32</v>
      </c>
      <c r="H44" s="29">
        <f t="shared" si="0"/>
        <v>101.5</v>
      </c>
      <c r="I44" s="32">
        <v>40</v>
      </c>
      <c r="J44" s="32">
        <f>VALUE(MID($O$2,FIND("*",SUBSTITUTE($O$2," ","*",I44),1)+1,FIND("*",SUBSTITUTE($O$2," ","*",I45),1)-FIND("*",SUBSTITUTE($O$2," ","*",I44),1)-1))/gamma_R!$F$12</f>
        <v>101.5</v>
      </c>
      <c r="K44" s="32">
        <f t="shared" si="1"/>
        <v>1.5</v>
      </c>
      <c r="M44"/>
      <c r="N44"/>
      <c r="O44"/>
      <c r="P44"/>
      <c r="Q44"/>
      <c r="R44"/>
    </row>
    <row r="45" spans="2:18" x14ac:dyDescent="0.3">
      <c r="B45" s="32">
        <v>4</v>
      </c>
      <c r="C45" s="32">
        <f t="shared" si="5"/>
        <v>23</v>
      </c>
      <c r="D45" s="32">
        <f t="shared" si="6"/>
        <v>26.5</v>
      </c>
      <c r="E45" s="32">
        <f t="shared" si="7"/>
        <v>7</v>
      </c>
      <c r="F45" s="32">
        <f t="shared" si="8"/>
        <v>8</v>
      </c>
      <c r="H45" s="29">
        <f t="shared" si="0"/>
        <v>103.5</v>
      </c>
      <c r="I45" s="32">
        <v>41</v>
      </c>
      <c r="J45" s="32">
        <f>VALUE(MID($O$2,FIND("*",SUBSTITUTE($O$2," ","*",I45),1)+1,FIND("*",SUBSTITUTE($O$2," ","*",I46),1)-FIND("*",SUBSTITUTE($O$2," ","*",I45),1)-1))/gamma_R!$F$12</f>
        <v>103.5</v>
      </c>
      <c r="K45" s="32">
        <f t="shared" si="1"/>
        <v>2</v>
      </c>
      <c r="M45"/>
      <c r="N45"/>
      <c r="O45"/>
      <c r="P45"/>
      <c r="Q45"/>
    </row>
    <row r="46" spans="2:18" x14ac:dyDescent="0.3">
      <c r="B46" s="32">
        <v>5</v>
      </c>
      <c r="C46" s="32">
        <f t="shared" si="5"/>
        <v>105</v>
      </c>
      <c r="D46" s="32">
        <f t="shared" si="6"/>
        <v>106.5</v>
      </c>
      <c r="E46" s="32">
        <f t="shared" si="7"/>
        <v>42</v>
      </c>
      <c r="F46" s="32">
        <f t="shared" si="8"/>
        <v>43</v>
      </c>
      <c r="H46" s="29">
        <f t="shared" si="0"/>
        <v>105</v>
      </c>
      <c r="I46" s="32">
        <v>42</v>
      </c>
      <c r="J46" s="32">
        <f>VALUE(MID($O$2,FIND("*",SUBSTITUTE($O$2," ","*",I46),1)+1,FIND("*",SUBSTITUTE($O$2," ","*",I47),1)-FIND("*",SUBSTITUTE($O$2," ","*",I46),1)-1))/gamma_R!$F$12</f>
        <v>105</v>
      </c>
      <c r="K46" s="32">
        <f t="shared" si="1"/>
        <v>1.5</v>
      </c>
      <c r="M46"/>
      <c r="N46"/>
      <c r="O46"/>
      <c r="P46"/>
      <c r="Q46"/>
    </row>
    <row r="47" spans="2:18" x14ac:dyDescent="0.3">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3">
      <c r="B48" s="32">
        <v>7</v>
      </c>
      <c r="C48" s="32">
        <f t="shared" si="5"/>
        <v>45.75</v>
      </c>
      <c r="D48" s="32">
        <f t="shared" si="6"/>
        <v>48.75</v>
      </c>
      <c r="E48" s="32">
        <f t="shared" si="7"/>
        <v>14</v>
      </c>
      <c r="F48" s="32">
        <f t="shared" si="8"/>
        <v>15</v>
      </c>
      <c r="H48" s="29">
        <f t="shared" si="0"/>
        <v>108.5</v>
      </c>
      <c r="I48" s="32">
        <v>44</v>
      </c>
      <c r="J48" s="32">
        <f>VALUE(MID($O$2,FIND("*",SUBSTITUTE($O$2," ","*",I48),1)+1,FIND("*",SUBSTITUTE($O$2," ","*",I49),1)-FIND("*",SUBSTITUTE($O$2," ","*",I48),1)-1))/gamma_R!$F$12</f>
        <v>108.5</v>
      </c>
      <c r="K48" s="32">
        <f t="shared" si="1"/>
        <v>2</v>
      </c>
      <c r="M48"/>
      <c r="N48"/>
      <c r="O48"/>
      <c r="P48"/>
      <c r="Q48"/>
    </row>
    <row r="49" spans="2:17" x14ac:dyDescent="0.3">
      <c r="B49" s="32">
        <v>8</v>
      </c>
      <c r="C49" s="32">
        <f t="shared" si="5"/>
        <v>56.75</v>
      </c>
      <c r="D49" s="32">
        <f t="shared" si="6"/>
        <v>59.75</v>
      </c>
      <c r="E49" s="32">
        <f t="shared" si="7"/>
        <v>18</v>
      </c>
      <c r="F49" s="32">
        <f t="shared" si="8"/>
        <v>19</v>
      </c>
      <c r="H49" s="29">
        <f t="shared" si="0"/>
        <v>110</v>
      </c>
      <c r="I49" s="32">
        <v>45</v>
      </c>
      <c r="J49" s="32">
        <f>VALUE(MID($O$2,FIND("*",SUBSTITUTE($O$2," ","*",I49),1)+1,FIND("*",SUBSTITUTE($O$2," ","*",I50),1)-FIND("*",SUBSTITUTE($O$2," ","*",I49),1)-1))/gamma_R!$F$12</f>
        <v>110</v>
      </c>
      <c r="K49" s="32">
        <f t="shared" si="1"/>
        <v>1.5</v>
      </c>
      <c r="M49"/>
      <c r="N49"/>
      <c r="O49"/>
      <c r="P49"/>
      <c r="Q49"/>
    </row>
    <row r="50" spans="2:17" x14ac:dyDescent="0.3">
      <c r="B50" s="32">
        <v>9</v>
      </c>
      <c r="C50" s="32">
        <f t="shared" si="5"/>
        <v>42.75</v>
      </c>
      <c r="D50" s="32">
        <f t="shared" si="6"/>
        <v>45.75</v>
      </c>
      <c r="E50" s="32">
        <f t="shared" si="7"/>
        <v>13</v>
      </c>
      <c r="F50" s="32">
        <f t="shared" si="8"/>
        <v>14</v>
      </c>
      <c r="H50" s="29">
        <f t="shared" si="0"/>
        <v>111</v>
      </c>
      <c r="I50" s="32">
        <v>46</v>
      </c>
      <c r="J50" s="32">
        <f>VALUE(MID($O$2,FIND("*",SUBSTITUTE($O$2," ","*",I50),1)+1,FIND("*",SUBSTITUTE($O$2," ","*",I51),1)-FIND("*",SUBSTITUTE($O$2," ","*",I50),1)-1))/gamma_R!$F$12</f>
        <v>111</v>
      </c>
      <c r="K50" s="32">
        <f t="shared" si="1"/>
        <v>1</v>
      </c>
      <c r="M50"/>
      <c r="N50"/>
      <c r="O50"/>
      <c r="P50"/>
      <c r="Q50"/>
    </row>
    <row r="51" spans="2:17" x14ac:dyDescent="0.3">
      <c r="B51" s="32">
        <v>10</v>
      </c>
      <c r="C51" s="32">
        <f t="shared" si="5"/>
        <v>16.5</v>
      </c>
      <c r="D51" s="32">
        <f t="shared" si="6"/>
        <v>19.5</v>
      </c>
      <c r="E51" s="32">
        <f t="shared" si="7"/>
        <v>5</v>
      </c>
      <c r="F51" s="32">
        <f t="shared" si="8"/>
        <v>6</v>
      </c>
      <c r="H51" s="29">
        <f t="shared" si="0"/>
        <v>112.5</v>
      </c>
      <c r="I51" s="32">
        <v>47</v>
      </c>
      <c r="J51" s="32">
        <f>VALUE(MID($O$2,FIND("*",SUBSTITUTE($O$2," ","*",I51),1)+1,FIND("*",SUBSTITUTE($O$2," ","*",I52),1)-FIND("*",SUBSTITUTE($O$2," ","*",I51),1)-1))/gamma_R!$F$12</f>
        <v>112.5</v>
      </c>
      <c r="K51" s="32">
        <f t="shared" si="1"/>
        <v>1.5</v>
      </c>
      <c r="M51"/>
      <c r="N51"/>
      <c r="O51"/>
      <c r="P51"/>
      <c r="Q51"/>
    </row>
    <row r="52" spans="2:17" x14ac:dyDescent="0.3">
      <c r="B52" s="32">
        <v>11</v>
      </c>
      <c r="C52" s="32">
        <f t="shared" si="5"/>
        <v>71.75</v>
      </c>
      <c r="D52" s="32">
        <f t="shared" si="6"/>
        <v>74.25</v>
      </c>
      <c r="E52" s="32">
        <f t="shared" si="7"/>
        <v>24</v>
      </c>
      <c r="F52" s="32">
        <f t="shared" si="8"/>
        <v>25</v>
      </c>
      <c r="H52" s="29">
        <f t="shared" si="0"/>
        <v>114.5</v>
      </c>
      <c r="I52" s="32">
        <v>48</v>
      </c>
      <c r="J52" s="32">
        <f>VALUE(MID($O$2,FIND("*",SUBSTITUTE($O$2," ","*",I52),1)+1,FIND("*",SUBSTITUTE($O$2," ","*",I53),1)-FIND("*",SUBSTITUTE($O$2," ","*",I52),1)-1))/gamma_R!$F$12</f>
        <v>114.5</v>
      </c>
      <c r="K52" s="32">
        <f t="shared" si="1"/>
        <v>2</v>
      </c>
      <c r="M52"/>
      <c r="N52"/>
      <c r="O52"/>
      <c r="P52"/>
      <c r="Q52"/>
    </row>
    <row r="53" spans="2:17" x14ac:dyDescent="0.3">
      <c r="B53" s="32">
        <v>12</v>
      </c>
      <c r="C53" s="32">
        <f t="shared" si="5"/>
        <v>59.75</v>
      </c>
      <c r="D53" s="32">
        <f t="shared" si="6"/>
        <v>62.25</v>
      </c>
      <c r="E53" s="32">
        <f t="shared" si="7"/>
        <v>19</v>
      </c>
      <c r="F53" s="32">
        <f t="shared" si="8"/>
        <v>20</v>
      </c>
      <c r="H53" s="29">
        <f t="shared" si="0"/>
        <v>116</v>
      </c>
      <c r="I53" s="32">
        <v>49</v>
      </c>
      <c r="J53" s="32">
        <f>VALUE(MID($O$2,FIND("*",SUBSTITUTE($O$2," ","*",I53),1)+1,FIND("*",SUBSTITUTE($O$2," ","*",I54),1)-FIND("*",SUBSTITUTE($O$2," ","*",I53),1)-1))/gamma_R!$F$12</f>
        <v>116</v>
      </c>
      <c r="K53" s="32">
        <f t="shared" si="1"/>
        <v>1.5</v>
      </c>
      <c r="M53"/>
      <c r="N53"/>
      <c r="O53"/>
      <c r="P53"/>
      <c r="Q53"/>
    </row>
    <row r="54" spans="2:17" x14ac:dyDescent="0.3">
      <c r="B54" s="32">
        <v>13</v>
      </c>
      <c r="C54" s="32">
        <f t="shared" si="5"/>
        <v>23</v>
      </c>
      <c r="D54" s="32">
        <f t="shared" si="6"/>
        <v>26.5</v>
      </c>
      <c r="E54" s="32">
        <f t="shared" si="7"/>
        <v>7</v>
      </c>
      <c r="F54" s="32">
        <f t="shared" si="8"/>
        <v>8</v>
      </c>
      <c r="H54" s="29">
        <f t="shared" si="0"/>
        <v>117</v>
      </c>
      <c r="I54" s="32">
        <v>50</v>
      </c>
      <c r="J54" s="32">
        <f>VALUE(MID($O$2,FIND("*",SUBSTITUTE($O$2," ","*",I54),1)+1,FIND("*",SUBSTITUTE($O$2," ","*",I55),1)-FIND("*",SUBSTITUTE($O$2," ","*",I54),1)-1))/gamma_R!$F$12</f>
        <v>117</v>
      </c>
      <c r="K54" s="32">
        <f t="shared" si="1"/>
        <v>1</v>
      </c>
      <c r="M54"/>
      <c r="N54"/>
      <c r="O54"/>
      <c r="P54"/>
      <c r="Q54"/>
    </row>
    <row r="55" spans="2:17" x14ac:dyDescent="0.3">
      <c r="B55" s="32">
        <v>14</v>
      </c>
      <c r="C55" s="32">
        <f t="shared" si="5"/>
        <v>29.5</v>
      </c>
      <c r="D55" s="32">
        <f t="shared" si="6"/>
        <v>33.25</v>
      </c>
      <c r="E55" s="32">
        <f t="shared" si="7"/>
        <v>9</v>
      </c>
      <c r="F55" s="32">
        <f t="shared" si="8"/>
        <v>10</v>
      </c>
      <c r="H55" s="29">
        <f t="shared" si="0"/>
        <v>118.5</v>
      </c>
      <c r="I55" s="32">
        <v>51</v>
      </c>
      <c r="J55" s="32">
        <f>VALUE(MID($O$2,FIND("*",SUBSTITUTE($O$2," ","*",I55),1)+1,FIND("*",SUBSTITUTE($O$2," ","*",I56),1)-FIND("*",SUBSTITUTE($O$2," ","*",I55),1)-1))/gamma_R!$F$12</f>
        <v>118.5</v>
      </c>
      <c r="K55" s="32">
        <f t="shared" si="1"/>
        <v>1.5</v>
      </c>
      <c r="M55"/>
      <c r="N55"/>
      <c r="O55"/>
      <c r="P55"/>
      <c r="Q55"/>
    </row>
    <row r="56" spans="2:17" x14ac:dyDescent="0.3">
      <c r="B56" s="32">
        <v>15</v>
      </c>
      <c r="C56" s="32">
        <f t="shared" si="5"/>
        <v>19.5</v>
      </c>
      <c r="D56" s="32">
        <f t="shared" si="6"/>
        <v>23</v>
      </c>
      <c r="E56" s="32">
        <f t="shared" si="7"/>
        <v>6</v>
      </c>
      <c r="F56" s="32">
        <f t="shared" si="8"/>
        <v>7</v>
      </c>
      <c r="H56" s="29">
        <f t="shared" si="0"/>
        <v>120</v>
      </c>
      <c r="I56" s="32">
        <v>52</v>
      </c>
      <c r="J56" s="32">
        <f>VALUE(MID($O$2,FIND("*",SUBSTITUTE($O$2," ","*",I56),1)+1,FIND("*",SUBSTITUTE($O$2," ","*",I57),1)-FIND("*",SUBSTITUTE($O$2," ","*",I56),1)-1))/gamma_R!$F$12</f>
        <v>120</v>
      </c>
      <c r="K56" s="32">
        <f t="shared" si="1"/>
        <v>1.5</v>
      </c>
      <c r="M56"/>
      <c r="N56"/>
      <c r="O56"/>
      <c r="P56"/>
      <c r="Q56"/>
    </row>
    <row r="57" spans="2:17" x14ac:dyDescent="0.3">
      <c r="B57" s="32">
        <v>16</v>
      </c>
      <c r="C57" s="32">
        <f t="shared" si="5"/>
        <v>82.25</v>
      </c>
      <c r="D57" s="32">
        <f t="shared" si="6"/>
        <v>84.25</v>
      </c>
      <c r="E57" s="32">
        <f t="shared" si="7"/>
        <v>29</v>
      </c>
      <c r="F57" s="32">
        <f t="shared" si="8"/>
        <v>30</v>
      </c>
      <c r="H57" s="29">
        <f t="shared" si="0"/>
        <v>121.5</v>
      </c>
      <c r="I57" s="32">
        <v>53</v>
      </c>
      <c r="J57" s="32">
        <f>VALUE(MID($O$2,FIND("*",SUBSTITUTE($O$2," ","*",I57),1)+1,FIND("*",SUBSTITUTE($O$2," ","*",I58),1)-FIND("*",SUBSTITUTE($O$2," ","*",I57),1)-1))/gamma_R!$F$12</f>
        <v>121.5</v>
      </c>
      <c r="K57" s="32">
        <f t="shared" si="1"/>
        <v>1.5</v>
      </c>
      <c r="M57"/>
      <c r="N57"/>
      <c r="O57"/>
      <c r="P57"/>
      <c r="Q57"/>
    </row>
    <row r="58" spans="2:17" x14ac:dyDescent="0.3">
      <c r="B58" s="32">
        <v>17</v>
      </c>
      <c r="C58" s="32">
        <f t="shared" si="5"/>
        <v>54.25</v>
      </c>
      <c r="D58" s="32">
        <f t="shared" si="6"/>
        <v>56.75</v>
      </c>
      <c r="E58" s="32">
        <f t="shared" si="7"/>
        <v>17</v>
      </c>
      <c r="F58" s="32">
        <f t="shared" si="8"/>
        <v>18</v>
      </c>
      <c r="H58" s="29">
        <f t="shared" si="0"/>
        <v>123</v>
      </c>
      <c r="I58" s="32">
        <v>54</v>
      </c>
      <c r="J58" s="32">
        <f>VALUE(MID($O$2,FIND("*",SUBSTITUTE($O$2," ","*",I58),1)+1,FIND("*",SUBSTITUTE($O$2," ","*",I59),1)-FIND("*",SUBSTITUTE($O$2," ","*",I58),1)-1))/gamma_R!$F$12</f>
        <v>123</v>
      </c>
      <c r="K58" s="32">
        <f t="shared" si="1"/>
        <v>1.5</v>
      </c>
      <c r="M58"/>
      <c r="N58"/>
      <c r="O58"/>
      <c r="P58"/>
      <c r="Q58"/>
    </row>
    <row r="59" spans="2:17" x14ac:dyDescent="0.3">
      <c r="B59" s="32">
        <v>18</v>
      </c>
      <c r="C59" s="32">
        <f t="shared" si="5"/>
        <v>62.25</v>
      </c>
      <c r="D59" s="32">
        <f t="shared" si="6"/>
        <v>64.75</v>
      </c>
      <c r="E59" s="32">
        <f t="shared" si="7"/>
        <v>20</v>
      </c>
      <c r="F59" s="32">
        <f t="shared" si="8"/>
        <v>21</v>
      </c>
      <c r="H59" s="29">
        <f t="shared" si="0"/>
        <v>124</v>
      </c>
      <c r="I59" s="32">
        <v>55</v>
      </c>
      <c r="J59" s="32">
        <f>VALUE(MID($O$2,FIND("*",SUBSTITUTE($O$2," ","*",I59),1)+1,FIND("*",SUBSTITUTE($O$2," ","*",I60),1)-FIND("*",SUBSTITUTE($O$2," ","*",I59),1)-1))/gamma_R!$F$12</f>
        <v>124</v>
      </c>
      <c r="K59" s="32">
        <f t="shared" si="1"/>
        <v>1</v>
      </c>
      <c r="M59"/>
      <c r="N59"/>
      <c r="O59"/>
      <c r="P59"/>
      <c r="Q59"/>
    </row>
    <row r="60" spans="2:17" x14ac:dyDescent="0.3">
      <c r="B60" s="32">
        <v>19</v>
      </c>
      <c r="C60" s="32">
        <f t="shared" si="5"/>
        <v>194</v>
      </c>
      <c r="D60" s="32">
        <f t="shared" si="6"/>
        <v>194.75</v>
      </c>
      <c r="E60" s="32">
        <f t="shared" si="7"/>
        <v>130</v>
      </c>
      <c r="F60" s="32">
        <f>IF((VLOOKUP(ROUNDUP(C34,1),$H$4:$I$260,2,TRUE)+1)&gt;=257,256,VLOOKUP(ROUNDUP(C34,1),$H$4:$I$260,2,TRUE)+1)</f>
        <v>131</v>
      </c>
      <c r="H60" s="29">
        <f t="shared" si="0"/>
        <v>125.5</v>
      </c>
      <c r="I60" s="32">
        <v>56</v>
      </c>
      <c r="J60" s="32">
        <f>VALUE(MID($O$2,FIND("*",SUBSTITUTE($O$2," ","*",I60),1)+1,FIND("*",SUBSTITUTE($O$2," ","*",I61),1)-FIND("*",SUBSTITUTE($O$2," ","*",I60),1)-1))/gamma_R!$F$12</f>
        <v>125.5</v>
      </c>
      <c r="K60" s="32">
        <f t="shared" si="1"/>
        <v>1.5</v>
      </c>
      <c r="M60"/>
      <c r="N60"/>
      <c r="O60"/>
      <c r="P60"/>
      <c r="Q60"/>
    </row>
    <row r="61" spans="2:17" x14ac:dyDescent="0.3">
      <c r="B61" s="32">
        <v>20</v>
      </c>
      <c r="C61" s="32">
        <f t="shared" si="5"/>
        <v>131</v>
      </c>
      <c r="D61" s="32">
        <f t="shared" si="6"/>
        <v>132</v>
      </c>
      <c r="E61" s="32">
        <f t="shared" si="7"/>
        <v>60</v>
      </c>
      <c r="F61" s="32">
        <f t="shared" ref="F61:F65" si="9">IF((VLOOKUP(ROUNDUP(C35,1),$H$4:$I$260,2,TRUE)+1)&gt;=257,256,VLOOKUP(ROUNDUP(C35,1),$H$4:$I$260,2,TRUE)+1)</f>
        <v>61</v>
      </c>
      <c r="H61" s="29">
        <f t="shared" si="0"/>
        <v>127</v>
      </c>
      <c r="I61" s="32">
        <v>57</v>
      </c>
      <c r="J61" s="32">
        <f>VALUE(MID($O$2,FIND("*",SUBSTITUTE($O$2," ","*",I61),1)+1,FIND("*",SUBSTITUTE($O$2," ","*",I62),1)-FIND("*",SUBSTITUTE($O$2," ","*",I61),1)-1))/gamma_R!$F$12</f>
        <v>127</v>
      </c>
      <c r="K61" s="32">
        <f t="shared" si="1"/>
        <v>1.5</v>
      </c>
      <c r="M61"/>
      <c r="N61"/>
      <c r="O61"/>
      <c r="P61"/>
      <c r="Q61"/>
    </row>
    <row r="62" spans="2:17" x14ac:dyDescent="0.3">
      <c r="B62" s="32">
        <v>21</v>
      </c>
      <c r="C62" s="32">
        <f t="shared" si="5"/>
        <v>71.75</v>
      </c>
      <c r="D62" s="32">
        <f t="shared" si="6"/>
        <v>74.25</v>
      </c>
      <c r="E62" s="32">
        <f t="shared" si="7"/>
        <v>24</v>
      </c>
      <c r="F62" s="32">
        <f t="shared" si="9"/>
        <v>25</v>
      </c>
      <c r="H62" s="29">
        <f t="shared" si="0"/>
        <v>128</v>
      </c>
      <c r="I62" s="32">
        <v>58</v>
      </c>
      <c r="J62" s="32">
        <f>VALUE(MID($O$2,FIND("*",SUBSTITUTE($O$2," ","*",I62),1)+1,FIND("*",SUBSTITUTE($O$2," ","*",I63),1)-FIND("*",SUBSTITUTE($O$2," ","*",I62),1)-1))/gamma_R!$F$12</f>
        <v>128</v>
      </c>
      <c r="K62" s="32">
        <f t="shared" si="1"/>
        <v>1</v>
      </c>
      <c r="M62"/>
      <c r="N62"/>
      <c r="O62"/>
      <c r="P62"/>
      <c r="Q62"/>
    </row>
    <row r="63" spans="2:17" x14ac:dyDescent="0.3">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3">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3">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3">
      <c r="H66" s="29">
        <f t="shared" si="0"/>
        <v>133.5</v>
      </c>
      <c r="I66" s="32">
        <v>62</v>
      </c>
      <c r="J66" s="32">
        <f>VALUE(MID($O$2,FIND("*",SUBSTITUTE($O$2," ","*",I66),1)+1,FIND("*",SUBSTITUTE($O$2," ","*",I67),1)-FIND("*",SUBSTITUTE($O$2," ","*",I66),1)-1))/gamma_R!$F$12</f>
        <v>133.5</v>
      </c>
      <c r="K66" s="32">
        <f t="shared" si="1"/>
        <v>1.5</v>
      </c>
      <c r="M66"/>
      <c r="N66"/>
      <c r="O66"/>
      <c r="P66"/>
      <c r="Q66"/>
    </row>
    <row r="67" spans="2:17" x14ac:dyDescent="0.3">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3">
      <c r="B68" s="32">
        <v>1</v>
      </c>
      <c r="C68" s="56">
        <f t="shared" ref="C68:C91" si="10">ROUNDDOWN(F16,0)</f>
        <v>6</v>
      </c>
      <c r="D68" s="56">
        <f t="shared" ref="D68:D91" si="11">ROUNDUP(F16,0)</f>
        <v>7</v>
      </c>
      <c r="E68" s="45">
        <f t="shared" ref="E68:E91" si="12">VLOOKUP(ROUNDUP(C68,1),$I$4:$J$260,2,TRUE)</f>
        <v>19.5</v>
      </c>
      <c r="F68" s="45">
        <f t="shared" ref="F68:F91" si="13">VLOOKUP(ROUNDUP(D68,1),$I$4:$J$260,2,TRUE)</f>
        <v>23</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3">
      <c r="B69" s="32">
        <v>2</v>
      </c>
      <c r="C69" s="56">
        <f t="shared" si="10"/>
        <v>43</v>
      </c>
      <c r="D69" s="56">
        <f t="shared" si="11"/>
        <v>44</v>
      </c>
      <c r="E69" s="45">
        <f t="shared" si="12"/>
        <v>106.5</v>
      </c>
      <c r="F69" s="45">
        <f t="shared" si="13"/>
        <v>108.5</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3">
      <c r="B70" s="32">
        <v>3</v>
      </c>
      <c r="C70" s="56">
        <f t="shared" si="10"/>
        <v>31</v>
      </c>
      <c r="D70" s="56">
        <f t="shared" si="11"/>
        <v>32</v>
      </c>
      <c r="E70" s="45">
        <f t="shared" si="12"/>
        <v>86.25</v>
      </c>
      <c r="F70" s="45">
        <f t="shared" si="13"/>
        <v>87.75</v>
      </c>
      <c r="H70" s="29">
        <f t="shared" si="14"/>
        <v>138</v>
      </c>
      <c r="I70" s="32">
        <v>66</v>
      </c>
      <c r="J70" s="32">
        <f>VALUE(MID($O$2,FIND("*",SUBSTITUTE($O$2," ","*",I70),1)+1,FIND("*",SUBSTITUTE($O$2," ","*",I71),1)-FIND("*",SUBSTITUTE($O$2," ","*",I70),1)-1))/gamma_R!$F$12</f>
        <v>138</v>
      </c>
      <c r="K70" s="32">
        <f t="shared" si="15"/>
        <v>1</v>
      </c>
      <c r="M70"/>
      <c r="N70"/>
      <c r="O70"/>
      <c r="P70"/>
      <c r="Q70"/>
    </row>
    <row r="71" spans="2:17" x14ac:dyDescent="0.3">
      <c r="B71" s="32">
        <v>4</v>
      </c>
      <c r="C71" s="56">
        <f t="shared" si="10"/>
        <v>7</v>
      </c>
      <c r="D71" s="56">
        <f t="shared" si="11"/>
        <v>8</v>
      </c>
      <c r="E71" s="45">
        <f t="shared" si="12"/>
        <v>23</v>
      </c>
      <c r="F71" s="45">
        <f t="shared" si="13"/>
        <v>26.5</v>
      </c>
      <c r="H71" s="29">
        <f t="shared" si="14"/>
        <v>139.5</v>
      </c>
      <c r="I71" s="32">
        <v>67</v>
      </c>
      <c r="J71" s="32">
        <f>VALUE(MID($O$2,FIND("*",SUBSTITUTE($O$2," ","*",I71),1)+1,FIND("*",SUBSTITUTE($O$2," ","*",I72),1)-FIND("*",SUBSTITUTE($O$2," ","*",I71),1)-1))/gamma_R!$F$12</f>
        <v>139.5</v>
      </c>
      <c r="K71" s="32">
        <f t="shared" si="15"/>
        <v>1.5</v>
      </c>
      <c r="M71"/>
      <c r="N71"/>
      <c r="O71"/>
      <c r="P71"/>
      <c r="Q71"/>
    </row>
    <row r="72" spans="2:17" x14ac:dyDescent="0.3">
      <c r="B72" s="32">
        <v>5</v>
      </c>
      <c r="C72" s="56">
        <f t="shared" si="10"/>
        <v>42</v>
      </c>
      <c r="D72" s="56">
        <f t="shared" si="11"/>
        <v>43</v>
      </c>
      <c r="E72" s="45">
        <f t="shared" si="12"/>
        <v>105</v>
      </c>
      <c r="F72" s="45">
        <f t="shared" si="13"/>
        <v>106.5</v>
      </c>
      <c r="H72" s="29">
        <f t="shared" si="14"/>
        <v>141</v>
      </c>
      <c r="I72" s="32">
        <v>68</v>
      </c>
      <c r="J72" s="32">
        <f>VALUE(MID($O$2,FIND("*",SUBSTITUTE($O$2," ","*",I72),1)+1,FIND("*",SUBSTITUTE($O$2," ","*",I73),1)-FIND("*",SUBSTITUTE($O$2," ","*",I72),1)-1))/gamma_R!$F$12</f>
        <v>141</v>
      </c>
      <c r="K72" s="32">
        <f t="shared" si="15"/>
        <v>1.5</v>
      </c>
      <c r="M72"/>
      <c r="N72"/>
      <c r="O72"/>
      <c r="P72"/>
      <c r="Q72"/>
    </row>
    <row r="73" spans="2:17" x14ac:dyDescent="0.3">
      <c r="B73" s="32">
        <v>6</v>
      </c>
      <c r="C73" s="56">
        <f t="shared" si="10"/>
        <v>66</v>
      </c>
      <c r="D73" s="56">
        <f t="shared" si="11"/>
        <v>67</v>
      </c>
      <c r="E73" s="45">
        <f t="shared" si="12"/>
        <v>138</v>
      </c>
      <c r="F73" s="45">
        <f t="shared" si="13"/>
        <v>139.5</v>
      </c>
      <c r="H73" s="29">
        <f t="shared" si="14"/>
        <v>142</v>
      </c>
      <c r="I73" s="32">
        <v>69</v>
      </c>
      <c r="J73" s="32">
        <f>VALUE(MID($O$2,FIND("*",SUBSTITUTE($O$2," ","*",I73),1)+1,FIND("*",SUBSTITUTE($O$2," ","*",I74),1)-FIND("*",SUBSTITUTE($O$2," ","*",I73),1)-1))/gamma_R!$F$12</f>
        <v>142</v>
      </c>
      <c r="K73" s="32">
        <f t="shared" si="15"/>
        <v>1</v>
      </c>
      <c r="M73"/>
      <c r="N73"/>
      <c r="O73"/>
      <c r="P73"/>
      <c r="Q73"/>
    </row>
    <row r="74" spans="2:17" x14ac:dyDescent="0.3">
      <c r="B74" s="32">
        <v>7</v>
      </c>
      <c r="C74" s="56">
        <f t="shared" si="10"/>
        <v>14</v>
      </c>
      <c r="D74" s="56">
        <f t="shared" si="11"/>
        <v>15</v>
      </c>
      <c r="E74" s="45">
        <f t="shared" si="12"/>
        <v>45.75</v>
      </c>
      <c r="F74" s="45">
        <f t="shared" si="13"/>
        <v>48.75</v>
      </c>
      <c r="H74" s="29">
        <f t="shared" si="14"/>
        <v>143</v>
      </c>
      <c r="I74" s="32">
        <v>70</v>
      </c>
      <c r="J74" s="32">
        <f>VALUE(MID($O$2,FIND("*",SUBSTITUTE($O$2," ","*",I74),1)+1,FIND("*",SUBSTITUTE($O$2," ","*",I75),1)-FIND("*",SUBSTITUTE($O$2," ","*",I74),1)-1))/gamma_R!$F$12</f>
        <v>143</v>
      </c>
      <c r="K74" s="32">
        <f t="shared" si="15"/>
        <v>1</v>
      </c>
      <c r="M74"/>
      <c r="N74"/>
      <c r="O74"/>
      <c r="P74"/>
      <c r="Q74"/>
    </row>
    <row r="75" spans="2:17" x14ac:dyDescent="0.3">
      <c r="B75" s="32">
        <v>8</v>
      </c>
      <c r="C75" s="56">
        <f t="shared" si="10"/>
        <v>18</v>
      </c>
      <c r="D75" s="56">
        <f t="shared" si="11"/>
        <v>19</v>
      </c>
      <c r="E75" s="45">
        <f t="shared" si="12"/>
        <v>56.75</v>
      </c>
      <c r="F75" s="45">
        <f t="shared" si="13"/>
        <v>59.75</v>
      </c>
      <c r="H75" s="29">
        <f t="shared" si="14"/>
        <v>144</v>
      </c>
      <c r="I75" s="32">
        <v>71</v>
      </c>
      <c r="J75" s="32">
        <f>VALUE(MID($O$2,FIND("*",SUBSTITUTE($O$2," ","*",I75),1)+1,FIND("*",SUBSTITUTE($O$2," ","*",I76),1)-FIND("*",SUBSTITUTE($O$2," ","*",I75),1)-1))/gamma_R!$F$12</f>
        <v>144</v>
      </c>
      <c r="K75" s="32">
        <f t="shared" si="15"/>
        <v>1</v>
      </c>
      <c r="M75"/>
      <c r="N75"/>
      <c r="O75"/>
      <c r="P75"/>
      <c r="Q75"/>
    </row>
    <row r="76" spans="2:17" x14ac:dyDescent="0.3">
      <c r="B76" s="32">
        <v>9</v>
      </c>
      <c r="C76" s="56">
        <f t="shared" si="10"/>
        <v>13</v>
      </c>
      <c r="D76" s="56">
        <f t="shared" si="11"/>
        <v>14</v>
      </c>
      <c r="E76" s="45">
        <f t="shared" si="12"/>
        <v>42.75</v>
      </c>
      <c r="F76" s="45">
        <f t="shared" si="13"/>
        <v>45.75</v>
      </c>
      <c r="H76" s="29">
        <f t="shared" si="14"/>
        <v>145</v>
      </c>
      <c r="I76" s="32">
        <v>72</v>
      </c>
      <c r="J76" s="32">
        <f>VALUE(MID($O$2,FIND("*",SUBSTITUTE($O$2," ","*",I76),1)+1,FIND("*",SUBSTITUTE($O$2," ","*",I77),1)-FIND("*",SUBSTITUTE($O$2," ","*",I76),1)-1))/gamma_R!$F$12</f>
        <v>145</v>
      </c>
      <c r="K76" s="32">
        <f t="shared" si="15"/>
        <v>1</v>
      </c>
      <c r="M76"/>
      <c r="N76"/>
      <c r="O76"/>
      <c r="P76"/>
      <c r="Q76"/>
    </row>
    <row r="77" spans="2:17" x14ac:dyDescent="0.3">
      <c r="B77" s="32">
        <v>10</v>
      </c>
      <c r="C77" s="56">
        <f t="shared" si="10"/>
        <v>5</v>
      </c>
      <c r="D77" s="56">
        <f t="shared" si="11"/>
        <v>6</v>
      </c>
      <c r="E77" s="45">
        <f t="shared" si="12"/>
        <v>16.5</v>
      </c>
      <c r="F77" s="45">
        <f t="shared" si="13"/>
        <v>19.5</v>
      </c>
      <c r="H77" s="29">
        <f t="shared" si="14"/>
        <v>146</v>
      </c>
      <c r="I77" s="32">
        <v>73</v>
      </c>
      <c r="J77" s="32">
        <f>VALUE(MID($O$2,FIND("*",SUBSTITUTE($O$2," ","*",I77),1)+1,FIND("*",SUBSTITUTE($O$2," ","*",I78),1)-FIND("*",SUBSTITUTE($O$2," ","*",I77),1)-1))/gamma_R!$F$12</f>
        <v>146</v>
      </c>
      <c r="K77" s="32">
        <f t="shared" si="15"/>
        <v>1</v>
      </c>
      <c r="M77"/>
      <c r="N77"/>
      <c r="O77"/>
      <c r="P77"/>
      <c r="Q77"/>
    </row>
    <row r="78" spans="2:17" x14ac:dyDescent="0.3">
      <c r="B78" s="32">
        <v>11</v>
      </c>
      <c r="C78" s="56">
        <f t="shared" si="10"/>
        <v>24</v>
      </c>
      <c r="D78" s="56">
        <f t="shared" si="11"/>
        <v>25</v>
      </c>
      <c r="E78" s="45">
        <f t="shared" si="12"/>
        <v>71.75</v>
      </c>
      <c r="F78" s="45">
        <f t="shared" si="13"/>
        <v>74.25</v>
      </c>
      <c r="H78" s="29">
        <f t="shared" si="14"/>
        <v>147</v>
      </c>
      <c r="I78" s="32">
        <v>74</v>
      </c>
      <c r="J78" s="32">
        <f>VALUE(MID($O$2,FIND("*",SUBSTITUTE($O$2," ","*",I78),1)+1,FIND("*",SUBSTITUTE($O$2," ","*",I79),1)-FIND("*",SUBSTITUTE($O$2," ","*",I78),1)-1))/gamma_R!$F$12</f>
        <v>147</v>
      </c>
      <c r="K78" s="32">
        <f t="shared" si="15"/>
        <v>1</v>
      </c>
      <c r="M78"/>
      <c r="N78"/>
      <c r="O78"/>
      <c r="P78"/>
      <c r="Q78"/>
    </row>
    <row r="79" spans="2:17" x14ac:dyDescent="0.3">
      <c r="B79" s="32">
        <v>12</v>
      </c>
      <c r="C79" s="56">
        <f t="shared" si="10"/>
        <v>19</v>
      </c>
      <c r="D79" s="56">
        <f t="shared" si="11"/>
        <v>20</v>
      </c>
      <c r="E79" s="45">
        <f t="shared" si="12"/>
        <v>59.75</v>
      </c>
      <c r="F79" s="45">
        <f t="shared" si="13"/>
        <v>62.25</v>
      </c>
      <c r="H79" s="29">
        <f t="shared" si="14"/>
        <v>148</v>
      </c>
      <c r="I79" s="32">
        <v>75</v>
      </c>
      <c r="J79" s="32">
        <f>VALUE(MID($O$2,FIND("*",SUBSTITUTE($O$2," ","*",I79),1)+1,FIND("*",SUBSTITUTE($O$2," ","*",I80),1)-FIND("*",SUBSTITUTE($O$2," ","*",I79),1)-1))/gamma_R!$F$12</f>
        <v>148</v>
      </c>
      <c r="K79" s="32">
        <f t="shared" si="15"/>
        <v>1</v>
      </c>
      <c r="M79"/>
      <c r="N79"/>
      <c r="O79"/>
      <c r="P79"/>
      <c r="Q79"/>
    </row>
    <row r="80" spans="2:17" x14ac:dyDescent="0.3">
      <c r="B80" s="32">
        <v>13</v>
      </c>
      <c r="C80" s="56">
        <f t="shared" si="10"/>
        <v>7</v>
      </c>
      <c r="D80" s="56">
        <f t="shared" si="11"/>
        <v>8</v>
      </c>
      <c r="E80" s="45">
        <f t="shared" si="12"/>
        <v>23</v>
      </c>
      <c r="F80" s="45">
        <f t="shared" si="13"/>
        <v>26.5</v>
      </c>
      <c r="H80" s="29">
        <f t="shared" si="14"/>
        <v>149.5</v>
      </c>
      <c r="I80" s="32">
        <v>76</v>
      </c>
      <c r="J80" s="32">
        <f>VALUE(MID($O$2,FIND("*",SUBSTITUTE($O$2," ","*",I80),1)+1,FIND("*",SUBSTITUTE($O$2," ","*",I81),1)-FIND("*",SUBSTITUTE($O$2," ","*",I80),1)-1))/gamma_R!$F$12</f>
        <v>149.5</v>
      </c>
      <c r="K80" s="32">
        <f t="shared" si="15"/>
        <v>1.5</v>
      </c>
      <c r="M80"/>
      <c r="N80"/>
      <c r="O80"/>
      <c r="P80"/>
      <c r="Q80"/>
    </row>
    <row r="81" spans="2:17" x14ac:dyDescent="0.3">
      <c r="B81" s="32">
        <v>14</v>
      </c>
      <c r="C81" s="56">
        <f t="shared" si="10"/>
        <v>9</v>
      </c>
      <c r="D81" s="56">
        <f t="shared" si="11"/>
        <v>10</v>
      </c>
      <c r="E81" s="45">
        <f t="shared" si="12"/>
        <v>29.5</v>
      </c>
      <c r="F81" s="45">
        <f t="shared" si="13"/>
        <v>33.25</v>
      </c>
      <c r="H81" s="29">
        <f t="shared" si="14"/>
        <v>150.5</v>
      </c>
      <c r="I81" s="32">
        <v>77</v>
      </c>
      <c r="J81" s="32">
        <f>VALUE(MID($O$2,FIND("*",SUBSTITUTE($O$2," ","*",I81),1)+1,FIND("*",SUBSTITUTE($O$2," ","*",I82),1)-FIND("*",SUBSTITUTE($O$2," ","*",I81),1)-1))/gamma_R!$F$12</f>
        <v>150.5</v>
      </c>
      <c r="K81" s="32">
        <f t="shared" si="15"/>
        <v>1</v>
      </c>
      <c r="M81"/>
      <c r="N81"/>
      <c r="O81"/>
      <c r="P81"/>
      <c r="Q81"/>
    </row>
    <row r="82" spans="2:17" x14ac:dyDescent="0.3">
      <c r="B82" s="32">
        <v>15</v>
      </c>
      <c r="C82" s="56">
        <f t="shared" si="10"/>
        <v>6</v>
      </c>
      <c r="D82" s="56">
        <f t="shared" si="11"/>
        <v>7</v>
      </c>
      <c r="E82" s="45">
        <f t="shared" si="12"/>
        <v>19.5</v>
      </c>
      <c r="F82" s="45">
        <f t="shared" si="13"/>
        <v>23</v>
      </c>
      <c r="H82" s="29">
        <f t="shared" si="14"/>
        <v>151.5</v>
      </c>
      <c r="I82" s="32">
        <v>78</v>
      </c>
      <c r="J82" s="32">
        <f>VALUE(MID($O$2,FIND("*",SUBSTITUTE($O$2," ","*",I82),1)+1,FIND("*",SUBSTITUTE($O$2," ","*",I83),1)-FIND("*",SUBSTITUTE($O$2," ","*",I82),1)-1))/gamma_R!$F$12</f>
        <v>151.5</v>
      </c>
      <c r="K82" s="32">
        <f t="shared" si="15"/>
        <v>1</v>
      </c>
      <c r="M82"/>
      <c r="N82"/>
      <c r="O82"/>
      <c r="P82"/>
      <c r="Q82"/>
    </row>
    <row r="83" spans="2:17" x14ac:dyDescent="0.3">
      <c r="B83" s="32">
        <v>16</v>
      </c>
      <c r="C83" s="56">
        <f t="shared" si="10"/>
        <v>29</v>
      </c>
      <c r="D83" s="56">
        <f t="shared" si="11"/>
        <v>30</v>
      </c>
      <c r="E83" s="45">
        <f t="shared" si="12"/>
        <v>82.25</v>
      </c>
      <c r="F83" s="45">
        <f t="shared" si="13"/>
        <v>84.25</v>
      </c>
      <c r="H83" s="29">
        <f t="shared" si="14"/>
        <v>152.5</v>
      </c>
      <c r="I83" s="32">
        <v>79</v>
      </c>
      <c r="J83" s="32">
        <f>VALUE(MID($O$2,FIND("*",SUBSTITUTE($O$2," ","*",I83),1)+1,FIND("*",SUBSTITUTE($O$2," ","*",I84),1)-FIND("*",SUBSTITUTE($O$2," ","*",I83),1)-1))/gamma_R!$F$12</f>
        <v>152.5</v>
      </c>
      <c r="K83" s="32">
        <f t="shared" si="15"/>
        <v>1</v>
      </c>
      <c r="M83"/>
      <c r="N83"/>
      <c r="O83"/>
      <c r="P83"/>
      <c r="Q83"/>
    </row>
    <row r="84" spans="2:17" x14ac:dyDescent="0.3">
      <c r="B84" s="32">
        <v>17</v>
      </c>
      <c r="C84" s="56">
        <f t="shared" si="10"/>
        <v>17</v>
      </c>
      <c r="D84" s="56">
        <f t="shared" si="11"/>
        <v>18</v>
      </c>
      <c r="E84" s="45">
        <f t="shared" si="12"/>
        <v>54.25</v>
      </c>
      <c r="F84" s="45">
        <f t="shared" si="13"/>
        <v>56.75</v>
      </c>
      <c r="H84" s="29">
        <f t="shared" si="14"/>
        <v>153.5</v>
      </c>
      <c r="I84" s="32">
        <v>80</v>
      </c>
      <c r="J84" s="32">
        <f>VALUE(MID($O$2,FIND("*",SUBSTITUTE($O$2," ","*",I84),1)+1,FIND("*",SUBSTITUTE($O$2," ","*",I85),1)-FIND("*",SUBSTITUTE($O$2," ","*",I84),1)-1))/gamma_R!$F$12</f>
        <v>153.5</v>
      </c>
      <c r="K84" s="32">
        <f t="shared" si="15"/>
        <v>1</v>
      </c>
      <c r="M84"/>
      <c r="N84"/>
      <c r="O84"/>
      <c r="P84"/>
      <c r="Q84"/>
    </row>
    <row r="85" spans="2:17" x14ac:dyDescent="0.3">
      <c r="B85" s="32">
        <v>18</v>
      </c>
      <c r="C85" s="56">
        <f t="shared" si="10"/>
        <v>20</v>
      </c>
      <c r="D85" s="56">
        <f t="shared" si="11"/>
        <v>21</v>
      </c>
      <c r="E85" s="45">
        <f t="shared" si="12"/>
        <v>62.25</v>
      </c>
      <c r="F85" s="45">
        <f t="shared" si="13"/>
        <v>64.75</v>
      </c>
      <c r="H85" s="29">
        <f t="shared" si="14"/>
        <v>154.5</v>
      </c>
      <c r="I85" s="32">
        <v>81</v>
      </c>
      <c r="J85" s="32">
        <f>VALUE(MID($O$2,FIND("*",SUBSTITUTE($O$2," ","*",I85),1)+1,FIND("*",SUBSTITUTE($O$2," ","*",I86),1)-FIND("*",SUBSTITUTE($O$2," ","*",I85),1)-1))/gamma_R!$F$12</f>
        <v>154.5</v>
      </c>
      <c r="K85" s="32">
        <f t="shared" si="15"/>
        <v>1</v>
      </c>
      <c r="M85"/>
      <c r="N85"/>
      <c r="O85"/>
      <c r="P85"/>
      <c r="Q85"/>
    </row>
    <row r="86" spans="2:17" x14ac:dyDescent="0.3">
      <c r="B86" s="32">
        <v>19</v>
      </c>
      <c r="C86" s="56">
        <f t="shared" si="10"/>
        <v>130</v>
      </c>
      <c r="D86" s="56">
        <f t="shared" si="11"/>
        <v>131</v>
      </c>
      <c r="E86" s="45">
        <f t="shared" si="12"/>
        <v>194</v>
      </c>
      <c r="F86" s="45">
        <f t="shared" si="13"/>
        <v>194.75</v>
      </c>
      <c r="H86" s="29">
        <f t="shared" si="14"/>
        <v>155.5</v>
      </c>
      <c r="I86" s="32">
        <v>82</v>
      </c>
      <c r="J86" s="32">
        <f>VALUE(MID($O$2,FIND("*",SUBSTITUTE($O$2," ","*",I86),1)+1,FIND("*",SUBSTITUTE($O$2," ","*",I87),1)-FIND("*",SUBSTITUTE($O$2," ","*",I86),1)-1))/gamma_R!$F$12</f>
        <v>155.5</v>
      </c>
      <c r="K86" s="32">
        <f t="shared" si="15"/>
        <v>1</v>
      </c>
      <c r="M86"/>
      <c r="N86"/>
      <c r="O86"/>
      <c r="P86"/>
      <c r="Q86"/>
    </row>
    <row r="87" spans="2:17" x14ac:dyDescent="0.3">
      <c r="B87" s="32">
        <v>20</v>
      </c>
      <c r="C87" s="56">
        <f t="shared" si="10"/>
        <v>60</v>
      </c>
      <c r="D87" s="56">
        <f t="shared" si="11"/>
        <v>61</v>
      </c>
      <c r="E87" s="45">
        <f t="shared" si="12"/>
        <v>131</v>
      </c>
      <c r="F87" s="45">
        <f t="shared" si="13"/>
        <v>132</v>
      </c>
      <c r="H87" s="29">
        <f t="shared" si="14"/>
        <v>156.5</v>
      </c>
      <c r="I87" s="32">
        <v>83</v>
      </c>
      <c r="J87" s="32">
        <f>VALUE(MID($O$2,FIND("*",SUBSTITUTE($O$2," ","*",I87),1)+1,FIND("*",SUBSTITUTE($O$2," ","*",I88),1)-FIND("*",SUBSTITUTE($O$2," ","*",I87),1)-1))/gamma_R!$F$12</f>
        <v>156.5</v>
      </c>
      <c r="K87" s="32">
        <f t="shared" si="15"/>
        <v>1</v>
      </c>
      <c r="M87"/>
      <c r="N87"/>
      <c r="O87"/>
      <c r="P87"/>
      <c r="Q87"/>
    </row>
    <row r="88" spans="2:17" x14ac:dyDescent="0.3">
      <c r="B88" s="32">
        <v>21</v>
      </c>
      <c r="C88" s="56">
        <f t="shared" si="10"/>
        <v>24</v>
      </c>
      <c r="D88" s="56">
        <f t="shared" si="11"/>
        <v>25</v>
      </c>
      <c r="E88" s="45">
        <f t="shared" si="12"/>
        <v>71.75</v>
      </c>
      <c r="F88" s="45">
        <f t="shared" si="13"/>
        <v>74.25</v>
      </c>
      <c r="H88" s="29">
        <f t="shared" si="14"/>
        <v>157.5</v>
      </c>
      <c r="I88" s="32">
        <v>84</v>
      </c>
      <c r="J88" s="32">
        <f>VALUE(MID($O$2,FIND("*",SUBSTITUTE($O$2," ","*",I88),1)+1,FIND("*",SUBSTITUTE($O$2," ","*",I89),1)-FIND("*",SUBSTITUTE($O$2," ","*",I88),1)-1))/gamma_R!$F$12</f>
        <v>157.5</v>
      </c>
      <c r="K88" s="32">
        <f t="shared" si="15"/>
        <v>1</v>
      </c>
      <c r="M88"/>
      <c r="N88"/>
      <c r="O88"/>
      <c r="P88"/>
      <c r="Q88"/>
    </row>
    <row r="89" spans="2:17" x14ac:dyDescent="0.3">
      <c r="B89" s="32">
        <v>22</v>
      </c>
      <c r="C89" s="56">
        <f t="shared" si="10"/>
        <v>8</v>
      </c>
      <c r="D89" s="56">
        <f t="shared" si="11"/>
        <v>9</v>
      </c>
      <c r="E89" s="45">
        <f t="shared" si="12"/>
        <v>26.5</v>
      </c>
      <c r="F89" s="45">
        <f t="shared" si="13"/>
        <v>29.5</v>
      </c>
      <c r="H89" s="29">
        <f t="shared" si="14"/>
        <v>158</v>
      </c>
      <c r="I89" s="32">
        <v>85</v>
      </c>
      <c r="J89" s="32">
        <f>VALUE(MID($O$2,FIND("*",SUBSTITUTE($O$2," ","*",I89),1)+1,FIND("*",SUBSTITUTE($O$2," ","*",I90),1)-FIND("*",SUBSTITUTE($O$2," ","*",I89),1)-1))/gamma_R!$F$12</f>
        <v>158</v>
      </c>
      <c r="K89" s="32">
        <f t="shared" si="15"/>
        <v>0.5</v>
      </c>
      <c r="M89"/>
      <c r="N89"/>
      <c r="O89"/>
      <c r="P89"/>
      <c r="Q89"/>
    </row>
    <row r="90" spans="2:17" x14ac:dyDescent="0.3">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3">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3">
      <c r="H92" s="29">
        <f t="shared" si="14"/>
        <v>161.25</v>
      </c>
      <c r="I92" s="32">
        <v>88</v>
      </c>
      <c r="J92" s="32">
        <f>VALUE(MID($O$2,FIND("*",SUBSTITUTE($O$2," ","*",I92),1)+1,FIND("*",SUBSTITUTE($O$2," ","*",I93),1)-FIND("*",SUBSTITUTE($O$2," ","*",I92),1)-1))/gamma_R!$F$12</f>
        <v>161.25</v>
      </c>
      <c r="K92" s="32">
        <f t="shared" si="15"/>
        <v>1.25</v>
      </c>
      <c r="M92"/>
      <c r="N92"/>
      <c r="O92"/>
      <c r="P92"/>
      <c r="Q92"/>
    </row>
    <row r="93" spans="2:17" x14ac:dyDescent="0.3">
      <c r="H93" s="29">
        <f t="shared" si="14"/>
        <v>162.25</v>
      </c>
      <c r="I93" s="32">
        <v>89</v>
      </c>
      <c r="J93" s="32">
        <f>VALUE(MID($O$2,FIND("*",SUBSTITUTE($O$2," ","*",I93),1)+1,FIND("*",SUBSTITUTE($O$2," ","*",I94),1)-FIND("*",SUBSTITUTE($O$2," ","*",I93),1)-1))/gamma_R!$F$12</f>
        <v>162.25</v>
      </c>
      <c r="K93" s="32">
        <f t="shared" si="15"/>
        <v>1</v>
      </c>
      <c r="M93"/>
      <c r="N93"/>
      <c r="O93"/>
      <c r="P93"/>
      <c r="Q93"/>
    </row>
    <row r="94" spans="2:17" x14ac:dyDescent="0.3">
      <c r="H94" s="29">
        <f t="shared" si="14"/>
        <v>163.25</v>
      </c>
      <c r="I94" s="32">
        <v>90</v>
      </c>
      <c r="J94" s="32">
        <f>VALUE(MID($O$2,FIND("*",SUBSTITUTE($O$2," ","*",I94),1)+1,FIND("*",SUBSTITUTE($O$2," ","*",I95),1)-FIND("*",SUBSTITUTE($O$2," ","*",I94),1)-1))/gamma_R!$F$12</f>
        <v>163.25</v>
      </c>
      <c r="K94" s="32">
        <f t="shared" si="15"/>
        <v>1</v>
      </c>
      <c r="M94"/>
      <c r="N94"/>
      <c r="O94"/>
      <c r="P94"/>
      <c r="Q94"/>
    </row>
    <row r="95" spans="2:17" x14ac:dyDescent="0.3">
      <c r="H95" s="29">
        <f t="shared" si="14"/>
        <v>164.25</v>
      </c>
      <c r="I95" s="32">
        <v>91</v>
      </c>
      <c r="J95" s="32">
        <f>VALUE(MID($O$2,FIND("*",SUBSTITUTE($O$2," ","*",I95),1)+1,FIND("*",SUBSTITUTE($O$2," ","*",I96),1)-FIND("*",SUBSTITUTE($O$2," ","*",I95),1)-1))/gamma_R!$F$12</f>
        <v>164.25</v>
      </c>
      <c r="K95" s="32">
        <f t="shared" si="15"/>
        <v>1</v>
      </c>
      <c r="M95"/>
      <c r="N95"/>
      <c r="O95"/>
      <c r="P95"/>
      <c r="Q95"/>
    </row>
    <row r="96" spans="2:17" x14ac:dyDescent="0.3">
      <c r="H96" s="29">
        <f t="shared" si="14"/>
        <v>165.25</v>
      </c>
      <c r="I96" s="32">
        <v>92</v>
      </c>
      <c r="J96" s="32">
        <f>VALUE(MID($O$2,FIND("*",SUBSTITUTE($O$2," ","*",I96),1)+1,FIND("*",SUBSTITUTE($O$2," ","*",I97),1)-FIND("*",SUBSTITUTE($O$2," ","*",I96),1)-1))/gamma_R!$F$12</f>
        <v>165.25</v>
      </c>
      <c r="K96" s="32">
        <f t="shared" si="15"/>
        <v>1</v>
      </c>
      <c r="M96"/>
      <c r="N96"/>
      <c r="O96"/>
      <c r="P96"/>
      <c r="Q96"/>
    </row>
    <row r="97" spans="8:17" x14ac:dyDescent="0.3">
      <c r="H97" s="29">
        <f t="shared" si="14"/>
        <v>166.25</v>
      </c>
      <c r="I97" s="32">
        <v>93</v>
      </c>
      <c r="J97" s="32">
        <f>VALUE(MID($O$2,FIND("*",SUBSTITUTE($O$2," ","*",I97),1)+1,FIND("*",SUBSTITUTE($O$2," ","*",I98),1)-FIND("*",SUBSTITUTE($O$2," ","*",I97),1)-1))/gamma_R!$F$12</f>
        <v>166.25</v>
      </c>
      <c r="K97" s="32">
        <f t="shared" si="15"/>
        <v>1</v>
      </c>
      <c r="M97"/>
      <c r="N97"/>
      <c r="O97"/>
      <c r="P97"/>
      <c r="Q97"/>
    </row>
    <row r="98" spans="8:17" x14ac:dyDescent="0.3">
      <c r="H98" s="29">
        <f t="shared" si="14"/>
        <v>167.25</v>
      </c>
      <c r="I98" s="32">
        <v>94</v>
      </c>
      <c r="J98" s="32">
        <f>VALUE(MID($O$2,FIND("*",SUBSTITUTE($O$2," ","*",I98),1)+1,FIND("*",SUBSTITUTE($O$2," ","*",I99),1)-FIND("*",SUBSTITUTE($O$2," ","*",I98),1)-1))/gamma_R!$F$12</f>
        <v>167.25</v>
      </c>
      <c r="K98" s="32">
        <f t="shared" si="15"/>
        <v>1</v>
      </c>
      <c r="M98"/>
      <c r="N98"/>
      <c r="O98"/>
      <c r="P98"/>
      <c r="Q98"/>
    </row>
    <row r="99" spans="8:17" x14ac:dyDescent="0.3">
      <c r="H99" s="29">
        <f t="shared" si="14"/>
        <v>168</v>
      </c>
      <c r="I99" s="32">
        <v>95</v>
      </c>
      <c r="J99" s="32">
        <f>VALUE(MID($O$2,FIND("*",SUBSTITUTE($O$2," ","*",I99),1)+1,FIND("*",SUBSTITUTE($O$2," ","*",I100),1)-FIND("*",SUBSTITUTE($O$2," ","*",I99),1)-1))/gamma_R!$F$12</f>
        <v>168</v>
      </c>
      <c r="K99" s="32">
        <f t="shared" si="15"/>
        <v>0.75</v>
      </c>
      <c r="M99"/>
      <c r="N99"/>
      <c r="O99"/>
      <c r="P99"/>
      <c r="Q99"/>
    </row>
    <row r="100" spans="8:17" x14ac:dyDescent="0.3">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3">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3">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3">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3">
      <c r="H104" s="29">
        <f t="shared" si="14"/>
        <v>172</v>
      </c>
      <c r="I104" s="32">
        <v>100</v>
      </c>
      <c r="J104" s="32">
        <f>VALUE(MID($O$2,FIND("*",SUBSTITUTE($O$2," ","*",I104),1)+1,FIND("*",SUBSTITUTE($O$2," ","*",I105),1)-FIND("*",SUBSTITUTE($O$2," ","*",I104),1)-1))/gamma_R!$F$12</f>
        <v>172</v>
      </c>
      <c r="K104" s="32">
        <f t="shared" si="15"/>
        <v>0.75</v>
      </c>
      <c r="M104"/>
      <c r="N104"/>
      <c r="O104"/>
      <c r="P104"/>
      <c r="Q104"/>
    </row>
    <row r="105" spans="8:17" x14ac:dyDescent="0.3">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3">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3">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3">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3">
      <c r="H109" s="29">
        <f t="shared" si="14"/>
        <v>176</v>
      </c>
      <c r="I109" s="32">
        <v>105</v>
      </c>
      <c r="J109" s="32">
        <f>VALUE(MID($O$2,FIND("*",SUBSTITUTE($O$2," ","*",I109),1)+1,FIND("*",SUBSTITUTE($O$2," ","*",I110),1)-FIND("*",SUBSTITUTE($O$2," ","*",I109),1)-1))/gamma_R!$F$12</f>
        <v>176</v>
      </c>
      <c r="K109" s="32">
        <f t="shared" si="15"/>
        <v>0.75</v>
      </c>
      <c r="M109"/>
      <c r="N109"/>
      <c r="O109"/>
      <c r="P109"/>
      <c r="Q109"/>
    </row>
    <row r="110" spans="8:17" x14ac:dyDescent="0.3">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3">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3">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3">
      <c r="H113" s="29">
        <f t="shared" si="14"/>
        <v>179</v>
      </c>
      <c r="I113" s="32">
        <v>109</v>
      </c>
      <c r="J113" s="32">
        <f>VALUE(MID($O$2,FIND("*",SUBSTITUTE($O$2," ","*",I113),1)+1,FIND("*",SUBSTITUTE($O$2," ","*",I114),1)-FIND("*",SUBSTITUTE($O$2," ","*",I113),1)-1))/gamma_R!$F$12</f>
        <v>179</v>
      </c>
      <c r="K113" s="32">
        <f t="shared" si="15"/>
        <v>0.75</v>
      </c>
      <c r="M113"/>
      <c r="N113"/>
      <c r="O113"/>
      <c r="P113"/>
      <c r="Q113"/>
    </row>
    <row r="114" spans="8:17" x14ac:dyDescent="0.3">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3">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3">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3">
      <c r="H117" s="29">
        <f t="shared" si="14"/>
        <v>182</v>
      </c>
      <c r="I117" s="32">
        <v>113</v>
      </c>
      <c r="J117" s="32">
        <f>VALUE(MID($O$2,FIND("*",SUBSTITUTE($O$2," ","*",I117),1)+1,FIND("*",SUBSTITUTE($O$2," ","*",I118),1)-FIND("*",SUBSTITUTE($O$2," ","*",I117),1)-1))/gamma_R!$F$12</f>
        <v>182</v>
      </c>
      <c r="K117" s="32">
        <f t="shared" si="15"/>
        <v>0.75</v>
      </c>
      <c r="M117"/>
      <c r="N117"/>
      <c r="O117"/>
      <c r="P117"/>
      <c r="Q117"/>
    </row>
    <row r="118" spans="8:17" x14ac:dyDescent="0.3">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3">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3">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3">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3">
      <c r="H122" s="29">
        <f t="shared" si="14"/>
        <v>186</v>
      </c>
      <c r="I122" s="32">
        <v>118</v>
      </c>
      <c r="J122" s="32">
        <f>VALUE(MID($O$2,FIND("*",SUBSTITUTE($O$2," ","*",I122),1)+1,FIND("*",SUBSTITUTE($O$2," ","*",I123),1)-FIND("*",SUBSTITUTE($O$2," ","*",I122),1)-1))/gamma_R!$F$12</f>
        <v>186</v>
      </c>
      <c r="K122" s="32">
        <f t="shared" si="15"/>
        <v>0.75</v>
      </c>
      <c r="M122"/>
      <c r="N122"/>
      <c r="O122"/>
      <c r="P122"/>
      <c r="Q122"/>
    </row>
    <row r="123" spans="8:17" x14ac:dyDescent="0.3">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3">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3">
      <c r="H125" s="29">
        <f t="shared" si="14"/>
        <v>188</v>
      </c>
      <c r="I125" s="32">
        <v>121</v>
      </c>
      <c r="J125" s="32">
        <f>VALUE(MID($O$2,FIND("*",SUBSTITUTE($O$2," ","*",I125),1)+1,FIND("*",SUBSTITUTE($O$2," ","*",I126),1)-FIND("*",SUBSTITUTE($O$2," ","*",I125),1)-1))/gamma_R!$F$12</f>
        <v>188</v>
      </c>
      <c r="K125" s="32">
        <f t="shared" si="15"/>
        <v>0.75</v>
      </c>
      <c r="M125"/>
      <c r="N125"/>
      <c r="O125"/>
      <c r="P125"/>
      <c r="Q125"/>
    </row>
    <row r="126" spans="8:17" x14ac:dyDescent="0.3">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3">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3">
      <c r="H128" s="29">
        <f t="shared" si="14"/>
        <v>190</v>
      </c>
      <c r="I128" s="32">
        <v>124</v>
      </c>
      <c r="J128" s="32">
        <f>VALUE(MID($O$2,FIND("*",SUBSTITUTE($O$2," ","*",I128),1)+1,FIND("*",SUBSTITUTE($O$2," ","*",I129),1)-FIND("*",SUBSTITUTE($O$2," ","*",I128),1)-1))/gamma_R!$F$12</f>
        <v>190</v>
      </c>
      <c r="K128" s="32">
        <f t="shared" si="15"/>
        <v>0.75</v>
      </c>
      <c r="M128"/>
      <c r="N128"/>
      <c r="O128"/>
      <c r="P128"/>
      <c r="Q128"/>
    </row>
    <row r="129" spans="8:17" x14ac:dyDescent="0.3">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3">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3">
      <c r="H131" s="29">
        <f t="shared" si="14"/>
        <v>192</v>
      </c>
      <c r="I131" s="32">
        <v>127</v>
      </c>
      <c r="J131" s="32">
        <f>VALUE(MID($O$2,FIND("*",SUBSTITUTE($O$2," ","*",I131),1)+1,FIND("*",SUBSTITUTE($O$2," ","*",I132),1)-FIND("*",SUBSTITUTE($O$2," ","*",I131),1)-1))/gamma_R!$F$12</f>
        <v>192</v>
      </c>
      <c r="K131" s="32">
        <f t="shared" si="15"/>
        <v>0.75</v>
      </c>
      <c r="M131"/>
      <c r="N131"/>
      <c r="O131"/>
      <c r="P131"/>
      <c r="Q131"/>
    </row>
    <row r="132" spans="8:17" x14ac:dyDescent="0.3">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3">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3">
      <c r="H134" s="29">
        <f t="shared" si="16"/>
        <v>194</v>
      </c>
      <c r="I134" s="32">
        <v>130</v>
      </c>
      <c r="J134" s="32">
        <f>VALUE(MID($O$2,FIND("*",SUBSTITUTE($O$2," ","*",I134),1)+1,FIND("*",SUBSTITUTE($O$2," ","*",I135),1)-FIND("*",SUBSTITUTE($O$2," ","*",I134),1)-1))/gamma_R!$F$12</f>
        <v>194</v>
      </c>
      <c r="K134" s="32">
        <f t="shared" si="17"/>
        <v>0.75</v>
      </c>
      <c r="M134"/>
      <c r="N134"/>
      <c r="O134"/>
      <c r="P134"/>
      <c r="Q134"/>
    </row>
    <row r="135" spans="8:17" x14ac:dyDescent="0.3">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3">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3">
      <c r="H137" s="29">
        <f t="shared" si="16"/>
        <v>196</v>
      </c>
      <c r="I137" s="32">
        <v>133</v>
      </c>
      <c r="J137" s="32">
        <f>VALUE(MID($O$2,FIND("*",SUBSTITUTE($O$2," ","*",I137),1)+1,FIND("*",SUBSTITUTE($O$2," ","*",I138),1)-FIND("*",SUBSTITUTE($O$2," ","*",I137),1)-1))/gamma_R!$F$12</f>
        <v>196</v>
      </c>
      <c r="K137" s="32">
        <f t="shared" si="17"/>
        <v>0.75</v>
      </c>
      <c r="M137"/>
      <c r="N137"/>
      <c r="O137"/>
      <c r="P137"/>
      <c r="Q137"/>
    </row>
    <row r="138" spans="8:17" x14ac:dyDescent="0.3">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3">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3">
      <c r="H140" s="29">
        <f t="shared" si="16"/>
        <v>198</v>
      </c>
      <c r="I140" s="32">
        <v>136</v>
      </c>
      <c r="J140" s="32">
        <f>VALUE(MID($O$2,FIND("*",SUBSTITUTE($O$2," ","*",I140),1)+1,FIND("*",SUBSTITUTE($O$2," ","*",I141),1)-FIND("*",SUBSTITUTE($O$2," ","*",I140),1)-1))/gamma_R!$F$12</f>
        <v>198</v>
      </c>
      <c r="K140" s="32">
        <f t="shared" si="17"/>
        <v>0.75</v>
      </c>
      <c r="M140"/>
      <c r="N140"/>
      <c r="O140"/>
      <c r="P140"/>
      <c r="Q140"/>
    </row>
    <row r="141" spans="8:17" x14ac:dyDescent="0.3">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3">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3">
      <c r="H143" s="29">
        <f t="shared" si="16"/>
        <v>200</v>
      </c>
      <c r="I143" s="32">
        <v>139</v>
      </c>
      <c r="J143" s="32">
        <f>VALUE(MID($O$2,FIND("*",SUBSTITUTE($O$2," ","*",I143),1)+1,FIND("*",SUBSTITUTE($O$2," ","*",I144),1)-FIND("*",SUBSTITUTE($O$2," ","*",I143),1)-1))/gamma_R!$F$12</f>
        <v>200</v>
      </c>
      <c r="K143" s="32">
        <f t="shared" si="17"/>
        <v>0.75</v>
      </c>
      <c r="M143"/>
      <c r="N143"/>
      <c r="O143"/>
      <c r="P143"/>
      <c r="Q143"/>
    </row>
    <row r="144" spans="8:17" x14ac:dyDescent="0.3">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3">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3">
      <c r="H146" s="29">
        <f t="shared" si="16"/>
        <v>202</v>
      </c>
      <c r="I146" s="32">
        <v>142</v>
      </c>
      <c r="J146" s="32">
        <f>VALUE(MID($O$2,FIND("*",SUBSTITUTE($O$2," ","*",I146),1)+1,FIND("*",SUBSTITUTE($O$2," ","*",I147),1)-FIND("*",SUBSTITUTE($O$2," ","*",I146),1)-1))/gamma_R!$F$12</f>
        <v>202</v>
      </c>
      <c r="K146" s="32">
        <f t="shared" si="17"/>
        <v>0.75</v>
      </c>
      <c r="M146"/>
      <c r="N146"/>
      <c r="O146"/>
      <c r="P146"/>
      <c r="Q146"/>
    </row>
    <row r="147" spans="8:17" x14ac:dyDescent="0.3">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3">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3">
      <c r="H149" s="29">
        <f t="shared" si="16"/>
        <v>204</v>
      </c>
      <c r="I149" s="32">
        <v>145</v>
      </c>
      <c r="J149" s="32">
        <f>VALUE(MID($O$2,FIND("*",SUBSTITUTE($O$2," ","*",I149),1)+1,FIND("*",SUBSTITUTE($O$2," ","*",I150),1)-FIND("*",SUBSTITUTE($O$2," ","*",I149),1)-1))/gamma_R!$F$12</f>
        <v>204</v>
      </c>
      <c r="K149" s="32">
        <f t="shared" si="17"/>
        <v>0.75</v>
      </c>
      <c r="M149"/>
      <c r="N149"/>
      <c r="O149"/>
      <c r="P149"/>
      <c r="Q149"/>
    </row>
    <row r="150" spans="8:17" x14ac:dyDescent="0.3">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3">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3">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3">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3">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3">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3">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3">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3">
      <c r="H158" s="29">
        <f t="shared" si="16"/>
        <v>209</v>
      </c>
      <c r="I158" s="32">
        <v>154</v>
      </c>
      <c r="J158" s="32">
        <f>VALUE(MID($O$2,FIND("*",SUBSTITUTE($O$2," ","*",I158),1)+1,FIND("*",SUBSTITUTE($O$2," ","*",I159),1)-FIND("*",SUBSTITUTE($O$2," ","*",I158),1)-1))/gamma_R!$F$12</f>
        <v>209</v>
      </c>
      <c r="K158" s="32">
        <f t="shared" si="17"/>
        <v>0.75</v>
      </c>
      <c r="M158"/>
      <c r="N158"/>
      <c r="O158"/>
      <c r="P158"/>
      <c r="Q158"/>
    </row>
    <row r="159" spans="8:17" x14ac:dyDescent="0.3">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3">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3">
      <c r="H161" s="29">
        <f t="shared" si="16"/>
        <v>211</v>
      </c>
      <c r="I161" s="32">
        <v>157</v>
      </c>
      <c r="J161" s="32">
        <f>VALUE(MID($O$2,FIND("*",SUBSTITUTE($O$2," ","*",I161),1)+1,FIND("*",SUBSTITUTE($O$2," ","*",I162),1)-FIND("*",SUBSTITUTE($O$2," ","*",I161),1)-1))/gamma_R!$F$12</f>
        <v>211</v>
      </c>
      <c r="K161" s="32">
        <f t="shared" si="17"/>
        <v>0.75</v>
      </c>
      <c r="M161"/>
      <c r="N161"/>
      <c r="O161"/>
      <c r="P161"/>
      <c r="Q161"/>
    </row>
    <row r="162" spans="8:17" x14ac:dyDescent="0.3">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3">
      <c r="H163" s="29">
        <f t="shared" si="16"/>
        <v>212</v>
      </c>
      <c r="I163" s="32">
        <v>159</v>
      </c>
      <c r="J163" s="32">
        <f>VALUE(MID($O$2,FIND("*",SUBSTITUTE($O$2," ","*",I163),1)+1,FIND("*",SUBSTITUTE($O$2," ","*",I164),1)-FIND("*",SUBSTITUTE($O$2," ","*",I163),1)-1))/gamma_R!$F$12</f>
        <v>212</v>
      </c>
      <c r="K163" s="32">
        <f t="shared" si="17"/>
        <v>0.5</v>
      </c>
      <c r="M163"/>
      <c r="N163"/>
      <c r="O163"/>
      <c r="P163"/>
      <c r="Q163"/>
    </row>
    <row r="164" spans="8:17" x14ac:dyDescent="0.3">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3">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3">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3">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3">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3">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3">
      <c r="H170" s="29">
        <f t="shared" si="16"/>
        <v>216</v>
      </c>
      <c r="I170" s="32">
        <v>166</v>
      </c>
      <c r="J170" s="32">
        <f>VALUE(MID($O$2,FIND("*",SUBSTITUTE($O$2," ","*",I170),1)+1,FIND("*",SUBSTITUTE($O$2," ","*",I171),1)-FIND("*",SUBSTITUTE($O$2," ","*",I170),1)-1))/gamma_R!$F$12</f>
        <v>216</v>
      </c>
      <c r="K170" s="32">
        <f t="shared" si="17"/>
        <v>0.75</v>
      </c>
      <c r="M170"/>
      <c r="N170"/>
      <c r="O170"/>
      <c r="P170"/>
      <c r="Q170"/>
    </row>
    <row r="171" spans="8:17" x14ac:dyDescent="0.3">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3">
      <c r="H172" s="29">
        <f t="shared" si="16"/>
        <v>217</v>
      </c>
      <c r="I172" s="32">
        <v>168</v>
      </c>
      <c r="J172" s="32">
        <f>VALUE(MID($O$2,FIND("*",SUBSTITUTE($O$2," ","*",I172),1)+1,FIND("*",SUBSTITUTE($O$2," ","*",I173),1)-FIND("*",SUBSTITUTE($O$2," ","*",I172),1)-1))/gamma_R!$F$12</f>
        <v>217</v>
      </c>
      <c r="K172" s="32">
        <f t="shared" si="17"/>
        <v>0.5</v>
      </c>
      <c r="M172"/>
      <c r="N172"/>
      <c r="O172"/>
      <c r="P172"/>
      <c r="Q172"/>
    </row>
    <row r="173" spans="8:17" x14ac:dyDescent="0.3">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3">
      <c r="H174" s="29">
        <f t="shared" si="16"/>
        <v>218</v>
      </c>
      <c r="I174" s="32">
        <v>170</v>
      </c>
      <c r="J174" s="32">
        <f>VALUE(MID($O$2,FIND("*",SUBSTITUTE($O$2," ","*",I174),1)+1,FIND("*",SUBSTITUTE($O$2," ","*",I175),1)-FIND("*",SUBSTITUTE($O$2," ","*",I174),1)-1))/gamma_R!$F$12</f>
        <v>218</v>
      </c>
      <c r="K174" s="32">
        <f t="shared" si="17"/>
        <v>0.5</v>
      </c>
      <c r="M174"/>
      <c r="N174"/>
      <c r="O174"/>
      <c r="P174"/>
      <c r="Q174"/>
    </row>
    <row r="175" spans="8:17" x14ac:dyDescent="0.3">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3">
      <c r="H176" s="29">
        <f t="shared" si="16"/>
        <v>219</v>
      </c>
      <c r="I176" s="32">
        <v>172</v>
      </c>
      <c r="J176" s="32">
        <f>VALUE(MID($O$2,FIND("*",SUBSTITUTE($O$2," ","*",I176),1)+1,FIND("*",SUBSTITUTE($O$2," ","*",I177),1)-FIND("*",SUBSTITUTE($O$2," ","*",I176),1)-1))/gamma_R!$F$12</f>
        <v>219</v>
      </c>
      <c r="K176" s="32">
        <f t="shared" si="17"/>
        <v>0.5</v>
      </c>
      <c r="M176"/>
      <c r="N176"/>
      <c r="O176"/>
      <c r="P176"/>
      <c r="Q176"/>
    </row>
    <row r="177" spans="8:17" x14ac:dyDescent="0.3">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3">
      <c r="H178" s="29">
        <f t="shared" si="16"/>
        <v>220</v>
      </c>
      <c r="I178" s="32">
        <v>174</v>
      </c>
      <c r="J178" s="32">
        <f>VALUE(MID($O$2,FIND("*",SUBSTITUTE($O$2," ","*",I178),1)+1,FIND("*",SUBSTITUTE($O$2," ","*",I179),1)-FIND("*",SUBSTITUTE($O$2," ","*",I178),1)-1))/gamma_R!$F$12</f>
        <v>220</v>
      </c>
      <c r="K178" s="32">
        <f t="shared" si="17"/>
        <v>0.5</v>
      </c>
      <c r="M178"/>
      <c r="N178"/>
      <c r="O178"/>
      <c r="P178"/>
      <c r="Q178"/>
    </row>
    <row r="179" spans="8:17" x14ac:dyDescent="0.3">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3">
      <c r="H180" s="29">
        <f t="shared" si="16"/>
        <v>221</v>
      </c>
      <c r="I180" s="32">
        <v>176</v>
      </c>
      <c r="J180" s="32">
        <f>VALUE(MID($O$2,FIND("*",SUBSTITUTE($O$2," ","*",I180),1)+1,FIND("*",SUBSTITUTE($O$2," ","*",I181),1)-FIND("*",SUBSTITUTE($O$2," ","*",I180),1)-1))/gamma_R!$F$12</f>
        <v>221</v>
      </c>
      <c r="K180" s="32">
        <f t="shared" si="17"/>
        <v>0.5</v>
      </c>
      <c r="M180"/>
      <c r="N180"/>
      <c r="O180"/>
      <c r="P180"/>
      <c r="Q180"/>
    </row>
    <row r="181" spans="8:17" x14ac:dyDescent="0.3">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3">
      <c r="H182" s="29">
        <f t="shared" si="16"/>
        <v>222</v>
      </c>
      <c r="I182" s="32">
        <v>178</v>
      </c>
      <c r="J182" s="32">
        <f>VALUE(MID($O$2,FIND("*",SUBSTITUTE($O$2," ","*",I182),1)+1,FIND("*",SUBSTITUTE($O$2," ","*",I183),1)-FIND("*",SUBSTITUTE($O$2," ","*",I182),1)-1))/gamma_R!$F$12</f>
        <v>222</v>
      </c>
      <c r="K182" s="32">
        <f t="shared" si="17"/>
        <v>0.5</v>
      </c>
      <c r="M182"/>
      <c r="N182"/>
      <c r="O182"/>
      <c r="P182"/>
      <c r="Q182"/>
    </row>
    <row r="183" spans="8:17" x14ac:dyDescent="0.3">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3">
      <c r="H184" s="29">
        <f t="shared" si="16"/>
        <v>223</v>
      </c>
      <c r="I184" s="32">
        <v>180</v>
      </c>
      <c r="J184" s="32">
        <f>VALUE(MID($O$2,FIND("*",SUBSTITUTE($O$2," ","*",I184),1)+1,FIND("*",SUBSTITUTE($O$2," ","*",I185),1)-FIND("*",SUBSTITUTE($O$2," ","*",I184),1)-1))/gamma_R!$F$12</f>
        <v>223</v>
      </c>
      <c r="K184" s="32">
        <f t="shared" si="17"/>
        <v>0.5</v>
      </c>
      <c r="M184"/>
      <c r="N184"/>
      <c r="O184"/>
      <c r="P184"/>
      <c r="Q184"/>
    </row>
    <row r="185" spans="8:17" x14ac:dyDescent="0.3">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3">
      <c r="H186" s="29">
        <f t="shared" si="16"/>
        <v>224</v>
      </c>
      <c r="I186" s="32">
        <v>182</v>
      </c>
      <c r="J186" s="32">
        <f>VALUE(MID($O$2,FIND("*",SUBSTITUTE($O$2," ","*",I186),1)+1,FIND("*",SUBSTITUTE($O$2," ","*",I187),1)-FIND("*",SUBSTITUTE($O$2," ","*",I186),1)-1))/gamma_R!$F$12</f>
        <v>224</v>
      </c>
      <c r="K186" s="32">
        <f t="shared" si="17"/>
        <v>0.5</v>
      </c>
      <c r="M186"/>
      <c r="N186"/>
      <c r="O186"/>
      <c r="P186"/>
      <c r="Q186"/>
    </row>
    <row r="187" spans="8:17" x14ac:dyDescent="0.3">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3">
      <c r="H188" s="29">
        <f t="shared" si="16"/>
        <v>225</v>
      </c>
      <c r="I188" s="32">
        <v>184</v>
      </c>
      <c r="J188" s="32">
        <f>VALUE(MID($O$2,FIND("*",SUBSTITUTE($O$2," ","*",I188),1)+1,FIND("*",SUBSTITUTE($O$2," ","*",I189),1)-FIND("*",SUBSTITUTE($O$2," ","*",I188),1)-1))/gamma_R!$F$12</f>
        <v>225</v>
      </c>
      <c r="K188" s="32">
        <f t="shared" si="17"/>
        <v>0.5</v>
      </c>
      <c r="M188"/>
      <c r="N188"/>
      <c r="O188"/>
      <c r="P188"/>
      <c r="Q188"/>
    </row>
    <row r="189" spans="8:17" x14ac:dyDescent="0.3">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3">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3">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3">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3">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3">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3">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3">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3">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3">
      <c r="H198" s="29">
        <f t="shared" si="18"/>
        <v>230</v>
      </c>
      <c r="I198" s="32">
        <v>194</v>
      </c>
      <c r="J198" s="32">
        <f>VALUE(MID($O$2,FIND("*",SUBSTITUTE($O$2," ","*",I198),1)+1,FIND("*",SUBSTITUTE($O$2," ","*",I199),1)-FIND("*",SUBSTITUTE($O$2," ","*",I198),1)-1))/gamma_R!$F$12</f>
        <v>230</v>
      </c>
      <c r="K198" s="32">
        <f t="shared" si="19"/>
        <v>0.5</v>
      </c>
      <c r="M198"/>
      <c r="N198"/>
      <c r="O198"/>
      <c r="P198"/>
      <c r="Q198"/>
    </row>
    <row r="199" spans="8:17" x14ac:dyDescent="0.3">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3">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3">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3">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3">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3">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3">
      <c r="H205" s="29">
        <f t="shared" si="18"/>
        <v>233</v>
      </c>
      <c r="I205" s="32">
        <v>201</v>
      </c>
      <c r="J205" s="32">
        <f>VALUE(MID($O$2,FIND("*",SUBSTITUTE($O$2," ","*",I205),1)+1,FIND("*",SUBSTITUTE($O$2," ","*",I206),1)-FIND("*",SUBSTITUTE($O$2," ","*",I205),1)-1))/gamma_R!$F$12</f>
        <v>233</v>
      </c>
      <c r="K205" s="32">
        <f t="shared" si="19"/>
        <v>0.25</v>
      </c>
      <c r="M205"/>
      <c r="N205"/>
      <c r="O205"/>
      <c r="P205"/>
      <c r="Q205"/>
    </row>
    <row r="206" spans="8:17" x14ac:dyDescent="0.3">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3">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3">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3">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3">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3">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3">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3">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3">
      <c r="H214" s="29">
        <f t="shared" si="18"/>
        <v>237</v>
      </c>
      <c r="I214" s="32">
        <v>210</v>
      </c>
      <c r="J214" s="32">
        <f>VALUE(MID($O$2,FIND("*",SUBSTITUTE($O$2," ","*",I214),1)+1,FIND("*",SUBSTITUTE($O$2," ","*",I215),1)-FIND("*",SUBSTITUTE($O$2," ","*",I214),1)-1))/gamma_R!$F$12</f>
        <v>237</v>
      </c>
      <c r="K214" s="32">
        <f t="shared" si="19"/>
        <v>0.25</v>
      </c>
      <c r="M214"/>
      <c r="N214"/>
      <c r="O214"/>
      <c r="P214"/>
      <c r="Q214"/>
    </row>
    <row r="215" spans="8:17" x14ac:dyDescent="0.3">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3">
      <c r="H216" s="29">
        <f t="shared" si="18"/>
        <v>238</v>
      </c>
      <c r="I216" s="32">
        <v>212</v>
      </c>
      <c r="J216" s="32">
        <f>VALUE(MID($O$2,FIND("*",SUBSTITUTE($O$2," ","*",I216),1)+1,FIND("*",SUBSTITUTE($O$2," ","*",I217),1)-FIND("*",SUBSTITUTE($O$2," ","*",I216),1)-1))/gamma_R!$F$12</f>
        <v>238</v>
      </c>
      <c r="K216" s="32">
        <f t="shared" si="19"/>
        <v>0.5</v>
      </c>
      <c r="M216"/>
      <c r="N216"/>
      <c r="O216"/>
      <c r="P216"/>
      <c r="Q216"/>
    </row>
    <row r="217" spans="8:17" x14ac:dyDescent="0.3">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3">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3">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3">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3">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3">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3">
      <c r="H223" s="29">
        <f t="shared" si="18"/>
        <v>241</v>
      </c>
      <c r="I223" s="32">
        <v>219</v>
      </c>
      <c r="J223" s="32">
        <f>VALUE(MID($O$2,FIND("*",SUBSTITUTE($O$2," ","*",I223),1)+1,FIND("*",SUBSTITUTE($O$2," ","*",I224),1)-FIND("*",SUBSTITUTE($O$2," ","*",I223),1)-1))/gamma_R!$F$12</f>
        <v>241</v>
      </c>
      <c r="K223" s="32">
        <f t="shared" si="19"/>
        <v>0.25</v>
      </c>
      <c r="M223"/>
      <c r="N223"/>
      <c r="O223"/>
      <c r="P223"/>
      <c r="Q223"/>
    </row>
    <row r="224" spans="8:17" x14ac:dyDescent="0.3">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3">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3">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3">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3">
      <c r="H228" s="29">
        <f t="shared" si="18"/>
        <v>243</v>
      </c>
      <c r="I228" s="32">
        <v>224</v>
      </c>
      <c r="J228" s="32">
        <f>VALUE(MID($O$2,FIND("*",SUBSTITUTE($O$2," ","*",I228),1)+1,FIND("*",SUBSTITUTE($O$2," ","*",I229),1)-FIND("*",SUBSTITUTE($O$2," ","*",I228),1)-1))/gamma_R!$F$12</f>
        <v>243</v>
      </c>
      <c r="K228" s="32">
        <f t="shared" si="19"/>
        <v>0.25</v>
      </c>
      <c r="M228"/>
      <c r="N228"/>
      <c r="O228"/>
      <c r="P228"/>
      <c r="Q228"/>
    </row>
    <row r="229" spans="8:17" x14ac:dyDescent="0.3">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3">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3">
      <c r="H231" s="29">
        <f t="shared" si="18"/>
        <v>244</v>
      </c>
      <c r="I231" s="32">
        <v>227</v>
      </c>
      <c r="J231" s="32">
        <f>VALUE(MID($O$2,FIND("*",SUBSTITUTE($O$2," ","*",I231),1)+1,FIND("*",SUBSTITUTE($O$2," ","*",I232),1)-FIND("*",SUBSTITUTE($O$2," ","*",I231),1)-1))/gamma_R!$F$12</f>
        <v>244</v>
      </c>
      <c r="K231" s="32">
        <f t="shared" si="19"/>
        <v>0.25</v>
      </c>
      <c r="M231"/>
      <c r="N231"/>
      <c r="O231"/>
      <c r="P231"/>
      <c r="Q231"/>
    </row>
    <row r="232" spans="8:17" x14ac:dyDescent="0.3">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3">
      <c r="H233" s="29">
        <f t="shared" si="18"/>
        <v>245</v>
      </c>
      <c r="I233" s="32">
        <v>229</v>
      </c>
      <c r="J233" s="32">
        <f>VALUE(MID($O$2,FIND("*",SUBSTITUTE($O$2," ","*",I233),1)+1,FIND("*",SUBSTITUTE($O$2," ","*",I234),1)-FIND("*",SUBSTITUTE($O$2," ","*",I233),1)-1))/gamma_R!$F$12</f>
        <v>245</v>
      </c>
      <c r="K233" s="32">
        <f t="shared" si="19"/>
        <v>0.5</v>
      </c>
      <c r="M233"/>
      <c r="N233"/>
      <c r="O233"/>
      <c r="P233"/>
      <c r="Q233"/>
    </row>
    <row r="234" spans="8:17" x14ac:dyDescent="0.3">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3">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3">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3">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3">
      <c r="H238" s="29">
        <f t="shared" si="18"/>
        <v>247</v>
      </c>
      <c r="I238" s="32">
        <v>234</v>
      </c>
      <c r="J238" s="32">
        <f>VALUE(MID($O$2,FIND("*",SUBSTITUTE($O$2," ","*",I238),1)+1,FIND("*",SUBSTITUTE($O$2," ","*",I239),1)-FIND("*",SUBSTITUTE($O$2," ","*",I238),1)-1))/gamma_R!$F$12</f>
        <v>247</v>
      </c>
      <c r="K238" s="32">
        <f t="shared" si="19"/>
        <v>0.25</v>
      </c>
      <c r="M238"/>
      <c r="N238"/>
      <c r="O238"/>
      <c r="P238"/>
      <c r="Q238"/>
    </row>
    <row r="239" spans="8:17" x14ac:dyDescent="0.3">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3">
      <c r="H240" s="29">
        <f t="shared" si="18"/>
        <v>248</v>
      </c>
      <c r="I240" s="32">
        <v>236</v>
      </c>
      <c r="J240" s="32">
        <f>VALUE(MID($O$2,FIND("*",SUBSTITUTE($O$2," ","*",I240),1)+1,FIND("*",SUBSTITUTE($O$2," ","*",I241),1)-FIND("*",SUBSTITUTE($O$2," ","*",I240),1)-1))/gamma_R!$F$12</f>
        <v>248</v>
      </c>
      <c r="K240" s="32">
        <f t="shared" si="19"/>
        <v>0.5</v>
      </c>
      <c r="M240"/>
      <c r="N240"/>
      <c r="O240"/>
      <c r="P240"/>
      <c r="Q240"/>
    </row>
    <row r="241" spans="8:17" x14ac:dyDescent="0.3">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3">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3">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3">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3">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3">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3">
      <c r="H247" s="29">
        <f t="shared" si="18"/>
        <v>251</v>
      </c>
      <c r="I247" s="32">
        <v>243</v>
      </c>
      <c r="J247" s="32">
        <f>VALUE(MID($O$2,FIND("*",SUBSTITUTE($O$2," ","*",I247),1)+1,FIND("*",SUBSTITUTE($O$2," ","*",I248),1)-FIND("*",SUBSTITUTE($O$2," ","*",I247),1)-1))/gamma_R!$F$12</f>
        <v>251</v>
      </c>
      <c r="K247" s="32">
        <f t="shared" si="19"/>
        <v>0.25</v>
      </c>
      <c r="M247"/>
      <c r="N247"/>
      <c r="O247"/>
      <c r="P247"/>
      <c r="Q247"/>
    </row>
    <row r="248" spans="8:17" x14ac:dyDescent="0.3">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3">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3">
      <c r="H250" s="29">
        <f t="shared" si="18"/>
        <v>252</v>
      </c>
      <c r="I250" s="32">
        <v>246</v>
      </c>
      <c r="J250" s="32">
        <f>VALUE(MID($O$2,FIND("*",SUBSTITUTE($O$2," ","*",I250),1)+1,FIND("*",SUBSTITUTE($O$2," ","*",I251),1)-FIND("*",SUBSTITUTE($O$2," ","*",I250),1)-1))/gamma_R!$F$12</f>
        <v>252</v>
      </c>
      <c r="K250" s="32">
        <f t="shared" si="19"/>
        <v>0.25</v>
      </c>
      <c r="M250"/>
      <c r="N250"/>
      <c r="O250"/>
      <c r="P250"/>
      <c r="Q250"/>
    </row>
    <row r="251" spans="8:17" x14ac:dyDescent="0.3">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3">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3">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3">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3">
      <c r="H255" s="29">
        <f t="shared" si="18"/>
        <v>254</v>
      </c>
      <c r="I255" s="32">
        <v>251</v>
      </c>
      <c r="J255" s="32">
        <f>VALUE(MID($O$2,FIND("*",SUBSTITUTE($O$2," ","*",I255),1)+1,FIND("*",SUBSTITUTE($O$2," ","*",I256),1)-FIND("*",SUBSTITUTE($O$2," ","*",I255),1)-1))/gamma_R!$F$12</f>
        <v>254</v>
      </c>
      <c r="K255" s="32">
        <f t="shared" si="19"/>
        <v>0.25</v>
      </c>
      <c r="M255"/>
      <c r="N255"/>
      <c r="O255"/>
      <c r="P255"/>
      <c r="Q255"/>
    </row>
    <row r="256" spans="8:17" x14ac:dyDescent="0.3">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3">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3">
      <c r="H258" s="29">
        <f t="shared" si="18"/>
        <v>255</v>
      </c>
      <c r="I258" s="32">
        <v>254</v>
      </c>
      <c r="J258" s="32">
        <f>VALUE(MID($O$2,FIND("*",SUBSTITUTE($O$2," ","*",I258),1)+1,FIND("*",SUBSTITUTE($O$2," ","*",I259),1)-FIND("*",SUBSTITUTE($O$2," ","*",I258),1)-1))/gamma_R!$F$12</f>
        <v>255</v>
      </c>
      <c r="K258" s="32">
        <f t="shared" si="19"/>
        <v>0.25</v>
      </c>
      <c r="M258"/>
      <c r="N258"/>
      <c r="O258"/>
      <c r="P258"/>
      <c r="Q258"/>
    </row>
    <row r="259" spans="8:17" x14ac:dyDescent="0.3">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3">
      <c r="H260" s="29">
        <f t="shared" si="18"/>
        <v>255.75</v>
      </c>
      <c r="I260" s="32">
        <v>256</v>
      </c>
      <c r="J260" s="32">
        <f>VALUE(RIGHT($O$2,LEN($O$2)-FIND("*",SUBSTITUTE($O$2," ","*",256),1)))/gamma_R!$F$12</f>
        <v>255.75</v>
      </c>
      <c r="K260" s="32">
        <f t="shared" si="19"/>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colorCalculate</vt:lpstr>
      <vt:lpstr>gamma_R</vt:lpstr>
      <vt:lpstr>gamma_G</vt:lpstr>
      <vt:lpstr>gamma_B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大瘋狗</cp:lastModifiedBy>
  <dcterms:created xsi:type="dcterms:W3CDTF">2021-03-22T01:03:16Z</dcterms:created>
  <dcterms:modified xsi:type="dcterms:W3CDTF">2023-09-19T06:44:08Z</dcterms:modified>
</cp:coreProperties>
</file>