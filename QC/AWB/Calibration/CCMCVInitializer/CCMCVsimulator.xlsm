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WB\Calibration\CCMCVInitializer\"/>
    </mc:Choice>
  </mc:AlternateContent>
  <xr:revisionPtr revIDLastSave="0" documentId="13_ncr:1_{190E0FFE-6BED-4843-9F08-18D9AB295983}" xr6:coauthVersionLast="47" xr6:coauthVersionMax="47" xr10:uidLastSave="{00000000-0000-0000-0000-000000000000}"/>
  <bookViews>
    <workbookView xWindow="-108" yWindow="-108" windowWidth="23256" windowHeight="12456" xr2:uid="{00000000-000D-0000-FFFF-FFFF00000000}"/>
  </bookViews>
  <sheets>
    <sheet name="colorCalculate" sheetId="1" r:id="rId1"/>
  </sheets>
  <functionGroups builtInGroupCount="19"/>
  <definedNames>
    <definedName name="solver_adj" localSheetId="0" hidden="1">colorCalculate!$AL$7:$AN$9</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colorCalculate!$Z$7:$Z$9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1</definedName>
    <definedName name="solver_nwt" localSheetId="0" hidden="1">1</definedName>
    <definedName name="solver_opt" localSheetId="0" hidden="1">colorCalculate!$T$12</definedName>
    <definedName name="solver_pre" localSheetId="0" hidden="1">0.000001</definedName>
    <definedName name="solver_rbv" localSheetId="0" hidden="1">2</definedName>
    <definedName name="solver_rel1" localSheetId="0" hidden="1">2</definedName>
    <definedName name="solver_rhs1" localSheetId="0" hidden="1">1</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69" i="1" l="1"/>
  <c r="BT70" i="1"/>
  <c r="BT71" i="1"/>
  <c r="BT72" i="1"/>
  <c r="BT73" i="1"/>
  <c r="BT74" i="1"/>
  <c r="BT75" i="1"/>
  <c r="BT76" i="1"/>
  <c r="BT77" i="1"/>
  <c r="BT78" i="1"/>
  <c r="BT79" i="1"/>
  <c r="BT80" i="1"/>
  <c r="BT81" i="1"/>
  <c r="BT82" i="1"/>
  <c r="BT83" i="1"/>
  <c r="BT84" i="1"/>
  <c r="BT85" i="1"/>
  <c r="BT86" i="1"/>
  <c r="BT87" i="1"/>
  <c r="BT88" i="1"/>
  <c r="BT89" i="1"/>
  <c r="BT90" i="1"/>
  <c r="BT91" i="1"/>
  <c r="BT68" i="1"/>
  <c r="BS69" i="1"/>
  <c r="BS70" i="1"/>
  <c r="BS71" i="1"/>
  <c r="BS72" i="1"/>
  <c r="BS73" i="1"/>
  <c r="BS74" i="1"/>
  <c r="BS75" i="1"/>
  <c r="BS76" i="1"/>
  <c r="BS77" i="1"/>
  <c r="BS78" i="1"/>
  <c r="BS79" i="1"/>
  <c r="BS80" i="1"/>
  <c r="BS81" i="1"/>
  <c r="BS82" i="1"/>
  <c r="BS83" i="1"/>
  <c r="BS84" i="1"/>
  <c r="BS85" i="1"/>
  <c r="BS86" i="1"/>
  <c r="BS87" i="1"/>
  <c r="BS88" i="1"/>
  <c r="BS89" i="1"/>
  <c r="BS90" i="1"/>
  <c r="BS91" i="1"/>
  <c r="BS68" i="1"/>
  <c r="BL72" i="1"/>
  <c r="BN72" i="1" s="1"/>
  <c r="BN69" i="1"/>
  <c r="BN70" i="1"/>
  <c r="BN71" i="1"/>
  <c r="BN73" i="1"/>
  <c r="BN74" i="1"/>
  <c r="BN75" i="1"/>
  <c r="BN76" i="1"/>
  <c r="BN77" i="1"/>
  <c r="BN78" i="1"/>
  <c r="BN79" i="1"/>
  <c r="BN80" i="1"/>
  <c r="BN81" i="1"/>
  <c r="BN82" i="1"/>
  <c r="BN83" i="1"/>
  <c r="BN84" i="1"/>
  <c r="BN85" i="1"/>
  <c r="BN86" i="1"/>
  <c r="BN87" i="1"/>
  <c r="BN88" i="1"/>
  <c r="BN89" i="1"/>
  <c r="BN90" i="1"/>
  <c r="BN91" i="1"/>
  <c r="BN68" i="1"/>
  <c r="BM69" i="1"/>
  <c r="BM70" i="1"/>
  <c r="BM71" i="1"/>
  <c r="BM72" i="1"/>
  <c r="BM73" i="1"/>
  <c r="BM74" i="1"/>
  <c r="BM75" i="1"/>
  <c r="BM76" i="1"/>
  <c r="BM77" i="1"/>
  <c r="BM78" i="1"/>
  <c r="BM79" i="1"/>
  <c r="BM80" i="1"/>
  <c r="BM81" i="1"/>
  <c r="BM82" i="1"/>
  <c r="BM83" i="1"/>
  <c r="BM84" i="1"/>
  <c r="BM85" i="1"/>
  <c r="BM86" i="1"/>
  <c r="BM87" i="1"/>
  <c r="BM88" i="1"/>
  <c r="BM89" i="1"/>
  <c r="BM90" i="1"/>
  <c r="BM91" i="1"/>
  <c r="BM68" i="1"/>
  <c r="BT17" i="1"/>
  <c r="BT18" i="1"/>
  <c r="BT19" i="1"/>
  <c r="BT20" i="1"/>
  <c r="BT21" i="1"/>
  <c r="BR73" i="1" s="1"/>
  <c r="BT22" i="1"/>
  <c r="BR74" i="1" s="1"/>
  <c r="BT23" i="1"/>
  <c r="BR75" i="1" s="1"/>
  <c r="BT24" i="1"/>
  <c r="BT25" i="1"/>
  <c r="BT26" i="1"/>
  <c r="BT27" i="1"/>
  <c r="BT28" i="1"/>
  <c r="BT29" i="1"/>
  <c r="BT30" i="1"/>
  <c r="BQ82" i="1" s="1"/>
  <c r="BT31" i="1"/>
  <c r="BR83" i="1" s="1"/>
  <c r="BT32" i="1"/>
  <c r="BT33" i="1"/>
  <c r="BR85" i="1" s="1"/>
  <c r="BT34" i="1"/>
  <c r="BT35" i="1"/>
  <c r="BT36" i="1"/>
  <c r="BT37" i="1"/>
  <c r="BT38" i="1"/>
  <c r="BR90" i="1" s="1"/>
  <c r="BT39" i="1"/>
  <c r="BR91" i="1" s="1"/>
  <c r="BT16" i="1"/>
  <c r="BN17" i="1"/>
  <c r="BN18" i="1"/>
  <c r="BK70" i="1" s="1"/>
  <c r="BN19" i="1"/>
  <c r="BL71" i="1" s="1"/>
  <c r="BN20" i="1"/>
  <c r="BN21" i="1"/>
  <c r="BN22" i="1"/>
  <c r="BN23" i="1"/>
  <c r="BN24" i="1"/>
  <c r="BN25" i="1"/>
  <c r="BN26" i="1"/>
  <c r="BL78" i="1" s="1"/>
  <c r="BN27" i="1"/>
  <c r="BN28" i="1"/>
  <c r="BN29" i="1"/>
  <c r="BN30" i="1"/>
  <c r="BL82" i="1" s="1"/>
  <c r="BN31" i="1"/>
  <c r="BL83" i="1" s="1"/>
  <c r="BN32" i="1"/>
  <c r="BN33" i="1"/>
  <c r="BL85" i="1" s="1"/>
  <c r="BN34" i="1"/>
  <c r="BN35" i="1"/>
  <c r="BN36" i="1"/>
  <c r="BN37" i="1"/>
  <c r="BN38" i="1"/>
  <c r="BK90" i="1" s="1"/>
  <c r="BN39" i="1"/>
  <c r="BL91" i="1" s="1"/>
  <c r="BN16" i="1"/>
  <c r="R120" i="1"/>
  <c r="S120" i="1"/>
  <c r="R121" i="1"/>
  <c r="S121" i="1"/>
  <c r="R122" i="1"/>
  <c r="S122" i="1"/>
  <c r="R123" i="1"/>
  <c r="S123" i="1"/>
  <c r="R124" i="1"/>
  <c r="S124" i="1"/>
  <c r="R125" i="1"/>
  <c r="S125" i="1"/>
  <c r="R126" i="1"/>
  <c r="S126" i="1"/>
  <c r="R127" i="1"/>
  <c r="S127" i="1"/>
  <c r="R128" i="1"/>
  <c r="S128" i="1"/>
  <c r="R129" i="1"/>
  <c r="S129" i="1"/>
  <c r="R130" i="1"/>
  <c r="S130" i="1"/>
  <c r="R131" i="1"/>
  <c r="S131" i="1"/>
  <c r="R132" i="1"/>
  <c r="S132" i="1"/>
  <c r="R133" i="1"/>
  <c r="S133" i="1"/>
  <c r="R134" i="1"/>
  <c r="S134" i="1"/>
  <c r="R135" i="1"/>
  <c r="S135" i="1"/>
  <c r="R136" i="1"/>
  <c r="S136" i="1"/>
  <c r="R137" i="1"/>
  <c r="S137" i="1"/>
  <c r="R138" i="1"/>
  <c r="S138" i="1"/>
  <c r="R139" i="1"/>
  <c r="S139" i="1"/>
  <c r="R140" i="1"/>
  <c r="S140" i="1"/>
  <c r="R141" i="1"/>
  <c r="S141" i="1"/>
  <c r="R142" i="1"/>
  <c r="S142" i="1"/>
  <c r="S119" i="1"/>
  <c r="R119" i="1"/>
  <c r="Q119" i="1"/>
  <c r="BS43" i="1"/>
  <c r="BQ43" i="1" s="1"/>
  <c r="BT43" i="1"/>
  <c r="BR43" i="1" s="1"/>
  <c r="BS44" i="1"/>
  <c r="BQ44" i="1" s="1"/>
  <c r="BT44" i="1"/>
  <c r="BR44" i="1" s="1"/>
  <c r="BS45" i="1"/>
  <c r="BQ45" i="1" s="1"/>
  <c r="BT45" i="1"/>
  <c r="BR45" i="1" s="1"/>
  <c r="BS46" i="1"/>
  <c r="BQ46" i="1" s="1"/>
  <c r="BT46" i="1"/>
  <c r="BR46" i="1" s="1"/>
  <c r="BS47" i="1"/>
  <c r="BQ47" i="1" s="1"/>
  <c r="BT47" i="1"/>
  <c r="BR47" i="1" s="1"/>
  <c r="BS48" i="1"/>
  <c r="BQ48" i="1" s="1"/>
  <c r="BT48" i="1"/>
  <c r="BR48" i="1" s="1"/>
  <c r="BS49" i="1"/>
  <c r="BQ49" i="1" s="1"/>
  <c r="BT49" i="1"/>
  <c r="BR49" i="1" s="1"/>
  <c r="BS50" i="1"/>
  <c r="BQ50" i="1" s="1"/>
  <c r="BT50" i="1"/>
  <c r="BR50" i="1" s="1"/>
  <c r="BS51" i="1"/>
  <c r="BQ51" i="1" s="1"/>
  <c r="BT51" i="1"/>
  <c r="BR51" i="1" s="1"/>
  <c r="BS52" i="1"/>
  <c r="BQ52" i="1" s="1"/>
  <c r="BT52" i="1"/>
  <c r="BR52" i="1" s="1"/>
  <c r="BS53" i="1"/>
  <c r="BQ53" i="1" s="1"/>
  <c r="BT53" i="1"/>
  <c r="BR53" i="1" s="1"/>
  <c r="BS54" i="1"/>
  <c r="BQ54" i="1" s="1"/>
  <c r="BT54" i="1"/>
  <c r="BR54" i="1" s="1"/>
  <c r="BS55" i="1"/>
  <c r="BQ55" i="1" s="1"/>
  <c r="BT55" i="1"/>
  <c r="BR55" i="1" s="1"/>
  <c r="BS56" i="1"/>
  <c r="BQ56" i="1" s="1"/>
  <c r="BT56" i="1"/>
  <c r="BR56" i="1" s="1"/>
  <c r="BS57" i="1"/>
  <c r="BQ57" i="1" s="1"/>
  <c r="BT57" i="1"/>
  <c r="BR57" i="1" s="1"/>
  <c r="BS58" i="1"/>
  <c r="BQ58" i="1" s="1"/>
  <c r="BT58" i="1"/>
  <c r="BR58" i="1" s="1"/>
  <c r="BS59" i="1"/>
  <c r="BQ59" i="1" s="1"/>
  <c r="BT59" i="1"/>
  <c r="BR59" i="1" s="1"/>
  <c r="BS60" i="1"/>
  <c r="BQ60" i="1" s="1"/>
  <c r="BT60" i="1"/>
  <c r="BR60" i="1" s="1"/>
  <c r="BS61" i="1"/>
  <c r="BQ61" i="1" s="1"/>
  <c r="BT61" i="1"/>
  <c r="BR61" i="1" s="1"/>
  <c r="BS62" i="1"/>
  <c r="BQ62" i="1" s="1"/>
  <c r="BT62" i="1"/>
  <c r="BR62" i="1" s="1"/>
  <c r="BS63" i="1"/>
  <c r="BQ63" i="1" s="1"/>
  <c r="BT63" i="1"/>
  <c r="BR63" i="1" s="1"/>
  <c r="BS64" i="1"/>
  <c r="BQ64" i="1" s="1"/>
  <c r="BT64" i="1"/>
  <c r="BR64" i="1" s="1"/>
  <c r="BS65" i="1"/>
  <c r="BQ65" i="1" s="1"/>
  <c r="BT65" i="1"/>
  <c r="BR65" i="1" s="1"/>
  <c r="BT42" i="1"/>
  <c r="BR42" i="1" s="1"/>
  <c r="BS42" i="1"/>
  <c r="BQ42" i="1" s="1"/>
  <c r="BL89" i="1"/>
  <c r="BK86" i="1"/>
  <c r="BK84" i="1"/>
  <c r="BK82" i="1"/>
  <c r="BR79" i="1"/>
  <c r="BK78" i="1"/>
  <c r="BL77" i="1"/>
  <c r="BK76" i="1"/>
  <c r="BK74" i="1"/>
  <c r="BL73" i="1"/>
  <c r="BR71" i="1"/>
  <c r="BL69" i="1"/>
  <c r="BL68" i="1"/>
  <c r="BM16" i="1" s="1"/>
  <c r="BN43" i="1"/>
  <c r="BL43" i="1" s="1"/>
  <c r="BN44" i="1"/>
  <c r="BN45" i="1"/>
  <c r="BN46" i="1"/>
  <c r="BN47" i="1"/>
  <c r="BN48" i="1"/>
  <c r="BL48" i="1" s="1"/>
  <c r="BN49" i="1"/>
  <c r="BL49" i="1" s="1"/>
  <c r="BN50" i="1"/>
  <c r="BL50" i="1" s="1"/>
  <c r="BN51" i="1"/>
  <c r="BN52" i="1"/>
  <c r="BN53" i="1"/>
  <c r="BN54" i="1"/>
  <c r="BN55" i="1"/>
  <c r="BN56" i="1"/>
  <c r="BL56" i="1" s="1"/>
  <c r="BN57" i="1"/>
  <c r="BL57" i="1" s="1"/>
  <c r="BN58" i="1"/>
  <c r="BL58" i="1" s="1"/>
  <c r="BN59" i="1"/>
  <c r="BN60" i="1"/>
  <c r="BN61" i="1"/>
  <c r="BN62" i="1"/>
  <c r="BN63" i="1"/>
  <c r="BN64" i="1"/>
  <c r="BN65" i="1"/>
  <c r="BL65" i="1" s="1"/>
  <c r="BL46" i="1"/>
  <c r="BL54" i="1"/>
  <c r="BL60" i="1"/>
  <c r="BL62" i="1"/>
  <c r="BL64" i="1"/>
  <c r="BM43" i="1"/>
  <c r="BM44" i="1"/>
  <c r="BK44" i="1" s="1"/>
  <c r="BM45" i="1"/>
  <c r="BM46" i="1"/>
  <c r="BM47" i="1"/>
  <c r="BM48" i="1"/>
  <c r="BK48" i="1" s="1"/>
  <c r="BM49" i="1"/>
  <c r="BK49" i="1" s="1"/>
  <c r="BM50" i="1"/>
  <c r="BM51" i="1"/>
  <c r="BM52" i="1"/>
  <c r="BK52" i="1" s="1"/>
  <c r="BM53" i="1"/>
  <c r="BK53" i="1" s="1"/>
  <c r="BM54" i="1"/>
  <c r="BM55" i="1"/>
  <c r="BM56" i="1"/>
  <c r="BK56" i="1" s="1"/>
  <c r="BM57" i="1"/>
  <c r="BK57" i="1" s="1"/>
  <c r="BM58" i="1"/>
  <c r="BM59" i="1"/>
  <c r="BM60" i="1"/>
  <c r="BK60" i="1" s="1"/>
  <c r="BM61" i="1"/>
  <c r="BK61" i="1" s="1"/>
  <c r="BM62" i="1"/>
  <c r="BM63" i="1"/>
  <c r="BM64" i="1"/>
  <c r="BK64" i="1" s="1"/>
  <c r="BM65" i="1"/>
  <c r="BK65" i="1" s="1"/>
  <c r="BL44" i="1"/>
  <c r="BL45" i="1"/>
  <c r="BL47" i="1"/>
  <c r="BL51" i="1"/>
  <c r="BL52" i="1"/>
  <c r="BL53" i="1"/>
  <c r="BL55" i="1"/>
  <c r="BL59" i="1"/>
  <c r="BL61" i="1"/>
  <c r="BL63" i="1"/>
  <c r="BK43" i="1"/>
  <c r="BK45" i="1"/>
  <c r="BK46" i="1"/>
  <c r="BK47" i="1"/>
  <c r="BK50" i="1"/>
  <c r="BK51" i="1"/>
  <c r="BK54" i="1"/>
  <c r="BK55" i="1"/>
  <c r="BK58" i="1"/>
  <c r="BK59" i="1"/>
  <c r="BK62" i="1"/>
  <c r="BK63" i="1"/>
  <c r="BL42" i="1"/>
  <c r="BK16" i="1"/>
  <c r="BH43" i="1"/>
  <c r="BH44" i="1"/>
  <c r="BH45" i="1"/>
  <c r="BH46" i="1"/>
  <c r="BH47" i="1"/>
  <c r="BH48" i="1"/>
  <c r="BH49" i="1"/>
  <c r="BH50" i="1"/>
  <c r="BF50" i="1" s="1"/>
  <c r="BH51" i="1"/>
  <c r="BH52" i="1"/>
  <c r="BH53" i="1"/>
  <c r="BH54" i="1"/>
  <c r="BH55" i="1"/>
  <c r="BH56" i="1"/>
  <c r="BH57" i="1"/>
  <c r="BH58" i="1"/>
  <c r="BF58" i="1" s="1"/>
  <c r="BH59" i="1"/>
  <c r="BH60" i="1"/>
  <c r="BH61" i="1"/>
  <c r="BH62" i="1"/>
  <c r="BH63" i="1"/>
  <c r="BH64" i="1"/>
  <c r="BH65" i="1"/>
  <c r="BG43" i="1"/>
  <c r="BG44" i="1"/>
  <c r="BG45" i="1"/>
  <c r="BG46" i="1"/>
  <c r="BG47" i="1"/>
  <c r="BG48" i="1"/>
  <c r="BG49" i="1"/>
  <c r="BE49" i="1" s="1"/>
  <c r="BG50" i="1"/>
  <c r="BE50" i="1" s="1"/>
  <c r="BG51" i="1"/>
  <c r="BG52" i="1"/>
  <c r="BG53" i="1"/>
  <c r="BG54" i="1"/>
  <c r="BG55" i="1"/>
  <c r="BG56" i="1"/>
  <c r="BG57" i="1"/>
  <c r="BE57" i="1" s="1"/>
  <c r="BG58" i="1"/>
  <c r="BE58" i="1" s="1"/>
  <c r="BG59" i="1"/>
  <c r="BG60" i="1"/>
  <c r="BG61" i="1"/>
  <c r="BG62" i="1"/>
  <c r="BG63" i="1"/>
  <c r="BG64" i="1"/>
  <c r="BG65" i="1"/>
  <c r="BE65" i="1" s="1"/>
  <c r="BF43" i="1"/>
  <c r="BF44" i="1"/>
  <c r="BF45" i="1"/>
  <c r="BF46" i="1"/>
  <c r="BF47" i="1"/>
  <c r="BF48" i="1"/>
  <c r="BF49" i="1"/>
  <c r="BF51" i="1"/>
  <c r="BF52" i="1"/>
  <c r="BF53" i="1"/>
  <c r="BF54" i="1"/>
  <c r="BF55" i="1"/>
  <c r="BF56" i="1"/>
  <c r="BF57" i="1"/>
  <c r="BF59" i="1"/>
  <c r="BF60" i="1"/>
  <c r="BF61" i="1"/>
  <c r="BF62" i="1"/>
  <c r="BF63" i="1"/>
  <c r="BF64" i="1"/>
  <c r="BF65" i="1"/>
  <c r="BE43" i="1"/>
  <c r="BE44" i="1"/>
  <c r="BE45" i="1"/>
  <c r="BE46" i="1"/>
  <c r="BE47" i="1"/>
  <c r="BE48" i="1"/>
  <c r="BE51" i="1"/>
  <c r="BE52" i="1"/>
  <c r="BE53" i="1"/>
  <c r="BE54" i="1"/>
  <c r="BE55" i="1"/>
  <c r="BE56" i="1"/>
  <c r="BE59" i="1"/>
  <c r="BE60" i="1"/>
  <c r="BE61" i="1"/>
  <c r="BE62" i="1"/>
  <c r="BE63" i="1"/>
  <c r="BE64" i="1"/>
  <c r="BF42" i="1"/>
  <c r="BM42" i="1"/>
  <c r="BK42" i="1" s="1"/>
  <c r="BE42" i="1"/>
  <c r="BN42" i="1"/>
  <c r="BQ17" i="1"/>
  <c r="BQ18" i="1"/>
  <c r="BQ19" i="1"/>
  <c r="BQ20" i="1"/>
  <c r="BQ21" i="1"/>
  <c r="BQ22" i="1"/>
  <c r="BQ23" i="1"/>
  <c r="BQ24" i="1"/>
  <c r="BQ25" i="1"/>
  <c r="BQ26" i="1"/>
  <c r="BQ27" i="1"/>
  <c r="BQ28" i="1"/>
  <c r="BQ29" i="1"/>
  <c r="BQ30" i="1"/>
  <c r="BQ31" i="1"/>
  <c r="BQ32" i="1"/>
  <c r="BQ33" i="1"/>
  <c r="BQ34" i="1"/>
  <c r="BQ35" i="1"/>
  <c r="BQ36" i="1"/>
  <c r="BQ37" i="1"/>
  <c r="BQ38" i="1"/>
  <c r="BQ39" i="1"/>
  <c r="BQ16" i="1"/>
  <c r="BK17" i="1"/>
  <c r="BK18" i="1"/>
  <c r="BK19" i="1"/>
  <c r="BK20" i="1"/>
  <c r="BK21" i="1"/>
  <c r="BK22" i="1"/>
  <c r="BK23" i="1"/>
  <c r="BK24" i="1"/>
  <c r="BK25" i="1"/>
  <c r="BK26" i="1"/>
  <c r="BK27" i="1"/>
  <c r="BK28" i="1"/>
  <c r="BK29" i="1"/>
  <c r="BK30" i="1"/>
  <c r="BK31" i="1"/>
  <c r="BK32" i="1"/>
  <c r="BK33" i="1"/>
  <c r="BK34" i="1"/>
  <c r="BK35" i="1"/>
  <c r="BK36" i="1"/>
  <c r="BK37" i="1"/>
  <c r="BK38" i="1"/>
  <c r="BK39" i="1"/>
  <c r="BR89" i="1"/>
  <c r="BQ88" i="1"/>
  <c r="BR87" i="1"/>
  <c r="BQ86" i="1"/>
  <c r="BR84" i="1"/>
  <c r="BR81" i="1"/>
  <c r="BQ80" i="1"/>
  <c r="BR78" i="1"/>
  <c r="BR77" i="1"/>
  <c r="BQ76" i="1"/>
  <c r="BQ72" i="1"/>
  <c r="BR70" i="1"/>
  <c r="BR69" i="1"/>
  <c r="BQ68" i="1"/>
  <c r="BL88" i="1"/>
  <c r="BK88" i="1"/>
  <c r="BL86" i="1"/>
  <c r="BL84" i="1"/>
  <c r="BL80" i="1"/>
  <c r="BK80" i="1"/>
  <c r="BL76" i="1"/>
  <c r="BL74" i="1"/>
  <c r="BK72" i="1"/>
  <c r="BL87" i="1"/>
  <c r="BL81" i="1"/>
  <c r="BL79" i="1"/>
  <c r="BL75" i="1"/>
  <c r="BX260" i="1"/>
  <c r="BV260" i="1" s="1"/>
  <c r="BX6" i="1"/>
  <c r="BX7" i="1"/>
  <c r="BX8" i="1"/>
  <c r="BX9" i="1"/>
  <c r="BX10" i="1"/>
  <c r="BV10" i="1" s="1"/>
  <c r="BX11" i="1"/>
  <c r="BX12" i="1"/>
  <c r="BY12" i="1" s="1"/>
  <c r="BX13" i="1"/>
  <c r="BX14" i="1"/>
  <c r="BX15" i="1"/>
  <c r="BX16" i="1"/>
  <c r="BX17" i="1"/>
  <c r="BX18" i="1"/>
  <c r="BV18" i="1" s="1"/>
  <c r="BX19" i="1"/>
  <c r="BX20" i="1"/>
  <c r="BX21" i="1"/>
  <c r="BX22" i="1"/>
  <c r="BX23" i="1"/>
  <c r="BX24" i="1"/>
  <c r="BX25" i="1"/>
  <c r="BX26" i="1"/>
  <c r="BV26" i="1" s="1"/>
  <c r="BX27" i="1"/>
  <c r="BX28" i="1"/>
  <c r="BV28" i="1" s="1"/>
  <c r="BX29" i="1"/>
  <c r="BX30" i="1"/>
  <c r="BX31" i="1"/>
  <c r="BX32" i="1"/>
  <c r="BX33" i="1"/>
  <c r="BX34" i="1"/>
  <c r="BY34" i="1" s="1"/>
  <c r="BX35" i="1"/>
  <c r="BX36" i="1"/>
  <c r="BX37" i="1"/>
  <c r="BX38" i="1"/>
  <c r="BX39" i="1"/>
  <c r="BX40" i="1"/>
  <c r="BX41" i="1"/>
  <c r="BX42" i="1"/>
  <c r="BV42" i="1" s="1"/>
  <c r="BX43" i="1"/>
  <c r="BX44" i="1"/>
  <c r="BX45" i="1"/>
  <c r="BX46" i="1"/>
  <c r="BX47" i="1"/>
  <c r="BX48" i="1"/>
  <c r="BX49" i="1"/>
  <c r="BX50" i="1"/>
  <c r="BY51" i="1" s="1"/>
  <c r="BX51" i="1"/>
  <c r="BX52" i="1"/>
  <c r="BV52" i="1" s="1"/>
  <c r="BX53" i="1"/>
  <c r="BX54" i="1"/>
  <c r="BX55" i="1"/>
  <c r="BX56" i="1"/>
  <c r="BX57" i="1"/>
  <c r="BX58" i="1"/>
  <c r="BY59" i="1" s="1"/>
  <c r="BX59" i="1"/>
  <c r="BX60" i="1"/>
  <c r="BX61" i="1"/>
  <c r="BX62" i="1"/>
  <c r="BX63" i="1"/>
  <c r="BX64" i="1"/>
  <c r="BX65" i="1"/>
  <c r="BX66" i="1"/>
  <c r="BV66" i="1" s="1"/>
  <c r="BX67" i="1"/>
  <c r="BX68" i="1"/>
  <c r="BX69" i="1"/>
  <c r="BX70" i="1"/>
  <c r="BX71" i="1"/>
  <c r="BX72" i="1"/>
  <c r="BX73" i="1"/>
  <c r="BX74" i="1"/>
  <c r="BY75" i="1" s="1"/>
  <c r="BX75" i="1"/>
  <c r="BX76" i="1"/>
  <c r="BY76" i="1" s="1"/>
  <c r="BX77" i="1"/>
  <c r="BX78" i="1"/>
  <c r="BX79" i="1"/>
  <c r="BX80" i="1"/>
  <c r="BX81" i="1"/>
  <c r="BX82" i="1"/>
  <c r="BY83" i="1" s="1"/>
  <c r="BX83" i="1"/>
  <c r="BX84" i="1"/>
  <c r="BX85" i="1"/>
  <c r="BX86" i="1"/>
  <c r="BX87" i="1"/>
  <c r="BX88" i="1"/>
  <c r="BX89" i="1"/>
  <c r="BX90" i="1"/>
  <c r="BX91" i="1"/>
  <c r="BX92" i="1"/>
  <c r="BX93" i="1"/>
  <c r="BX94" i="1"/>
  <c r="BX95" i="1"/>
  <c r="BX96" i="1"/>
  <c r="BX97" i="1"/>
  <c r="BX98" i="1"/>
  <c r="BY99" i="1" s="1"/>
  <c r="BX99" i="1"/>
  <c r="BX100" i="1"/>
  <c r="BX101" i="1"/>
  <c r="BX102" i="1"/>
  <c r="BX103" i="1"/>
  <c r="BX104" i="1"/>
  <c r="BX105" i="1"/>
  <c r="BX106" i="1"/>
  <c r="BV106" i="1" s="1"/>
  <c r="BX107" i="1"/>
  <c r="BX108" i="1"/>
  <c r="BY108" i="1" s="1"/>
  <c r="BX109" i="1"/>
  <c r="BX110" i="1"/>
  <c r="BX111" i="1"/>
  <c r="BX112" i="1"/>
  <c r="BX113" i="1"/>
  <c r="BX114" i="1"/>
  <c r="BV114" i="1" s="1"/>
  <c r="BX115" i="1"/>
  <c r="BX116" i="1"/>
  <c r="BY116" i="1" s="1"/>
  <c r="BX117" i="1"/>
  <c r="BX118" i="1"/>
  <c r="BX119" i="1"/>
  <c r="BX120" i="1"/>
  <c r="BX121" i="1"/>
  <c r="BX122" i="1"/>
  <c r="BX123" i="1"/>
  <c r="BX124" i="1"/>
  <c r="BY124" i="1" s="1"/>
  <c r="BX125" i="1"/>
  <c r="BX126" i="1"/>
  <c r="BX127" i="1"/>
  <c r="BX128" i="1"/>
  <c r="BX129" i="1"/>
  <c r="BX130" i="1"/>
  <c r="BY130" i="1" s="1"/>
  <c r="BX131" i="1"/>
  <c r="BX132" i="1"/>
  <c r="BX133" i="1"/>
  <c r="BX134" i="1"/>
  <c r="BX135" i="1"/>
  <c r="BX136" i="1"/>
  <c r="BX137" i="1"/>
  <c r="BX138" i="1"/>
  <c r="BX139" i="1"/>
  <c r="BX140" i="1"/>
  <c r="BX141" i="1"/>
  <c r="BX142" i="1"/>
  <c r="BX143" i="1"/>
  <c r="BX144" i="1"/>
  <c r="BX145" i="1"/>
  <c r="BX146" i="1"/>
  <c r="BY146" i="1" s="1"/>
  <c r="BX147" i="1"/>
  <c r="BX148" i="1"/>
  <c r="BV148" i="1" s="1"/>
  <c r="BX149" i="1"/>
  <c r="BX150" i="1"/>
  <c r="BX151" i="1"/>
  <c r="BX152" i="1"/>
  <c r="BX153" i="1"/>
  <c r="BX154" i="1"/>
  <c r="BY154" i="1" s="1"/>
  <c r="BX155" i="1"/>
  <c r="BX156" i="1"/>
  <c r="BX157" i="1"/>
  <c r="BX158" i="1"/>
  <c r="BX159" i="1"/>
  <c r="BX160" i="1"/>
  <c r="BX161" i="1"/>
  <c r="BX162" i="1"/>
  <c r="BX163" i="1"/>
  <c r="BX164" i="1"/>
  <c r="BV164" i="1" s="1"/>
  <c r="BX165" i="1"/>
  <c r="BX166" i="1"/>
  <c r="BX167" i="1"/>
  <c r="BX168" i="1"/>
  <c r="BX169" i="1"/>
  <c r="BX170" i="1"/>
  <c r="BX171" i="1"/>
  <c r="BX172" i="1"/>
  <c r="BX173" i="1"/>
  <c r="BX174" i="1"/>
  <c r="BX175" i="1"/>
  <c r="BX176" i="1"/>
  <c r="BX177" i="1"/>
  <c r="BX178" i="1"/>
  <c r="BX179" i="1"/>
  <c r="BX180" i="1"/>
  <c r="BV180" i="1" s="1"/>
  <c r="BX181" i="1"/>
  <c r="BX182" i="1"/>
  <c r="BX183" i="1"/>
  <c r="BX184" i="1"/>
  <c r="BX185" i="1"/>
  <c r="BX186" i="1"/>
  <c r="BX187" i="1"/>
  <c r="BX188" i="1"/>
  <c r="BV188" i="1" s="1"/>
  <c r="BX189" i="1"/>
  <c r="BX190" i="1"/>
  <c r="BX191" i="1"/>
  <c r="BX192" i="1"/>
  <c r="BX193" i="1"/>
  <c r="BX194" i="1"/>
  <c r="BY194" i="1" s="1"/>
  <c r="BX195" i="1"/>
  <c r="BX196" i="1"/>
  <c r="BX197" i="1"/>
  <c r="BX198" i="1"/>
  <c r="BX199" i="1"/>
  <c r="BX200" i="1"/>
  <c r="BX201" i="1"/>
  <c r="BX202" i="1"/>
  <c r="BX203" i="1"/>
  <c r="BX204" i="1"/>
  <c r="BV204" i="1" s="1"/>
  <c r="BX205" i="1"/>
  <c r="BX206" i="1"/>
  <c r="BX207" i="1"/>
  <c r="BX208" i="1"/>
  <c r="BX209" i="1"/>
  <c r="BX210" i="1"/>
  <c r="BY210" i="1" s="1"/>
  <c r="BX211" i="1"/>
  <c r="BX212" i="1"/>
  <c r="BY212" i="1" s="1"/>
  <c r="BX213" i="1"/>
  <c r="BX214" i="1"/>
  <c r="BX215" i="1"/>
  <c r="BX216" i="1"/>
  <c r="BX217" i="1"/>
  <c r="BX218" i="1"/>
  <c r="BY218" i="1" s="1"/>
  <c r="BX219" i="1"/>
  <c r="BX220" i="1"/>
  <c r="BY220" i="1" s="1"/>
  <c r="BX221" i="1"/>
  <c r="BX222" i="1"/>
  <c r="BX223" i="1"/>
  <c r="BX224" i="1"/>
  <c r="BX225" i="1"/>
  <c r="BV225" i="1" s="1"/>
  <c r="BX226" i="1"/>
  <c r="BX227" i="1"/>
  <c r="BX228" i="1"/>
  <c r="BY228" i="1" s="1"/>
  <c r="BX229" i="1"/>
  <c r="BX230" i="1"/>
  <c r="BX231" i="1"/>
  <c r="BV231" i="1" s="1"/>
  <c r="BX232" i="1"/>
  <c r="BX233" i="1"/>
  <c r="BY233" i="1" s="1"/>
  <c r="BX234" i="1"/>
  <c r="BX235" i="1"/>
  <c r="BX236" i="1"/>
  <c r="BX237" i="1"/>
  <c r="BX238" i="1"/>
  <c r="BX239" i="1"/>
  <c r="BX240" i="1"/>
  <c r="BX241" i="1"/>
  <c r="BY241" i="1" s="1"/>
  <c r="BX242" i="1"/>
  <c r="BX243" i="1"/>
  <c r="BV243" i="1" s="1"/>
  <c r="BX244" i="1"/>
  <c r="BY244" i="1" s="1"/>
  <c r="BX245" i="1"/>
  <c r="BX246" i="1"/>
  <c r="BX247" i="1"/>
  <c r="BX248" i="1"/>
  <c r="BX249" i="1"/>
  <c r="BV249" i="1" s="1"/>
  <c r="BX250" i="1"/>
  <c r="BX251" i="1"/>
  <c r="BX252" i="1"/>
  <c r="BX253" i="1"/>
  <c r="BV253" i="1" s="1"/>
  <c r="BX254" i="1"/>
  <c r="BX255" i="1"/>
  <c r="BX256" i="1"/>
  <c r="BV256" i="1" s="1"/>
  <c r="BX257" i="1"/>
  <c r="BV257" i="1" s="1"/>
  <c r="BX258" i="1"/>
  <c r="BY258" i="1" s="1"/>
  <c r="BX259" i="1"/>
  <c r="BV259" i="1" s="1"/>
  <c r="BX5" i="1"/>
  <c r="BX4" i="1"/>
  <c r="BV4" i="1" s="1"/>
  <c r="BE17" i="1"/>
  <c r="BE18" i="1"/>
  <c r="BE19" i="1"/>
  <c r="BE20" i="1"/>
  <c r="BE21" i="1"/>
  <c r="BE22" i="1"/>
  <c r="BE23" i="1"/>
  <c r="BE24" i="1"/>
  <c r="BE25" i="1"/>
  <c r="BE26" i="1"/>
  <c r="BE27" i="1"/>
  <c r="BE28" i="1"/>
  <c r="BE29" i="1"/>
  <c r="BE30" i="1"/>
  <c r="BE31" i="1"/>
  <c r="BE32" i="1"/>
  <c r="BE33" i="1"/>
  <c r="BE34" i="1"/>
  <c r="BE35" i="1"/>
  <c r="BE36" i="1"/>
  <c r="BE37" i="1"/>
  <c r="BE38" i="1"/>
  <c r="BE39" i="1"/>
  <c r="BE16" i="1"/>
  <c r="BV251" i="1"/>
  <c r="BY247" i="1"/>
  <c r="BV247" i="1"/>
  <c r="BV240" i="1"/>
  <c r="BY239" i="1"/>
  <c r="BV239" i="1"/>
  <c r="BV237" i="1"/>
  <c r="BV235" i="1"/>
  <c r="BY232" i="1"/>
  <c r="BV232" i="1"/>
  <c r="BY231" i="1"/>
  <c r="BV229" i="1"/>
  <c r="BV227" i="1"/>
  <c r="BY224" i="1"/>
  <c r="BV224" i="1"/>
  <c r="BY223" i="1"/>
  <c r="BV223" i="1"/>
  <c r="BV221" i="1"/>
  <c r="BV219" i="1"/>
  <c r="BY217" i="1"/>
  <c r="BV217" i="1"/>
  <c r="BY216" i="1"/>
  <c r="BV216" i="1"/>
  <c r="BY215" i="1"/>
  <c r="BV215" i="1"/>
  <c r="BY214" i="1"/>
  <c r="BV212" i="1"/>
  <c r="BV211" i="1"/>
  <c r="BY209" i="1"/>
  <c r="BV209" i="1"/>
  <c r="BY208" i="1"/>
  <c r="BV208" i="1"/>
  <c r="BY207" i="1"/>
  <c r="BV207" i="1"/>
  <c r="BV203" i="1"/>
  <c r="BY201" i="1"/>
  <c r="BV201" i="1"/>
  <c r="BY200" i="1"/>
  <c r="BV200" i="1"/>
  <c r="BY199" i="1"/>
  <c r="BV199" i="1"/>
  <c r="BV197" i="1"/>
  <c r="BV195" i="1"/>
  <c r="BY193" i="1"/>
  <c r="BV193" i="1"/>
  <c r="BY192" i="1"/>
  <c r="BV192" i="1"/>
  <c r="BY191" i="1"/>
  <c r="BV191" i="1"/>
  <c r="BY190" i="1"/>
  <c r="BY189" i="1"/>
  <c r="BV189" i="1"/>
  <c r="BV187" i="1"/>
  <c r="BY185" i="1"/>
  <c r="BV185" i="1"/>
  <c r="BY184" i="1"/>
  <c r="BV184" i="1"/>
  <c r="BY183" i="1"/>
  <c r="BV183" i="1"/>
  <c r="BV179" i="1"/>
  <c r="BY177" i="1"/>
  <c r="BV177" i="1"/>
  <c r="BY176" i="1"/>
  <c r="BV176" i="1"/>
  <c r="BY175" i="1"/>
  <c r="BV175" i="1"/>
  <c r="BV173" i="1"/>
  <c r="BV172" i="1"/>
  <c r="BV171" i="1"/>
  <c r="BY169" i="1"/>
  <c r="BV169" i="1"/>
  <c r="BY168" i="1"/>
  <c r="BV168" i="1"/>
  <c r="BY167" i="1"/>
  <c r="BV167" i="1"/>
  <c r="BY165" i="1"/>
  <c r="BV165" i="1"/>
  <c r="BV163" i="1"/>
  <c r="BY162" i="1"/>
  <c r="BY161" i="1"/>
  <c r="BV161" i="1"/>
  <c r="BY160" i="1"/>
  <c r="BV160" i="1"/>
  <c r="BY159" i="1"/>
  <c r="BV159" i="1"/>
  <c r="BV157" i="1"/>
  <c r="BV155" i="1"/>
  <c r="BY153" i="1"/>
  <c r="BV153" i="1"/>
  <c r="BY152" i="1"/>
  <c r="BV152" i="1"/>
  <c r="BY151" i="1"/>
  <c r="BV151" i="1"/>
  <c r="BY150" i="1"/>
  <c r="BV147" i="1"/>
  <c r="BY145" i="1"/>
  <c r="BV145" i="1"/>
  <c r="BY144" i="1"/>
  <c r="BV144" i="1"/>
  <c r="BY143" i="1"/>
  <c r="BV143" i="1"/>
  <c r="BV139" i="1"/>
  <c r="BY137" i="1"/>
  <c r="BV137" i="1"/>
  <c r="BY136" i="1"/>
  <c r="BV136" i="1"/>
  <c r="BY135" i="1"/>
  <c r="BV135" i="1"/>
  <c r="BV133" i="1"/>
  <c r="BY132" i="1"/>
  <c r="BV131" i="1"/>
  <c r="BY129" i="1"/>
  <c r="BV129" i="1"/>
  <c r="BY128" i="1"/>
  <c r="BV128" i="1"/>
  <c r="BY127" i="1"/>
  <c r="BV127" i="1"/>
  <c r="BY126" i="1"/>
  <c r="BV125" i="1"/>
  <c r="BV123" i="1"/>
  <c r="BY121" i="1"/>
  <c r="BV121" i="1"/>
  <c r="BY120" i="1"/>
  <c r="BV120" i="1"/>
  <c r="BY119" i="1"/>
  <c r="BV119" i="1"/>
  <c r="BV116" i="1"/>
  <c r="BV115" i="1"/>
  <c r="BY113" i="1"/>
  <c r="BV113" i="1"/>
  <c r="BY112" i="1"/>
  <c r="BV112" i="1"/>
  <c r="BV111" i="1"/>
  <c r="BY109" i="1"/>
  <c r="BV107" i="1"/>
  <c r="BY105" i="1"/>
  <c r="BV105" i="1"/>
  <c r="BY104" i="1"/>
  <c r="BV104" i="1"/>
  <c r="BV103" i="1"/>
  <c r="BV99" i="1"/>
  <c r="BY97" i="1"/>
  <c r="BV97" i="1"/>
  <c r="BV96" i="1"/>
  <c r="BV95" i="1"/>
  <c r="BV93" i="1"/>
  <c r="BV91" i="1"/>
  <c r="BY89" i="1"/>
  <c r="BV89" i="1"/>
  <c r="BY88" i="1"/>
  <c r="BV88" i="1"/>
  <c r="BY87" i="1"/>
  <c r="BV87" i="1"/>
  <c r="BY86" i="1"/>
  <c r="BV86" i="1"/>
  <c r="BV85" i="1"/>
  <c r="BV84" i="1"/>
  <c r="BV83" i="1"/>
  <c r="BY81" i="1"/>
  <c r="BV81" i="1"/>
  <c r="BV80" i="1"/>
  <c r="BV79" i="1"/>
  <c r="BY78" i="1"/>
  <c r="BY77" i="1"/>
  <c r="BV75" i="1"/>
  <c r="BY73" i="1"/>
  <c r="BV73" i="1"/>
  <c r="BV72" i="1"/>
  <c r="BV71" i="1"/>
  <c r="BV70" i="1"/>
  <c r="BV69" i="1"/>
  <c r="BY68" i="1"/>
  <c r="BV67" i="1"/>
  <c r="BY66" i="1"/>
  <c r="BY65" i="1"/>
  <c r="BV65" i="1"/>
  <c r="BY64" i="1"/>
  <c r="BV64" i="1"/>
  <c r="BV63" i="1"/>
  <c r="BV62" i="1"/>
  <c r="BV61" i="1"/>
  <c r="BV60" i="1"/>
  <c r="BY57" i="1"/>
  <c r="BV57" i="1"/>
  <c r="BY56" i="1"/>
  <c r="BV56" i="1"/>
  <c r="BY55" i="1"/>
  <c r="BV55" i="1"/>
  <c r="BY54" i="1"/>
  <c r="BV54" i="1"/>
  <c r="BY53" i="1"/>
  <c r="BV53" i="1"/>
  <c r="BY49" i="1"/>
  <c r="BV49" i="1"/>
  <c r="BV48" i="1"/>
  <c r="BV47" i="1"/>
  <c r="BY46" i="1"/>
  <c r="BY45" i="1"/>
  <c r="BV44" i="1"/>
  <c r="BY44" i="1"/>
  <c r="BY41" i="1"/>
  <c r="BV40" i="1"/>
  <c r="BY38" i="1"/>
  <c r="BY37" i="1"/>
  <c r="BY36" i="1"/>
  <c r="BV36" i="1"/>
  <c r="BV35" i="1"/>
  <c r="BY33" i="1"/>
  <c r="BV32" i="1"/>
  <c r="BY31" i="1"/>
  <c r="BV31" i="1"/>
  <c r="BY30" i="1"/>
  <c r="BV30" i="1"/>
  <c r="BY29" i="1"/>
  <c r="BV29" i="1"/>
  <c r="BV27" i="1"/>
  <c r="BV25" i="1"/>
  <c r="BY25" i="1"/>
  <c r="BY23" i="1"/>
  <c r="BV23" i="1"/>
  <c r="BV22" i="1"/>
  <c r="BY21" i="1"/>
  <c r="BV20" i="1"/>
  <c r="BV19" i="1"/>
  <c r="BV17" i="1"/>
  <c r="BY16" i="1"/>
  <c r="BY15" i="1"/>
  <c r="BV15" i="1"/>
  <c r="BY14" i="1"/>
  <c r="BV14" i="1"/>
  <c r="BV11" i="1"/>
  <c r="BY9" i="1"/>
  <c r="BV9" i="1"/>
  <c r="BY8" i="1"/>
  <c r="BV8" i="1"/>
  <c r="BV7" i="1"/>
  <c r="BV6" i="1"/>
  <c r="I41" i="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BM32" i="1" l="1"/>
  <c r="BM24" i="1"/>
  <c r="BM22" i="1"/>
  <c r="BM30" i="1"/>
  <c r="BM36" i="1"/>
  <c r="AC165" i="1" s="1"/>
  <c r="BM20" i="1"/>
  <c r="AC149" i="1" s="1"/>
  <c r="BM28" i="1"/>
  <c r="AC157" i="1" s="1"/>
  <c r="BL90" i="1"/>
  <c r="BL70" i="1"/>
  <c r="BM18" i="1" s="1"/>
  <c r="R145" i="1"/>
  <c r="BR16" i="1"/>
  <c r="BK68" i="1"/>
  <c r="BR34" i="1"/>
  <c r="BR36" i="1"/>
  <c r="BR26" i="1"/>
  <c r="BR18" i="1"/>
  <c r="BR32" i="1"/>
  <c r="BR20" i="1"/>
  <c r="BR30" i="1"/>
  <c r="BR28" i="1"/>
  <c r="BR22" i="1"/>
  <c r="BL27" i="1"/>
  <c r="BL23" i="1"/>
  <c r="BR24" i="1"/>
  <c r="BL19" i="1"/>
  <c r="BQ70" i="1"/>
  <c r="BQ74" i="1"/>
  <c r="BQ78" i="1"/>
  <c r="BQ84" i="1"/>
  <c r="BQ90" i="1"/>
  <c r="BR68" i="1"/>
  <c r="BR72" i="1"/>
  <c r="BR76" i="1"/>
  <c r="BS24" i="1" s="1"/>
  <c r="BR80" i="1"/>
  <c r="BS28" i="1" s="1"/>
  <c r="BR82" i="1"/>
  <c r="BS30" i="1" s="1"/>
  <c r="BR86" i="1"/>
  <c r="BR88" i="1"/>
  <c r="BR38" i="1"/>
  <c r="BQ69" i="1"/>
  <c r="BQ71" i="1"/>
  <c r="BQ73" i="1"/>
  <c r="BQ75" i="1"/>
  <c r="BQ77" i="1"/>
  <c r="BQ79" i="1"/>
  <c r="BQ81" i="1"/>
  <c r="BQ83" i="1"/>
  <c r="BQ85" i="1"/>
  <c r="BQ87" i="1"/>
  <c r="BQ89" i="1"/>
  <c r="BQ91" i="1"/>
  <c r="BR17" i="1"/>
  <c r="BR19" i="1"/>
  <c r="BR21" i="1"/>
  <c r="BR23" i="1"/>
  <c r="BR25" i="1"/>
  <c r="BR27" i="1"/>
  <c r="BR29" i="1"/>
  <c r="BR31" i="1"/>
  <c r="BR33" i="1"/>
  <c r="BR35" i="1"/>
  <c r="BR37" i="1"/>
  <c r="BR39" i="1"/>
  <c r="AC151" i="1"/>
  <c r="AC153" i="1"/>
  <c r="AC159" i="1"/>
  <c r="AC161" i="1"/>
  <c r="BL16" i="1"/>
  <c r="BL18" i="1"/>
  <c r="BL20" i="1"/>
  <c r="BL22" i="1"/>
  <c r="BL24" i="1"/>
  <c r="BL28" i="1"/>
  <c r="BL30" i="1"/>
  <c r="BL32" i="1"/>
  <c r="BL36" i="1"/>
  <c r="BL38" i="1"/>
  <c r="BK69" i="1"/>
  <c r="BK71" i="1"/>
  <c r="BK73" i="1"/>
  <c r="BK75" i="1"/>
  <c r="BK77" i="1"/>
  <c r="BK79" i="1"/>
  <c r="BK81" i="1"/>
  <c r="BK83" i="1"/>
  <c r="BK85" i="1"/>
  <c r="BK87" i="1"/>
  <c r="BK89" i="1"/>
  <c r="BK91" i="1"/>
  <c r="BY10" i="1"/>
  <c r="BY26" i="1"/>
  <c r="BY67" i="1"/>
  <c r="BY249" i="1"/>
  <c r="BV241" i="1"/>
  <c r="BY255" i="1"/>
  <c r="BV233" i="1"/>
  <c r="BY254" i="1"/>
  <c r="BY18" i="1"/>
  <c r="BY225" i="1"/>
  <c r="BY253" i="1"/>
  <c r="BY237" i="1"/>
  <c r="BY197" i="1"/>
  <c r="BY173" i="1"/>
  <c r="BY157" i="1"/>
  <c r="BY141" i="1"/>
  <c r="BY133" i="1"/>
  <c r="BY101" i="1"/>
  <c r="BY93" i="1"/>
  <c r="BY85" i="1"/>
  <c r="BY69" i="1"/>
  <c r="BY61" i="1"/>
  <c r="BV100" i="1"/>
  <c r="BY180" i="1"/>
  <c r="BV244" i="1"/>
  <c r="BY100" i="1"/>
  <c r="BY125" i="1"/>
  <c r="BY181" i="1"/>
  <c r="BV76" i="1"/>
  <c r="BV108" i="1"/>
  <c r="BY148" i="1"/>
  <c r="BY164" i="1"/>
  <c r="BY188" i="1"/>
  <c r="BY204" i="1"/>
  <c r="BY245" i="1"/>
  <c r="BY252" i="1"/>
  <c r="BY257" i="1"/>
  <c r="BY60" i="1"/>
  <c r="BV68" i="1"/>
  <c r="BV132" i="1"/>
  <c r="BY149" i="1"/>
  <c r="BY205" i="1"/>
  <c r="BY221" i="1"/>
  <c r="BV228" i="1"/>
  <c r="BY13" i="1"/>
  <c r="BV92" i="1"/>
  <c r="BY117" i="1"/>
  <c r="BV124" i="1"/>
  <c r="BV140" i="1"/>
  <c r="BY156" i="1"/>
  <c r="BV196" i="1"/>
  <c r="BY213" i="1"/>
  <c r="BY229" i="1"/>
  <c r="BV236" i="1"/>
  <c r="BV255" i="1"/>
  <c r="BY260" i="1"/>
  <c r="BY52" i="1"/>
  <c r="BY84" i="1"/>
  <c r="BV156" i="1"/>
  <c r="BY172" i="1"/>
  <c r="BV248" i="1"/>
  <c r="BY92" i="1"/>
  <c r="BY140" i="1"/>
  <c r="BY196" i="1"/>
  <c r="BY236" i="1"/>
  <c r="BV220" i="1"/>
  <c r="BV252" i="1"/>
  <c r="BY7" i="1"/>
  <c r="BY6" i="1"/>
  <c r="BY5" i="1"/>
  <c r="BV138" i="1"/>
  <c r="BY139" i="1"/>
  <c r="BY142" i="1"/>
  <c r="BV202" i="1"/>
  <c r="BY203" i="1"/>
  <c r="BY206" i="1"/>
  <c r="BV12" i="1"/>
  <c r="BV16" i="1"/>
  <c r="BV24" i="1"/>
  <c r="BY32" i="1"/>
  <c r="BY43" i="1"/>
  <c r="BV45" i="1"/>
  <c r="BY47" i="1"/>
  <c r="BV77" i="1"/>
  <c r="BY79" i="1"/>
  <c r="BV98" i="1"/>
  <c r="BV101" i="1"/>
  <c r="BV109" i="1"/>
  <c r="BV117" i="1"/>
  <c r="BV130" i="1"/>
  <c r="BY131" i="1"/>
  <c r="BY134" i="1"/>
  <c r="BY138" i="1"/>
  <c r="BV181" i="1"/>
  <c r="BV194" i="1"/>
  <c r="BY195" i="1"/>
  <c r="BY198" i="1"/>
  <c r="BY202" i="1"/>
  <c r="BV245" i="1"/>
  <c r="BV258" i="1"/>
  <c r="BY259" i="1"/>
  <c r="BY28" i="1"/>
  <c r="BV39" i="1"/>
  <c r="BY40" i="1"/>
  <c r="BV122" i="1"/>
  <c r="BY123" i="1"/>
  <c r="BV186" i="1"/>
  <c r="BY187" i="1"/>
  <c r="BV250" i="1"/>
  <c r="BY251" i="1"/>
  <c r="BY90" i="1"/>
  <c r="BV90" i="1"/>
  <c r="BY11" i="1"/>
  <c r="BY71" i="1"/>
  <c r="BY17" i="1"/>
  <c r="BY94" i="1"/>
  <c r="BV94" i="1"/>
  <c r="BY24" i="1"/>
  <c r="BY63" i="1"/>
  <c r="BY102" i="1"/>
  <c r="BV102" i="1"/>
  <c r="BY106" i="1"/>
  <c r="BY110" i="1"/>
  <c r="BV110" i="1"/>
  <c r="BY114" i="1"/>
  <c r="BY118" i="1"/>
  <c r="BY122" i="1"/>
  <c r="BV178" i="1"/>
  <c r="BY179" i="1"/>
  <c r="BY182" i="1"/>
  <c r="BY186" i="1"/>
  <c r="BV242" i="1"/>
  <c r="BY243" i="1"/>
  <c r="BY246" i="1"/>
  <c r="BY250" i="1"/>
  <c r="BV146" i="1"/>
  <c r="BY147" i="1"/>
  <c r="BY98" i="1"/>
  <c r="BV5" i="1"/>
  <c r="BV13" i="1"/>
  <c r="BV21" i="1"/>
  <c r="BV34" i="1"/>
  <c r="BV38" i="1"/>
  <c r="BY42" i="1"/>
  <c r="BV46" i="1"/>
  <c r="BV78" i="1"/>
  <c r="BY91" i="1"/>
  <c r="BY95" i="1"/>
  <c r="BV170" i="1"/>
  <c r="BY171" i="1"/>
  <c r="BY174" i="1"/>
  <c r="BY178" i="1"/>
  <c r="BV234" i="1"/>
  <c r="BY235" i="1"/>
  <c r="BY238" i="1"/>
  <c r="BY242" i="1"/>
  <c r="BY20" i="1"/>
  <c r="BY58" i="1"/>
  <c r="BV58" i="1"/>
  <c r="BV210" i="1"/>
  <c r="BY211" i="1"/>
  <c r="BY19" i="1"/>
  <c r="BY27" i="1"/>
  <c r="BY22" i="1"/>
  <c r="BY35" i="1"/>
  <c r="BY70" i="1"/>
  <c r="BY72" i="1"/>
  <c r="BY74" i="1"/>
  <c r="BV74" i="1"/>
  <c r="BY103" i="1"/>
  <c r="BY107" i="1"/>
  <c r="BY111" i="1"/>
  <c r="BY115" i="1"/>
  <c r="BV149" i="1"/>
  <c r="BV162" i="1"/>
  <c r="BY163" i="1"/>
  <c r="BY166" i="1"/>
  <c r="BY170" i="1"/>
  <c r="BV213" i="1"/>
  <c r="BV226" i="1"/>
  <c r="BY227" i="1"/>
  <c r="BY230" i="1"/>
  <c r="BY234" i="1"/>
  <c r="BY62" i="1"/>
  <c r="BY39" i="1"/>
  <c r="BV33" i="1"/>
  <c r="BV37" i="1"/>
  <c r="BV41" i="1"/>
  <c r="BY48" i="1"/>
  <c r="BY50" i="1"/>
  <c r="BV50" i="1"/>
  <c r="BY80" i="1"/>
  <c r="BY82" i="1"/>
  <c r="BV82" i="1"/>
  <c r="BY96" i="1"/>
  <c r="BV141" i="1"/>
  <c r="BV154" i="1"/>
  <c r="BY155" i="1"/>
  <c r="BY158" i="1"/>
  <c r="BV205" i="1"/>
  <c r="BV218" i="1"/>
  <c r="BY219" i="1"/>
  <c r="BY222" i="1"/>
  <c r="BY226" i="1"/>
  <c r="BV43" i="1"/>
  <c r="BV51" i="1"/>
  <c r="BV59" i="1"/>
  <c r="BV118" i="1"/>
  <c r="BV126" i="1"/>
  <c r="BV134" i="1"/>
  <c r="BV142" i="1"/>
  <c r="BV150" i="1"/>
  <c r="BV158" i="1"/>
  <c r="BV166" i="1"/>
  <c r="BV174" i="1"/>
  <c r="BV182" i="1"/>
  <c r="BV190" i="1"/>
  <c r="BV198" i="1"/>
  <c r="BV206" i="1"/>
  <c r="BV214" i="1"/>
  <c r="BV222" i="1"/>
  <c r="BV230" i="1"/>
  <c r="BV238" i="1"/>
  <c r="BY240" i="1"/>
  <c r="BV246" i="1"/>
  <c r="BY248" i="1"/>
  <c r="BV254" i="1"/>
  <c r="BY256" i="1"/>
  <c r="AJ8" i="1"/>
  <c r="Y5" i="1" s="1"/>
  <c r="AI8" i="1"/>
  <c r="X5" i="1" s="1"/>
  <c r="AH8" i="1"/>
  <c r="W5" i="1" s="1"/>
  <c r="AG8" i="1"/>
  <c r="Y4" i="1" s="1"/>
  <c r="AF8" i="1"/>
  <c r="X4" i="1" s="1"/>
  <c r="AE8" i="1"/>
  <c r="W4" i="1" s="1"/>
  <c r="AD8" i="1"/>
  <c r="Y3" i="1" s="1"/>
  <c r="AC8" i="1"/>
  <c r="X3" i="1" s="1"/>
  <c r="AB8" i="1"/>
  <c r="W3" i="1" s="1"/>
  <c r="K64" i="1"/>
  <c r="J64" i="1"/>
  <c r="I64" i="1"/>
  <c r="D64" i="1"/>
  <c r="C64" i="1"/>
  <c r="B64" i="1"/>
  <c r="K63" i="1"/>
  <c r="J63" i="1"/>
  <c r="I63" i="1"/>
  <c r="D63" i="1"/>
  <c r="C63" i="1"/>
  <c r="B63" i="1"/>
  <c r="K62" i="1"/>
  <c r="J62" i="1"/>
  <c r="I62" i="1"/>
  <c r="D62" i="1"/>
  <c r="C62" i="1"/>
  <c r="B62" i="1"/>
  <c r="K61" i="1"/>
  <c r="J61" i="1"/>
  <c r="I61" i="1"/>
  <c r="D61" i="1"/>
  <c r="C61" i="1"/>
  <c r="B61" i="1"/>
  <c r="K60" i="1"/>
  <c r="J60" i="1"/>
  <c r="I60" i="1"/>
  <c r="D60" i="1"/>
  <c r="C60" i="1"/>
  <c r="B60" i="1"/>
  <c r="K59" i="1"/>
  <c r="J59" i="1"/>
  <c r="I59" i="1"/>
  <c r="D59" i="1"/>
  <c r="C59" i="1"/>
  <c r="B59" i="1"/>
  <c r="K58" i="1"/>
  <c r="J58" i="1"/>
  <c r="I58" i="1"/>
  <c r="D58" i="1"/>
  <c r="C58" i="1"/>
  <c r="B58" i="1"/>
  <c r="K57" i="1"/>
  <c r="J57" i="1"/>
  <c r="I57" i="1"/>
  <c r="D57" i="1"/>
  <c r="C57" i="1"/>
  <c r="B57" i="1"/>
  <c r="K56" i="1"/>
  <c r="J56" i="1"/>
  <c r="I56" i="1"/>
  <c r="D56" i="1"/>
  <c r="C56" i="1"/>
  <c r="B56" i="1"/>
  <c r="K55" i="1"/>
  <c r="J55" i="1"/>
  <c r="I55" i="1"/>
  <c r="D55" i="1"/>
  <c r="C55" i="1"/>
  <c r="B55" i="1"/>
  <c r="K54" i="1"/>
  <c r="J54" i="1"/>
  <c r="I54" i="1"/>
  <c r="D54" i="1"/>
  <c r="C54" i="1"/>
  <c r="B54" i="1"/>
  <c r="K53" i="1"/>
  <c r="J53" i="1"/>
  <c r="I53" i="1"/>
  <c r="D53" i="1"/>
  <c r="C53" i="1"/>
  <c r="B53" i="1"/>
  <c r="K52" i="1"/>
  <c r="J52" i="1"/>
  <c r="I52" i="1"/>
  <c r="D52" i="1"/>
  <c r="C52" i="1"/>
  <c r="B52" i="1"/>
  <c r="K51" i="1"/>
  <c r="J51" i="1"/>
  <c r="I51" i="1"/>
  <c r="D51" i="1"/>
  <c r="C51" i="1"/>
  <c r="B51" i="1"/>
  <c r="K50" i="1"/>
  <c r="J50" i="1"/>
  <c r="I50" i="1"/>
  <c r="D50" i="1"/>
  <c r="C50" i="1"/>
  <c r="B50" i="1"/>
  <c r="K49" i="1"/>
  <c r="J49" i="1"/>
  <c r="I49" i="1"/>
  <c r="D49" i="1"/>
  <c r="C49" i="1"/>
  <c r="B49" i="1"/>
  <c r="K48" i="1"/>
  <c r="J48" i="1"/>
  <c r="I48" i="1"/>
  <c r="D48" i="1"/>
  <c r="C48" i="1"/>
  <c r="B48" i="1"/>
  <c r="K47" i="1"/>
  <c r="J47" i="1"/>
  <c r="I47" i="1"/>
  <c r="D47" i="1"/>
  <c r="C47" i="1"/>
  <c r="B47" i="1"/>
  <c r="K46" i="1"/>
  <c r="J46" i="1"/>
  <c r="I46" i="1"/>
  <c r="D46" i="1"/>
  <c r="C46" i="1"/>
  <c r="B46" i="1"/>
  <c r="K45" i="1"/>
  <c r="J45" i="1"/>
  <c r="I45" i="1"/>
  <c r="D45" i="1"/>
  <c r="C45" i="1"/>
  <c r="B45" i="1"/>
  <c r="K44" i="1"/>
  <c r="J44" i="1"/>
  <c r="I44" i="1"/>
  <c r="D44" i="1"/>
  <c r="C44" i="1"/>
  <c r="B44" i="1"/>
  <c r="K43" i="1"/>
  <c r="J43" i="1"/>
  <c r="I43" i="1"/>
  <c r="D43" i="1"/>
  <c r="C43" i="1"/>
  <c r="B43" i="1"/>
  <c r="K42" i="1"/>
  <c r="J42" i="1"/>
  <c r="I42" i="1"/>
  <c r="D42" i="1"/>
  <c r="C42" i="1"/>
  <c r="B42" i="1"/>
  <c r="K41" i="1"/>
  <c r="J41" i="1"/>
  <c r="D41" i="1"/>
  <c r="C41" i="1"/>
  <c r="B41" i="1"/>
  <c r="N11" i="1"/>
  <c r="AP7" i="1" s="1"/>
  <c r="AR7" i="1" s="1"/>
  <c r="O8" i="1"/>
  <c r="K8" i="1" s="1"/>
  <c r="N8" i="1"/>
  <c r="O6" i="1"/>
  <c r="J6" i="1" s="1"/>
  <c r="N6" i="1"/>
  <c r="O4" i="1"/>
  <c r="N4" i="1"/>
  <c r="BS36" i="1" l="1"/>
  <c r="BS20" i="1"/>
  <c r="AD149" i="1" s="1"/>
  <c r="BS16" i="1"/>
  <c r="BM38" i="1"/>
  <c r="AC167" i="1" s="1"/>
  <c r="AC147" i="1"/>
  <c r="AD145" i="1"/>
  <c r="AD165" i="1"/>
  <c r="BL25" i="1"/>
  <c r="BL29" i="1"/>
  <c r="BL37" i="1"/>
  <c r="AD157" i="1"/>
  <c r="BL33" i="1"/>
  <c r="AD159" i="1"/>
  <c r="AD153" i="1"/>
  <c r="BL39" i="1"/>
  <c r="BG42" i="1"/>
  <c r="BF23" i="1"/>
  <c r="Q126" i="1" s="1"/>
  <c r="BH42" i="1"/>
  <c r="BF28" i="1"/>
  <c r="Q131" i="1" s="1"/>
  <c r="BF38" i="1"/>
  <c r="Q141" i="1" s="1"/>
  <c r="BF29" i="1"/>
  <c r="Q132" i="1" s="1"/>
  <c r="BF20" i="1"/>
  <c r="Q123" i="1" s="1"/>
  <c r="AR9" i="1"/>
  <c r="AP9" i="1" s="1"/>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J83" i="1"/>
  <c r="J109" i="1" s="1"/>
  <c r="I135" i="1" s="1"/>
  <c r="J87" i="1"/>
  <c r="J113" i="1" s="1"/>
  <c r="I139" i="1" s="1"/>
  <c r="I90" i="1"/>
  <c r="I116" i="1" s="1"/>
  <c r="J84" i="1"/>
  <c r="J110" i="1" s="1"/>
  <c r="I136" i="1" s="1"/>
  <c r="J68" i="1"/>
  <c r="J94" i="1" s="1"/>
  <c r="I120" i="1" s="1"/>
  <c r="J72" i="1"/>
  <c r="J98" i="1" s="1"/>
  <c r="I124" i="1" s="1"/>
  <c r="J76" i="1"/>
  <c r="J102" i="1" s="1"/>
  <c r="I128" i="1" s="1"/>
  <c r="C80" i="1"/>
  <c r="C106" i="1" s="1"/>
  <c r="B132" i="1" s="1"/>
  <c r="D84" i="1"/>
  <c r="D110" i="1" s="1"/>
  <c r="B83" i="1"/>
  <c r="B109" i="1" s="1"/>
  <c r="D69" i="1"/>
  <c r="D95" i="1" s="1"/>
  <c r="D85" i="1"/>
  <c r="D111" i="1" s="1"/>
  <c r="D77" i="1"/>
  <c r="D103" i="1" s="1"/>
  <c r="AQ8" i="1"/>
  <c r="AP8" i="1" s="1"/>
  <c r="I86" i="1"/>
  <c r="I112" i="1" s="1"/>
  <c r="B84" i="1"/>
  <c r="B110" i="1" s="1"/>
  <c r="K82" i="1"/>
  <c r="K108" i="1" s="1"/>
  <c r="D88" i="1"/>
  <c r="D114" i="1" s="1"/>
  <c r="C72" i="1"/>
  <c r="C98" i="1" s="1"/>
  <c r="B124" i="1" s="1"/>
  <c r="C84" i="1"/>
  <c r="C110" i="1" s="1"/>
  <c r="J89" i="1"/>
  <c r="J115" i="1" s="1"/>
  <c r="I141" i="1" s="1"/>
  <c r="D67" i="1"/>
  <c r="D93" i="1" s="1"/>
  <c r="J80" i="1"/>
  <c r="J106" i="1" s="1"/>
  <c r="J81" i="1"/>
  <c r="J107" i="1" s="1"/>
  <c r="I133" i="1" s="1"/>
  <c r="D87" i="1"/>
  <c r="D113" i="1" s="1"/>
  <c r="K88" i="1"/>
  <c r="K114" i="1" s="1"/>
  <c r="I87" i="1"/>
  <c r="I113" i="1" s="1"/>
  <c r="B70" i="1"/>
  <c r="B96" i="1" s="1"/>
  <c r="D82" i="1"/>
  <c r="D108" i="1" s="1"/>
  <c r="K67" i="1"/>
  <c r="K93" i="1" s="1"/>
  <c r="K75" i="1"/>
  <c r="K101" i="1" s="1"/>
  <c r="K79" i="1"/>
  <c r="K105" i="1" s="1"/>
  <c r="K80" i="1"/>
  <c r="K106" i="1" s="1"/>
  <c r="K83" i="1"/>
  <c r="K109" i="1" s="1"/>
  <c r="K87" i="1"/>
  <c r="K113" i="1" s="1"/>
  <c r="I88" i="1"/>
  <c r="I114" i="1" s="1"/>
  <c r="B85" i="1"/>
  <c r="B111" i="1" s="1"/>
  <c r="D89" i="1"/>
  <c r="D115" i="1" s="1"/>
  <c r="I89" i="1"/>
  <c r="I115" i="1" s="1"/>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J88" i="1"/>
  <c r="J114" i="1" s="1"/>
  <c r="I68" i="1"/>
  <c r="I94" i="1" s="1"/>
  <c r="I72" i="1"/>
  <c r="I98" i="1" s="1"/>
  <c r="I83" i="1"/>
  <c r="I109" i="1" s="1"/>
  <c r="BS29" i="1" l="1"/>
  <c r="AD158" i="1" s="1"/>
  <c r="BS33" i="1"/>
  <c r="AD162" i="1" s="1"/>
  <c r="BS32" i="1"/>
  <c r="AD161" i="1" s="1"/>
  <c r="BS22" i="1"/>
  <c r="AD151" i="1" s="1"/>
  <c r="BS39" i="1"/>
  <c r="AD168" i="1" s="1"/>
  <c r="BS37" i="1"/>
  <c r="AD166" i="1" s="1"/>
  <c r="BS25" i="1"/>
  <c r="AD154" i="1" s="1"/>
  <c r="BS18" i="1"/>
  <c r="AD147" i="1" s="1"/>
  <c r="BS17" i="1"/>
  <c r="AD146" i="1" s="1"/>
  <c r="BS26" i="1"/>
  <c r="AD155" i="1" s="1"/>
  <c r="BS23" i="1"/>
  <c r="AD152" i="1" s="1"/>
  <c r="BS27" i="1"/>
  <c r="AD156" i="1" s="1"/>
  <c r="BS38" i="1"/>
  <c r="AD167" i="1" s="1"/>
  <c r="BS31" i="1"/>
  <c r="AD160" i="1" s="1"/>
  <c r="BS19" i="1"/>
  <c r="AD148" i="1" s="1"/>
  <c r="BM39" i="1"/>
  <c r="AC168" i="1" s="1"/>
  <c r="BM29" i="1"/>
  <c r="AC158" i="1" s="1"/>
  <c r="BM19" i="1"/>
  <c r="AC148" i="1" s="1"/>
  <c r="BM27" i="1"/>
  <c r="AC156" i="1" s="1"/>
  <c r="BM25" i="1"/>
  <c r="AC154" i="1" s="1"/>
  <c r="BM33" i="1"/>
  <c r="AC162" i="1" s="1"/>
  <c r="BM37" i="1"/>
  <c r="AC166" i="1" s="1"/>
  <c r="BM23" i="1"/>
  <c r="AC152" i="1" s="1"/>
  <c r="AC145" i="1"/>
  <c r="I171" i="1" s="1"/>
  <c r="BF21" i="1"/>
  <c r="Q124" i="1" s="1"/>
  <c r="BF39" i="1"/>
  <c r="Q142" i="1" s="1"/>
  <c r="BF26" i="1"/>
  <c r="Q129" i="1" s="1"/>
  <c r="BF36" i="1"/>
  <c r="Q139" i="1" s="1"/>
  <c r="BF30" i="1"/>
  <c r="Q133" i="1" s="1"/>
  <c r="BF25" i="1"/>
  <c r="Q128" i="1" s="1"/>
  <c r="BF18" i="1"/>
  <c r="Q121" i="1" s="1"/>
  <c r="BF37" i="1"/>
  <c r="Q140" i="1" s="1"/>
  <c r="BF16" i="1"/>
  <c r="BF19" i="1"/>
  <c r="Q122" i="1" s="1"/>
  <c r="BF33" i="1"/>
  <c r="Q136" i="1" s="1"/>
  <c r="J135" i="1"/>
  <c r="C137" i="1"/>
  <c r="D135" i="1"/>
  <c r="AR8" i="1"/>
  <c r="Y8" i="1" s="1"/>
  <c r="AG9" i="1" s="1"/>
  <c r="W8" i="1"/>
  <c r="AE9" i="1" s="1"/>
  <c r="Y9" i="1"/>
  <c r="AJ9" i="1" s="1"/>
  <c r="AQ9" i="1"/>
  <c r="X9" i="1" s="1"/>
  <c r="AI9" i="1" s="1"/>
  <c r="W9" i="1"/>
  <c r="AH9" i="1" s="1"/>
  <c r="J141" i="1"/>
  <c r="C133" i="1"/>
  <c r="D132" i="1"/>
  <c r="D158" i="1" s="1"/>
  <c r="J125" i="1"/>
  <c r="J120" i="1"/>
  <c r="C124" i="1"/>
  <c r="J136" i="1"/>
  <c r="J133" i="1"/>
  <c r="K136" i="1"/>
  <c r="K141" i="1"/>
  <c r="X7" i="1"/>
  <c r="AC9" i="1" s="1"/>
  <c r="K124" i="1"/>
  <c r="C132" i="1"/>
  <c r="K132" i="1"/>
  <c r="C135" i="1"/>
  <c r="J124" i="1"/>
  <c r="D136" i="1"/>
  <c r="K139" i="1"/>
  <c r="C136" i="1"/>
  <c r="K135" i="1"/>
  <c r="K133" i="1"/>
  <c r="D124" i="1"/>
  <c r="K120" i="1"/>
  <c r="J119" i="1"/>
  <c r="K128" i="1"/>
  <c r="J132" i="1"/>
  <c r="I132" i="1"/>
  <c r="B184" i="1" s="1"/>
  <c r="J139" i="1"/>
  <c r="J129" i="1"/>
  <c r="J128" i="1"/>
  <c r="J140" i="1"/>
  <c r="C125" i="1"/>
  <c r="C127" i="1"/>
  <c r="B136" i="1"/>
  <c r="B188" i="1" s="1"/>
  <c r="C131" i="1"/>
  <c r="C129" i="1"/>
  <c r="J137" i="1"/>
  <c r="J130" i="1"/>
  <c r="J121" i="1"/>
  <c r="J131" i="1"/>
  <c r="J123" i="1"/>
  <c r="C141" i="1"/>
  <c r="C126" i="1"/>
  <c r="K134" i="1"/>
  <c r="I134" i="1"/>
  <c r="D122" i="1"/>
  <c r="B122" i="1"/>
  <c r="I122" i="1"/>
  <c r="K122" i="1"/>
  <c r="D134" i="1"/>
  <c r="B134" i="1"/>
  <c r="D123" i="1"/>
  <c r="B123" i="1"/>
  <c r="B187" i="1"/>
  <c r="R31" i="1"/>
  <c r="I137" i="1"/>
  <c r="K137" i="1"/>
  <c r="K121" i="1"/>
  <c r="I121" i="1"/>
  <c r="C120" i="1"/>
  <c r="I123" i="1"/>
  <c r="K123" i="1"/>
  <c r="D127" i="1"/>
  <c r="B127" i="1"/>
  <c r="D133" i="1"/>
  <c r="B133" i="1"/>
  <c r="I131" i="1"/>
  <c r="K131" i="1"/>
  <c r="C119" i="1"/>
  <c r="K142" i="1"/>
  <c r="I142" i="1"/>
  <c r="C128" i="1"/>
  <c r="C150" i="1"/>
  <c r="C140" i="1"/>
  <c r="C121" i="1"/>
  <c r="D142" i="1"/>
  <c r="B142" i="1"/>
  <c r="J142" i="1"/>
  <c r="R57" i="1"/>
  <c r="D119" i="1"/>
  <c r="B119" i="1"/>
  <c r="B138" i="1"/>
  <c r="D138" i="1"/>
  <c r="B128" i="1"/>
  <c r="D128" i="1"/>
  <c r="Q84" i="1"/>
  <c r="R83" i="1"/>
  <c r="S85" i="1"/>
  <c r="R84" i="1"/>
  <c r="Q83" i="1"/>
  <c r="Q85" i="1"/>
  <c r="R85" i="1"/>
  <c r="S84" i="1"/>
  <c r="S83" i="1"/>
  <c r="J122" i="1"/>
  <c r="B129" i="1"/>
  <c r="D129" i="1"/>
  <c r="I119" i="1"/>
  <c r="K119" i="1"/>
  <c r="D126" i="1"/>
  <c r="B126" i="1"/>
  <c r="B176" i="1"/>
  <c r="R20" i="1"/>
  <c r="B120" i="1"/>
  <c r="D120" i="1"/>
  <c r="K130" i="1"/>
  <c r="I130" i="1"/>
  <c r="K127" i="1"/>
  <c r="I127" i="1"/>
  <c r="B140" i="1"/>
  <c r="D140" i="1"/>
  <c r="D121" i="1"/>
  <c r="B121" i="1"/>
  <c r="C142" i="1"/>
  <c r="C122" i="1"/>
  <c r="D141" i="1"/>
  <c r="B141" i="1"/>
  <c r="J127" i="1"/>
  <c r="D137" i="1"/>
  <c r="D163" i="1" s="1"/>
  <c r="B137" i="1"/>
  <c r="B131" i="1"/>
  <c r="D131" i="1"/>
  <c r="C130" i="1"/>
  <c r="C139" i="1"/>
  <c r="K125" i="1"/>
  <c r="R47" i="1" s="1"/>
  <c r="I125" i="1"/>
  <c r="K140" i="1"/>
  <c r="I140" i="1"/>
  <c r="B139" i="1"/>
  <c r="D139" i="1"/>
  <c r="K138" i="1"/>
  <c r="I138" i="1"/>
  <c r="C134" i="1"/>
  <c r="D125" i="1"/>
  <c r="B125" i="1"/>
  <c r="I126" i="1"/>
  <c r="K126" i="1"/>
  <c r="J126" i="1"/>
  <c r="I129" i="1"/>
  <c r="K129" i="1"/>
  <c r="D130" i="1"/>
  <c r="B130" i="1"/>
  <c r="J134" i="1"/>
  <c r="C123" i="1"/>
  <c r="J138" i="1"/>
  <c r="C138" i="1"/>
  <c r="Q54" i="1" l="1"/>
  <c r="C158" i="1"/>
  <c r="D161" i="1"/>
  <c r="R61" i="1"/>
  <c r="D150" i="1"/>
  <c r="R63" i="1"/>
  <c r="Q58" i="1"/>
  <c r="I161" i="1"/>
  <c r="J161" i="1" s="1"/>
  <c r="R46" i="1"/>
  <c r="R42" i="1"/>
  <c r="D162" i="1"/>
  <c r="I162" i="1"/>
  <c r="C188" i="1" s="1"/>
  <c r="S20" i="1"/>
  <c r="X98" i="1" s="1"/>
  <c r="R45" i="1"/>
  <c r="R58" i="1"/>
  <c r="R55" i="1"/>
  <c r="S16" i="1"/>
  <c r="X94" i="1" s="1"/>
  <c r="S31" i="1"/>
  <c r="X109" i="1" s="1"/>
  <c r="I150" i="1"/>
  <c r="C176" i="1" s="1"/>
  <c r="Q51" i="1"/>
  <c r="S32" i="1"/>
  <c r="X110" i="1" s="1"/>
  <c r="Z7" i="1"/>
  <c r="R54" i="1"/>
  <c r="C162" i="1"/>
  <c r="Q46" i="1"/>
  <c r="C161" i="1"/>
  <c r="Q48" i="1"/>
  <c r="Q57" i="1"/>
  <c r="R52" i="1"/>
  <c r="R53" i="1"/>
  <c r="R59" i="1"/>
  <c r="R28" i="1"/>
  <c r="S28" i="1"/>
  <c r="X106" i="1" s="1"/>
  <c r="I158" i="1"/>
  <c r="C157" i="1"/>
  <c r="S25" i="1"/>
  <c r="X103" i="1" s="1"/>
  <c r="R50" i="1"/>
  <c r="Q49" i="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159" i="1"/>
  <c r="Q47" i="1"/>
  <c r="AE2" i="1"/>
  <c r="C166" i="1"/>
  <c r="I166" i="1"/>
  <c r="D166" i="1"/>
  <c r="Q62" i="1"/>
  <c r="D149" i="1"/>
  <c r="I149" i="1"/>
  <c r="J149" i="1" s="1"/>
  <c r="C149" i="1"/>
  <c r="Q45" i="1"/>
  <c r="B178" i="1"/>
  <c r="R22" i="1"/>
  <c r="I159" i="1"/>
  <c r="B171" i="1"/>
  <c r="R15" i="1"/>
  <c r="I154" i="1"/>
  <c r="J154" i="1" s="1"/>
  <c r="Q50" i="1"/>
  <c r="D154" i="1"/>
  <c r="C154" i="1"/>
  <c r="S33" i="1"/>
  <c r="X111" i="1" s="1"/>
  <c r="R16" i="1"/>
  <c r="R62" i="1"/>
  <c r="I163" i="1"/>
  <c r="D155" i="1"/>
  <c r="I151" i="1"/>
  <c r="R56" i="1"/>
  <c r="S30" i="1"/>
  <c r="X108" i="1" s="1"/>
  <c r="I164" i="1"/>
  <c r="J164" i="1" s="1"/>
  <c r="D164" i="1"/>
  <c r="C164" i="1"/>
  <c r="Q60" i="1"/>
  <c r="D168" i="1"/>
  <c r="C168" i="1"/>
  <c r="Q64" i="1"/>
  <c r="I168" i="1"/>
  <c r="J168" i="1" s="1"/>
  <c r="I157" i="1"/>
  <c r="D157" i="1"/>
  <c r="C159" i="1"/>
  <c r="R43" i="1"/>
  <c r="S19" i="1"/>
  <c r="X97" i="1" s="1"/>
  <c r="D145" i="1"/>
  <c r="C145" i="1"/>
  <c r="I145" i="1"/>
  <c r="Q41" i="1"/>
  <c r="B174" i="1"/>
  <c r="R18" i="1"/>
  <c r="S24" i="1"/>
  <c r="X102" i="1" s="1"/>
  <c r="B194" i="1"/>
  <c r="R38" i="1"/>
  <c r="B189" i="1"/>
  <c r="R33" i="1"/>
  <c r="S9" i="1"/>
  <c r="S21" i="1"/>
  <c r="X99" i="1" s="1"/>
  <c r="S29" i="1"/>
  <c r="X107" i="1" s="1"/>
  <c r="B190" i="1"/>
  <c r="R34" i="1"/>
  <c r="B192" i="1"/>
  <c r="R36" i="1"/>
  <c r="D165" i="1"/>
  <c r="I165" i="1"/>
  <c r="J165" i="1" s="1"/>
  <c r="C165" i="1"/>
  <c r="Q61" i="1"/>
  <c r="S35" i="1"/>
  <c r="X113" i="1" s="1"/>
  <c r="S23" i="1"/>
  <c r="X101" i="1" s="1"/>
  <c r="R49" i="1"/>
  <c r="R41" i="1"/>
  <c r="B179" i="1"/>
  <c r="R23" i="1"/>
  <c r="R44" i="1"/>
  <c r="S18" i="1"/>
  <c r="X96" i="1" s="1"/>
  <c r="K161" i="1"/>
  <c r="D152" i="1"/>
  <c r="D151" i="1"/>
  <c r="C163" i="1"/>
  <c r="I160" i="1"/>
  <c r="K160" i="1" s="1"/>
  <c r="D160" i="1"/>
  <c r="C160" i="1"/>
  <c r="Q56" i="1"/>
  <c r="B191" i="1"/>
  <c r="R35" i="1"/>
  <c r="B177" i="1"/>
  <c r="R21" i="1"/>
  <c r="Q55" i="1"/>
  <c r="B181" i="1"/>
  <c r="R25" i="1"/>
  <c r="D156" i="1"/>
  <c r="C156" i="1"/>
  <c r="Q52" i="1"/>
  <c r="I156" i="1"/>
  <c r="J156" i="1" s="1"/>
  <c r="B182" i="1"/>
  <c r="R26" i="1"/>
  <c r="S27" i="1"/>
  <c r="X105" i="1" s="1"/>
  <c r="R64" i="1"/>
  <c r="S38" i="1"/>
  <c r="X116" i="1" s="1"/>
  <c r="C152" i="1"/>
  <c r="B183" i="1"/>
  <c r="R27" i="1"/>
  <c r="B175" i="1"/>
  <c r="R19" i="1"/>
  <c r="C146" i="1"/>
  <c r="Q42" i="1"/>
  <c r="I146" i="1"/>
  <c r="D146" i="1"/>
  <c r="Q59" i="1"/>
  <c r="I148" i="1"/>
  <c r="C174" i="1" s="1"/>
  <c r="D148" i="1"/>
  <c r="Q44" i="1"/>
  <c r="C148" i="1"/>
  <c r="C151" i="1"/>
  <c r="R60" i="1"/>
  <c r="S34" i="1"/>
  <c r="X112" i="1" s="1"/>
  <c r="R48" i="1"/>
  <c r="S22" i="1"/>
  <c r="X100" i="1" s="1"/>
  <c r="R24" i="1"/>
  <c r="C187" i="1"/>
  <c r="D147" i="1"/>
  <c r="C147" i="1"/>
  <c r="Q43" i="1"/>
  <c r="I147" i="1"/>
  <c r="J147" i="1" s="1"/>
  <c r="B173" i="1"/>
  <c r="R17" i="1"/>
  <c r="R37" i="1"/>
  <c r="B186" i="1"/>
  <c r="R30" i="1"/>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Q145" i="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7" i="1"/>
  <c r="S167" i="1"/>
  <c r="R167" i="1"/>
  <c r="S147" i="1"/>
  <c r="R147" i="1"/>
  <c r="Q147" i="1"/>
  <c r="Q157" i="1"/>
  <c r="R157" i="1"/>
  <c r="S157" i="1"/>
  <c r="Q165" i="1"/>
  <c r="R165" i="1"/>
  <c r="S165" i="1"/>
  <c r="S155" i="1"/>
  <c r="R155" i="1"/>
  <c r="Q155" i="1"/>
  <c r="R152" i="1"/>
  <c r="Q152" i="1"/>
  <c r="S152" i="1"/>
  <c r="R162" i="1"/>
  <c r="S162" i="1"/>
  <c r="Q162" i="1"/>
  <c r="R166" i="1"/>
  <c r="Q166" i="1"/>
  <c r="S166" i="1"/>
  <c r="S145" i="1"/>
  <c r="W145" i="1" s="1"/>
  <c r="BH16" i="1" s="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60" i="1"/>
  <c r="M151" i="1"/>
  <c r="O151" i="1"/>
  <c r="D177" i="1" s="1"/>
  <c r="O166" i="1"/>
  <c r="D192" i="1" s="1"/>
  <c r="M166" i="1"/>
  <c r="M157" i="1"/>
  <c r="O157" i="1"/>
  <c r="D183" i="1" s="1"/>
  <c r="M159" i="1"/>
  <c r="O159" i="1"/>
  <c r="D185" i="1" s="1"/>
  <c r="N161" i="1"/>
  <c r="AB16" i="1"/>
  <c r="BF68" i="1" l="1"/>
  <c r="BE68" i="1"/>
  <c r="BG68" i="1" s="1"/>
  <c r="AB15" i="1"/>
  <c r="AB36" i="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AB21" i="1"/>
  <c r="W99" i="1"/>
  <c r="Y149" i="1"/>
  <c r="N155" i="1"/>
  <c r="X150" i="1"/>
  <c r="Y158" i="1"/>
  <c r="W167" i="1"/>
  <c r="BH38" i="1" s="1"/>
  <c r="X149" i="1"/>
  <c r="X168" i="1"/>
  <c r="Y165" i="1"/>
  <c r="AB29" i="1"/>
  <c r="W158" i="1"/>
  <c r="BH29" i="1" s="1"/>
  <c r="X158" i="1"/>
  <c r="W157" i="1"/>
  <c r="BH28" i="1" s="1"/>
  <c r="AB25" i="1"/>
  <c r="Z47" i="1"/>
  <c r="W150" i="1"/>
  <c r="BH21" i="1" s="1"/>
  <c r="Y150" i="1"/>
  <c r="W149" i="1"/>
  <c r="BH20" i="1" s="1"/>
  <c r="Z48" i="1"/>
  <c r="Z49" i="1"/>
  <c r="Z50" i="1"/>
  <c r="Z46" i="1"/>
  <c r="Y147" i="1"/>
  <c r="W147" i="1"/>
  <c r="BH18" i="1" s="1"/>
  <c r="X145" i="1"/>
  <c r="W168" i="1"/>
  <c r="BH39" i="1" s="1"/>
  <c r="W154" i="1"/>
  <c r="BH25" i="1" s="1"/>
  <c r="W152" i="1"/>
  <c r="BH23" i="1" s="1"/>
  <c r="Y148" i="1"/>
  <c r="W166" i="1"/>
  <c r="BH37" i="1" s="1"/>
  <c r="W162" i="1"/>
  <c r="BH33" i="1" s="1"/>
  <c r="W165" i="1"/>
  <c r="BH36" i="1" s="1"/>
  <c r="X157" i="1"/>
  <c r="W155" i="1"/>
  <c r="BH26" i="1" s="1"/>
  <c r="X154" i="1"/>
  <c r="Y166" i="1"/>
  <c r="X147" i="1"/>
  <c r="Y154" i="1"/>
  <c r="Y167" i="1"/>
  <c r="X167" i="1"/>
  <c r="Y168" i="1"/>
  <c r="W159" i="1"/>
  <c r="BH30" i="1" s="1"/>
  <c r="Y152" i="1"/>
  <c r="X152" i="1"/>
  <c r="X165" i="1"/>
  <c r="X166" i="1"/>
  <c r="X155" i="1"/>
  <c r="Y162" i="1"/>
  <c r="Y159" i="1"/>
  <c r="X162" i="1"/>
  <c r="X159" i="1"/>
  <c r="X148" i="1"/>
  <c r="W148" i="1"/>
  <c r="BH19" i="1" s="1"/>
  <c r="Y155" i="1"/>
  <c r="Y157" i="1"/>
  <c r="Y145" i="1"/>
  <c r="AD46" i="1"/>
  <c r="AB34" i="1"/>
  <c r="AB48" i="1"/>
  <c r="S4" i="1"/>
  <c r="AB47" i="1"/>
  <c r="AB50" i="1"/>
  <c r="AB35" i="1"/>
  <c r="N167" i="1"/>
  <c r="N159" i="1"/>
  <c r="N154" i="1"/>
  <c r="N149" i="1"/>
  <c r="N166" i="1"/>
  <c r="N163" i="1"/>
  <c r="N165" i="1"/>
  <c r="AB19" i="1"/>
  <c r="AB27" i="1"/>
  <c r="N157" i="1"/>
  <c r="N151" i="1"/>
  <c r="AB49" i="1"/>
  <c r="N146" i="1"/>
  <c r="AB38" i="1"/>
  <c r="N145" i="1"/>
  <c r="BH68" i="1" l="1"/>
  <c r="BG16" i="1" s="1"/>
  <c r="BF78" i="1"/>
  <c r="BH78" i="1" s="1"/>
  <c r="BE78" i="1"/>
  <c r="BE90" i="1"/>
  <c r="BF90" i="1"/>
  <c r="BH90" i="1" s="1"/>
  <c r="BE75" i="1"/>
  <c r="BF75" i="1"/>
  <c r="BH75" i="1" s="1"/>
  <c r="BE77" i="1"/>
  <c r="BF77" i="1"/>
  <c r="BH77" i="1" s="1"/>
  <c r="BE73" i="1"/>
  <c r="BF73" i="1"/>
  <c r="BH73" i="1" s="1"/>
  <c r="BE88" i="1"/>
  <c r="BF88" i="1"/>
  <c r="BH88" i="1" s="1"/>
  <c r="BF71" i="1"/>
  <c r="BH71" i="1" s="1"/>
  <c r="BE71" i="1"/>
  <c r="BE85" i="1"/>
  <c r="BF85" i="1"/>
  <c r="BH85" i="1" s="1"/>
  <c r="BE91" i="1"/>
  <c r="BF91" i="1"/>
  <c r="BH91" i="1" s="1"/>
  <c r="BE82" i="1"/>
  <c r="BF82" i="1"/>
  <c r="BH82" i="1" s="1"/>
  <c r="BE89" i="1"/>
  <c r="BF89" i="1"/>
  <c r="BH89" i="1" s="1"/>
  <c r="BE72" i="1"/>
  <c r="BF72" i="1"/>
  <c r="BH72" i="1" s="1"/>
  <c r="BE80" i="1"/>
  <c r="BF80" i="1"/>
  <c r="BH80" i="1" s="1"/>
  <c r="BF70" i="1"/>
  <c r="BH70" i="1" s="1"/>
  <c r="BE70" i="1"/>
  <c r="BE81" i="1"/>
  <c r="BF81" i="1"/>
  <c r="BH81" i="1" s="1"/>
  <c r="W46" i="1"/>
  <c r="X46" i="1"/>
  <c r="Y46" i="1"/>
  <c r="AD50" i="1"/>
  <c r="W50" i="1"/>
  <c r="Y50" i="1"/>
  <c r="X50" i="1"/>
  <c r="AD47" i="1"/>
  <c r="W47" i="1"/>
  <c r="X47" i="1"/>
  <c r="Y47" i="1"/>
  <c r="AD48" i="1"/>
  <c r="W48" i="1"/>
  <c r="X48" i="1"/>
  <c r="Y48" i="1"/>
  <c r="X49" i="1"/>
  <c r="Y49" i="1"/>
  <c r="W49" i="1"/>
  <c r="AC46" i="1"/>
  <c r="AC48" i="1"/>
  <c r="AC47" i="1"/>
  <c r="S12" i="1"/>
  <c r="AC50" i="1"/>
  <c r="AD49" i="1"/>
  <c r="AC49" i="1"/>
  <c r="AB145" i="1" l="1"/>
  <c r="BG71" i="1"/>
  <c r="BG19" i="1" s="1"/>
  <c r="AB148" i="1" s="1"/>
  <c r="BG81" i="1"/>
  <c r="BG29" i="1" s="1"/>
  <c r="AB158" i="1" s="1"/>
  <c r="BG91" i="1"/>
  <c r="BG39" i="1"/>
  <c r="AB168" i="1" s="1"/>
  <c r="J194" i="1" s="1"/>
  <c r="BG70" i="1"/>
  <c r="BG18" i="1"/>
  <c r="AB147" i="1" s="1"/>
  <c r="BG80" i="1"/>
  <c r="BG28" i="1"/>
  <c r="AB157" i="1" s="1"/>
  <c r="BG75" i="1"/>
  <c r="BG23" i="1" s="1"/>
  <c r="AB152" i="1" s="1"/>
  <c r="BG72" i="1"/>
  <c r="BG20" i="1"/>
  <c r="AB149" i="1" s="1"/>
  <c r="BG88" i="1"/>
  <c r="BG36" i="1"/>
  <c r="AB165" i="1" s="1"/>
  <c r="BG89" i="1"/>
  <c r="BG37" i="1"/>
  <c r="AB166" i="1" s="1"/>
  <c r="BG90" i="1"/>
  <c r="BG38" i="1" s="1"/>
  <c r="AB167" i="1" s="1"/>
  <c r="K193" i="1" s="1"/>
  <c r="BG77" i="1"/>
  <c r="BG25" i="1"/>
  <c r="AB154" i="1" s="1"/>
  <c r="BG78" i="1"/>
  <c r="BG26" i="1"/>
  <c r="AB155" i="1" s="1"/>
  <c r="BG82" i="1"/>
  <c r="BG30" i="1"/>
  <c r="AB159" i="1" s="1"/>
  <c r="BG85" i="1"/>
  <c r="BG33" i="1" s="1"/>
  <c r="AB162" i="1" s="1"/>
  <c r="BG73" i="1"/>
  <c r="BG21" i="1"/>
  <c r="AB150" i="1" s="1"/>
  <c r="J193" i="1" l="1"/>
  <c r="K194" i="1"/>
  <c r="I193" i="1"/>
  <c r="M193" i="1" s="1"/>
  <c r="I194" i="1"/>
  <c r="M194" i="1" s="1"/>
  <c r="K184" i="1"/>
  <c r="K183" i="1"/>
  <c r="J184" i="1"/>
  <c r="J185" i="1"/>
  <c r="I184" i="1"/>
  <c r="M184" i="1" s="1"/>
  <c r="J178" i="1"/>
  <c r="J188" i="1"/>
  <c r="I175" i="1"/>
  <c r="M175" i="1" s="1"/>
  <c r="J183" i="1"/>
  <c r="K192" i="1"/>
  <c r="I192" i="1"/>
  <c r="M192" i="1" s="1"/>
  <c r="J192" i="1"/>
  <c r="K175" i="1"/>
  <c r="I183" i="1"/>
  <c r="M183" i="1" s="1"/>
  <c r="K178" i="1"/>
  <c r="I185" i="1"/>
  <c r="M185" i="1" s="1"/>
  <c r="K174" i="1"/>
  <c r="I174" i="1"/>
  <c r="M174" i="1" s="1"/>
  <c r="J174" i="1"/>
  <c r="K173" i="1"/>
  <c r="I173" i="1"/>
  <c r="M173" i="1" s="1"/>
  <c r="J173" i="1"/>
  <c r="K185" i="1"/>
  <c r="I188" i="1"/>
  <c r="M188" i="1" s="1"/>
  <c r="K191" i="1"/>
  <c r="I191" i="1"/>
  <c r="M191" i="1" s="1"/>
  <c r="J191" i="1"/>
  <c r="K188" i="1"/>
  <c r="J180" i="1"/>
  <c r="I180" i="1"/>
  <c r="K180" i="1"/>
  <c r="J175" i="1"/>
  <c r="I178" i="1"/>
  <c r="M178" i="1" s="1"/>
  <c r="M180" i="1" l="1"/>
  <c r="J171" i="1"/>
  <c r="K171" i="1"/>
  <c r="M171" i="1"/>
  <c r="AC12" i="1" l="1"/>
  <c r="AD12" i="1"/>
  <c r="AE12" i="1"/>
  <c r="AF12" i="1"/>
  <c r="AG12" i="1"/>
  <c r="Q189" i="1" l="1"/>
  <c r="Q190" i="1"/>
  <c r="Q191" i="1"/>
  <c r="S191" i="1" s="1"/>
  <c r="N191" i="1" s="1"/>
  <c r="Q192" i="1"/>
  <c r="AP4" i="1"/>
  <c r="AO4" i="1"/>
  <c r="AM4" i="1"/>
  <c r="AN4" i="1"/>
  <c r="S189" i="1"/>
  <c r="S190" i="1"/>
  <c r="S192" i="1"/>
  <c r="N192" i="1" s="1"/>
  <c r="Q172" i="1"/>
  <c r="S172" i="1" s="1"/>
  <c r="Q171" i="1"/>
  <c r="S171" i="1" s="1"/>
  <c r="N171" i="1" s="1"/>
  <c r="Q182" i="1"/>
  <c r="S182" i="1" s="1"/>
  <c r="Q179" i="1"/>
  <c r="S179" i="1" s="1"/>
  <c r="Q187" i="1"/>
  <c r="S187" i="1" s="1"/>
  <c r="Q177" i="1"/>
  <c r="S177" i="1" s="1"/>
  <c r="Q185" i="1"/>
  <c r="S185" i="1" s="1"/>
  <c r="N185" i="1" s="1"/>
  <c r="Q186" i="1"/>
  <c r="S186" i="1" s="1"/>
  <c r="Q175" i="1"/>
  <c r="S175" i="1" s="1"/>
  <c r="N175" i="1" s="1"/>
  <c r="Q180" i="1"/>
  <c r="S180" i="1" s="1"/>
  <c r="N180" i="1" s="1"/>
  <c r="AQ4" i="1"/>
  <c r="AH12" i="1"/>
  <c r="AR4" i="1" s="1"/>
  <c r="Q184" i="1" l="1"/>
  <c r="S184" i="1" s="1"/>
  <c r="N184" i="1" s="1"/>
  <c r="Q193" i="1"/>
  <c r="S193" i="1" s="1"/>
  <c r="N193" i="1" s="1"/>
  <c r="Q194" i="1"/>
  <c r="S194" i="1" s="1"/>
  <c r="N194" i="1" s="1"/>
  <c r="Q178" i="1"/>
  <c r="S178" i="1" s="1"/>
  <c r="N178" i="1" s="1"/>
  <c r="Q181" i="1"/>
  <c r="S181" i="1" s="1"/>
  <c r="Q188" i="1"/>
  <c r="S188" i="1" s="1"/>
  <c r="N188" i="1" s="1"/>
  <c r="Q173" i="1"/>
  <c r="S173" i="1" s="1"/>
  <c r="N173" i="1" s="1"/>
  <c r="Q174" i="1"/>
  <c r="S174" i="1" s="1"/>
  <c r="N174" i="1" s="1"/>
  <c r="Q176" i="1"/>
  <c r="S176" i="1" s="1"/>
  <c r="Q183" i="1"/>
  <c r="S183" i="1" s="1"/>
  <c r="N183" i="1" s="1"/>
  <c r="AI12" i="1"/>
  <c r="R180" i="1" l="1"/>
  <c r="T180" i="1" s="1"/>
  <c r="O180" i="1" s="1"/>
  <c r="R194" i="1"/>
  <c r="T194" i="1" s="1"/>
  <c r="O194" i="1" s="1"/>
  <c r="R188" i="1"/>
  <c r="T188" i="1" s="1"/>
  <c r="O188" i="1" s="1"/>
  <c r="R175" i="1"/>
  <c r="T175" i="1" s="1"/>
  <c r="O175" i="1" s="1"/>
  <c r="R187" i="1"/>
  <c r="T187" i="1" s="1"/>
  <c r="R173" i="1"/>
  <c r="T173" i="1" s="1"/>
  <c r="O173" i="1" s="1"/>
  <c r="R178" i="1"/>
  <c r="T178" i="1" s="1"/>
  <c r="O178" i="1" s="1"/>
  <c r="R176" i="1"/>
  <c r="T176" i="1" s="1"/>
  <c r="AS4" i="1"/>
  <c r="R183" i="1"/>
  <c r="T183" i="1" s="1"/>
  <c r="O183" i="1" s="1"/>
  <c r="AJ12" i="1" l="1"/>
  <c r="R179" i="1" s="1"/>
  <c r="T179" i="1" s="1"/>
  <c r="R172" i="1"/>
  <c r="T172" i="1" s="1"/>
  <c r="R171" i="1" l="1"/>
  <c r="T171" i="1" s="1"/>
  <c r="O171" i="1" s="1"/>
  <c r="R182" i="1"/>
  <c r="T182" i="1" s="1"/>
  <c r="R174" i="1"/>
  <c r="T174" i="1" s="1"/>
  <c r="O174" i="1" s="1"/>
  <c r="R189" i="1"/>
  <c r="T189" i="1" s="1"/>
  <c r="R191" i="1"/>
  <c r="T191" i="1" s="1"/>
  <c r="O191" i="1" s="1"/>
  <c r="R192" i="1"/>
  <c r="T192" i="1" s="1"/>
  <c r="O192" i="1" s="1"/>
  <c r="R190" i="1"/>
  <c r="T190" i="1" s="1"/>
  <c r="R193" i="1"/>
  <c r="T193" i="1" s="1"/>
  <c r="O193" i="1" s="1"/>
  <c r="R184" i="1"/>
  <c r="T184" i="1" s="1"/>
  <c r="O184" i="1" s="1"/>
  <c r="R177" i="1"/>
  <c r="T177" i="1" s="1"/>
  <c r="AT4" i="1"/>
  <c r="AH2" i="1" s="1"/>
  <c r="R181" i="1"/>
  <c r="T181" i="1" s="1"/>
  <c r="R186" i="1"/>
  <c r="T186" i="1" s="1"/>
  <c r="R185" i="1"/>
  <c r="T185" i="1" s="1"/>
  <c r="O185" i="1" s="1"/>
  <c r="X180" i="1" l="1"/>
  <c r="AC180" i="1" s="1"/>
  <c r="N24" i="1" s="1"/>
  <c r="N50" i="1" s="1"/>
  <c r="X194" i="1"/>
  <c r="AC194" i="1" s="1"/>
  <c r="N38" i="1" s="1"/>
  <c r="N64" i="1" s="1"/>
  <c r="X175" i="1"/>
  <c r="AC175" i="1" s="1"/>
  <c r="N19" i="1" s="1"/>
  <c r="N45" i="1" s="1"/>
  <c r="X188" i="1"/>
  <c r="AC188" i="1" s="1"/>
  <c r="N32" i="1" s="1"/>
  <c r="N58" i="1" s="1"/>
  <c r="X183" i="1"/>
  <c r="AC183" i="1" s="1"/>
  <c r="N27" i="1" s="1"/>
  <c r="N53" i="1" s="1"/>
  <c r="X178" i="1"/>
  <c r="AC178" i="1" s="1"/>
  <c r="N22" i="1" s="1"/>
  <c r="N48" i="1" s="1"/>
  <c r="X173" i="1"/>
  <c r="AC173" i="1" s="1"/>
  <c r="N17" i="1" s="1"/>
  <c r="N43" i="1" s="1"/>
  <c r="X174" i="1"/>
  <c r="AC174" i="1" s="1"/>
  <c r="N18" i="1" s="1"/>
  <c r="N44" i="1" s="1"/>
  <c r="X171" i="1"/>
  <c r="X185" i="1"/>
  <c r="AC185" i="1" s="1"/>
  <c r="N29" i="1" s="1"/>
  <c r="N55" i="1" s="1"/>
  <c r="X192" i="1"/>
  <c r="AC192" i="1" s="1"/>
  <c r="N36" i="1" s="1"/>
  <c r="N62" i="1" s="1"/>
  <c r="X193" i="1"/>
  <c r="AC193" i="1" s="1"/>
  <c r="N37" i="1" s="1"/>
  <c r="N63" i="1" s="1"/>
  <c r="X191" i="1"/>
  <c r="AC191" i="1" s="1"/>
  <c r="N35" i="1" s="1"/>
  <c r="N61" i="1" s="1"/>
  <c r="X184" i="1"/>
  <c r="AC184" i="1" s="1"/>
  <c r="N28" i="1" s="1"/>
  <c r="N54" i="1" s="1"/>
  <c r="Y180" i="1"/>
  <c r="AD180" i="1" s="1"/>
  <c r="O24" i="1" s="1"/>
  <c r="O50" i="1" s="1"/>
  <c r="Y173" i="1"/>
  <c r="AD173" i="1" s="1"/>
  <c r="O17" i="1" s="1"/>
  <c r="O43" i="1" s="1"/>
  <c r="Y194" i="1"/>
  <c r="AD194" i="1" s="1"/>
  <c r="O38" i="1" s="1"/>
  <c r="O64" i="1" s="1"/>
  <c r="Y183" i="1"/>
  <c r="AD183" i="1" s="1"/>
  <c r="O27" i="1" s="1"/>
  <c r="O53" i="1" s="1"/>
  <c r="Y178" i="1"/>
  <c r="AD178" i="1" s="1"/>
  <c r="O22" i="1" s="1"/>
  <c r="O48" i="1" s="1"/>
  <c r="Y188" i="1"/>
  <c r="AD188" i="1" s="1"/>
  <c r="O32" i="1" s="1"/>
  <c r="O58" i="1" s="1"/>
  <c r="Y175" i="1"/>
  <c r="AD175" i="1" s="1"/>
  <c r="O19" i="1" s="1"/>
  <c r="O45" i="1" s="1"/>
  <c r="Y171" i="1"/>
  <c r="AD171" i="1" s="1"/>
  <c r="O15" i="1" s="1"/>
  <c r="O41" i="1" s="1"/>
  <c r="Y174" i="1"/>
  <c r="AD174" i="1" s="1"/>
  <c r="O18" i="1" s="1"/>
  <c r="O44" i="1" s="1"/>
  <c r="Y184" i="1"/>
  <c r="AD184" i="1" s="1"/>
  <c r="O28" i="1" s="1"/>
  <c r="O54" i="1" s="1"/>
  <c r="Y192" i="1"/>
  <c r="AD192" i="1" s="1"/>
  <c r="O36" i="1" s="1"/>
  <c r="O62" i="1" s="1"/>
  <c r="Y193" i="1"/>
  <c r="AD193" i="1" s="1"/>
  <c r="O37" i="1" s="1"/>
  <c r="O63" i="1" s="1"/>
  <c r="Y185" i="1"/>
  <c r="AD185" i="1" s="1"/>
  <c r="O29" i="1" s="1"/>
  <c r="O55" i="1" s="1"/>
  <c r="Y191" i="1"/>
  <c r="AD191" i="1" s="1"/>
  <c r="O35" i="1" s="1"/>
  <c r="O61" i="1" s="1"/>
  <c r="W180" i="1"/>
  <c r="AB180" i="1" s="1"/>
  <c r="M24" i="1" s="1"/>
  <c r="M50" i="1" s="1"/>
  <c r="W175" i="1"/>
  <c r="AB175" i="1" s="1"/>
  <c r="M19" i="1" s="1"/>
  <c r="M45" i="1" s="1"/>
  <c r="W194" i="1"/>
  <c r="AB194" i="1" s="1"/>
  <c r="M38" i="1" s="1"/>
  <c r="M64" i="1" s="1"/>
  <c r="W178" i="1"/>
  <c r="AB178" i="1" s="1"/>
  <c r="M22" i="1" s="1"/>
  <c r="M48" i="1" s="1"/>
  <c r="W188" i="1"/>
  <c r="AB188" i="1" s="1"/>
  <c r="M32" i="1" s="1"/>
  <c r="M58" i="1" s="1"/>
  <c r="W183" i="1"/>
  <c r="AB183" i="1" s="1"/>
  <c r="M27" i="1" s="1"/>
  <c r="M53" i="1" s="1"/>
  <c r="W173" i="1"/>
  <c r="AB173" i="1" s="1"/>
  <c r="M17" i="1" s="1"/>
  <c r="M43" i="1" s="1"/>
  <c r="W171" i="1"/>
  <c r="AB171" i="1" s="1"/>
  <c r="M15" i="1" s="1"/>
  <c r="M41" i="1" s="1"/>
  <c r="W174" i="1"/>
  <c r="AB174" i="1" s="1"/>
  <c r="M18" i="1" s="1"/>
  <c r="M44" i="1" s="1"/>
  <c r="W192" i="1"/>
  <c r="AB192" i="1" s="1"/>
  <c r="M36" i="1" s="1"/>
  <c r="M62" i="1" s="1"/>
  <c r="W185" i="1"/>
  <c r="AB185" i="1" s="1"/>
  <c r="M29" i="1" s="1"/>
  <c r="M55" i="1" s="1"/>
  <c r="W193" i="1"/>
  <c r="AB193" i="1" s="1"/>
  <c r="M37" i="1" s="1"/>
  <c r="M63" i="1" s="1"/>
  <c r="W191" i="1"/>
  <c r="AB191" i="1" s="1"/>
  <c r="M35" i="1" s="1"/>
  <c r="M61" i="1" s="1"/>
  <c r="W184" i="1"/>
  <c r="AB184" i="1" s="1"/>
  <c r="M28" i="1" s="1"/>
  <c r="M54" i="1" s="1"/>
  <c r="AC171" i="1" l="1"/>
  <c r="N15" i="1" s="1"/>
  <c r="N41" i="1" s="1"/>
  <c r="O88" i="1"/>
  <c r="O114" i="1" s="1"/>
  <c r="N88" i="1"/>
  <c r="N114" i="1" s="1"/>
  <c r="M88" i="1"/>
  <c r="M114" i="1" s="1"/>
  <c r="N79" i="1"/>
  <c r="N105" i="1" s="1"/>
  <c r="M79" i="1"/>
  <c r="M105" i="1" s="1"/>
  <c r="O79" i="1"/>
  <c r="O105" i="1" s="1"/>
  <c r="O84" i="1"/>
  <c r="O110" i="1" s="1"/>
  <c r="M84" i="1"/>
  <c r="M110" i="1" s="1"/>
  <c r="N84" i="1"/>
  <c r="N110" i="1" s="1"/>
  <c r="M70" i="1"/>
  <c r="M96" i="1" s="1"/>
  <c r="O70" i="1"/>
  <c r="O96" i="1" s="1"/>
  <c r="N70" i="1"/>
  <c r="N96" i="1" s="1"/>
  <c r="N74" i="1"/>
  <c r="N100" i="1" s="1"/>
  <c r="O74" i="1"/>
  <c r="O100" i="1" s="1"/>
  <c r="M74" i="1"/>
  <c r="M100" i="1" s="1"/>
  <c r="N80" i="1"/>
  <c r="N106" i="1" s="1"/>
  <c r="O80" i="1"/>
  <c r="O106" i="1" s="1"/>
  <c r="M80" i="1"/>
  <c r="M106" i="1" s="1"/>
  <c r="O87" i="1"/>
  <c r="O113" i="1" s="1"/>
  <c r="M87" i="1"/>
  <c r="M113" i="1" s="1"/>
  <c r="N87" i="1"/>
  <c r="N113" i="1" s="1"/>
  <c r="M90" i="1"/>
  <c r="M116" i="1" s="1"/>
  <c r="O90" i="1"/>
  <c r="O116" i="1" s="1"/>
  <c r="N90" i="1"/>
  <c r="N116" i="1" s="1"/>
  <c r="N89" i="1"/>
  <c r="N115" i="1" s="1"/>
  <c r="M89" i="1"/>
  <c r="M115" i="1" s="1"/>
  <c r="O89" i="1"/>
  <c r="O115" i="1" s="1"/>
  <c r="N81" i="1"/>
  <c r="N107" i="1" s="1"/>
  <c r="O81" i="1"/>
  <c r="O107" i="1" s="1"/>
  <c r="M81" i="1"/>
  <c r="M107" i="1" s="1"/>
  <c r="M71" i="1"/>
  <c r="M97" i="1" s="1"/>
  <c r="N71" i="1"/>
  <c r="N97" i="1" s="1"/>
  <c r="O71" i="1"/>
  <c r="O97" i="1" s="1"/>
  <c r="O69" i="1"/>
  <c r="O95" i="1" s="1"/>
  <c r="M69" i="1"/>
  <c r="M95" i="1" s="1"/>
  <c r="N69" i="1"/>
  <c r="N95" i="1" s="1"/>
  <c r="O76" i="1"/>
  <c r="O102" i="1" s="1"/>
  <c r="M76" i="1"/>
  <c r="M102" i="1" s="1"/>
  <c r="N76" i="1"/>
  <c r="N102" i="1" s="1"/>
  <c r="O67" i="1" l="1"/>
  <c r="O93" i="1" s="1"/>
  <c r="N67" i="1"/>
  <c r="N93" i="1" s="1"/>
  <c r="M67" i="1"/>
  <c r="M93" i="1" s="1"/>
  <c r="N132" i="1"/>
  <c r="N140" i="1"/>
  <c r="N131" i="1"/>
  <c r="N126" i="1"/>
  <c r="N141" i="1"/>
  <c r="O122" i="1"/>
  <c r="M122" i="1"/>
  <c r="X18" i="1" s="1"/>
  <c r="O133" i="1"/>
  <c r="M133" i="1"/>
  <c r="X29" i="1" s="1"/>
  <c r="M139" i="1"/>
  <c r="X35" i="1" s="1"/>
  <c r="O139" i="1"/>
  <c r="O131" i="1"/>
  <c r="M131" i="1"/>
  <c r="X27" i="1" s="1"/>
  <c r="O123" i="1"/>
  <c r="M123" i="1"/>
  <c r="X19" i="1" s="1"/>
  <c r="O141" i="1"/>
  <c r="M141" i="1"/>
  <c r="X37" i="1" s="1"/>
  <c r="N139" i="1"/>
  <c r="N122" i="1"/>
  <c r="O128" i="1"/>
  <c r="M128" i="1"/>
  <c r="X24" i="1" s="1"/>
  <c r="N123" i="1"/>
  <c r="O142" i="1"/>
  <c r="M142" i="1"/>
  <c r="X38" i="1" s="1"/>
  <c r="M140" i="1"/>
  <c r="X36" i="1" s="1"/>
  <c r="O140" i="1"/>
  <c r="N121" i="1"/>
  <c r="M132" i="1"/>
  <c r="X28" i="1" s="1"/>
  <c r="O132" i="1"/>
  <c r="N142" i="1"/>
  <c r="O121" i="1"/>
  <c r="M121" i="1"/>
  <c r="X17" i="1" s="1"/>
  <c r="M136" i="1"/>
  <c r="X32" i="1" s="1"/>
  <c r="O136" i="1"/>
  <c r="N128" i="1"/>
  <c r="N133" i="1"/>
  <c r="M126" i="1"/>
  <c r="X22" i="1" s="1"/>
  <c r="O126" i="1"/>
  <c r="N136" i="1"/>
  <c r="N119" i="1" l="1"/>
  <c r="M119" i="1"/>
  <c r="X15" i="1" s="1"/>
  <c r="O119" i="1"/>
  <c r="S54" i="1"/>
  <c r="Y22" i="1"/>
  <c r="X126" i="1" s="1"/>
  <c r="Y27" i="1"/>
  <c r="X131" i="1" s="1"/>
  <c r="S63" i="1"/>
  <c r="Y36" i="1"/>
  <c r="X140" i="1" s="1"/>
  <c r="Y28" i="1"/>
  <c r="X132" i="1" s="1"/>
  <c r="Y37" i="1"/>
  <c r="X141" i="1" s="1"/>
  <c r="S53" i="1"/>
  <c r="S61" i="1"/>
  <c r="S62" i="1"/>
  <c r="Y35" i="1"/>
  <c r="X139" i="1" s="1"/>
  <c r="S58" i="1"/>
  <c r="Y32" i="1"/>
  <c r="X136" i="1" s="1"/>
  <c r="S48" i="1"/>
  <c r="S50" i="1"/>
  <c r="Y24" i="1"/>
  <c r="X128" i="1" s="1"/>
  <c r="S44" i="1"/>
  <c r="Y18" i="1"/>
  <c r="X122" i="1" s="1"/>
  <c r="Y29" i="1"/>
  <c r="X133" i="1" s="1"/>
  <c r="S55" i="1"/>
  <c r="S64" i="1"/>
  <c r="Y38" i="1"/>
  <c r="X142" i="1" s="1"/>
  <c r="Y17" i="1"/>
  <c r="X121" i="1" s="1"/>
  <c r="S43" i="1"/>
  <c r="Y19" i="1"/>
  <c r="X123" i="1" s="1"/>
  <c r="S45" i="1"/>
  <c r="Y15" i="1" l="1"/>
  <c r="X119" i="1" s="1"/>
  <c r="S41" i="1"/>
  <c r="Z27" i="1"/>
  <c r="Y131" i="1" s="1"/>
  <c r="Z22" i="1"/>
  <c r="Y126" i="1" s="1"/>
  <c r="Z37" i="1"/>
  <c r="Y141" i="1" s="1"/>
  <c r="Z36" i="1"/>
  <c r="Y140" i="1" s="1"/>
  <c r="Z17" i="1"/>
  <c r="Y121" i="1" s="1"/>
  <c r="Z28" i="1"/>
  <c r="Z35" i="1"/>
  <c r="Y139" i="1" s="1"/>
  <c r="Z38" i="1"/>
  <c r="Y142" i="1" s="1"/>
  <c r="Z29" i="1"/>
  <c r="Y133" i="1" s="1"/>
  <c r="Z18" i="1"/>
  <c r="Y122" i="1" s="1"/>
  <c r="T6" i="1" a="1"/>
  <c r="T5" i="1" a="1"/>
  <c r="Z19" i="1"/>
  <c r="Y123" i="1" s="1"/>
  <c r="Z24" i="1"/>
  <c r="Y128" i="1" s="1"/>
  <c r="Z32" i="1"/>
  <c r="Z15" i="1" l="1"/>
  <c r="W15" i="1" s="1"/>
  <c r="W119" i="1" s="1"/>
  <c r="W37" i="1"/>
  <c r="AC37" i="1" s="1"/>
  <c r="W27" i="1"/>
  <c r="AC27" i="1" s="1"/>
  <c r="W22" i="1"/>
  <c r="W126" i="1" s="1"/>
  <c r="W36" i="1"/>
  <c r="W140" i="1" s="1"/>
  <c r="W35" i="1"/>
  <c r="AC35" i="1" s="1"/>
  <c r="W17" i="1"/>
  <c r="W121" i="1" s="1"/>
  <c r="Y132" i="1"/>
  <c r="W28" i="1"/>
  <c r="W38" i="1"/>
  <c r="AC38" i="1" s="1"/>
  <c r="W19" i="1"/>
  <c r="W123" i="1" s="1"/>
  <c r="W29" i="1"/>
  <c r="W133" i="1" s="1"/>
  <c r="W18" i="1"/>
  <c r="W122" i="1" s="1"/>
  <c r="Y136" i="1"/>
  <c r="W32" i="1"/>
  <c r="Y119" i="1"/>
  <c r="W24" i="1"/>
  <c r="W141" i="1" l="1"/>
  <c r="W131" i="1"/>
  <c r="AC29" i="1"/>
  <c r="AC19" i="1"/>
  <c r="W139" i="1"/>
  <c r="AC22" i="1"/>
  <c r="AC36" i="1"/>
  <c r="AC17" i="1"/>
  <c r="W142" i="1"/>
  <c r="AC28" i="1"/>
  <c r="W132" i="1"/>
  <c r="AC18" i="1"/>
  <c r="AC15" i="1"/>
  <c r="AC24" i="1"/>
  <c r="W128" i="1"/>
  <c r="AC32" i="1"/>
  <c r="W136" i="1"/>
  <c r="BF22" i="1" l="1"/>
  <c r="Q125" i="1" s="1"/>
  <c r="BF24" i="1"/>
  <c r="Q127" i="1" s="1"/>
  <c r="R153" i="1" s="1"/>
  <c r="BF35" i="1"/>
  <c r="Q138" i="1" s="1"/>
  <c r="R164" i="1" s="1"/>
  <c r="BF31" i="1"/>
  <c r="Q134" i="1" s="1"/>
  <c r="BF34" i="1"/>
  <c r="Q137" i="1" s="1"/>
  <c r="BF17" i="1"/>
  <c r="Q120" i="1" s="1"/>
  <c r="BF27" i="1"/>
  <c r="Q130" i="1" s="1"/>
  <c r="BF32" i="1"/>
  <c r="Q135" i="1" s="1"/>
  <c r="R161" i="1" s="1"/>
  <c r="S161" i="1" l="1"/>
  <c r="Q161" i="1"/>
  <c r="R146" i="1"/>
  <c r="S146" i="1"/>
  <c r="S153" i="1"/>
  <c r="S160" i="1"/>
  <c r="Q160" i="1"/>
  <c r="R160" i="1"/>
  <c r="S163" i="1"/>
  <c r="R163" i="1"/>
  <c r="Q163" i="1"/>
  <c r="Q156" i="1"/>
  <c r="S156" i="1"/>
  <c r="R156" i="1"/>
  <c r="Q164" i="1"/>
  <c r="S164" i="1"/>
  <c r="Q146" i="1"/>
  <c r="Q153" i="1"/>
  <c r="S151" i="1"/>
  <c r="R151" i="1"/>
  <c r="Q151" i="1"/>
  <c r="W161" i="1" l="1"/>
  <c r="BH32" i="1" s="1"/>
  <c r="BF84" i="1" s="1"/>
  <c r="BH84" i="1" s="1"/>
  <c r="X161" i="1"/>
  <c r="Y161" i="1"/>
  <c r="W164" i="1"/>
  <c r="BH35" i="1" s="1"/>
  <c r="Y164" i="1"/>
  <c r="X164" i="1"/>
  <c r="Y156" i="1"/>
  <c r="X156" i="1"/>
  <c r="W156" i="1"/>
  <c r="BH27" i="1" s="1"/>
  <c r="W151" i="1"/>
  <c r="BH22" i="1" s="1"/>
  <c r="X151" i="1"/>
  <c r="Y151" i="1"/>
  <c r="W153" i="1"/>
  <c r="BH24" i="1" s="1"/>
  <c r="Y153" i="1"/>
  <c r="X153" i="1"/>
  <c r="W146" i="1"/>
  <c r="BH17" i="1" s="1"/>
  <c r="X146" i="1"/>
  <c r="Y146" i="1"/>
  <c r="W163" i="1"/>
  <c r="BH34" i="1" s="1"/>
  <c r="X163" i="1"/>
  <c r="Y163" i="1"/>
  <c r="W160" i="1"/>
  <c r="BH31" i="1" s="1"/>
  <c r="Y160" i="1"/>
  <c r="X160" i="1"/>
  <c r="BE84" i="1" l="1"/>
  <c r="BF79" i="1"/>
  <c r="BH79" i="1" s="1"/>
  <c r="BE79" i="1"/>
  <c r="BF83" i="1"/>
  <c r="BH83" i="1" s="1"/>
  <c r="BE83" i="1"/>
  <c r="BF74" i="1"/>
  <c r="BH74" i="1" s="1"/>
  <c r="BE74" i="1"/>
  <c r="BF69" i="1"/>
  <c r="BH69" i="1" s="1"/>
  <c r="BE69" i="1"/>
  <c r="BE86" i="1"/>
  <c r="BF86" i="1"/>
  <c r="BH86" i="1" s="1"/>
  <c r="BE76" i="1"/>
  <c r="BF76" i="1"/>
  <c r="BH76" i="1" s="1"/>
  <c r="BF87" i="1"/>
  <c r="BH87" i="1" s="1"/>
  <c r="BE87" i="1"/>
  <c r="BG84" i="1" l="1"/>
  <c r="BG32" i="1" s="1"/>
  <c r="AB161" i="1" s="1"/>
  <c r="N187" i="1" s="1"/>
  <c r="BG86" i="1"/>
  <c r="BG34" i="1" s="1"/>
  <c r="AB163" i="1" s="1"/>
  <c r="BG79" i="1"/>
  <c r="BG27" i="1" s="1"/>
  <c r="AB156" i="1" s="1"/>
  <c r="BG83" i="1"/>
  <c r="BG31" i="1" s="1"/>
  <c r="AB160" i="1" s="1"/>
  <c r="BG69" i="1"/>
  <c r="BG17" i="1" s="1"/>
  <c r="AB146" i="1" s="1"/>
  <c r="BG76" i="1"/>
  <c r="BG24" i="1" s="1"/>
  <c r="AB153" i="1" s="1"/>
  <c r="BG87" i="1"/>
  <c r="BG35" i="1"/>
  <c r="AB164" i="1" s="1"/>
  <c r="BG74" i="1"/>
  <c r="BG22" i="1" s="1"/>
  <c r="AB151" i="1" s="1"/>
  <c r="I187" i="1" l="1"/>
  <c r="M187" i="1" s="1"/>
  <c r="O187" i="1"/>
  <c r="N182" i="1"/>
  <c r="K187" i="1"/>
  <c r="J187" i="1"/>
  <c r="N177" i="1"/>
  <c r="O179" i="1"/>
  <c r="I179" i="1"/>
  <c r="M179" i="1" s="1"/>
  <c r="K179" i="1"/>
  <c r="J179" i="1"/>
  <c r="I177" i="1"/>
  <c r="M177" i="1" s="1"/>
  <c r="J177" i="1"/>
  <c r="K177" i="1"/>
  <c r="O177" i="1"/>
  <c r="N179" i="1"/>
  <c r="J182" i="1"/>
  <c r="O182" i="1"/>
  <c r="K182" i="1"/>
  <c r="I182" i="1"/>
  <c r="Y187" i="1" l="1"/>
  <c r="AD187" i="1" s="1"/>
  <c r="O31" i="1" s="1"/>
  <c r="O57" i="1" s="1"/>
  <c r="W187" i="1"/>
  <c r="AB187" i="1" s="1"/>
  <c r="M31" i="1" s="1"/>
  <c r="M57" i="1" s="1"/>
  <c r="X187" i="1"/>
  <c r="AC187" i="1" s="1"/>
  <c r="N31" i="1" s="1"/>
  <c r="N57" i="1" s="1"/>
  <c r="BL17" i="1"/>
  <c r="M182" i="1"/>
  <c r="BL21" i="1"/>
  <c r="Y179" i="1"/>
  <c r="AD179" i="1" s="1"/>
  <c r="O23" i="1" s="1"/>
  <c r="O49" i="1" s="1"/>
  <c r="W179" i="1"/>
  <c r="AB179" i="1" s="1"/>
  <c r="M23" i="1" s="1"/>
  <c r="M49" i="1" s="1"/>
  <c r="X179" i="1"/>
  <c r="AC179" i="1" s="1"/>
  <c r="N23" i="1" s="1"/>
  <c r="N49" i="1" s="1"/>
  <c r="W177" i="1"/>
  <c r="AB177" i="1" s="1"/>
  <c r="M21" i="1" s="1"/>
  <c r="M47" i="1" s="1"/>
  <c r="Y177" i="1"/>
  <c r="AD177" i="1" s="1"/>
  <c r="O21" i="1" s="1"/>
  <c r="O47" i="1" s="1"/>
  <c r="X177" i="1"/>
  <c r="AC177" i="1" s="1"/>
  <c r="N21" i="1" s="1"/>
  <c r="N47" i="1" s="1"/>
  <c r="M83" i="1" l="1"/>
  <c r="M109" i="1" s="1"/>
  <c r="N83" i="1"/>
  <c r="N109" i="1" s="1"/>
  <c r="M135" i="1" s="1"/>
  <c r="X31" i="1" s="1"/>
  <c r="O83" i="1"/>
  <c r="O109" i="1" s="1"/>
  <c r="BL26" i="1"/>
  <c r="BL31" i="1"/>
  <c r="M73" i="1"/>
  <c r="M99" i="1" s="1"/>
  <c r="N73" i="1"/>
  <c r="N99" i="1" s="1"/>
  <c r="O73" i="1"/>
  <c r="O99" i="1" s="1"/>
  <c r="Y182" i="1"/>
  <c r="AD182" i="1" s="1"/>
  <c r="O26" i="1" s="1"/>
  <c r="O52" i="1" s="1"/>
  <c r="X182" i="1"/>
  <c r="AC182" i="1" s="1"/>
  <c r="N26" i="1" s="1"/>
  <c r="N52" i="1" s="1"/>
  <c r="W182" i="1"/>
  <c r="AB182" i="1" s="1"/>
  <c r="M26" i="1" s="1"/>
  <c r="M52" i="1" s="1"/>
  <c r="N75" i="1"/>
  <c r="N101" i="1" s="1"/>
  <c r="M75" i="1"/>
  <c r="M101" i="1" s="1"/>
  <c r="O75" i="1"/>
  <c r="O101" i="1" s="1"/>
  <c r="BL35" i="1"/>
  <c r="BL34" i="1"/>
  <c r="N135" i="1" l="1"/>
  <c r="O135" i="1"/>
  <c r="N127" i="1"/>
  <c r="M78" i="1"/>
  <c r="M104" i="1" s="1"/>
  <c r="N78" i="1"/>
  <c r="N104" i="1" s="1"/>
  <c r="O78" i="1"/>
  <c r="O104" i="1" s="1"/>
  <c r="O127" i="1"/>
  <c r="M127" i="1"/>
  <c r="X23" i="1" s="1"/>
  <c r="O125" i="1"/>
  <c r="M125" i="1"/>
  <c r="X21" i="1" s="1"/>
  <c r="N125" i="1"/>
  <c r="S57" i="1" l="1"/>
  <c r="Y31" i="1"/>
  <c r="X135" i="1" s="1"/>
  <c r="S49" i="1"/>
  <c r="S47" i="1"/>
  <c r="Y21" i="1"/>
  <c r="X125" i="1" s="1"/>
  <c r="Y23" i="1"/>
  <c r="X127" i="1" s="1"/>
  <c r="O130" i="1"/>
  <c r="M130" i="1"/>
  <c r="X26" i="1" s="1"/>
  <c r="N130" i="1"/>
  <c r="Z31" i="1" l="1"/>
  <c r="Y135" i="1" s="1"/>
  <c r="Z21" i="1"/>
  <c r="Y125" i="1" s="1"/>
  <c r="S52" i="1"/>
  <c r="Y26" i="1"/>
  <c r="X130" i="1" s="1"/>
  <c r="Z23" i="1"/>
  <c r="Y127" i="1" s="1"/>
  <c r="W31" i="1" l="1"/>
  <c r="W135" i="1" s="1"/>
  <c r="W21" i="1"/>
  <c r="W125" i="1" s="1"/>
  <c r="Z26" i="1"/>
  <c r="Y130" i="1" s="1"/>
  <c r="W23" i="1"/>
  <c r="AC31" i="1" l="1"/>
  <c r="AC21" i="1"/>
  <c r="W26" i="1"/>
  <c r="AC26" i="1" s="1"/>
  <c r="AC23" i="1"/>
  <c r="W127" i="1"/>
  <c r="W130" i="1" l="1"/>
  <c r="BS21" i="1"/>
  <c r="BS35" i="1" l="1"/>
  <c r="AD164" i="1" s="1"/>
  <c r="BS34" i="1"/>
  <c r="AD163" i="1" s="1"/>
  <c r="AD150" i="1"/>
  <c r="BM31" i="1"/>
  <c r="AC160" i="1" s="1"/>
  <c r="BM26" i="1"/>
  <c r="AC155" i="1" s="1"/>
  <c r="BM21" i="1"/>
  <c r="AC150" i="1" s="1"/>
  <c r="BM34" i="1"/>
  <c r="AC163" i="1" s="1"/>
  <c r="BM35" i="1"/>
  <c r="AC164" i="1" s="1"/>
  <c r="BM17" i="1"/>
  <c r="AC146" i="1" s="1"/>
  <c r="N176" i="1" l="1"/>
  <c r="K181" i="1"/>
  <c r="J181" i="1"/>
  <c r="I181" i="1"/>
  <c r="M181" i="1" s="1"/>
  <c r="O181" i="1"/>
  <c r="N181" i="1"/>
  <c r="O186" i="1"/>
  <c r="N186" i="1"/>
  <c r="I186" i="1"/>
  <c r="M186" i="1" s="1"/>
  <c r="J186" i="1"/>
  <c r="I189" i="1"/>
  <c r="M189" i="1" s="1"/>
  <c r="O189" i="1"/>
  <c r="K186" i="1"/>
  <c r="N190" i="1"/>
  <c r="K176" i="1"/>
  <c r="J176" i="1"/>
  <c r="N189" i="1"/>
  <c r="J172" i="1"/>
  <c r="I172" i="1"/>
  <c r="M172" i="1" s="1"/>
  <c r="K172" i="1"/>
  <c r="O172" i="1"/>
  <c r="N172" i="1"/>
  <c r="O190" i="1"/>
  <c r="W190" i="1" s="1"/>
  <c r="AB190" i="1" s="1"/>
  <c r="M34" i="1" s="1"/>
  <c r="M60" i="1" s="1"/>
  <c r="K190" i="1"/>
  <c r="J190" i="1"/>
  <c r="O176" i="1"/>
  <c r="I190" i="1"/>
  <c r="M190" i="1" s="1"/>
  <c r="I176" i="1"/>
  <c r="M176" i="1" s="1"/>
  <c r="K189" i="1"/>
  <c r="J189" i="1"/>
  <c r="Y181" i="1"/>
  <c r="AD181" i="1" s="1"/>
  <c r="O25" i="1" s="1"/>
  <c r="O51" i="1" s="1"/>
  <c r="W189" i="1" l="1"/>
  <c r="AB189" i="1" s="1"/>
  <c r="M33" i="1" s="1"/>
  <c r="M59" i="1" s="1"/>
  <c r="X181" i="1"/>
  <c r="AC181" i="1" s="1"/>
  <c r="N25" i="1" s="1"/>
  <c r="N51" i="1" s="1"/>
  <c r="W186" i="1"/>
  <c r="AB186" i="1" s="1"/>
  <c r="M30" i="1" s="1"/>
  <c r="M56" i="1" s="1"/>
  <c r="Y189" i="1"/>
  <c r="AD189" i="1" s="1"/>
  <c r="O33" i="1" s="1"/>
  <c r="O59" i="1" s="1"/>
  <c r="Y190" i="1"/>
  <c r="AD190" i="1" s="1"/>
  <c r="O34" i="1" s="1"/>
  <c r="O60" i="1" s="1"/>
  <c r="X186" i="1"/>
  <c r="AC186" i="1" s="1"/>
  <c r="N30" i="1" s="1"/>
  <c r="N56" i="1" s="1"/>
  <c r="Y186" i="1"/>
  <c r="AD186" i="1" s="1"/>
  <c r="O30" i="1" s="1"/>
  <c r="O56" i="1" s="1"/>
  <c r="M82" i="1" s="1"/>
  <c r="M108" i="1" s="1"/>
  <c r="W181" i="1"/>
  <c r="AB181" i="1" s="1"/>
  <c r="M25" i="1" s="1"/>
  <c r="M51" i="1" s="1"/>
  <c r="M77" i="1" s="1"/>
  <c r="M103" i="1" s="1"/>
  <c r="X172" i="1"/>
  <c r="AC172" i="1" s="1"/>
  <c r="N16" i="1" s="1"/>
  <c r="N42" i="1" s="1"/>
  <c r="X190" i="1"/>
  <c r="AC190" i="1" s="1"/>
  <c r="N34" i="1" s="1"/>
  <c r="N60" i="1" s="1"/>
  <c r="X189" i="1"/>
  <c r="AC189" i="1" s="1"/>
  <c r="N33" i="1" s="1"/>
  <c r="N59" i="1" s="1"/>
  <c r="W176" i="1"/>
  <c r="AB176" i="1" s="1"/>
  <c r="M20" i="1" s="1"/>
  <c r="M46" i="1" s="1"/>
  <c r="Y172" i="1"/>
  <c r="AD172" i="1" s="1"/>
  <c r="O16" i="1" s="1"/>
  <c r="O42" i="1" s="1"/>
  <c r="Y176" i="1"/>
  <c r="AD176" i="1" s="1"/>
  <c r="O20" i="1" s="1"/>
  <c r="O46" i="1" s="1"/>
  <c r="X176" i="1"/>
  <c r="AC176" i="1" s="1"/>
  <c r="N20" i="1" s="1"/>
  <c r="N46" i="1" s="1"/>
  <c r="W172" i="1"/>
  <c r="AB172" i="1" s="1"/>
  <c r="M16" i="1" s="1"/>
  <c r="M42" i="1" s="1"/>
  <c r="O82" i="1" l="1"/>
  <c r="O108" i="1" s="1"/>
  <c r="M86" i="1"/>
  <c r="M112" i="1" s="1"/>
  <c r="N82" i="1"/>
  <c r="N108" i="1" s="1"/>
  <c r="O134" i="1" s="1"/>
  <c r="N72" i="1"/>
  <c r="N98" i="1" s="1"/>
  <c r="M124" i="1" s="1"/>
  <c r="X20" i="1" s="1"/>
  <c r="O85" i="1"/>
  <c r="O111" i="1" s="1"/>
  <c r="O86" i="1"/>
  <c r="O112" i="1" s="1"/>
  <c r="N86" i="1"/>
  <c r="N112" i="1" s="1"/>
  <c r="N138" i="1" s="1"/>
  <c r="N77" i="1"/>
  <c r="N103" i="1" s="1"/>
  <c r="N129" i="1" s="1"/>
  <c r="O77" i="1"/>
  <c r="O103" i="1" s="1"/>
  <c r="O72" i="1"/>
  <c r="O98" i="1" s="1"/>
  <c r="N85" i="1"/>
  <c r="N111" i="1" s="1"/>
  <c r="M137" i="1" s="1"/>
  <c r="M85" i="1"/>
  <c r="M111" i="1" s="1"/>
  <c r="M72" i="1"/>
  <c r="M98" i="1" s="1"/>
  <c r="N68" i="1"/>
  <c r="N94" i="1" s="1"/>
  <c r="M68" i="1"/>
  <c r="M94" i="1" s="1"/>
  <c r="O68" i="1"/>
  <c r="O94" i="1" s="1"/>
  <c r="N120" i="1" l="1"/>
  <c r="M138" i="1"/>
  <c r="X34" i="1" s="1"/>
  <c r="O138" i="1"/>
  <c r="O124" i="1"/>
  <c r="N134" i="1"/>
  <c r="Y30" i="1" s="1"/>
  <c r="X134" i="1" s="1"/>
  <c r="M134" i="1"/>
  <c r="X30" i="1" s="1"/>
  <c r="N124" i="1"/>
  <c r="S46" i="1" s="1"/>
  <c r="N137" i="1"/>
  <c r="O137" i="1"/>
  <c r="O120" i="1"/>
  <c r="S42" i="1" s="1"/>
  <c r="O129" i="1"/>
  <c r="Y25" i="1" s="1"/>
  <c r="X129" i="1" s="1"/>
  <c r="M129" i="1"/>
  <c r="X25" i="1" s="1"/>
  <c r="M120" i="1"/>
  <c r="X16" i="1" s="1"/>
  <c r="S60" i="1"/>
  <c r="Y34" i="1"/>
  <c r="X138" i="1" s="1"/>
  <c r="Y16" i="1"/>
  <c r="X33" i="1"/>
  <c r="T9" i="1"/>
  <c r="S59" i="1" l="1"/>
  <c r="S56" i="1"/>
  <c r="Y20" i="1"/>
  <c r="X124" i="1" s="1"/>
  <c r="Y33" i="1"/>
  <c r="X137" i="1" s="1"/>
  <c r="S51" i="1"/>
  <c r="T8" i="1" s="1"/>
  <c r="Z20" i="1"/>
  <c r="Y124" i="1" s="1"/>
  <c r="Z33" i="1"/>
  <c r="Y137" i="1" s="1"/>
  <c r="X120" i="1"/>
  <c r="Z34" i="1"/>
  <c r="Y138" i="1" s="1"/>
  <c r="T5" i="1"/>
  <c r="Z16" i="1"/>
  <c r="W16" i="1" s="1"/>
  <c r="Z25" i="1"/>
  <c r="Y129" i="1" s="1"/>
  <c r="Z30" i="1"/>
  <c r="W33" i="1" l="1"/>
  <c r="W137" i="1" s="1"/>
  <c r="T6" i="1"/>
  <c r="W20" i="1"/>
  <c r="AC20" i="1" s="1"/>
  <c r="W25" i="1"/>
  <c r="W129" i="1" s="1"/>
  <c r="W120" i="1"/>
  <c r="AC16" i="1"/>
  <c r="W124" i="1"/>
  <c r="Y134" i="1"/>
  <c r="W30" i="1"/>
  <c r="T7" i="1"/>
  <c r="Z85" i="1"/>
  <c r="Z83" i="1"/>
  <c r="AB81" i="1"/>
  <c r="AB85" i="1"/>
  <c r="AB83" i="1"/>
  <c r="Z84" i="1"/>
  <c r="AB82" i="1"/>
  <c r="AB84" i="1"/>
  <c r="Y120" i="1"/>
  <c r="Z82" i="1"/>
  <c r="Z81" i="1"/>
  <c r="W34" i="1"/>
  <c r="Z74" i="1"/>
  <c r="Z75" i="1"/>
  <c r="AB75" i="1"/>
  <c r="AB77" i="1"/>
  <c r="Z78" i="1"/>
  <c r="AB74" i="1"/>
  <c r="AB76" i="1"/>
  <c r="AB78" i="1"/>
  <c r="Z77" i="1"/>
  <c r="Z76" i="1"/>
  <c r="AC33" i="1" l="1"/>
  <c r="AC25" i="1"/>
  <c r="Z70" i="1"/>
  <c r="Z71" i="1"/>
  <c r="W85" i="1"/>
  <c r="X85" i="1"/>
  <c r="Y85" i="1"/>
  <c r="W81" i="1"/>
  <c r="X81" i="1"/>
  <c r="Y81" i="1"/>
  <c r="Y74" i="1"/>
  <c r="W74" i="1"/>
  <c r="X74" i="1"/>
  <c r="T4" i="1"/>
  <c r="X78" i="1"/>
  <c r="W78" i="1"/>
  <c r="Y78" i="1"/>
  <c r="AB68" i="1"/>
  <c r="Z68" i="1"/>
  <c r="AB69" i="1"/>
  <c r="X76" i="1"/>
  <c r="Y76" i="1"/>
  <c r="W76" i="1"/>
  <c r="W77" i="1"/>
  <c r="X77" i="1"/>
  <c r="Y77" i="1"/>
  <c r="W84" i="1"/>
  <c r="X84" i="1"/>
  <c r="Y84" i="1"/>
  <c r="AB71" i="1"/>
  <c r="Y75" i="1"/>
  <c r="W75" i="1"/>
  <c r="X75" i="1"/>
  <c r="W82" i="1"/>
  <c r="X82" i="1"/>
  <c r="Y82" i="1"/>
  <c r="AC30" i="1"/>
  <c r="W134" i="1"/>
  <c r="AB67" i="1"/>
  <c r="W138" i="1"/>
  <c r="AC34" i="1"/>
  <c r="Y12" i="1"/>
  <c r="Z67" i="1"/>
  <c r="W83" i="1"/>
  <c r="X83" i="1"/>
  <c r="Y83" i="1"/>
  <c r="Z69" i="1"/>
  <c r="AB70" i="1"/>
  <c r="T12" i="1" l="1"/>
  <c r="AC69" i="1"/>
  <c r="AD69" i="1"/>
  <c r="X69" i="1"/>
  <c r="W69" i="1"/>
  <c r="Y69" i="1"/>
  <c r="X68" i="1"/>
  <c r="W68" i="1"/>
  <c r="AC68" i="1"/>
  <c r="AD68" i="1"/>
  <c r="Y68" i="1"/>
  <c r="AC70" i="1"/>
  <c r="AD70" i="1"/>
  <c r="W70" i="1"/>
  <c r="Y70" i="1"/>
  <c r="X70" i="1"/>
  <c r="AC67" i="1"/>
  <c r="AD67" i="1"/>
  <c r="Y67" i="1"/>
  <c r="X67" i="1"/>
  <c r="W67" i="1"/>
  <c r="Y71" i="1"/>
  <c r="AD71" i="1"/>
  <c r="W71" i="1"/>
  <c r="AC71" i="1"/>
  <c r="X7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YaFangPeng(彭雅芳)</author>
  </authors>
  <commentList>
    <comment ref="I2" authorId="0" shapeId="0" xr:uid="{5E7AF2F0-E89C-41B2-BB63-B436155D4D68}">
      <text>
        <r>
          <rPr>
            <b/>
            <sz val="9"/>
            <color indexed="81"/>
            <rFont val="微軟正黑體"/>
            <family val="2"/>
            <charset val="136"/>
          </rPr>
          <t>●黃框為數值調整
●搭配ctrl+m更新參考色塊</t>
        </r>
      </text>
    </comment>
    <comment ref="AE2" authorId="0" shapeId="0" xr:uid="{9C6E64BE-15A6-4D4C-B469-A4AF658CFAC1}">
      <text>
        <r>
          <rPr>
            <b/>
            <sz val="9"/>
            <color indexed="81"/>
            <rFont val="微軟正黑體"/>
            <family val="2"/>
            <charset val="136"/>
          </rPr>
          <t>●數值回貼調教檔後測試
●請注意格式</t>
        </r>
      </text>
    </comment>
    <comment ref="N11" authorId="0" shapeId="0" xr:uid="{FA76E0B7-BC3D-4902-BB3B-1230362BC1AB}">
      <text>
        <r>
          <rPr>
            <b/>
            <sz val="9"/>
            <color indexed="81"/>
            <rFont val="微軟正黑體"/>
            <family val="2"/>
            <charset val="136"/>
          </rPr>
          <t>●黃框為數值調整
●搭配ctrl+m更新參考色塊</t>
        </r>
      </text>
    </comment>
    <comment ref="AJ11" authorId="0" shapeId="0" xr:uid="{1F4D36DD-054C-4B9B-8F4F-8507522373C1}">
      <text>
        <r>
          <rPr>
            <b/>
            <sz val="9"/>
            <color indexed="81"/>
            <rFont val="微軟正黑體"/>
            <family val="2"/>
            <charset val="136"/>
          </rPr>
          <t>參考下方色差圖調整
■參考機 ○測試機</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<sst xmlns="http://schemas.openxmlformats.org/spreadsheetml/2006/main" count="261" uniqueCount="187">
  <si>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</si>
  <si>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</si>
  <si>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</si>
  <si>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</si>
  <si>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</si>
  <si>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</si>
  <si>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</si>
  <si>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</si>
  <si>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</si>
  <si>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</si>
  <si>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</si>
  <si>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</si>
  <si>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</si>
  <si>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</si>
  <si>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</si>
  <si>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</si>
  <si>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</si>
  <si>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</si>
  <si>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</si>
  <si>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</si>
  <si>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</si>
  <si>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</si>
  <si>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</si>
  <si>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</si>
  <si>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</si>
  <si>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</si>
  <si>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</si>
  <si>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</si>
  <si>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</si>
  <si>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</si>
  <si>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</si>
  <si>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</si>
  <si>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</si>
  <si>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</si>
  <si>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</si>
  <si>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</si>
  <si>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</si>
  <si>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</si>
  <si>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</si>
  <si>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</si>
  <si>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</si>
  <si>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</si>
  <si>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</si>
  <si>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</si>
  <si>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</si>
  <si>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</si>
  <si>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</si>
  <si>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</si>
  <si>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</si>
  <si>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</si>
  <si>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</si>
  <si>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</si>
  <si>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</si>
  <si>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</si>
  <si>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</si>
  <si>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</si>
  <si>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</si>
  <si>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</si>
  <si>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</si>
  <si>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</si>
  <si>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</si>
  <si>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</si>
  <si>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</si>
  <si>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</si>
  <si>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</si>
  <si>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</si>
  <si>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</si>
  <si>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</si>
  <si>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</si>
  <si>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</si>
  <si>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</si>
  <si>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</si>
  <si>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</si>
  <si>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</si>
  <si>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</si>
  <si>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</si>
  <si>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</si>
  <si>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</si>
  <si>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</si>
  <si>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</si>
  <si>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</si>
  <si>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</si>
  <si>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</si>
  <si>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</si>
  <si>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</si>
  <si>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</si>
  <si>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</si>
  <si>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</si>
  <si>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</si>
  <si>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</si>
  <si>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</si>
  <si>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</si>
  <si>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</si>
  <si>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</si>
  <si>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</si>
  <si>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</si>
  <si>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</si>
  <si>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</si>
  <si>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</si>
  <si>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</si>
  <si>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</si>
  <si>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</si>
  <si>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</si>
  <si>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</si>
  <si>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</si>
  <si>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</si>
  <si>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</si>
  <si>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</si>
  <si>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</si>
  <si>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</si>
  <si>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</si>
  <si>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</si>
  <si>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</si>
  <si>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</si>
  <si>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</si>
  <si>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</si>
  <si>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</si>
  <si>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</si>
  <si>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</si>
  <si>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</si>
  <si>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</si>
  <si>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</si>
  <si>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</si>
  <si>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</si>
  <si>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</si>
  <si>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</si>
  <si>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</si>
  <si>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</si>
  <si>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</si>
  <si>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</si>
  <si>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</si>
  <si>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</si>
  <si>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</si>
  <si>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</si>
  <si>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</si>
  <si>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</si>
  <si>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</si>
  <si>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</si>
  <si>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</si>
  <si>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</si>
  <si>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</si>
  <si>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</si>
  <si>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</si>
  <si>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</si>
  <si>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</si>
  <si>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</si>
  <si>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</si>
  <si>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</si>
  <si>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</si>
  <si>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</si>
  <si>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</si>
  <si>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</si>
  <si>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</si>
  <si>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</si>
  <si>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</si>
  <si>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</si>
  <si>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</si>
  <si>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</si>
  <si>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</si>
  <si>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</si>
  <si>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</si>
  <si>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</si>
  <si>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</si>
  <si>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</si>
  <si>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</si>
  <si>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</si>
  <si>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</si>
  <si>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</si>
  <si>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</si>
  <si>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</si>
  <si>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</si>
  <si>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</si>
  <si>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</si>
  <si>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</si>
  <si>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</si>
  <si>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</si>
  <si>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</si>
  <si>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</si>
  <si>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</si>
  <si>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</si>
  <si>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</si>
  <si>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</si>
  <si>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</si>
  <si>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</si>
  <si>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</si>
  <si>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</si>
  <si>
    <t>在excel手動重新規劃求解</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</si>
</sst>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3"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
      <b/>
      <sz val="12"/>
      <color theme="1"/>
      <name val="微軟正黑體"/>
      <family val="2"/>
      <charset val="136"/>
    </font>
    <font>
      <b/>
      <sz val="9"/>
      <color indexed="81"/>
      <name val="微軟正黑體"/>
      <family val="2"/>
      <charset val="136"/>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44">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rgb="FFFFC000"/>
      </left>
      <right style="thin">
        <color indexed="64"/>
      </right>
      <top style="medium">
        <color rgb="FFFFC000"/>
      </top>
      <bottom style="thin">
        <color indexed="64"/>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style="thin">
        <color indexed="64"/>
      </bottom>
      <diagonal/>
    </border>
    <border>
      <left/>
      <right style="medium">
        <color rgb="FFFFC000"/>
      </right>
      <top/>
      <bottom style="thin">
        <color indexed="64"/>
      </bottom>
      <diagonal/>
    </border>
    <border>
      <left style="medium">
        <color rgb="FFFFC000"/>
      </left>
      <right style="thin">
        <color indexed="64"/>
      </right>
      <top/>
      <bottom style="thin">
        <color indexed="64"/>
      </bottom>
      <diagonal/>
    </border>
    <border>
      <left style="thin">
        <color indexed="64"/>
      </left>
      <right style="medium">
        <color rgb="FFFFC000"/>
      </right>
      <top/>
      <bottom style="thin">
        <color indexed="64"/>
      </bottom>
      <diagonal/>
    </border>
    <border>
      <left style="medium">
        <color rgb="FFFFC000"/>
      </left>
      <right style="thin">
        <color indexed="64"/>
      </right>
      <top style="thin">
        <color indexed="64"/>
      </top>
      <bottom style="thin">
        <color indexed="64"/>
      </bottom>
      <diagonal/>
    </border>
    <border>
      <left style="thin">
        <color indexed="64"/>
      </left>
      <right style="medium">
        <color rgb="FFFFC000"/>
      </right>
      <top style="thin">
        <color indexed="64"/>
      </top>
      <bottom style="thin">
        <color indexed="64"/>
      </bottom>
      <diagonal/>
    </border>
    <border>
      <left style="medium">
        <color rgb="FFFFC000"/>
      </left>
      <right style="thin">
        <color indexed="64"/>
      </right>
      <top/>
      <bottom style="medium">
        <color rgb="FFFFC000"/>
      </bottom>
      <diagonal/>
    </border>
    <border>
      <left style="thin">
        <color indexed="64"/>
      </left>
      <right style="thin">
        <color indexed="64"/>
      </right>
      <top/>
      <bottom style="medium">
        <color rgb="FFFFC000"/>
      </bottom>
      <diagonal/>
    </border>
    <border>
      <left/>
      <right/>
      <top/>
      <bottom style="medium">
        <color rgb="FFFFC000"/>
      </bottom>
      <diagonal/>
    </border>
    <border>
      <left style="thin">
        <color indexed="64"/>
      </left>
      <right style="medium">
        <color rgb="FFFFC000"/>
      </right>
      <top/>
      <bottom style="medium">
        <color rgb="FFFFC000"/>
      </bottom>
      <diagonal/>
    </border>
    <border>
      <left style="medium">
        <color rgb="FFFFC000"/>
      </left>
      <right/>
      <top style="medium">
        <color rgb="FFFFC000"/>
      </top>
      <bottom/>
      <diagonal/>
    </border>
    <border>
      <left style="thin">
        <color indexed="64"/>
      </left>
      <right style="thin">
        <color indexed="64"/>
      </right>
      <top style="medium">
        <color rgb="FFFFC000"/>
      </top>
      <bottom style="thin">
        <color indexed="64"/>
      </bottom>
      <diagonal/>
    </border>
    <border>
      <left style="medium">
        <color rgb="FFFFC000"/>
      </left>
      <right/>
      <top/>
      <bottom style="medium">
        <color rgb="FFFFC000"/>
      </bottom>
      <diagonal/>
    </border>
    <border>
      <left style="thin">
        <color indexed="64"/>
      </left>
      <right/>
      <top/>
      <bottom style="medium">
        <color rgb="FFFFC000"/>
      </bottom>
      <diagonal/>
    </border>
    <border>
      <left/>
      <right style="medium">
        <color rgb="FFFFC000"/>
      </right>
      <top/>
      <bottom style="medium">
        <color rgb="FFFFC000"/>
      </bottom>
      <diagonal/>
    </border>
    <border>
      <left style="thin">
        <color indexed="64"/>
      </left>
      <right/>
      <top style="medium">
        <color rgb="FFFFC000"/>
      </top>
      <bottom style="thin">
        <color indexed="64"/>
      </bottom>
      <diagonal/>
    </border>
    <border>
      <left/>
      <right style="thin">
        <color indexed="64"/>
      </right>
      <top style="medium">
        <color rgb="FFFFC000"/>
      </top>
      <bottom style="thin">
        <color indexed="64"/>
      </bottom>
      <diagonal/>
    </border>
    <border>
      <left style="thin">
        <color indexed="64"/>
      </left>
      <right style="medium">
        <color rgb="FFFFC000"/>
      </right>
      <top style="medium">
        <color rgb="FFFFC000"/>
      </top>
      <bottom style="thin">
        <color indexed="64"/>
      </bottom>
      <diagonal/>
    </border>
    <border>
      <left style="thin">
        <color indexed="64"/>
      </left>
      <right style="thin">
        <color indexed="64"/>
      </right>
      <top style="thin">
        <color indexed="64"/>
      </top>
      <bottom style="medium">
        <color rgb="FFFFC000"/>
      </bottom>
      <diagonal/>
    </border>
    <border>
      <left style="thin">
        <color indexed="64"/>
      </left>
      <right style="medium">
        <color rgb="FFFFC000"/>
      </right>
      <top style="thin">
        <color indexed="64"/>
      </top>
      <bottom style="medium">
        <color rgb="FFFFC000"/>
      </bottom>
      <diagonal/>
    </border>
    <border>
      <left style="medium">
        <color rgb="FFC00000"/>
      </left>
      <right style="thin">
        <color indexed="64"/>
      </right>
      <top style="medium">
        <color rgb="FFC00000"/>
      </top>
      <bottom style="thin">
        <color indexed="64"/>
      </bottom>
      <diagonal/>
    </border>
    <border>
      <left style="thin">
        <color indexed="64"/>
      </left>
      <right style="medium">
        <color rgb="FFC00000"/>
      </right>
      <top style="medium">
        <color rgb="FFC00000"/>
      </top>
      <bottom style="thin">
        <color indexed="64"/>
      </bottom>
      <diagonal/>
    </border>
    <border>
      <left style="medium">
        <color rgb="FFC00000"/>
      </left>
      <right style="thin">
        <color indexed="64"/>
      </right>
      <top style="thin">
        <color indexed="64"/>
      </top>
      <bottom style="thin">
        <color indexed="64"/>
      </bottom>
      <diagonal/>
    </border>
    <border>
      <left style="thin">
        <color indexed="64"/>
      </left>
      <right style="medium">
        <color rgb="FFC00000"/>
      </right>
      <top style="thin">
        <color indexed="64"/>
      </top>
      <bottom style="thin">
        <color indexed="64"/>
      </bottom>
      <diagonal/>
    </border>
    <border>
      <left style="medium">
        <color rgb="FFC00000"/>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s>
  <cellStyleXfs count="1">
    <xf numFmtId="0" fontId="0" fillId="0" borderId="0">
      <alignment vertical="center"/>
    </xf>
  </cellStyleXfs>
  <cellXfs count="304">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5" fillId="0" borderId="0" xfId="0" applyFont="1">
      <alignment vertical="center"/>
    </xf>
    <xf numFmtId="0" fontId="5" fillId="0" borderId="26" xfId="0" applyFont="1" applyBorder="1">
      <alignment vertical="center"/>
    </xf>
    <xf numFmtId="0" fontId="0" fillId="0" borderId="28" xfId="0" applyBorder="1" applyAlignment="1"/>
    <xf numFmtId="0" fontId="0" fillId="0" borderId="29" xfId="0" applyBorder="1" applyAlignment="1">
      <alignment horizontal="left" vertical="center"/>
    </xf>
    <xf numFmtId="0" fontId="0" fillId="0" borderId="30" xfId="0" applyBorder="1" applyAlignment="1"/>
    <xf numFmtId="0" fontId="0" fillId="0" borderId="33" xfId="0" applyBorder="1" applyAlignment="1">
      <alignment horizontal="left" vertical="center"/>
    </xf>
    <xf numFmtId="0" fontId="0" fillId="0" borderId="34" xfId="0" applyBorder="1" applyAlignment="1">
      <alignment horizontal="left" vertical="center"/>
    </xf>
    <xf numFmtId="0" fontId="0" fillId="0" borderId="35" xfId="0" applyBorder="1" applyAlignment="1">
      <alignment horizontal="left" vertical="center"/>
    </xf>
    <xf numFmtId="0" fontId="0" fillId="0" borderId="36" xfId="0" applyBorder="1" applyAlignment="1">
      <alignment horizontal="left"/>
    </xf>
    <xf numFmtId="0" fontId="0" fillId="0" borderId="37" xfId="0" applyBorder="1" applyAlignment="1">
      <alignment horizontal="left"/>
    </xf>
    <xf numFmtId="0" fontId="21" fillId="0" borderId="0" xfId="0" applyFont="1">
      <alignment vertical="center"/>
    </xf>
    <xf numFmtId="0" fontId="0" fillId="0" borderId="0" xfId="0" applyAlignment="1">
      <alignment horizontal="center"/>
    </xf>
    <xf numFmtId="0" fontId="0" fillId="0" borderId="0" xfId="0" applyAlignment="1">
      <alignment horizontal="center" vertical="center"/>
    </xf>
    <xf numFmtId="0" fontId="0" fillId="5" borderId="8" xfId="0" applyFill="1" applyBorder="1" applyAlignment="1">
      <alignment horizontal="left" vertical="center" wrapText="1"/>
    </xf>
    <xf numFmtId="0" fontId="0" fillId="5" borderId="14" xfId="0" applyFill="1" applyBorder="1" applyAlignment="1">
      <alignment horizontal="left" vertical="center" wrapText="1"/>
    </xf>
    <xf numFmtId="178" fontId="0" fillId="0" borderId="38" xfId="0" applyNumberFormat="1" applyBorder="1" applyAlignment="1">
      <alignment horizontal="left" vertical="center" wrapText="1"/>
    </xf>
    <xf numFmtId="178" fontId="0" fillId="0" borderId="39" xfId="0" applyNumberFormat="1" applyBorder="1" applyAlignment="1">
      <alignment horizontal="left" vertical="center" wrapText="1"/>
    </xf>
    <xf numFmtId="178" fontId="0" fillId="0" borderId="40" xfId="0" applyNumberFormat="1" applyBorder="1" applyAlignment="1">
      <alignment horizontal="left" vertical="center" wrapText="1"/>
    </xf>
    <xf numFmtId="178" fontId="0" fillId="0" borderId="41" xfId="0" applyNumberFormat="1" applyBorder="1" applyAlignment="1">
      <alignment horizontal="left" vertical="center" wrapText="1"/>
    </xf>
    <xf numFmtId="178" fontId="0" fillId="0" borderId="42" xfId="0" applyNumberFormat="1" applyBorder="1" applyAlignment="1">
      <alignment horizontal="left" vertical="center" wrapText="1"/>
    </xf>
    <xf numFmtId="178" fontId="0" fillId="0" borderId="43" xfId="0" applyNumberFormat="1" applyBorder="1" applyAlignment="1">
      <alignment horizontal="left" vertical="center" wrapText="1"/>
    </xf>
    <xf numFmtId="0" fontId="0" fillId="3" borderId="8" xfId="0" applyFill="1" applyBorder="1" applyAlignment="1">
      <alignment horizontal="center" vertical="center"/>
    </xf>
    <xf numFmtId="0" fontId="0" fillId="0" borderId="13" xfId="0" applyBorder="1" applyAlignment="1"/>
    <xf numFmtId="0" fontId="20" fillId="2" borderId="8" xfId="0" applyFont="1" applyFill="1" applyBorder="1" applyAlignment="1">
      <alignment horizontal="center" vertical="center" wrapText="1"/>
    </xf>
    <xf numFmtId="0" fontId="0" fillId="0" borderId="0" xfId="0" applyAlignment="1"/>
    <xf numFmtId="0" fontId="13" fillId="0" borderId="8" xfId="0" applyFont="1" applyBorder="1" applyAlignment="1">
      <alignment horizontal="left" vertical="center"/>
    </xf>
    <xf numFmtId="0" fontId="0" fillId="0" borderId="3" xfId="0" applyBorder="1" applyAlignment="1"/>
    <xf numFmtId="0" fontId="0" fillId="0" borderId="6" xfId="0" applyBorder="1" applyAlignment="1"/>
    <xf numFmtId="0" fontId="0" fillId="0" borderId="7" xfId="0" applyBorder="1" applyAlignment="1"/>
    <xf numFmtId="0" fontId="0" fillId="2" borderId="12" xfId="0" applyFill="1" applyBorder="1">
      <alignment vertical="center"/>
    </xf>
    <xf numFmtId="0" fontId="0" fillId="0" borderId="10" xfId="0" applyBorder="1" applyAlignment="1"/>
    <xf numFmtId="0" fontId="0" fillId="2" borderId="8" xfId="0" applyFill="1" applyBorder="1" applyAlignment="1">
      <alignment horizontal="left" vertical="center"/>
    </xf>
    <xf numFmtId="0" fontId="0" fillId="0" borderId="11" xfId="0" applyBorder="1" applyAlignment="1"/>
    <xf numFmtId="0" fontId="3" fillId="0" borderId="13" xfId="0" applyFont="1" applyBorder="1" applyAlignment="1">
      <alignment horizontal="left" vertical="center"/>
    </xf>
    <xf numFmtId="0" fontId="0" fillId="0" borderId="13" xfId="0" applyBorder="1" applyAlignment="1">
      <alignment horizontal="left" vertical="center"/>
    </xf>
    <xf numFmtId="0" fontId="0" fillId="0" borderId="8" xfId="0" applyBorder="1" applyAlignment="1">
      <alignment horizontal="left" vertical="center"/>
    </xf>
    <xf numFmtId="0" fontId="0" fillId="0" borderId="22" xfId="0" applyBorder="1" applyAlignment="1">
      <alignment horizontal="left" vertical="center"/>
    </xf>
    <xf numFmtId="0" fontId="0" fillId="0" borderId="24" xfId="0" applyBorder="1" applyAlignment="1"/>
    <xf numFmtId="0" fontId="0" fillId="0" borderId="20" xfId="0" applyBorder="1" applyAlignment="1"/>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0" fillId="0" borderId="25" xfId="0" applyBorder="1" applyAlignment="1"/>
    <xf numFmtId="0" fontId="0" fillId="0" borderId="23" xfId="0" applyBorder="1" applyAlignment="1">
      <alignment horizontal="left" vertical="center"/>
    </xf>
    <xf numFmtId="0" fontId="0" fillId="0" borderId="27" xfId="0" applyBorder="1" applyAlignment="1"/>
    <xf numFmtId="0" fontId="0" fillId="2" borderId="29" xfId="0" applyFill="1" applyBorder="1" applyAlignment="1">
      <alignment horizontal="left" vertical="center"/>
    </xf>
    <xf numFmtId="0" fontId="0" fillId="0" borderId="29" xfId="0" applyBorder="1" applyAlignment="1">
      <alignment horizontal="left" vertical="center"/>
    </xf>
    <xf numFmtId="0" fontId="0" fillId="0" borderId="17" xfId="0" applyBorder="1" applyAlignment="1"/>
    <xf numFmtId="0" fontId="0" fillId="0" borderId="31" xfId="0" applyBorder="1" applyAlignment="1"/>
    <xf numFmtId="0" fontId="0" fillId="0" borderId="32" xfId="0" applyBorder="1" applyAlignment="1"/>
    <xf numFmtId="0" fontId="8" fillId="2" borderId="8" xfId="0" applyFont="1" applyFill="1" applyBorder="1" applyAlignment="1">
      <alignment horizontal="center" vertical="center"/>
    </xf>
    <xf numFmtId="0" fontId="0" fillId="0" borderId="4" xfId="0" applyBorder="1" applyAlignment="1"/>
    <xf numFmtId="0" fontId="0" fillId="0" borderId="5" xfId="0" applyBorder="1" applyAlignment="1"/>
    <xf numFmtId="0" fontId="0" fillId="2" borderId="14" xfId="0" applyFill="1" applyBorder="1" applyAlignment="1">
      <alignment horizontal="center" vertical="center"/>
    </xf>
    <xf numFmtId="0" fontId="0" fillId="2" borderId="9"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15" xfId="0" applyFill="1" applyBorder="1">
      <alignment vertical="center"/>
    </xf>
    <xf numFmtId="0" fontId="0" fillId="0" borderId="16" xfId="0" applyBorder="1" applyAlignment="1"/>
    <xf numFmtId="0" fontId="0" fillId="0" borderId="18" xfId="0" applyBorder="1" applyAlignment="1"/>
    <xf numFmtId="0" fontId="0" fillId="0" borderId="19" xfId="0" applyBorder="1" applyAlignment="1"/>
    <xf numFmtId="0" fontId="0" fillId="0" borderId="29" xfId="0" applyBorder="1" applyAlignment="1">
      <alignment horizontal="center" vertical="center"/>
    </xf>
    <xf numFmtId="0" fontId="0" fillId="0" borderId="36" xfId="0" applyBorder="1" applyAlignment="1">
      <alignment horizontal="center" vertical="center"/>
    </xf>
    <xf numFmtId="0" fontId="0" fillId="0" borderId="20" xfId="0" applyBorder="1" applyAlignment="1">
      <alignment horizontal="left" vertical="center"/>
    </xf>
    <xf numFmtId="0" fontId="7" fillId="2" borderId="13" xfId="0" applyFont="1" applyFill="1" applyBorder="1" applyAlignment="1">
      <alignment horizontal="center" vertical="center"/>
    </xf>
    <xf numFmtId="0" fontId="0" fillId="0" borderId="21" xfId="0" applyBorder="1" applyAlignment="1">
      <alignment horizontal="left" vertical="center"/>
    </xf>
    <xf numFmtId="0" fontId="0" fillId="0" borderId="21" xfId="0" applyBorder="1" applyAlignment="1"/>
    <xf numFmtId="0" fontId="0" fillId="2" borderId="8" xfId="0" applyFill="1" applyBorder="1" applyAlignment="1">
      <alignment horizontal="center" vertical="center"/>
    </xf>
    <xf numFmtId="0" fontId="0" fillId="0" borderId="8" xfId="0" applyBorder="1" applyAlignment="1">
      <alignment horizontal="center"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2" borderId="8" xfId="0" applyFill="1" applyBorder="1" applyAlignment="1">
      <alignment horizontal="center" vertical="center" wrapText="1"/>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2E4FE1D2-64C3-4C13-B346-E383EECA0197}"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610A348D-8D04-4B33-B547-A906A0DDEF9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05B3D915-4677-441A-8F71-355D15C886B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8533BF28-D784-492C-B3DD-7F8D305B478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9A55F7E7-DE51-45C9-A7DC-03E141CA9C1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76A86A11-D6DF-4EE0-B152-78DAF9DB029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542FBDAE-504C-4207-B8A0-464C4CC1E5E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0FD1B492-97B1-4903-B709-A9736A75355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A0724129-CE33-478D-B14C-CB48E508D2A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5FF4338B-2897-4F4B-AEE0-FA10DAA03F0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A67037DF-BFFC-48B4-8BE5-E27ED8045A2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EB379D8A-0AF5-4038-967F-AF33157B830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D9A2146B-89CB-4B8E-8FBE-74F5D0D5DA3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63AAEFC3-898E-4FCA-BD05-9D5C1E02FA2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163FD7D5-451F-4BA7-BF30-E80D909302A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9F7E5A90-6D2A-4A79-ABA5-64750B4EFD4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58E15528-3663-48DB-B1B7-D1C285DC427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4536093E-6A82-4832-8D95-A39F0544372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7E314F68-43BE-465A-8A5E-BDA48261F6A1}"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E1475931-2382-44A0-ABE0-EDD69A6204A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06A29830-F878-4396-914C-672F09EF0C0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CFDB46B9-AD0C-4ED7-BFB2-1592E6A5530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3BDA679C-7E05-42DA-9FC7-3D199AEB504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A6A0ED74-F86B-499E-9062-05FD8603785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887C0C8D-54B3-446D-8558-9A4E6EF9B14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0B38532B-B18A-4358-A3AA-87E6F01D599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56EE3E5E-E108-4F5D-8943-7DBA6CA7A83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8ED27D95-53ED-4AC9-A9ED-6D2DA057EBB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45C78E52-FACE-4F7F-8BF7-44D5182C25D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5826D147-E1AE-4ACB-8326-A944AFBD06A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3A4EE365-9626-4BFE-906F-5B1569914A8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CE7CDFBD-3AD2-47BE-969B-1CC170CF34C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FBCE0F73-868E-47F7-AF8D-A24EF636769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72F2743A-99D9-4F6A-B450-BE66F7E07DA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1BEFB9D8-A7F3-4B45-BE99-19A8848C969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34C7CCED-8291-44B3-8D84-744A17F1689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1ACA942A-EE26-469B-8F3A-2CB0B83B2DBF}"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BA49E00B-D681-4FC4-9F7C-30FFDC7A407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C5578315-DF95-40B8-BCFC-09FE00D0D32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901E1CA6-576B-4E6B-B17A-C070CA77388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99C18736-F72A-46E0-9F99-0AF003B84B5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DC0F2383-24FF-4809-8EFF-F1C716BDA7F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8DEBD436-C9BF-4106-B240-03898B59D6A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EE8046CB-0B6E-4F0B-9602-BAC96930579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BDFDD4D9-A63B-4CFB-8A6C-2ED5395C9BA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82C6FCDD-7EEB-429A-A5B8-478D4DC4266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CB1C14EE-194E-410F-8F77-2DD7FA7C2DB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601E139B-D9BF-40A8-97E0-D925DFA8471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ED245219-E525-45A1-851A-53E24A929E7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4251E41C-A72C-426E-94FC-8067D7F2CEF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AB7396A6-AF73-48BF-B8F2-59D6E855F4A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1596E537-424D-4F5F-A52B-AFE44E995D3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256C74EF-1737-4D20-8613-86CFC6976AA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44E15286-E1A0-4681-B1B2-6CCE9581B2B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9BC42F91-9426-4A31-A540-A9C001F2D125}"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39BA920F-5B7C-4395-A555-C8627649DA8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55B2A84B-88CF-4A63-B747-2388289E119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49769BA5-8E37-42BC-86D1-858681D8D5C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E26D173F-2CFB-4B40-9F9E-189AD643F63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E9B4F27F-189C-4953-A50E-B8C0E36095D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DBDBB58C-CDC6-4C82-99D3-C9CFCC14DC7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91CFE218-19CF-4577-AFA0-C5304A66ECD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683D1651-3D1F-47F3-BFB9-2D48B6AB11C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15CC250D-7CEB-4C6B-941F-9829CF53613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1664D466-6C1B-44CB-82E5-8600624FCC6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B8C44DBA-F1FC-4C41-A85F-9A920AD70D5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BC101C10-3A9D-4AE9-9C86-F90B4E4E052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7435A126-D262-4995-878D-024D2925297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A2167D04-9C32-4E23-8788-A7AA55FEFD2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192AD4C0-C44F-4EAB-9C1C-4EADC7BD9FD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59E67F9D-B6CF-49A3-A84E-14EF8199802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EB90616B-A871-453F-94A2-D80138C8093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9.8673671388621322</c:v>
                </c:pt>
                <c:pt idx="1">
                  <c:v>10.415284427436056</c:v>
                </c:pt>
                <c:pt idx="2">
                  <c:v>-0.41308052959931896</c:v>
                </c:pt>
                <c:pt idx="3">
                  <c:v>-7.3277359514130058</c:v>
                </c:pt>
                <c:pt idx="4">
                  <c:v>9.8126815618650998</c:v>
                </c:pt>
                <c:pt idx="5">
                  <c:v>-13.111461452786466</c:v>
                </c:pt>
                <c:pt idx="6">
                  <c:v>15.309446177591335</c:v>
                </c:pt>
                <c:pt idx="7">
                  <c:v>7.454576490318443</c:v>
                </c:pt>
                <c:pt idx="8">
                  <c:v>27.963635617077763</c:v>
                </c:pt>
                <c:pt idx="9">
                  <c:v>16.837921303241771</c:v>
                </c:pt>
                <c:pt idx="10">
                  <c:v>-12.044424222038163</c:v>
                </c:pt>
                <c:pt idx="11">
                  <c:v>7.3161659149403313</c:v>
                </c:pt>
                <c:pt idx="12">
                  <c:v>12.576777106013653</c:v>
                </c:pt>
                <c:pt idx="13">
                  <c:v>-21.571207343009657</c:v>
                </c:pt>
                <c:pt idx="14">
                  <c:v>35.387244736012683</c:v>
                </c:pt>
                <c:pt idx="15">
                  <c:v>-0.35384505919255904</c:v>
                </c:pt>
                <c:pt idx="16">
                  <c:v>30.142127855884048</c:v>
                </c:pt>
                <c:pt idx="17">
                  <c:v>-7.2997508661080399</c:v>
                </c:pt>
                <c:pt idx="18">
                  <c:v>0.80779571395178662</c:v>
                </c:pt>
                <c:pt idx="19">
                  <c:v>0.92571048845901949</c:v>
                </c:pt>
                <c:pt idx="20">
                  <c:v>-7.4201888243197178E-2</c:v>
                </c:pt>
                <c:pt idx="21">
                  <c:v>-0.11434728406450878</c:v>
                </c:pt>
                <c:pt idx="22">
                  <c:v>-1.1762869032067025E-2</c:v>
                </c:pt>
                <c:pt idx="23">
                  <c:v>0.15805011510179601</c:v>
                </c:pt>
              </c:numCache>
            </c:numRef>
          </c:xVal>
          <c:yVal>
            <c:numRef>
              <c:f>colorCalculate!$O$119:$O$142</c:f>
              <c:numCache>
                <c:formatCode>0.000_ </c:formatCode>
                <c:ptCount val="24"/>
                <c:pt idx="0">
                  <c:v>11.403386705267572</c:v>
                </c:pt>
                <c:pt idx="1">
                  <c:v>10.67347068645741</c:v>
                </c:pt>
                <c:pt idx="2">
                  <c:v>-13.002180886785908</c:v>
                </c:pt>
                <c:pt idx="3">
                  <c:v>9.7089034011849868</c:v>
                </c:pt>
                <c:pt idx="4">
                  <c:v>-10.003098301468928</c:v>
                </c:pt>
                <c:pt idx="5">
                  <c:v>-4.4281014180262757</c:v>
                </c:pt>
                <c:pt idx="6">
                  <c:v>30.098764832549918</c:v>
                </c:pt>
                <c:pt idx="7">
                  <c:v>-27.246808902335374</c:v>
                </c:pt>
                <c:pt idx="8">
                  <c:v>18.148065497534006</c:v>
                </c:pt>
                <c:pt idx="9">
                  <c:v>-4.8594037518669868</c:v>
                </c:pt>
                <c:pt idx="10">
                  <c:v>19.269647207263809</c:v>
                </c:pt>
                <c:pt idx="11">
                  <c:v>28.213183713946101</c:v>
                </c:pt>
                <c:pt idx="12">
                  <c:v>-32.753925496854549</c:v>
                </c:pt>
                <c:pt idx="13">
                  <c:v>10.019236864002634</c:v>
                </c:pt>
                <c:pt idx="14">
                  <c:v>21.503320409149971</c:v>
                </c:pt>
                <c:pt idx="15">
                  <c:v>26.933514865447549</c:v>
                </c:pt>
                <c:pt idx="16">
                  <c:v>3.2228445998274458</c:v>
                </c:pt>
                <c:pt idx="17">
                  <c:v>-22.294198851180312</c:v>
                </c:pt>
                <c:pt idx="18">
                  <c:v>1.9379137388812806</c:v>
                </c:pt>
                <c:pt idx="19">
                  <c:v>1.5301569207917254</c:v>
                </c:pt>
                <c:pt idx="20">
                  <c:v>1.3107280088469286</c:v>
                </c:pt>
                <c:pt idx="21">
                  <c:v>1.5342966509578448</c:v>
                </c:pt>
                <c:pt idx="22">
                  <c:v>1.9608441016849554E-2</c:v>
                </c:pt>
                <c:pt idx="23">
                  <c:v>-0.43370985119365324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0-8A08-434F-BE36-01B340A1EF37}"/>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50"/>
</file>

<file path=xl/ctrlProps/ctrlProp2.xml><?xml version="1.0" encoding="utf-8"?>
<formControlPr xmlns="http://schemas.microsoft.com/office/spreadsheetml/2009/9/main" objectType="Spin" dx="22" fmlaLink="$AL$8" max="100" page="10" val="50"/>
</file>

<file path=xl/ctrlProps/ctrlProp3.xml><?xml version="1.0" encoding="utf-8"?>
<formControlPr xmlns="http://schemas.microsoft.com/office/spreadsheetml/2009/9/main" objectType="Spin" dx="22" fmlaLink="$AL$9" max="100" page="10" val="50"/>
</file>

<file path=xl/ctrlProps/ctrlProp4.xml><?xml version="1.0" encoding="utf-8"?>
<formControlPr xmlns="http://schemas.microsoft.com/office/spreadsheetml/2009/9/main" objectType="Spin" dx="22" fmlaLink="$AM$7" max="100" page="10" val="50"/>
</file>

<file path=xl/ctrlProps/ctrlProp5.xml><?xml version="1.0" encoding="utf-8"?>
<formControlPr xmlns="http://schemas.microsoft.com/office/spreadsheetml/2009/9/main" objectType="Spin" dx="22" fmlaLink="$AM$8" max="100" page="10" val="50"/>
</file>

<file path=xl/ctrlProps/ctrlProp6.xml><?xml version="1.0" encoding="utf-8"?>
<formControlPr xmlns="http://schemas.microsoft.com/office/spreadsheetml/2009/9/main" objectType="Spin" dx="22" fmlaLink="$AM$9" max="100" page="10" val="50"/>
</file>

<file path=xl/ctrlProps/ctrlProp7.xml><?xml version="1.0" encoding="utf-8"?>
<formControlPr xmlns="http://schemas.microsoft.com/office/spreadsheetml/2009/9/main" objectType="Spin" dx="22" fmlaLink="$AN$7" max="100" page="10" val="50"/>
</file>

<file path=xl/ctrlProps/ctrlProp8.xml><?xml version="1.0" encoding="utf-8"?>
<formControlPr xmlns="http://schemas.microsoft.com/office/spreadsheetml/2009/9/main" objectType="Spin" dx="22" fmlaLink="$AN$8" max="100" page="10" val="50"/>
</file>

<file path=xl/ctrlProps/ctrlProp9.xml><?xml version="1.0" encoding="utf-8"?>
<formControlPr xmlns="http://schemas.microsoft.com/office/spreadsheetml/2009/9/main" objectType="Spin" dx="22" fmlaLink="$AN$9" max="100" page="10" val="5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oneCell">
    <xdr:from>
      <xdr:col>43</xdr:col>
      <xdr:colOff>50800</xdr:colOff>
      <xdr:row>15</xdr:row>
      <xdr:rowOff>76200</xdr:rowOff>
    </xdr:from>
    <xdr:to>
      <xdr:col>53</xdr:col>
      <xdr:colOff>287867</xdr:colOff>
      <xdr:row>35</xdr:row>
      <xdr:rowOff>89322</xdr:rowOff>
    </xdr:to>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6500667" y="3014133"/>
          <a:ext cx="7772400" cy="4077122"/>
        </a:xfrm>
        <a:prstGeom prst="rect">
          <a:avLst/>
        </a:prstGeom>
        <a:ln w="28575">
          <a:solidFill>
            <a:schemeClr val="tx1"/>
          </a:solidFill>
        </a:ln>
      </xdr:spPr>
    </xdr:pic>
    <xdr:clientData/>
  </xdr:twoCellAnchor>
  <xdr:twoCellAnchor>
    <xdr:from>
      <xdr:col>78</xdr:col>
      <xdr:colOff>0</xdr:colOff>
      <xdr:row>5</xdr:row>
      <xdr:rowOff>190499</xdr:rowOff>
    </xdr:from>
    <xdr:to>
      <xdr:col>85</xdr:col>
      <xdr:colOff>0</xdr:colOff>
      <xdr:row>33</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JT260"/>
  <sheetViews>
    <sheetView tabSelected="1" zoomScale="90" zoomScaleNormal="90" zoomScaleSheetLayoutView="50" workbookViewId="0">
      <selection activeCell="B2" sqref="B2:G6"/>
    </sheetView>
  </sheetViews>
  <sheetFormatPr defaultColWidth="11" defaultRowHeight="16.2" x14ac:dyDescent="0.3"/>
  <cols>
    <col min="1" max="1" width="3.33203125" style="31" customWidth="1"/>
    <col min="2" max="4" width="10.88671875" style="33" customWidth="1"/>
    <col min="5" max="8" width="3.33203125" style="30" customWidth="1"/>
    <col min="9" max="11" width="10.88671875" style="30" customWidth="1"/>
    <col min="12" max="12" width="3.33203125" style="31" customWidth="1"/>
    <col min="13" max="13" width="10.88671875" style="30" customWidth="1"/>
    <col min="14" max="15" width="10.88671875" style="31" customWidth="1"/>
    <col min="16" max="16" width="3.21875" style="31" customWidth="1"/>
    <col min="17" max="19" width="10.88671875" style="31" customWidth="1"/>
    <col min="20" max="20" width="10.88671875" style="30" customWidth="1"/>
    <col min="21" max="21" width="3.33203125" style="30" customWidth="1"/>
    <col min="22" max="22" width="3.33203125" style="31" customWidth="1"/>
    <col min="23" max="25" width="10.88671875" style="31" customWidth="1"/>
    <col min="26" max="26" width="10.88671875" customWidth="1"/>
    <col min="27" max="27" width="3.33203125" style="31" customWidth="1"/>
    <col min="28" max="30" width="10.88671875" style="31" customWidth="1"/>
    <col min="37" max="37" width="3.33203125" style="31" customWidth="1"/>
    <col min="45" max="46" width="11" style="31" customWidth="1"/>
    <col min="55" max="55" width="3.33203125" customWidth="1"/>
    <col min="61" max="61" width="3.33203125" customWidth="1"/>
    <col min="66" max="66" width="11" customWidth="1"/>
    <col min="67" max="67" width="3.33203125" customWidth="1"/>
    <col min="73" max="73" width="3.33203125" customWidth="1"/>
    <col min="78" max="78" width="3.33203125" customWidth="1"/>
  </cols>
  <sheetData>
    <row r="1" spans="1:280" ht="15" customHeight="1" thickBot="1" x14ac:dyDescent="0.35"/>
    <row r="2" spans="1:280" ht="15" customHeight="1" x14ac:dyDescent="0.3">
      <c r="B2" s="276" t="s">
        <v>0</v>
      </c>
      <c r="C2" s="243"/>
      <c r="D2" s="243"/>
      <c r="E2" s="243"/>
      <c r="F2" s="243"/>
      <c r="G2" s="239"/>
      <c r="H2"/>
      <c r="I2" s="287" t="s">
        <v>1</v>
      </c>
      <c r="J2" s="288"/>
      <c r="K2" s="288"/>
      <c r="L2" s="288"/>
      <c r="M2" s="288"/>
      <c r="N2" s="288"/>
      <c r="O2" s="273"/>
      <c r="Q2" s="244" t="s">
        <v>2</v>
      </c>
      <c r="R2" s="243"/>
      <c r="S2" s="239"/>
      <c r="T2" s="234" t="s">
        <v>3</v>
      </c>
      <c r="W2" s="11" t="s">
        <v>4</v>
      </c>
      <c r="X2" s="16"/>
      <c r="Y2" s="17"/>
      <c r="Z2" s="15" t="s">
        <v>5</v>
      </c>
      <c r="AB2" s="236" t="s">
        <v>134</v>
      </c>
      <c r="AC2" s="226" t="s">
        <v>133</v>
      </c>
      <c r="AD2" s="227"/>
      <c r="AE2" s="228" t="str">
        <f>_xlfn.CONCAT(AB9," ",AC9," ",AD9," ",AE9," ",AF9," ",AG9," ",AH9," ",AI9," ",AJ9)</f>
        <v>1 0 0 0 1 0 0 0 1</v>
      </c>
      <c r="AF2" s="229"/>
      <c r="AG2" s="256" t="s">
        <v>185</v>
      </c>
      <c r="AH2" s="258"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58"/>
      <c r="AJ2" s="259"/>
      <c r="AK2" s="30"/>
      <c r="AL2" s="298" t="s">
        <v>164</v>
      </c>
      <c r="AM2" s="57" t="s">
        <v>165</v>
      </c>
      <c r="AN2" s="57" t="s">
        <v>166</v>
      </c>
      <c r="AO2" s="57" t="s">
        <v>167</v>
      </c>
      <c r="AP2" s="57" t="s">
        <v>168</v>
      </c>
      <c r="AQ2" s="57" t="s">
        <v>169</v>
      </c>
      <c r="AR2" s="57" t="s">
        <v>170</v>
      </c>
      <c r="AS2" s="57" t="s">
        <v>171</v>
      </c>
      <c r="AT2" s="57" t="s">
        <v>172</v>
      </c>
      <c r="AW2" s="30"/>
      <c r="AX2" s="30"/>
      <c r="AY2" s="30"/>
      <c r="AZ2" s="30"/>
      <c r="BA2" s="30"/>
      <c r="BB2" s="30"/>
      <c r="BC2" s="30"/>
      <c r="BD2" s="299" t="s">
        <v>111</v>
      </c>
      <c r="BE2" s="243"/>
      <c r="BF2" s="243"/>
      <c r="BG2" s="243"/>
      <c r="BH2" s="239"/>
      <c r="BI2" s="30"/>
      <c r="BV2" s="300" t="s">
        <v>112</v>
      </c>
      <c r="BW2" s="225"/>
      <c r="BX2" s="225"/>
      <c r="BY2" s="225"/>
      <c r="BZ2" s="30"/>
      <c r="CA2" s="301" t="s">
        <v>113</v>
      </c>
      <c r="CB2" s="239"/>
      <c r="CC2" s="302" t="s">
        <v>132</v>
      </c>
      <c r="CD2" s="243"/>
      <c r="CE2" s="243"/>
      <c r="CF2" s="243"/>
      <c r="CG2" s="239"/>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c r="FV2" s="30"/>
      <c r="FW2" s="30"/>
      <c r="FX2" s="30"/>
      <c r="FY2" s="30"/>
      <c r="FZ2" s="30"/>
      <c r="GA2" s="30"/>
      <c r="GB2" s="30"/>
      <c r="GC2" s="30"/>
      <c r="GD2" s="30"/>
      <c r="GE2" s="30"/>
      <c r="GF2" s="30"/>
      <c r="GG2" s="30"/>
      <c r="GH2" s="30"/>
      <c r="GI2" s="30"/>
      <c r="GJ2" s="30"/>
      <c r="GK2" s="30"/>
      <c r="GL2" s="30"/>
      <c r="GM2" s="30"/>
      <c r="GN2" s="30"/>
      <c r="GO2" s="30"/>
      <c r="GP2" s="30"/>
      <c r="GQ2" s="30"/>
      <c r="GR2" s="30"/>
      <c r="GS2" s="30"/>
      <c r="GT2" s="30"/>
      <c r="GU2" s="30"/>
      <c r="GV2" s="30"/>
      <c r="GW2" s="30"/>
      <c r="GX2" s="30"/>
      <c r="GY2" s="30"/>
      <c r="GZ2" s="30"/>
      <c r="HA2" s="30"/>
      <c r="HB2" s="30"/>
      <c r="HC2" s="30"/>
      <c r="HD2" s="30"/>
      <c r="HE2" s="30"/>
      <c r="HF2" s="30"/>
      <c r="HG2" s="30"/>
      <c r="HH2" s="30"/>
      <c r="HI2" s="30"/>
      <c r="HJ2" s="30"/>
      <c r="HK2" s="30"/>
      <c r="HL2" s="30"/>
      <c r="HM2" s="30"/>
      <c r="HN2" s="30"/>
      <c r="HO2" s="30"/>
      <c r="HP2" s="30"/>
      <c r="HQ2" s="30"/>
      <c r="HR2" s="30"/>
      <c r="HS2" s="30"/>
      <c r="HT2" s="30"/>
      <c r="HU2" s="30"/>
      <c r="HV2" s="30"/>
      <c r="HW2" s="30"/>
      <c r="HX2" s="30"/>
      <c r="HY2" s="30"/>
      <c r="HZ2" s="30"/>
      <c r="IA2" s="30"/>
      <c r="IB2" s="30"/>
      <c r="IC2" s="30"/>
      <c r="ID2" s="30"/>
      <c r="IE2" s="30"/>
      <c r="IF2" s="30"/>
      <c r="IG2" s="30"/>
      <c r="IH2" s="30"/>
      <c r="II2" s="30"/>
      <c r="IJ2" s="30"/>
      <c r="IK2" s="30"/>
      <c r="IL2" s="30"/>
      <c r="IM2" s="30"/>
      <c r="IN2" s="30"/>
      <c r="IO2" s="30"/>
      <c r="IP2" s="30"/>
      <c r="IQ2" s="30"/>
      <c r="IR2" s="30"/>
      <c r="IS2" s="30"/>
      <c r="IT2" s="30"/>
      <c r="IU2" s="30"/>
      <c r="IV2" s="30"/>
      <c r="IW2" s="30"/>
      <c r="IX2" s="30"/>
      <c r="IY2" s="30"/>
      <c r="IZ2" s="30"/>
      <c r="JA2" s="30"/>
      <c r="JB2" s="30"/>
      <c r="JC2" s="30"/>
      <c r="JD2" s="30"/>
      <c r="JE2" s="30"/>
      <c r="JF2" s="30"/>
      <c r="JG2" s="30"/>
      <c r="JH2" s="30"/>
      <c r="JI2" s="30"/>
      <c r="JJ2" s="30"/>
      <c r="JK2" s="30"/>
      <c r="JL2" s="30"/>
      <c r="JM2" s="30"/>
      <c r="JN2" s="30"/>
      <c r="JO2" s="30"/>
      <c r="JP2" s="30"/>
      <c r="JQ2" s="30"/>
      <c r="JR2" s="30"/>
      <c r="JS2" s="30"/>
      <c r="JT2" s="30"/>
    </row>
    <row r="3" spans="1:280" ht="15" customHeight="1" x14ac:dyDescent="0.3">
      <c r="B3" s="277"/>
      <c r="C3" s="266"/>
      <c r="D3" s="266"/>
      <c r="E3" s="225"/>
      <c r="F3" s="225"/>
      <c r="G3" s="278"/>
      <c r="H3"/>
      <c r="I3" s="289"/>
      <c r="J3" s="245"/>
      <c r="K3" s="245"/>
      <c r="L3" s="245"/>
      <c r="M3" s="245"/>
      <c r="N3" s="245"/>
      <c r="O3" s="290"/>
      <c r="Q3" s="240"/>
      <c r="R3" s="245"/>
      <c r="S3" s="241"/>
      <c r="T3" s="235"/>
      <c r="W3" s="18">
        <f>AB8</f>
        <v>1</v>
      </c>
      <c r="X3" s="2">
        <f>AC8</f>
        <v>0</v>
      </c>
      <c r="Y3" s="19">
        <f>AD8</f>
        <v>0</v>
      </c>
      <c r="Z3" s="34">
        <f>$W3+$X3+$Y3</f>
        <v>1</v>
      </c>
      <c r="AB3" s="236"/>
      <c r="AC3" s="226"/>
      <c r="AD3" s="227"/>
      <c r="AE3" s="230"/>
      <c r="AF3" s="231"/>
      <c r="AG3" s="257"/>
      <c r="AH3" s="260"/>
      <c r="AI3" s="260"/>
      <c r="AJ3" s="261"/>
      <c r="AK3" s="30"/>
      <c r="AL3" s="298"/>
      <c r="AM3" s="57">
        <v>0.5</v>
      </c>
      <c r="AN3" s="57">
        <v>0.5</v>
      </c>
      <c r="AO3" s="57">
        <v>0.5</v>
      </c>
      <c r="AP3" s="57">
        <v>0.5</v>
      </c>
      <c r="AQ3" s="57">
        <v>-0.33800000000000002</v>
      </c>
      <c r="AR3" s="57">
        <v>-0.33800000000000002</v>
      </c>
      <c r="AS3" s="57">
        <v>-0.16200000000000001</v>
      </c>
      <c r="AT3" s="57">
        <v>-0.16200000000000001</v>
      </c>
      <c r="AW3" s="30"/>
      <c r="AX3" s="30"/>
      <c r="AY3" s="30"/>
      <c r="AZ3" s="30"/>
      <c r="BA3" s="30"/>
      <c r="BB3" s="30"/>
      <c r="BC3" s="30"/>
      <c r="BD3" s="277"/>
      <c r="BE3" s="225"/>
      <c r="BF3" s="225"/>
      <c r="BG3" s="225"/>
      <c r="BH3" s="278"/>
      <c r="BI3" s="30"/>
      <c r="BV3" s="26" t="s">
        <v>114</v>
      </c>
      <c r="BW3" s="30" t="s">
        <v>115</v>
      </c>
      <c r="BX3" s="30" t="s">
        <v>114</v>
      </c>
      <c r="BY3" s="30" t="s">
        <v>116</v>
      </c>
      <c r="BZ3" s="30"/>
      <c r="CA3" s="277"/>
      <c r="CB3" s="278"/>
      <c r="CC3" s="277"/>
      <c r="CD3" s="225"/>
      <c r="CE3" s="225"/>
      <c r="CF3" s="225"/>
      <c r="CG3" s="278"/>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c r="FV3" s="30"/>
      <c r="FW3" s="30"/>
      <c r="FX3" s="30"/>
      <c r="FY3" s="30"/>
      <c r="FZ3" s="30"/>
      <c r="GA3" s="30"/>
      <c r="GB3" s="30"/>
      <c r="GC3" s="30"/>
      <c r="GD3" s="30"/>
      <c r="GE3" s="30"/>
      <c r="GF3" s="30"/>
      <c r="GG3" s="30"/>
      <c r="GH3" s="30"/>
      <c r="GI3" s="30"/>
      <c r="GJ3" s="30"/>
      <c r="GK3" s="30"/>
      <c r="GL3" s="30"/>
      <c r="GM3" s="30"/>
      <c r="GN3" s="30"/>
      <c r="GO3" s="30"/>
      <c r="GP3" s="30"/>
      <c r="GQ3" s="30"/>
      <c r="GR3" s="30"/>
      <c r="GS3" s="30"/>
      <c r="GT3" s="30"/>
      <c r="GU3" s="30"/>
      <c r="GV3" s="30"/>
      <c r="GW3" s="30"/>
      <c r="GX3" s="30"/>
      <c r="GY3" s="30"/>
      <c r="GZ3" s="30"/>
      <c r="HA3" s="30"/>
      <c r="HB3" s="30"/>
      <c r="HC3" s="30"/>
      <c r="HD3" s="30"/>
      <c r="HE3" s="30"/>
      <c r="HF3" s="30"/>
      <c r="HG3" s="30"/>
      <c r="HH3" s="30"/>
      <c r="HI3" s="30"/>
      <c r="HJ3" s="30"/>
      <c r="HK3" s="30"/>
      <c r="HL3" s="30"/>
      <c r="HM3" s="30"/>
      <c r="HN3" s="30"/>
      <c r="HO3" s="30"/>
      <c r="HP3" s="30"/>
      <c r="HQ3" s="30"/>
      <c r="HR3" s="30"/>
      <c r="HS3" s="30"/>
      <c r="HT3" s="30"/>
      <c r="HU3" s="30"/>
      <c r="HV3" s="30"/>
      <c r="HW3" s="30"/>
      <c r="HX3" s="30"/>
      <c r="HY3" s="30"/>
      <c r="HZ3" s="30"/>
      <c r="IA3" s="30"/>
      <c r="IB3" s="30"/>
      <c r="IC3" s="30"/>
      <c r="ID3" s="30"/>
      <c r="IE3" s="30"/>
      <c r="IF3" s="30"/>
      <c r="IG3" s="30"/>
      <c r="IH3" s="30"/>
      <c r="II3" s="30"/>
      <c r="IJ3" s="30"/>
      <c r="IK3" s="30"/>
      <c r="IL3" s="30"/>
      <c r="IM3" s="30"/>
      <c r="IN3" s="30"/>
      <c r="IO3" s="30"/>
      <c r="IP3" s="30"/>
      <c r="IQ3" s="30"/>
      <c r="IR3" s="30"/>
      <c r="IS3" s="30"/>
      <c r="IT3" s="30"/>
      <c r="IU3" s="30"/>
      <c r="IV3" s="30"/>
      <c r="IW3" s="30"/>
      <c r="IX3" s="30"/>
      <c r="IY3" s="30"/>
      <c r="IZ3" s="30"/>
      <c r="JA3" s="30"/>
      <c r="JB3" s="30"/>
      <c r="JC3" s="30"/>
      <c r="JD3" s="30"/>
      <c r="JE3" s="30"/>
      <c r="JF3" s="30"/>
      <c r="JG3" s="30"/>
      <c r="JH3" s="30"/>
      <c r="JI3" s="30"/>
      <c r="JJ3" s="30"/>
      <c r="JK3" s="30"/>
      <c r="JL3" s="30"/>
      <c r="JM3" s="30"/>
      <c r="JN3" s="30"/>
      <c r="JO3" s="30"/>
      <c r="JP3" s="30"/>
      <c r="JQ3" s="30"/>
      <c r="JR3" s="30"/>
      <c r="JS3" s="30"/>
      <c r="JT3" s="30"/>
    </row>
    <row r="4" spans="1:280" ht="15" customHeight="1" x14ac:dyDescent="0.3">
      <c r="B4" s="277"/>
      <c r="C4" s="266"/>
      <c r="D4" s="266"/>
      <c r="E4" s="225"/>
      <c r="F4" s="225"/>
      <c r="G4" s="278"/>
      <c r="H4"/>
      <c r="I4" s="293">
        <f>(AL7-50)*0.01+O4</f>
        <v>0</v>
      </c>
      <c r="J4" s="247">
        <f>(AM7-50)*0.01+N4-(0.5*O4)</f>
        <v>0</v>
      </c>
      <c r="K4" s="247">
        <f>(AN7-50)*0.01-N4-(0.5*O4)</f>
        <v>0</v>
      </c>
      <c r="L4" s="213"/>
      <c r="M4" s="294" t="s">
        <v>6</v>
      </c>
      <c r="N4" s="247">
        <f>(AS7-50)*0.01</f>
        <v>0</v>
      </c>
      <c r="O4" s="295">
        <f>(AT7-50)*0.01</f>
        <v>0</v>
      </c>
      <c r="Q4" s="264" t="s">
        <v>7</v>
      </c>
      <c r="R4" s="239"/>
      <c r="S4" s="35">
        <f>AVERAGE(Q15:Q38)</f>
        <v>7.4075671037821786</v>
      </c>
      <c r="T4" s="36">
        <f>AVERAGE(W15:W38)</f>
        <v>7.408624167729525</v>
      </c>
      <c r="U4" s="33"/>
      <c r="W4" s="3">
        <f>AE8</f>
        <v>0</v>
      </c>
      <c r="X4" s="30">
        <f>AF8</f>
        <v>1</v>
      </c>
      <c r="Y4" s="4">
        <f>AG8</f>
        <v>0</v>
      </c>
      <c r="Z4" s="34">
        <f>$W4+$X4+$Y4</f>
        <v>1</v>
      </c>
      <c r="AB4" s="54" t="s">
        <v>135</v>
      </c>
      <c r="AC4" s="226"/>
      <c r="AD4" s="227"/>
      <c r="AE4" s="230"/>
      <c r="AF4" s="231"/>
      <c r="AG4" s="257"/>
      <c r="AH4" s="260"/>
      <c r="AI4" s="260"/>
      <c r="AJ4" s="261"/>
      <c r="AL4" s="298"/>
      <c r="AM4" s="57">
        <f>ROUND(AC12,3)</f>
        <v>0.5</v>
      </c>
      <c r="AN4" s="57">
        <f t="shared" ref="AN4:AT4" si="0">ROUND(AD12,3)</f>
        <v>0.5</v>
      </c>
      <c r="AO4" s="57">
        <f t="shared" si="0"/>
        <v>0.5</v>
      </c>
      <c r="AP4" s="57">
        <f t="shared" si="0"/>
        <v>0.5</v>
      </c>
      <c r="AQ4" s="57">
        <f t="shared" si="0"/>
        <v>-0.33800000000000002</v>
      </c>
      <c r="AR4" s="57">
        <f t="shared" si="0"/>
        <v>-0.33800000000000002</v>
      </c>
      <c r="AS4" s="57">
        <f t="shared" si="0"/>
        <v>-0.16200000000000001</v>
      </c>
      <c r="AT4" s="57">
        <f t="shared" si="0"/>
        <v>-0.16200000000000001</v>
      </c>
      <c r="BD4" s="277"/>
      <c r="BE4" s="225"/>
      <c r="BF4" s="225"/>
      <c r="BG4" s="225"/>
      <c r="BH4" s="278"/>
      <c r="BI4" s="30"/>
      <c r="BV4" s="27">
        <f t="shared" ref="BV4:BV67" si="1">BX4</f>
        <v>0</v>
      </c>
      <c r="BW4" s="30">
        <v>0</v>
      </c>
      <c r="BX4" s="30">
        <f>VALUE(MID(CC2,1,SEARCH(" ",CC2,1)-1))/$BH$12</f>
        <v>0</v>
      </c>
      <c r="BY4" s="30">
        <v>0</v>
      </c>
      <c r="BZ4" s="33"/>
      <c r="CA4" s="277"/>
      <c r="CB4" s="278"/>
      <c r="CC4" s="277"/>
      <c r="CD4" s="225"/>
      <c r="CE4" s="225"/>
      <c r="CF4" s="225"/>
      <c r="CG4" s="278"/>
    </row>
    <row r="5" spans="1:280" ht="15" customHeight="1" thickBot="1" x14ac:dyDescent="0.35">
      <c r="B5" s="277"/>
      <c r="C5" s="266"/>
      <c r="D5" s="266"/>
      <c r="E5" s="225"/>
      <c r="F5" s="225"/>
      <c r="G5" s="278"/>
      <c r="H5"/>
      <c r="I5" s="251"/>
      <c r="J5" s="235"/>
      <c r="K5" s="235"/>
      <c r="L5" s="213"/>
      <c r="M5" s="235"/>
      <c r="N5" s="235"/>
      <c r="O5" s="296"/>
      <c r="Q5" s="1" t="s">
        <v>8</v>
      </c>
      <c r="R5" s="23"/>
      <c r="S5" s="35">
        <f t="array" ref="S5">AVERAGE(ABS(R15:R38))</f>
        <v>2.7122065310567485</v>
      </c>
      <c r="T5" s="37">
        <f t="array" ref="T5">AVERAGE(ABS(X15:X38))</f>
        <v>2.7122017880285969</v>
      </c>
      <c r="U5" s="33"/>
      <c r="W5" s="3">
        <f>AH8</f>
        <v>0</v>
      </c>
      <c r="X5" s="30">
        <f>AI8</f>
        <v>0</v>
      </c>
      <c r="Y5" s="4">
        <f>AJ8</f>
        <v>1</v>
      </c>
      <c r="Z5" s="34">
        <f>$W5+$X5+$Y5</f>
        <v>1</v>
      </c>
      <c r="AB5" s="55">
        <v>1</v>
      </c>
      <c r="AC5" s="226"/>
      <c r="AD5" s="227"/>
      <c r="AE5" s="232"/>
      <c r="AF5" s="233"/>
      <c r="AG5" s="257"/>
      <c r="AH5" s="262"/>
      <c r="AI5" s="262"/>
      <c r="AJ5" s="263"/>
      <c r="BD5" s="277"/>
      <c r="BE5" s="225"/>
      <c r="BF5" s="225"/>
      <c r="BG5" s="225"/>
      <c r="BH5" s="278"/>
      <c r="BI5" s="30"/>
      <c r="BV5" s="27">
        <f t="shared" si="1"/>
        <v>4.5</v>
      </c>
      <c r="BW5" s="30">
        <v>1</v>
      </c>
      <c r="BX5" s="30">
        <f t="shared" ref="BX5:BX68" si="2">VALUE(MID($CC$2,FIND("*",SUBSTITUTE($CC$2," ","*",BW5),1)+1,FIND("*",SUBSTITUTE($CC$2," ","*",BW6),1)-FIND("*",SUBSTITUTE($CC$2," ","*",BW5),1)-1))/$BH$12</f>
        <v>4.5</v>
      </c>
      <c r="BY5" s="30">
        <f t="shared" ref="BY5:BY68" si="3">BX5-BX4</f>
        <v>4.5</v>
      </c>
      <c r="BZ5" s="33"/>
      <c r="CA5" s="240"/>
      <c r="CB5" s="241"/>
      <c r="CC5" s="240"/>
      <c r="CD5" s="245"/>
      <c r="CE5" s="245"/>
      <c r="CF5" s="245"/>
      <c r="CG5" s="241"/>
    </row>
    <row r="6" spans="1:280" ht="15" customHeight="1" x14ac:dyDescent="0.3">
      <c r="B6" s="240"/>
      <c r="C6" s="245"/>
      <c r="D6" s="245"/>
      <c r="E6" s="245"/>
      <c r="F6" s="245"/>
      <c r="G6" s="241"/>
      <c r="H6"/>
      <c r="I6" s="249">
        <f>(AL8-50)*0.01-N6-(0.5*O6)</f>
        <v>0</v>
      </c>
      <c r="J6" s="248">
        <f>(AM8-50)*0.01+O6</f>
        <v>0</v>
      </c>
      <c r="K6" s="248">
        <f>(AN8-50)*0.01+N6-(0.5*O6)</f>
        <v>0</v>
      </c>
      <c r="L6" s="213"/>
      <c r="M6" s="297" t="s">
        <v>9</v>
      </c>
      <c r="N6" s="248">
        <f>(AS8-50)*0.01</f>
        <v>0</v>
      </c>
      <c r="O6" s="269">
        <f>(AT8-50)*0.01</f>
        <v>0</v>
      </c>
      <c r="Q6" s="1" t="s">
        <v>10</v>
      </c>
      <c r="R6" s="23"/>
      <c r="S6" s="35">
        <f t="array" ref="S6">AVERAGE(ABS(S15:S38))</f>
        <v>20.236212916629054</v>
      </c>
      <c r="T6" s="37">
        <f t="array" ref="T6">AVERAGE(ABS(Y15:Y38))</f>
        <v>20.234342616049812</v>
      </c>
      <c r="U6" s="33"/>
      <c r="W6" s="242" t="s">
        <v>11</v>
      </c>
      <c r="X6" s="243"/>
      <c r="Y6" s="239"/>
      <c r="Z6" s="15" t="s">
        <v>5</v>
      </c>
      <c r="AL6" s="225" t="s">
        <v>12</v>
      </c>
      <c r="AM6" s="252"/>
      <c r="AN6" s="252"/>
      <c r="AO6" s="225" t="s">
        <v>13</v>
      </c>
      <c r="AP6" s="252"/>
      <c r="AQ6" s="252"/>
      <c r="AR6" s="252"/>
      <c r="AS6" s="30" t="s">
        <v>162</v>
      </c>
      <c r="AT6" s="30" t="s">
        <v>163</v>
      </c>
      <c r="AU6" s="225" t="s">
        <v>147</v>
      </c>
      <c r="AV6" s="225"/>
      <c r="AW6" s="225"/>
      <c r="AX6" s="225"/>
      <c r="AY6" s="225"/>
      <c r="AZ6" s="225"/>
      <c r="BA6" s="225"/>
      <c r="BB6" s="225"/>
      <c r="BD6" s="277"/>
      <c r="BE6" s="225"/>
      <c r="BF6" s="225"/>
      <c r="BG6" s="225"/>
      <c r="BH6" s="278"/>
      <c r="BI6" s="30"/>
      <c r="BV6" s="27">
        <f t="shared" si="1"/>
        <v>7.5</v>
      </c>
      <c r="BW6" s="30">
        <v>2</v>
      </c>
      <c r="BX6" s="30">
        <f t="shared" si="2"/>
        <v>7.5</v>
      </c>
      <c r="BY6" s="30">
        <f t="shared" si="3"/>
        <v>3</v>
      </c>
      <c r="BZ6" s="33"/>
      <c r="CA6" s="30"/>
      <c r="CB6" s="30"/>
      <c r="CC6" s="30"/>
      <c r="CD6" s="30"/>
      <c r="CE6" s="30"/>
      <c r="CF6" s="30"/>
      <c r="CG6" s="30"/>
    </row>
    <row r="7" spans="1:280" ht="15" customHeight="1" x14ac:dyDescent="0.3">
      <c r="B7" s="279" t="s">
        <v>14</v>
      </c>
      <c r="C7" s="280"/>
      <c r="D7" s="280"/>
      <c r="E7" s="280"/>
      <c r="F7" s="280"/>
      <c r="G7" s="257"/>
      <c r="H7"/>
      <c r="I7" s="251"/>
      <c r="J7" s="235"/>
      <c r="K7" s="235"/>
      <c r="L7" s="213"/>
      <c r="M7" s="235"/>
      <c r="N7" s="235"/>
      <c r="O7" s="296"/>
      <c r="Q7" s="1" t="s">
        <v>15</v>
      </c>
      <c r="R7" s="23"/>
      <c r="S7" s="35">
        <f>AVERAGE(T15:T38)</f>
        <v>3.3962859802058429</v>
      </c>
      <c r="T7" s="37">
        <f>AVERAGE(Z15:Z38)</f>
        <v>3.4055824350214094</v>
      </c>
      <c r="U7" s="33"/>
      <c r="W7" s="18">
        <f>W3+I4+AP7</f>
        <v>1</v>
      </c>
      <c r="X7" s="2">
        <f>X3+J4+AQ7</f>
        <v>0</v>
      </c>
      <c r="Y7" s="19">
        <f>Y3+K4+AR7</f>
        <v>0</v>
      </c>
      <c r="Z7" s="34">
        <f>$W7+$X7+$Y7</f>
        <v>1</v>
      </c>
      <c r="AB7" s="253" t="s">
        <v>136</v>
      </c>
      <c r="AC7" s="254"/>
      <c r="AD7" s="254"/>
      <c r="AE7" s="254"/>
      <c r="AF7" s="254"/>
      <c r="AG7" s="254"/>
      <c r="AH7" s="254"/>
      <c r="AI7" s="254"/>
      <c r="AJ7" s="255"/>
      <c r="AL7" s="30">
        <v>50</v>
      </c>
      <c r="AM7" s="30">
        <v>50</v>
      </c>
      <c r="AN7" s="30">
        <v>50</v>
      </c>
      <c r="AO7" s="225">
        <v>50</v>
      </c>
      <c r="AP7" s="30">
        <f>IF($N$11=0,0,IF($N$11&lt;0,(W3*((0.98252741)^ABS($N$11)))-W3,(W3*((1.0174725)^ABS($N$11)))-W3))</f>
        <v>0</v>
      </c>
      <c r="AQ7" s="30">
        <f>0.815*AP7*(-1)</f>
        <v>0</v>
      </c>
      <c r="AR7" s="30">
        <f>(1-0.815)*AP7*(-1)</f>
        <v>0</v>
      </c>
      <c r="AS7" s="30">
        <v>50</v>
      </c>
      <c r="AT7" s="30">
        <v>50</v>
      </c>
      <c r="AU7" s="225"/>
      <c r="AV7" s="225"/>
      <c r="AW7" s="225"/>
      <c r="AX7" s="225"/>
      <c r="AY7" s="225"/>
      <c r="AZ7" s="225"/>
      <c r="BA7" s="225"/>
      <c r="BB7" s="225"/>
      <c r="BD7" s="277"/>
      <c r="BE7" s="225"/>
      <c r="BF7" s="225"/>
      <c r="BG7" s="225"/>
      <c r="BH7" s="278"/>
      <c r="BI7" s="30"/>
      <c r="BV7" s="27">
        <f t="shared" si="1"/>
        <v>10.5</v>
      </c>
      <c r="BW7" s="30">
        <v>3</v>
      </c>
      <c r="BX7" s="30">
        <f t="shared" si="2"/>
        <v>10.5</v>
      </c>
      <c r="BY7" s="30">
        <f t="shared" si="3"/>
        <v>3</v>
      </c>
      <c r="BZ7" s="33"/>
      <c r="CA7" s="30"/>
      <c r="CB7" s="30"/>
      <c r="CC7" s="30"/>
      <c r="CD7" s="30"/>
      <c r="CE7" s="30"/>
      <c r="CF7" s="30"/>
      <c r="CG7" s="30"/>
    </row>
    <row r="8" spans="1:280" ht="15" customHeight="1" x14ac:dyDescent="0.3">
      <c r="B8" s="281" t="s">
        <v>184</v>
      </c>
      <c r="C8" s="282"/>
      <c r="D8" s="282"/>
      <c r="E8" s="282"/>
      <c r="F8" s="282"/>
      <c r="G8" s="283"/>
      <c r="H8"/>
      <c r="I8" s="249">
        <f>(AL9-50)*0.01+N8-(0.5*O8)</f>
        <v>0</v>
      </c>
      <c r="J8" s="248">
        <f>(AM9-50)*0.01-N8-(0.5*O8)</f>
        <v>0</v>
      </c>
      <c r="K8" s="248">
        <f>(AN9-50)*0.01+O8</f>
        <v>0</v>
      </c>
      <c r="L8" s="213"/>
      <c r="M8" s="297" t="s">
        <v>16</v>
      </c>
      <c r="N8" s="248">
        <f>(AS9-50)*0.01</f>
        <v>0</v>
      </c>
      <c r="O8" s="269">
        <f>(AT9-50)*0.01</f>
        <v>0</v>
      </c>
      <c r="Q8" s="1" t="s">
        <v>17</v>
      </c>
      <c r="R8" s="9"/>
      <c r="S8" s="8">
        <f>AVERAGE(R41:R64)/AVERAGE(Q41:Q64)</f>
        <v>0.47349109840170556</v>
      </c>
      <c r="T8" s="20">
        <f>AVERAGE(S41:S64)/AVERAGE(Q41:Q64)</f>
        <v>0.47353743719673824</v>
      </c>
      <c r="U8" s="21"/>
      <c r="W8" s="3">
        <f>W4+I6+AP8</f>
        <v>0</v>
      </c>
      <c r="X8" s="30">
        <f>X4+J6+AQ8</f>
        <v>1</v>
      </c>
      <c r="Y8" s="4">
        <f>Y4+K6+AR8</f>
        <v>0</v>
      </c>
      <c r="Z8" s="34">
        <f>$W8+$X8+$Y8</f>
        <v>1</v>
      </c>
      <c r="AB8" s="18">
        <f>VALUE(MID(AC2,1,SEARCH(" ",AC2,1)-1))/AB5</f>
        <v>1</v>
      </c>
      <c r="AC8" s="30">
        <f>VALUE(MID($AC2,FIND("*",SUBSTITUTE($AC2," ","*",1),1)+1,FIND("*",SUBSTITUTE($AC2," ","*",2),1)-FIND("*",SUBSTITUTE($AC2," ","*",1),1)-1))/AB5</f>
        <v>0</v>
      </c>
      <c r="AD8" s="30">
        <f>VALUE(MID($AC2,FIND("*",SUBSTITUTE($AC2," ","*",2),1)+1,FIND("*",SUBSTITUTE($AC2," ","*",3),1)-FIND("*",SUBSTITUTE($AC2," ","*",2),1)-1))/AB5</f>
        <v>0</v>
      </c>
      <c r="AE8" s="30">
        <f>VALUE(MID($AC2,FIND("*",SUBSTITUTE($AC2," ","*",3),1)+1,FIND("*",SUBSTITUTE($AC2," ","*",4),1)-FIND("*",SUBSTITUTE($AC2," ","*",3),1)-1))/AB5</f>
        <v>0</v>
      </c>
      <c r="AF8" s="30">
        <f>VALUE(MID($AC2,FIND("*",SUBSTITUTE($AC2," ","*",4),1)+1,FIND("*",SUBSTITUTE($AC2," ","*",5),1)-FIND("*",SUBSTITUTE($AC2," ","*",4),1)-1))/AB5</f>
        <v>1</v>
      </c>
      <c r="AG8" s="30">
        <f>VALUE(MID($AC2,FIND("*",SUBSTITUTE($AC2," ","*",5),1)+1,FIND("*",SUBSTITUTE($AC2," ","*",6),1)-FIND("*",SUBSTITUTE($AC2," ","*",5),1)-1))/AB5</f>
        <v>0</v>
      </c>
      <c r="AH8" s="30">
        <f>VALUE(MID($AC2,FIND("*",SUBSTITUTE($AC2," ","*",6),1)+1,FIND("*",SUBSTITUTE($AC2," ","*",7),1)-FIND("*",SUBSTITUTE($AC2," ","*",6),1)-1))/AB5</f>
        <v>0</v>
      </c>
      <c r="AI8" s="30">
        <f>VALUE(MID($AC2,FIND("*",SUBSTITUTE($AC2," ","*",7),1)+1,FIND("*",SUBSTITUTE($AC2," ","*",8),1)-FIND("*",SUBSTITUTE($AC2," ","*",7),1)-1))/AB5</f>
        <v>0</v>
      </c>
      <c r="AJ8" s="19">
        <f>VALUE(RIGHT($AC2,LEN($AC2)-FIND("*",SUBSTITUTE($AC2," ","*",8),1)))/AB5</f>
        <v>1</v>
      </c>
      <c r="AL8" s="30">
        <v>50</v>
      </c>
      <c r="AM8" s="30">
        <v>50</v>
      </c>
      <c r="AN8" s="30">
        <v>50</v>
      </c>
      <c r="AO8" s="252"/>
      <c r="AP8" s="30">
        <f>0.815*AQ8*(-1)</f>
        <v>0</v>
      </c>
      <c r="AQ8" s="30">
        <f>IF($N$11=0,0,IF($N$11&lt;0,(X4*((0.98252741)^ABS($N$11)))-X4,(X4*((1.0174725)^ABS($N$11)))-X4))</f>
        <v>0</v>
      </c>
      <c r="AR8" s="30">
        <f>(1-0.815)*AQ8*(-1)</f>
        <v>0</v>
      </c>
      <c r="AS8" s="30">
        <v>50</v>
      </c>
      <c r="AT8" s="30">
        <v>50</v>
      </c>
      <c r="AU8" s="30" t="s">
        <v>148</v>
      </c>
      <c r="AV8" s="30" t="s">
        <v>149</v>
      </c>
      <c r="AW8" s="30" t="s">
        <v>150</v>
      </c>
      <c r="AX8" s="30" t="s">
        <v>151</v>
      </c>
      <c r="AY8" s="30" t="s">
        <v>152</v>
      </c>
      <c r="AZ8" s="30" t="s">
        <v>153</v>
      </c>
      <c r="BA8" s="30" t="s">
        <v>154</v>
      </c>
      <c r="BB8" s="30" t="s">
        <v>155</v>
      </c>
      <c r="BD8" s="277"/>
      <c r="BE8" s="225"/>
      <c r="BF8" s="225"/>
      <c r="BG8" s="225"/>
      <c r="BH8" s="278"/>
      <c r="BV8" s="27">
        <f t="shared" si="1"/>
        <v>13.5</v>
      </c>
      <c r="BW8" s="30">
        <v>4</v>
      </c>
      <c r="BX8" s="30">
        <f t="shared" si="2"/>
        <v>13.5</v>
      </c>
      <c r="BY8" s="30">
        <f t="shared" si="3"/>
        <v>3</v>
      </c>
      <c r="BZ8" s="21"/>
      <c r="CA8" s="30"/>
      <c r="CB8" s="30"/>
      <c r="CC8" s="30"/>
      <c r="CD8" s="30"/>
      <c r="CE8" s="30"/>
      <c r="CF8" s="30"/>
      <c r="CG8" s="30"/>
    </row>
    <row r="9" spans="1:280" ht="15" customHeight="1" thickBot="1" x14ac:dyDescent="0.35">
      <c r="B9" s="284"/>
      <c r="C9" s="285"/>
      <c r="D9" s="285"/>
      <c r="E9" s="285"/>
      <c r="F9" s="285"/>
      <c r="G9" s="286"/>
      <c r="H9"/>
      <c r="I9" s="250"/>
      <c r="J9" s="268"/>
      <c r="K9" s="268"/>
      <c r="L9" s="214"/>
      <c r="M9" s="268"/>
      <c r="N9" s="268"/>
      <c r="O9" s="270"/>
      <c r="Q9" s="246" t="s">
        <v>18</v>
      </c>
      <c r="R9" s="241"/>
      <c r="S9" s="8">
        <f>((I137-I142)/(I137+I142))/((B137-B142)/(B137+B142))</f>
        <v>1.0167955418848933</v>
      </c>
      <c r="T9" s="20">
        <f>((M137-M142)/(M137+M142))/((B137-B142)/(B137+B142))</f>
        <v>1.016792609549491</v>
      </c>
      <c r="U9" s="21"/>
      <c r="W9" s="12">
        <f>W5+I8+AP9</f>
        <v>0</v>
      </c>
      <c r="X9" s="13">
        <f>X5+J8+AQ9</f>
        <v>0</v>
      </c>
      <c r="Y9" s="5">
        <f>Y5+K8+AR9</f>
        <v>1</v>
      </c>
      <c r="Z9" s="38">
        <f>$W9+$X9+$Y9</f>
        <v>1</v>
      </c>
      <c r="AB9" s="12">
        <f>W7*AB5</f>
        <v>1</v>
      </c>
      <c r="AC9" s="13">
        <f>X7*AB5</f>
        <v>0</v>
      </c>
      <c r="AD9" s="13">
        <f>Y7*AB5</f>
        <v>0</v>
      </c>
      <c r="AE9" s="13">
        <f>W8*AB5</f>
        <v>0</v>
      </c>
      <c r="AF9" s="13">
        <f>X8*AB5</f>
        <v>1</v>
      </c>
      <c r="AG9" s="13">
        <f>Y8*AB5</f>
        <v>0</v>
      </c>
      <c r="AH9" s="13">
        <f>W9*AB5</f>
        <v>0</v>
      </c>
      <c r="AI9" s="13">
        <f>X9*AB5</f>
        <v>0</v>
      </c>
      <c r="AJ9" s="5">
        <f>Y9*AB5</f>
        <v>1</v>
      </c>
      <c r="AL9" s="30">
        <v>50</v>
      </c>
      <c r="AM9" s="30">
        <v>50</v>
      </c>
      <c r="AN9" s="30">
        <v>50</v>
      </c>
      <c r="AO9" s="252"/>
      <c r="AP9" s="30">
        <f>(1-0.815)*AR9*(-1)</f>
        <v>0</v>
      </c>
      <c r="AQ9" s="30">
        <f>0.815*AR9*(-1)</f>
        <v>0</v>
      </c>
      <c r="AR9" s="30">
        <f>IF($N$11=0,0,IF($N$11&lt;0,(Y5*((0.98252741)^ABS($N$11)))-Y5,(Y5*((1.0174725)^ABS($N$11)))-Y5))</f>
        <v>0</v>
      </c>
      <c r="AS9" s="30">
        <v>50</v>
      </c>
      <c r="AT9" s="30">
        <v>50</v>
      </c>
      <c r="AU9" s="30">
        <v>125</v>
      </c>
      <c r="AV9" s="30">
        <v>125</v>
      </c>
      <c r="AW9" s="30">
        <v>125</v>
      </c>
      <c r="AX9" s="30">
        <v>125</v>
      </c>
      <c r="AY9" s="30">
        <v>125</v>
      </c>
      <c r="AZ9" s="30">
        <v>125</v>
      </c>
      <c r="BA9" s="30">
        <v>125</v>
      </c>
      <c r="BB9" s="30">
        <v>125</v>
      </c>
      <c r="BD9" s="240"/>
      <c r="BE9" s="245"/>
      <c r="BF9" s="245"/>
      <c r="BG9" s="245"/>
      <c r="BH9" s="241"/>
      <c r="BV9" s="27">
        <f t="shared" si="1"/>
        <v>16.5</v>
      </c>
      <c r="BW9" s="30">
        <v>5</v>
      </c>
      <c r="BX9" s="30">
        <f t="shared" si="2"/>
        <v>16.5</v>
      </c>
      <c r="BY9" s="30">
        <f t="shared" si="3"/>
        <v>3</v>
      </c>
      <c r="BZ9" s="21"/>
      <c r="CA9" s="30"/>
      <c r="CB9" s="30"/>
      <c r="CC9" s="30"/>
      <c r="CD9" s="30"/>
      <c r="CE9" s="30"/>
      <c r="CF9" s="30"/>
      <c r="CG9" s="30"/>
    </row>
    <row r="10" spans="1:280" ht="15" customHeight="1" thickBot="1" x14ac:dyDescent="0.35">
      <c r="B10"/>
      <c r="C10"/>
      <c r="D10"/>
      <c r="E10"/>
      <c r="F10"/>
      <c r="G10"/>
      <c r="H10"/>
      <c r="J10"/>
      <c r="K10"/>
      <c r="Q10" s="30"/>
      <c r="BD10" s="30"/>
      <c r="BE10" s="30"/>
      <c r="BF10" s="30"/>
      <c r="BG10" s="30"/>
      <c r="BH10" s="30"/>
      <c r="BI10" s="30"/>
      <c r="BV10" s="27">
        <f t="shared" si="1"/>
        <v>19.5</v>
      </c>
      <c r="BW10" s="30">
        <v>6</v>
      </c>
      <c r="BX10" s="30">
        <f t="shared" si="2"/>
        <v>19.5</v>
      </c>
      <c r="BY10" s="30">
        <f t="shared" si="3"/>
        <v>3</v>
      </c>
      <c r="BZ10" s="30"/>
      <c r="CA10" s="30"/>
      <c r="CB10" s="30"/>
      <c r="CC10" s="30"/>
      <c r="CD10" s="30"/>
      <c r="CE10" s="30"/>
      <c r="CF10" s="30"/>
      <c r="CG10" s="30"/>
    </row>
    <row r="11" spans="1:280" ht="15" customHeight="1" x14ac:dyDescent="0.3">
      <c r="B11" s="265" t="s">
        <v>19</v>
      </c>
      <c r="C11" s="267" t="s">
        <v>137</v>
      </c>
      <c r="D11" s="266"/>
      <c r="E11" s="225"/>
      <c r="F11" s="225"/>
      <c r="G11" s="225"/>
      <c r="H11" s="225"/>
      <c r="I11" s="225"/>
      <c r="J11" s="225"/>
      <c r="K11" s="22"/>
      <c r="L11" s="215"/>
      <c r="M11" s="271" t="s">
        <v>20</v>
      </c>
      <c r="N11" s="272">
        <f>(AO7-50)*1</f>
        <v>0</v>
      </c>
      <c r="O11" s="273"/>
      <c r="Q11" s="238" t="s">
        <v>21</v>
      </c>
      <c r="R11" s="239"/>
      <c r="S11" s="25" t="s">
        <v>22</v>
      </c>
      <c r="T11" s="32" t="s">
        <v>3</v>
      </c>
      <c r="W11" s="29" t="s">
        <v>23</v>
      </c>
      <c r="X11" s="29" t="s">
        <v>24</v>
      </c>
      <c r="Y11" s="29" t="s">
        <v>25</v>
      </c>
      <c r="AA11" s="215"/>
      <c r="AB11" s="291" t="s">
        <v>156</v>
      </c>
      <c r="AC11" s="216" t="s">
        <v>139</v>
      </c>
      <c r="AD11" s="216" t="s">
        <v>140</v>
      </c>
      <c r="AE11" s="216" t="s">
        <v>141</v>
      </c>
      <c r="AF11" s="218" t="s">
        <v>142</v>
      </c>
      <c r="AG11" s="219" t="s">
        <v>143</v>
      </c>
      <c r="AH11" s="216" t="s">
        <v>144</v>
      </c>
      <c r="AI11" s="216" t="s">
        <v>145</v>
      </c>
      <c r="AJ11" s="220" t="s">
        <v>146</v>
      </c>
      <c r="AR11" s="7"/>
      <c r="BD11" s="303" t="s">
        <v>117</v>
      </c>
      <c r="BE11" s="303"/>
      <c r="BF11" s="303"/>
      <c r="BG11" s="303"/>
      <c r="BH11" s="56" t="s">
        <v>138</v>
      </c>
      <c r="BI11" s="30"/>
      <c r="BV11" s="27">
        <f t="shared" si="1"/>
        <v>23</v>
      </c>
      <c r="BW11" s="30">
        <v>7</v>
      </c>
      <c r="BX11" s="30">
        <f t="shared" si="2"/>
        <v>23</v>
      </c>
      <c r="BY11" s="30">
        <f t="shared" si="3"/>
        <v>3.5</v>
      </c>
      <c r="BZ11" s="30"/>
      <c r="CA11" s="30"/>
      <c r="CB11" s="30"/>
      <c r="CC11" s="30"/>
      <c r="CD11" s="30"/>
      <c r="CE11" s="30"/>
      <c r="CF11" s="30"/>
      <c r="CG11" s="30"/>
    </row>
    <row r="12" spans="1:280" ht="15" customHeight="1" thickBot="1" x14ac:dyDescent="0.35">
      <c r="B12" s="266"/>
      <c r="C12" s="266"/>
      <c r="D12" s="266"/>
      <c r="E12" s="225"/>
      <c r="F12" s="225"/>
      <c r="G12" s="225"/>
      <c r="H12" s="225"/>
      <c r="I12" s="225"/>
      <c r="J12" s="225"/>
      <c r="K12" s="22"/>
      <c r="L12" s="217"/>
      <c r="M12" s="268"/>
      <c r="N12" s="274"/>
      <c r="O12" s="275"/>
      <c r="Q12" s="240"/>
      <c r="R12" s="241"/>
      <c r="S12" s="39">
        <f>AVERAGE(AB15:AB38)</f>
        <v>8.7848007260348293</v>
      </c>
      <c r="T12" s="40">
        <f>AVERAGE(AC15:AC38)</f>
        <v>8.7865904409554982</v>
      </c>
      <c r="W12" s="29">
        <v>1</v>
      </c>
      <c r="X12" s="29">
        <v>1</v>
      </c>
      <c r="Y12" s="41">
        <f>AVERAGE(W33:W38)</f>
        <v>2.7834879541909441</v>
      </c>
      <c r="AA12" s="217"/>
      <c r="AB12" s="292"/>
      <c r="AC12" s="221">
        <f>AM3+(AU9-125)*0.004</f>
        <v>0.5</v>
      </c>
      <c r="AD12" s="221">
        <f>AN3+(AV9-125)*0.004</f>
        <v>0.5</v>
      </c>
      <c r="AE12" s="221">
        <f t="shared" ref="AE12:AJ12" si="4">AO3+(AW9-125)*0.004</f>
        <v>0.5</v>
      </c>
      <c r="AF12" s="221">
        <f t="shared" si="4"/>
        <v>0.5</v>
      </c>
      <c r="AG12" s="221">
        <f t="shared" si="4"/>
        <v>-0.33800000000000002</v>
      </c>
      <c r="AH12" s="221">
        <f t="shared" si="4"/>
        <v>-0.33800000000000002</v>
      </c>
      <c r="AI12" s="221">
        <f t="shared" si="4"/>
        <v>-0.16200000000000001</v>
      </c>
      <c r="AJ12" s="222">
        <f t="shared" si="4"/>
        <v>-0.16200000000000001</v>
      </c>
      <c r="BD12" s="303"/>
      <c r="BE12" s="303"/>
      <c r="BF12" s="303"/>
      <c r="BG12" s="303"/>
      <c r="BH12" s="298">
        <v>4</v>
      </c>
      <c r="BI12" s="30"/>
      <c r="BV12" s="27">
        <f t="shared" si="1"/>
        <v>26.5</v>
      </c>
      <c r="BW12" s="30">
        <v>8</v>
      </c>
      <c r="BX12" s="30">
        <f t="shared" si="2"/>
        <v>26.5</v>
      </c>
      <c r="BY12" s="30">
        <f t="shared" si="3"/>
        <v>3.5</v>
      </c>
      <c r="BZ12" s="30"/>
      <c r="CA12" s="30"/>
      <c r="CB12" s="30"/>
      <c r="CC12" s="30"/>
      <c r="CD12" s="30"/>
      <c r="CE12" s="30"/>
      <c r="CF12" s="30"/>
      <c r="CG12" s="30"/>
    </row>
    <row r="13" spans="1:280" ht="15" customHeight="1" x14ac:dyDescent="0.3">
      <c r="E13" s="42"/>
      <c r="F13" s="42"/>
      <c r="Q13" s="30"/>
      <c r="BD13" s="303"/>
      <c r="BE13" s="303"/>
      <c r="BF13" s="303"/>
      <c r="BG13" s="303"/>
      <c r="BH13" s="298"/>
      <c r="BI13" s="30"/>
      <c r="BV13" s="27">
        <f t="shared" si="1"/>
        <v>29.5</v>
      </c>
      <c r="BW13" s="30">
        <v>9</v>
      </c>
      <c r="BX13" s="30">
        <f t="shared" si="2"/>
        <v>29.5</v>
      </c>
      <c r="BY13" s="30">
        <f t="shared" si="3"/>
        <v>3</v>
      </c>
      <c r="BZ13" s="30"/>
      <c r="CA13" s="30"/>
      <c r="CB13" s="30"/>
      <c r="CC13" s="30"/>
      <c r="CD13" s="30"/>
      <c r="CE13" s="30"/>
      <c r="CF13" s="30"/>
      <c r="CG13" s="30"/>
    </row>
    <row r="14" spans="1:280" x14ac:dyDescent="0.3">
      <c r="B14" s="43" t="s">
        <v>26</v>
      </c>
      <c r="C14" s="43" t="s">
        <v>27</v>
      </c>
      <c r="D14" s="43" t="s">
        <v>28</v>
      </c>
      <c r="E14" s="43" t="s">
        <v>29</v>
      </c>
      <c r="F14" s="43" t="s">
        <v>30</v>
      </c>
      <c r="G14" s="43" t="s">
        <v>31</v>
      </c>
      <c r="H14" s="43" t="s">
        <v>29</v>
      </c>
      <c r="I14" s="30" t="s">
        <v>32</v>
      </c>
      <c r="J14" s="30" t="s">
        <v>33</v>
      </c>
      <c r="K14" s="30" t="s">
        <v>34</v>
      </c>
      <c r="M14" s="30" t="s">
        <v>35</v>
      </c>
      <c r="N14" s="10" t="s">
        <v>36</v>
      </c>
      <c r="O14" s="10" t="s">
        <v>37</v>
      </c>
      <c r="P14" s="10"/>
      <c r="Q14" s="6" t="s">
        <v>38</v>
      </c>
      <c r="R14" s="30" t="s">
        <v>39</v>
      </c>
      <c r="S14" s="30" t="s">
        <v>40</v>
      </c>
      <c r="T14" s="30" t="s">
        <v>41</v>
      </c>
      <c r="V14" s="30" t="s">
        <v>42</v>
      </c>
      <c r="W14" s="10" t="s">
        <v>43</v>
      </c>
      <c r="X14" s="30" t="s">
        <v>39</v>
      </c>
      <c r="Y14" s="30" t="s">
        <v>40</v>
      </c>
      <c r="Z14" s="30" t="s">
        <v>41</v>
      </c>
      <c r="AB14" s="24" t="s">
        <v>44</v>
      </c>
      <c r="AC14" s="24" t="s">
        <v>45</v>
      </c>
      <c r="BD14" s="30"/>
      <c r="BE14" s="30"/>
      <c r="BF14" s="30"/>
      <c r="BG14" s="30"/>
      <c r="BH14" s="30"/>
      <c r="BI14" s="30"/>
      <c r="BV14" s="27">
        <f t="shared" si="1"/>
        <v>33.25</v>
      </c>
      <c r="BW14" s="30">
        <v>10</v>
      </c>
      <c r="BX14" s="30">
        <f t="shared" si="2"/>
        <v>33.25</v>
      </c>
      <c r="BY14" s="30">
        <f t="shared" si="3"/>
        <v>3.75</v>
      </c>
      <c r="BZ14" s="30"/>
      <c r="CA14" s="30"/>
      <c r="CB14" s="30"/>
      <c r="CC14" s="30"/>
      <c r="CD14" s="30"/>
      <c r="CE14" s="30"/>
      <c r="CF14" s="30"/>
      <c r="CG14" s="30"/>
    </row>
    <row r="15" spans="1:280" x14ac:dyDescent="0.3">
      <c r="A15" s="53">
        <v>1</v>
      </c>
      <c r="B15" s="14">
        <v>118.81</v>
      </c>
      <c r="C15" s="14">
        <v>75.81</v>
      </c>
      <c r="D15" s="14">
        <v>56.81</v>
      </c>
      <c r="E15" s="60"/>
      <c r="F15" s="108"/>
      <c r="G15" s="156"/>
      <c r="H15" s="180"/>
      <c r="I15" s="14">
        <v>119.64</v>
      </c>
      <c r="J15" s="14">
        <v>91.05</v>
      </c>
      <c r="K15" s="14">
        <v>79.13</v>
      </c>
      <c r="L15"/>
      <c r="M15" s="59">
        <f>IF((IF(AB171&gt;0.00304,(((1+0.055)*AB171^(1/2.4))-0.055)*255,12.92*AB171*255)*$W$12)&gt;255,255,IF(AB171&gt;0.00304,(((1+0.055)*AB171^(1/2.4))-0.055)*255,12.92*AB171*255)*$W$12)</f>
        <v>119.62685778935108</v>
      </c>
      <c r="N15" s="59">
        <f>IF(AC171&gt;0.00304,(((1+0.055)*AC171^(1/2.4))-0.055)*255,12.92*AC171*255)</f>
        <v>91.062907533025921</v>
      </c>
      <c r="O15" s="59">
        <f>IF((IF(AD171&gt;0.00304,(((1+0.055)*AD171^(1/2.4))-0.055)*255,12.92*AD171*255)*$X$12)&gt;255,255,IF(AD171&gt;0.00304,(((1+0.055)*AD171^(1/2.4))-0.055)*255,12.92*AD171*255)*$X$12)</f>
        <v>79.108463862547978</v>
      </c>
      <c r="P15" s="44"/>
      <c r="Q15" s="33">
        <f t="shared" ref="Q15:Q38" si="5">SQRT((R15/($Q$76*B145))^2+(S15/($R$76*C145))^2+(T15/($S$76*D145))^2)</f>
        <v>6.4678052166867444</v>
      </c>
      <c r="R15" s="33">
        <f t="shared" ref="R15:R38" si="6">I119-B119</f>
        <v>4.6146367889580375</v>
      </c>
      <c r="S15" s="33">
        <f t="shared" ref="S15:S38" si="7">SQRT(J119^2+K119^2)-SQRT(C119^2+D119^2)</f>
        <v>-9.5483845922112796</v>
      </c>
      <c r="T15" s="33">
        <f t="shared" ref="T15:T38" si="8">SQRT(ABS(((C119-J119)^2)+((D119-K119)^2)-(S15^2)))</f>
        <v>0.21751599636939392</v>
      </c>
      <c r="U15" s="60"/>
      <c r="V15" s="14">
        <v>1</v>
      </c>
      <c r="W15" s="33">
        <f>SQRT((X15/($Q$76*B145))^2+(Y15/($R$76*C145))^2+(Z15/($S$76*D145))^2)</f>
        <v>6.4682409221488006</v>
      </c>
      <c r="X15" s="33">
        <f t="shared" ref="X15:X38" si="9">M119-B119</f>
        <v>4.6161570301453807</v>
      </c>
      <c r="Y15" s="33">
        <f>SQRT(N119^2+O119^2)-SQRT(C119^2+D119^2)</f>
        <v>-9.5478681380281003</v>
      </c>
      <c r="Z15" s="33">
        <f t="shared" ref="Z15:Z38" si="10">SQRT(ABS(((C119-N119)^2)+((D119-O119)^2)-(Y15^2)))</f>
        <v>0.18901830554255755</v>
      </c>
      <c r="AB15" s="45">
        <f t="shared" ref="AB15:AB38" si="11">V15*Q15</f>
        <v>6.4678052166867444</v>
      </c>
      <c r="AC15" s="45">
        <f t="shared" ref="AC15:AC38" si="12">V15*W15</f>
        <v>6.4682409221488006</v>
      </c>
      <c r="AR15" s="223" t="s">
        <v>186</v>
      </c>
      <c r="AT15" s="14"/>
      <c r="AU15" s="14"/>
      <c r="AV15" s="14"/>
      <c r="AW15" s="14"/>
      <c r="BB15" s="30"/>
      <c r="BD15" s="28" t="s">
        <v>118</v>
      </c>
      <c r="BE15" s="30" t="s">
        <v>119</v>
      </c>
      <c r="BF15" s="30" t="s">
        <v>120</v>
      </c>
      <c r="BG15" s="30" t="s">
        <v>121</v>
      </c>
      <c r="BH15" s="30" t="s">
        <v>120</v>
      </c>
      <c r="BI15" s="30"/>
      <c r="BJ15" s="28" t="s">
        <v>118</v>
      </c>
      <c r="BK15" s="30" t="s">
        <v>119</v>
      </c>
      <c r="BL15" s="30" t="s">
        <v>120</v>
      </c>
      <c r="BM15" s="30" t="s">
        <v>121</v>
      </c>
      <c r="BN15" s="30" t="s">
        <v>120</v>
      </c>
      <c r="BP15" s="28" t="s">
        <v>118</v>
      </c>
      <c r="BQ15" s="30" t="s">
        <v>119</v>
      </c>
      <c r="BR15" s="30" t="s">
        <v>120</v>
      </c>
      <c r="BS15" s="30" t="s">
        <v>121</v>
      </c>
      <c r="BT15" s="30" t="s">
        <v>120</v>
      </c>
      <c r="BV15" s="27">
        <f t="shared" si="1"/>
        <v>36.75</v>
      </c>
      <c r="BW15" s="30">
        <v>11</v>
      </c>
      <c r="BX15" s="30">
        <f t="shared" si="2"/>
        <v>36.75</v>
      </c>
      <c r="BY15" s="30">
        <f t="shared" si="3"/>
        <v>3.5</v>
      </c>
      <c r="BZ15" s="30"/>
      <c r="CA15" s="30"/>
      <c r="CB15" s="30"/>
      <c r="CC15" s="30"/>
      <c r="CD15" s="30"/>
      <c r="CE15" s="30"/>
      <c r="CF15" s="30"/>
      <c r="CG15" s="30"/>
    </row>
    <row r="16" spans="1:280" x14ac:dyDescent="0.3">
      <c r="A16" s="53">
        <v>2</v>
      </c>
      <c r="B16" s="14">
        <v>226.13</v>
      </c>
      <c r="C16" s="14">
        <v>160.13</v>
      </c>
      <c r="D16" s="14">
        <v>144.13</v>
      </c>
      <c r="E16" s="61"/>
      <c r="F16" s="109"/>
      <c r="G16" s="157"/>
      <c r="H16" s="181"/>
      <c r="I16" s="14">
        <v>220.73</v>
      </c>
      <c r="J16" s="14">
        <v>186.38</v>
      </c>
      <c r="K16" s="14">
        <v>174.38</v>
      </c>
      <c r="L16"/>
      <c r="M16" s="59">
        <f t="shared" ref="M16:M38" si="13">IF((IF(AB172&gt;0.00304,(((1+0.055)*AB172^(1/2.4))-0.055)*255,12.92*AB172*255)*$W$12)&gt;255,255,IF(AB172&gt;0.00304,(((1+0.055)*AB172^(1/2.4))-0.055)*255,12.92*AB172*255)*$W$12)</f>
        <v>220.7018616602773</v>
      </c>
      <c r="N16" s="59">
        <f t="shared" ref="N16:N38" si="14">IF(AC172&gt;0.00304,(((1+0.055)*AC172^(1/2.4))-0.055)*255,12.92*AC172*255)</f>
        <v>186.40186372672508</v>
      </c>
      <c r="O16" s="59">
        <f t="shared" ref="O16:O38" si="15">IF((IF(AD172&gt;0.00304,(((1+0.055)*AD172^(1/2.4))-0.055)*255,12.92*AD172*255)*$X$12)&gt;255,255,IF(AD172&gt;0.00304,(((1+0.055)*AD172^(1/2.4))-0.055)*255,12.92*AD172*255)*$X$12)</f>
        <v>174.34739925237801</v>
      </c>
      <c r="P16" s="44"/>
      <c r="Q16" s="33">
        <f>SQRT((R16/($Q$76*B146))^2+(S16/($R$76*C146))^2+(T16/($S$76*D146))^2)</f>
        <v>9.0230027496038936</v>
      </c>
      <c r="R16" s="33">
        <f t="shared" si="6"/>
        <v>6.4513660238934136</v>
      </c>
      <c r="S16" s="33">
        <f t="shared" si="7"/>
        <v>-13.978999820912144</v>
      </c>
      <c r="T16" s="33">
        <f t="shared" si="8"/>
        <v>2.4265134205576628</v>
      </c>
      <c r="U16" s="61"/>
      <c r="V16" s="14">
        <v>1</v>
      </c>
      <c r="W16" s="33">
        <f t="shared" ref="W16:W38" si="16">SQRT((X16/($Q$76*B146))^2+(Y16/($R$76*C146))^2+(Z16/($S$76*D146))^2)</f>
        <v>9.0318523675504245</v>
      </c>
      <c r="X16" s="33">
        <f t="shared" si="9"/>
        <v>6.4534449812415033</v>
      </c>
      <c r="Y16" s="33">
        <f t="shared" ref="Y16:Y38" si="17">SQRT(N120^2+O120^2)-SQRT(C120^2+D120^2)</f>
        <v>-13.983396654967756</v>
      </c>
      <c r="Z16" s="33">
        <f t="shared" si="10"/>
        <v>2.4725307392478237</v>
      </c>
      <c r="AB16" s="45">
        <f t="shared" si="11"/>
        <v>9.0230027496038936</v>
      </c>
      <c r="AC16" s="45">
        <f t="shared" si="12"/>
        <v>9.0318523675504245</v>
      </c>
      <c r="AT16" s="14"/>
      <c r="AU16" s="14"/>
      <c r="AV16" s="14"/>
      <c r="AW16" s="14"/>
      <c r="BB16" s="30"/>
      <c r="BD16" s="30">
        <v>1</v>
      </c>
      <c r="BE16" s="30">
        <f>I41*255</f>
        <v>47.586123875103631</v>
      </c>
      <c r="BF16" s="50">
        <f>IF(BE42=BF42,BG42,((BH42-BG42)*BE16)/(BF42-BE42)+BG42-(BE42*((BH42-BG42)/(BF42-BE42))))</f>
        <v>14.61204129170121</v>
      </c>
      <c r="BG16" s="30">
        <f>IF(BE68-BF68=0,VLOOKUP(BH16,$BW$4:$BX$260,2),((BH68-BG68)*BH16)/(BF68-BE68)+BG68-(BE68*((BH68-BG68)/(BF68-BE68))))</f>
        <v>47.586123875103624</v>
      </c>
      <c r="BH16" s="51">
        <f>W145</f>
        <v>14.61204129170121</v>
      </c>
      <c r="BI16" s="30"/>
      <c r="BJ16" s="30">
        <v>1</v>
      </c>
      <c r="BK16" s="30">
        <f>J41*255</f>
        <v>26.707694576914331</v>
      </c>
      <c r="BL16" s="50">
        <f t="shared" ref="BL16:BL33" si="18">IF(BK42=BL42,BM42,((BN42-BM42)*BK16)/(BL42-BK42)+BM42-(BK42*((BN42-BM42)/(BL42-BK42))))</f>
        <v>8.0692315256381129</v>
      </c>
      <c r="BM16" s="30">
        <f>IF(BK68-BL68=0,VLOOKUP(BN16,$BW$4:$BX$260,2),((BN68-BM68)*BN16)/(BL68-BK68)+BM68-(BK68*((BN68-BM68)/(BL68-BK68))))</f>
        <v>26.707694576914335</v>
      </c>
      <c r="BN16" s="51">
        <f>X145</f>
        <v>8.0692315256381129</v>
      </c>
      <c r="BP16" s="30">
        <v>1</v>
      </c>
      <c r="BQ16" s="30">
        <f>K41*255</f>
        <v>20.004728089392714</v>
      </c>
      <c r="BR16" s="50">
        <f>IF(BQ42=BR42,BS42,((BT42-BS42)*BQ16)/(BR42-BQ42)+BS42-(BQ42*((BT42-BS42)/(BR42-BQ42))))</f>
        <v>6.1442080255407756</v>
      </c>
      <c r="BS16" s="30">
        <f>IF(BQ68-BR68=0,VLOOKUP(BT16,$BW$4:$BX$260,2),((BT68-BS68)*BT16)/(BR68-BQ68)+BS68-(BQ68*((BT68-BS68)/(BR68-BQ68))))</f>
        <v>20.004728089392714</v>
      </c>
      <c r="BT16" s="51">
        <f>Y145</f>
        <v>6.1442080255407756</v>
      </c>
      <c r="BV16" s="27">
        <f t="shared" si="1"/>
        <v>39.75</v>
      </c>
      <c r="BW16" s="30">
        <v>12</v>
      </c>
      <c r="BX16" s="30">
        <f t="shared" si="2"/>
        <v>39.75</v>
      </c>
      <c r="BY16" s="30">
        <f t="shared" si="3"/>
        <v>3</v>
      </c>
      <c r="BZ16" s="30"/>
      <c r="CA16" s="30"/>
      <c r="CB16" s="30"/>
      <c r="CC16" s="30"/>
      <c r="CD16" s="30"/>
      <c r="CE16" s="30"/>
      <c r="CF16" s="30"/>
      <c r="CG16" s="30"/>
    </row>
    <row r="17" spans="1:85" x14ac:dyDescent="0.3">
      <c r="A17" s="53">
        <v>3</v>
      </c>
      <c r="B17" s="14">
        <v>104</v>
      </c>
      <c r="C17" s="14">
        <v>130</v>
      </c>
      <c r="D17" s="14">
        <v>181</v>
      </c>
      <c r="E17" s="62"/>
      <c r="F17" s="110"/>
      <c r="G17" s="158"/>
      <c r="H17" s="182"/>
      <c r="I17" s="14">
        <v>122.05</v>
      </c>
      <c r="J17" s="14">
        <v>136.47999999999999</v>
      </c>
      <c r="K17" s="14">
        <v>157.66</v>
      </c>
      <c r="L17"/>
      <c r="M17" s="59">
        <f t="shared" si="13"/>
        <v>122.01961867756101</v>
      </c>
      <c r="N17" s="59">
        <f t="shared" si="14"/>
        <v>136.49204439886219</v>
      </c>
      <c r="O17" s="59">
        <f t="shared" si="15"/>
        <v>157.66595893443883</v>
      </c>
      <c r="P17" s="44"/>
      <c r="Q17" s="33">
        <f t="shared" si="5"/>
        <v>7.9149914586261101</v>
      </c>
      <c r="R17" s="33">
        <f t="shared" si="6"/>
        <v>2.1437653495670048</v>
      </c>
      <c r="S17" s="33">
        <f t="shared" si="7"/>
        <v>-17.086520090213227</v>
      </c>
      <c r="T17" s="33">
        <f t="shared" si="8"/>
        <v>3.3646773485871253</v>
      </c>
      <c r="U17" s="62"/>
      <c r="V17" s="14">
        <v>2</v>
      </c>
      <c r="W17" s="33">
        <f t="shared" si="16"/>
        <v>7.9193257476253889</v>
      </c>
      <c r="X17" s="33">
        <f t="shared" si="9"/>
        <v>2.1451469873986184</v>
      </c>
      <c r="Y17" s="33">
        <f t="shared" si="17"/>
        <v>-17.084481366435988</v>
      </c>
      <c r="Z17" s="33">
        <f t="shared" si="10"/>
        <v>3.388159388900998</v>
      </c>
      <c r="AB17" s="45">
        <f t="shared" si="11"/>
        <v>15.82998291725222</v>
      </c>
      <c r="AC17" s="45">
        <f t="shared" si="12"/>
        <v>15.838651495250778</v>
      </c>
      <c r="AT17" s="14"/>
      <c r="AU17" s="14"/>
      <c r="AV17" s="14"/>
      <c r="AW17" s="14"/>
      <c r="BB17" s="30"/>
      <c r="BD17" s="30">
        <v>2</v>
      </c>
      <c r="BE17" s="30">
        <f t="shared" ref="BE17:BE39" si="19">I42*255</f>
        <v>183.87110525761463</v>
      </c>
      <c r="BF17" s="50">
        <f t="shared" ref="BF17:BF33" si="20">IF(BE43=BF43,BG43,((BH43-BG43)*BE17)/(BF43-BE43)+BG43-(BE43*((BH43-BG43)/(BF43-BE43))))</f>
        <v>115.24221051522926</v>
      </c>
      <c r="BG17" s="30">
        <f t="shared" ref="BG17:BG39" si="21">IF(BE69-BF69=0,VLOOKUP(BH17,$I$4:$J$260,2),((BH69-BG69)*BH17)/(BF69-BE69)+BG69-(BE69*((BH69-BG69)/(BF69-BE69))))</f>
        <v>183.87110525761463</v>
      </c>
      <c r="BH17" s="51">
        <f t="shared" ref="BH17:BH39" si="22">W146</f>
        <v>115.24221051522926</v>
      </c>
      <c r="BI17" s="30"/>
      <c r="BJ17" s="30">
        <v>2</v>
      </c>
      <c r="BK17" s="30">
        <f t="shared" ref="BK17:BK39" si="23">J42*255</f>
        <v>125.78196377240947</v>
      </c>
      <c r="BL17" s="50">
        <f t="shared" si="18"/>
        <v>56.187975848272998</v>
      </c>
      <c r="BM17" s="30">
        <f t="shared" ref="BM17:BM39" si="24">IF(BK69-BL69=0,VLOOKUP(BN17,$BW$4:$BX$260,2),((BN69-BM69)*BN17)/(BL69-BK69)+BM69-(BK69*((BN69-BM69)/(BL69-BK69))))</f>
        <v>125.78196377240948</v>
      </c>
      <c r="BN17" s="51">
        <f t="shared" ref="BN17:BN39" si="25">X146</f>
        <v>56.187975848272998</v>
      </c>
      <c r="BP17" s="30">
        <v>2</v>
      </c>
      <c r="BQ17" s="30">
        <f t="shared" ref="BQ17:BQ39" si="26">K42*255</f>
        <v>108.45751817094654</v>
      </c>
      <c r="BR17" s="50">
        <f t="shared" ref="BR17:BR33" si="27">IF(BQ43=BR43,BS43,((BT43-BS43)*BQ17)/(BR43-BQ43)+BS43-(BQ43*((BT43-BS43)/(BR43-BQ43))))</f>
        <v>43.971678780631038</v>
      </c>
      <c r="BS17" s="30">
        <f t="shared" ref="BS17:BS39" si="28">IF(BQ69-BR69=0,VLOOKUP(BT17,$BW$4:$BX$260,2),((BT69-BS69)*BT17)/(BR69-BQ69)+BS69-(BQ69*((BT69-BS69)/(BR69-BQ69))))</f>
        <v>108.44335756126208</v>
      </c>
      <c r="BT17" s="51">
        <f t="shared" ref="BT17:BT39" si="29">Y146</f>
        <v>43.971678780631038</v>
      </c>
      <c r="BV17" s="27">
        <f t="shared" si="1"/>
        <v>42.75</v>
      </c>
      <c r="BW17" s="30">
        <v>13</v>
      </c>
      <c r="BX17" s="30">
        <f t="shared" si="2"/>
        <v>42.75</v>
      </c>
      <c r="BY17" s="30">
        <f t="shared" si="3"/>
        <v>3</v>
      </c>
      <c r="BZ17" s="30"/>
      <c r="CA17" s="30"/>
      <c r="CB17" s="30"/>
      <c r="CC17" s="30"/>
      <c r="CD17" s="30"/>
      <c r="CE17" s="30"/>
      <c r="CF17" s="30"/>
      <c r="CG17" s="30"/>
    </row>
    <row r="18" spans="1:85" x14ac:dyDescent="0.3">
      <c r="A18" s="53">
        <v>4</v>
      </c>
      <c r="B18" s="14">
        <v>89.49</v>
      </c>
      <c r="C18" s="14">
        <v>105.48</v>
      </c>
      <c r="D18" s="14">
        <v>59.62</v>
      </c>
      <c r="E18" s="63"/>
      <c r="F18" s="111"/>
      <c r="G18" s="159"/>
      <c r="H18" s="183"/>
      <c r="I18" s="14">
        <v>99.87</v>
      </c>
      <c r="J18" s="14">
        <v>108.87</v>
      </c>
      <c r="K18" s="14">
        <v>89.46</v>
      </c>
      <c r="L18"/>
      <c r="M18" s="59">
        <f t="shared" si="13"/>
        <v>99.846037387270655</v>
      </c>
      <c r="N18" s="59">
        <f t="shared" si="14"/>
        <v>108.88008842014116</v>
      </c>
      <c r="O18" s="59">
        <f t="shared" si="15"/>
        <v>89.465779625745029</v>
      </c>
      <c r="P18" s="44"/>
      <c r="Q18" s="33">
        <f t="shared" si="5"/>
        <v>7.4925596500821703</v>
      </c>
      <c r="R18" s="33">
        <f t="shared" si="6"/>
        <v>2.4531167351353034</v>
      </c>
      <c r="S18" s="33">
        <f t="shared" si="7"/>
        <v>-15.697815829423321</v>
      </c>
      <c r="T18" s="33">
        <f t="shared" si="8"/>
        <v>1.7900536859404799</v>
      </c>
      <c r="U18" s="63"/>
      <c r="V18" s="14">
        <v>1</v>
      </c>
      <c r="W18" s="33">
        <f t="shared" si="16"/>
        <v>7.4924031404634404</v>
      </c>
      <c r="X18" s="33">
        <f t="shared" si="9"/>
        <v>2.4543621273643339</v>
      </c>
      <c r="Y18" s="33">
        <f t="shared" si="17"/>
        <v>-15.6907518599645</v>
      </c>
      <c r="Z18" s="33">
        <f t="shared" si="10"/>
        <v>1.809714158193134</v>
      </c>
      <c r="AB18" s="45">
        <f t="shared" si="11"/>
        <v>7.4925596500821703</v>
      </c>
      <c r="AC18" s="45">
        <f t="shared" si="12"/>
        <v>7.4924031404634404</v>
      </c>
      <c r="AT18" s="14"/>
      <c r="AU18" s="14"/>
      <c r="AV18" s="14"/>
      <c r="AW18" s="14"/>
      <c r="BB18" s="30"/>
      <c r="BD18" s="30">
        <v>3</v>
      </c>
      <c r="BE18" s="30">
        <f t="shared" si="19"/>
        <v>49.671338992121001</v>
      </c>
      <c r="BF18" s="50">
        <f t="shared" si="20"/>
        <v>15.307112997373668</v>
      </c>
      <c r="BG18" s="30">
        <f t="shared" si="21"/>
        <v>49.671338992121008</v>
      </c>
      <c r="BH18" s="51">
        <f t="shared" si="22"/>
        <v>15.307112997373668</v>
      </c>
      <c r="BI18" s="30"/>
      <c r="BJ18" s="30">
        <v>3</v>
      </c>
      <c r="BK18" s="30">
        <f t="shared" si="23"/>
        <v>63.264498782362537</v>
      </c>
      <c r="BL18" s="50">
        <f t="shared" si="18"/>
        <v>20.405799512945013</v>
      </c>
      <c r="BM18" s="30">
        <f>IF(BK70-BL70=0,VLOOKUP(BN18,$BW$4:$BX$260,2),((BN70-BM70)*BN18)/(BL70-BK70)+BM70-(BK70*((BN70-BM70)/(BL70-BK70))))</f>
        <v>63.264498782362523</v>
      </c>
      <c r="BN18" s="51">
        <f t="shared" si="25"/>
        <v>20.405799512945013</v>
      </c>
      <c r="BP18" s="30">
        <v>3</v>
      </c>
      <c r="BQ18" s="30">
        <f t="shared" si="26"/>
        <v>86.775173566372658</v>
      </c>
      <c r="BR18" s="50">
        <f t="shared" si="27"/>
        <v>31.350115710915105</v>
      </c>
      <c r="BS18" s="30">
        <f t="shared" si="28"/>
        <v>86.775173566372644</v>
      </c>
      <c r="BT18" s="51">
        <f t="shared" si="29"/>
        <v>31.350115710915105</v>
      </c>
      <c r="BV18" s="27">
        <f t="shared" si="1"/>
        <v>45.75</v>
      </c>
      <c r="BW18" s="30">
        <v>14</v>
      </c>
      <c r="BX18" s="30">
        <f t="shared" si="2"/>
        <v>45.75</v>
      </c>
      <c r="BY18" s="30">
        <f t="shared" si="3"/>
        <v>3</v>
      </c>
      <c r="BZ18" s="30"/>
      <c r="CA18" s="30"/>
      <c r="CB18" s="30"/>
      <c r="CC18" s="30"/>
      <c r="CD18" s="30"/>
      <c r="CE18" s="30"/>
      <c r="CF18" s="30"/>
      <c r="CG18" s="30"/>
    </row>
    <row r="19" spans="1:85" x14ac:dyDescent="0.3">
      <c r="A19" s="53">
        <v>5</v>
      </c>
      <c r="B19" s="14">
        <v>157.21</v>
      </c>
      <c r="C19" s="14">
        <v>133.21</v>
      </c>
      <c r="D19" s="14">
        <v>191.2</v>
      </c>
      <c r="E19" s="64"/>
      <c r="F19" s="112"/>
      <c r="G19" s="160"/>
      <c r="H19" s="184"/>
      <c r="I19" s="14">
        <v>164.5</v>
      </c>
      <c r="J19" s="14">
        <v>149.69999999999999</v>
      </c>
      <c r="K19" s="14">
        <v>172.7</v>
      </c>
      <c r="L19"/>
      <c r="M19" s="59">
        <f t="shared" si="13"/>
        <v>164.47458214546415</v>
      </c>
      <c r="N19" s="59">
        <f t="shared" si="14"/>
        <v>149.7162373521368</v>
      </c>
      <c r="O19" s="59">
        <f t="shared" si="15"/>
        <v>172.69303788888223</v>
      </c>
      <c r="P19" s="44"/>
      <c r="Q19" s="33">
        <f t="shared" si="5"/>
        <v>9.0961571319425349</v>
      </c>
      <c r="R19" s="33">
        <f t="shared" si="6"/>
        <v>4.1910820590570097</v>
      </c>
      <c r="S19" s="33">
        <f t="shared" si="7"/>
        <v>-19.950788559515264</v>
      </c>
      <c r="T19" s="33">
        <f t="shared" si="8"/>
        <v>2.5929194014362609</v>
      </c>
      <c r="U19" s="64"/>
      <c r="V19" s="14">
        <v>1</v>
      </c>
      <c r="W19" s="33">
        <f t="shared" si="16"/>
        <v>9.1011646931587205</v>
      </c>
      <c r="X19" s="33">
        <f t="shared" si="9"/>
        <v>4.1928627237178517</v>
      </c>
      <c r="Y19" s="33">
        <f t="shared" si="17"/>
        <v>-19.968910606480087</v>
      </c>
      <c r="Z19" s="33">
        <f t="shared" si="10"/>
        <v>2.5766506600377621</v>
      </c>
      <c r="AB19" s="45">
        <f t="shared" si="11"/>
        <v>9.0961571319425349</v>
      </c>
      <c r="AC19" s="45">
        <f t="shared" si="12"/>
        <v>9.1011646931587205</v>
      </c>
      <c r="AT19" s="14"/>
      <c r="AU19" s="14"/>
      <c r="AV19" s="14"/>
      <c r="AW19" s="14"/>
      <c r="BB19" s="30"/>
      <c r="BD19" s="30">
        <v>4</v>
      </c>
      <c r="BE19" s="30">
        <f t="shared" si="19"/>
        <v>32.407760876849309</v>
      </c>
      <c r="BF19" s="50">
        <f t="shared" si="20"/>
        <v>9.7754029004931482</v>
      </c>
      <c r="BG19" s="30">
        <f t="shared" si="21"/>
        <v>32.407760876849309</v>
      </c>
      <c r="BH19" s="51">
        <f t="shared" si="22"/>
        <v>9.7754029004931482</v>
      </c>
      <c r="BI19" s="30"/>
      <c r="BJ19" s="30">
        <v>4</v>
      </c>
      <c r="BK19" s="30">
        <f t="shared" si="23"/>
        <v>38.897344891567876</v>
      </c>
      <c r="BL19" s="50">
        <f t="shared" si="18"/>
        <v>11.715781630522628</v>
      </c>
      <c r="BM19" s="30">
        <f t="shared" si="24"/>
        <v>38.897344891567883</v>
      </c>
      <c r="BN19" s="51">
        <f t="shared" si="25"/>
        <v>11.715781630522628</v>
      </c>
      <c r="BP19" s="30">
        <v>4</v>
      </c>
      <c r="BQ19" s="30">
        <f t="shared" si="26"/>
        <v>25.748006724333074</v>
      </c>
      <c r="BR19" s="50">
        <f t="shared" si="27"/>
        <v>7.7851447783808787</v>
      </c>
      <c r="BS19" s="30">
        <f t="shared" si="28"/>
        <v>25.748006724333074</v>
      </c>
      <c r="BT19" s="51">
        <f t="shared" si="29"/>
        <v>7.7851447783808787</v>
      </c>
      <c r="BV19" s="27">
        <f t="shared" si="1"/>
        <v>48.75</v>
      </c>
      <c r="BW19" s="30">
        <v>15</v>
      </c>
      <c r="BX19" s="30">
        <f t="shared" si="2"/>
        <v>48.75</v>
      </c>
      <c r="BY19" s="30">
        <f t="shared" si="3"/>
        <v>3</v>
      </c>
      <c r="BZ19" s="30"/>
      <c r="CA19" s="30"/>
      <c r="CB19" s="30"/>
      <c r="CC19" s="30"/>
      <c r="CD19" s="30"/>
      <c r="CE19" s="30"/>
      <c r="CF19" s="30"/>
      <c r="CG19" s="30"/>
    </row>
    <row r="20" spans="1:85" x14ac:dyDescent="0.3">
      <c r="A20" s="53">
        <v>6</v>
      </c>
      <c r="B20" s="14">
        <v>123.34</v>
      </c>
      <c r="C20" s="14">
        <v>205.75</v>
      </c>
      <c r="D20" s="14">
        <v>201.1</v>
      </c>
      <c r="E20" s="65"/>
      <c r="F20" s="113"/>
      <c r="G20" s="161"/>
      <c r="H20" s="185"/>
      <c r="I20" s="14">
        <v>154.55000000000001</v>
      </c>
      <c r="J20" s="14">
        <v>194.29</v>
      </c>
      <c r="K20" s="14">
        <v>194.42</v>
      </c>
      <c r="L20"/>
      <c r="M20" s="59">
        <f t="shared" si="13"/>
        <v>154.50088002463664</v>
      </c>
      <c r="N20" s="59">
        <f t="shared" si="14"/>
        <v>194.30502896020499</v>
      </c>
      <c r="O20" s="59">
        <f t="shared" si="15"/>
        <v>194.43836473085835</v>
      </c>
      <c r="P20" s="44"/>
      <c r="Q20" s="33">
        <f t="shared" si="5"/>
        <v>6.3364529759880668</v>
      </c>
      <c r="R20" s="33">
        <f t="shared" si="6"/>
        <v>-1.7735415534928904</v>
      </c>
      <c r="S20" s="33">
        <f t="shared" si="7"/>
        <v>-12.951828854182672</v>
      </c>
      <c r="T20" s="33">
        <f t="shared" si="8"/>
        <v>2.2127604581232565</v>
      </c>
      <c r="U20" s="65"/>
      <c r="V20" s="14">
        <v>0</v>
      </c>
      <c r="W20" s="33">
        <f t="shared" si="16"/>
        <v>6.3279666408303621</v>
      </c>
      <c r="X20" s="33">
        <f t="shared" si="9"/>
        <v>-1.7718820353115206</v>
      </c>
      <c r="Y20" s="33">
        <f t="shared" si="17"/>
        <v>-12.931267402050475</v>
      </c>
      <c r="Z20" s="33">
        <f t="shared" si="10"/>
        <v>2.2162651376660989</v>
      </c>
      <c r="AB20" s="45">
        <f t="shared" si="11"/>
        <v>0</v>
      </c>
      <c r="AC20" s="45">
        <f t="shared" si="12"/>
        <v>0</v>
      </c>
      <c r="AT20" s="14"/>
      <c r="AU20" s="14"/>
      <c r="AV20" s="14"/>
      <c r="AW20" s="14"/>
      <c r="BB20" s="30"/>
      <c r="BD20" s="30">
        <v>5</v>
      </c>
      <c r="BE20" s="30">
        <f t="shared" si="19"/>
        <v>95.304969008183122</v>
      </c>
      <c r="BF20" s="50">
        <f t="shared" si="20"/>
        <v>36.031410861818934</v>
      </c>
      <c r="BG20" s="30">
        <f t="shared" si="21"/>
        <v>95.30496900818315</v>
      </c>
      <c r="BH20" s="51">
        <f t="shared" si="22"/>
        <v>36.031410861818934</v>
      </c>
      <c r="BI20" s="30"/>
      <c r="BJ20" s="30">
        <v>5</v>
      </c>
      <c r="BK20" s="30">
        <f t="shared" si="23"/>
        <v>77.430817076811948</v>
      </c>
      <c r="BL20" s="50">
        <f t="shared" si="18"/>
        <v>26.590408538405967</v>
      </c>
      <c r="BM20" s="30">
        <f t="shared" si="24"/>
        <v>77.430817076811934</v>
      </c>
      <c r="BN20" s="51">
        <f t="shared" si="25"/>
        <v>26.590408538405967</v>
      </c>
      <c r="BP20" s="30">
        <v>5</v>
      </c>
      <c r="BQ20" s="30">
        <f t="shared" si="26"/>
        <v>106.15092127827471</v>
      </c>
      <c r="BR20" s="50">
        <f t="shared" si="27"/>
        <v>42.767280852183134</v>
      </c>
      <c r="BS20" s="30">
        <f t="shared" si="28"/>
        <v>106.15092127827469</v>
      </c>
      <c r="BT20" s="51">
        <f t="shared" si="29"/>
        <v>42.767280852183134</v>
      </c>
      <c r="BV20" s="27">
        <f t="shared" si="1"/>
        <v>51.75</v>
      </c>
      <c r="BW20" s="30">
        <v>16</v>
      </c>
      <c r="BX20" s="30">
        <f t="shared" si="2"/>
        <v>51.75</v>
      </c>
      <c r="BY20" s="30">
        <f t="shared" si="3"/>
        <v>3</v>
      </c>
      <c r="BZ20" s="30"/>
      <c r="CA20" s="30"/>
      <c r="CB20" s="30"/>
      <c r="CC20" s="30"/>
      <c r="CD20" s="30"/>
      <c r="CE20" s="30"/>
      <c r="CF20" s="30"/>
      <c r="CG20" s="30"/>
    </row>
    <row r="21" spans="1:85" x14ac:dyDescent="0.3">
      <c r="A21" s="53">
        <v>7</v>
      </c>
      <c r="B21" s="14">
        <v>237.21</v>
      </c>
      <c r="C21" s="14">
        <v>137.21</v>
      </c>
      <c r="D21" s="14">
        <v>45.15</v>
      </c>
      <c r="E21" s="66"/>
      <c r="F21" s="114"/>
      <c r="G21" s="162"/>
      <c r="H21" s="186"/>
      <c r="I21" s="14">
        <v>215.39</v>
      </c>
      <c r="J21" s="14">
        <v>160.11000000000001</v>
      </c>
      <c r="K21" s="14">
        <v>117.73</v>
      </c>
      <c r="L21"/>
      <c r="M21" s="59">
        <f t="shared" si="13"/>
        <v>215.36926469716994</v>
      </c>
      <c r="N21" s="59">
        <f>IF(AC177&gt;0.00304,(((1+0.055)*AC177^(1/2.4))-0.055)*255,12.92*AC177*255)</f>
        <v>160.13256028730453</v>
      </c>
      <c r="O21" s="59">
        <f>IF((IF(AD177&gt;0.00304,(((1+0.055)*AD177^(1/2.4))-0.055)*255,12.92*AD177*255)*$X$12)&gt;255,255,IF(AD177&gt;0.00304,(((1+0.055)*AD177^(1/2.4))-0.055)*255,12.92*AD177*255)*$X$12)</f>
        <v>117.67652671408592</v>
      </c>
      <c r="P21" s="44"/>
      <c r="Q21" s="33">
        <f t="shared" si="5"/>
        <v>9.3530356488173965</v>
      </c>
      <c r="R21" s="33">
        <f t="shared" si="6"/>
        <v>3.5063866840963982</v>
      </c>
      <c r="S21" s="33">
        <f t="shared" si="7"/>
        <v>-35.813284903652779</v>
      </c>
      <c r="T21" s="33">
        <f t="shared" si="8"/>
        <v>0.16010113932333708</v>
      </c>
      <c r="U21" s="66"/>
      <c r="V21" s="14">
        <v>1</v>
      </c>
      <c r="W21" s="33">
        <f t="shared" si="16"/>
        <v>9.3505512567355797</v>
      </c>
      <c r="X21" s="33">
        <f t="shared" si="9"/>
        <v>3.5087795147104259</v>
      </c>
      <c r="Y21" s="33">
        <f t="shared" si="17"/>
        <v>-35.797067009629338</v>
      </c>
      <c r="Z21" s="33">
        <f t="shared" si="10"/>
        <v>0.21391423740725718</v>
      </c>
      <c r="AB21" s="45">
        <f t="shared" si="11"/>
        <v>9.3530356488173965</v>
      </c>
      <c r="AC21" s="45">
        <f t="shared" si="12"/>
        <v>9.3505512567355797</v>
      </c>
      <c r="AT21" s="14"/>
      <c r="AU21" s="14"/>
      <c r="AV21" s="14"/>
      <c r="AW21" s="14"/>
      <c r="BB21" s="30"/>
      <c r="BD21" s="30">
        <v>6</v>
      </c>
      <c r="BE21" s="30">
        <f t="shared" si="19"/>
        <v>83.050346417319332</v>
      </c>
      <c r="BF21" s="50">
        <f t="shared" si="20"/>
        <v>29.400173208659666</v>
      </c>
      <c r="BG21" s="30">
        <f t="shared" si="21"/>
        <v>83.050346417319332</v>
      </c>
      <c r="BH21" s="51">
        <f t="shared" si="22"/>
        <v>29.400173208659666</v>
      </c>
      <c r="BI21" s="30"/>
      <c r="BJ21" s="30">
        <v>6</v>
      </c>
      <c r="BK21" s="30">
        <f t="shared" si="23"/>
        <v>138.02798485759561</v>
      </c>
      <c r="BL21" s="50">
        <f t="shared" si="18"/>
        <v>66.018656571730389</v>
      </c>
      <c r="BM21" s="30">
        <f t="shared" si="24"/>
        <v>138.02798485759558</v>
      </c>
      <c r="BN21" s="51">
        <f t="shared" si="25"/>
        <v>66.018656571730389</v>
      </c>
      <c r="BP21" s="30">
        <v>6</v>
      </c>
      <c r="BQ21" s="30">
        <f t="shared" si="26"/>
        <v>138.2348040745068</v>
      </c>
      <c r="BR21" s="50">
        <f t="shared" si="27"/>
        <v>66.156536049671217</v>
      </c>
      <c r="BS21" s="30">
        <f t="shared" si="28"/>
        <v>138.23480407450683</v>
      </c>
      <c r="BT21" s="51">
        <f t="shared" si="29"/>
        <v>66.156536049671217</v>
      </c>
      <c r="BV21" s="27">
        <f t="shared" si="1"/>
        <v>54.25</v>
      </c>
      <c r="BW21" s="30">
        <v>17</v>
      </c>
      <c r="BX21" s="30">
        <f t="shared" si="2"/>
        <v>54.25</v>
      </c>
      <c r="BY21" s="30">
        <f t="shared" si="3"/>
        <v>2.5</v>
      </c>
      <c r="BZ21" s="30"/>
      <c r="CA21" s="30"/>
      <c r="CB21" s="30"/>
      <c r="CC21" s="30"/>
      <c r="CD21" s="30"/>
      <c r="CE21" s="30"/>
      <c r="CF21" s="30"/>
      <c r="CG21" s="30"/>
    </row>
    <row r="22" spans="1:85" x14ac:dyDescent="0.3">
      <c r="A22" s="53">
        <v>8</v>
      </c>
      <c r="B22" s="14">
        <v>59.26</v>
      </c>
      <c r="C22" s="14">
        <v>78.260000000000005</v>
      </c>
      <c r="D22" s="14">
        <v>181.46</v>
      </c>
      <c r="E22" s="67"/>
      <c r="F22" s="115"/>
      <c r="G22" s="163"/>
      <c r="H22" s="187"/>
      <c r="I22" s="14">
        <v>71.709999999999994</v>
      </c>
      <c r="J22" s="14">
        <v>85.7</v>
      </c>
      <c r="K22" s="14">
        <v>131.19999999999999</v>
      </c>
      <c r="L22"/>
      <c r="M22" s="59">
        <f t="shared" si="13"/>
        <v>71.688397062793086</v>
      </c>
      <c r="N22" s="59">
        <f t="shared" si="14"/>
        <v>85.707597655430035</v>
      </c>
      <c r="O22" s="59">
        <f t="shared" si="15"/>
        <v>131.20397171889883</v>
      </c>
      <c r="P22" s="44"/>
      <c r="Q22" s="33">
        <f t="shared" si="5"/>
        <v>9.8243866881929129</v>
      </c>
      <c r="R22" s="33">
        <f t="shared" si="6"/>
        <v>-0.29223804928028585</v>
      </c>
      <c r="S22" s="33">
        <f t="shared" si="7"/>
        <v>-34.80329051200107</v>
      </c>
      <c r="T22" s="33">
        <f t="shared" si="8"/>
        <v>7.3262612075125704</v>
      </c>
      <c r="U22" s="67"/>
      <c r="V22" s="14">
        <v>1</v>
      </c>
      <c r="W22" s="33">
        <f t="shared" si="16"/>
        <v>9.8274751939090947</v>
      </c>
      <c r="X22" s="33">
        <f t="shared" si="9"/>
        <v>-0.29133641570287239</v>
      </c>
      <c r="Y22" s="33">
        <f t="shared" si="17"/>
        <v>-34.804739703482753</v>
      </c>
      <c r="Z22" s="33">
        <f t="shared" si="10"/>
        <v>7.3402967775720178</v>
      </c>
      <c r="AB22" s="45">
        <f t="shared" si="11"/>
        <v>9.8243866881929129</v>
      </c>
      <c r="AC22" s="45">
        <f t="shared" si="12"/>
        <v>9.8274751939090947</v>
      </c>
      <c r="AT22" s="14"/>
      <c r="AU22" s="14"/>
      <c r="AV22" s="14"/>
      <c r="AW22" s="14"/>
      <c r="BB22" s="30"/>
      <c r="BD22" s="30">
        <v>7</v>
      </c>
      <c r="BE22" s="30">
        <f t="shared" si="19"/>
        <v>173.99236403822491</v>
      </c>
      <c r="BF22" s="50">
        <f t="shared" si="20"/>
        <v>102.24236403822488</v>
      </c>
      <c r="BG22" s="30">
        <f t="shared" si="21"/>
        <v>173.99236403822488</v>
      </c>
      <c r="BH22" s="51">
        <f t="shared" si="22"/>
        <v>102.24236403822488</v>
      </c>
      <c r="BI22" s="30"/>
      <c r="BJ22" s="30">
        <v>7</v>
      </c>
      <c r="BK22" s="30">
        <f t="shared" si="23"/>
        <v>89.776860259459411</v>
      </c>
      <c r="BL22" s="50">
        <f t="shared" si="18"/>
        <v>33.263430129729699</v>
      </c>
      <c r="BM22" s="30">
        <f t="shared" si="24"/>
        <v>89.776860259459397</v>
      </c>
      <c r="BN22" s="51">
        <f t="shared" si="25"/>
        <v>33.263430129729699</v>
      </c>
      <c r="BP22" s="30">
        <v>7</v>
      </c>
      <c r="BQ22" s="30">
        <f t="shared" si="26"/>
        <v>45.970465035331657</v>
      </c>
      <c r="BR22" s="50">
        <f t="shared" si="27"/>
        <v>14.073488345110555</v>
      </c>
      <c r="BS22" s="30">
        <f t="shared" si="28"/>
        <v>45.970465035331671</v>
      </c>
      <c r="BT22" s="51">
        <f t="shared" si="29"/>
        <v>14.073488345110555</v>
      </c>
      <c r="BV22" s="27">
        <f t="shared" si="1"/>
        <v>56.75</v>
      </c>
      <c r="BW22" s="30">
        <v>18</v>
      </c>
      <c r="BX22" s="30">
        <f t="shared" si="2"/>
        <v>56.75</v>
      </c>
      <c r="BY22" s="30">
        <f t="shared" si="3"/>
        <v>2.5</v>
      </c>
      <c r="BZ22" s="30"/>
      <c r="CA22" s="30"/>
      <c r="CB22" s="30"/>
      <c r="CC22" s="30"/>
      <c r="CD22" s="30"/>
      <c r="CE22" s="30"/>
      <c r="CF22" s="30"/>
      <c r="CG22" s="30"/>
    </row>
    <row r="23" spans="1:85" x14ac:dyDescent="0.3">
      <c r="A23" s="53">
        <v>9</v>
      </c>
      <c r="B23" s="14">
        <v>231.81</v>
      </c>
      <c r="C23" s="14">
        <v>88.82</v>
      </c>
      <c r="D23" s="14">
        <v>92.89</v>
      </c>
      <c r="E23" s="68"/>
      <c r="F23" s="116"/>
      <c r="G23" s="164"/>
      <c r="H23" s="188"/>
      <c r="I23" s="14">
        <v>199.82</v>
      </c>
      <c r="J23" s="14">
        <v>124.65</v>
      </c>
      <c r="K23" s="14">
        <v>114.02</v>
      </c>
      <c r="L23"/>
      <c r="M23" s="59">
        <f t="shared" si="13"/>
        <v>199.80676003451316</v>
      </c>
      <c r="N23" s="59">
        <f t="shared" si="14"/>
        <v>124.67326633914517</v>
      </c>
      <c r="O23" s="59">
        <f t="shared" si="15"/>
        <v>113.95720774987564</v>
      </c>
      <c r="P23" s="44"/>
      <c r="Q23" s="33">
        <f t="shared" si="5"/>
        <v>8.5381751320266641</v>
      </c>
      <c r="R23" s="33">
        <f t="shared" si="6"/>
        <v>2.8283332937358097</v>
      </c>
      <c r="S23" s="33">
        <f t="shared" si="7"/>
        <v>-28.623851773994403</v>
      </c>
      <c r="T23" s="33">
        <f t="shared" si="8"/>
        <v>5.3908888062301097</v>
      </c>
      <c r="U23" s="68"/>
      <c r="V23" s="14">
        <v>1</v>
      </c>
      <c r="W23" s="33">
        <f t="shared" si="16"/>
        <v>8.5495346677821118</v>
      </c>
      <c r="X23" s="33">
        <f t="shared" si="9"/>
        <v>2.830697058745514</v>
      </c>
      <c r="Y23" s="33">
        <f t="shared" si="17"/>
        <v>-28.623491056540601</v>
      </c>
      <c r="Z23" s="33">
        <f t="shared" si="10"/>
        <v>5.4534234644667059</v>
      </c>
      <c r="AB23" s="45">
        <f t="shared" si="11"/>
        <v>8.5381751320266641</v>
      </c>
      <c r="AC23" s="45">
        <f t="shared" si="12"/>
        <v>8.5495346677821118</v>
      </c>
      <c r="AT23" s="14"/>
      <c r="AU23" s="14"/>
      <c r="AV23" s="14"/>
      <c r="AW23" s="14"/>
      <c r="BB23" s="30"/>
      <c r="BD23" s="30">
        <v>8</v>
      </c>
      <c r="BE23" s="30">
        <f t="shared" si="19"/>
        <v>16.391451367765935</v>
      </c>
      <c r="BF23" s="50">
        <f t="shared" si="20"/>
        <v>4.9638171225886438</v>
      </c>
      <c r="BG23" s="30">
        <f t="shared" si="21"/>
        <v>16.391451367765931</v>
      </c>
      <c r="BH23" s="51">
        <f t="shared" si="22"/>
        <v>4.9638171225886438</v>
      </c>
      <c r="BI23" s="30"/>
      <c r="BJ23" s="30">
        <v>8</v>
      </c>
      <c r="BK23" s="30">
        <f t="shared" si="23"/>
        <v>23.559580448835973</v>
      </c>
      <c r="BL23" s="50">
        <f t="shared" si="18"/>
        <v>7.15988012823885</v>
      </c>
      <c r="BM23" s="30">
        <f t="shared" si="24"/>
        <v>23.559580448835973</v>
      </c>
      <c r="BN23" s="51">
        <f t="shared" si="25"/>
        <v>7.15988012823885</v>
      </c>
      <c r="BP23" s="30">
        <v>8</v>
      </c>
      <c r="BQ23" s="30">
        <f t="shared" si="26"/>
        <v>58.068040174962498</v>
      </c>
      <c r="BR23" s="50">
        <f t="shared" si="27"/>
        <v>18.439346724987502</v>
      </c>
      <c r="BS23" s="30">
        <f t="shared" si="28"/>
        <v>58.068040174962505</v>
      </c>
      <c r="BT23" s="51">
        <f t="shared" si="29"/>
        <v>18.439346724987502</v>
      </c>
      <c r="BV23" s="27">
        <f t="shared" si="1"/>
        <v>59.75</v>
      </c>
      <c r="BW23" s="30">
        <v>19</v>
      </c>
      <c r="BX23" s="30">
        <f t="shared" si="2"/>
        <v>59.75</v>
      </c>
      <c r="BY23" s="30">
        <f t="shared" si="3"/>
        <v>3</v>
      </c>
      <c r="BZ23" s="30"/>
      <c r="CA23" s="30"/>
      <c r="CB23" s="30"/>
      <c r="CC23" s="30"/>
      <c r="CD23" s="30"/>
      <c r="CE23" s="30"/>
      <c r="CF23" s="30"/>
      <c r="CG23" s="30"/>
    </row>
    <row r="24" spans="1:85" x14ac:dyDescent="0.3">
      <c r="A24" s="53">
        <v>10</v>
      </c>
      <c r="B24" s="14">
        <v>89.8</v>
      </c>
      <c r="C24" s="14">
        <v>42</v>
      </c>
      <c r="D24" s="14">
        <v>83.99</v>
      </c>
      <c r="E24" s="69"/>
      <c r="F24" s="117"/>
      <c r="G24" s="165"/>
      <c r="H24" s="189"/>
      <c r="I24" s="14">
        <v>86.21</v>
      </c>
      <c r="J24" s="14">
        <v>55.09</v>
      </c>
      <c r="K24" s="14">
        <v>72.290000000000006</v>
      </c>
      <c r="L24"/>
      <c r="M24" s="59">
        <f t="shared" si="13"/>
        <v>86.202807609156281</v>
      </c>
      <c r="N24" s="59">
        <f t="shared" si="14"/>
        <v>55.100445981011447</v>
      </c>
      <c r="O24" s="59">
        <f t="shared" si="15"/>
        <v>72.273843080175837</v>
      </c>
      <c r="P24" s="44"/>
      <c r="Q24" s="33">
        <f t="shared" si="5"/>
        <v>7.4223974690328056</v>
      </c>
      <c r="R24" s="33">
        <f t="shared" si="6"/>
        <v>2.1638128953230691</v>
      </c>
      <c r="S24" s="33">
        <f t="shared" si="7"/>
        <v>-15.038834908925086</v>
      </c>
      <c r="T24" s="33">
        <f t="shared" si="8"/>
        <v>5.4129673987797764</v>
      </c>
      <c r="U24" s="69"/>
      <c r="V24" s="14">
        <v>1</v>
      </c>
      <c r="W24" s="33">
        <f t="shared" si="16"/>
        <v>7.4308910901345353</v>
      </c>
      <c r="X24" s="33">
        <f t="shared" si="9"/>
        <v>2.1650336872639642</v>
      </c>
      <c r="Y24" s="33">
        <f t="shared" si="17"/>
        <v>-15.054413174131803</v>
      </c>
      <c r="Z24" s="33">
        <f t="shared" si="10"/>
        <v>5.421923904094089</v>
      </c>
      <c r="AB24" s="45">
        <f t="shared" si="11"/>
        <v>7.4223974690328056</v>
      </c>
      <c r="AC24" s="45">
        <f t="shared" si="12"/>
        <v>7.4308910901345353</v>
      </c>
      <c r="AT24" s="14"/>
      <c r="AU24" s="14"/>
      <c r="AV24" s="14"/>
      <c r="AW24" s="14"/>
      <c r="BB24" s="30"/>
      <c r="BD24" s="30">
        <v>9</v>
      </c>
      <c r="BE24" s="30">
        <f t="shared" si="19"/>
        <v>146.98590305735524</v>
      </c>
      <c r="BF24" s="50">
        <f t="shared" si="20"/>
        <v>73.985903057355245</v>
      </c>
      <c r="BG24" s="30">
        <f t="shared" si="21"/>
        <v>146.98590305735524</v>
      </c>
      <c r="BH24" s="51">
        <f t="shared" si="22"/>
        <v>73.985903057355245</v>
      </c>
      <c r="BI24" s="30"/>
      <c r="BJ24" s="30">
        <v>9</v>
      </c>
      <c r="BK24" s="30">
        <f t="shared" si="23"/>
        <v>51.979663440814214</v>
      </c>
      <c r="BL24" s="50">
        <f t="shared" si="18"/>
        <v>16.091865376325686</v>
      </c>
      <c r="BM24" s="30">
        <f t="shared" si="24"/>
        <v>51.979663440814221</v>
      </c>
      <c r="BN24" s="51">
        <f t="shared" si="25"/>
        <v>16.091865376325686</v>
      </c>
      <c r="BP24" s="30">
        <v>9</v>
      </c>
      <c r="BQ24" s="30">
        <f t="shared" si="26"/>
        <v>42.924786426927547</v>
      </c>
      <c r="BR24" s="50">
        <f t="shared" si="27"/>
        <v>13.058262142309182</v>
      </c>
      <c r="BS24" s="30">
        <f t="shared" si="28"/>
        <v>42.92478642692754</v>
      </c>
      <c r="BT24" s="51">
        <f t="shared" si="29"/>
        <v>13.058262142309182</v>
      </c>
      <c r="BV24" s="27">
        <f t="shared" si="1"/>
        <v>62.25</v>
      </c>
      <c r="BW24" s="30">
        <v>20</v>
      </c>
      <c r="BX24" s="30">
        <f t="shared" si="2"/>
        <v>62.25</v>
      </c>
      <c r="BY24" s="30">
        <f t="shared" si="3"/>
        <v>2.5</v>
      </c>
      <c r="BZ24" s="30"/>
      <c r="CF24" s="30"/>
      <c r="CG24" s="30"/>
    </row>
    <row r="25" spans="1:85" x14ac:dyDescent="0.3">
      <c r="A25" s="53">
        <v>11</v>
      </c>
      <c r="B25" s="14">
        <v>177.63</v>
      </c>
      <c r="C25" s="14">
        <v>204.63</v>
      </c>
      <c r="D25" s="14">
        <v>71.959999999999994</v>
      </c>
      <c r="E25" s="70"/>
      <c r="F25" s="118"/>
      <c r="G25" s="166"/>
      <c r="H25" s="190"/>
      <c r="I25" s="14">
        <v>172.11</v>
      </c>
      <c r="J25" s="14">
        <v>185.94</v>
      </c>
      <c r="K25" s="14">
        <v>144.87</v>
      </c>
      <c r="L25"/>
      <c r="M25" s="59">
        <f t="shared" si="13"/>
        <v>172.07124871728823</v>
      </c>
      <c r="N25" s="59">
        <f t="shared" si="14"/>
        <v>185.95649077052769</v>
      </c>
      <c r="O25" s="59">
        <f t="shared" si="15"/>
        <v>144.87966111861232</v>
      </c>
      <c r="P25" s="44"/>
      <c r="Q25" s="33">
        <f t="shared" si="5"/>
        <v>12.185370670950416</v>
      </c>
      <c r="R25" s="33">
        <f t="shared" si="6"/>
        <v>-4.6047081438297965</v>
      </c>
      <c r="S25" s="33">
        <f t="shared" si="7"/>
        <v>-43.783956536548715</v>
      </c>
      <c r="T25" s="33">
        <f t="shared" si="8"/>
        <v>5.2897436180047839</v>
      </c>
      <c r="U25" s="70"/>
      <c r="V25" s="14">
        <v>1</v>
      </c>
      <c r="W25" s="33">
        <f t="shared" si="16"/>
        <v>12.18650673436697</v>
      </c>
      <c r="X25" s="33">
        <f t="shared" si="9"/>
        <v>-4.6028541134571554</v>
      </c>
      <c r="Y25" s="33">
        <f t="shared" si="17"/>
        <v>-43.775199519279667</v>
      </c>
      <c r="Z25" s="33">
        <f t="shared" si="10"/>
        <v>5.3246507144676842</v>
      </c>
      <c r="AB25" s="45">
        <f t="shared" si="11"/>
        <v>12.185370670950416</v>
      </c>
      <c r="AC25" s="45">
        <f t="shared" si="12"/>
        <v>12.18650673436697</v>
      </c>
      <c r="AT25" s="14"/>
      <c r="AU25" s="14"/>
      <c r="AV25" s="14"/>
      <c r="AW25" s="14"/>
      <c r="BB25" s="30"/>
      <c r="BD25" s="30">
        <v>10</v>
      </c>
      <c r="BE25" s="30">
        <f t="shared" si="19"/>
        <v>23.849780784973529</v>
      </c>
      <c r="BF25" s="50">
        <f t="shared" si="20"/>
        <v>7.2427945099924376</v>
      </c>
      <c r="BG25" s="30">
        <f t="shared" si="21"/>
        <v>23.849780784973532</v>
      </c>
      <c r="BH25" s="51">
        <f t="shared" si="22"/>
        <v>7.2427945099924376</v>
      </c>
      <c r="BI25" s="30"/>
      <c r="BJ25" s="30">
        <v>10</v>
      </c>
      <c r="BK25" s="30">
        <f t="shared" si="23"/>
        <v>9.7726285958555561</v>
      </c>
      <c r="BL25" s="50">
        <f t="shared" si="18"/>
        <v>2.7575428652851848</v>
      </c>
      <c r="BM25" s="30">
        <f t="shared" si="24"/>
        <v>9.7726285958555543</v>
      </c>
      <c r="BN25" s="51">
        <f t="shared" si="25"/>
        <v>2.7575428652851848</v>
      </c>
      <c r="BP25" s="30">
        <v>10</v>
      </c>
      <c r="BQ25" s="30">
        <f t="shared" si="26"/>
        <v>16.658845636218555</v>
      </c>
      <c r="BR25" s="50">
        <f t="shared" si="27"/>
        <v>5.0529485454061849</v>
      </c>
      <c r="BS25" s="30">
        <f t="shared" si="28"/>
        <v>16.658845636218555</v>
      </c>
      <c r="BT25" s="51">
        <f t="shared" si="29"/>
        <v>5.0529485454061849</v>
      </c>
      <c r="BV25" s="27">
        <f t="shared" si="1"/>
        <v>64.75</v>
      </c>
      <c r="BW25" s="30">
        <v>21</v>
      </c>
      <c r="BX25" s="30">
        <f t="shared" si="2"/>
        <v>64.75</v>
      </c>
      <c r="BY25" s="30">
        <f t="shared" si="3"/>
        <v>2.5</v>
      </c>
      <c r="BZ25" s="30"/>
      <c r="CG25" s="30"/>
    </row>
    <row r="26" spans="1:85" x14ac:dyDescent="0.3">
      <c r="A26" s="53">
        <v>12</v>
      </c>
      <c r="B26" s="14">
        <v>242.26</v>
      </c>
      <c r="C26" s="14">
        <v>175.26</v>
      </c>
      <c r="D26" s="14">
        <v>44.28</v>
      </c>
      <c r="E26" s="71"/>
      <c r="F26" s="119"/>
      <c r="G26" s="167"/>
      <c r="H26" s="191"/>
      <c r="I26" s="14">
        <v>216.17</v>
      </c>
      <c r="J26" s="14">
        <v>178.79</v>
      </c>
      <c r="K26" s="14">
        <v>133.53</v>
      </c>
      <c r="L26"/>
      <c r="M26" s="59">
        <f t="shared" si="13"/>
        <v>216.14363885286218</v>
      </c>
      <c r="N26" s="59">
        <f t="shared" si="14"/>
        <v>178.81160042103846</v>
      </c>
      <c r="O26" s="59">
        <f t="shared" si="15"/>
        <v>133.49708040955844</v>
      </c>
      <c r="P26" s="44"/>
      <c r="Q26" s="33">
        <f t="shared" si="5"/>
        <v>10.230951818556772</v>
      </c>
      <c r="R26" s="33">
        <f t="shared" si="6"/>
        <v>-0.85738671740166694</v>
      </c>
      <c r="S26" s="33">
        <f t="shared" si="7"/>
        <v>-42.841638642808505</v>
      </c>
      <c r="T26" s="33">
        <f t="shared" si="8"/>
        <v>2.7815309399296346</v>
      </c>
      <c r="U26" s="71"/>
      <c r="V26" s="14">
        <v>1</v>
      </c>
      <c r="W26" s="33">
        <f t="shared" si="16"/>
        <v>10.22481818569304</v>
      </c>
      <c r="X26" s="33">
        <f t="shared" si="9"/>
        <v>-0.85506196889919295</v>
      </c>
      <c r="Y26" s="33">
        <f t="shared" si="17"/>
        <v>-42.828614872577838</v>
      </c>
      <c r="Z26" s="33">
        <f t="shared" si="10"/>
        <v>2.7349695661997093</v>
      </c>
      <c r="AB26" s="45">
        <f t="shared" si="11"/>
        <v>10.230951818556772</v>
      </c>
      <c r="AC26" s="45">
        <f t="shared" si="12"/>
        <v>10.22481818569304</v>
      </c>
      <c r="AT26" s="14"/>
      <c r="AU26" s="14"/>
      <c r="AV26" s="14"/>
      <c r="AW26" s="14"/>
      <c r="BB26" s="30"/>
      <c r="BD26" s="30">
        <v>11</v>
      </c>
      <c r="BE26" s="30">
        <f t="shared" si="19"/>
        <v>105.3477219834259</v>
      </c>
      <c r="BF26" s="50">
        <f t="shared" si="20"/>
        <v>42.231814655617271</v>
      </c>
      <c r="BG26" s="30">
        <f t="shared" si="21"/>
        <v>105.34772198342591</v>
      </c>
      <c r="BH26" s="51">
        <f t="shared" si="22"/>
        <v>42.231814655617271</v>
      </c>
      <c r="BI26" s="30"/>
      <c r="BJ26" s="30">
        <v>11</v>
      </c>
      <c r="BK26" s="30">
        <f t="shared" si="23"/>
        <v>125.12019547699691</v>
      </c>
      <c r="BL26" s="50">
        <f t="shared" si="18"/>
        <v>55.746796984664599</v>
      </c>
      <c r="BM26" s="30">
        <f t="shared" si="24"/>
        <v>125.12019547699691</v>
      </c>
      <c r="BN26" s="51">
        <f t="shared" si="25"/>
        <v>55.746796984664599</v>
      </c>
      <c r="BP26" s="30">
        <v>11</v>
      </c>
      <c r="BQ26" s="30">
        <f t="shared" si="26"/>
        <v>72.061350917933837</v>
      </c>
      <c r="BR26" s="50">
        <f t="shared" si="27"/>
        <v>24.12454036717353</v>
      </c>
      <c r="BS26" s="30">
        <f t="shared" si="28"/>
        <v>72.061350917933822</v>
      </c>
      <c r="BT26" s="51">
        <f t="shared" si="29"/>
        <v>24.12454036717353</v>
      </c>
      <c r="BV26" s="27">
        <f t="shared" si="1"/>
        <v>67.25</v>
      </c>
      <c r="BW26" s="30">
        <v>22</v>
      </c>
      <c r="BX26" s="30">
        <f t="shared" si="2"/>
        <v>67.25</v>
      </c>
      <c r="BY26" s="30">
        <f t="shared" si="3"/>
        <v>2.5</v>
      </c>
      <c r="BZ26" s="30"/>
      <c r="CG26" s="30"/>
    </row>
    <row r="27" spans="1:85" x14ac:dyDescent="0.3">
      <c r="A27" s="53">
        <v>13</v>
      </c>
      <c r="B27" s="14">
        <v>2.91</v>
      </c>
      <c r="C27" s="14">
        <v>17.91</v>
      </c>
      <c r="D27" s="14">
        <v>135.32</v>
      </c>
      <c r="E27" s="72"/>
      <c r="F27" s="120"/>
      <c r="G27" s="168"/>
      <c r="H27" s="192"/>
      <c r="I27" s="14">
        <v>17.559999999999999</v>
      </c>
      <c r="J27" s="14">
        <v>36.86</v>
      </c>
      <c r="K27" s="14">
        <v>87.23</v>
      </c>
      <c r="L27"/>
      <c r="M27" s="59">
        <f t="shared" si="13"/>
        <v>17.542600810127666</v>
      </c>
      <c r="N27" s="59">
        <f t="shared" si="14"/>
        <v>36.863051739890643</v>
      </c>
      <c r="O27" s="59">
        <f t="shared" si="15"/>
        <v>87.232932148942368</v>
      </c>
      <c r="P27" s="14"/>
      <c r="Q27" s="33">
        <f t="shared" si="5"/>
        <v>10.770654923001871</v>
      </c>
      <c r="R27" s="33">
        <f t="shared" si="6"/>
        <v>-0.37648635039592904</v>
      </c>
      <c r="S27" s="33">
        <f t="shared" si="7"/>
        <v>-41.28046085601418</v>
      </c>
      <c r="T27" s="33">
        <f t="shared" si="8"/>
        <v>11.610630083286566</v>
      </c>
      <c r="U27" s="72"/>
      <c r="V27" s="14">
        <v>2</v>
      </c>
      <c r="W27" s="33">
        <f t="shared" si="16"/>
        <v>10.771956963032945</v>
      </c>
      <c r="X27" s="33">
        <f t="shared" si="9"/>
        <v>-0.37612005751954314</v>
      </c>
      <c r="Y27" s="33">
        <f t="shared" si="17"/>
        <v>-41.280423758765046</v>
      </c>
      <c r="Z27" s="33">
        <f t="shared" si="10"/>
        <v>11.616274395058042</v>
      </c>
      <c r="AB27" s="45">
        <f t="shared" si="11"/>
        <v>21.541309846003742</v>
      </c>
      <c r="AC27" s="45">
        <f t="shared" si="12"/>
        <v>21.543913926065891</v>
      </c>
      <c r="AT27" s="14"/>
      <c r="AU27" s="14"/>
      <c r="AV27" s="14"/>
      <c r="AW27" s="14"/>
      <c r="BB27" s="30"/>
      <c r="BD27" s="30">
        <v>12</v>
      </c>
      <c r="BE27" s="30">
        <f t="shared" si="19"/>
        <v>175.41550221315208</v>
      </c>
      <c r="BF27" s="50">
        <f t="shared" si="20"/>
        <v>104.22066961753612</v>
      </c>
      <c r="BG27" s="30">
        <f t="shared" si="21"/>
        <v>175.41550221315208</v>
      </c>
      <c r="BH27" s="51">
        <f t="shared" si="22"/>
        <v>104.22066961753612</v>
      </c>
      <c r="BI27" s="30"/>
      <c r="BJ27" s="30">
        <v>12</v>
      </c>
      <c r="BK27" s="30">
        <f t="shared" si="23"/>
        <v>114.65046075623147</v>
      </c>
      <c r="BL27" s="50">
        <f t="shared" si="18"/>
        <v>48.100307170820983</v>
      </c>
      <c r="BM27" s="30">
        <f t="shared" si="24"/>
        <v>114.65046075623147</v>
      </c>
      <c r="BN27" s="51">
        <f t="shared" si="25"/>
        <v>48.100307170820983</v>
      </c>
      <c r="BP27" s="30">
        <v>12</v>
      </c>
      <c r="BQ27" s="30">
        <f t="shared" si="26"/>
        <v>60.329159851298975</v>
      </c>
      <c r="BR27" s="50">
        <f t="shared" si="27"/>
        <v>19.231663940519585</v>
      </c>
      <c r="BS27" s="30">
        <f t="shared" si="28"/>
        <v>60.329159851298954</v>
      </c>
      <c r="BT27" s="51">
        <f t="shared" si="29"/>
        <v>19.231663940519585</v>
      </c>
      <c r="BV27" s="27">
        <f t="shared" si="1"/>
        <v>69.25</v>
      </c>
      <c r="BW27" s="30">
        <v>23</v>
      </c>
      <c r="BX27" s="30">
        <f t="shared" si="2"/>
        <v>69.25</v>
      </c>
      <c r="BY27" s="30">
        <f t="shared" si="3"/>
        <v>2</v>
      </c>
      <c r="BZ27" s="30"/>
      <c r="CG27" s="30"/>
    </row>
    <row r="28" spans="1:85" x14ac:dyDescent="0.3">
      <c r="A28" s="53">
        <v>14</v>
      </c>
      <c r="B28" s="14">
        <v>67.41</v>
      </c>
      <c r="C28" s="14">
        <v>143.4</v>
      </c>
      <c r="D28" s="14">
        <v>71.41</v>
      </c>
      <c r="E28" s="73"/>
      <c r="F28" s="121"/>
      <c r="G28" s="169"/>
      <c r="H28" s="193"/>
      <c r="I28" s="14">
        <v>81.89</v>
      </c>
      <c r="J28" s="14">
        <v>126.25</v>
      </c>
      <c r="K28" s="14">
        <v>99.06</v>
      </c>
      <c r="L28"/>
      <c r="M28" s="59">
        <f t="shared" si="13"/>
        <v>81.84811645445312</v>
      </c>
      <c r="N28" s="59">
        <f t="shared" si="14"/>
        <v>126.25891421438287</v>
      </c>
      <c r="O28" s="59">
        <f t="shared" si="15"/>
        <v>99.085138868013402</v>
      </c>
      <c r="P28" s="14"/>
      <c r="Q28" s="33">
        <f t="shared" si="5"/>
        <v>10.258221132159365</v>
      </c>
      <c r="R28" s="33">
        <f t="shared" si="6"/>
        <v>-4.3186519531259364</v>
      </c>
      <c r="S28" s="33">
        <f t="shared" si="7"/>
        <v>-26.217825093552683</v>
      </c>
      <c r="T28" s="33">
        <f t="shared" si="8"/>
        <v>8.1134621534557194</v>
      </c>
      <c r="U28" s="73"/>
      <c r="V28" s="14">
        <v>2</v>
      </c>
      <c r="W28" s="33">
        <f t="shared" si="16"/>
        <v>10.263132708205196</v>
      </c>
      <c r="X28" s="33">
        <f t="shared" si="9"/>
        <v>-4.3175571688507972</v>
      </c>
      <c r="Y28" s="33">
        <f t="shared" si="17"/>
        <v>-26.211573389201469</v>
      </c>
      <c r="Z28" s="33">
        <f t="shared" si="10"/>
        <v>8.1400808017078674</v>
      </c>
      <c r="AB28" s="45">
        <f t="shared" si="11"/>
        <v>20.51644226431873</v>
      </c>
      <c r="AC28" s="45">
        <f t="shared" si="12"/>
        <v>20.526265416410393</v>
      </c>
      <c r="AT28" s="14"/>
      <c r="AU28" s="14"/>
      <c r="AV28" s="14"/>
      <c r="AW28" s="14"/>
      <c r="BB28" s="30"/>
      <c r="BD28" s="30">
        <v>13</v>
      </c>
      <c r="BE28" s="30">
        <f t="shared" si="19"/>
        <v>1.4920794851511259</v>
      </c>
      <c r="BF28" s="50">
        <f t="shared" si="20"/>
        <v>0.33157321892247243</v>
      </c>
      <c r="BG28" s="30">
        <f t="shared" si="21"/>
        <v>1.4920794851511259</v>
      </c>
      <c r="BH28" s="51">
        <f t="shared" si="22"/>
        <v>0.33157321892247243</v>
      </c>
      <c r="BI28" s="30"/>
      <c r="BJ28" s="30">
        <v>13</v>
      </c>
      <c r="BK28" s="30">
        <f t="shared" si="23"/>
        <v>4.6865506336501026</v>
      </c>
      <c r="BL28" s="50">
        <f t="shared" si="18"/>
        <v>1.0621835445500345</v>
      </c>
      <c r="BM28" s="30">
        <f t="shared" si="24"/>
        <v>4.6865506336501035</v>
      </c>
      <c r="BN28" s="51">
        <f t="shared" si="25"/>
        <v>1.0621835445500345</v>
      </c>
      <c r="BP28" s="30">
        <v>13</v>
      </c>
      <c r="BQ28" s="30">
        <f t="shared" si="26"/>
        <v>24.436409338771949</v>
      </c>
      <c r="BR28" s="50">
        <f t="shared" si="27"/>
        <v>7.4104026682205575</v>
      </c>
      <c r="BS28" s="30">
        <f t="shared" si="28"/>
        <v>24.436409338771952</v>
      </c>
      <c r="BT28" s="51">
        <f t="shared" si="29"/>
        <v>7.4104026682205575</v>
      </c>
      <c r="BV28" s="27">
        <f t="shared" si="1"/>
        <v>71.75</v>
      </c>
      <c r="BW28" s="30">
        <v>24</v>
      </c>
      <c r="BX28" s="30">
        <f t="shared" si="2"/>
        <v>71.75</v>
      </c>
      <c r="BY28" s="30">
        <f t="shared" si="3"/>
        <v>2.5</v>
      </c>
      <c r="BZ28" s="30"/>
      <c r="CG28" s="30"/>
    </row>
    <row r="29" spans="1:85" x14ac:dyDescent="0.3">
      <c r="A29" s="53">
        <v>15</v>
      </c>
      <c r="B29" s="14">
        <v>207.62</v>
      </c>
      <c r="C29" s="14">
        <v>52.58</v>
      </c>
      <c r="D29" s="14">
        <v>60.62</v>
      </c>
      <c r="E29" s="74"/>
      <c r="F29" s="122"/>
      <c r="G29" s="170"/>
      <c r="H29" s="194"/>
      <c r="I29" s="14">
        <v>177.25</v>
      </c>
      <c r="J29" s="14">
        <v>88.25</v>
      </c>
      <c r="K29" s="14">
        <v>80.25</v>
      </c>
      <c r="L29"/>
      <c r="M29" s="59">
        <f t="shared" si="13"/>
        <v>177.24874704692954</v>
      </c>
      <c r="N29" s="59">
        <f t="shared" si="14"/>
        <v>88.274476356237585</v>
      </c>
      <c r="O29" s="59">
        <f t="shared" si="15"/>
        <v>80.161248782405792</v>
      </c>
      <c r="P29" s="14"/>
      <c r="Q29" s="33">
        <f t="shared" si="5"/>
        <v>6.8156029966985479</v>
      </c>
      <c r="R29" s="33">
        <f t="shared" si="6"/>
        <v>1.0020469238786731</v>
      </c>
      <c r="S29" s="33">
        <f t="shared" si="7"/>
        <v>-27.112112642601126</v>
      </c>
      <c r="T29" s="33">
        <f t="shared" si="8"/>
        <v>2.358852043374263</v>
      </c>
      <c r="U29" s="74"/>
      <c r="V29" s="14">
        <v>2</v>
      </c>
      <c r="W29" s="33">
        <f t="shared" si="16"/>
        <v>6.8198962712549918</v>
      </c>
      <c r="X29" s="33">
        <f t="shared" si="9"/>
        <v>1.0052867721009235</v>
      </c>
      <c r="Y29" s="33">
        <f t="shared" si="17"/>
        <v>-27.100589219264471</v>
      </c>
      <c r="Z29" s="33">
        <f t="shared" si="10"/>
        <v>2.4356101196898048</v>
      </c>
      <c r="AB29" s="45">
        <f t="shared" si="11"/>
        <v>13.631205993397096</v>
      </c>
      <c r="AC29" s="45">
        <f t="shared" si="12"/>
        <v>13.639792542509984</v>
      </c>
      <c r="AT29" s="14"/>
      <c r="AU29" s="14"/>
      <c r="AV29" s="14"/>
      <c r="AW29" s="14"/>
      <c r="BB29" s="30"/>
      <c r="BD29" s="30">
        <v>14</v>
      </c>
      <c r="BE29" s="30">
        <f t="shared" si="19"/>
        <v>21.456827956316125</v>
      </c>
      <c r="BF29" s="50">
        <f t="shared" si="20"/>
        <v>6.559093701804608</v>
      </c>
      <c r="BG29" s="30">
        <f t="shared" si="21"/>
        <v>21.456827956316133</v>
      </c>
      <c r="BH29" s="51">
        <f t="shared" si="22"/>
        <v>6.559093701804608</v>
      </c>
      <c r="BI29" s="30"/>
      <c r="BJ29" s="30">
        <v>14</v>
      </c>
      <c r="BK29" s="30">
        <f t="shared" si="23"/>
        <v>53.430656450897274</v>
      </c>
      <c r="BL29" s="50">
        <f t="shared" si="18"/>
        <v>16.672262580358904</v>
      </c>
      <c r="BM29" s="30">
        <f t="shared" si="24"/>
        <v>53.43065645089726</v>
      </c>
      <c r="BN29" s="51">
        <f t="shared" si="25"/>
        <v>16.672262580358904</v>
      </c>
      <c r="BP29" s="30">
        <v>14</v>
      </c>
      <c r="BQ29" s="30">
        <f t="shared" si="26"/>
        <v>31.857364893995502</v>
      </c>
      <c r="BR29" s="50">
        <f t="shared" si="27"/>
        <v>9.6286306383987998</v>
      </c>
      <c r="BS29" s="30">
        <f t="shared" si="28"/>
        <v>31.857364893995509</v>
      </c>
      <c r="BT29" s="51">
        <f t="shared" si="29"/>
        <v>9.6286306383987998</v>
      </c>
      <c r="BV29" s="27">
        <f t="shared" si="1"/>
        <v>74.25</v>
      </c>
      <c r="BW29" s="30">
        <v>25</v>
      </c>
      <c r="BX29" s="30">
        <f t="shared" si="2"/>
        <v>74.25</v>
      </c>
      <c r="BY29" s="30">
        <f t="shared" si="3"/>
        <v>2.5</v>
      </c>
      <c r="BZ29" s="30"/>
      <c r="CG29" s="30"/>
    </row>
    <row r="30" spans="1:85" x14ac:dyDescent="0.3">
      <c r="A30" s="53">
        <v>16</v>
      </c>
      <c r="B30" s="14">
        <v>248.66</v>
      </c>
      <c r="C30" s="14">
        <v>216.07</v>
      </c>
      <c r="D30" s="14">
        <v>52.72</v>
      </c>
      <c r="E30" s="75"/>
      <c r="F30" s="123"/>
      <c r="G30" s="171"/>
      <c r="H30" s="195"/>
      <c r="I30" s="14">
        <v>222.88</v>
      </c>
      <c r="J30" s="14">
        <v>203.13</v>
      </c>
      <c r="K30" s="14">
        <v>154.27000000000001</v>
      </c>
      <c r="L30"/>
      <c r="M30" s="59">
        <f t="shared" si="13"/>
        <v>222.84631125619617</v>
      </c>
      <c r="N30" s="59">
        <f t="shared" si="14"/>
        <v>203.15155023900977</v>
      </c>
      <c r="O30" s="59">
        <f t="shared" si="15"/>
        <v>154.2540365370171</v>
      </c>
      <c r="P30" s="44"/>
      <c r="Q30" s="33">
        <f t="shared" si="5"/>
        <v>12.196972090554024</v>
      </c>
      <c r="R30" s="33">
        <f t="shared" si="6"/>
        <v>-4.4790447042720132</v>
      </c>
      <c r="S30" s="33">
        <f t="shared" si="7"/>
        <v>-50.934665778201932</v>
      </c>
      <c r="T30" s="33">
        <f t="shared" si="8"/>
        <v>1.9354078105463661</v>
      </c>
      <c r="U30" s="75"/>
      <c r="V30" s="14">
        <v>2</v>
      </c>
      <c r="W30" s="33">
        <f t="shared" si="16"/>
        <v>12.192321858837781</v>
      </c>
      <c r="X30" s="33">
        <f t="shared" si="9"/>
        <v>-4.4767246825127245</v>
      </c>
      <c r="Y30" s="33">
        <f t="shared" si="17"/>
        <v>-50.923332395432439</v>
      </c>
      <c r="Z30" s="33">
        <f t="shared" si="10"/>
        <v>1.8915366852113145</v>
      </c>
      <c r="AB30" s="45">
        <f t="shared" si="11"/>
        <v>24.393944181108047</v>
      </c>
      <c r="AC30" s="45">
        <f t="shared" si="12"/>
        <v>24.384643717675562</v>
      </c>
      <c r="AT30" s="14"/>
      <c r="AU30" s="14"/>
      <c r="AV30" s="14"/>
      <c r="AW30" s="14"/>
      <c r="BB30" s="30"/>
      <c r="BD30" s="30">
        <v>15</v>
      </c>
      <c r="BE30" s="30">
        <f t="shared" si="19"/>
        <v>112.4650420063227</v>
      </c>
      <c r="BF30" s="50">
        <f t="shared" si="20"/>
        <v>46.982521003161352</v>
      </c>
      <c r="BG30" s="30">
        <f t="shared" si="21"/>
        <v>112.47378150474202</v>
      </c>
      <c r="BH30" s="51">
        <f t="shared" si="22"/>
        <v>46.982521003161352</v>
      </c>
      <c r="BI30" s="30"/>
      <c r="BJ30" s="30">
        <v>15</v>
      </c>
      <c r="BK30" s="30">
        <f t="shared" si="23"/>
        <v>25.031369775804276</v>
      </c>
      <c r="BL30" s="50">
        <f t="shared" si="18"/>
        <v>7.5803913645155081</v>
      </c>
      <c r="BM30" s="30">
        <f t="shared" si="24"/>
        <v>25.031369775804279</v>
      </c>
      <c r="BN30" s="51">
        <f t="shared" si="25"/>
        <v>7.5803913645155081</v>
      </c>
      <c r="BP30" s="30">
        <v>15</v>
      </c>
      <c r="BQ30" s="30">
        <f t="shared" si="26"/>
        <v>20.586833062142567</v>
      </c>
      <c r="BR30" s="50">
        <f t="shared" si="27"/>
        <v>6.3105237320407337</v>
      </c>
      <c r="BS30" s="30">
        <f t="shared" si="28"/>
        <v>20.586833062142567</v>
      </c>
      <c r="BT30" s="51">
        <f t="shared" si="29"/>
        <v>6.3105237320407337</v>
      </c>
      <c r="BV30" s="27">
        <f t="shared" si="1"/>
        <v>76.25</v>
      </c>
      <c r="BW30" s="30">
        <v>26</v>
      </c>
      <c r="BX30" s="30">
        <f t="shared" si="2"/>
        <v>76.25</v>
      </c>
      <c r="BY30" s="30">
        <f t="shared" si="3"/>
        <v>2</v>
      </c>
      <c r="BZ30" s="30"/>
      <c r="CG30" s="30"/>
    </row>
    <row r="31" spans="1:85" x14ac:dyDescent="0.3">
      <c r="A31" s="53">
        <v>17</v>
      </c>
      <c r="B31" s="14">
        <v>210.6</v>
      </c>
      <c r="C31" s="14">
        <v>81.69</v>
      </c>
      <c r="D31" s="14">
        <v>137.55000000000001</v>
      </c>
      <c r="E31" s="76"/>
      <c r="F31" s="124"/>
      <c r="G31" s="172"/>
      <c r="H31" s="196"/>
      <c r="I31" s="14">
        <v>182.88</v>
      </c>
      <c r="J31" s="14">
        <v>111.88</v>
      </c>
      <c r="K31" s="14">
        <v>127.88</v>
      </c>
      <c r="L31"/>
      <c r="M31" s="59">
        <f t="shared" si="13"/>
        <v>182.86821445992507</v>
      </c>
      <c r="N31" s="59">
        <f t="shared" si="14"/>
        <v>111.90164929996189</v>
      </c>
      <c r="O31" s="59">
        <f t="shared" si="15"/>
        <v>127.83458846847459</v>
      </c>
      <c r="P31" s="44"/>
      <c r="Q31" s="33">
        <f t="shared" si="5"/>
        <v>8.5648000281419492</v>
      </c>
      <c r="R31" s="33">
        <f t="shared" si="6"/>
        <v>1.6452627040604</v>
      </c>
      <c r="S31" s="33">
        <f t="shared" si="7"/>
        <v>-25.813496122081201</v>
      </c>
      <c r="T31" s="33">
        <f t="shared" si="8"/>
        <v>7.6115698396565987</v>
      </c>
      <c r="U31" s="76"/>
      <c r="V31" s="14">
        <v>1</v>
      </c>
      <c r="W31" s="33">
        <f t="shared" si="16"/>
        <v>8.5805375079309414</v>
      </c>
      <c r="X31" s="33">
        <f t="shared" si="9"/>
        <v>1.6474490569222695</v>
      </c>
      <c r="Y31" s="33">
        <f t="shared" si="17"/>
        <v>-25.832774917584715</v>
      </c>
      <c r="Z31" s="33">
        <f t="shared" si="10"/>
        <v>7.6521614014361443</v>
      </c>
      <c r="AB31" s="45">
        <f t="shared" si="11"/>
        <v>8.5648000281419492</v>
      </c>
      <c r="AC31" s="45">
        <f t="shared" si="12"/>
        <v>8.5805375079309414</v>
      </c>
      <c r="AT31" s="14"/>
      <c r="AU31" s="14"/>
      <c r="AV31" s="14"/>
      <c r="AW31" s="14"/>
      <c r="BB31" s="30"/>
      <c r="BD31" s="30">
        <v>16</v>
      </c>
      <c r="BE31" s="30">
        <f t="shared" si="19"/>
        <v>187.93860055535984</v>
      </c>
      <c r="BF31" s="50">
        <f t="shared" si="20"/>
        <v>120.91813407381309</v>
      </c>
      <c r="BG31" s="30">
        <f t="shared" si="21"/>
        <v>187.93860055535981</v>
      </c>
      <c r="BH31" s="51">
        <f t="shared" si="22"/>
        <v>120.91813407381309</v>
      </c>
      <c r="BI31" s="30"/>
      <c r="BJ31" s="30">
        <v>16</v>
      </c>
      <c r="BK31" s="30">
        <f t="shared" si="23"/>
        <v>152.50547825850057</v>
      </c>
      <c r="BL31" s="50">
        <f t="shared" si="18"/>
        <v>79.005478258500574</v>
      </c>
      <c r="BM31" s="30">
        <f t="shared" si="24"/>
        <v>152.50547825850057</v>
      </c>
      <c r="BN31" s="51">
        <f t="shared" si="25"/>
        <v>79.005478258500574</v>
      </c>
      <c r="BP31" s="30">
        <v>16</v>
      </c>
      <c r="BQ31" s="30">
        <f t="shared" si="26"/>
        <v>82.719662995775607</v>
      </c>
      <c r="BR31" s="50">
        <f t="shared" si="27"/>
        <v>29.234831497887797</v>
      </c>
      <c r="BS31" s="30">
        <f t="shared" si="28"/>
        <v>82.719662995775593</v>
      </c>
      <c r="BT31" s="51">
        <f t="shared" si="29"/>
        <v>29.234831497887797</v>
      </c>
      <c r="BV31" s="27">
        <f t="shared" si="1"/>
        <v>78.25</v>
      </c>
      <c r="BW31" s="30">
        <v>27</v>
      </c>
      <c r="BX31" s="30">
        <f t="shared" si="2"/>
        <v>78.25</v>
      </c>
      <c r="BY31" s="30">
        <f t="shared" si="3"/>
        <v>2</v>
      </c>
      <c r="BZ31" s="30"/>
      <c r="CG31" s="30"/>
    </row>
    <row r="32" spans="1:85" x14ac:dyDescent="0.3">
      <c r="A32" s="53">
        <v>18</v>
      </c>
      <c r="B32" s="14">
        <v>0.3</v>
      </c>
      <c r="C32" s="14">
        <v>109.91</v>
      </c>
      <c r="D32" s="14">
        <v>174.28</v>
      </c>
      <c r="E32" s="77"/>
      <c r="F32" s="125"/>
      <c r="G32" s="173"/>
      <c r="H32" s="197"/>
      <c r="I32" s="14">
        <v>53.67</v>
      </c>
      <c r="J32" s="14">
        <v>104.66</v>
      </c>
      <c r="K32" s="14">
        <v>135.66</v>
      </c>
      <c r="L32"/>
      <c r="M32" s="59">
        <f t="shared" si="13"/>
        <v>53.624311231612836</v>
      </c>
      <c r="N32" s="59">
        <f t="shared" si="14"/>
        <v>104.666819697422</v>
      </c>
      <c r="O32" s="59">
        <f t="shared" si="15"/>
        <v>135.67405990517344</v>
      </c>
      <c r="P32" s="44"/>
      <c r="Q32" s="33">
        <f t="shared" si="5"/>
        <v>8.5663826909882399</v>
      </c>
      <c r="R32" s="33">
        <f t="shared" si="6"/>
        <v>-2.4002369441930824</v>
      </c>
      <c r="S32" s="33">
        <f t="shared" si="7"/>
        <v>-18.091018756992302</v>
      </c>
      <c r="T32" s="33">
        <f t="shared" si="8"/>
        <v>8.5684480682495749</v>
      </c>
      <c r="U32" s="77"/>
      <c r="V32" s="14">
        <v>0</v>
      </c>
      <c r="W32" s="33">
        <f t="shared" si="16"/>
        <v>8.5674763507026483</v>
      </c>
      <c r="X32" s="33">
        <f t="shared" si="9"/>
        <v>-2.3994256526071496</v>
      </c>
      <c r="Y32" s="33">
        <f t="shared" si="17"/>
        <v>-18.08121967086959</v>
      </c>
      <c r="Z32" s="33">
        <f t="shared" si="10"/>
        <v>8.5785400414381741</v>
      </c>
      <c r="AB32" s="45">
        <f t="shared" si="11"/>
        <v>0</v>
      </c>
      <c r="AC32" s="45">
        <f t="shared" si="12"/>
        <v>0</v>
      </c>
      <c r="AT32" s="14"/>
      <c r="AU32" s="14"/>
      <c r="AV32" s="14"/>
      <c r="AW32" s="14"/>
      <c r="BB32" s="30"/>
      <c r="BD32" s="30">
        <v>17</v>
      </c>
      <c r="BE32" s="30">
        <f t="shared" si="19"/>
        <v>120.57410046710244</v>
      </c>
      <c r="BF32" s="50">
        <f t="shared" si="20"/>
        <v>52.382733644734969</v>
      </c>
      <c r="BG32" s="30">
        <f t="shared" si="21"/>
        <v>120.57410046710245</v>
      </c>
      <c r="BH32" s="51">
        <f t="shared" si="22"/>
        <v>52.382733644734969</v>
      </c>
      <c r="BI32" s="30"/>
      <c r="BJ32" s="30">
        <v>17</v>
      </c>
      <c r="BK32" s="30">
        <f t="shared" si="23"/>
        <v>41.223132470421255</v>
      </c>
      <c r="BL32" s="50">
        <f t="shared" si="18"/>
        <v>12.491044156807085</v>
      </c>
      <c r="BM32" s="30">
        <f t="shared" si="24"/>
        <v>41.223132470421262</v>
      </c>
      <c r="BN32" s="51">
        <f t="shared" si="25"/>
        <v>12.491044156807085</v>
      </c>
      <c r="BP32" s="30">
        <v>17</v>
      </c>
      <c r="BQ32" s="30">
        <f t="shared" si="26"/>
        <v>54.932873787620665</v>
      </c>
      <c r="BR32" s="50">
        <f t="shared" si="27"/>
        <v>17.27314951504826</v>
      </c>
      <c r="BS32" s="30">
        <f t="shared" si="28"/>
        <v>54.93287378762065</v>
      </c>
      <c r="BT32" s="51">
        <f t="shared" si="29"/>
        <v>17.27314951504826</v>
      </c>
      <c r="BV32" s="27">
        <f t="shared" si="1"/>
        <v>80.25</v>
      </c>
      <c r="BW32" s="30">
        <v>28</v>
      </c>
      <c r="BX32" s="30">
        <f t="shared" si="2"/>
        <v>80.25</v>
      </c>
      <c r="BY32" s="30">
        <f t="shared" si="3"/>
        <v>2</v>
      </c>
      <c r="BZ32" s="30"/>
      <c r="CG32" s="30"/>
    </row>
    <row r="33" spans="1:85" x14ac:dyDescent="0.3">
      <c r="A33" s="53">
        <v>19</v>
      </c>
      <c r="B33" s="14">
        <v>236.43</v>
      </c>
      <c r="C33" s="14">
        <v>231.43</v>
      </c>
      <c r="D33" s="14">
        <v>225.43</v>
      </c>
      <c r="E33" s="78"/>
      <c r="F33" s="126"/>
      <c r="G33" s="174"/>
      <c r="H33" s="198"/>
      <c r="I33" s="14">
        <v>233.31</v>
      </c>
      <c r="J33" s="14">
        <v>229.31</v>
      </c>
      <c r="K33" s="14">
        <v>226.31</v>
      </c>
      <c r="L33"/>
      <c r="M33" s="59">
        <f t="shared" si="13"/>
        <v>233.26831431423204</v>
      </c>
      <c r="N33" s="59">
        <f t="shared" si="14"/>
        <v>229.33213663495306</v>
      </c>
      <c r="O33" s="59">
        <f t="shared" si="15"/>
        <v>226.30781557460554</v>
      </c>
      <c r="P33" s="44"/>
      <c r="Q33" s="33">
        <f t="shared" si="5"/>
        <v>1.5752077018571371</v>
      </c>
      <c r="R33" s="33">
        <f t="shared" si="6"/>
        <v>-0.74755400973489827</v>
      </c>
      <c r="S33" s="33">
        <f t="shared" si="7"/>
        <v>-1.4633600327966989</v>
      </c>
      <c r="T33" s="33">
        <f t="shared" si="8"/>
        <v>0.60768408500666971</v>
      </c>
      <c r="U33" s="78"/>
      <c r="V33" s="14">
        <v>1</v>
      </c>
      <c r="W33" s="33">
        <f t="shared" si="16"/>
        <v>1.5670125211999226</v>
      </c>
      <c r="X33" s="33">
        <f t="shared" si="9"/>
        <v>-0.74523821065854179</v>
      </c>
      <c r="Y33" s="33">
        <f t="shared" si="17"/>
        <v>-1.4696813988899922</v>
      </c>
      <c r="Z33" s="33">
        <f t="shared" si="10"/>
        <v>0.57380944069457529</v>
      </c>
      <c r="AB33" s="45">
        <f t="shared" si="11"/>
        <v>1.5752077018571371</v>
      </c>
      <c r="AC33" s="45">
        <f t="shared" si="12"/>
        <v>1.5670125211999226</v>
      </c>
      <c r="AU33" s="14"/>
      <c r="AV33" s="14"/>
      <c r="AW33" s="14"/>
      <c r="AZ33" s="30"/>
      <c r="BD33" s="30">
        <v>18</v>
      </c>
      <c r="BE33" s="30">
        <f t="shared" si="19"/>
        <v>9.2976601229872404</v>
      </c>
      <c r="BF33" s="50">
        <f t="shared" si="20"/>
        <v>2.5992200409957462</v>
      </c>
      <c r="BG33" s="30">
        <f t="shared" si="21"/>
        <v>9.2976601229872387</v>
      </c>
      <c r="BH33" s="51">
        <f t="shared" si="22"/>
        <v>2.5992200409957462</v>
      </c>
      <c r="BI33" s="30"/>
      <c r="BJ33" s="30">
        <v>18</v>
      </c>
      <c r="BK33" s="30">
        <f t="shared" si="23"/>
        <v>35.775675789958491</v>
      </c>
      <c r="BL33" s="50">
        <f t="shared" si="18"/>
        <v>10.721621654273854</v>
      </c>
      <c r="BM33" s="30">
        <f t="shared" si="24"/>
        <v>35.775675789958484</v>
      </c>
      <c r="BN33" s="51">
        <f t="shared" si="25"/>
        <v>10.721621654273854</v>
      </c>
      <c r="BP33" s="30">
        <v>18</v>
      </c>
      <c r="BQ33" s="30">
        <f t="shared" si="26"/>
        <v>62.440406293046145</v>
      </c>
      <c r="BR33" s="50">
        <f t="shared" si="27"/>
        <v>20.076162517218453</v>
      </c>
      <c r="BS33" s="30">
        <f t="shared" si="28"/>
        <v>62.440406293046124</v>
      </c>
      <c r="BT33" s="51">
        <f t="shared" si="29"/>
        <v>20.076162517218453</v>
      </c>
      <c r="BV33" s="27">
        <f t="shared" si="1"/>
        <v>82.25</v>
      </c>
      <c r="BW33" s="30">
        <v>29</v>
      </c>
      <c r="BX33" s="30">
        <f t="shared" si="2"/>
        <v>82.25</v>
      </c>
      <c r="BY33" s="30">
        <f t="shared" si="3"/>
        <v>2</v>
      </c>
      <c r="BZ33" s="30"/>
      <c r="CG33" s="30"/>
    </row>
    <row r="34" spans="1:85" x14ac:dyDescent="0.3">
      <c r="A34" s="53">
        <v>20</v>
      </c>
      <c r="B34" s="14">
        <v>205.97</v>
      </c>
      <c r="C34" s="14">
        <v>202.8</v>
      </c>
      <c r="D34" s="14">
        <v>197.11</v>
      </c>
      <c r="E34" s="79"/>
      <c r="F34" s="127"/>
      <c r="G34" s="175"/>
      <c r="H34" s="199"/>
      <c r="I34" s="14">
        <v>195.95</v>
      </c>
      <c r="J34" s="14">
        <v>192.16</v>
      </c>
      <c r="K34" s="14">
        <v>190.05</v>
      </c>
      <c r="L34"/>
      <c r="M34" s="59">
        <f t="shared" si="13"/>
        <v>195.91477291484122</v>
      </c>
      <c r="N34" s="59">
        <f t="shared" si="14"/>
        <v>192.17879935417648</v>
      </c>
      <c r="O34" s="59">
        <f t="shared" si="15"/>
        <v>190.04793317729539</v>
      </c>
      <c r="P34" s="44"/>
      <c r="Q34" s="33">
        <f t="shared" si="5"/>
        <v>4.0913965104285053</v>
      </c>
      <c r="R34" s="33">
        <f t="shared" si="6"/>
        <v>-3.7098635560153639</v>
      </c>
      <c r="S34" s="33">
        <f t="shared" si="7"/>
        <v>-1.4218816998329447</v>
      </c>
      <c r="T34" s="33">
        <f t="shared" si="8"/>
        <v>1.255287419399912</v>
      </c>
      <c r="U34" s="79"/>
      <c r="V34" s="14">
        <v>1</v>
      </c>
      <c r="W34" s="33">
        <f t="shared" si="16"/>
        <v>4.0834167221477768</v>
      </c>
      <c r="X34" s="33">
        <f t="shared" si="9"/>
        <v>-3.7078317860400745</v>
      </c>
      <c r="Y34" s="33">
        <f t="shared" si="17"/>
        <v>-1.4305774197070797</v>
      </c>
      <c r="Z34" s="33">
        <f t="shared" si="10"/>
        <v>1.2246742588755499</v>
      </c>
      <c r="AB34" s="45">
        <f t="shared" si="11"/>
        <v>4.0913965104285053</v>
      </c>
      <c r="AC34" s="45">
        <f t="shared" si="12"/>
        <v>4.0834167221477768</v>
      </c>
      <c r="AD34" s="33"/>
      <c r="AG34" s="7"/>
      <c r="AH34" s="7"/>
      <c r="AI34" s="7"/>
      <c r="AU34" s="14"/>
      <c r="AV34" s="14"/>
      <c r="AW34" s="14"/>
      <c r="BD34" s="30">
        <v>19</v>
      </c>
      <c r="BE34" s="30">
        <f t="shared" si="19"/>
        <v>208.41224376008449</v>
      </c>
      <c r="BF34" s="50">
        <f>IF(BE60=BF60,BG60,((BH60-BG60)*BE34)/(BF60-BE60)+BG60-(BE60*((BH60-BG60)/(BF60-BE60))))</f>
        <v>153.21632501344601</v>
      </c>
      <c r="BG34" s="30">
        <f t="shared" si="21"/>
        <v>208.41224376008449</v>
      </c>
      <c r="BH34" s="51">
        <f t="shared" si="22"/>
        <v>153.21632501344601</v>
      </c>
      <c r="BI34" s="30"/>
      <c r="BJ34" s="30">
        <v>19</v>
      </c>
      <c r="BK34" s="30">
        <f t="shared" si="23"/>
        <v>200.41436005192082</v>
      </c>
      <c r="BL34" s="50">
        <f>IF(BK60=BL60,BM60,((BN60-BM60)*BK34)/(BL60-BK60)+BM60-(BK60*((BN60-BM60)/(BL60-BK60))))</f>
        <v>139.55248006922778</v>
      </c>
      <c r="BM34" s="30">
        <f t="shared" si="24"/>
        <v>200.41436005192082</v>
      </c>
      <c r="BN34" s="51">
        <f t="shared" si="25"/>
        <v>139.55248006922778</v>
      </c>
      <c r="BP34" s="30">
        <v>19</v>
      </c>
      <c r="BQ34" s="30">
        <f t="shared" si="26"/>
        <v>194.53542425570586</v>
      </c>
      <c r="BR34" s="50">
        <f>IF(BQ60=BR60,BS60,((BT60-BS60)*BQ34)/(BR60-BQ60)+BS60-(BQ60*((BT60-BS60)/(BR60-BQ60))))</f>
        <v>130.71389900760784</v>
      </c>
      <c r="BS34" s="30">
        <f t="shared" si="28"/>
        <v>194.53542425570589</v>
      </c>
      <c r="BT34" s="51">
        <f t="shared" si="29"/>
        <v>130.71389900760784</v>
      </c>
      <c r="BV34" s="27">
        <f t="shared" si="1"/>
        <v>84.25</v>
      </c>
      <c r="BW34" s="30">
        <v>30</v>
      </c>
      <c r="BX34" s="30">
        <f t="shared" si="2"/>
        <v>84.25</v>
      </c>
      <c r="BY34" s="30">
        <f t="shared" si="3"/>
        <v>2</v>
      </c>
      <c r="BZ34" s="30"/>
      <c r="CG34" s="30"/>
    </row>
    <row r="35" spans="1:85" x14ac:dyDescent="0.3">
      <c r="A35" s="53">
        <v>21</v>
      </c>
      <c r="B35" s="14">
        <v>162.65</v>
      </c>
      <c r="C35" s="14">
        <v>159.65</v>
      </c>
      <c r="D35" s="14">
        <v>154.65</v>
      </c>
      <c r="E35" s="80"/>
      <c r="F35" s="128"/>
      <c r="G35" s="176"/>
      <c r="H35" s="200"/>
      <c r="I35" s="14">
        <v>149.31</v>
      </c>
      <c r="J35" s="14">
        <v>148.31</v>
      </c>
      <c r="K35" s="14">
        <v>146.07</v>
      </c>
      <c r="L35"/>
      <c r="M35" s="59">
        <f t="shared" si="13"/>
        <v>149.28179141245352</v>
      </c>
      <c r="N35" s="59">
        <f t="shared" si="14"/>
        <v>148.32459315287667</v>
      </c>
      <c r="O35" s="59">
        <f t="shared" si="15"/>
        <v>146.06945840853427</v>
      </c>
      <c r="P35" s="44"/>
      <c r="Q35" s="33">
        <f t="shared" si="5"/>
        <v>4.6341349789885715</v>
      </c>
      <c r="R35" s="33">
        <f t="shared" si="6"/>
        <v>-4.3875905008378737</v>
      </c>
      <c r="S35" s="33">
        <f t="shared" si="7"/>
        <v>-1.679090126226501</v>
      </c>
      <c r="T35" s="33">
        <f t="shared" si="8"/>
        <v>0.19186522918839963</v>
      </c>
      <c r="U35" s="80"/>
      <c r="V35" s="14">
        <v>1</v>
      </c>
      <c r="W35" s="33">
        <f t="shared" si="16"/>
        <v>4.6327639178394016</v>
      </c>
      <c r="X35" s="33">
        <f t="shared" si="9"/>
        <v>-4.385931983029522</v>
      </c>
      <c r="Y35" s="33">
        <f t="shared" si="17"/>
        <v>-1.6757351902441793</v>
      </c>
      <c r="Z35" s="33">
        <f t="shared" si="10"/>
        <v>0.21993987479287319</v>
      </c>
      <c r="AB35" s="45">
        <f t="shared" si="11"/>
        <v>4.6341349789885715</v>
      </c>
      <c r="AC35" s="45">
        <f t="shared" si="12"/>
        <v>4.6327639178394016</v>
      </c>
      <c r="AD35" s="33"/>
      <c r="AG35" s="7"/>
      <c r="AH35" s="7"/>
      <c r="AI35" s="7"/>
      <c r="AU35" s="14"/>
      <c r="AV35" s="14"/>
      <c r="AW35" s="14"/>
      <c r="BD35" s="30">
        <v>20</v>
      </c>
      <c r="BE35" s="30">
        <f t="shared" si="19"/>
        <v>140.68249441542511</v>
      </c>
      <c r="BF35" s="50">
        <f t="shared" ref="BF35:BF39" si="30">IF(BE61=BF61,BG61,((BH61-BG61)*BE35)/(BF61-BE61)+BG61-(BE61*((BH61-BG61)/(BF61-BE61))))</f>
        <v>67.788329610283427</v>
      </c>
      <c r="BG35" s="30">
        <f t="shared" si="21"/>
        <v>140.68249441542514</v>
      </c>
      <c r="BH35" s="51">
        <f t="shared" si="22"/>
        <v>67.788329610283427</v>
      </c>
      <c r="BI35" s="30"/>
      <c r="BJ35" s="30">
        <v>20</v>
      </c>
      <c r="BK35" s="30">
        <f t="shared" si="23"/>
        <v>134.66502165973787</v>
      </c>
      <c r="BL35" s="50">
        <f t="shared" ref="BL35:BL39" si="31">IF(BK61=BL61,BM61,((BN61-BM61)*BK35)/(BL61-BK61)+BM61-(BK61*((BN61-BM61)/(BL61-BK61))))</f>
        <v>63.165021659737874</v>
      </c>
      <c r="BM35" s="30">
        <f t="shared" si="24"/>
        <v>134.66502165973787</v>
      </c>
      <c r="BN35" s="51">
        <f t="shared" si="25"/>
        <v>63.165021659737874</v>
      </c>
      <c r="BP35" s="30">
        <v>20</v>
      </c>
      <c r="BQ35" s="30">
        <f t="shared" si="26"/>
        <v>131.38124610532418</v>
      </c>
      <c r="BR35" s="50">
        <f t="shared" ref="BR35:BR39" si="32">IF(BQ61=BR61,BS61,((BT61-BS61)*BQ35)/(BR61-BQ61)+BS61-(BQ61*((BT61-BS61)/(BR61-BQ61))))</f>
        <v>60.38124610532418</v>
      </c>
      <c r="BS35" s="30">
        <f t="shared" si="28"/>
        <v>131.38124610532418</v>
      </c>
      <c r="BT35" s="51">
        <f t="shared" si="29"/>
        <v>60.38124610532418</v>
      </c>
      <c r="BV35" s="27">
        <f t="shared" si="1"/>
        <v>86.25</v>
      </c>
      <c r="BW35" s="30">
        <v>31</v>
      </c>
      <c r="BX35" s="30">
        <f t="shared" si="2"/>
        <v>86.25</v>
      </c>
      <c r="BY35" s="30">
        <f t="shared" si="3"/>
        <v>2</v>
      </c>
      <c r="BZ35" s="30"/>
      <c r="CG35" s="30"/>
    </row>
    <row r="36" spans="1:85" x14ac:dyDescent="0.3">
      <c r="A36" s="53">
        <v>22</v>
      </c>
      <c r="B36" s="14">
        <v>101.6</v>
      </c>
      <c r="C36" s="14">
        <v>100.6</v>
      </c>
      <c r="D36" s="14">
        <v>96.6</v>
      </c>
      <c r="E36" s="81"/>
      <c r="F36" s="129"/>
      <c r="G36" s="177">
        <v>0.18</v>
      </c>
      <c r="H36" s="201"/>
      <c r="I36" s="14">
        <v>95.91</v>
      </c>
      <c r="J36" s="14">
        <v>94.91</v>
      </c>
      <c r="K36" s="14">
        <v>92.47</v>
      </c>
      <c r="L36"/>
      <c r="M36" s="59">
        <f t="shared" si="13"/>
        <v>95.891149953327073</v>
      </c>
      <c r="N36" s="59">
        <f t="shared" si="14"/>
        <v>94.919827025851873</v>
      </c>
      <c r="O36" s="59">
        <f t="shared" si="15"/>
        <v>92.469449636383004</v>
      </c>
      <c r="P36" s="44"/>
      <c r="Q36" s="33">
        <f t="shared" si="5"/>
        <v>2.4419811432762204</v>
      </c>
      <c r="R36" s="33">
        <f t="shared" si="6"/>
        <v>-2.295198101045365</v>
      </c>
      <c r="S36" s="33">
        <f t="shared" si="7"/>
        <v>-0.89969595286096804</v>
      </c>
      <c r="T36" s="33">
        <f t="shared" si="8"/>
        <v>0.20175468530349072</v>
      </c>
      <c r="U36" s="81"/>
      <c r="V36" s="14">
        <v>1</v>
      </c>
      <c r="W36" s="33">
        <f t="shared" si="16"/>
        <v>2.4387665035795099</v>
      </c>
      <c r="X36" s="33">
        <f t="shared" si="9"/>
        <v>-2.2939879393680656</v>
      </c>
      <c r="Y36" s="33">
        <f t="shared" si="17"/>
        <v>-0.89686405606782515</v>
      </c>
      <c r="Z36" s="33">
        <f t="shared" si="10"/>
        <v>0.18507940692900116</v>
      </c>
      <c r="AB36" s="45">
        <f t="shared" si="11"/>
        <v>2.4419811432762204</v>
      </c>
      <c r="AC36" s="45">
        <f t="shared" si="12"/>
        <v>2.4387665035795099</v>
      </c>
      <c r="AD36" s="33"/>
      <c r="AG36" s="7"/>
      <c r="AH36" s="7"/>
      <c r="AI36" s="7"/>
      <c r="AU36" s="14"/>
      <c r="AV36" s="14"/>
      <c r="AW36" s="14"/>
      <c r="BD36" s="30">
        <v>21</v>
      </c>
      <c r="BE36" s="30">
        <f t="shared" si="19"/>
        <v>76.988890457347921</v>
      </c>
      <c r="BF36" s="50">
        <f t="shared" si="30"/>
        <v>26.369445228673953</v>
      </c>
      <c r="BG36" s="30">
        <f t="shared" si="21"/>
        <v>76.988890457347907</v>
      </c>
      <c r="BH36" s="51">
        <f t="shared" si="22"/>
        <v>26.369445228673953</v>
      </c>
      <c r="BI36" s="30"/>
      <c r="BJ36" s="30">
        <v>21</v>
      </c>
      <c r="BK36" s="30">
        <f t="shared" si="23"/>
        <v>75.862480891323784</v>
      </c>
      <c r="BL36" s="50">
        <f t="shared" si="31"/>
        <v>25.806240445661892</v>
      </c>
      <c r="BM36" s="30">
        <f t="shared" si="24"/>
        <v>75.862480891323784</v>
      </c>
      <c r="BN36" s="51">
        <f t="shared" si="25"/>
        <v>25.806240445661892</v>
      </c>
      <c r="BP36" s="30">
        <v>21</v>
      </c>
      <c r="BQ36" s="30">
        <f t="shared" si="26"/>
        <v>73.374387444897039</v>
      </c>
      <c r="BR36" s="50">
        <f t="shared" si="32"/>
        <v>24.649754977958814</v>
      </c>
      <c r="BS36" s="30">
        <f t="shared" si="28"/>
        <v>73.374387444897025</v>
      </c>
      <c r="BT36" s="51">
        <f t="shared" si="29"/>
        <v>24.649754977958814</v>
      </c>
      <c r="BV36" s="27">
        <f t="shared" si="1"/>
        <v>87.75</v>
      </c>
      <c r="BW36" s="30">
        <v>32</v>
      </c>
      <c r="BX36" s="30">
        <f t="shared" si="2"/>
        <v>87.75</v>
      </c>
      <c r="BY36" s="30">
        <f t="shared" si="3"/>
        <v>1.5</v>
      </c>
      <c r="BZ36" s="30"/>
      <c r="CG36" s="30"/>
    </row>
    <row r="37" spans="1:85" x14ac:dyDescent="0.3">
      <c r="A37" s="53">
        <v>23</v>
      </c>
      <c r="B37" s="14">
        <v>53.81</v>
      </c>
      <c r="C37" s="14">
        <v>54.16</v>
      </c>
      <c r="D37" s="14">
        <v>53.99</v>
      </c>
      <c r="E37" s="82"/>
      <c r="F37" s="130"/>
      <c r="G37" s="178"/>
      <c r="H37" s="202"/>
      <c r="I37" s="14">
        <v>47.41</v>
      </c>
      <c r="J37" s="14">
        <v>47.41</v>
      </c>
      <c r="K37" s="14">
        <v>47.38</v>
      </c>
      <c r="L37"/>
      <c r="M37" s="59">
        <f t="shared" si="13"/>
        <v>47.399232290168271</v>
      </c>
      <c r="N37" s="59">
        <f t="shared" si="14"/>
        <v>47.415483528636749</v>
      </c>
      <c r="O37" s="59">
        <f t="shared" si="15"/>
        <v>47.380001034223476</v>
      </c>
      <c r="P37" s="44"/>
      <c r="Q37" s="33">
        <f t="shared" si="5"/>
        <v>3.062865762829722</v>
      </c>
      <c r="R37" s="33">
        <f t="shared" si="6"/>
        <v>-3.0572773234898065</v>
      </c>
      <c r="S37" s="33">
        <f t="shared" si="7"/>
        <v>-0.17494943637568464</v>
      </c>
      <c r="T37" s="33">
        <f t="shared" si="8"/>
        <v>6.4388564526449615E-2</v>
      </c>
      <c r="U37" s="82"/>
      <c r="V37" s="14">
        <v>1</v>
      </c>
      <c r="W37" s="33">
        <f t="shared" si="16"/>
        <v>3.0616099078887333</v>
      </c>
      <c r="X37" s="33">
        <f t="shared" si="9"/>
        <v>-3.0565208248895104</v>
      </c>
      <c r="Y37" s="33">
        <f t="shared" si="17"/>
        <v>-0.17100352666073929</v>
      </c>
      <c r="Z37" s="33">
        <f t="shared" si="10"/>
        <v>4.9102510391683576E-2</v>
      </c>
      <c r="AB37" s="45">
        <f t="shared" si="11"/>
        <v>3.062865762829722</v>
      </c>
      <c r="AC37" s="45">
        <f t="shared" si="12"/>
        <v>3.0616099078887333</v>
      </c>
      <c r="AD37" s="33"/>
      <c r="AG37" s="7"/>
      <c r="AH37" s="7"/>
      <c r="AI37" s="7"/>
      <c r="AU37" s="14"/>
      <c r="AV37" s="14"/>
      <c r="AW37" s="14"/>
      <c r="BD37" s="30">
        <v>22</v>
      </c>
      <c r="BE37" s="30">
        <f t="shared" si="19"/>
        <v>29.7689967093627</v>
      </c>
      <c r="BF37" s="50">
        <f t="shared" si="30"/>
        <v>9.0717324558300518</v>
      </c>
      <c r="BG37" s="30">
        <f t="shared" si="21"/>
        <v>29.768996709362696</v>
      </c>
      <c r="BH37" s="51">
        <f t="shared" si="22"/>
        <v>9.0717324558300518</v>
      </c>
      <c r="BI37" s="30"/>
      <c r="BJ37" s="30">
        <v>22</v>
      </c>
      <c r="BK37" s="30">
        <f t="shared" si="23"/>
        <v>29.123240380449879</v>
      </c>
      <c r="BL37" s="50">
        <f t="shared" si="31"/>
        <v>8.8744134601499631</v>
      </c>
      <c r="BM37" s="30">
        <f t="shared" si="24"/>
        <v>29.123240380449886</v>
      </c>
      <c r="BN37" s="51">
        <f t="shared" si="25"/>
        <v>8.8744134601499631</v>
      </c>
      <c r="BP37" s="30">
        <v>22</v>
      </c>
      <c r="BQ37" s="30">
        <f t="shared" si="26"/>
        <v>27.58214055150393</v>
      </c>
      <c r="BR37" s="50">
        <f t="shared" si="32"/>
        <v>8.3607135171679765</v>
      </c>
      <c r="BS37" s="30">
        <f t="shared" si="28"/>
        <v>27.582140551503926</v>
      </c>
      <c r="BT37" s="51">
        <f t="shared" si="29"/>
        <v>8.3607135171679765</v>
      </c>
      <c r="BV37" s="27">
        <f t="shared" si="1"/>
        <v>89.25</v>
      </c>
      <c r="BW37" s="30">
        <v>33</v>
      </c>
      <c r="BX37" s="30">
        <f t="shared" si="2"/>
        <v>89.25</v>
      </c>
      <c r="BY37" s="30">
        <f t="shared" si="3"/>
        <v>1.5</v>
      </c>
      <c r="BZ37" s="30"/>
      <c r="CG37" s="30"/>
    </row>
    <row r="38" spans="1:85" x14ac:dyDescent="0.3">
      <c r="A38" s="53">
        <v>24</v>
      </c>
      <c r="B38" s="14">
        <v>14.83</v>
      </c>
      <c r="C38" s="14">
        <v>14.83</v>
      </c>
      <c r="D38" s="14">
        <v>14.83</v>
      </c>
      <c r="E38" s="83"/>
      <c r="F38" s="131"/>
      <c r="G38" s="179"/>
      <c r="H38" s="203"/>
      <c r="I38" s="14">
        <v>12.38</v>
      </c>
      <c r="J38" s="14">
        <v>12.38</v>
      </c>
      <c r="K38" s="14">
        <v>13.36</v>
      </c>
      <c r="L38"/>
      <c r="M38" s="59">
        <f t="shared" si="13"/>
        <v>12.375371996775344</v>
      </c>
      <c r="N38" s="59">
        <f t="shared" si="14"/>
        <v>12.382356841762071</v>
      </c>
      <c r="O38" s="59">
        <f t="shared" si="15"/>
        <v>13.360000422114798</v>
      </c>
      <c r="P38" s="44"/>
      <c r="Q38" s="33">
        <f t="shared" si="5"/>
        <v>0.9181039213416704</v>
      </c>
      <c r="R38" s="33">
        <f t="shared" si="6"/>
        <v>-0.79336938054193951</v>
      </c>
      <c r="S38" s="33">
        <f t="shared" si="7"/>
        <v>0.46135847717268669</v>
      </c>
      <c r="T38" s="33">
        <f t="shared" si="8"/>
        <v>2.5580122151844388E-2</v>
      </c>
      <c r="U38" s="83"/>
      <c r="V38" s="14">
        <v>1</v>
      </c>
      <c r="W38" s="33">
        <f t="shared" si="16"/>
        <v>0.91735815249032138</v>
      </c>
      <c r="X38" s="33">
        <f t="shared" si="9"/>
        <v>-0.79315013422887048</v>
      </c>
      <c r="Y38" s="33">
        <f t="shared" si="17"/>
        <v>0.46024647893901982</v>
      </c>
      <c r="Z38" s="33">
        <f t="shared" si="10"/>
        <v>2.5652450492951718E-2</v>
      </c>
      <c r="AB38" s="45">
        <f t="shared" si="11"/>
        <v>0.9181039213416704</v>
      </c>
      <c r="AC38" s="45">
        <f t="shared" si="12"/>
        <v>0.91735815249032138</v>
      </c>
      <c r="AD38" s="33"/>
      <c r="AU38" s="14"/>
      <c r="AV38" s="14"/>
      <c r="AW38" s="14"/>
      <c r="BD38" s="30">
        <v>23</v>
      </c>
      <c r="BE38" s="30">
        <f t="shared" si="19"/>
        <v>7.3660712361565945</v>
      </c>
      <c r="BF38" s="50">
        <f t="shared" si="30"/>
        <v>1.955357078718865</v>
      </c>
      <c r="BG38" s="30">
        <f t="shared" si="21"/>
        <v>7.3660712361565945</v>
      </c>
      <c r="BH38" s="51">
        <f t="shared" si="22"/>
        <v>1.955357078718865</v>
      </c>
      <c r="BI38" s="30"/>
      <c r="BJ38" s="30">
        <v>23</v>
      </c>
      <c r="BK38" s="30">
        <f t="shared" si="23"/>
        <v>7.3660712361565945</v>
      </c>
      <c r="BL38" s="50">
        <f t="shared" si="31"/>
        <v>1.955357078718865</v>
      </c>
      <c r="BM38" s="30">
        <f t="shared" si="24"/>
        <v>7.3660712361565945</v>
      </c>
      <c r="BN38" s="51">
        <f t="shared" si="25"/>
        <v>1.955357078718865</v>
      </c>
      <c r="BP38" s="30">
        <v>23</v>
      </c>
      <c r="BQ38" s="30">
        <f t="shared" si="26"/>
        <v>7.3574413696042233</v>
      </c>
      <c r="BR38" s="50">
        <f t="shared" si="32"/>
        <v>1.9524804565347411</v>
      </c>
      <c r="BS38" s="30">
        <f t="shared" si="28"/>
        <v>7.3574413696042242</v>
      </c>
      <c r="BT38" s="51">
        <f t="shared" si="29"/>
        <v>1.9524804565347411</v>
      </c>
      <c r="BV38" s="27">
        <f t="shared" si="1"/>
        <v>91.25</v>
      </c>
      <c r="BW38" s="30">
        <v>34</v>
      </c>
      <c r="BX38" s="30">
        <f t="shared" si="2"/>
        <v>91.25</v>
      </c>
      <c r="BY38" s="30">
        <f t="shared" si="3"/>
        <v>2</v>
      </c>
      <c r="BZ38" s="30"/>
      <c r="CG38" s="30"/>
    </row>
    <row r="39" spans="1:85" x14ac:dyDescent="0.3">
      <c r="A39"/>
      <c r="L39"/>
      <c r="N39"/>
      <c r="O39"/>
      <c r="P39"/>
      <c r="Q39"/>
      <c r="R39"/>
      <c r="S39"/>
      <c r="V39"/>
      <c r="W39"/>
      <c r="X39"/>
      <c r="Y39"/>
      <c r="AA39"/>
      <c r="AB39"/>
      <c r="AC39"/>
      <c r="AD39"/>
      <c r="AK39"/>
      <c r="AS39"/>
      <c r="AT39"/>
      <c r="BD39" s="30">
        <v>24</v>
      </c>
      <c r="BE39" s="30">
        <f t="shared" si="19"/>
        <v>0.97069916635954823</v>
      </c>
      <c r="BF39" s="50">
        <f t="shared" si="30"/>
        <v>0.21571092585767737</v>
      </c>
      <c r="BG39" s="30">
        <f t="shared" si="21"/>
        <v>0.97069916635954812</v>
      </c>
      <c r="BH39" s="51">
        <f t="shared" si="22"/>
        <v>0.21571092585767737</v>
      </c>
      <c r="BI39" s="30"/>
      <c r="BJ39" s="30">
        <v>24</v>
      </c>
      <c r="BK39" s="30">
        <f t="shared" si="23"/>
        <v>0.97069916635954823</v>
      </c>
      <c r="BL39" s="50">
        <f t="shared" si="31"/>
        <v>0.21571092585767737</v>
      </c>
      <c r="BM39" s="30">
        <f t="shared" si="24"/>
        <v>0.97069916635954812</v>
      </c>
      <c r="BN39" s="51">
        <f t="shared" si="25"/>
        <v>0.21571092585767737</v>
      </c>
      <c r="BP39" s="30">
        <v>24</v>
      </c>
      <c r="BQ39" s="30">
        <f t="shared" si="26"/>
        <v>1.059420647682918</v>
      </c>
      <c r="BR39" s="50">
        <f t="shared" si="32"/>
        <v>0.23542681059620399</v>
      </c>
      <c r="BS39" s="30">
        <f t="shared" si="28"/>
        <v>1.059420647682918</v>
      </c>
      <c r="BT39" s="51">
        <f t="shared" si="29"/>
        <v>0.23542681059620399</v>
      </c>
      <c r="BV39" s="27">
        <f t="shared" si="1"/>
        <v>93.25</v>
      </c>
      <c r="BW39" s="30">
        <v>35</v>
      </c>
      <c r="BX39" s="30">
        <f t="shared" si="2"/>
        <v>93.25</v>
      </c>
      <c r="BY39" s="30">
        <f t="shared" si="3"/>
        <v>2</v>
      </c>
      <c r="BZ39" s="30"/>
      <c r="CG39" s="30"/>
    </row>
    <row r="40" spans="1:85" x14ac:dyDescent="0.3">
      <c r="B40" s="33" t="s">
        <v>46</v>
      </c>
      <c r="C40" s="33" t="s">
        <v>47</v>
      </c>
      <c r="D40" s="33" t="s">
        <v>48</v>
      </c>
      <c r="I40" s="30" t="s">
        <v>49</v>
      </c>
      <c r="J40" s="30" t="s">
        <v>50</v>
      </c>
      <c r="K40" s="30" t="s">
        <v>51</v>
      </c>
      <c r="M40" s="30" t="s">
        <v>52</v>
      </c>
      <c r="N40" s="30" t="s">
        <v>53</v>
      </c>
      <c r="O40" s="30" t="s">
        <v>54</v>
      </c>
      <c r="P40" s="30"/>
      <c r="Q40" s="30" t="s">
        <v>55</v>
      </c>
      <c r="R40" s="30" t="s">
        <v>56</v>
      </c>
      <c r="S40" s="30" t="s">
        <v>57</v>
      </c>
      <c r="BD40" s="30"/>
      <c r="BE40" s="30"/>
      <c r="BF40" s="30"/>
      <c r="BG40" s="30"/>
      <c r="BH40" s="30"/>
      <c r="BI40" s="30"/>
      <c r="BJ40" s="30"/>
      <c r="BK40" s="30"/>
      <c r="BL40" s="30"/>
      <c r="BM40" s="30"/>
      <c r="BN40" s="30"/>
      <c r="BP40" s="30"/>
      <c r="BQ40" s="30"/>
      <c r="BR40" s="30"/>
      <c r="BS40" s="30"/>
      <c r="BT40" s="30"/>
      <c r="BV40" s="27">
        <f t="shared" si="1"/>
        <v>95.25</v>
      </c>
      <c r="BW40" s="30">
        <v>36</v>
      </c>
      <c r="BX40" s="30">
        <f t="shared" si="2"/>
        <v>95.25</v>
      </c>
      <c r="BY40" s="30">
        <f t="shared" si="3"/>
        <v>2</v>
      </c>
      <c r="BZ40" s="30"/>
      <c r="CG40" s="30"/>
    </row>
    <row r="41" spans="1:85" x14ac:dyDescent="0.3">
      <c r="B41" s="33">
        <f t="shared" ref="B41:D64" si="33">IF((B15/255)&lt;=0.04045, (B15/255)/12.92, (((B15/255)+0.055)/1.055)^2.4)</f>
        <v>0.18384325979851071</v>
      </c>
      <c r="C41" s="33">
        <f t="shared" si="33"/>
        <v>7.1906315669267667E-2</v>
      </c>
      <c r="D41" s="33">
        <f t="shared" si="33"/>
        <v>4.0653001835934684E-2</v>
      </c>
      <c r="E41" s="84"/>
      <c r="F41" s="132"/>
      <c r="G41" s="156"/>
      <c r="H41" s="180"/>
      <c r="I41" s="33">
        <f>IF((I15/255)&lt;=0.04045, (I15/255)/12.92, (((I15/255)+0.055)/1.055)^2.4)</f>
        <v>0.18661225049060248</v>
      </c>
      <c r="J41" s="33">
        <f t="shared" ref="I41:K64" si="34">IF((J15/255)&lt;=0.04045, (J15/255)/12.92, (((J15/255)+0.055)/1.055)^2.4)</f>
        <v>0.10473605716436993</v>
      </c>
      <c r="K41" s="33">
        <f t="shared" si="34"/>
        <v>7.8449914076049856E-2</v>
      </c>
      <c r="M41" s="33">
        <f>IF((M15/255)&lt;=0.04045, (M15/255)/12.92, (((M15/255)+0.055)/1.055)^2.4)</f>
        <v>0.1865682181043167</v>
      </c>
      <c r="N41" s="33">
        <f t="shared" ref="M41:O64" si="35">IF((N15/255)&lt;=0.04045, (N15/255)/12.92, (((N15/255)+0.055)/1.055)^2.4)</f>
        <v>0.10476693797215064</v>
      </c>
      <c r="O41" s="33">
        <f t="shared" si="35"/>
        <v>7.8406393456156798E-2</v>
      </c>
      <c r="P41" s="33"/>
      <c r="Q41" s="33">
        <f t="shared" ref="Q41:Q64" si="36">SQRT(C119^2+D119^2)</f>
        <v>24.627727640124579</v>
      </c>
      <c r="R41" s="33">
        <f t="shared" ref="R41:R64" si="37">SQRT(J119^2+K119^2)</f>
        <v>15.0793430479133</v>
      </c>
      <c r="S41" s="33">
        <f t="shared" ref="S41:S64" si="38">SQRT(N119^2+O119^2)</f>
        <v>15.079859502096479</v>
      </c>
      <c r="BD41" s="30"/>
      <c r="BE41" s="30" t="s">
        <v>122</v>
      </c>
      <c r="BF41" s="30" t="s">
        <v>123</v>
      </c>
      <c r="BG41" s="30" t="s">
        <v>124</v>
      </c>
      <c r="BH41" s="30" t="s">
        <v>125</v>
      </c>
      <c r="BI41" s="30"/>
      <c r="BJ41" s="30"/>
      <c r="BK41" s="30" t="s">
        <v>122</v>
      </c>
      <c r="BL41" s="30" t="s">
        <v>123</v>
      </c>
      <c r="BM41" s="30" t="s">
        <v>124</v>
      </c>
      <c r="BN41" s="30" t="s">
        <v>125</v>
      </c>
      <c r="BP41" s="30"/>
      <c r="BQ41" s="30" t="s">
        <v>122</v>
      </c>
      <c r="BR41" s="30" t="s">
        <v>123</v>
      </c>
      <c r="BS41" s="30" t="s">
        <v>124</v>
      </c>
      <c r="BT41" s="30" t="s">
        <v>125</v>
      </c>
      <c r="BV41" s="27">
        <f t="shared" si="1"/>
        <v>97</v>
      </c>
      <c r="BW41" s="30">
        <v>37</v>
      </c>
      <c r="BX41" s="30">
        <f t="shared" si="2"/>
        <v>97</v>
      </c>
      <c r="BY41" s="30">
        <f t="shared" si="3"/>
        <v>1.75</v>
      </c>
      <c r="BZ41" s="30"/>
      <c r="CG41" s="30"/>
    </row>
    <row r="42" spans="1:85" x14ac:dyDescent="0.3">
      <c r="B42" s="33">
        <f t="shared" si="33"/>
        <v>0.76151345837858431</v>
      </c>
      <c r="C42" s="33">
        <f t="shared" si="33"/>
        <v>0.35216317286023507</v>
      </c>
      <c r="D42" s="33">
        <f t="shared" si="33"/>
        <v>0.27944522138860833</v>
      </c>
      <c r="E42" s="85"/>
      <c r="F42" s="133"/>
      <c r="G42" s="157"/>
      <c r="H42" s="181"/>
      <c r="I42" s="33">
        <f t="shared" si="34"/>
        <v>0.72106315787299857</v>
      </c>
      <c r="J42" s="33">
        <f t="shared" si="34"/>
        <v>0.49326260302905672</v>
      </c>
      <c r="K42" s="33">
        <f t="shared" si="34"/>
        <v>0.42532360067037861</v>
      </c>
      <c r="M42" s="33">
        <f t="shared" si="35"/>
        <v>0.72085574690148879</v>
      </c>
      <c r="N42" s="33">
        <f t="shared" si="35"/>
        <v>0.49339176606232787</v>
      </c>
      <c r="O42" s="33">
        <f t="shared" si="35"/>
        <v>0.42514699149884605</v>
      </c>
      <c r="P42" s="33"/>
      <c r="Q42" s="33">
        <f t="shared" si="36"/>
        <v>28.896515919530003</v>
      </c>
      <c r="R42" s="33">
        <f t="shared" si="37"/>
        <v>14.91751609861786</v>
      </c>
      <c r="S42" s="33">
        <f t="shared" si="38"/>
        <v>14.913119264562248</v>
      </c>
      <c r="BD42" s="30">
        <v>1</v>
      </c>
      <c r="BE42" s="30">
        <f>VLOOKUP(BG42,$BW$4:$BX$260,2,TRUE)</f>
        <v>45.75</v>
      </c>
      <c r="BF42" s="30">
        <f>VLOOKUP(BH42,$BW$4:$BX$260,2,TRUE)</f>
        <v>48.75</v>
      </c>
      <c r="BG42" s="30">
        <f>VLOOKUP(ROUNDUP(BE16,1),$BV$4:$BW$260,2,TRUE)</f>
        <v>14</v>
      </c>
      <c r="BH42" s="30">
        <f>IF((VLOOKUP(ROUNDUP(BE16,1),$BV$4:$BW$260,2,TRUE)+1)&gt;=257,256,VLOOKUP(ROUNDUP(BE16,1),$BV$4:$BW$260,2,TRUE)+1)</f>
        <v>15</v>
      </c>
      <c r="BI42" s="30"/>
      <c r="BJ42" s="30">
        <v>1</v>
      </c>
      <c r="BK42" s="30">
        <f>VLOOKUP(BM42,$BW$4:$BX$260,2,TRUE)</f>
        <v>26.5</v>
      </c>
      <c r="BL42" s="30">
        <f>VLOOKUP(BN42,$BW$4:$BX$260,2,TRUE)</f>
        <v>29.5</v>
      </c>
      <c r="BM42" s="30">
        <f>VLOOKUP(ROUNDUP(BK16,1),$BV$4:$BW$260,2,TRUE)</f>
        <v>8</v>
      </c>
      <c r="BN42" s="30">
        <f>IF((VLOOKUP(ROUNDUP(BK16,1),$BV$4:$BW$260,2,TRUE)+1)&gt;=257,256,VLOOKUP(ROUNDUP(BK16,1),$BV$4:$BW$260,2,TRUE)+1)</f>
        <v>9</v>
      </c>
      <c r="BP42" s="30">
        <v>1</v>
      </c>
      <c r="BQ42" s="30">
        <f>VLOOKUP(BS42,$BW$4:$BX$260,2,TRUE)</f>
        <v>19.5</v>
      </c>
      <c r="BR42" s="30">
        <f>VLOOKUP(BT42,$BW$4:$BX$260,2,TRUE)</f>
        <v>23</v>
      </c>
      <c r="BS42" s="30">
        <f>VLOOKUP(ROUNDUP(BQ16,1),$BV$4:$BW$260,2,TRUE)</f>
        <v>6</v>
      </c>
      <c r="BT42" s="30">
        <f>IF((VLOOKUP(ROUNDUP(BQ16,1),$BV$4:$BW$260,2,TRUE)+1)&gt;=257,256,VLOOKUP(ROUNDUP(BQ16,1),$BV$4:$BW$260,2,TRUE)+1)</f>
        <v>7</v>
      </c>
      <c r="BV42" s="27">
        <f t="shared" si="1"/>
        <v>98.5</v>
      </c>
      <c r="BW42" s="30">
        <v>38</v>
      </c>
      <c r="BX42" s="30">
        <f t="shared" si="2"/>
        <v>98.5</v>
      </c>
      <c r="BY42" s="30">
        <f t="shared" si="3"/>
        <v>1.5</v>
      </c>
      <c r="BZ42" s="30"/>
      <c r="CG42" s="30"/>
    </row>
    <row r="43" spans="1:85" x14ac:dyDescent="0.3">
      <c r="B43" s="33">
        <f t="shared" si="33"/>
        <v>0.13843161503245185</v>
      </c>
      <c r="C43" s="33">
        <f t="shared" si="33"/>
        <v>0.2232279573168085</v>
      </c>
      <c r="D43" s="33">
        <f t="shared" si="33"/>
        <v>0.46207699965440707</v>
      </c>
      <c r="E43" s="86"/>
      <c r="F43" s="134"/>
      <c r="G43" s="158"/>
      <c r="H43" s="182"/>
      <c r="I43" s="33">
        <f t="shared" si="34"/>
        <v>0.19478956467498432</v>
      </c>
      <c r="J43" s="33">
        <f t="shared" si="34"/>
        <v>0.24809607365632366</v>
      </c>
      <c r="K43" s="33">
        <f t="shared" si="34"/>
        <v>0.3402947982995006</v>
      </c>
      <c r="M43" s="33">
        <f t="shared" si="35"/>
        <v>0.1946852038794008</v>
      </c>
      <c r="N43" s="33">
        <f t="shared" si="35"/>
        <v>0.24814372659216555</v>
      </c>
      <c r="O43" s="33">
        <f t="shared" si="35"/>
        <v>0.34032314570774824</v>
      </c>
      <c r="P43" s="33"/>
      <c r="Q43" s="33">
        <f t="shared" si="36"/>
        <v>30.093222402240908</v>
      </c>
      <c r="R43" s="33">
        <f t="shared" si="37"/>
        <v>13.006702312027683</v>
      </c>
      <c r="S43" s="33">
        <f t="shared" si="38"/>
        <v>13.008741035804919</v>
      </c>
      <c r="BD43" s="30">
        <v>2</v>
      </c>
      <c r="BE43" s="30">
        <f t="shared" ref="BE43:BE65" si="39">VLOOKUP(BG43,$BW$4:$BX$260,2,TRUE)</f>
        <v>183.75</v>
      </c>
      <c r="BF43" s="30">
        <f t="shared" ref="BF43:BF65" si="40">VLOOKUP(BH43,$BW$4:$BX$260,2,TRUE)</f>
        <v>184.25</v>
      </c>
      <c r="BG43" s="30">
        <f t="shared" ref="BG43:BG65" si="41">VLOOKUP(ROUNDUP(BE17,1),$BV$4:$BW$260,2,TRUE)</f>
        <v>115</v>
      </c>
      <c r="BH43" s="30">
        <f t="shared" ref="BH43:BH65" si="42">IF((VLOOKUP(ROUNDUP(BE17,1),$BV$4:$BW$260,2,TRUE)+1)&gt;=257,256,VLOOKUP(ROUNDUP(BE17,1),$BV$4:$BW$260,2,TRUE)+1)</f>
        <v>116</v>
      </c>
      <c r="BI43" s="30"/>
      <c r="BJ43" s="30">
        <v>2</v>
      </c>
      <c r="BK43" s="30">
        <f t="shared" ref="BK43:BK65" si="43">VLOOKUP(BM43,$BW$4:$BX$260,2,TRUE)</f>
        <v>125.5</v>
      </c>
      <c r="BL43" s="30">
        <f t="shared" ref="BL43:BL65" si="44">VLOOKUP(BN43,$BW$4:$BX$260,2,TRUE)</f>
        <v>127</v>
      </c>
      <c r="BM43" s="30">
        <f t="shared" ref="BM43:BM65" si="45">VLOOKUP(ROUNDUP(BK17,1),$BV$4:$BW$260,2,TRUE)</f>
        <v>56</v>
      </c>
      <c r="BN43" s="30">
        <f>IF((VLOOKUP(ROUNDUP(BK17,1),$BV$4:$BW$260,2,TRUE)+1)&gt;=257,256,VLOOKUP(ROUNDUP(BK17,1),$BV$4:$BW$260,2,TRUE)+1)</f>
        <v>57</v>
      </c>
      <c r="BP43" s="30">
        <v>2</v>
      </c>
      <c r="BQ43" s="30">
        <f t="shared" ref="BQ43:BQ65" si="46">VLOOKUP(BS43,$BW$4:$BX$260,2,TRUE)</f>
        <v>108.5</v>
      </c>
      <c r="BR43" s="30">
        <f t="shared" ref="BR43:BR65" si="47">VLOOKUP(BT43,$BW$4:$BX$260,2,TRUE)</f>
        <v>110</v>
      </c>
      <c r="BS43" s="30">
        <f t="shared" ref="BS43:BS65" si="48">VLOOKUP(ROUNDUP(BQ17,1),$BV$4:$BW$260,2,TRUE)</f>
        <v>44</v>
      </c>
      <c r="BT43" s="30">
        <f t="shared" ref="BT43:BT65" si="49">IF((VLOOKUP(ROUNDUP(BQ17,1),$BV$4:$BW$260,2,TRUE)+1)&gt;=257,256,VLOOKUP(ROUNDUP(BQ17,1),$BV$4:$BW$260,2,TRUE)+1)</f>
        <v>45</v>
      </c>
      <c r="BV43" s="27">
        <f t="shared" si="1"/>
        <v>100</v>
      </c>
      <c r="BW43" s="30">
        <v>39</v>
      </c>
      <c r="BX43" s="30">
        <f t="shared" si="2"/>
        <v>100</v>
      </c>
      <c r="BY43" s="30">
        <f t="shared" si="3"/>
        <v>1.5</v>
      </c>
      <c r="BZ43" s="30"/>
      <c r="CG43" s="30"/>
    </row>
    <row r="44" spans="1:85" x14ac:dyDescent="0.3">
      <c r="B44" s="33">
        <f t="shared" si="33"/>
        <v>0.10104284161920278</v>
      </c>
      <c r="C44" s="33">
        <f t="shared" si="33"/>
        <v>0.14263438922628194</v>
      </c>
      <c r="D44" s="33">
        <f t="shared" si="33"/>
        <v>4.4631502092248233E-2</v>
      </c>
      <c r="E44" s="87"/>
      <c r="F44" s="135"/>
      <c r="G44" s="159"/>
      <c r="H44" s="183"/>
      <c r="I44" s="33">
        <f t="shared" si="34"/>
        <v>0.12708925834058551</v>
      </c>
      <c r="J44" s="33">
        <f t="shared" si="34"/>
        <v>0.15253860741791325</v>
      </c>
      <c r="K44" s="33">
        <f t="shared" si="34"/>
        <v>0.10097257538954146</v>
      </c>
      <c r="M44" s="33">
        <f t="shared" si="35"/>
        <v>0.12702509519697694</v>
      </c>
      <c r="N44" s="33">
        <f t="shared" si="35"/>
        <v>0.15256866160052515</v>
      </c>
      <c r="O44" s="33">
        <f t="shared" si="35"/>
        <v>0.10098611025573294</v>
      </c>
      <c r="P44" s="33"/>
      <c r="Q44" s="33">
        <f t="shared" si="36"/>
        <v>27.854571960047043</v>
      </c>
      <c r="R44" s="33">
        <f t="shared" si="37"/>
        <v>12.156756130623721</v>
      </c>
      <c r="S44" s="33">
        <f t="shared" si="38"/>
        <v>12.163820100082543</v>
      </c>
      <c r="BD44" s="30">
        <v>3</v>
      </c>
      <c r="BE44" s="30">
        <f t="shared" si="39"/>
        <v>48.75</v>
      </c>
      <c r="BF44" s="30">
        <f t="shared" si="40"/>
        <v>51.75</v>
      </c>
      <c r="BG44" s="30">
        <f t="shared" si="41"/>
        <v>15</v>
      </c>
      <c r="BH44" s="30">
        <f t="shared" si="42"/>
        <v>16</v>
      </c>
      <c r="BI44" s="30"/>
      <c r="BJ44" s="30">
        <v>3</v>
      </c>
      <c r="BK44" s="30">
        <f t="shared" si="43"/>
        <v>62.25</v>
      </c>
      <c r="BL44" s="30">
        <f t="shared" si="44"/>
        <v>64.75</v>
      </c>
      <c r="BM44" s="30">
        <f t="shared" si="45"/>
        <v>20</v>
      </c>
      <c r="BN44" s="30">
        <f t="shared" ref="BN44:BN65" si="50">IF((VLOOKUP(ROUNDUP(BK18,1),$BV$4:$BW$260,2,TRUE)+1)&gt;=257,256,VLOOKUP(ROUNDUP(BK18,1),$BV$4:$BW$260,2,TRUE)+1)</f>
        <v>21</v>
      </c>
      <c r="BP44" s="30">
        <v>3</v>
      </c>
      <c r="BQ44" s="30">
        <f t="shared" si="46"/>
        <v>86.25</v>
      </c>
      <c r="BR44" s="30">
        <f t="shared" si="47"/>
        <v>87.75</v>
      </c>
      <c r="BS44" s="30">
        <f t="shared" si="48"/>
        <v>31</v>
      </c>
      <c r="BT44" s="30">
        <f t="shared" si="49"/>
        <v>32</v>
      </c>
      <c r="BV44" s="27">
        <f t="shared" si="1"/>
        <v>101.5</v>
      </c>
      <c r="BW44" s="30">
        <v>40</v>
      </c>
      <c r="BX44" s="30">
        <f t="shared" si="2"/>
        <v>101.5</v>
      </c>
      <c r="BY44" s="30">
        <f t="shared" si="3"/>
        <v>1.5</v>
      </c>
      <c r="BZ44" s="30"/>
      <c r="CG44" s="30"/>
    </row>
    <row r="45" spans="1:85" x14ac:dyDescent="0.3">
      <c r="B45" s="33">
        <f t="shared" si="33"/>
        <v>0.3381580693392906</v>
      </c>
      <c r="C45" s="33">
        <f t="shared" si="33"/>
        <v>0.23535542289765546</v>
      </c>
      <c r="D45" s="33">
        <f t="shared" si="33"/>
        <v>0.52221614953119633</v>
      </c>
      <c r="E45" s="88"/>
      <c r="F45" s="136"/>
      <c r="G45" s="160"/>
      <c r="H45" s="184"/>
      <c r="I45" s="33">
        <f t="shared" si="34"/>
        <v>0.37374497650267891</v>
      </c>
      <c r="J45" s="33">
        <f t="shared" si="34"/>
        <v>0.30365026304632137</v>
      </c>
      <c r="K45" s="33">
        <f t="shared" si="34"/>
        <v>0.41627812265990083</v>
      </c>
      <c r="M45" s="33">
        <f t="shared" si="35"/>
        <v>0.37361727877504369</v>
      </c>
      <c r="N45" s="33">
        <f t="shared" si="35"/>
        <v>0.30372254256678249</v>
      </c>
      <c r="O45" s="33">
        <f t="shared" si="35"/>
        <v>0.41624087302878038</v>
      </c>
      <c r="P45" s="33"/>
      <c r="Q45" s="33">
        <f t="shared" si="36"/>
        <v>33.981429832637026</v>
      </c>
      <c r="R45" s="33">
        <f t="shared" si="37"/>
        <v>14.030641273121763</v>
      </c>
      <c r="S45" s="33">
        <f t="shared" si="38"/>
        <v>14.012519226156938</v>
      </c>
      <c r="W45" s="14" t="s">
        <v>6</v>
      </c>
      <c r="X45" s="14" t="s">
        <v>9</v>
      </c>
      <c r="Y45" s="14" t="s">
        <v>16</v>
      </c>
      <c r="Z45" s="14"/>
      <c r="AA45" s="7"/>
      <c r="AB45" s="6" t="s">
        <v>38</v>
      </c>
      <c r="AC45" s="33" t="s">
        <v>40</v>
      </c>
      <c r="AD45" s="30" t="s">
        <v>41</v>
      </c>
      <c r="BD45" s="30">
        <v>4</v>
      </c>
      <c r="BE45" s="30">
        <f t="shared" si="39"/>
        <v>29.5</v>
      </c>
      <c r="BF45" s="30">
        <f t="shared" si="40"/>
        <v>33.25</v>
      </c>
      <c r="BG45" s="30">
        <f t="shared" si="41"/>
        <v>9</v>
      </c>
      <c r="BH45" s="30">
        <f t="shared" si="42"/>
        <v>10</v>
      </c>
      <c r="BI45" s="30"/>
      <c r="BJ45" s="30">
        <v>4</v>
      </c>
      <c r="BK45" s="30">
        <f t="shared" si="43"/>
        <v>36.75</v>
      </c>
      <c r="BL45" s="30">
        <f t="shared" si="44"/>
        <v>39.75</v>
      </c>
      <c r="BM45" s="30">
        <f t="shared" si="45"/>
        <v>11</v>
      </c>
      <c r="BN45" s="30">
        <f t="shared" si="50"/>
        <v>12</v>
      </c>
      <c r="BP45" s="30">
        <v>4</v>
      </c>
      <c r="BQ45" s="30">
        <f t="shared" si="46"/>
        <v>23</v>
      </c>
      <c r="BR45" s="30">
        <f t="shared" si="47"/>
        <v>26.5</v>
      </c>
      <c r="BS45" s="30">
        <f t="shared" si="48"/>
        <v>7</v>
      </c>
      <c r="BT45" s="30">
        <f t="shared" si="49"/>
        <v>8</v>
      </c>
      <c r="BV45" s="27">
        <f t="shared" si="1"/>
        <v>103.5</v>
      </c>
      <c r="BW45" s="30">
        <v>41</v>
      </c>
      <c r="BX45" s="30">
        <f t="shared" si="2"/>
        <v>103.5</v>
      </c>
      <c r="BY45" s="30">
        <f t="shared" si="3"/>
        <v>2</v>
      </c>
      <c r="BZ45" s="30"/>
      <c r="CF45" s="30"/>
      <c r="CG45" s="30"/>
    </row>
    <row r="46" spans="1:85" x14ac:dyDescent="0.3">
      <c r="B46" s="33">
        <f t="shared" si="33"/>
        <v>0.19925089507401941</v>
      </c>
      <c r="C46" s="33">
        <f t="shared" si="33"/>
        <v>0.61552480153023703</v>
      </c>
      <c r="D46" s="33">
        <f t="shared" si="33"/>
        <v>0.58473054884074183</v>
      </c>
      <c r="E46" s="89"/>
      <c r="F46" s="137"/>
      <c r="G46" s="161"/>
      <c r="H46" s="185"/>
      <c r="I46" s="33">
        <f t="shared" si="34"/>
        <v>0.32568763300909542</v>
      </c>
      <c r="J46" s="33">
        <f t="shared" si="34"/>
        <v>0.54128621512782593</v>
      </c>
      <c r="K46" s="33">
        <f t="shared" si="34"/>
        <v>0.54209727088041881</v>
      </c>
      <c r="M46" s="33">
        <f t="shared" si="35"/>
        <v>0.32545991944877617</v>
      </c>
      <c r="N46" s="33">
        <f t="shared" si="35"/>
        <v>0.54137994295140979</v>
      </c>
      <c r="O46" s="33">
        <f t="shared" si="35"/>
        <v>0.54221190353034532</v>
      </c>
      <c r="P46" s="33"/>
      <c r="Q46" s="33">
        <f t="shared" si="36"/>
        <v>26.770288451107078</v>
      </c>
      <c r="R46" s="33">
        <f t="shared" si="37"/>
        <v>13.818459596924406</v>
      </c>
      <c r="S46" s="33">
        <f t="shared" si="38"/>
        <v>13.839021049056603</v>
      </c>
      <c r="W46" s="14">
        <f>VLOOKUP($AB46,$W$92:$AC$116,4,0)</f>
        <v>248.66</v>
      </c>
      <c r="X46" s="14">
        <f>VLOOKUP($AB46,$W$92:$AC$116,6,0)</f>
        <v>216.07</v>
      </c>
      <c r="Y46" s="14">
        <f>VLOOKUP($AB46,$W$92:$AC$116,7,0)</f>
        <v>52.72</v>
      </c>
      <c r="Z46" s="46" t="str">
        <f>"E"&amp;MATCH(LARGE($Q$15:$Q$38,1),$Q$15:$Q$38,0)+14</f>
        <v>E30</v>
      </c>
      <c r="AA46" s="204"/>
      <c r="AB46" s="47">
        <f>LARGE(Q15:Q38,1)</f>
        <v>12.196972090554024</v>
      </c>
      <c r="AC46" s="33">
        <f>ABS(VLOOKUP($AB46,$Q$15:$T$38,3,0))</f>
        <v>50.934665778201932</v>
      </c>
      <c r="AD46" s="33">
        <f>VLOOKUP($AB46,$Q$15:$T$38,4,0)</f>
        <v>1.9354078105463661</v>
      </c>
      <c r="BD46" s="30">
        <v>5</v>
      </c>
      <c r="BE46" s="30">
        <f t="shared" si="39"/>
        <v>95.25</v>
      </c>
      <c r="BF46" s="30">
        <f t="shared" si="40"/>
        <v>97</v>
      </c>
      <c r="BG46" s="30">
        <f t="shared" si="41"/>
        <v>36</v>
      </c>
      <c r="BH46" s="30">
        <f t="shared" si="42"/>
        <v>37</v>
      </c>
      <c r="BI46" s="30"/>
      <c r="BJ46" s="30">
        <v>5</v>
      </c>
      <c r="BK46" s="30">
        <f t="shared" si="43"/>
        <v>76.25</v>
      </c>
      <c r="BL46" s="30">
        <f t="shared" si="44"/>
        <v>78.25</v>
      </c>
      <c r="BM46" s="30">
        <f t="shared" si="45"/>
        <v>26</v>
      </c>
      <c r="BN46" s="30">
        <f t="shared" si="50"/>
        <v>27</v>
      </c>
      <c r="BP46" s="30">
        <v>5</v>
      </c>
      <c r="BQ46" s="30">
        <f t="shared" si="46"/>
        <v>105</v>
      </c>
      <c r="BR46" s="30">
        <f t="shared" si="47"/>
        <v>106.5</v>
      </c>
      <c r="BS46" s="30">
        <f t="shared" si="48"/>
        <v>42</v>
      </c>
      <c r="BT46" s="30">
        <f t="shared" si="49"/>
        <v>43</v>
      </c>
      <c r="BV46" s="27">
        <f t="shared" si="1"/>
        <v>105</v>
      </c>
      <c r="BW46" s="30">
        <v>42</v>
      </c>
      <c r="BX46" s="30">
        <f t="shared" si="2"/>
        <v>105</v>
      </c>
      <c r="BY46" s="30">
        <f t="shared" si="3"/>
        <v>1.5</v>
      </c>
      <c r="BZ46" s="30"/>
      <c r="CF46" s="30"/>
      <c r="CG46" s="30"/>
    </row>
    <row r="47" spans="1:85" x14ac:dyDescent="0.3">
      <c r="B47" s="33">
        <f t="shared" si="33"/>
        <v>0.84857455243146829</v>
      </c>
      <c r="C47" s="33">
        <f t="shared" si="33"/>
        <v>0.25099392464286469</v>
      </c>
      <c r="D47" s="33">
        <f t="shared" si="33"/>
        <v>2.6401554815240907E-2</v>
      </c>
      <c r="E47" s="90"/>
      <c r="F47" s="138"/>
      <c r="G47" s="162"/>
      <c r="H47" s="186"/>
      <c r="I47" s="33">
        <f t="shared" si="34"/>
        <v>0.68232299622833292</v>
      </c>
      <c r="J47" s="33">
        <f t="shared" si="34"/>
        <v>0.35206611866454673</v>
      </c>
      <c r="K47" s="33">
        <f t="shared" si="34"/>
        <v>0.18027633347188884</v>
      </c>
      <c r="M47" s="33">
        <f t="shared" si="35"/>
        <v>0.68217499601387133</v>
      </c>
      <c r="N47" s="33">
        <f t="shared" si="35"/>
        <v>0.35217559831819018</v>
      </c>
      <c r="O47" s="33">
        <f t="shared" si="35"/>
        <v>0.18010078529149545</v>
      </c>
      <c r="P47" s="33"/>
      <c r="Q47" s="33">
        <f t="shared" si="36"/>
        <v>69.565614308998164</v>
      </c>
      <c r="R47" s="33">
        <f t="shared" si="37"/>
        <v>33.752329405345385</v>
      </c>
      <c r="S47" s="33">
        <f t="shared" si="38"/>
        <v>33.768547299368826</v>
      </c>
      <c r="W47" s="14">
        <f t="shared" ref="W47:W50" si="51">VLOOKUP($AB47,$W$92:$AC$116,4,0)</f>
        <v>177.63</v>
      </c>
      <c r="X47" s="14">
        <f t="shared" ref="X47:X50" si="52">VLOOKUP($AB47,$W$92:$AC$116,6,0)</f>
        <v>204.63</v>
      </c>
      <c r="Y47" s="14">
        <f t="shared" ref="Y47:Y50" si="53">VLOOKUP($AB47,$W$92:$AC$116,7,0)</f>
        <v>71.959999999999994</v>
      </c>
      <c r="Z47" s="46" t="str">
        <f>"E"&amp;MATCH(LARGE($Q$15:$Q$38,2),$Q$15:$Q$38,0)+14</f>
        <v>E25</v>
      </c>
      <c r="AA47" s="205"/>
      <c r="AB47" s="47">
        <f>LARGE(Q15:Q38,2)</f>
        <v>12.185370670950416</v>
      </c>
      <c r="AC47" s="33">
        <f>ABS(VLOOKUP($AB47,$Q$15:$T$38,3,0))</f>
        <v>43.783956536548715</v>
      </c>
      <c r="AD47" s="33">
        <f>VLOOKUP($AB47,$Q$15:$T$38,4,0)</f>
        <v>5.2897436180047839</v>
      </c>
      <c r="BD47" s="30">
        <v>6</v>
      </c>
      <c r="BE47" s="30">
        <f t="shared" si="39"/>
        <v>82.25</v>
      </c>
      <c r="BF47" s="30">
        <f t="shared" si="40"/>
        <v>84.25</v>
      </c>
      <c r="BG47" s="30">
        <f t="shared" si="41"/>
        <v>29</v>
      </c>
      <c r="BH47" s="30">
        <f t="shared" si="42"/>
        <v>30</v>
      </c>
      <c r="BI47" s="30"/>
      <c r="BJ47" s="30">
        <v>6</v>
      </c>
      <c r="BK47" s="30">
        <f t="shared" si="43"/>
        <v>138</v>
      </c>
      <c r="BL47" s="30">
        <f t="shared" si="44"/>
        <v>139.5</v>
      </c>
      <c r="BM47" s="30">
        <f t="shared" si="45"/>
        <v>66</v>
      </c>
      <c r="BN47" s="30">
        <f t="shared" si="50"/>
        <v>67</v>
      </c>
      <c r="BP47" s="30">
        <v>6</v>
      </c>
      <c r="BQ47" s="30">
        <f t="shared" si="46"/>
        <v>138</v>
      </c>
      <c r="BR47" s="30">
        <f t="shared" si="47"/>
        <v>139.5</v>
      </c>
      <c r="BS47" s="30">
        <f t="shared" si="48"/>
        <v>66</v>
      </c>
      <c r="BT47" s="30">
        <f t="shared" si="49"/>
        <v>67</v>
      </c>
      <c r="BV47" s="27">
        <f t="shared" si="1"/>
        <v>106.5</v>
      </c>
      <c r="BW47" s="30">
        <v>43</v>
      </c>
      <c r="BX47" s="30">
        <f t="shared" si="2"/>
        <v>106.5</v>
      </c>
      <c r="BY47" s="30">
        <f t="shared" si="3"/>
        <v>1.5</v>
      </c>
      <c r="BZ47" s="30"/>
      <c r="CF47" s="30"/>
      <c r="CG47" s="30"/>
    </row>
    <row r="48" spans="1:85" x14ac:dyDescent="0.3">
      <c r="B48" s="33">
        <f t="shared" si="33"/>
        <v>4.4109677760337175E-2</v>
      </c>
      <c r="C48" s="33">
        <f t="shared" si="33"/>
        <v>7.670299880033514E-2</v>
      </c>
      <c r="D48" s="33">
        <f t="shared" si="33"/>
        <v>0.46469705112424431</v>
      </c>
      <c r="E48" s="91"/>
      <c r="F48" s="139"/>
      <c r="G48" s="163"/>
      <c r="H48" s="187"/>
      <c r="I48" s="33">
        <f t="shared" si="34"/>
        <v>6.4280201442219354E-2</v>
      </c>
      <c r="J48" s="33">
        <f t="shared" si="34"/>
        <v>9.2390511564062638E-2</v>
      </c>
      <c r="K48" s="33">
        <f t="shared" si="34"/>
        <v>0.22771780460769606</v>
      </c>
      <c r="M48" s="33">
        <f t="shared" si="35"/>
        <v>6.4241335740233968E-2</v>
      </c>
      <c r="N48" s="33">
        <f t="shared" si="35"/>
        <v>9.2407405752059205E-2</v>
      </c>
      <c r="O48" s="33">
        <f t="shared" si="35"/>
        <v>0.22773275159488568</v>
      </c>
      <c r="P48" s="33"/>
      <c r="Q48" s="33">
        <f t="shared" si="36"/>
        <v>63.052913202142641</v>
      </c>
      <c r="R48" s="33">
        <f t="shared" si="37"/>
        <v>28.249622690141575</v>
      </c>
      <c r="S48" s="33">
        <f t="shared" si="38"/>
        <v>28.248173498659884</v>
      </c>
      <c r="W48" s="14">
        <f t="shared" si="51"/>
        <v>2.91</v>
      </c>
      <c r="X48" s="14">
        <f t="shared" si="52"/>
        <v>17.91</v>
      </c>
      <c r="Y48" s="14">
        <f t="shared" si="53"/>
        <v>135.32</v>
      </c>
      <c r="Z48" s="46" t="str">
        <f>"E"&amp;MATCH(LARGE($Q$15:$Q$38,3),$Q$15:$Q$38,0)+14</f>
        <v>E27</v>
      </c>
      <c r="AA48" s="206"/>
      <c r="AB48" s="47">
        <f>LARGE(Q15:Q38,3)</f>
        <v>10.770654923001871</v>
      </c>
      <c r="AC48" s="33">
        <f>ABS(VLOOKUP($AB48,$Q$15:$T$38,3,0))</f>
        <v>41.28046085601418</v>
      </c>
      <c r="AD48" s="33">
        <f>VLOOKUP($AB48,$Q$15:$T$38,4,0)</f>
        <v>11.610630083286566</v>
      </c>
      <c r="BD48" s="30">
        <v>7</v>
      </c>
      <c r="BE48" s="30">
        <f t="shared" si="39"/>
        <v>173.75</v>
      </c>
      <c r="BF48" s="30">
        <f t="shared" si="40"/>
        <v>174.75</v>
      </c>
      <c r="BG48" s="30">
        <f t="shared" si="41"/>
        <v>102</v>
      </c>
      <c r="BH48" s="30">
        <f t="shared" si="42"/>
        <v>103</v>
      </c>
      <c r="BI48" s="30"/>
      <c r="BJ48" s="30">
        <v>7</v>
      </c>
      <c r="BK48" s="30">
        <f t="shared" si="43"/>
        <v>89.25</v>
      </c>
      <c r="BL48" s="30">
        <f t="shared" si="44"/>
        <v>91.25</v>
      </c>
      <c r="BM48" s="30">
        <f t="shared" si="45"/>
        <v>33</v>
      </c>
      <c r="BN48" s="30">
        <f t="shared" si="50"/>
        <v>34</v>
      </c>
      <c r="BP48" s="30">
        <v>7</v>
      </c>
      <c r="BQ48" s="30">
        <f t="shared" si="46"/>
        <v>45.75</v>
      </c>
      <c r="BR48" s="30">
        <f t="shared" si="47"/>
        <v>48.75</v>
      </c>
      <c r="BS48" s="30">
        <f t="shared" si="48"/>
        <v>14</v>
      </c>
      <c r="BT48" s="30">
        <f t="shared" si="49"/>
        <v>15</v>
      </c>
      <c r="BV48" s="27">
        <f t="shared" si="1"/>
        <v>108.5</v>
      </c>
      <c r="BW48" s="30">
        <v>44</v>
      </c>
      <c r="BX48" s="30">
        <f t="shared" si="2"/>
        <v>108.5</v>
      </c>
      <c r="BY48" s="30">
        <f t="shared" si="3"/>
        <v>2</v>
      </c>
      <c r="BZ48" s="30"/>
      <c r="CF48" s="30"/>
      <c r="CG48" s="30"/>
    </row>
    <row r="49" spans="2:85" x14ac:dyDescent="0.3">
      <c r="B49" s="33">
        <f t="shared" si="33"/>
        <v>0.80545740419117284</v>
      </c>
      <c r="C49" s="33">
        <f t="shared" si="33"/>
        <v>9.9480349381510499E-2</v>
      </c>
      <c r="D49" s="33">
        <f t="shared" si="33"/>
        <v>0.10919189434593578</v>
      </c>
      <c r="E49" s="92"/>
      <c r="F49" s="140"/>
      <c r="G49" s="164"/>
      <c r="H49" s="188"/>
      <c r="I49" s="33">
        <f t="shared" si="34"/>
        <v>0.57641530610727543</v>
      </c>
      <c r="J49" s="33">
        <f t="shared" si="34"/>
        <v>0.20384181741495772</v>
      </c>
      <c r="K49" s="33">
        <f t="shared" si="34"/>
        <v>0.16833249579187273</v>
      </c>
      <c r="M49" s="33">
        <f t="shared" si="35"/>
        <v>0.57632965841285722</v>
      </c>
      <c r="N49" s="33">
        <f t="shared" si="35"/>
        <v>0.20392390649854095</v>
      </c>
      <c r="O49" s="33">
        <f t="shared" si="35"/>
        <v>0.16813444639334291</v>
      </c>
      <c r="P49" s="33"/>
      <c r="Q49" s="33">
        <f t="shared" si="36"/>
        <v>61.959915553290166</v>
      </c>
      <c r="R49" s="33">
        <f t="shared" si="37"/>
        <v>33.336063779295763</v>
      </c>
      <c r="S49" s="33">
        <f t="shared" si="38"/>
        <v>33.336424496749565</v>
      </c>
      <c r="W49" s="14">
        <f t="shared" si="51"/>
        <v>67.41</v>
      </c>
      <c r="X49" s="14">
        <f t="shared" si="52"/>
        <v>143.4</v>
      </c>
      <c r="Y49" s="14">
        <f t="shared" si="53"/>
        <v>71.41</v>
      </c>
      <c r="Z49" s="46" t="str">
        <f>"E"&amp;MATCH(LARGE($Q$15:$Q$38,4),$Q$15:$Q$38,0)+14</f>
        <v>E28</v>
      </c>
      <c r="AA49" s="207"/>
      <c r="AB49" s="47">
        <f>LARGE(Q15:Q38,4)</f>
        <v>10.258221132159365</v>
      </c>
      <c r="AC49" s="33">
        <f>ABS(VLOOKUP($AB49,$Q$15:$T$38,3,0))</f>
        <v>26.217825093552683</v>
      </c>
      <c r="AD49" s="33">
        <f>VLOOKUP($AB49,$Q$15:$T$38,4,0)</f>
        <v>8.1134621534557194</v>
      </c>
      <c r="BD49" s="30">
        <v>8</v>
      </c>
      <c r="BE49" s="30">
        <f t="shared" si="39"/>
        <v>13.5</v>
      </c>
      <c r="BF49" s="30">
        <f t="shared" si="40"/>
        <v>16.5</v>
      </c>
      <c r="BG49" s="30">
        <f t="shared" si="41"/>
        <v>4</v>
      </c>
      <c r="BH49" s="30">
        <f t="shared" si="42"/>
        <v>5</v>
      </c>
      <c r="BI49" s="30"/>
      <c r="BJ49" s="30">
        <v>8</v>
      </c>
      <c r="BK49" s="30">
        <f t="shared" si="43"/>
        <v>23</v>
      </c>
      <c r="BL49" s="30">
        <f t="shared" si="44"/>
        <v>26.5</v>
      </c>
      <c r="BM49" s="30">
        <f t="shared" si="45"/>
        <v>7</v>
      </c>
      <c r="BN49" s="30">
        <f t="shared" si="50"/>
        <v>8</v>
      </c>
      <c r="BP49" s="30">
        <v>8</v>
      </c>
      <c r="BQ49" s="30">
        <f t="shared" si="46"/>
        <v>56.75</v>
      </c>
      <c r="BR49" s="30">
        <f t="shared" si="47"/>
        <v>59.75</v>
      </c>
      <c r="BS49" s="30">
        <f t="shared" si="48"/>
        <v>18</v>
      </c>
      <c r="BT49" s="30">
        <f t="shared" si="49"/>
        <v>19</v>
      </c>
      <c r="BV49" s="27">
        <f t="shared" si="1"/>
        <v>110</v>
      </c>
      <c r="BW49" s="30">
        <v>45</v>
      </c>
      <c r="BX49" s="30">
        <f t="shared" si="2"/>
        <v>110</v>
      </c>
      <c r="BY49" s="30">
        <f t="shared" si="3"/>
        <v>1.5</v>
      </c>
      <c r="BZ49" s="30"/>
      <c r="CF49" s="30"/>
      <c r="CG49" s="30"/>
    </row>
    <row r="50" spans="2:85" x14ac:dyDescent="0.3">
      <c r="B50" s="33">
        <f t="shared" si="33"/>
        <v>0.10177059633437534</v>
      </c>
      <c r="C50" s="33">
        <f t="shared" si="33"/>
        <v>2.3153366178110407E-2</v>
      </c>
      <c r="D50" s="33">
        <f t="shared" si="33"/>
        <v>8.8633881800889699E-2</v>
      </c>
      <c r="E50" s="93"/>
      <c r="F50" s="141"/>
      <c r="G50" s="165"/>
      <c r="H50" s="189"/>
      <c r="I50" s="33">
        <f t="shared" si="34"/>
        <v>9.3528552097935411E-2</v>
      </c>
      <c r="J50" s="33">
        <f t="shared" si="34"/>
        <v>3.8324033709237475E-2</v>
      </c>
      <c r="K50" s="33">
        <f t="shared" si="34"/>
        <v>6.5328806416543345E-2</v>
      </c>
      <c r="M50" s="33">
        <f t="shared" si="35"/>
        <v>9.3512446104295988E-2</v>
      </c>
      <c r="N50" s="33">
        <f t="shared" si="35"/>
        <v>3.8337936606727976E-2</v>
      </c>
      <c r="O50" s="33">
        <f t="shared" si="35"/>
        <v>6.5299461603133296E-2</v>
      </c>
      <c r="P50" s="33"/>
      <c r="Q50" s="33">
        <f t="shared" si="36"/>
        <v>32.579520838218265</v>
      </c>
      <c r="R50" s="33">
        <f t="shared" si="37"/>
        <v>17.540685929293179</v>
      </c>
      <c r="S50" s="33">
        <f t="shared" si="38"/>
        <v>17.525107664086462</v>
      </c>
      <c r="W50" s="14">
        <f t="shared" si="51"/>
        <v>242.26</v>
      </c>
      <c r="X50" s="14">
        <f t="shared" si="52"/>
        <v>175.26</v>
      </c>
      <c r="Y50" s="14">
        <f t="shared" si="53"/>
        <v>44.28</v>
      </c>
      <c r="Z50" s="46" t="str">
        <f>"E"&amp;MATCH(LARGE($Q$15:$Q$38,5),$Q$15:$Q$38,0)+14</f>
        <v>E26</v>
      </c>
      <c r="AA50" s="208"/>
      <c r="AB50" s="47">
        <f>LARGE(Q15:Q38,5)</f>
        <v>10.230951818556772</v>
      </c>
      <c r="AC50" s="33">
        <f>ABS(VLOOKUP($AB50,$Q$15:$T$38,3,0))</f>
        <v>42.841638642808505</v>
      </c>
      <c r="AD50" s="33">
        <f>VLOOKUP($AB50,$Q$15:$T$38,4,0)</f>
        <v>2.7815309399296346</v>
      </c>
      <c r="BD50" s="30">
        <v>9</v>
      </c>
      <c r="BE50" s="30">
        <f t="shared" si="39"/>
        <v>147</v>
      </c>
      <c r="BF50" s="30">
        <f t="shared" si="40"/>
        <v>148</v>
      </c>
      <c r="BG50" s="30">
        <f t="shared" si="41"/>
        <v>74</v>
      </c>
      <c r="BH50" s="30">
        <f t="shared" si="42"/>
        <v>75</v>
      </c>
      <c r="BI50" s="30"/>
      <c r="BJ50" s="30">
        <v>9</v>
      </c>
      <c r="BK50" s="30">
        <f t="shared" si="43"/>
        <v>51.75</v>
      </c>
      <c r="BL50" s="30">
        <f t="shared" si="44"/>
        <v>54.25</v>
      </c>
      <c r="BM50" s="30">
        <f t="shared" si="45"/>
        <v>16</v>
      </c>
      <c r="BN50" s="30">
        <f t="shared" si="50"/>
        <v>17</v>
      </c>
      <c r="BP50" s="30">
        <v>9</v>
      </c>
      <c r="BQ50" s="30">
        <f t="shared" si="46"/>
        <v>42.75</v>
      </c>
      <c r="BR50" s="30">
        <f t="shared" si="47"/>
        <v>45.75</v>
      </c>
      <c r="BS50" s="30">
        <f t="shared" si="48"/>
        <v>13</v>
      </c>
      <c r="BT50" s="30">
        <f t="shared" si="49"/>
        <v>14</v>
      </c>
      <c r="BV50" s="27">
        <f t="shared" si="1"/>
        <v>111</v>
      </c>
      <c r="BW50" s="30">
        <v>46</v>
      </c>
      <c r="BX50" s="30">
        <f t="shared" si="2"/>
        <v>111</v>
      </c>
      <c r="BY50" s="30">
        <f t="shared" si="3"/>
        <v>1</v>
      </c>
      <c r="BZ50" s="30"/>
      <c r="CF50" s="30"/>
      <c r="CG50" s="30"/>
    </row>
    <row r="51" spans="2:85" x14ac:dyDescent="0.3">
      <c r="B51" s="33">
        <f t="shared" si="33"/>
        <v>0.44314518320618373</v>
      </c>
      <c r="C51" s="33">
        <f t="shared" si="33"/>
        <v>0.60802334550455273</v>
      </c>
      <c r="D51" s="33">
        <f t="shared" si="33"/>
        <v>6.4730972722108315E-2</v>
      </c>
      <c r="E51" s="94"/>
      <c r="F51" s="142"/>
      <c r="G51" s="166"/>
      <c r="H51" s="190"/>
      <c r="I51" s="33">
        <f t="shared" si="34"/>
        <v>0.41312832150363099</v>
      </c>
      <c r="J51" s="33">
        <f t="shared" si="34"/>
        <v>0.49066743324312512</v>
      </c>
      <c r="K51" s="33">
        <f t="shared" si="34"/>
        <v>0.28259353301150525</v>
      </c>
      <c r="M51" s="33">
        <f t="shared" si="35"/>
        <v>0.41292193040838049</v>
      </c>
      <c r="N51" s="33">
        <f t="shared" si="35"/>
        <v>0.49076455365306543</v>
      </c>
      <c r="O51" s="33">
        <f t="shared" si="35"/>
        <v>0.28263477210663768</v>
      </c>
      <c r="P51" s="33"/>
      <c r="Q51" s="33">
        <f t="shared" si="36"/>
        <v>66.499359753110738</v>
      </c>
      <c r="R51" s="33">
        <f t="shared" si="37"/>
        <v>22.71540321656202</v>
      </c>
      <c r="S51" s="33">
        <f t="shared" si="38"/>
        <v>22.724160233831075</v>
      </c>
      <c r="W51" s="7"/>
      <c r="X51" s="7"/>
      <c r="Y51" s="7"/>
      <c r="Z51" s="7"/>
      <c r="BD51" s="30">
        <v>10</v>
      </c>
      <c r="BE51" s="30">
        <f t="shared" si="39"/>
        <v>23</v>
      </c>
      <c r="BF51" s="30">
        <f t="shared" si="40"/>
        <v>26.5</v>
      </c>
      <c r="BG51" s="30">
        <f t="shared" si="41"/>
        <v>7</v>
      </c>
      <c r="BH51" s="30">
        <f t="shared" si="42"/>
        <v>8</v>
      </c>
      <c r="BI51" s="30"/>
      <c r="BJ51" s="30">
        <v>10</v>
      </c>
      <c r="BK51" s="30">
        <f t="shared" si="43"/>
        <v>7.5</v>
      </c>
      <c r="BL51" s="30">
        <f t="shared" si="44"/>
        <v>10.5</v>
      </c>
      <c r="BM51" s="30">
        <f t="shared" si="45"/>
        <v>2</v>
      </c>
      <c r="BN51" s="30">
        <f t="shared" si="50"/>
        <v>3</v>
      </c>
      <c r="BP51" s="30">
        <v>10</v>
      </c>
      <c r="BQ51" s="30">
        <f t="shared" si="46"/>
        <v>16.5</v>
      </c>
      <c r="BR51" s="30">
        <f t="shared" si="47"/>
        <v>19.5</v>
      </c>
      <c r="BS51" s="30">
        <f t="shared" si="48"/>
        <v>5</v>
      </c>
      <c r="BT51" s="30">
        <f t="shared" si="49"/>
        <v>6</v>
      </c>
      <c r="BV51" s="27">
        <f t="shared" si="1"/>
        <v>112.5</v>
      </c>
      <c r="BW51" s="30">
        <v>47</v>
      </c>
      <c r="BX51" s="30">
        <f t="shared" si="2"/>
        <v>112.5</v>
      </c>
      <c r="BY51" s="30">
        <f t="shared" si="3"/>
        <v>1.5</v>
      </c>
      <c r="BZ51" s="30"/>
      <c r="CF51" s="30"/>
      <c r="CG51" s="30"/>
    </row>
    <row r="52" spans="2:85" x14ac:dyDescent="0.3">
      <c r="B52" s="33">
        <f t="shared" si="33"/>
        <v>0.8900887577425689</v>
      </c>
      <c r="C52" s="33">
        <f t="shared" si="33"/>
        <v>0.43010703134952688</v>
      </c>
      <c r="D52" s="33">
        <f t="shared" si="33"/>
        <v>2.5479539998531146E-2</v>
      </c>
      <c r="E52" s="95"/>
      <c r="F52" s="143"/>
      <c r="G52" s="167"/>
      <c r="H52" s="191"/>
      <c r="I52" s="33">
        <f t="shared" si="34"/>
        <v>0.68790393024765517</v>
      </c>
      <c r="J52" s="33">
        <f t="shared" si="34"/>
        <v>0.44960965002443715</v>
      </c>
      <c r="K52" s="33">
        <f t="shared" si="34"/>
        <v>0.23658494059332932</v>
      </c>
      <c r="M52" s="33">
        <f t="shared" si="35"/>
        <v>0.6877148820083957</v>
      </c>
      <c r="N52" s="33">
        <f t="shared" si="35"/>
        <v>0.44973054334918372</v>
      </c>
      <c r="O52" s="33">
        <f t="shared" si="35"/>
        <v>0.23645828306624606</v>
      </c>
      <c r="P52" s="33"/>
      <c r="Q52" s="33">
        <f t="shared" si="36"/>
        <v>71.974970030158147</v>
      </c>
      <c r="R52" s="33">
        <f t="shared" si="37"/>
        <v>29.133331387349642</v>
      </c>
      <c r="S52" s="33">
        <f t="shared" si="38"/>
        <v>29.146355157580309</v>
      </c>
      <c r="W52" s="14" t="s">
        <v>6</v>
      </c>
      <c r="X52" s="14" t="s">
        <v>9</v>
      </c>
      <c r="Y52" s="14" t="s">
        <v>16</v>
      </c>
      <c r="Z52" s="48"/>
      <c r="AB52" s="33" t="s">
        <v>40</v>
      </c>
      <c r="BD52" s="30">
        <v>11</v>
      </c>
      <c r="BE52" s="30">
        <f t="shared" si="39"/>
        <v>105</v>
      </c>
      <c r="BF52" s="30">
        <f t="shared" si="40"/>
        <v>106.5</v>
      </c>
      <c r="BG52" s="30">
        <f t="shared" si="41"/>
        <v>42</v>
      </c>
      <c r="BH52" s="30">
        <f t="shared" si="42"/>
        <v>43</v>
      </c>
      <c r="BI52" s="30"/>
      <c r="BJ52" s="30">
        <v>11</v>
      </c>
      <c r="BK52" s="30">
        <f t="shared" si="43"/>
        <v>124</v>
      </c>
      <c r="BL52" s="30">
        <f t="shared" si="44"/>
        <v>125.5</v>
      </c>
      <c r="BM52" s="30">
        <f t="shared" si="45"/>
        <v>55</v>
      </c>
      <c r="BN52" s="30">
        <f t="shared" si="50"/>
        <v>56</v>
      </c>
      <c r="BP52" s="30">
        <v>11</v>
      </c>
      <c r="BQ52" s="30">
        <f t="shared" si="46"/>
        <v>71.75</v>
      </c>
      <c r="BR52" s="30">
        <f t="shared" si="47"/>
        <v>74.25</v>
      </c>
      <c r="BS52" s="30">
        <f t="shared" si="48"/>
        <v>24</v>
      </c>
      <c r="BT52" s="30">
        <f t="shared" si="49"/>
        <v>25</v>
      </c>
      <c r="BV52" s="27">
        <f t="shared" si="1"/>
        <v>114.5</v>
      </c>
      <c r="BW52" s="30">
        <v>48</v>
      </c>
      <c r="BX52" s="30">
        <f t="shared" si="2"/>
        <v>114.5</v>
      </c>
      <c r="BY52" s="30">
        <f t="shared" si="3"/>
        <v>2</v>
      </c>
      <c r="BZ52" s="30"/>
      <c r="CF52" s="30"/>
      <c r="CG52" s="30"/>
    </row>
    <row r="53" spans="2:85" x14ac:dyDescent="0.3">
      <c r="B53" s="33">
        <f t="shared" si="33"/>
        <v>8.8326352212711717E-4</v>
      </c>
      <c r="C53" s="33">
        <f t="shared" si="33"/>
        <v>6.0081155009769826E-3</v>
      </c>
      <c r="D53" s="33">
        <f t="shared" si="33"/>
        <v>0.24353159498648458</v>
      </c>
      <c r="E53" s="96"/>
      <c r="F53" s="144"/>
      <c r="G53" s="168"/>
      <c r="H53" s="192"/>
      <c r="I53" s="33">
        <f t="shared" si="34"/>
        <v>5.8512920986318658E-3</v>
      </c>
      <c r="J53" s="33">
        <f t="shared" si="34"/>
        <v>1.8378629935882754E-2</v>
      </c>
      <c r="K53" s="33">
        <f t="shared" si="34"/>
        <v>9.582905623047823E-2</v>
      </c>
      <c r="M53" s="33">
        <f t="shared" si="35"/>
        <v>5.8435591757472465E-3</v>
      </c>
      <c r="N53" s="33">
        <f t="shared" si="35"/>
        <v>1.8381275390663969E-2</v>
      </c>
      <c r="O53" s="33">
        <f t="shared" si="35"/>
        <v>9.5835716423337367E-2</v>
      </c>
      <c r="P53" s="14"/>
      <c r="Q53" s="33">
        <f t="shared" si="36"/>
        <v>76.365961489115534</v>
      </c>
      <c r="R53" s="33">
        <f t="shared" si="37"/>
        <v>35.085500633101354</v>
      </c>
      <c r="S53" s="33">
        <f t="shared" si="38"/>
        <v>35.085537730350488</v>
      </c>
      <c r="W53" s="14">
        <f>VLOOKUP($AB53,$X$92:$AC$116,3,0)</f>
        <v>248.66</v>
      </c>
      <c r="X53" s="14">
        <f>VLOOKUP($AB53,$X$92:$AC$116,5,0)</f>
        <v>216.07</v>
      </c>
      <c r="Y53" s="14">
        <f>VLOOKUP($AB53,$X$92:$AC$116,6,0)</f>
        <v>52.72</v>
      </c>
      <c r="Z53" s="46" t="str">
        <f>"E"&amp;MATCH(LARGE($X$93:$X$116,1),$X$93:$X$116,0)+14</f>
        <v>E30</v>
      </c>
      <c r="AA53" s="204"/>
      <c r="AB53" s="47">
        <f>LARGE($X$93:$X$116,1)</f>
        <v>50.934665778201932</v>
      </c>
      <c r="BD53" s="30">
        <v>12</v>
      </c>
      <c r="BE53" s="30">
        <f t="shared" si="39"/>
        <v>175.25</v>
      </c>
      <c r="BF53" s="30">
        <f t="shared" si="40"/>
        <v>176</v>
      </c>
      <c r="BG53" s="30">
        <f t="shared" si="41"/>
        <v>104</v>
      </c>
      <c r="BH53" s="30">
        <f t="shared" si="42"/>
        <v>105</v>
      </c>
      <c r="BI53" s="30"/>
      <c r="BJ53" s="30">
        <v>12</v>
      </c>
      <c r="BK53" s="30">
        <f t="shared" si="43"/>
        <v>114.5</v>
      </c>
      <c r="BL53" s="30">
        <f t="shared" si="44"/>
        <v>116</v>
      </c>
      <c r="BM53" s="30">
        <f t="shared" si="45"/>
        <v>48</v>
      </c>
      <c r="BN53" s="30">
        <f t="shared" si="50"/>
        <v>49</v>
      </c>
      <c r="BP53" s="30">
        <v>12</v>
      </c>
      <c r="BQ53" s="30">
        <f t="shared" si="46"/>
        <v>59.75</v>
      </c>
      <c r="BR53" s="30">
        <f t="shared" si="47"/>
        <v>62.25</v>
      </c>
      <c r="BS53" s="30">
        <f t="shared" si="48"/>
        <v>19</v>
      </c>
      <c r="BT53" s="30">
        <f t="shared" si="49"/>
        <v>20</v>
      </c>
      <c r="BV53" s="27">
        <f t="shared" si="1"/>
        <v>116</v>
      </c>
      <c r="BW53" s="30">
        <v>49</v>
      </c>
      <c r="BX53" s="30">
        <f t="shared" si="2"/>
        <v>116</v>
      </c>
      <c r="BY53" s="30">
        <f t="shared" si="3"/>
        <v>1.5</v>
      </c>
      <c r="BZ53" s="30"/>
      <c r="CF53" s="30"/>
      <c r="CG53" s="30"/>
    </row>
    <row r="54" spans="2:85" x14ac:dyDescent="0.3">
      <c r="B54" s="33">
        <f t="shared" si="33"/>
        <v>5.6812552977578853E-2</v>
      </c>
      <c r="C54" s="33">
        <f t="shared" si="33"/>
        <v>0.27635959564515239</v>
      </c>
      <c r="D54" s="33">
        <f t="shared" si="33"/>
        <v>6.374169983754481E-2</v>
      </c>
      <c r="E54" s="97"/>
      <c r="F54" s="145"/>
      <c r="G54" s="169"/>
      <c r="H54" s="193"/>
      <c r="I54" s="33">
        <f t="shared" si="34"/>
        <v>8.4144423358102446E-2</v>
      </c>
      <c r="J54" s="33">
        <f t="shared" si="34"/>
        <v>0.20953198608195009</v>
      </c>
      <c r="K54" s="33">
        <f t="shared" si="34"/>
        <v>0.12493084272155099</v>
      </c>
      <c r="M54" s="33">
        <f t="shared" si="35"/>
        <v>8.4056265562144392E-2</v>
      </c>
      <c r="N54" s="33">
        <f t="shared" si="35"/>
        <v>0.2095639443832627</v>
      </c>
      <c r="O54" s="33">
        <f t="shared" si="35"/>
        <v>0.12499750638927877</v>
      </c>
      <c r="P54" s="14"/>
      <c r="Q54" s="33">
        <f t="shared" si="36"/>
        <v>49.99606610130494</v>
      </c>
      <c r="R54" s="33">
        <f t="shared" si="37"/>
        <v>23.778241007752257</v>
      </c>
      <c r="S54" s="33">
        <f t="shared" si="38"/>
        <v>23.784492712103471</v>
      </c>
      <c r="W54" s="14">
        <f t="shared" ref="W54:W57" si="54">VLOOKUP($AB54,$X$92:$AC$116,3,0)</f>
        <v>177.63</v>
      </c>
      <c r="X54" s="14">
        <f t="shared" ref="X54:X57" si="55">VLOOKUP($AB54,$X$92:$AC$116,5,0)</f>
        <v>204.63</v>
      </c>
      <c r="Y54" s="14">
        <f t="shared" ref="Y54:Y57" si="56">VLOOKUP($AB54,$X$92:$AC$116,6,0)</f>
        <v>71.959999999999994</v>
      </c>
      <c r="Z54" s="46" t="str">
        <f>"E"&amp;MATCH(LARGE($X$93:$X$116,2),$X$93:$X$116,0)+14</f>
        <v>E25</v>
      </c>
      <c r="AA54" s="205"/>
      <c r="AB54" s="47">
        <f>LARGE($X$93:$X$116,2)</f>
        <v>43.783956536548715</v>
      </c>
      <c r="BD54" s="30">
        <v>13</v>
      </c>
      <c r="BE54" s="30">
        <f t="shared" si="39"/>
        <v>0</v>
      </c>
      <c r="BF54" s="30">
        <f t="shared" si="40"/>
        <v>4.5</v>
      </c>
      <c r="BG54" s="30">
        <f t="shared" si="41"/>
        <v>0</v>
      </c>
      <c r="BH54" s="30">
        <f t="shared" si="42"/>
        <v>1</v>
      </c>
      <c r="BI54" s="30"/>
      <c r="BJ54" s="30">
        <v>13</v>
      </c>
      <c r="BK54" s="30">
        <f t="shared" si="43"/>
        <v>4.5</v>
      </c>
      <c r="BL54" s="30">
        <f t="shared" si="44"/>
        <v>7.5</v>
      </c>
      <c r="BM54" s="30">
        <f t="shared" si="45"/>
        <v>1</v>
      </c>
      <c r="BN54" s="30">
        <f t="shared" si="50"/>
        <v>2</v>
      </c>
      <c r="BP54" s="30">
        <v>13</v>
      </c>
      <c r="BQ54" s="30">
        <f t="shared" si="46"/>
        <v>23</v>
      </c>
      <c r="BR54" s="30">
        <f t="shared" si="47"/>
        <v>26.5</v>
      </c>
      <c r="BS54" s="30">
        <f t="shared" si="48"/>
        <v>7</v>
      </c>
      <c r="BT54" s="30">
        <f t="shared" si="49"/>
        <v>8</v>
      </c>
      <c r="BV54" s="27">
        <f t="shared" si="1"/>
        <v>117</v>
      </c>
      <c r="BW54" s="30">
        <v>50</v>
      </c>
      <c r="BX54" s="30">
        <f t="shared" si="2"/>
        <v>117</v>
      </c>
      <c r="BY54" s="30">
        <f t="shared" si="3"/>
        <v>1</v>
      </c>
      <c r="BZ54" s="30"/>
      <c r="CF54" s="30"/>
      <c r="CG54" s="30"/>
    </row>
    <row r="55" spans="2:85" x14ac:dyDescent="0.3">
      <c r="B55" s="33">
        <f t="shared" si="33"/>
        <v>0.62816931299674628</v>
      </c>
      <c r="C55" s="33">
        <f t="shared" si="33"/>
        <v>3.5068247432844153E-2</v>
      </c>
      <c r="D55" s="33">
        <f t="shared" si="33"/>
        <v>4.6099837819810745E-2</v>
      </c>
      <c r="E55" s="98"/>
      <c r="F55" s="146"/>
      <c r="G55" s="170"/>
      <c r="H55" s="194"/>
      <c r="I55" s="33">
        <f t="shared" si="34"/>
        <v>0.44103938041695179</v>
      </c>
      <c r="J55" s="33">
        <f t="shared" si="34"/>
        <v>9.8162234414918725E-2</v>
      </c>
      <c r="K55" s="33">
        <f t="shared" si="34"/>
        <v>8.0732678675068892E-2</v>
      </c>
      <c r="M55" s="33">
        <f t="shared" si="35"/>
        <v>0.441032446746222</v>
      </c>
      <c r="N55" s="33">
        <f t="shared" si="35"/>
        <v>9.8218624883722544E-2</v>
      </c>
      <c r="O55" s="33">
        <f t="shared" si="35"/>
        <v>8.0550393172119442E-2</v>
      </c>
      <c r="P55" s="14"/>
      <c r="Q55" s="33">
        <f t="shared" si="36"/>
        <v>68.508920248479143</v>
      </c>
      <c r="R55" s="33">
        <f t="shared" si="37"/>
        <v>41.396807605878017</v>
      </c>
      <c r="S55" s="33">
        <f t="shared" si="38"/>
        <v>41.408331029214672</v>
      </c>
      <c r="W55" s="14">
        <f t="shared" si="54"/>
        <v>242.26</v>
      </c>
      <c r="X55" s="14">
        <f t="shared" si="55"/>
        <v>175.26</v>
      </c>
      <c r="Y55" s="14">
        <f t="shared" si="56"/>
        <v>44.28</v>
      </c>
      <c r="Z55" s="46" t="str">
        <f>"E"&amp;MATCH(LARGE($X$93:$X$116,3),$X$93:$X$116,0)+14</f>
        <v>E26</v>
      </c>
      <c r="AA55" s="208"/>
      <c r="AB55" s="47">
        <f>LARGE($X$93:$X$116,3)</f>
        <v>42.841638642808505</v>
      </c>
      <c r="BD55" s="30">
        <v>14</v>
      </c>
      <c r="BE55" s="30">
        <f t="shared" si="39"/>
        <v>19.5</v>
      </c>
      <c r="BF55" s="30">
        <f t="shared" si="40"/>
        <v>23</v>
      </c>
      <c r="BG55" s="30">
        <f t="shared" si="41"/>
        <v>6</v>
      </c>
      <c r="BH55" s="30">
        <f t="shared" si="42"/>
        <v>7</v>
      </c>
      <c r="BI55" s="30"/>
      <c r="BJ55" s="30">
        <v>14</v>
      </c>
      <c r="BK55" s="30">
        <f t="shared" si="43"/>
        <v>51.75</v>
      </c>
      <c r="BL55" s="30">
        <f t="shared" si="44"/>
        <v>54.25</v>
      </c>
      <c r="BM55" s="30">
        <f t="shared" si="45"/>
        <v>16</v>
      </c>
      <c r="BN55" s="30">
        <f t="shared" si="50"/>
        <v>17</v>
      </c>
      <c r="BP55" s="30">
        <v>14</v>
      </c>
      <c r="BQ55" s="30">
        <f t="shared" si="46"/>
        <v>29.5</v>
      </c>
      <c r="BR55" s="30">
        <f t="shared" si="47"/>
        <v>33.25</v>
      </c>
      <c r="BS55" s="30">
        <f t="shared" si="48"/>
        <v>9</v>
      </c>
      <c r="BT55" s="30">
        <f t="shared" si="49"/>
        <v>10</v>
      </c>
      <c r="BV55" s="27">
        <f t="shared" si="1"/>
        <v>118.5</v>
      </c>
      <c r="BW55" s="30">
        <v>51</v>
      </c>
      <c r="BX55" s="30">
        <f t="shared" si="2"/>
        <v>118.5</v>
      </c>
      <c r="BY55" s="30">
        <f t="shared" si="3"/>
        <v>1.5</v>
      </c>
      <c r="BZ55" s="30"/>
      <c r="CF55" s="30"/>
      <c r="CG55" s="30"/>
    </row>
    <row r="56" spans="2:85" x14ac:dyDescent="0.3">
      <c r="B56" s="33">
        <f t="shared" si="33"/>
        <v>0.94437030330217164</v>
      </c>
      <c r="C56" s="33">
        <f t="shared" si="33"/>
        <v>0.68718694359791754</v>
      </c>
      <c r="D56" s="33">
        <f t="shared" si="33"/>
        <v>3.5245415407323406E-2</v>
      </c>
      <c r="E56" s="99"/>
      <c r="F56" s="147"/>
      <c r="G56" s="171"/>
      <c r="H56" s="195"/>
      <c r="I56" s="33">
        <f t="shared" si="34"/>
        <v>0.73701411982494058</v>
      </c>
      <c r="J56" s="33">
        <f t="shared" si="34"/>
        <v>0.59806069905294346</v>
      </c>
      <c r="K56" s="33">
        <f t="shared" si="34"/>
        <v>0.32439083527755141</v>
      </c>
      <c r="M56" s="33">
        <f t="shared" si="35"/>
        <v>0.73676261031663692</v>
      </c>
      <c r="N56" s="33">
        <f t="shared" si="35"/>
        <v>0.59820315117796929</v>
      </c>
      <c r="O56" s="33">
        <f t="shared" si="35"/>
        <v>0.32431699269502889</v>
      </c>
      <c r="P56" s="33"/>
      <c r="Q56" s="33">
        <f t="shared" si="36"/>
        <v>77.85917151978866</v>
      </c>
      <c r="R56" s="33">
        <f t="shared" si="37"/>
        <v>26.924505741586724</v>
      </c>
      <c r="S56" s="33">
        <f t="shared" si="38"/>
        <v>26.935839124356217</v>
      </c>
      <c r="W56" s="14">
        <f t="shared" si="54"/>
        <v>2.91</v>
      </c>
      <c r="X56" s="14">
        <f t="shared" si="55"/>
        <v>17.91</v>
      </c>
      <c r="Y56" s="14">
        <f t="shared" si="56"/>
        <v>135.32</v>
      </c>
      <c r="Z56" s="46" t="str">
        <f>"E"&amp;MATCH(LARGE($X$93:$X$116,4),$X$93:$X$116,0)+14</f>
        <v>E27</v>
      </c>
      <c r="AA56" s="206"/>
      <c r="AB56" s="47">
        <f>LARGE($X$93:$X$116,4)</f>
        <v>41.28046085601418</v>
      </c>
      <c r="BD56" s="30">
        <v>15</v>
      </c>
      <c r="BE56" s="30">
        <f t="shared" si="39"/>
        <v>112.5</v>
      </c>
      <c r="BF56" s="30">
        <f t="shared" si="40"/>
        <v>114.5</v>
      </c>
      <c r="BG56" s="30">
        <f t="shared" si="41"/>
        <v>47</v>
      </c>
      <c r="BH56" s="30">
        <f t="shared" si="42"/>
        <v>48</v>
      </c>
      <c r="BI56" s="30"/>
      <c r="BJ56" s="30">
        <v>15</v>
      </c>
      <c r="BK56" s="30">
        <f t="shared" si="43"/>
        <v>23</v>
      </c>
      <c r="BL56" s="30">
        <f t="shared" si="44"/>
        <v>26.5</v>
      </c>
      <c r="BM56" s="30">
        <f t="shared" si="45"/>
        <v>7</v>
      </c>
      <c r="BN56" s="30">
        <f t="shared" si="50"/>
        <v>8</v>
      </c>
      <c r="BP56" s="30">
        <v>15</v>
      </c>
      <c r="BQ56" s="30">
        <f t="shared" si="46"/>
        <v>19.5</v>
      </c>
      <c r="BR56" s="30">
        <f t="shared" si="47"/>
        <v>23</v>
      </c>
      <c r="BS56" s="30">
        <f t="shared" si="48"/>
        <v>6</v>
      </c>
      <c r="BT56" s="30">
        <f t="shared" si="49"/>
        <v>7</v>
      </c>
      <c r="BV56" s="27">
        <f t="shared" si="1"/>
        <v>120</v>
      </c>
      <c r="BW56" s="30">
        <v>52</v>
      </c>
      <c r="BX56" s="30">
        <f t="shared" si="2"/>
        <v>120</v>
      </c>
      <c r="BY56" s="30">
        <f t="shared" si="3"/>
        <v>1.5</v>
      </c>
      <c r="BZ56" s="30"/>
      <c r="CF56" s="30"/>
      <c r="CG56" s="30"/>
    </row>
    <row r="57" spans="2:85" x14ac:dyDescent="0.3">
      <c r="B57" s="33">
        <f t="shared" si="33"/>
        <v>0.64863007261478722</v>
      </c>
      <c r="C57" s="33">
        <f t="shared" si="33"/>
        <v>8.3723942866908485E-2</v>
      </c>
      <c r="D57" s="33">
        <f t="shared" si="33"/>
        <v>0.25235031339039887</v>
      </c>
      <c r="E57" s="100"/>
      <c r="F57" s="148"/>
      <c r="G57" s="172"/>
      <c r="H57" s="196"/>
      <c r="I57" s="33">
        <f t="shared" si="34"/>
        <v>0.47283960967491151</v>
      </c>
      <c r="J57" s="33">
        <f t="shared" si="34"/>
        <v>0.16165934302125984</v>
      </c>
      <c r="K57" s="33">
        <f t="shared" si="34"/>
        <v>0.21542303446125752</v>
      </c>
      <c r="M57" s="33">
        <f t="shared" si="35"/>
        <v>0.47277168936790076</v>
      </c>
      <c r="N57" s="33">
        <f t="shared" si="35"/>
        <v>0.16172606442940596</v>
      </c>
      <c r="O57" s="33">
        <f t="shared" si="35"/>
        <v>0.21525761959471743</v>
      </c>
      <c r="P57" s="33"/>
      <c r="Q57" s="33">
        <f t="shared" si="36"/>
        <v>56.146708990797613</v>
      </c>
      <c r="R57" s="33">
        <f t="shared" si="37"/>
        <v>30.333212868716412</v>
      </c>
      <c r="S57" s="33">
        <f t="shared" si="38"/>
        <v>30.313934073212899</v>
      </c>
      <c r="W57" s="14">
        <f t="shared" si="54"/>
        <v>237.21</v>
      </c>
      <c r="X57" s="14">
        <f t="shared" si="55"/>
        <v>137.21</v>
      </c>
      <c r="Y57" s="14">
        <f t="shared" si="56"/>
        <v>45.15</v>
      </c>
      <c r="Z57" s="46" t="str">
        <f>"E"&amp;MATCH(LARGE($X$93:$X$116,5),$X$93:$X$116,0)+14</f>
        <v>E21</v>
      </c>
      <c r="AA57" s="209"/>
      <c r="AB57" s="47">
        <f>LARGE($X$93:$X$116,5)</f>
        <v>35.813284903652779</v>
      </c>
      <c r="BD57" s="30">
        <v>16</v>
      </c>
      <c r="BE57" s="30">
        <f t="shared" si="39"/>
        <v>188</v>
      </c>
      <c r="BF57" s="30">
        <f t="shared" si="40"/>
        <v>188.75</v>
      </c>
      <c r="BG57" s="30">
        <f t="shared" si="41"/>
        <v>121</v>
      </c>
      <c r="BH57" s="30">
        <f t="shared" si="42"/>
        <v>122</v>
      </c>
      <c r="BI57" s="30"/>
      <c r="BJ57" s="30">
        <v>16</v>
      </c>
      <c r="BK57" s="30">
        <f t="shared" si="43"/>
        <v>152.5</v>
      </c>
      <c r="BL57" s="30">
        <f t="shared" si="44"/>
        <v>153.5</v>
      </c>
      <c r="BM57" s="30">
        <f t="shared" si="45"/>
        <v>79</v>
      </c>
      <c r="BN57" s="30">
        <f t="shared" si="50"/>
        <v>80</v>
      </c>
      <c r="BP57" s="30">
        <v>16</v>
      </c>
      <c r="BQ57" s="30">
        <f t="shared" si="46"/>
        <v>82.25</v>
      </c>
      <c r="BR57" s="30">
        <f t="shared" si="47"/>
        <v>84.25</v>
      </c>
      <c r="BS57" s="30">
        <f t="shared" si="48"/>
        <v>29</v>
      </c>
      <c r="BT57" s="30">
        <f t="shared" si="49"/>
        <v>30</v>
      </c>
      <c r="BV57" s="27">
        <f t="shared" si="1"/>
        <v>121.5</v>
      </c>
      <c r="BW57" s="30">
        <v>53</v>
      </c>
      <c r="BX57" s="30">
        <f t="shared" si="2"/>
        <v>121.5</v>
      </c>
      <c r="BY57" s="30">
        <f t="shared" si="3"/>
        <v>1.5</v>
      </c>
      <c r="BZ57" s="30"/>
      <c r="CF57" s="30"/>
      <c r="CG57" s="30"/>
    </row>
    <row r="58" spans="2:85" x14ac:dyDescent="0.3">
      <c r="B58" s="33">
        <f t="shared" si="33"/>
        <v>9.1058095064651241E-5</v>
      </c>
      <c r="C58" s="33">
        <f t="shared" si="33"/>
        <v>0.15565504254601573</v>
      </c>
      <c r="D58" s="33">
        <f t="shared" si="33"/>
        <v>0.42478200283111561</v>
      </c>
      <c r="E58" s="101"/>
      <c r="F58" s="149"/>
      <c r="G58" s="173"/>
      <c r="H58" s="197"/>
      <c r="I58" s="33">
        <f t="shared" si="34"/>
        <v>3.6461412247008787E-2</v>
      </c>
      <c r="J58" s="33">
        <f t="shared" si="34"/>
        <v>0.1402967678037588</v>
      </c>
      <c r="K58" s="33">
        <f t="shared" si="34"/>
        <v>0.24486433840410252</v>
      </c>
      <c r="M58" s="33">
        <f t="shared" si="35"/>
        <v>3.6402379583842438E-2</v>
      </c>
      <c r="N58" s="33">
        <f t="shared" si="35"/>
        <v>0.14031611623006351</v>
      </c>
      <c r="O58" s="33">
        <f t="shared" si="35"/>
        <v>0.24491954226415372</v>
      </c>
      <c r="P58" s="33"/>
      <c r="Q58" s="33">
        <f t="shared" si="36"/>
        <v>41.540070135528225</v>
      </c>
      <c r="R58" s="33">
        <f t="shared" si="37"/>
        <v>23.449051378535923</v>
      </c>
      <c r="S58" s="33">
        <f t="shared" si="38"/>
        <v>23.458850464658635</v>
      </c>
      <c r="W58" s="7"/>
      <c r="X58" s="7"/>
      <c r="Y58" s="7"/>
      <c r="Z58" s="48"/>
      <c r="AA58"/>
      <c r="BD58" s="30">
        <v>17</v>
      </c>
      <c r="BE58" s="30">
        <f t="shared" si="39"/>
        <v>120</v>
      </c>
      <c r="BF58" s="30">
        <f t="shared" si="40"/>
        <v>121.5</v>
      </c>
      <c r="BG58" s="30">
        <f t="shared" si="41"/>
        <v>52</v>
      </c>
      <c r="BH58" s="30">
        <f t="shared" si="42"/>
        <v>53</v>
      </c>
      <c r="BI58" s="30"/>
      <c r="BJ58" s="30">
        <v>17</v>
      </c>
      <c r="BK58" s="30">
        <f t="shared" si="43"/>
        <v>39.75</v>
      </c>
      <c r="BL58" s="30">
        <f t="shared" si="44"/>
        <v>42.75</v>
      </c>
      <c r="BM58" s="30">
        <f t="shared" si="45"/>
        <v>12</v>
      </c>
      <c r="BN58" s="30">
        <f t="shared" si="50"/>
        <v>13</v>
      </c>
      <c r="BP58" s="30">
        <v>17</v>
      </c>
      <c r="BQ58" s="30">
        <f t="shared" si="46"/>
        <v>54.25</v>
      </c>
      <c r="BR58" s="30">
        <f t="shared" si="47"/>
        <v>56.75</v>
      </c>
      <c r="BS58" s="30">
        <f t="shared" si="48"/>
        <v>17</v>
      </c>
      <c r="BT58" s="30">
        <f t="shared" si="49"/>
        <v>18</v>
      </c>
      <c r="BV58" s="27">
        <f t="shared" si="1"/>
        <v>123</v>
      </c>
      <c r="BW58" s="30">
        <v>54</v>
      </c>
      <c r="BX58" s="30">
        <f t="shared" si="2"/>
        <v>123</v>
      </c>
      <c r="BY58" s="30">
        <f t="shared" si="3"/>
        <v>1.5</v>
      </c>
      <c r="BZ58" s="30"/>
      <c r="CF58" s="30"/>
      <c r="CG58" s="30"/>
    </row>
    <row r="59" spans="2:85" x14ac:dyDescent="0.3">
      <c r="B59" s="33">
        <f t="shared" si="33"/>
        <v>0.84226539688651003</v>
      </c>
      <c r="C59" s="33">
        <f t="shared" si="33"/>
        <v>0.80247254652450972</v>
      </c>
      <c r="D59" s="33">
        <f t="shared" si="33"/>
        <v>0.75619716964987382</v>
      </c>
      <c r="E59" s="102"/>
      <c r="F59" s="150"/>
      <c r="G59" s="174"/>
      <c r="H59" s="198"/>
      <c r="I59" s="33">
        <f t="shared" si="34"/>
        <v>0.81730291670621369</v>
      </c>
      <c r="J59" s="33">
        <f t="shared" si="34"/>
        <v>0.78593866687027769</v>
      </c>
      <c r="K59" s="33">
        <f t="shared" si="34"/>
        <v>0.7628840166890426</v>
      </c>
      <c r="M59" s="33">
        <f t="shared" si="35"/>
        <v>0.81697236117777539</v>
      </c>
      <c r="N59" s="33">
        <f t="shared" si="35"/>
        <v>0.78611027370322406</v>
      </c>
      <c r="O59" s="33">
        <f t="shared" si="35"/>
        <v>0.76286737539135607</v>
      </c>
      <c r="P59" s="33"/>
      <c r="Q59" s="33">
        <f t="shared" si="36"/>
        <v>3.5692155316974827</v>
      </c>
      <c r="R59" s="33">
        <f t="shared" si="37"/>
        <v>2.1058554989007838</v>
      </c>
      <c r="S59" s="33">
        <f t="shared" si="38"/>
        <v>2.0995341328074906</v>
      </c>
      <c r="W59" s="14" t="s">
        <v>6</v>
      </c>
      <c r="X59" s="14" t="s">
        <v>9</v>
      </c>
      <c r="Y59" s="14" t="s">
        <v>16</v>
      </c>
      <c r="Z59" s="48"/>
      <c r="AB59" s="30" t="s">
        <v>41</v>
      </c>
      <c r="BD59" s="30">
        <v>18</v>
      </c>
      <c r="BE59" s="30">
        <f t="shared" si="39"/>
        <v>7.5</v>
      </c>
      <c r="BF59" s="30">
        <f t="shared" si="40"/>
        <v>10.5</v>
      </c>
      <c r="BG59" s="30">
        <f t="shared" si="41"/>
        <v>2</v>
      </c>
      <c r="BH59" s="30">
        <f t="shared" si="42"/>
        <v>3</v>
      </c>
      <c r="BI59" s="30"/>
      <c r="BJ59" s="30">
        <v>18</v>
      </c>
      <c r="BK59" s="30">
        <f t="shared" si="43"/>
        <v>33.25</v>
      </c>
      <c r="BL59" s="30">
        <f t="shared" si="44"/>
        <v>36.75</v>
      </c>
      <c r="BM59" s="30">
        <f t="shared" si="45"/>
        <v>10</v>
      </c>
      <c r="BN59" s="30">
        <f t="shared" si="50"/>
        <v>11</v>
      </c>
      <c r="BP59" s="30">
        <v>18</v>
      </c>
      <c r="BQ59" s="30">
        <f t="shared" si="46"/>
        <v>62.25</v>
      </c>
      <c r="BR59" s="30">
        <f t="shared" si="47"/>
        <v>64.75</v>
      </c>
      <c r="BS59" s="30">
        <f t="shared" si="48"/>
        <v>20</v>
      </c>
      <c r="BT59" s="30">
        <f t="shared" si="49"/>
        <v>21</v>
      </c>
      <c r="BV59" s="27">
        <f t="shared" si="1"/>
        <v>124</v>
      </c>
      <c r="BW59" s="30">
        <v>55</v>
      </c>
      <c r="BX59" s="30">
        <f t="shared" si="2"/>
        <v>124</v>
      </c>
      <c r="BY59" s="30">
        <f t="shared" si="3"/>
        <v>1</v>
      </c>
      <c r="BZ59" s="30"/>
      <c r="CF59" s="30"/>
      <c r="CG59" s="30"/>
    </row>
    <row r="60" spans="2:85" x14ac:dyDescent="0.3">
      <c r="B60" s="33">
        <f t="shared" si="33"/>
        <v>0.6170046097726295</v>
      </c>
      <c r="C60" s="33">
        <f t="shared" si="33"/>
        <v>0.59588179314415868</v>
      </c>
      <c r="D60" s="33">
        <f t="shared" si="33"/>
        <v>0.55903914879280281</v>
      </c>
      <c r="E60" s="103"/>
      <c r="F60" s="151"/>
      <c r="G60" s="175"/>
      <c r="H60" s="199"/>
      <c r="I60" s="33">
        <f t="shared" si="34"/>
        <v>0.55169605653107889</v>
      </c>
      <c r="J60" s="33">
        <f t="shared" si="34"/>
        <v>0.52809812415583479</v>
      </c>
      <c r="K60" s="33">
        <f t="shared" si="34"/>
        <v>0.51522057296205559</v>
      </c>
      <c r="M60" s="33">
        <f t="shared" si="35"/>
        <v>0.55147394595610555</v>
      </c>
      <c r="N60" s="33">
        <f t="shared" si="35"/>
        <v>0.52821369264807627</v>
      </c>
      <c r="O60" s="33">
        <f t="shared" si="35"/>
        <v>0.51520804977759349</v>
      </c>
      <c r="P60" s="33"/>
      <c r="Q60" s="33">
        <f t="shared" si="36"/>
        <v>3.2189621967307076</v>
      </c>
      <c r="R60" s="33">
        <f t="shared" si="37"/>
        <v>1.7970804968977629</v>
      </c>
      <c r="S60" s="33">
        <f t="shared" si="38"/>
        <v>1.7883847770236279</v>
      </c>
      <c r="W60" s="14">
        <f>VLOOKUP($AB60,$Y$92:$AC$116,2,0)</f>
        <v>2.91</v>
      </c>
      <c r="X60" s="14">
        <f>VLOOKUP($AB60,$Y$92:$AC$116,4,0)</f>
        <v>17.91</v>
      </c>
      <c r="Y60" s="14">
        <f>VLOOKUP($AB60,$Y$92:$AC$116,5,0)</f>
        <v>135.32</v>
      </c>
      <c r="Z60" s="46" t="str">
        <f>"E"&amp;MATCH(LARGE($T$15:$T$38,1),$T$15:$T$38,0)+14</f>
        <v>E27</v>
      </c>
      <c r="AA60" s="206"/>
      <c r="AB60" s="47">
        <f>LARGE($T$15:$T$38,1)</f>
        <v>11.610630083286566</v>
      </c>
      <c r="BD60" s="30">
        <v>19</v>
      </c>
      <c r="BE60" s="30">
        <f t="shared" si="39"/>
        <v>208.25</v>
      </c>
      <c r="BF60" s="30">
        <f t="shared" si="40"/>
        <v>209</v>
      </c>
      <c r="BG60" s="30">
        <f t="shared" si="41"/>
        <v>153</v>
      </c>
      <c r="BH60" s="30">
        <f t="shared" si="42"/>
        <v>154</v>
      </c>
      <c r="BI60" s="30"/>
      <c r="BJ60" s="30">
        <v>19</v>
      </c>
      <c r="BK60" s="30">
        <f t="shared" si="43"/>
        <v>200</v>
      </c>
      <c r="BL60" s="30">
        <f t="shared" si="44"/>
        <v>200.75</v>
      </c>
      <c r="BM60" s="30">
        <f t="shared" si="45"/>
        <v>139</v>
      </c>
      <c r="BN60" s="30">
        <f t="shared" si="50"/>
        <v>140</v>
      </c>
      <c r="BP60" s="30">
        <v>19</v>
      </c>
      <c r="BQ60" s="30">
        <f t="shared" si="46"/>
        <v>194</v>
      </c>
      <c r="BR60" s="30">
        <f t="shared" si="47"/>
        <v>194.75</v>
      </c>
      <c r="BS60" s="30">
        <f t="shared" si="48"/>
        <v>130</v>
      </c>
      <c r="BT60" s="30">
        <f t="shared" si="49"/>
        <v>131</v>
      </c>
      <c r="BV60" s="27">
        <f t="shared" si="1"/>
        <v>125.5</v>
      </c>
      <c r="BW60" s="30">
        <v>56</v>
      </c>
      <c r="BX60" s="30">
        <f t="shared" si="2"/>
        <v>125.5</v>
      </c>
      <c r="BY60" s="30">
        <f t="shared" si="3"/>
        <v>1.5</v>
      </c>
      <c r="BZ60" s="30"/>
      <c r="CF60" s="30"/>
      <c r="CG60" s="30"/>
    </row>
    <row r="61" spans="2:85" x14ac:dyDescent="0.3">
      <c r="B61" s="33">
        <f t="shared" si="33"/>
        <v>0.36451709775118246</v>
      </c>
      <c r="C61" s="33">
        <f t="shared" si="33"/>
        <v>0.34983817756904712</v>
      </c>
      <c r="D61" s="33">
        <f t="shared" si="33"/>
        <v>0.32615150660934578</v>
      </c>
      <c r="E61" s="104"/>
      <c r="F61" s="152"/>
      <c r="G61" s="176"/>
      <c r="H61" s="200"/>
      <c r="I61" s="33">
        <f t="shared" si="34"/>
        <v>0.30191721747979577</v>
      </c>
      <c r="J61" s="33">
        <f t="shared" si="34"/>
        <v>0.29749992506401485</v>
      </c>
      <c r="K61" s="33">
        <f t="shared" si="34"/>
        <v>0.2877426958623413</v>
      </c>
      <c r="M61" s="33">
        <f t="shared" si="35"/>
        <v>0.30179209115145922</v>
      </c>
      <c r="N61" s="33">
        <f t="shared" si="35"/>
        <v>0.29756411432820706</v>
      </c>
      <c r="O61" s="33">
        <f t="shared" si="35"/>
        <v>0.28774035967016487</v>
      </c>
      <c r="P61" s="33"/>
      <c r="Q61" s="33">
        <f t="shared" si="36"/>
        <v>2.98856184803061</v>
      </c>
      <c r="R61" s="33">
        <f t="shared" si="37"/>
        <v>1.309471721804109</v>
      </c>
      <c r="S61" s="33">
        <f t="shared" si="38"/>
        <v>1.3128266577864307</v>
      </c>
      <c r="W61" s="14">
        <f t="shared" ref="W61:W64" si="57">VLOOKUP($AB61,$Y$92:$AC$116,2,0)</f>
        <v>0.3</v>
      </c>
      <c r="X61" s="14">
        <f t="shared" ref="X61:X64" si="58">VLOOKUP($AB61,$Y$92:$AC$116,4,0)</f>
        <v>109.91</v>
      </c>
      <c r="Y61" s="14">
        <f t="shared" ref="Y61:Y64" si="59">VLOOKUP($AB61,$Y$92:$AC$116,5,0)</f>
        <v>174.28</v>
      </c>
      <c r="Z61" s="46" t="str">
        <f>"E"&amp;MATCH(LARGE($T$15:$T$38,2),$T$15:$T$38,0)+14</f>
        <v>E32</v>
      </c>
      <c r="AA61" s="210"/>
      <c r="AB61" s="47">
        <f>LARGE($T$15:$T$38,2)</f>
        <v>8.5684480682495749</v>
      </c>
      <c r="BD61" s="30">
        <v>20</v>
      </c>
      <c r="BE61" s="30">
        <f t="shared" si="39"/>
        <v>139.5</v>
      </c>
      <c r="BF61" s="30">
        <f t="shared" si="40"/>
        <v>141</v>
      </c>
      <c r="BG61" s="30">
        <f t="shared" si="41"/>
        <v>67</v>
      </c>
      <c r="BH61" s="30">
        <f t="shared" si="42"/>
        <v>68</v>
      </c>
      <c r="BI61" s="30"/>
      <c r="BJ61" s="30">
        <v>20</v>
      </c>
      <c r="BK61" s="30">
        <f t="shared" si="43"/>
        <v>134.5</v>
      </c>
      <c r="BL61" s="30">
        <f t="shared" si="44"/>
        <v>135.5</v>
      </c>
      <c r="BM61" s="30">
        <f t="shared" si="45"/>
        <v>63</v>
      </c>
      <c r="BN61" s="30">
        <f t="shared" si="50"/>
        <v>64</v>
      </c>
      <c r="BP61" s="30">
        <v>20</v>
      </c>
      <c r="BQ61" s="30">
        <f t="shared" si="46"/>
        <v>131</v>
      </c>
      <c r="BR61" s="30">
        <f t="shared" si="47"/>
        <v>132</v>
      </c>
      <c r="BS61" s="30">
        <f t="shared" si="48"/>
        <v>60</v>
      </c>
      <c r="BT61" s="30">
        <f t="shared" si="49"/>
        <v>61</v>
      </c>
      <c r="BV61" s="27">
        <f t="shared" si="1"/>
        <v>127</v>
      </c>
      <c r="BW61" s="30">
        <v>57</v>
      </c>
      <c r="BX61" s="30">
        <f t="shared" si="2"/>
        <v>127</v>
      </c>
      <c r="BY61" s="30">
        <f t="shared" si="3"/>
        <v>1.5</v>
      </c>
      <c r="BZ61" s="30"/>
      <c r="CF61" s="30"/>
      <c r="CG61" s="30"/>
    </row>
    <row r="62" spans="2:85" x14ac:dyDescent="0.3">
      <c r="B62" s="33">
        <f t="shared" si="33"/>
        <v>0.13177161042578711</v>
      </c>
      <c r="C62" s="33">
        <f t="shared" si="33"/>
        <v>0.12905299879471824</v>
      </c>
      <c r="D62" s="33">
        <f t="shared" si="33"/>
        <v>0.11850742039266582</v>
      </c>
      <c r="E62" s="105"/>
      <c r="F62" s="153"/>
      <c r="G62" s="177">
        <v>0.18</v>
      </c>
      <c r="H62" s="201"/>
      <c r="I62" s="33">
        <f t="shared" si="34"/>
        <v>0.11674116356612824</v>
      </c>
      <c r="J62" s="33">
        <f t="shared" si="34"/>
        <v>0.1142087858056858</v>
      </c>
      <c r="K62" s="33">
        <f t="shared" si="34"/>
        <v>0.1081652570647213</v>
      </c>
      <c r="M62" s="33">
        <f t="shared" si="35"/>
        <v>0.11669312836870337</v>
      </c>
      <c r="N62" s="33">
        <f t="shared" si="35"/>
        <v>0.11423351402482754</v>
      </c>
      <c r="O62" s="33">
        <f t="shared" si="35"/>
        <v>0.10816391548045717</v>
      </c>
      <c r="P62" s="33"/>
      <c r="Q62" s="33">
        <f t="shared" si="36"/>
        <v>2.4354158148700398</v>
      </c>
      <c r="R62" s="33">
        <f t="shared" si="37"/>
        <v>1.5357198620090717</v>
      </c>
      <c r="S62" s="33">
        <f t="shared" si="38"/>
        <v>1.5385517588022146</v>
      </c>
      <c r="W62" s="14">
        <f t="shared" si="57"/>
        <v>67.41</v>
      </c>
      <c r="X62" s="14">
        <f t="shared" si="58"/>
        <v>143.4</v>
      </c>
      <c r="Y62" s="14">
        <f t="shared" si="59"/>
        <v>71.41</v>
      </c>
      <c r="Z62" s="46" t="str">
        <f>"E"&amp;MATCH(LARGE($T$15:$T$38,3),$T$15:$T$38,0)+14</f>
        <v>E28</v>
      </c>
      <c r="AA62" s="207"/>
      <c r="AB62" s="47">
        <f>LARGE($T$15:$T$38,3)</f>
        <v>8.1134621534557194</v>
      </c>
      <c r="BD62" s="30">
        <v>21</v>
      </c>
      <c r="BE62" s="30">
        <f t="shared" si="39"/>
        <v>76.25</v>
      </c>
      <c r="BF62" s="30">
        <f t="shared" si="40"/>
        <v>78.25</v>
      </c>
      <c r="BG62" s="30">
        <f t="shared" si="41"/>
        <v>26</v>
      </c>
      <c r="BH62" s="30">
        <f t="shared" si="42"/>
        <v>27</v>
      </c>
      <c r="BI62" s="30"/>
      <c r="BJ62" s="30">
        <v>21</v>
      </c>
      <c r="BK62" s="30">
        <f t="shared" si="43"/>
        <v>74.25</v>
      </c>
      <c r="BL62" s="30">
        <f t="shared" si="44"/>
        <v>76.25</v>
      </c>
      <c r="BM62" s="30">
        <f t="shared" si="45"/>
        <v>25</v>
      </c>
      <c r="BN62" s="30">
        <f t="shared" si="50"/>
        <v>26</v>
      </c>
      <c r="BP62" s="30">
        <v>21</v>
      </c>
      <c r="BQ62" s="30">
        <f t="shared" si="46"/>
        <v>71.75</v>
      </c>
      <c r="BR62" s="30">
        <f t="shared" si="47"/>
        <v>74.25</v>
      </c>
      <c r="BS62" s="30">
        <f t="shared" si="48"/>
        <v>24</v>
      </c>
      <c r="BT62" s="30">
        <f t="shared" si="49"/>
        <v>25</v>
      </c>
      <c r="BV62" s="27">
        <f t="shared" si="1"/>
        <v>128</v>
      </c>
      <c r="BW62" s="30">
        <v>58</v>
      </c>
      <c r="BX62" s="30">
        <f t="shared" si="2"/>
        <v>128</v>
      </c>
      <c r="BY62" s="30">
        <f t="shared" si="3"/>
        <v>1</v>
      </c>
      <c r="BZ62" s="30"/>
      <c r="CF62" s="30"/>
      <c r="CG62" s="30"/>
    </row>
    <row r="63" spans="2:85" x14ac:dyDescent="0.3">
      <c r="B63" s="33">
        <f t="shared" si="33"/>
        <v>3.6642648303665398E-2</v>
      </c>
      <c r="C63" s="33">
        <f t="shared" si="33"/>
        <v>3.7098033704055421E-2</v>
      </c>
      <c r="D63" s="33">
        <f t="shared" si="33"/>
        <v>3.6876436719273271E-2</v>
      </c>
      <c r="E63" s="106"/>
      <c r="F63" s="154"/>
      <c r="G63" s="178"/>
      <c r="H63" s="202"/>
      <c r="I63" s="33">
        <f t="shared" si="34"/>
        <v>2.8886553867280763E-2</v>
      </c>
      <c r="J63" s="33">
        <f t="shared" si="34"/>
        <v>2.8886553867280763E-2</v>
      </c>
      <c r="K63" s="33">
        <f t="shared" si="34"/>
        <v>2.8852711253349896E-2</v>
      </c>
      <c r="M63" s="33">
        <f t="shared" si="35"/>
        <v>2.8874404289891461E-2</v>
      </c>
      <c r="N63" s="33">
        <f t="shared" si="35"/>
        <v>2.8892742267079285E-2</v>
      </c>
      <c r="O63" s="33">
        <f t="shared" si="35"/>
        <v>2.8852712419645207E-2</v>
      </c>
      <c r="P63" s="33"/>
      <c r="Q63" s="33">
        <f t="shared" si="36"/>
        <v>0.1938695723830943</v>
      </c>
      <c r="R63" s="33">
        <f t="shared" si="37"/>
        <v>1.892013600740966E-2</v>
      </c>
      <c r="S63" s="33">
        <f t="shared" si="38"/>
        <v>2.2866045722355E-2</v>
      </c>
      <c r="W63" s="14">
        <f t="shared" si="57"/>
        <v>210.6</v>
      </c>
      <c r="X63" s="14">
        <f t="shared" si="58"/>
        <v>81.69</v>
      </c>
      <c r="Y63" s="14">
        <f t="shared" si="59"/>
        <v>137.55000000000001</v>
      </c>
      <c r="Z63" s="46" t="str">
        <f>"E"&amp;MATCH(LARGE($T$15:$T$38,4),$T$15:$T$38,0)+14</f>
        <v>E31</v>
      </c>
      <c r="AA63" s="211"/>
      <c r="AB63" s="47">
        <f>LARGE($T$15:$T$38,4)</f>
        <v>7.6115698396565987</v>
      </c>
      <c r="BD63" s="30">
        <v>22</v>
      </c>
      <c r="BE63" s="30">
        <f t="shared" si="39"/>
        <v>29.5</v>
      </c>
      <c r="BF63" s="30">
        <f t="shared" si="40"/>
        <v>33.25</v>
      </c>
      <c r="BG63" s="30">
        <f t="shared" si="41"/>
        <v>9</v>
      </c>
      <c r="BH63" s="30">
        <f t="shared" si="42"/>
        <v>10</v>
      </c>
      <c r="BI63" s="30"/>
      <c r="BJ63" s="30">
        <v>22</v>
      </c>
      <c r="BK63" s="30">
        <f t="shared" si="43"/>
        <v>26.5</v>
      </c>
      <c r="BL63" s="30">
        <f t="shared" si="44"/>
        <v>29.5</v>
      </c>
      <c r="BM63" s="30">
        <f t="shared" si="45"/>
        <v>8</v>
      </c>
      <c r="BN63" s="30">
        <f t="shared" si="50"/>
        <v>9</v>
      </c>
      <c r="BP63" s="30">
        <v>22</v>
      </c>
      <c r="BQ63" s="30">
        <f t="shared" si="46"/>
        <v>26.5</v>
      </c>
      <c r="BR63" s="30">
        <f t="shared" si="47"/>
        <v>29.5</v>
      </c>
      <c r="BS63" s="30">
        <f t="shared" si="48"/>
        <v>8</v>
      </c>
      <c r="BT63" s="30">
        <f t="shared" si="49"/>
        <v>9</v>
      </c>
      <c r="BV63" s="27">
        <f t="shared" si="1"/>
        <v>129.5</v>
      </c>
      <c r="BW63" s="30">
        <v>59</v>
      </c>
      <c r="BX63" s="30">
        <f t="shared" si="2"/>
        <v>129.5</v>
      </c>
      <c r="BY63" s="30">
        <f t="shared" si="3"/>
        <v>1.5</v>
      </c>
      <c r="BZ63" s="30"/>
      <c r="CF63" s="30"/>
      <c r="CG63" s="30"/>
    </row>
    <row r="64" spans="2:85" x14ac:dyDescent="0.3">
      <c r="B64" s="33">
        <f t="shared" si="33"/>
        <v>4.7100796634346031E-3</v>
      </c>
      <c r="C64" s="33">
        <f t="shared" si="33"/>
        <v>4.7100796634346031E-3</v>
      </c>
      <c r="D64" s="33">
        <f t="shared" si="33"/>
        <v>4.7100796634346031E-3</v>
      </c>
      <c r="E64" s="107"/>
      <c r="F64" s="155"/>
      <c r="G64" s="179"/>
      <c r="H64" s="203"/>
      <c r="I64" s="33">
        <f t="shared" si="34"/>
        <v>3.8066633974884246E-3</v>
      </c>
      <c r="J64" s="33">
        <f t="shared" si="34"/>
        <v>3.8066633974884246E-3</v>
      </c>
      <c r="K64" s="33">
        <f t="shared" si="34"/>
        <v>4.1545907752271296E-3</v>
      </c>
      <c r="M64" s="33">
        <f t="shared" si="35"/>
        <v>3.8050623289859202E-3</v>
      </c>
      <c r="N64" s="33">
        <f t="shared" si="35"/>
        <v>3.8074789033847025E-3</v>
      </c>
      <c r="O64" s="33">
        <f t="shared" si="35"/>
        <v>4.1545909289212807E-3</v>
      </c>
      <c r="P64" s="33"/>
      <c r="Q64" s="33">
        <f t="shared" si="36"/>
        <v>1.3638263035210738E-3</v>
      </c>
      <c r="R64" s="33">
        <f t="shared" si="37"/>
        <v>0.46272230347620774</v>
      </c>
      <c r="S64" s="33">
        <f t="shared" si="38"/>
        <v>0.46161030524254087</v>
      </c>
      <c r="W64" s="14">
        <f t="shared" si="57"/>
        <v>59.26</v>
      </c>
      <c r="X64" s="14">
        <f t="shared" si="58"/>
        <v>78.260000000000005</v>
      </c>
      <c r="Y64" s="14">
        <f t="shared" si="59"/>
        <v>181.46</v>
      </c>
      <c r="Z64" s="46" t="str">
        <f>"E"&amp;MATCH(LARGE($T$15:$T$38,5),$T$15:$T$38,0)+14</f>
        <v>E22</v>
      </c>
      <c r="AA64" s="212"/>
      <c r="AB64" s="47">
        <f>LARGE($T$15:$T$38,5)</f>
        <v>7.3262612075125704</v>
      </c>
      <c r="BD64" s="30">
        <v>23</v>
      </c>
      <c r="BE64" s="30">
        <f t="shared" si="39"/>
        <v>4.5</v>
      </c>
      <c r="BF64" s="30">
        <f t="shared" si="40"/>
        <v>7.5</v>
      </c>
      <c r="BG64" s="30">
        <f t="shared" si="41"/>
        <v>1</v>
      </c>
      <c r="BH64" s="30">
        <f t="shared" si="42"/>
        <v>2</v>
      </c>
      <c r="BI64" s="30"/>
      <c r="BJ64" s="30">
        <v>23</v>
      </c>
      <c r="BK64" s="30">
        <f t="shared" si="43"/>
        <v>4.5</v>
      </c>
      <c r="BL64" s="30">
        <f t="shared" si="44"/>
        <v>7.5</v>
      </c>
      <c r="BM64" s="30">
        <f t="shared" si="45"/>
        <v>1</v>
      </c>
      <c r="BN64" s="30">
        <f t="shared" si="50"/>
        <v>2</v>
      </c>
      <c r="BP64" s="30">
        <v>23</v>
      </c>
      <c r="BQ64" s="30">
        <f t="shared" si="46"/>
        <v>4.5</v>
      </c>
      <c r="BR64" s="30">
        <f t="shared" si="47"/>
        <v>7.5</v>
      </c>
      <c r="BS64" s="30">
        <f t="shared" si="48"/>
        <v>1</v>
      </c>
      <c r="BT64" s="30">
        <f t="shared" si="49"/>
        <v>2</v>
      </c>
      <c r="BV64" s="27">
        <f t="shared" si="1"/>
        <v>131</v>
      </c>
      <c r="BW64" s="30">
        <v>60</v>
      </c>
      <c r="BX64" s="30">
        <f t="shared" si="2"/>
        <v>131</v>
      </c>
      <c r="BY64" s="30">
        <f t="shared" si="3"/>
        <v>1.5</v>
      </c>
      <c r="BZ64" s="30"/>
      <c r="CF64" s="30"/>
      <c r="CG64" s="30"/>
    </row>
    <row r="65" spans="2:85" x14ac:dyDescent="0.3">
      <c r="N65" s="30"/>
      <c r="O65" s="30"/>
      <c r="P65" s="30"/>
      <c r="BD65" s="30">
        <v>24</v>
      </c>
      <c r="BE65" s="30">
        <f t="shared" si="39"/>
        <v>0</v>
      </c>
      <c r="BF65" s="30">
        <f t="shared" si="40"/>
        <v>4.5</v>
      </c>
      <c r="BG65" s="30">
        <f t="shared" si="41"/>
        <v>0</v>
      </c>
      <c r="BH65" s="30">
        <f t="shared" si="42"/>
        <v>1</v>
      </c>
      <c r="BI65" s="30"/>
      <c r="BJ65" s="30">
        <v>24</v>
      </c>
      <c r="BK65" s="30">
        <f t="shared" si="43"/>
        <v>0</v>
      </c>
      <c r="BL65" s="30">
        <f t="shared" si="44"/>
        <v>4.5</v>
      </c>
      <c r="BM65" s="30">
        <f t="shared" si="45"/>
        <v>0</v>
      </c>
      <c r="BN65" s="30">
        <f t="shared" si="50"/>
        <v>1</v>
      </c>
      <c r="BP65" s="30">
        <v>24</v>
      </c>
      <c r="BQ65" s="30">
        <f t="shared" si="46"/>
        <v>0</v>
      </c>
      <c r="BR65" s="30">
        <f t="shared" si="47"/>
        <v>4.5</v>
      </c>
      <c r="BS65" s="30">
        <f t="shared" si="48"/>
        <v>0</v>
      </c>
      <c r="BT65" s="30">
        <f t="shared" si="49"/>
        <v>1</v>
      </c>
      <c r="BV65" s="27">
        <f t="shared" si="1"/>
        <v>132</v>
      </c>
      <c r="BW65" s="30">
        <v>61</v>
      </c>
      <c r="BX65" s="30">
        <f t="shared" si="2"/>
        <v>132</v>
      </c>
      <c r="BY65" s="30">
        <f t="shared" si="3"/>
        <v>1</v>
      </c>
      <c r="BZ65" s="30"/>
      <c r="CF65" s="30"/>
      <c r="CG65" s="30"/>
    </row>
    <row r="66" spans="2:85" x14ac:dyDescent="0.3">
      <c r="B66" s="33" t="s">
        <v>58</v>
      </c>
      <c r="C66" s="33" t="s">
        <v>59</v>
      </c>
      <c r="D66" s="33" t="s">
        <v>60</v>
      </c>
      <c r="I66" s="30" t="s">
        <v>61</v>
      </c>
      <c r="J66" s="30" t="s">
        <v>62</v>
      </c>
      <c r="K66" s="30" t="s">
        <v>63</v>
      </c>
      <c r="M66" s="30" t="s">
        <v>64</v>
      </c>
      <c r="N66" s="30" t="s">
        <v>65</v>
      </c>
      <c r="O66" s="30" t="s">
        <v>66</v>
      </c>
      <c r="P66" s="30"/>
      <c r="Q66" s="225" t="s">
        <v>67</v>
      </c>
      <c r="R66" s="237"/>
      <c r="S66" s="237"/>
      <c r="V66" s="7"/>
      <c r="W66" s="14" t="s">
        <v>6</v>
      </c>
      <c r="X66" s="14" t="s">
        <v>9</v>
      </c>
      <c r="Y66" s="14" t="s">
        <v>16</v>
      </c>
      <c r="AA66" s="14"/>
      <c r="AB66" s="6" t="s">
        <v>38</v>
      </c>
      <c r="AC66" s="33" t="s">
        <v>40</v>
      </c>
      <c r="AD66" s="30" t="s">
        <v>41</v>
      </c>
      <c r="BD66" s="30"/>
      <c r="BE66" s="30"/>
      <c r="BF66" s="30"/>
      <c r="BG66" s="30"/>
      <c r="BH66" s="30"/>
      <c r="BI66" s="30"/>
      <c r="BJ66" s="30"/>
      <c r="BK66" s="30"/>
      <c r="BL66" s="30"/>
      <c r="BM66" s="30"/>
      <c r="BN66" s="30"/>
      <c r="BP66" s="30"/>
      <c r="BQ66" s="30"/>
      <c r="BR66" s="30"/>
      <c r="BS66" s="30"/>
      <c r="BT66" s="30"/>
      <c r="BV66" s="27">
        <f t="shared" si="1"/>
        <v>133.5</v>
      </c>
      <c r="BW66" s="30">
        <v>62</v>
      </c>
      <c r="BX66" s="30">
        <f t="shared" si="2"/>
        <v>133.5</v>
      </c>
      <c r="BY66" s="30">
        <f t="shared" si="3"/>
        <v>1.5</v>
      </c>
      <c r="BZ66" s="30"/>
      <c r="CF66" s="30"/>
      <c r="CG66" s="30"/>
    </row>
    <row r="67" spans="2:85" x14ac:dyDescent="0.3">
      <c r="B67" s="33">
        <f t="shared" ref="B67:B90" si="60">$Q$67*$B41+$R$67*$C41+$S$67*$D41</f>
        <v>0.10887463504191554</v>
      </c>
      <c r="C67" s="33">
        <f t="shared" ref="C67:C90" si="61">$Q$68*$B41+$R$68*$C41+$S$68*$D41</f>
        <v>9.3456569459082525E-2</v>
      </c>
      <c r="D67" s="33">
        <f t="shared" ref="D67:D90" si="62">$Q$69*$B41+$R$69*$C41+$S$69*$D41</f>
        <v>5.0757779099866035E-2</v>
      </c>
      <c r="E67" s="84"/>
      <c r="F67" s="132"/>
      <c r="G67" s="156"/>
      <c r="H67" s="180"/>
      <c r="I67" s="33">
        <f t="shared" ref="I67:I90" si="63">$Q$67*I41+$R$67*J41+$S$67*K41</f>
        <v>0.12857583425456184</v>
      </c>
      <c r="J67" s="33">
        <f t="shared" ref="J67:J90" si="64">$Q$68*I41+$R$68*J41+$S$68*K41</f>
        <v>0.12025171273622667</v>
      </c>
      <c r="K67" s="33">
        <f t="shared" ref="K67:K90" si="65">$Q$69*I41+$R$69*J41+$S$69*K41</f>
        <v>9.0642917706413723E-2</v>
      </c>
      <c r="M67" s="33">
        <f t="shared" ref="M67:M90" si="66">$Q$67*M41+$R$67*N41+$S$67*O41</f>
        <v>0.12856086230199013</v>
      </c>
      <c r="N67" s="33">
        <f t="shared" ref="N67:N90" si="67">$Q$68*M41+$R$68*N41+$S$68*O41</f>
        <v>0.12026129161782273</v>
      </c>
      <c r="O67" s="33">
        <f t="shared" ref="O67:O90" si="68">$Q$69*M41+$R$69*N41+$S$69*O41</f>
        <v>9.0604389310382602E-2</v>
      </c>
      <c r="P67" s="33"/>
      <c r="Q67" s="30">
        <v>0.4124564</v>
      </c>
      <c r="R67" s="30">
        <v>0.35757610000000001</v>
      </c>
      <c r="S67" s="30">
        <v>0.1804375</v>
      </c>
      <c r="T67" s="33"/>
      <c r="U67" s="33"/>
      <c r="V67" s="7"/>
      <c r="W67" s="14">
        <f>VLOOKUP($AB67,$W$118:$AC$142,4,0)</f>
        <v>248.66</v>
      </c>
      <c r="X67" s="14">
        <f>VLOOKUP($AB67,$W$118:$AC$142,6,0)</f>
        <v>216.07</v>
      </c>
      <c r="Y67" s="14">
        <f>VLOOKUP($AB67,$W$118:$AC$142,7,0)</f>
        <v>52.72</v>
      </c>
      <c r="Z67" s="46" t="str">
        <f>"E"&amp;MATCH(LARGE($W$15:$W$38,1),$W$15:$W$38,0)+14</f>
        <v>E30</v>
      </c>
      <c r="AA67" s="204"/>
      <c r="AB67" s="47">
        <f>LARGE(W15:W38,1)</f>
        <v>12.192321858837781</v>
      </c>
      <c r="AC67" s="33">
        <f>ABS(VLOOKUP($AB67,$W$15:$Z$38,3,0))</f>
        <v>50.923332395432439</v>
      </c>
      <c r="AD67" s="33">
        <f>VLOOKUP($AB67,$W$15:$Z$38,4,0)</f>
        <v>1.8915366852113145</v>
      </c>
      <c r="BD67" s="30"/>
      <c r="BE67" s="30" t="s">
        <v>122</v>
      </c>
      <c r="BF67" s="30" t="s">
        <v>123</v>
      </c>
      <c r="BG67" s="30" t="s">
        <v>124</v>
      </c>
      <c r="BH67" s="30" t="s">
        <v>125</v>
      </c>
      <c r="BI67" s="30"/>
      <c r="BJ67" s="30"/>
      <c r="BK67" s="30" t="s">
        <v>122</v>
      </c>
      <c r="BL67" s="30" t="s">
        <v>123</v>
      </c>
      <c r="BM67" s="30" t="s">
        <v>124</v>
      </c>
      <c r="BN67" s="30" t="s">
        <v>125</v>
      </c>
      <c r="BP67" s="30"/>
      <c r="BQ67" s="30" t="s">
        <v>122</v>
      </c>
      <c r="BR67" s="30" t="s">
        <v>123</v>
      </c>
      <c r="BS67" s="30" t="s">
        <v>124</v>
      </c>
      <c r="BT67" s="30" t="s">
        <v>125</v>
      </c>
      <c r="BV67" s="27">
        <f t="shared" si="1"/>
        <v>134.5</v>
      </c>
      <c r="BW67" s="30">
        <v>63</v>
      </c>
      <c r="BX67" s="30">
        <f t="shared" si="2"/>
        <v>134.5</v>
      </c>
      <c r="BY67" s="30">
        <f t="shared" si="3"/>
        <v>1</v>
      </c>
      <c r="BZ67" s="30"/>
      <c r="CF67" s="30"/>
      <c r="CG67" s="30"/>
    </row>
    <row r="68" spans="2:85" x14ac:dyDescent="0.3">
      <c r="B68" s="33">
        <f t="shared" si="60"/>
        <v>0.49043863064367643</v>
      </c>
      <c r="C68" s="33">
        <f t="shared" si="61"/>
        <v>0.43397250226610307</v>
      </c>
      <c r="D68" s="33">
        <f t="shared" si="62"/>
        <v>0.32225599756350509</v>
      </c>
      <c r="E68" s="85"/>
      <c r="F68" s="133"/>
      <c r="G68" s="157"/>
      <c r="H68" s="181"/>
      <c r="I68" s="33">
        <f t="shared" si="63"/>
        <v>0.55053035933186834</v>
      </c>
      <c r="J68" s="33">
        <f t="shared" si="64"/>
        <v>0.5368061594803496</v>
      </c>
      <c r="K68" s="33">
        <f t="shared" si="65"/>
        <v>0.47692068071206362</v>
      </c>
      <c r="M68" s="33">
        <f t="shared" si="66"/>
        <v>0.5504591300455518</v>
      </c>
      <c r="N68" s="33">
        <f t="shared" si="67"/>
        <v>0.53684167324799392</v>
      </c>
      <c r="O68" s="33">
        <f t="shared" si="68"/>
        <v>0.47676423342953822</v>
      </c>
      <c r="P68" s="33"/>
      <c r="Q68" s="30">
        <v>0.2126729</v>
      </c>
      <c r="R68" s="30">
        <v>0.71515220000000002</v>
      </c>
      <c r="S68" s="30">
        <v>7.2175000000000003E-2</v>
      </c>
      <c r="T68" s="33"/>
      <c r="U68" s="33"/>
      <c r="V68" s="7"/>
      <c r="W68" s="14">
        <f t="shared" ref="W68:W71" si="69">VLOOKUP($AB68,$W$118:$AC$142,4,0)</f>
        <v>177.63</v>
      </c>
      <c r="X68" s="14">
        <f t="shared" ref="X68:X71" si="70">VLOOKUP($AB68,$W$118:$AC$142,6,0)</f>
        <v>204.63</v>
      </c>
      <c r="Y68" s="14">
        <f t="shared" ref="Y68:Y71" si="71">VLOOKUP($AB68,$W$118:$AC$142,7,0)</f>
        <v>71.959999999999994</v>
      </c>
      <c r="Z68" s="46" t="str">
        <f>"E"&amp;MATCH(LARGE($W$15:$W$38,2),$W$15:$W$38,0)+14</f>
        <v>E25</v>
      </c>
      <c r="AA68" s="205"/>
      <c r="AB68" s="47">
        <f>LARGE(W15:W38,2)</f>
        <v>12.18650673436697</v>
      </c>
      <c r="AC68" s="33">
        <f>ABS(VLOOKUP($AB68,$W$15:$Z$38,3,0))</f>
        <v>43.775199519279667</v>
      </c>
      <c r="AD68" s="33">
        <f>VLOOKUP($AB68,$W$15:$Z$38,4,0)</f>
        <v>5.3246507144676842</v>
      </c>
      <c r="BD68" s="30">
        <v>1</v>
      </c>
      <c r="BE68" s="52">
        <f>ROUNDDOWN(BH16,0)</f>
        <v>14</v>
      </c>
      <c r="BF68" s="52">
        <f>ROUNDUP(BH16,0)</f>
        <v>15</v>
      </c>
      <c r="BG68" s="42">
        <f t="shared" ref="BG68:BG91" si="72">VLOOKUP(ROUNDUP(BE68,1),$BW$4:$BX$260,2,TRUE)</f>
        <v>45.75</v>
      </c>
      <c r="BH68" s="42">
        <f t="shared" ref="BH68:BH91" si="73">VLOOKUP(ROUNDUP(BF68,1),$BW$4:$BX$260,2,TRUE)</f>
        <v>48.75</v>
      </c>
      <c r="BI68" s="30"/>
      <c r="BJ68" s="30">
        <v>1</v>
      </c>
      <c r="BK68" s="52">
        <f t="shared" ref="BK68:BK91" si="74">ROUNDDOWN(BN16,0)</f>
        <v>8</v>
      </c>
      <c r="BL68" s="52">
        <f t="shared" ref="BL68:BL91" si="75">ROUNDUP(BN16,0)</f>
        <v>9</v>
      </c>
      <c r="BM68" s="42">
        <f>VLOOKUP(ROUNDUP(BK68,1),$BW$4:$BX$260,2,TRUE)</f>
        <v>26.5</v>
      </c>
      <c r="BN68" s="42">
        <f>VLOOKUP(ROUNDUP(BL68,1),$BW$4:$BX$260,2,TRUE)</f>
        <v>29.5</v>
      </c>
      <c r="BP68" s="30">
        <v>1</v>
      </c>
      <c r="BQ68" s="52">
        <f t="shared" ref="BQ68:BQ91" si="76">ROUNDDOWN(BT16,0)</f>
        <v>6</v>
      </c>
      <c r="BR68" s="52">
        <f t="shared" ref="BR68:BR91" si="77">ROUNDUP(BT16,0)</f>
        <v>7</v>
      </c>
      <c r="BS68" s="42">
        <f>VLOOKUP(ROUNDUP(BQ68,1),$BW$4:$BX$260,2,TRUE)</f>
        <v>19.5</v>
      </c>
      <c r="BT68" s="42">
        <f>VLOOKUP(ROUNDUP(BR68,1),$BW$4:$BX$260,2,TRUE)</f>
        <v>23</v>
      </c>
      <c r="BV68" s="27">
        <f t="shared" ref="BV68:BV131" si="78">BX68</f>
        <v>135.5</v>
      </c>
      <c r="BW68" s="30">
        <v>64</v>
      </c>
      <c r="BX68" s="30">
        <f t="shared" si="2"/>
        <v>135.5</v>
      </c>
      <c r="BY68" s="30">
        <f t="shared" si="3"/>
        <v>1</v>
      </c>
      <c r="BZ68" s="30"/>
      <c r="CF68" s="30"/>
      <c r="CG68" s="30"/>
    </row>
    <row r="69" spans="2:85" x14ac:dyDescent="0.3">
      <c r="B69" s="33">
        <f t="shared" si="60"/>
        <v>0.22029400659592391</v>
      </c>
      <c r="C69" s="33">
        <f t="shared" si="61"/>
        <v>0.22243302524731365</v>
      </c>
      <c r="D69" s="33">
        <f t="shared" si="62"/>
        <v>0.46839707697766259</v>
      </c>
      <c r="E69" s="86"/>
      <c r="F69" s="134"/>
      <c r="G69" s="158"/>
      <c r="H69" s="182"/>
      <c r="I69" s="33">
        <f t="shared" si="63"/>
        <v>0.23045737171491829</v>
      </c>
      <c r="J69" s="33">
        <f t="shared" si="64"/>
        <v>0.24341369156311482</v>
      </c>
      <c r="K69" s="33">
        <f t="shared" si="65"/>
        <v>0.35672065120840263</v>
      </c>
      <c r="M69" s="33">
        <f t="shared" si="66"/>
        <v>0.23043648192329835</v>
      </c>
      <c r="N69" s="33">
        <f t="shared" si="67"/>
        <v>0.24342762192616585</v>
      </c>
      <c r="O69" s="33">
        <f t="shared" si="68"/>
        <v>0.35675125201422792</v>
      </c>
      <c r="P69" s="33"/>
      <c r="Q69" s="30">
        <v>1.9333900000000001E-2</v>
      </c>
      <c r="R69" s="30">
        <v>0.11919200000000001</v>
      </c>
      <c r="S69" s="30">
        <v>0.95030409999999998</v>
      </c>
      <c r="T69" s="33"/>
      <c r="U69" s="33"/>
      <c r="V69" s="7"/>
      <c r="W69" s="14">
        <f t="shared" si="69"/>
        <v>2.91</v>
      </c>
      <c r="X69" s="14">
        <f t="shared" si="70"/>
        <v>17.91</v>
      </c>
      <c r="Y69" s="14">
        <f t="shared" si="71"/>
        <v>135.32</v>
      </c>
      <c r="Z69" s="46" t="str">
        <f>"E"&amp;MATCH(LARGE($W$15:$W$38,3),$W$15:$W$38,0)+14</f>
        <v>E27</v>
      </c>
      <c r="AA69" s="206"/>
      <c r="AB69" s="47">
        <f>LARGE(W15:W38,3)</f>
        <v>10.771956963032945</v>
      </c>
      <c r="AC69" s="33">
        <f>ABS(VLOOKUP($AB69,$W$15:$Z$38,3,0))</f>
        <v>41.280423758765046</v>
      </c>
      <c r="AD69" s="33">
        <f>VLOOKUP($AB69,$W$15:$Z$38,4,0)</f>
        <v>11.616274395058042</v>
      </c>
      <c r="BD69" s="30">
        <v>2</v>
      </c>
      <c r="BE69" s="52">
        <f t="shared" ref="BE69:BE91" si="79">ROUNDDOWN(BH17,0)</f>
        <v>115</v>
      </c>
      <c r="BF69" s="52">
        <f t="shared" ref="BF69:BF91" si="80">ROUNDUP(BH17,0)</f>
        <v>116</v>
      </c>
      <c r="BG69" s="42">
        <f t="shared" si="72"/>
        <v>183.75</v>
      </c>
      <c r="BH69" s="42">
        <f t="shared" si="73"/>
        <v>184.25</v>
      </c>
      <c r="BI69" s="30"/>
      <c r="BJ69" s="30">
        <v>2</v>
      </c>
      <c r="BK69" s="52">
        <f t="shared" si="74"/>
        <v>56</v>
      </c>
      <c r="BL69" s="52">
        <f t="shared" si="75"/>
        <v>57</v>
      </c>
      <c r="BM69" s="42">
        <f t="shared" ref="BM69:BM91" si="81">VLOOKUP(ROUNDUP(BK69,1),$BW$4:$BX$260,2,TRUE)</f>
        <v>125.5</v>
      </c>
      <c r="BN69" s="42">
        <f t="shared" ref="BN69:BN91" si="82">VLOOKUP(ROUNDUP(BL69,1),$BW$4:$BX$260,2,TRUE)</f>
        <v>127</v>
      </c>
      <c r="BP69" s="30">
        <v>2</v>
      </c>
      <c r="BQ69" s="52">
        <f t="shared" si="76"/>
        <v>43</v>
      </c>
      <c r="BR69" s="52">
        <f t="shared" si="77"/>
        <v>44</v>
      </c>
      <c r="BS69" s="42">
        <f t="shared" ref="BS69:BS91" si="83">VLOOKUP(ROUNDUP(BQ69,1),$BW$4:$BX$260,2,TRUE)</f>
        <v>106.5</v>
      </c>
      <c r="BT69" s="42">
        <f t="shared" ref="BT69:BT91" si="84">VLOOKUP(ROUNDUP(BR69,1),$BW$4:$BX$260,2,TRUE)</f>
        <v>108.5</v>
      </c>
      <c r="BV69" s="27">
        <f t="shared" si="78"/>
        <v>137</v>
      </c>
      <c r="BW69" s="30">
        <v>65</v>
      </c>
      <c r="BX69" s="30">
        <f t="shared" ref="BX69:BX132" si="85">VALUE(MID($CC$2,FIND("*",SUBSTITUTE($CC$2," ","*",BW69),1)+1,FIND("*",SUBSTITUTE($CC$2," ","*",BW70),1)-FIND("*",SUBSTITUTE($CC$2," ","*",BW69),1)-1))/$BH$12</f>
        <v>137</v>
      </c>
      <c r="BY69" s="30">
        <f t="shared" ref="BY69:BY132" si="86">BX69-BX68</f>
        <v>1.5</v>
      </c>
      <c r="BZ69" s="30"/>
      <c r="CF69" s="30"/>
      <c r="CG69" s="30"/>
    </row>
    <row r="70" spans="2:85" x14ac:dyDescent="0.3">
      <c r="B70" s="33">
        <f t="shared" si="60"/>
        <v>0.1007316119842125</v>
      </c>
      <c r="C70" s="33">
        <f t="shared" si="61"/>
        <v>0.1267156500657364</v>
      </c>
      <c r="D70" s="33">
        <f t="shared" si="62"/>
        <v>6.1367929743662571E-2</v>
      </c>
      <c r="E70" s="87"/>
      <c r="F70" s="135"/>
      <c r="G70" s="159"/>
      <c r="H70" s="183"/>
      <c r="I70" s="33">
        <f t="shared" si="63"/>
        <v>0.12518217738560675</v>
      </c>
      <c r="J70" s="33">
        <f t="shared" si="64"/>
        <v>0.14340445743873864</v>
      </c>
      <c r="K70" s="33">
        <f t="shared" si="65"/>
        <v>0.11659316508742731</v>
      </c>
      <c r="M70" s="33">
        <f t="shared" si="66"/>
        <v>0.12516890174120676</v>
      </c>
      <c r="N70" s="33">
        <f t="shared" si="67"/>
        <v>0.14341328187069574</v>
      </c>
      <c r="O70" s="33">
        <f t="shared" si="68"/>
        <v>0.11660836902059368</v>
      </c>
      <c r="P70" s="33"/>
      <c r="Q70" s="30"/>
      <c r="R70" s="30"/>
      <c r="S70" s="30"/>
      <c r="T70" s="33"/>
      <c r="U70" s="33"/>
      <c r="V70" s="7"/>
      <c r="W70" s="14">
        <f t="shared" si="69"/>
        <v>67.41</v>
      </c>
      <c r="X70" s="14">
        <f t="shared" si="70"/>
        <v>143.4</v>
      </c>
      <c r="Y70" s="14">
        <f t="shared" si="71"/>
        <v>71.41</v>
      </c>
      <c r="Z70" s="46" t="str">
        <f>"E"&amp;MATCH(LARGE($W$15:$W$38,4),$W$15:$W$38,0)+14</f>
        <v>E28</v>
      </c>
      <c r="AA70" s="207"/>
      <c r="AB70" s="47">
        <f>LARGE(W15:W38,4)</f>
        <v>10.263132708205196</v>
      </c>
      <c r="AC70" s="33">
        <f>ABS(VLOOKUP($AB70,$W$15:$Z$38,3,0))</f>
        <v>26.211573389201469</v>
      </c>
      <c r="AD70" s="33">
        <f>VLOOKUP($AB70,$W$15:$Z$38,4,0)</f>
        <v>8.1400808017078674</v>
      </c>
      <c r="BD70" s="30">
        <v>3</v>
      </c>
      <c r="BE70" s="52">
        <f t="shared" si="79"/>
        <v>15</v>
      </c>
      <c r="BF70" s="52">
        <f t="shared" si="80"/>
        <v>16</v>
      </c>
      <c r="BG70" s="42">
        <f t="shared" si="72"/>
        <v>48.75</v>
      </c>
      <c r="BH70" s="42">
        <f t="shared" si="73"/>
        <v>51.75</v>
      </c>
      <c r="BI70" s="30"/>
      <c r="BJ70" s="30">
        <v>3</v>
      </c>
      <c r="BK70" s="52">
        <f t="shared" si="74"/>
        <v>20</v>
      </c>
      <c r="BL70" s="52">
        <f t="shared" si="75"/>
        <v>21</v>
      </c>
      <c r="BM70" s="42">
        <f t="shared" si="81"/>
        <v>62.25</v>
      </c>
      <c r="BN70" s="42">
        <f t="shared" si="82"/>
        <v>64.75</v>
      </c>
      <c r="BP70" s="30">
        <v>3</v>
      </c>
      <c r="BQ70" s="52">
        <f t="shared" si="76"/>
        <v>31</v>
      </c>
      <c r="BR70" s="52">
        <f t="shared" si="77"/>
        <v>32</v>
      </c>
      <c r="BS70" s="42">
        <f t="shared" si="83"/>
        <v>86.25</v>
      </c>
      <c r="BT70" s="42">
        <f t="shared" si="84"/>
        <v>87.75</v>
      </c>
      <c r="BV70" s="27">
        <f t="shared" si="78"/>
        <v>138</v>
      </c>
      <c r="BW70" s="30">
        <v>66</v>
      </c>
      <c r="BX70" s="30">
        <f t="shared" si="85"/>
        <v>138</v>
      </c>
      <c r="BY70" s="30">
        <f t="shared" si="86"/>
        <v>1</v>
      </c>
      <c r="BZ70" s="30"/>
      <c r="CF70" s="30"/>
      <c r="CG70" s="30"/>
    </row>
    <row r="71" spans="2:85" x14ac:dyDescent="0.3">
      <c r="B71" s="33">
        <f t="shared" si="60"/>
        <v>0.31786031062526376</v>
      </c>
      <c r="C71" s="33">
        <f t="shared" si="61"/>
        <v>0.27792295632439079</v>
      </c>
      <c r="D71" s="33">
        <f t="shared" si="62"/>
        <v>0.53085454584852521</v>
      </c>
      <c r="E71" s="88"/>
      <c r="F71" s="136"/>
      <c r="G71" s="160"/>
      <c r="H71" s="184"/>
      <c r="I71" s="33">
        <f t="shared" si="63"/>
        <v>0.33784376810790306</v>
      </c>
      <c r="J71" s="33">
        <f t="shared" si="64"/>
        <v>0.32668645516439038</v>
      </c>
      <c r="K71" s="33">
        <f t="shared" si="65"/>
        <v>0.43900943685822891</v>
      </c>
      <c r="M71" s="33">
        <f t="shared" si="66"/>
        <v>0.33781022256159554</v>
      </c>
      <c r="N71" s="33">
        <f t="shared" si="67"/>
        <v>0.32670829968427734</v>
      </c>
      <c r="O71" s="33">
        <f t="shared" si="68"/>
        <v>0.43898018462655813</v>
      </c>
      <c r="P71" s="33"/>
      <c r="Q71" s="225" t="s">
        <v>68</v>
      </c>
      <c r="R71" s="237"/>
      <c r="S71" s="237"/>
      <c r="T71" s="33"/>
      <c r="U71" s="33"/>
      <c r="V71" s="7"/>
      <c r="W71" s="14">
        <f t="shared" si="69"/>
        <v>242.26</v>
      </c>
      <c r="X71" s="14">
        <f t="shared" si="70"/>
        <v>175.26</v>
      </c>
      <c r="Y71" s="14">
        <f t="shared" si="71"/>
        <v>44.28</v>
      </c>
      <c r="Z71" s="46" t="str">
        <f>"E"&amp;MATCH(LARGE($W$15:$W$38,5),$W$15:$W$38,0)+14</f>
        <v>E26</v>
      </c>
      <c r="AA71" s="208"/>
      <c r="AB71" s="47">
        <f>LARGE(W15:W38,5)</f>
        <v>10.22481818569304</v>
      </c>
      <c r="AC71" s="33">
        <f>ABS(VLOOKUP($AB71,$W$15:$Z$38,3,0))</f>
        <v>42.828614872577838</v>
      </c>
      <c r="AD71" s="33">
        <f>VLOOKUP($AB71,$W$15:$Z$38,4,0)</f>
        <v>2.7349695661997093</v>
      </c>
      <c r="BD71" s="30">
        <v>4</v>
      </c>
      <c r="BE71" s="52">
        <f t="shared" si="79"/>
        <v>9</v>
      </c>
      <c r="BF71" s="52">
        <f t="shared" si="80"/>
        <v>10</v>
      </c>
      <c r="BG71" s="42">
        <f t="shared" si="72"/>
        <v>29.5</v>
      </c>
      <c r="BH71" s="42">
        <f t="shared" si="73"/>
        <v>33.25</v>
      </c>
      <c r="BI71" s="30"/>
      <c r="BJ71" s="30">
        <v>4</v>
      </c>
      <c r="BK71" s="52">
        <f t="shared" si="74"/>
        <v>11</v>
      </c>
      <c r="BL71" s="52">
        <f t="shared" si="75"/>
        <v>12</v>
      </c>
      <c r="BM71" s="42">
        <f t="shared" si="81"/>
        <v>36.75</v>
      </c>
      <c r="BN71" s="42">
        <f t="shared" si="82"/>
        <v>39.75</v>
      </c>
      <c r="BP71" s="30">
        <v>4</v>
      </c>
      <c r="BQ71" s="52">
        <f t="shared" si="76"/>
        <v>7</v>
      </c>
      <c r="BR71" s="52">
        <f t="shared" si="77"/>
        <v>8</v>
      </c>
      <c r="BS71" s="42">
        <f t="shared" si="83"/>
        <v>23</v>
      </c>
      <c r="BT71" s="42">
        <f t="shared" si="84"/>
        <v>26.5</v>
      </c>
      <c r="BV71" s="27">
        <f t="shared" si="78"/>
        <v>139.5</v>
      </c>
      <c r="BW71" s="30">
        <v>67</v>
      </c>
      <c r="BX71" s="30">
        <f t="shared" si="85"/>
        <v>139.5</v>
      </c>
      <c r="BY71" s="30">
        <f t="shared" si="86"/>
        <v>1.5</v>
      </c>
      <c r="BZ71" s="30"/>
      <c r="CF71" s="30"/>
      <c r="CG71" s="30"/>
    </row>
    <row r="72" spans="2:85" x14ac:dyDescent="0.3">
      <c r="B72" s="33">
        <f t="shared" si="60"/>
        <v>0.40778658326991529</v>
      </c>
      <c r="C72" s="33">
        <f t="shared" si="61"/>
        <v>0.52477210901448035</v>
      </c>
      <c r="D72" s="33">
        <f t="shared" si="62"/>
        <v>0.63288976698287081</v>
      </c>
      <c r="E72" s="89"/>
      <c r="F72" s="137"/>
      <c r="G72" s="161"/>
      <c r="H72" s="185"/>
      <c r="I72" s="33">
        <f t="shared" si="63"/>
        <v>0.42569763873910726</v>
      </c>
      <c r="J72" s="33">
        <f t="shared" si="64"/>
        <v>0.49549283151031231</v>
      </c>
      <c r="K72" s="33">
        <f t="shared" si="65"/>
        <v>0.58597105779782299</v>
      </c>
      <c r="M72" s="33">
        <f t="shared" si="66"/>
        <v>0.42565791568217648</v>
      </c>
      <c r="N72" s="33">
        <f t="shared" si="67"/>
        <v>0.4955197062778155</v>
      </c>
      <c r="O72" s="33">
        <f t="shared" si="68"/>
        <v>0.58608676269058679</v>
      </c>
      <c r="P72" s="33"/>
      <c r="Q72" s="30">
        <v>0.95040000000000002</v>
      </c>
      <c r="R72" s="30">
        <v>1</v>
      </c>
      <c r="S72" s="30">
        <v>1.0888</v>
      </c>
      <c r="T72" s="33"/>
      <c r="U72" s="33"/>
      <c r="V72" s="7"/>
      <c r="W72" s="7"/>
      <c r="X72" s="7"/>
      <c r="Y72" s="7"/>
      <c r="Z72" s="7"/>
      <c r="BD72" s="30">
        <v>5</v>
      </c>
      <c r="BE72" s="52">
        <f t="shared" si="79"/>
        <v>36</v>
      </c>
      <c r="BF72" s="52">
        <f t="shared" si="80"/>
        <v>37</v>
      </c>
      <c r="BG72" s="42">
        <f t="shared" si="72"/>
        <v>95.25</v>
      </c>
      <c r="BH72" s="42">
        <f t="shared" si="73"/>
        <v>97</v>
      </c>
      <c r="BI72" s="30"/>
      <c r="BJ72" s="30">
        <v>5</v>
      </c>
      <c r="BK72" s="52">
        <f t="shared" si="74"/>
        <v>26</v>
      </c>
      <c r="BL72" s="52">
        <f>ROUNDUP(BN20,0)</f>
        <v>27</v>
      </c>
      <c r="BM72" s="42">
        <f t="shared" si="81"/>
        <v>76.25</v>
      </c>
      <c r="BN72" s="42">
        <f t="shared" si="82"/>
        <v>78.25</v>
      </c>
      <c r="BP72" s="30">
        <v>5</v>
      </c>
      <c r="BQ72" s="52">
        <f t="shared" si="76"/>
        <v>42</v>
      </c>
      <c r="BR72" s="52">
        <f t="shared" si="77"/>
        <v>43</v>
      </c>
      <c r="BS72" s="42">
        <f t="shared" si="83"/>
        <v>105</v>
      </c>
      <c r="BT72" s="42">
        <f t="shared" si="84"/>
        <v>106.5</v>
      </c>
      <c r="BV72" s="27">
        <f t="shared" si="78"/>
        <v>141</v>
      </c>
      <c r="BW72" s="30">
        <v>68</v>
      </c>
      <c r="BX72" s="30">
        <f t="shared" si="85"/>
        <v>141</v>
      </c>
      <c r="BY72" s="30">
        <f t="shared" si="86"/>
        <v>1.5</v>
      </c>
      <c r="BZ72" s="30"/>
      <c r="CF72" s="30"/>
      <c r="CG72" s="30"/>
    </row>
    <row r="73" spans="2:85" x14ac:dyDescent="0.3">
      <c r="B73" s="33">
        <f t="shared" si="60"/>
        <v>0.44451326427195914</v>
      </c>
      <c r="C73" s="33">
        <f t="shared" si="61"/>
        <v>0.36187320054557132</v>
      </c>
      <c r="D73" s="33">
        <f t="shared" si="62"/>
        <v>7.1412229192585275E-2</v>
      </c>
      <c r="E73" s="90"/>
      <c r="F73" s="138"/>
      <c r="G73" s="162"/>
      <c r="H73" s="186"/>
      <c r="I73" s="33">
        <f t="shared" si="63"/>
        <v>0.43984752723659154</v>
      </c>
      <c r="J73" s="33">
        <f t="shared" si="64"/>
        <v>0.40990391402131388</v>
      </c>
      <c r="K73" s="33">
        <f t="shared" si="65"/>
        <v>0.22647276822394682</v>
      </c>
      <c r="M73" s="33">
        <f t="shared" si="66"/>
        <v>0.43979395543371497</v>
      </c>
      <c r="N73" s="33">
        <f t="shared" si="67"/>
        <v>0.40993806281174211</v>
      </c>
      <c r="O73" s="33">
        <f t="shared" si="68"/>
        <v>0.22631613174590212</v>
      </c>
      <c r="P73" s="33"/>
      <c r="Q73" s="30"/>
      <c r="T73" s="33"/>
      <c r="U73" s="33"/>
      <c r="V73" s="7"/>
      <c r="W73" s="14" t="s">
        <v>6</v>
      </c>
      <c r="X73" s="14" t="s">
        <v>9</v>
      </c>
      <c r="Y73" s="14" t="s">
        <v>16</v>
      </c>
      <c r="Z73" s="48"/>
      <c r="AB73" s="33" t="s">
        <v>40</v>
      </c>
      <c r="BD73" s="30">
        <v>6</v>
      </c>
      <c r="BE73" s="52">
        <f t="shared" si="79"/>
        <v>29</v>
      </c>
      <c r="BF73" s="52">
        <f t="shared" si="80"/>
        <v>30</v>
      </c>
      <c r="BG73" s="42">
        <f t="shared" si="72"/>
        <v>82.25</v>
      </c>
      <c r="BH73" s="42">
        <f t="shared" si="73"/>
        <v>84.25</v>
      </c>
      <c r="BI73" s="30"/>
      <c r="BJ73" s="30">
        <v>6</v>
      </c>
      <c r="BK73" s="52">
        <f t="shared" si="74"/>
        <v>66</v>
      </c>
      <c r="BL73" s="52">
        <f t="shared" si="75"/>
        <v>67</v>
      </c>
      <c r="BM73" s="42">
        <f t="shared" si="81"/>
        <v>138</v>
      </c>
      <c r="BN73" s="42">
        <f t="shared" si="82"/>
        <v>139.5</v>
      </c>
      <c r="BP73" s="30">
        <v>6</v>
      </c>
      <c r="BQ73" s="52">
        <f t="shared" si="76"/>
        <v>66</v>
      </c>
      <c r="BR73" s="52">
        <f t="shared" si="77"/>
        <v>67</v>
      </c>
      <c r="BS73" s="42">
        <f t="shared" si="83"/>
        <v>138</v>
      </c>
      <c r="BT73" s="42">
        <f t="shared" si="84"/>
        <v>139.5</v>
      </c>
      <c r="BV73" s="27">
        <f t="shared" si="78"/>
        <v>142</v>
      </c>
      <c r="BW73" s="30">
        <v>69</v>
      </c>
      <c r="BX73" s="30">
        <f t="shared" si="85"/>
        <v>142</v>
      </c>
      <c r="BY73" s="30">
        <f t="shared" si="86"/>
        <v>1</v>
      </c>
      <c r="BZ73" s="30"/>
      <c r="CF73" s="30"/>
      <c r="CG73" s="30"/>
    </row>
    <row r="74" spans="2:85" x14ac:dyDescent="0.3">
      <c r="B74" s="33">
        <f t="shared" si="60"/>
        <v>0.12946925222574807</v>
      </c>
      <c r="C74" s="33">
        <f t="shared" si="61"/>
        <v>9.7774761090905798E-2</v>
      </c>
      <c r="D74" s="33">
        <f t="shared" si="62"/>
        <v>0.45159870887313913</v>
      </c>
      <c r="E74" s="91"/>
      <c r="F74" s="139"/>
      <c r="G74" s="163"/>
      <c r="H74" s="187"/>
      <c r="I74" s="33">
        <f t="shared" si="63"/>
        <v>0.10063825064911619</v>
      </c>
      <c r="J74" s="33">
        <f t="shared" si="64"/>
        <v>9.6179467005026276E-2</v>
      </c>
      <c r="K74" s="33">
        <f t="shared" si="65"/>
        <v>0.22865616020269994</v>
      </c>
      <c r="M74" s="33">
        <f t="shared" si="66"/>
        <v>0.10063095819644932</v>
      </c>
      <c r="N74" s="33">
        <f t="shared" si="67"/>
        <v>9.6184362037987872E-2</v>
      </c>
      <c r="O74" s="33">
        <f t="shared" si="68"/>
        <v>0.22867162661236895</v>
      </c>
      <c r="P74" s="33"/>
      <c r="Q74" s="225" t="s">
        <v>69</v>
      </c>
      <c r="R74" s="237"/>
      <c r="S74" s="237"/>
      <c r="T74" s="33"/>
      <c r="U74" s="33"/>
      <c r="V74" s="7"/>
      <c r="W74" s="14">
        <f>VLOOKUP($AB74,$X$118:$AC$142,3,0)</f>
        <v>248.66</v>
      </c>
      <c r="X74" s="14">
        <f>VLOOKUP($AB74,$X$118:$AC$142,5,0)</f>
        <v>216.07</v>
      </c>
      <c r="Y74" s="14">
        <f>VLOOKUP($AB74,$X$118:$AC$142,6,0)</f>
        <v>52.72</v>
      </c>
      <c r="Z74" s="46" t="str">
        <f>"E"&amp;MATCH(LARGE($X$119:$X$142,1),$X$119:$X$142,0)+14</f>
        <v>E30</v>
      </c>
      <c r="AA74" s="204"/>
      <c r="AB74" s="47">
        <f>LARGE($X$119:$X$142,1)</f>
        <v>50.923332395432439</v>
      </c>
      <c r="BD74" s="30">
        <v>7</v>
      </c>
      <c r="BE74" s="52">
        <f t="shared" si="79"/>
        <v>102</v>
      </c>
      <c r="BF74" s="52">
        <f t="shared" si="80"/>
        <v>103</v>
      </c>
      <c r="BG74" s="42">
        <f t="shared" si="72"/>
        <v>173.75</v>
      </c>
      <c r="BH74" s="42">
        <f t="shared" si="73"/>
        <v>174.75</v>
      </c>
      <c r="BI74" s="30"/>
      <c r="BJ74" s="30">
        <v>7</v>
      </c>
      <c r="BK74" s="52">
        <f t="shared" si="74"/>
        <v>33</v>
      </c>
      <c r="BL74" s="52">
        <f t="shared" si="75"/>
        <v>34</v>
      </c>
      <c r="BM74" s="42">
        <f t="shared" si="81"/>
        <v>89.25</v>
      </c>
      <c r="BN74" s="42">
        <f t="shared" si="82"/>
        <v>91.25</v>
      </c>
      <c r="BP74" s="30">
        <v>7</v>
      </c>
      <c r="BQ74" s="52">
        <f t="shared" si="76"/>
        <v>14</v>
      </c>
      <c r="BR74" s="52">
        <f t="shared" si="77"/>
        <v>15</v>
      </c>
      <c r="BS74" s="42">
        <f t="shared" si="83"/>
        <v>45.75</v>
      </c>
      <c r="BT74" s="42">
        <f t="shared" si="84"/>
        <v>48.75</v>
      </c>
      <c r="BV74" s="27">
        <f t="shared" si="78"/>
        <v>143</v>
      </c>
      <c r="BW74" s="30">
        <v>70</v>
      </c>
      <c r="BX74" s="30">
        <f t="shared" si="85"/>
        <v>143</v>
      </c>
      <c r="BY74" s="30">
        <f t="shared" si="86"/>
        <v>1</v>
      </c>
      <c r="BZ74" s="30"/>
      <c r="CF74" s="30"/>
      <c r="CG74" s="30"/>
    </row>
    <row r="75" spans="2:85" x14ac:dyDescent="0.3">
      <c r="B75" s="33">
        <f t="shared" si="60"/>
        <v>0.38749016908055883</v>
      </c>
      <c r="C75" s="33">
        <f t="shared" si="61"/>
        <v>0.25032347766718266</v>
      </c>
      <c r="D75" s="33">
        <f t="shared" si="62"/>
        <v>0.1311953995940823</v>
      </c>
      <c r="E75" s="92"/>
      <c r="F75" s="140"/>
      <c r="G75" s="164"/>
      <c r="H75" s="188"/>
      <c r="I75" s="33">
        <f t="shared" si="63"/>
        <v>0.34100863885950355</v>
      </c>
      <c r="J75" s="33">
        <f t="shared" si="64"/>
        <v>0.28051523681430568</v>
      </c>
      <c r="K75" s="33">
        <f t="shared" si="65"/>
        <v>0.19540773070232048</v>
      </c>
      <c r="M75" s="33">
        <f t="shared" si="66"/>
        <v>0.34096693047580856</v>
      </c>
      <c r="N75" s="33">
        <f t="shared" si="67"/>
        <v>0.2805414338441371</v>
      </c>
      <c r="O75" s="33">
        <f t="shared" si="68"/>
        <v>0.1952276520049864</v>
      </c>
      <c r="P75" s="33"/>
      <c r="Q75" s="22" t="s">
        <v>70</v>
      </c>
      <c r="R75" s="22" t="s">
        <v>71</v>
      </c>
      <c r="S75" s="22" t="s">
        <v>72</v>
      </c>
      <c r="T75" s="33"/>
      <c r="U75" s="33"/>
      <c r="V75" s="7"/>
      <c r="W75" s="14">
        <f t="shared" ref="W75:W78" si="87">VLOOKUP($AB75,$X$118:$AC$142,3,0)</f>
        <v>177.63</v>
      </c>
      <c r="X75" s="14">
        <f t="shared" ref="X75:X78" si="88">VLOOKUP($AB75,$X$118:$AC$142,5,0)</f>
        <v>204.63</v>
      </c>
      <c r="Y75" s="14">
        <f t="shared" ref="Y75:Y78" si="89">VLOOKUP($AB75,$X$118:$AC$142,6,0)</f>
        <v>71.959999999999994</v>
      </c>
      <c r="Z75" s="46" t="str">
        <f>"E"&amp;MATCH(LARGE($X$119:$X$142,2),$X$119:$X$142,0)+14</f>
        <v>E25</v>
      </c>
      <c r="AA75" s="205"/>
      <c r="AB75" s="47">
        <f>LARGE($X$119:$X$142,2)</f>
        <v>43.775199519279667</v>
      </c>
      <c r="BD75" s="30">
        <v>8</v>
      </c>
      <c r="BE75" s="52">
        <f t="shared" si="79"/>
        <v>4</v>
      </c>
      <c r="BF75" s="52">
        <f t="shared" si="80"/>
        <v>5</v>
      </c>
      <c r="BG75" s="42">
        <f t="shared" si="72"/>
        <v>13.5</v>
      </c>
      <c r="BH75" s="42">
        <f t="shared" si="73"/>
        <v>16.5</v>
      </c>
      <c r="BI75" s="30"/>
      <c r="BJ75" s="30">
        <v>8</v>
      </c>
      <c r="BK75" s="52">
        <f t="shared" si="74"/>
        <v>7</v>
      </c>
      <c r="BL75" s="52">
        <f t="shared" si="75"/>
        <v>8</v>
      </c>
      <c r="BM75" s="42">
        <f t="shared" si="81"/>
        <v>23</v>
      </c>
      <c r="BN75" s="42">
        <f t="shared" si="82"/>
        <v>26.5</v>
      </c>
      <c r="BP75" s="30">
        <v>8</v>
      </c>
      <c r="BQ75" s="52">
        <f t="shared" si="76"/>
        <v>18</v>
      </c>
      <c r="BR75" s="52">
        <f t="shared" si="77"/>
        <v>19</v>
      </c>
      <c r="BS75" s="42">
        <f t="shared" si="83"/>
        <v>56.75</v>
      </c>
      <c r="BT75" s="42">
        <f t="shared" si="84"/>
        <v>59.75</v>
      </c>
      <c r="BV75" s="27">
        <f t="shared" si="78"/>
        <v>144</v>
      </c>
      <c r="BW75" s="30">
        <v>71</v>
      </c>
      <c r="BX75" s="30">
        <f t="shared" si="85"/>
        <v>144</v>
      </c>
      <c r="BY75" s="30">
        <f t="shared" si="86"/>
        <v>1</v>
      </c>
      <c r="BZ75" s="30"/>
      <c r="CF75" s="30"/>
      <c r="CG75" s="30"/>
    </row>
    <row r="76" spans="2:85" x14ac:dyDescent="0.3">
      <c r="B76" s="33">
        <f t="shared" si="60"/>
        <v>6.6247900217218311E-2</v>
      </c>
      <c r="C76" s="33">
        <f t="shared" si="61"/>
        <v>4.4599179035821439E-2</v>
      </c>
      <c r="D76" s="33">
        <f t="shared" si="62"/>
        <v>8.8956459828271384E-2</v>
      </c>
      <c r="E76" s="93"/>
      <c r="F76" s="141"/>
      <c r="G76" s="165"/>
      <c r="H76" s="189"/>
      <c r="I76" s="33">
        <f t="shared" si="63"/>
        <v>6.4067974913329592E-2</v>
      </c>
      <c r="J76" s="33">
        <f t="shared" si="64"/>
        <v>5.2013612030618363E-2</v>
      </c>
      <c r="K76" s="33">
        <f t="shared" si="65"/>
        <v>6.845842248502515E-2</v>
      </c>
      <c r="M76" s="33">
        <f t="shared" si="66"/>
        <v>6.406100833226834E-2</v>
      </c>
      <c r="N76" s="33">
        <f t="shared" si="67"/>
        <v>5.2018011448062521E-2</v>
      </c>
      <c r="O76" s="33">
        <f t="shared" si="68"/>
        <v>6.8431881711015108E-2</v>
      </c>
      <c r="P76" s="33"/>
      <c r="Q76" s="30">
        <v>1</v>
      </c>
      <c r="R76" s="30">
        <v>1</v>
      </c>
      <c r="S76" s="30">
        <v>1</v>
      </c>
      <c r="T76" s="33"/>
      <c r="U76" s="33"/>
      <c r="V76" s="7"/>
      <c r="W76" s="14">
        <f t="shared" si="87"/>
        <v>242.26</v>
      </c>
      <c r="X76" s="14">
        <f t="shared" si="88"/>
        <v>175.26</v>
      </c>
      <c r="Y76" s="14">
        <f t="shared" si="89"/>
        <v>44.28</v>
      </c>
      <c r="Z76" s="46" t="str">
        <f>"E"&amp;MATCH(LARGE($X$119:$X$142,3),$X$119:$X$142,0)+14</f>
        <v>E26</v>
      </c>
      <c r="AA76" s="208"/>
      <c r="AB76" s="47">
        <f>LARGE($X$119:$X$142,3)</f>
        <v>42.828614872577838</v>
      </c>
      <c r="BD76" s="30">
        <v>9</v>
      </c>
      <c r="BE76" s="52">
        <f t="shared" si="79"/>
        <v>73</v>
      </c>
      <c r="BF76" s="52">
        <f t="shared" si="80"/>
        <v>74</v>
      </c>
      <c r="BG76" s="42">
        <f t="shared" si="72"/>
        <v>146</v>
      </c>
      <c r="BH76" s="42">
        <f t="shared" si="73"/>
        <v>147</v>
      </c>
      <c r="BI76" s="30"/>
      <c r="BJ76" s="30">
        <v>9</v>
      </c>
      <c r="BK76" s="52">
        <f t="shared" si="74"/>
        <v>16</v>
      </c>
      <c r="BL76" s="52">
        <f t="shared" si="75"/>
        <v>17</v>
      </c>
      <c r="BM76" s="42">
        <f t="shared" si="81"/>
        <v>51.75</v>
      </c>
      <c r="BN76" s="42">
        <f t="shared" si="82"/>
        <v>54.25</v>
      </c>
      <c r="BP76" s="30">
        <v>9</v>
      </c>
      <c r="BQ76" s="52">
        <f t="shared" si="76"/>
        <v>13</v>
      </c>
      <c r="BR76" s="52">
        <f t="shared" si="77"/>
        <v>14</v>
      </c>
      <c r="BS76" s="42">
        <f t="shared" si="83"/>
        <v>42.75</v>
      </c>
      <c r="BT76" s="42">
        <f t="shared" si="84"/>
        <v>45.75</v>
      </c>
      <c r="BV76" s="27">
        <f t="shared" si="78"/>
        <v>145</v>
      </c>
      <c r="BW76" s="30">
        <v>72</v>
      </c>
      <c r="BX76" s="30">
        <f t="shared" si="85"/>
        <v>145</v>
      </c>
      <c r="BY76" s="30">
        <f t="shared" si="86"/>
        <v>1</v>
      </c>
      <c r="BZ76" s="30"/>
      <c r="CF76" s="30"/>
      <c r="CG76" s="30"/>
    </row>
    <row r="77" spans="2:85" x14ac:dyDescent="0.3">
      <c r="B77" s="33">
        <f t="shared" si="60"/>
        <v>0.41187257842757896</v>
      </c>
      <c r="C77" s="33">
        <f t="shared" si="61"/>
        <v>0.53374616237864958</v>
      </c>
      <c r="D77" s="33">
        <f t="shared" si="62"/>
        <v>0.1425533520297764</v>
      </c>
      <c r="E77" s="94"/>
      <c r="F77" s="142"/>
      <c r="G77" s="166"/>
      <c r="H77" s="190"/>
      <c r="I77" s="33">
        <f t="shared" si="63"/>
        <v>0.39683883801428071</v>
      </c>
      <c r="J77" s="33">
        <f t="shared" si="64"/>
        <v>0.45915928080358903</v>
      </c>
      <c r="K77" s="33">
        <f t="shared" si="65"/>
        <v>0.33502080741255247</v>
      </c>
      <c r="M77" s="33">
        <f t="shared" si="66"/>
        <v>0.3967958797027864</v>
      </c>
      <c r="N77" s="33">
        <f t="shared" si="67"/>
        <v>0.45918781931735281</v>
      </c>
      <c r="O77" s="33">
        <f t="shared" si="68"/>
        <v>0.33506758272484216</v>
      </c>
      <c r="P77" s="33"/>
      <c r="Q77" s="22" t="s">
        <v>73</v>
      </c>
      <c r="R77" s="22" t="s">
        <v>74</v>
      </c>
      <c r="S77" s="30"/>
      <c r="T77" s="33"/>
      <c r="U77" s="33"/>
      <c r="V77" s="7"/>
      <c r="W77" s="14">
        <f t="shared" si="87"/>
        <v>2.91</v>
      </c>
      <c r="X77" s="14">
        <f t="shared" si="88"/>
        <v>17.91</v>
      </c>
      <c r="Y77" s="14">
        <f t="shared" si="89"/>
        <v>135.32</v>
      </c>
      <c r="Z77" s="46" t="str">
        <f>"E"&amp;MATCH(LARGE($X$119:$X$142,4),$X$119:$X$142,0)+14</f>
        <v>E27</v>
      </c>
      <c r="AA77" s="206"/>
      <c r="AB77" s="47">
        <f>LARGE($X$119:$X$142,4)</f>
        <v>41.280423758765046</v>
      </c>
      <c r="BD77" s="30">
        <v>10</v>
      </c>
      <c r="BE77" s="52">
        <f t="shared" si="79"/>
        <v>7</v>
      </c>
      <c r="BF77" s="52">
        <f t="shared" si="80"/>
        <v>8</v>
      </c>
      <c r="BG77" s="42">
        <f t="shared" si="72"/>
        <v>23</v>
      </c>
      <c r="BH77" s="42">
        <f t="shared" si="73"/>
        <v>26.5</v>
      </c>
      <c r="BI77" s="30"/>
      <c r="BJ77" s="30">
        <v>10</v>
      </c>
      <c r="BK77" s="52">
        <f t="shared" si="74"/>
        <v>2</v>
      </c>
      <c r="BL77" s="52">
        <f t="shared" si="75"/>
        <v>3</v>
      </c>
      <c r="BM77" s="42">
        <f t="shared" si="81"/>
        <v>7.5</v>
      </c>
      <c r="BN77" s="42">
        <f t="shared" si="82"/>
        <v>10.5</v>
      </c>
      <c r="BP77" s="30">
        <v>10</v>
      </c>
      <c r="BQ77" s="52">
        <f t="shared" si="76"/>
        <v>5</v>
      </c>
      <c r="BR77" s="52">
        <f t="shared" si="77"/>
        <v>6</v>
      </c>
      <c r="BS77" s="42">
        <f t="shared" si="83"/>
        <v>16.5</v>
      </c>
      <c r="BT77" s="42">
        <f t="shared" si="84"/>
        <v>19.5</v>
      </c>
      <c r="BV77" s="27">
        <f t="shared" si="78"/>
        <v>146</v>
      </c>
      <c r="BW77" s="30">
        <v>73</v>
      </c>
      <c r="BX77" s="30">
        <f t="shared" si="85"/>
        <v>146</v>
      </c>
      <c r="BY77" s="30">
        <f t="shared" si="86"/>
        <v>1</v>
      </c>
      <c r="BZ77" s="30"/>
      <c r="CF77" s="30"/>
      <c r="CG77" s="30"/>
    </row>
    <row r="78" spans="2:85" x14ac:dyDescent="0.3">
      <c r="B78" s="33">
        <f t="shared" si="60"/>
        <v>0.52551626404999863</v>
      </c>
      <c r="C78" s="33">
        <f t="shared" si="61"/>
        <v>0.49872873287098674</v>
      </c>
      <c r="D78" s="33">
        <f t="shared" si="62"/>
        <v>9.2687515640650003E-2</v>
      </c>
      <c r="E78" s="95"/>
      <c r="F78" s="143"/>
      <c r="G78" s="167"/>
      <c r="H78" s="191"/>
      <c r="I78" s="33">
        <f t="shared" si="63"/>
        <v>0.48718883901221099</v>
      </c>
      <c r="J78" s="33">
        <f t="shared" si="64"/>
        <v>0.48491337221069641</v>
      </c>
      <c r="K78" s="33">
        <f t="shared" si="65"/>
        <v>0.29171737824682514</v>
      </c>
      <c r="M78" s="33">
        <f t="shared" si="66"/>
        <v>0.48713123965205551</v>
      </c>
      <c r="N78" s="33">
        <f t="shared" si="67"/>
        <v>0.48495048239355376</v>
      </c>
      <c r="O78" s="33">
        <f t="shared" si="68"/>
        <v>0.29160776955695222</v>
      </c>
      <c r="P78" s="33"/>
      <c r="Q78" s="30">
        <v>4.4999999999999998E-2</v>
      </c>
      <c r="R78" s="30">
        <v>1.4999999999999999E-2</v>
      </c>
      <c r="S78" s="30"/>
      <c r="T78" s="33"/>
      <c r="U78" s="33"/>
      <c r="V78" s="7"/>
      <c r="W78" s="14">
        <f t="shared" si="87"/>
        <v>237.21</v>
      </c>
      <c r="X78" s="14">
        <f t="shared" si="88"/>
        <v>137.21</v>
      </c>
      <c r="Y78" s="14">
        <f t="shared" si="89"/>
        <v>45.15</v>
      </c>
      <c r="Z78" s="46" t="str">
        <f>"E"&amp;MATCH(LARGE($X$119:$X$142,5),$X$119:$X$142,0)+14</f>
        <v>E21</v>
      </c>
      <c r="AA78" s="209"/>
      <c r="AB78" s="47">
        <f>LARGE($X$119:$X$142,5)</f>
        <v>35.797067009629338</v>
      </c>
      <c r="BD78" s="30">
        <v>11</v>
      </c>
      <c r="BE78" s="52">
        <f t="shared" si="79"/>
        <v>42</v>
      </c>
      <c r="BF78" s="52">
        <f t="shared" si="80"/>
        <v>43</v>
      </c>
      <c r="BG78" s="42">
        <f t="shared" si="72"/>
        <v>105</v>
      </c>
      <c r="BH78" s="42">
        <f t="shared" si="73"/>
        <v>106.5</v>
      </c>
      <c r="BI78" s="30"/>
      <c r="BJ78" s="30">
        <v>11</v>
      </c>
      <c r="BK78" s="52">
        <f t="shared" si="74"/>
        <v>55</v>
      </c>
      <c r="BL78" s="52">
        <f t="shared" si="75"/>
        <v>56</v>
      </c>
      <c r="BM78" s="42">
        <f t="shared" si="81"/>
        <v>124</v>
      </c>
      <c r="BN78" s="42">
        <f t="shared" si="82"/>
        <v>125.5</v>
      </c>
      <c r="BP78" s="30">
        <v>11</v>
      </c>
      <c r="BQ78" s="52">
        <f t="shared" si="76"/>
        <v>24</v>
      </c>
      <c r="BR78" s="52">
        <f t="shared" si="77"/>
        <v>25</v>
      </c>
      <c r="BS78" s="42">
        <f t="shared" si="83"/>
        <v>71.75</v>
      </c>
      <c r="BT78" s="42">
        <f t="shared" si="84"/>
        <v>74.25</v>
      </c>
      <c r="BV78" s="27">
        <f t="shared" si="78"/>
        <v>147</v>
      </c>
      <c r="BW78" s="30">
        <v>74</v>
      </c>
      <c r="BX78" s="30">
        <f t="shared" si="85"/>
        <v>147</v>
      </c>
      <c r="BY78" s="30">
        <f t="shared" si="86"/>
        <v>1</v>
      </c>
      <c r="BZ78" s="30"/>
      <c r="CF78" s="30"/>
      <c r="CG78" s="30"/>
    </row>
    <row r="79" spans="2:85" x14ac:dyDescent="0.3">
      <c r="B79" s="33">
        <f t="shared" si="60"/>
        <v>4.6454898372150576E-2</v>
      </c>
      <c r="C79" s="33">
        <f t="shared" si="61"/>
        <v>2.2061456101242306E-2</v>
      </c>
      <c r="D79" s="33">
        <f t="shared" si="62"/>
        <v>0.23216226942659862</v>
      </c>
      <c r="E79" s="96"/>
      <c r="F79" s="144"/>
      <c r="G79" s="168"/>
      <c r="H79" s="192"/>
      <c r="I79" s="33">
        <f t="shared" si="63"/>
        <v>2.6276317023753264E-2</v>
      </c>
      <c r="J79" s="33">
        <f t="shared" si="64"/>
        <v>2.1304391024430304E-2</v>
      </c>
      <c r="K79" s="33">
        <f t="shared" si="65"/>
        <v>9.3370458990577485E-2</v>
      </c>
      <c r="M79" s="33">
        <f t="shared" si="66"/>
        <v>2.6275275230171209E-2</v>
      </c>
      <c r="N79" s="33">
        <f t="shared" si="67"/>
        <v>2.1305119043521347E-2</v>
      </c>
      <c r="O79" s="33">
        <f t="shared" si="68"/>
        <v>9.3376954008646831E-2</v>
      </c>
      <c r="P79" s="33"/>
      <c r="Q79" s="22" t="s">
        <v>70</v>
      </c>
      <c r="R79" s="22" t="s">
        <v>71</v>
      </c>
      <c r="S79" s="22" t="s">
        <v>72</v>
      </c>
      <c r="T79" s="33"/>
      <c r="U79" s="33"/>
      <c r="V79" s="7"/>
      <c r="W79" s="7"/>
      <c r="X79" s="7"/>
      <c r="Y79" s="7"/>
      <c r="Z79" s="48"/>
      <c r="BD79" s="30">
        <v>12</v>
      </c>
      <c r="BE79" s="52">
        <f t="shared" si="79"/>
        <v>104</v>
      </c>
      <c r="BF79" s="52">
        <f t="shared" si="80"/>
        <v>105</v>
      </c>
      <c r="BG79" s="42">
        <f t="shared" si="72"/>
        <v>175.25</v>
      </c>
      <c r="BH79" s="42">
        <f t="shared" si="73"/>
        <v>176</v>
      </c>
      <c r="BI79" s="30"/>
      <c r="BJ79" s="30">
        <v>12</v>
      </c>
      <c r="BK79" s="52">
        <f t="shared" si="74"/>
        <v>48</v>
      </c>
      <c r="BL79" s="52">
        <f t="shared" si="75"/>
        <v>49</v>
      </c>
      <c r="BM79" s="42">
        <f t="shared" si="81"/>
        <v>114.5</v>
      </c>
      <c r="BN79" s="42">
        <f t="shared" si="82"/>
        <v>116</v>
      </c>
      <c r="BP79" s="30">
        <v>12</v>
      </c>
      <c r="BQ79" s="52">
        <f t="shared" si="76"/>
        <v>19</v>
      </c>
      <c r="BR79" s="52">
        <f t="shared" si="77"/>
        <v>20</v>
      </c>
      <c r="BS79" s="42">
        <f t="shared" si="83"/>
        <v>59.75</v>
      </c>
      <c r="BT79" s="42">
        <f t="shared" si="84"/>
        <v>62.25</v>
      </c>
      <c r="BV79" s="27">
        <f t="shared" si="78"/>
        <v>148</v>
      </c>
      <c r="BW79" s="30">
        <v>75</v>
      </c>
      <c r="BX79" s="30">
        <f t="shared" si="85"/>
        <v>148</v>
      </c>
      <c r="BY79" s="30">
        <f t="shared" si="86"/>
        <v>1</v>
      </c>
      <c r="BZ79" s="30"/>
      <c r="CF79" s="30"/>
      <c r="CG79" s="30"/>
    </row>
    <row r="80" spans="2:85" x14ac:dyDescent="0.3">
      <c r="B80" s="33">
        <f t="shared" si="60"/>
        <v>0.13375368044874902</v>
      </c>
      <c r="C80" s="33">
        <f t="shared" si="61"/>
        <v>0.21432222040066126</v>
      </c>
      <c r="D80" s="33">
        <f t="shared" si="62"/>
        <v>9.4612259838738388E-2</v>
      </c>
      <c r="E80" s="97"/>
      <c r="F80" s="145"/>
      <c r="G80" s="169"/>
      <c r="H80" s="193"/>
      <c r="I80" s="33">
        <f t="shared" si="63"/>
        <v>0.13217174528036668</v>
      </c>
      <c r="J80" s="33">
        <f t="shared" si="64"/>
        <v>0.17675938292469934</v>
      </c>
      <c r="K80" s="33">
        <f t="shared" si="65"/>
        <v>0.14532366840658809</v>
      </c>
      <c r="M80" s="33">
        <f t="shared" si="66"/>
        <v>0.13215884018350552</v>
      </c>
      <c r="N80" s="33">
        <f t="shared" si="67"/>
        <v>0.17676830065028554</v>
      </c>
      <c r="O80" s="33">
        <f t="shared" si="68"/>
        <v>0.14538912390318962</v>
      </c>
      <c r="P80" s="33"/>
      <c r="Q80" s="30">
        <v>1</v>
      </c>
      <c r="R80" s="30">
        <v>1</v>
      </c>
      <c r="S80" s="30">
        <v>1</v>
      </c>
      <c r="T80" s="33"/>
      <c r="U80" s="33"/>
      <c r="V80" s="7"/>
      <c r="W80" s="14" t="s">
        <v>6</v>
      </c>
      <c r="X80" s="14" t="s">
        <v>9</v>
      </c>
      <c r="Y80" s="14" t="s">
        <v>16</v>
      </c>
      <c r="Z80" s="48"/>
      <c r="AB80" s="30" t="s">
        <v>41</v>
      </c>
      <c r="BD80" s="30">
        <v>13</v>
      </c>
      <c r="BE80" s="52">
        <f t="shared" si="79"/>
        <v>0</v>
      </c>
      <c r="BF80" s="52">
        <f t="shared" si="80"/>
        <v>1</v>
      </c>
      <c r="BG80" s="42">
        <f t="shared" si="72"/>
        <v>0</v>
      </c>
      <c r="BH80" s="42">
        <f t="shared" si="73"/>
        <v>4.5</v>
      </c>
      <c r="BI80" s="30"/>
      <c r="BJ80" s="30">
        <v>13</v>
      </c>
      <c r="BK80" s="52">
        <f t="shared" si="74"/>
        <v>1</v>
      </c>
      <c r="BL80" s="52">
        <f t="shared" si="75"/>
        <v>2</v>
      </c>
      <c r="BM80" s="42">
        <f t="shared" si="81"/>
        <v>4.5</v>
      </c>
      <c r="BN80" s="42">
        <f t="shared" si="82"/>
        <v>7.5</v>
      </c>
      <c r="BP80" s="30">
        <v>13</v>
      </c>
      <c r="BQ80" s="52">
        <f t="shared" si="76"/>
        <v>7</v>
      </c>
      <c r="BR80" s="52">
        <f t="shared" si="77"/>
        <v>8</v>
      </c>
      <c r="BS80" s="42">
        <f t="shared" si="83"/>
        <v>23</v>
      </c>
      <c r="BT80" s="42">
        <f t="shared" si="84"/>
        <v>26.5</v>
      </c>
      <c r="BV80" s="27">
        <f t="shared" si="78"/>
        <v>149.5</v>
      </c>
      <c r="BW80" s="30">
        <v>76</v>
      </c>
      <c r="BX80" s="30">
        <f t="shared" si="85"/>
        <v>149.5</v>
      </c>
      <c r="BY80" s="30">
        <f t="shared" si="86"/>
        <v>1.5</v>
      </c>
      <c r="BZ80" s="30"/>
      <c r="CF80" s="30"/>
      <c r="CG80" s="30"/>
    </row>
    <row r="81" spans="2:85" x14ac:dyDescent="0.3">
      <c r="B81" s="33">
        <f t="shared" si="60"/>
        <v>0.27995016006659468</v>
      </c>
      <c r="C81" s="33">
        <f t="shared" si="61"/>
        <v>0.16200097958241344</v>
      </c>
      <c r="D81" s="33">
        <f t="shared" si="62"/>
        <v>6.0133682118064566E-2</v>
      </c>
      <c r="E81" s="98"/>
      <c r="F81" s="146"/>
      <c r="G81" s="170"/>
      <c r="H81" s="194"/>
      <c r="I81" s="33">
        <f t="shared" si="63"/>
        <v>0.23157718676281161</v>
      </c>
      <c r="J81" s="33">
        <f t="shared" si="64"/>
        <v>0.16982494302959428</v>
      </c>
      <c r="K81" s="33">
        <f t="shared" si="65"/>
        <v>9.6947759870326833E-2</v>
      </c>
      <c r="M81" s="33">
        <f t="shared" si="66"/>
        <v>0.2315615996694172</v>
      </c>
      <c r="N81" s="33">
        <f t="shared" si="67"/>
        <v>0.16985063973738126</v>
      </c>
      <c r="O81" s="33">
        <f t="shared" si="68"/>
        <v>9.678112044736456E-2</v>
      </c>
      <c r="P81" s="33"/>
      <c r="Q81" s="30"/>
      <c r="T81" s="33"/>
      <c r="U81" s="33"/>
      <c r="V81" s="7"/>
      <c r="W81" s="14">
        <f>VLOOKUP($AB81,$Y$118:$AC$142,2,0)</f>
        <v>2.91</v>
      </c>
      <c r="X81" s="14">
        <f>VLOOKUP($AB81,$Y$118:$AC$142,4,0)</f>
        <v>17.91</v>
      </c>
      <c r="Y81" s="14">
        <f>VLOOKUP($AB81,$Y$118:$AC$142,5,0)</f>
        <v>135.32</v>
      </c>
      <c r="Z81" s="46" t="str">
        <f>"E"&amp;MATCH(LARGE($Z$15:$Z$38,1),$Z$15:$Z$38,0)+14</f>
        <v>E27</v>
      </c>
      <c r="AA81" s="206"/>
      <c r="AB81" s="47">
        <f>LARGE($Z$15:$Z$38,1)</f>
        <v>11.616274395058042</v>
      </c>
      <c r="BD81" s="30">
        <v>14</v>
      </c>
      <c r="BE81" s="52">
        <f t="shared" si="79"/>
        <v>6</v>
      </c>
      <c r="BF81" s="52">
        <f t="shared" si="80"/>
        <v>7</v>
      </c>
      <c r="BG81" s="42">
        <f t="shared" si="72"/>
        <v>19.5</v>
      </c>
      <c r="BH81" s="42">
        <f t="shared" si="73"/>
        <v>23</v>
      </c>
      <c r="BI81" s="30"/>
      <c r="BJ81" s="30">
        <v>14</v>
      </c>
      <c r="BK81" s="52">
        <f t="shared" si="74"/>
        <v>16</v>
      </c>
      <c r="BL81" s="52">
        <f t="shared" si="75"/>
        <v>17</v>
      </c>
      <c r="BM81" s="42">
        <f t="shared" si="81"/>
        <v>51.75</v>
      </c>
      <c r="BN81" s="42">
        <f t="shared" si="82"/>
        <v>54.25</v>
      </c>
      <c r="BP81" s="30">
        <v>14</v>
      </c>
      <c r="BQ81" s="52">
        <f t="shared" si="76"/>
        <v>9</v>
      </c>
      <c r="BR81" s="52">
        <f t="shared" si="77"/>
        <v>10</v>
      </c>
      <c r="BS81" s="42">
        <f t="shared" si="83"/>
        <v>29.5</v>
      </c>
      <c r="BT81" s="42">
        <f t="shared" si="84"/>
        <v>33.25</v>
      </c>
      <c r="BV81" s="27">
        <f t="shared" si="78"/>
        <v>150.5</v>
      </c>
      <c r="BW81" s="30">
        <v>77</v>
      </c>
      <c r="BX81" s="30">
        <f t="shared" si="85"/>
        <v>150.5</v>
      </c>
      <c r="BY81" s="30">
        <f t="shared" si="86"/>
        <v>1</v>
      </c>
      <c r="BZ81" s="30"/>
      <c r="CF81" s="30"/>
      <c r="CG81" s="30"/>
    </row>
    <row r="82" spans="2:85" x14ac:dyDescent="0.3">
      <c r="B82" s="33">
        <f t="shared" si="60"/>
        <v>0.64159279747214404</v>
      </c>
      <c r="C82" s="33">
        <f t="shared" si="61"/>
        <v>0.69482906345950268</v>
      </c>
      <c r="D82" s="33">
        <f t="shared" si="62"/>
        <v>0.13365940995611947</v>
      </c>
      <c r="E82" s="99"/>
      <c r="F82" s="147"/>
      <c r="G82" s="171"/>
      <c r="H82" s="195"/>
      <c r="I82" s="33">
        <f t="shared" si="63"/>
        <v>0.57637067428318201</v>
      </c>
      <c r="J82" s="33">
        <f t="shared" si="64"/>
        <v>0.60786026340152532</v>
      </c>
      <c r="K82" s="33">
        <f t="shared" si="65"/>
        <v>0.3938033488994836</v>
      </c>
      <c r="M82" s="33">
        <f t="shared" si="66"/>
        <v>0.57630455108114098</v>
      </c>
      <c r="N82" s="33">
        <f t="shared" si="67"/>
        <v>0.60790331950723009</v>
      </c>
      <c r="O82" s="33">
        <f t="shared" si="68"/>
        <v>0.39374529248456136</v>
      </c>
      <c r="P82" s="33"/>
      <c r="Q82" s="225" t="s">
        <v>75</v>
      </c>
      <c r="R82" s="237"/>
      <c r="S82" s="237"/>
      <c r="T82" s="33"/>
      <c r="U82" s="33"/>
      <c r="W82" s="14">
        <f t="shared" ref="W82:W85" si="90">VLOOKUP($AB82,$Y$118:$AC$142,2,0)</f>
        <v>0.3</v>
      </c>
      <c r="X82" s="14">
        <f t="shared" ref="X82:X85" si="91">VLOOKUP($AB82,$Y$118:$AC$142,4,0)</f>
        <v>109.91</v>
      </c>
      <c r="Y82" s="14">
        <f t="shared" ref="Y82:Y85" si="92">VLOOKUP($AB82,$Y$118:$AC$142,5,0)</f>
        <v>174.28</v>
      </c>
      <c r="Z82" s="46" t="str">
        <f>"E"&amp;MATCH(LARGE($Z$15:$Z$38,2),$Z$15:$Z$38,0)+14</f>
        <v>E32</v>
      </c>
      <c r="AA82" s="210"/>
      <c r="AB82" s="47">
        <f>LARGE($Z$15:$Z$38,2)</f>
        <v>8.5785400414381741</v>
      </c>
      <c r="BD82" s="30">
        <v>15</v>
      </c>
      <c r="BE82" s="52">
        <f t="shared" si="79"/>
        <v>46</v>
      </c>
      <c r="BF82" s="52">
        <f t="shared" si="80"/>
        <v>47</v>
      </c>
      <c r="BG82" s="42">
        <f t="shared" si="72"/>
        <v>111</v>
      </c>
      <c r="BH82" s="42">
        <f t="shared" si="73"/>
        <v>112.5</v>
      </c>
      <c r="BI82" s="30"/>
      <c r="BJ82" s="30">
        <v>15</v>
      </c>
      <c r="BK82" s="52">
        <f t="shared" si="74"/>
        <v>7</v>
      </c>
      <c r="BL82" s="52">
        <f t="shared" si="75"/>
        <v>8</v>
      </c>
      <c r="BM82" s="42">
        <f t="shared" si="81"/>
        <v>23</v>
      </c>
      <c r="BN82" s="42">
        <f t="shared" si="82"/>
        <v>26.5</v>
      </c>
      <c r="BP82" s="30">
        <v>15</v>
      </c>
      <c r="BQ82" s="52">
        <f t="shared" si="76"/>
        <v>6</v>
      </c>
      <c r="BR82" s="52">
        <f t="shared" si="77"/>
        <v>7</v>
      </c>
      <c r="BS82" s="42">
        <f t="shared" si="83"/>
        <v>19.5</v>
      </c>
      <c r="BT82" s="42">
        <f t="shared" si="84"/>
        <v>23</v>
      </c>
      <c r="BV82" s="27">
        <f t="shared" si="78"/>
        <v>151.5</v>
      </c>
      <c r="BW82" s="30">
        <v>78</v>
      </c>
      <c r="BX82" s="30">
        <f t="shared" si="85"/>
        <v>151.5</v>
      </c>
      <c r="BY82" s="30">
        <f t="shared" si="86"/>
        <v>1</v>
      </c>
      <c r="BZ82" s="30"/>
      <c r="CF82" s="30"/>
      <c r="CG82" s="30"/>
    </row>
    <row r="83" spans="2:85" x14ac:dyDescent="0.3">
      <c r="B83" s="33">
        <f t="shared" si="60"/>
        <v>0.34300276532178581</v>
      </c>
      <c r="C83" s="33">
        <f t="shared" si="61"/>
        <v>0.21603478437309334</v>
      </c>
      <c r="D83" s="33">
        <f t="shared" si="62"/>
        <v>0.26232931061030051</v>
      </c>
      <c r="E83" s="100"/>
      <c r="F83" s="148"/>
      <c r="G83" s="172"/>
      <c r="H83" s="196"/>
      <c r="I83" s="33">
        <f t="shared" si="63"/>
        <v>0.29170163437062663</v>
      </c>
      <c r="J83" s="33">
        <f t="shared" si="64"/>
        <v>0.23171936334888138</v>
      </c>
      <c r="K83" s="33">
        <f t="shared" si="65"/>
        <v>0.23312772702585807</v>
      </c>
      <c r="M83" s="33">
        <f t="shared" si="66"/>
        <v>0.29166763114124011</v>
      </c>
      <c r="N83" s="33">
        <f t="shared" si="67"/>
        <v>0.23174069568405078</v>
      </c>
      <c r="O83" s="33">
        <f t="shared" si="68"/>
        <v>0.23297717209364011</v>
      </c>
      <c r="P83" s="33"/>
      <c r="Q83" s="30">
        <f t="array" ref="Q83:S85">MINVERSE(W3:Y5)</f>
        <v>1</v>
      </c>
      <c r="R83" s="30">
        <v>0</v>
      </c>
      <c r="S83" s="30">
        <v>0</v>
      </c>
      <c r="T83" s="33"/>
      <c r="U83" s="33"/>
      <c r="W83" s="14">
        <f t="shared" si="90"/>
        <v>67.41</v>
      </c>
      <c r="X83" s="14">
        <f t="shared" si="91"/>
        <v>143.4</v>
      </c>
      <c r="Y83" s="14">
        <f t="shared" si="92"/>
        <v>71.41</v>
      </c>
      <c r="Z83" s="46" t="str">
        <f>"E"&amp;MATCH(LARGE($Z$15:$Z$38,3),$Z$15:$Z$38,0)+14</f>
        <v>E28</v>
      </c>
      <c r="AA83" s="207"/>
      <c r="AB83" s="47">
        <f>LARGE($Z$15:$Z$38,3)</f>
        <v>8.1400808017078674</v>
      </c>
      <c r="BD83" s="30">
        <v>16</v>
      </c>
      <c r="BE83" s="52">
        <f t="shared" si="79"/>
        <v>120</v>
      </c>
      <c r="BF83" s="52">
        <f t="shared" si="80"/>
        <v>121</v>
      </c>
      <c r="BG83" s="42">
        <f t="shared" si="72"/>
        <v>187.25</v>
      </c>
      <c r="BH83" s="42">
        <f t="shared" si="73"/>
        <v>188</v>
      </c>
      <c r="BI83" s="30"/>
      <c r="BJ83" s="30">
        <v>16</v>
      </c>
      <c r="BK83" s="52">
        <f t="shared" si="74"/>
        <v>79</v>
      </c>
      <c r="BL83" s="52">
        <f t="shared" si="75"/>
        <v>80</v>
      </c>
      <c r="BM83" s="42">
        <f t="shared" si="81"/>
        <v>152.5</v>
      </c>
      <c r="BN83" s="42">
        <f t="shared" si="82"/>
        <v>153.5</v>
      </c>
      <c r="BP83" s="30">
        <v>16</v>
      </c>
      <c r="BQ83" s="52">
        <f t="shared" si="76"/>
        <v>29</v>
      </c>
      <c r="BR83" s="52">
        <f t="shared" si="77"/>
        <v>30</v>
      </c>
      <c r="BS83" s="42">
        <f t="shared" si="83"/>
        <v>82.25</v>
      </c>
      <c r="BT83" s="42">
        <f t="shared" si="84"/>
        <v>84.25</v>
      </c>
      <c r="BV83" s="27">
        <f t="shared" si="78"/>
        <v>152.5</v>
      </c>
      <c r="BW83" s="30">
        <v>79</v>
      </c>
      <c r="BX83" s="30">
        <f t="shared" si="85"/>
        <v>152.5</v>
      </c>
      <c r="BY83" s="30">
        <f t="shared" si="86"/>
        <v>1</v>
      </c>
      <c r="BZ83" s="30"/>
      <c r="CF83" s="30"/>
      <c r="CG83" s="30"/>
    </row>
    <row r="84" spans="2:85" x14ac:dyDescent="0.3">
      <c r="B84" s="33">
        <f t="shared" si="60"/>
        <v>0.132342683188859</v>
      </c>
      <c r="C84" s="33">
        <f t="shared" si="61"/>
        <v>0.1419950527613584</v>
      </c>
      <c r="D84" s="33">
        <f t="shared" si="62"/>
        <v>0.42222667523586965</v>
      </c>
      <c r="E84" s="101"/>
      <c r="F84" s="149"/>
      <c r="G84" s="173"/>
      <c r="H84" s="197"/>
      <c r="I84" s="33">
        <f t="shared" si="63"/>
        <v>0.10938822296898104</v>
      </c>
      <c r="J84" s="33">
        <f t="shared" si="64"/>
        <v>0.12576098005273023</v>
      </c>
      <c r="K84" s="33">
        <f t="shared" si="65"/>
        <v>0.25012277837551411</v>
      </c>
      <c r="M84" s="33">
        <f t="shared" si="66"/>
        <v>0.10938075395056619</v>
      </c>
      <c r="N84" s="33">
        <f t="shared" si="67"/>
        <v>0.12576624681329748</v>
      </c>
      <c r="O84" s="33">
        <f t="shared" si="68"/>
        <v>0.25017640367607835</v>
      </c>
      <c r="P84" s="33"/>
      <c r="Q84" s="30">
        <v>0</v>
      </c>
      <c r="R84" s="30">
        <v>1</v>
      </c>
      <c r="S84" s="30">
        <v>0</v>
      </c>
      <c r="T84" s="33"/>
      <c r="U84" s="33"/>
      <c r="W84" s="14">
        <f t="shared" si="90"/>
        <v>210.6</v>
      </c>
      <c r="X84" s="14">
        <f t="shared" si="91"/>
        <v>81.69</v>
      </c>
      <c r="Y84" s="14">
        <f t="shared" si="92"/>
        <v>137.55000000000001</v>
      </c>
      <c r="Z84" s="46" t="str">
        <f>"E"&amp;MATCH(LARGE($Z$15:$Z$38,4),$Z$15:$Z$38,0)+14</f>
        <v>E31</v>
      </c>
      <c r="AA84" s="211"/>
      <c r="AB84" s="47">
        <f>LARGE($Z$15:$Z$38,4)</f>
        <v>7.6521614014361443</v>
      </c>
      <c r="BD84" s="30">
        <v>17</v>
      </c>
      <c r="BE84" s="52">
        <f t="shared" si="79"/>
        <v>52</v>
      </c>
      <c r="BF84" s="52">
        <f t="shared" si="80"/>
        <v>53</v>
      </c>
      <c r="BG84" s="42">
        <f t="shared" si="72"/>
        <v>120</v>
      </c>
      <c r="BH84" s="42">
        <f t="shared" si="73"/>
        <v>121.5</v>
      </c>
      <c r="BI84" s="30"/>
      <c r="BJ84" s="30">
        <v>17</v>
      </c>
      <c r="BK84" s="52">
        <f t="shared" si="74"/>
        <v>12</v>
      </c>
      <c r="BL84" s="52">
        <f t="shared" si="75"/>
        <v>13</v>
      </c>
      <c r="BM84" s="42">
        <f t="shared" si="81"/>
        <v>39.75</v>
      </c>
      <c r="BN84" s="42">
        <f t="shared" si="82"/>
        <v>42.75</v>
      </c>
      <c r="BP84" s="30">
        <v>17</v>
      </c>
      <c r="BQ84" s="52">
        <f t="shared" si="76"/>
        <v>17</v>
      </c>
      <c r="BR84" s="52">
        <f t="shared" si="77"/>
        <v>18</v>
      </c>
      <c r="BS84" s="42">
        <f t="shared" si="83"/>
        <v>54.25</v>
      </c>
      <c r="BT84" s="42">
        <f t="shared" si="84"/>
        <v>56.75</v>
      </c>
      <c r="BV84" s="27">
        <f t="shared" si="78"/>
        <v>153.5</v>
      </c>
      <c r="BW84" s="30">
        <v>80</v>
      </c>
      <c r="BX84" s="30">
        <f t="shared" si="85"/>
        <v>153.5</v>
      </c>
      <c r="BY84" s="30">
        <f t="shared" si="86"/>
        <v>1</v>
      </c>
      <c r="BZ84" s="30"/>
      <c r="CF84" s="30"/>
      <c r="CG84" s="30"/>
    </row>
    <row r="85" spans="2:85" x14ac:dyDescent="0.3">
      <c r="B85" s="33">
        <f t="shared" si="60"/>
        <v>0.77078908378638289</v>
      </c>
      <c r="C85" s="33">
        <f t="shared" si="61"/>
        <v>0.80759556233159013</v>
      </c>
      <c r="D85" s="33">
        <f t="shared" si="62"/>
        <v>0.83054985344888421</v>
      </c>
      <c r="E85" s="102"/>
      <c r="F85" s="150"/>
      <c r="G85" s="174"/>
      <c r="H85" s="198"/>
      <c r="I85" s="33">
        <f t="shared" si="63"/>
        <v>0.75578758683414693</v>
      </c>
      <c r="J85" s="33">
        <f t="shared" si="64"/>
        <v>0.7909451020562468</v>
      </c>
      <c r="K85" s="33">
        <f t="shared" si="65"/>
        <v>0.83445106332697405</v>
      </c>
      <c r="M85" s="33">
        <f t="shared" si="66"/>
        <v>0.75570960687879429</v>
      </c>
      <c r="N85" s="33">
        <f t="shared" si="67"/>
        <v>0.79099632577185885</v>
      </c>
      <c r="O85" s="33">
        <f t="shared" si="68"/>
        <v>0.8344493122676544</v>
      </c>
      <c r="P85" s="33"/>
      <c r="Q85" s="30">
        <v>0</v>
      </c>
      <c r="R85" s="30">
        <v>0</v>
      </c>
      <c r="S85" s="30">
        <v>1</v>
      </c>
      <c r="T85" s="33"/>
      <c r="U85" s="33"/>
      <c r="W85" s="14">
        <f t="shared" si="90"/>
        <v>59.26</v>
      </c>
      <c r="X85" s="14">
        <f t="shared" si="91"/>
        <v>78.260000000000005</v>
      </c>
      <c r="Y85" s="14">
        <f t="shared" si="92"/>
        <v>181.46</v>
      </c>
      <c r="Z85" s="46" t="str">
        <f>"E"&amp;MATCH(LARGE($Z$15:$Z$38,5),$Z$15:$Z$38,0)+14</f>
        <v>E22</v>
      </c>
      <c r="AA85" s="212"/>
      <c r="AB85" s="47">
        <f>LARGE($Z$15:$Z$38,5)</f>
        <v>7.3402967775720178</v>
      </c>
      <c r="BD85" s="30">
        <v>18</v>
      </c>
      <c r="BE85" s="52">
        <f t="shared" si="79"/>
        <v>2</v>
      </c>
      <c r="BF85" s="52">
        <f t="shared" si="80"/>
        <v>3</v>
      </c>
      <c r="BG85" s="42">
        <f t="shared" si="72"/>
        <v>7.5</v>
      </c>
      <c r="BH85" s="42">
        <f t="shared" si="73"/>
        <v>10.5</v>
      </c>
      <c r="BI85" s="30"/>
      <c r="BJ85" s="30">
        <v>18</v>
      </c>
      <c r="BK85" s="52">
        <f t="shared" si="74"/>
        <v>10</v>
      </c>
      <c r="BL85" s="52">
        <f t="shared" si="75"/>
        <v>11</v>
      </c>
      <c r="BM85" s="42">
        <f t="shared" si="81"/>
        <v>33.25</v>
      </c>
      <c r="BN85" s="42">
        <f t="shared" si="82"/>
        <v>36.75</v>
      </c>
      <c r="BP85" s="30">
        <v>18</v>
      </c>
      <c r="BQ85" s="52">
        <f t="shared" si="76"/>
        <v>20</v>
      </c>
      <c r="BR85" s="52">
        <f t="shared" si="77"/>
        <v>21</v>
      </c>
      <c r="BS85" s="42">
        <f t="shared" si="83"/>
        <v>62.25</v>
      </c>
      <c r="BT85" s="42">
        <f t="shared" si="84"/>
        <v>64.75</v>
      </c>
      <c r="BV85" s="27">
        <f t="shared" si="78"/>
        <v>154.5</v>
      </c>
      <c r="BW85" s="30">
        <v>81</v>
      </c>
      <c r="BX85" s="30">
        <f t="shared" si="85"/>
        <v>154.5</v>
      </c>
      <c r="BY85" s="30">
        <f t="shared" si="86"/>
        <v>1</v>
      </c>
      <c r="BZ85" s="30"/>
      <c r="CF85" s="30"/>
      <c r="CG85" s="30"/>
    </row>
    <row r="86" spans="2:85" x14ac:dyDescent="0.3">
      <c r="B86" s="33">
        <f t="shared" si="60"/>
        <v>0.5684322141940199</v>
      </c>
      <c r="C86" s="33">
        <f t="shared" si="61"/>
        <v>0.59771498554482394</v>
      </c>
      <c r="D86" s="33">
        <f t="shared" si="62"/>
        <v>0.61421064327163222</v>
      </c>
      <c r="E86" s="103"/>
      <c r="F86" s="151"/>
      <c r="G86" s="175"/>
      <c r="H86" s="199"/>
      <c r="I86" s="33">
        <f t="shared" si="63"/>
        <v>0.50935094915780543</v>
      </c>
      <c r="J86" s="33">
        <f t="shared" si="64"/>
        <v>0.53218738042048319</v>
      </c>
      <c r="K86" s="33">
        <f t="shared" si="65"/>
        <v>0.56322773089193912</v>
      </c>
      <c r="M86" s="33">
        <f t="shared" si="66"/>
        <v>0.50929840310829222</v>
      </c>
      <c r="N86" s="33">
        <f t="shared" si="67"/>
        <v>0.53222188872102161</v>
      </c>
      <c r="O86" s="33">
        <f t="shared" si="68"/>
        <v>0.56322531063448145</v>
      </c>
      <c r="P86" s="33"/>
      <c r="Q86" s="30"/>
      <c r="T86" s="33"/>
      <c r="U86" s="33"/>
      <c r="BD86" s="30">
        <v>19</v>
      </c>
      <c r="BE86" s="52">
        <f t="shared" si="79"/>
        <v>153</v>
      </c>
      <c r="BF86" s="52">
        <f t="shared" si="80"/>
        <v>154</v>
      </c>
      <c r="BG86" s="42">
        <f t="shared" si="72"/>
        <v>208.25</v>
      </c>
      <c r="BH86" s="42">
        <f t="shared" si="73"/>
        <v>209</v>
      </c>
      <c r="BI86" s="30"/>
      <c r="BJ86" s="30">
        <v>19</v>
      </c>
      <c r="BK86" s="52">
        <f t="shared" si="74"/>
        <v>139</v>
      </c>
      <c r="BL86" s="52">
        <f t="shared" si="75"/>
        <v>140</v>
      </c>
      <c r="BM86" s="42">
        <f t="shared" si="81"/>
        <v>200</v>
      </c>
      <c r="BN86" s="42">
        <f t="shared" si="82"/>
        <v>200.75</v>
      </c>
      <c r="BP86" s="30">
        <v>19</v>
      </c>
      <c r="BQ86" s="52">
        <f t="shared" si="76"/>
        <v>130</v>
      </c>
      <c r="BR86" s="52">
        <f t="shared" si="77"/>
        <v>131</v>
      </c>
      <c r="BS86" s="42">
        <f t="shared" si="83"/>
        <v>194</v>
      </c>
      <c r="BT86" s="42">
        <f t="shared" si="84"/>
        <v>194.75</v>
      </c>
      <c r="BV86" s="27">
        <f t="shared" si="78"/>
        <v>155.5</v>
      </c>
      <c r="BW86" s="30">
        <v>82</v>
      </c>
      <c r="BX86" s="30">
        <f t="shared" si="85"/>
        <v>155.5</v>
      </c>
      <c r="BY86" s="30">
        <f t="shared" si="86"/>
        <v>1</v>
      </c>
      <c r="BZ86" s="30"/>
      <c r="CF86" s="30"/>
      <c r="CG86" s="30"/>
    </row>
    <row r="87" spans="2:85" x14ac:dyDescent="0.3">
      <c r="B87" s="33">
        <f t="shared" si="60"/>
        <v>0.33429114351697203</v>
      </c>
      <c r="C87" s="33">
        <f t="shared" si="61"/>
        <v>0.35125043560035168</v>
      </c>
      <c r="D87" s="33">
        <f t="shared" si="62"/>
        <v>0.35868856312905983</v>
      </c>
      <c r="E87" s="104"/>
      <c r="F87" s="152"/>
      <c r="G87" s="176"/>
      <c r="H87" s="200"/>
      <c r="I87" s="33">
        <f t="shared" si="63"/>
        <v>0.28282612425907749</v>
      </c>
      <c r="J87" s="33">
        <f t="shared" si="64"/>
        <v>0.2977351651845887</v>
      </c>
      <c r="K87" s="33">
        <f t="shared" si="65"/>
        <v>0.31473991198229867</v>
      </c>
      <c r="M87" s="33">
        <f t="shared" si="66"/>
        <v>0.28279704611422252</v>
      </c>
      <c r="N87" s="33">
        <f t="shared" si="67"/>
        <v>0.29775429068430814</v>
      </c>
      <c r="O87" s="33">
        <f t="shared" si="68"/>
        <v>0.31474292355615319</v>
      </c>
      <c r="P87" s="33"/>
      <c r="Q87" s="225" t="s">
        <v>76</v>
      </c>
      <c r="R87" s="237"/>
      <c r="S87" s="237"/>
      <c r="T87" s="33"/>
      <c r="U87" s="33"/>
      <c r="BD87" s="30">
        <v>20</v>
      </c>
      <c r="BE87" s="52">
        <f t="shared" si="79"/>
        <v>67</v>
      </c>
      <c r="BF87" s="52">
        <f t="shared" si="80"/>
        <v>68</v>
      </c>
      <c r="BG87" s="42">
        <f t="shared" si="72"/>
        <v>139.5</v>
      </c>
      <c r="BH87" s="42">
        <f t="shared" si="73"/>
        <v>141</v>
      </c>
      <c r="BI87" s="30"/>
      <c r="BJ87" s="30">
        <v>20</v>
      </c>
      <c r="BK87" s="52">
        <f t="shared" si="74"/>
        <v>63</v>
      </c>
      <c r="BL87" s="52">
        <f t="shared" si="75"/>
        <v>64</v>
      </c>
      <c r="BM87" s="42">
        <f t="shared" si="81"/>
        <v>134.5</v>
      </c>
      <c r="BN87" s="42">
        <f t="shared" si="82"/>
        <v>135.5</v>
      </c>
      <c r="BP87" s="30">
        <v>20</v>
      </c>
      <c r="BQ87" s="52">
        <f t="shared" si="76"/>
        <v>60</v>
      </c>
      <c r="BR87" s="52">
        <f t="shared" si="77"/>
        <v>61</v>
      </c>
      <c r="BS87" s="42">
        <f t="shared" si="83"/>
        <v>131</v>
      </c>
      <c r="BT87" s="42">
        <f t="shared" si="84"/>
        <v>132</v>
      </c>
      <c r="BV87" s="27">
        <f t="shared" si="78"/>
        <v>156.5</v>
      </c>
      <c r="BW87" s="30">
        <v>83</v>
      </c>
      <c r="BX87" s="30">
        <f t="shared" si="85"/>
        <v>156.5</v>
      </c>
      <c r="BY87" s="30">
        <f t="shared" si="86"/>
        <v>1</v>
      </c>
      <c r="BZ87" s="30"/>
      <c r="CF87" s="30"/>
      <c r="CG87" s="30"/>
    </row>
    <row r="88" spans="2:85" x14ac:dyDescent="0.3">
      <c r="B88" s="33">
        <f t="shared" si="60"/>
        <v>0.1218794947278443</v>
      </c>
      <c r="C88" s="33">
        <f t="shared" si="61"/>
        <v>0.12887005959840314</v>
      </c>
      <c r="D88" s="33">
        <f t="shared" si="62"/>
        <v>0.13054783165072512</v>
      </c>
      <c r="E88" s="105"/>
      <c r="F88" s="153"/>
      <c r="G88" s="177">
        <v>0.18</v>
      </c>
      <c r="H88" s="201"/>
      <c r="I88" s="33">
        <f t="shared" si="63"/>
        <v>0.10850604084204454</v>
      </c>
      <c r="J88" s="33">
        <f t="shared" si="64"/>
        <v>0.11431117366189407</v>
      </c>
      <c r="K88" s="33">
        <f t="shared" si="65"/>
        <v>0.11865972284618109</v>
      </c>
      <c r="M88" s="33">
        <f t="shared" si="66"/>
        <v>0.10849482856549139</v>
      </c>
      <c r="N88" s="33">
        <f t="shared" si="67"/>
        <v>0.11431854548863268</v>
      </c>
      <c r="O88" s="33">
        <f t="shared" si="68"/>
        <v>0.11866046663134683</v>
      </c>
      <c r="P88" s="33"/>
      <c r="Q88" s="30">
        <f t="array" ref="Q88:S90">MINVERSE(W7:Y9)</f>
        <v>1</v>
      </c>
      <c r="R88" s="30">
        <v>0</v>
      </c>
      <c r="S88" s="30">
        <v>0</v>
      </c>
      <c r="T88" s="33"/>
      <c r="U88" s="33"/>
      <c r="BD88" s="30">
        <v>21</v>
      </c>
      <c r="BE88" s="52">
        <f t="shared" si="79"/>
        <v>26</v>
      </c>
      <c r="BF88" s="52">
        <f t="shared" si="80"/>
        <v>27</v>
      </c>
      <c r="BG88" s="42">
        <f t="shared" si="72"/>
        <v>76.25</v>
      </c>
      <c r="BH88" s="42">
        <f t="shared" si="73"/>
        <v>78.25</v>
      </c>
      <c r="BI88" s="30"/>
      <c r="BJ88" s="30">
        <v>21</v>
      </c>
      <c r="BK88" s="52">
        <f t="shared" si="74"/>
        <v>25</v>
      </c>
      <c r="BL88" s="52">
        <f t="shared" si="75"/>
        <v>26</v>
      </c>
      <c r="BM88" s="42">
        <f t="shared" si="81"/>
        <v>74.25</v>
      </c>
      <c r="BN88" s="42">
        <f t="shared" si="82"/>
        <v>76.25</v>
      </c>
      <c r="BP88" s="30">
        <v>21</v>
      </c>
      <c r="BQ88" s="52">
        <f t="shared" si="76"/>
        <v>24</v>
      </c>
      <c r="BR88" s="52">
        <f t="shared" si="77"/>
        <v>25</v>
      </c>
      <c r="BS88" s="42">
        <f t="shared" si="83"/>
        <v>71.75</v>
      </c>
      <c r="BT88" s="42">
        <f t="shared" si="84"/>
        <v>74.25</v>
      </c>
      <c r="BV88" s="27">
        <f t="shared" si="78"/>
        <v>157.5</v>
      </c>
      <c r="BW88" s="30">
        <v>84</v>
      </c>
      <c r="BX88" s="30">
        <f t="shared" si="85"/>
        <v>157.5</v>
      </c>
      <c r="BY88" s="30">
        <f t="shared" si="86"/>
        <v>1</v>
      </c>
      <c r="BZ88" s="30"/>
      <c r="CF88" s="30"/>
      <c r="CG88" s="30"/>
    </row>
    <row r="89" spans="2:85" x14ac:dyDescent="0.3">
      <c r="B89" s="33">
        <f t="shared" si="60"/>
        <v>3.5032757065894503E-2</v>
      </c>
      <c r="C89" s="33">
        <f t="shared" si="61"/>
        <v>3.6985195517763532E-2</v>
      </c>
      <c r="D89" s="33">
        <f t="shared" si="62"/>
        <v>4.0174063139007947E-2</v>
      </c>
      <c r="E89" s="106"/>
      <c r="F89" s="154"/>
      <c r="G89" s="178"/>
      <c r="H89" s="202"/>
      <c r="I89" s="33">
        <f t="shared" si="63"/>
        <v>2.7449696377583196E-2</v>
      </c>
      <c r="J89" s="33">
        <f t="shared" si="64"/>
        <v>2.8884114165275691E-2</v>
      </c>
      <c r="K89" s="33">
        <f t="shared" si="65"/>
        <v>3.142038567253809E-2</v>
      </c>
      <c r="M89" s="33">
        <f t="shared" si="66"/>
        <v>2.7446898240940289E-2</v>
      </c>
      <c r="N89" s="33">
        <f t="shared" si="67"/>
        <v>2.8885956011326291E-2</v>
      </c>
      <c r="O89" s="33">
        <f t="shared" si="68"/>
        <v>3.1420889489907802E-2</v>
      </c>
      <c r="P89" s="33"/>
      <c r="Q89" s="30">
        <v>0</v>
      </c>
      <c r="R89" s="30">
        <v>1</v>
      </c>
      <c r="S89" s="30">
        <v>0</v>
      </c>
      <c r="T89" s="33"/>
      <c r="U89" s="33"/>
      <c r="BD89" s="30">
        <v>22</v>
      </c>
      <c r="BE89" s="52">
        <f t="shared" si="79"/>
        <v>9</v>
      </c>
      <c r="BF89" s="52">
        <f t="shared" si="80"/>
        <v>10</v>
      </c>
      <c r="BG89" s="42">
        <f t="shared" si="72"/>
        <v>29.5</v>
      </c>
      <c r="BH89" s="42">
        <f t="shared" si="73"/>
        <v>33.25</v>
      </c>
      <c r="BI89" s="30"/>
      <c r="BJ89" s="30">
        <v>22</v>
      </c>
      <c r="BK89" s="52">
        <f t="shared" si="74"/>
        <v>8</v>
      </c>
      <c r="BL89" s="52">
        <f t="shared" si="75"/>
        <v>9</v>
      </c>
      <c r="BM89" s="42">
        <f t="shared" si="81"/>
        <v>26.5</v>
      </c>
      <c r="BN89" s="42">
        <f t="shared" si="82"/>
        <v>29.5</v>
      </c>
      <c r="BP89" s="30">
        <v>22</v>
      </c>
      <c r="BQ89" s="52">
        <f t="shared" si="76"/>
        <v>8</v>
      </c>
      <c r="BR89" s="52">
        <f t="shared" si="77"/>
        <v>9</v>
      </c>
      <c r="BS89" s="42">
        <f t="shared" si="83"/>
        <v>26.5</v>
      </c>
      <c r="BT89" s="42">
        <f t="shared" si="84"/>
        <v>29.5</v>
      </c>
      <c r="BV89" s="27">
        <f t="shared" si="78"/>
        <v>158</v>
      </c>
      <c r="BW89" s="30">
        <v>85</v>
      </c>
      <c r="BX89" s="30">
        <f t="shared" si="85"/>
        <v>158</v>
      </c>
      <c r="BY89" s="30">
        <f t="shared" si="86"/>
        <v>0.5</v>
      </c>
      <c r="BZ89" s="30"/>
      <c r="CF89" s="30"/>
      <c r="CG89" s="30"/>
    </row>
    <row r="90" spans="2:85" x14ac:dyDescent="0.3">
      <c r="B90" s="33">
        <f t="shared" si="60"/>
        <v>4.4767894177046878E-3</v>
      </c>
      <c r="C90" s="33">
        <f t="shared" si="61"/>
        <v>4.7100801344425692E-3</v>
      </c>
      <c r="D90" s="33">
        <f t="shared" si="62"/>
        <v>5.1284760399374994E-3</v>
      </c>
      <c r="E90" s="107"/>
      <c r="F90" s="155"/>
      <c r="G90" s="179"/>
      <c r="H90" s="203"/>
      <c r="I90" s="33">
        <f t="shared" si="63"/>
        <v>3.6808985056315507E-3</v>
      </c>
      <c r="J90" s="33">
        <f t="shared" si="64"/>
        <v>3.8317754366430554E-3</v>
      </c>
      <c r="K90" s="33">
        <f t="shared" si="65"/>
        <v>4.4754461206546617E-3</v>
      </c>
      <c r="M90" s="33">
        <f t="shared" si="66"/>
        <v>3.6805297678309608E-3</v>
      </c>
      <c r="N90" s="33">
        <f t="shared" si="67"/>
        <v>3.8320181546902406E-3</v>
      </c>
      <c r="O90" s="33">
        <f t="shared" si="68"/>
        <v>4.4755125135913119E-3</v>
      </c>
      <c r="P90" s="33"/>
      <c r="Q90" s="30">
        <v>0</v>
      </c>
      <c r="R90" s="30">
        <v>0</v>
      </c>
      <c r="S90" s="30">
        <v>1</v>
      </c>
      <c r="T90" s="33"/>
      <c r="U90" s="33"/>
      <c r="BD90" s="30">
        <v>23</v>
      </c>
      <c r="BE90" s="52">
        <f t="shared" si="79"/>
        <v>1</v>
      </c>
      <c r="BF90" s="52">
        <f t="shared" si="80"/>
        <v>2</v>
      </c>
      <c r="BG90" s="42">
        <f t="shared" si="72"/>
        <v>4.5</v>
      </c>
      <c r="BH90" s="42">
        <f t="shared" si="73"/>
        <v>7.5</v>
      </c>
      <c r="BI90" s="30"/>
      <c r="BJ90" s="30">
        <v>23</v>
      </c>
      <c r="BK90" s="52">
        <f t="shared" si="74"/>
        <v>1</v>
      </c>
      <c r="BL90" s="52">
        <f t="shared" si="75"/>
        <v>2</v>
      </c>
      <c r="BM90" s="42">
        <f t="shared" si="81"/>
        <v>4.5</v>
      </c>
      <c r="BN90" s="42">
        <f t="shared" si="82"/>
        <v>7.5</v>
      </c>
      <c r="BP90" s="30">
        <v>23</v>
      </c>
      <c r="BQ90" s="52">
        <f t="shared" si="76"/>
        <v>1</v>
      </c>
      <c r="BR90" s="52">
        <f t="shared" si="77"/>
        <v>2</v>
      </c>
      <c r="BS90" s="42">
        <f t="shared" si="83"/>
        <v>4.5</v>
      </c>
      <c r="BT90" s="42">
        <f t="shared" si="84"/>
        <v>7.5</v>
      </c>
      <c r="BV90" s="27">
        <f t="shared" si="78"/>
        <v>159</v>
      </c>
      <c r="BW90" s="30">
        <v>86</v>
      </c>
      <c r="BX90" s="30">
        <f t="shared" si="85"/>
        <v>159</v>
      </c>
      <c r="BY90" s="30">
        <f t="shared" si="86"/>
        <v>1</v>
      </c>
      <c r="BZ90" s="30"/>
      <c r="CF90" s="30"/>
      <c r="CG90" s="30"/>
    </row>
    <row r="91" spans="2:85" x14ac:dyDescent="0.3">
      <c r="N91" s="30"/>
      <c r="O91" s="30"/>
      <c r="P91" s="30"/>
      <c r="Q91" s="30"/>
      <c r="BD91" s="30">
        <v>24</v>
      </c>
      <c r="BE91" s="52">
        <f t="shared" si="79"/>
        <v>0</v>
      </c>
      <c r="BF91" s="52">
        <f t="shared" si="80"/>
        <v>1</v>
      </c>
      <c r="BG91" s="42">
        <f t="shared" si="72"/>
        <v>0</v>
      </c>
      <c r="BH91" s="42">
        <f t="shared" si="73"/>
        <v>4.5</v>
      </c>
      <c r="BI91" s="30"/>
      <c r="BJ91" s="30">
        <v>24</v>
      </c>
      <c r="BK91" s="52">
        <f t="shared" si="74"/>
        <v>0</v>
      </c>
      <c r="BL91" s="52">
        <f t="shared" si="75"/>
        <v>1</v>
      </c>
      <c r="BM91" s="42">
        <f t="shared" si="81"/>
        <v>0</v>
      </c>
      <c r="BN91" s="42">
        <f t="shared" si="82"/>
        <v>4.5</v>
      </c>
      <c r="BP91" s="30">
        <v>24</v>
      </c>
      <c r="BQ91" s="52">
        <f t="shared" si="76"/>
        <v>0</v>
      </c>
      <c r="BR91" s="52">
        <f t="shared" si="77"/>
        <v>1</v>
      </c>
      <c r="BS91" s="42">
        <f t="shared" si="83"/>
        <v>0</v>
      </c>
      <c r="BT91" s="42">
        <f t="shared" si="84"/>
        <v>4.5</v>
      </c>
      <c r="BV91" s="27">
        <f t="shared" si="78"/>
        <v>160</v>
      </c>
      <c r="BW91" s="30">
        <v>87</v>
      </c>
      <c r="BX91" s="30">
        <f t="shared" si="85"/>
        <v>160</v>
      </c>
      <c r="BY91" s="30">
        <f t="shared" si="86"/>
        <v>1</v>
      </c>
      <c r="BZ91" s="30"/>
      <c r="CF91" s="30"/>
      <c r="CG91" s="30"/>
    </row>
    <row r="92" spans="2:85" x14ac:dyDescent="0.3">
      <c r="B92" s="33" t="s">
        <v>77</v>
      </c>
      <c r="C92" s="33" t="s">
        <v>78</v>
      </c>
      <c r="D92" s="33" t="s">
        <v>79</v>
      </c>
      <c r="I92" s="30" t="s">
        <v>80</v>
      </c>
      <c r="J92" s="30" t="s">
        <v>81</v>
      </c>
      <c r="K92" s="30" t="s">
        <v>82</v>
      </c>
      <c r="M92" s="30" t="s">
        <v>83</v>
      </c>
      <c r="N92" s="30" t="s">
        <v>84</v>
      </c>
      <c r="O92" s="30" t="s">
        <v>85</v>
      </c>
      <c r="P92" s="30"/>
      <c r="Q92" s="225" t="s">
        <v>160</v>
      </c>
      <c r="R92" s="225"/>
      <c r="S92" s="225"/>
      <c r="W92" s="47" t="str">
        <f t="shared" ref="W92:W116" si="93">Q14</f>
        <v>ΔE</v>
      </c>
      <c r="X92" s="47" t="str">
        <f>S14</f>
        <v>Δchroma</v>
      </c>
      <c r="Y92" s="47" t="str">
        <f>T14</f>
        <v>Δhue</v>
      </c>
      <c r="Z92" s="30" t="str">
        <f t="shared" ref="Z92:Z116" si="94">B14</f>
        <v>Target sR</v>
      </c>
      <c r="AA92" s="30"/>
      <c r="AB92" s="30" t="str">
        <f t="shared" ref="AB92:AB116" si="95">C14</f>
        <v>Target sG</v>
      </c>
      <c r="AC92" s="30" t="str">
        <f t="shared" ref="AC92:AC116" si="96">D14</f>
        <v>Target sB</v>
      </c>
      <c r="BD92" s="30"/>
      <c r="BE92" s="30"/>
      <c r="BF92" s="30"/>
      <c r="BG92" s="30"/>
      <c r="BH92" s="30"/>
      <c r="BI92" s="30"/>
      <c r="BV92" s="27">
        <f t="shared" si="78"/>
        <v>161.25</v>
      </c>
      <c r="BW92" s="30">
        <v>88</v>
      </c>
      <c r="BX92" s="30">
        <f t="shared" si="85"/>
        <v>161.25</v>
      </c>
      <c r="BY92" s="30">
        <f t="shared" si="86"/>
        <v>1.25</v>
      </c>
      <c r="BZ92" s="30"/>
      <c r="CF92" s="30"/>
      <c r="CG92" s="30"/>
    </row>
    <row r="93" spans="2:85" x14ac:dyDescent="0.3">
      <c r="B93" s="33">
        <f t="shared" ref="B93:B116" si="97">IF((B67/$Q$72)&gt;(216/24389), POWER(B67/$Q$72,1/3), (((24389/27)*B67/$Q$72)+16)/116)</f>
        <v>0.48566867714309431</v>
      </c>
      <c r="C93" s="33">
        <f t="shared" ref="C93:C116" si="98">IF((C67/$R$72)&gt;(216/24389), POWER(C67/$R$72,1/3), (((24389/27)*C67/$R$72)+16)/116)</f>
        <v>0.45380569848487379</v>
      </c>
      <c r="D93" s="33">
        <f t="shared" ref="D93:D116" si="99">IF((D67/$S$72)&gt;(216/24389), POWER(D67/$S$72,1/3), (((24389/27)*D67/$S$72)+16)/116)</f>
        <v>0.35990247483512333</v>
      </c>
      <c r="E93" s="84"/>
      <c r="F93" s="132"/>
      <c r="G93" s="156"/>
      <c r="H93" s="180"/>
      <c r="I93" s="33">
        <f t="shared" ref="I93:I116" si="100">IF((I67/$Q$72)&gt;(216/24389), POWER(I67/$Q$72,1/3), (((24389/27)*I67/$Q$72)+16)/116)</f>
        <v>0.51335481647924297</v>
      </c>
      <c r="J93" s="33">
        <f t="shared" ref="J93:J116" si="101">IF((J67/$R$72)&gt;(216/24389), POWER(J67/$R$72,1/3), (((24389/27)*J67/$R$72)+16)/116)</f>
        <v>0.49358705011382237</v>
      </c>
      <c r="K93" s="33">
        <f t="shared" ref="K93:K116" si="102">IF((K67/$S$72)&gt;(216/24389), POWER(K67/$S$72,1/3), (((24389/27)*K67/$S$72)+16)/116)</f>
        <v>0.4366450972172129</v>
      </c>
      <c r="M93" s="33">
        <f t="shared" ref="M93:M116" si="103">IF((M67/$Q$72)&gt;(216/24389), POWER(M67/$Q$72,1/3), (((24389/27)*M67/$Q$72+16)/116))</f>
        <v>0.51333488991902376</v>
      </c>
      <c r="N93" s="33">
        <f t="shared" ref="N93:N116" si="104">IF((N67/$R$72)&gt;(216/24389), POWER(N67/$R$72,1/3), (((24389/27)*N67/$R$72)+16)/116)</f>
        <v>0.4936001556412995</v>
      </c>
      <c r="O93" s="33">
        <f t="shared" ref="O93:O116" si="105">IF((O67/$S$72)&gt;(216/24389), POWER(O67/$S$72,1/3), (((24389/27)*O67/$S$72)+16)/116)</f>
        <v>0.43658322211496164</v>
      </c>
      <c r="P93" s="33"/>
      <c r="Q93" s="30">
        <v>0.29899999999999999</v>
      </c>
      <c r="R93" s="30">
        <v>0.58699999999999997</v>
      </c>
      <c r="S93" s="30">
        <v>0.114</v>
      </c>
      <c r="W93" s="47">
        <f t="shared" si="93"/>
        <v>6.4678052166867444</v>
      </c>
      <c r="X93" s="47">
        <f t="shared" ref="X93:X116" si="106">ABS(S15)</f>
        <v>9.5483845922112796</v>
      </c>
      <c r="Y93" s="47">
        <f t="shared" ref="Y93:Y116" si="107">T15</f>
        <v>0.21751599636939392</v>
      </c>
      <c r="Z93" s="30">
        <f t="shared" si="94"/>
        <v>118.81</v>
      </c>
      <c r="AA93" s="30"/>
      <c r="AB93" s="30">
        <f t="shared" si="95"/>
        <v>75.81</v>
      </c>
      <c r="AC93" s="30">
        <f t="shared" si="96"/>
        <v>56.81</v>
      </c>
      <c r="BD93" s="30"/>
      <c r="BE93" s="30"/>
      <c r="BF93" s="30"/>
      <c r="BG93" s="30"/>
      <c r="BH93" s="30"/>
      <c r="BI93" s="30"/>
      <c r="BV93" s="27">
        <f t="shared" si="78"/>
        <v>162.25</v>
      </c>
      <c r="BW93" s="30">
        <v>89</v>
      </c>
      <c r="BX93" s="30">
        <f t="shared" si="85"/>
        <v>162.25</v>
      </c>
      <c r="BY93" s="30">
        <f t="shared" si="86"/>
        <v>1</v>
      </c>
      <c r="BZ93" s="30"/>
      <c r="CF93" s="30"/>
      <c r="CG93" s="30"/>
    </row>
    <row r="94" spans="2:85" x14ac:dyDescent="0.3">
      <c r="B94" s="33">
        <f t="shared" si="97"/>
        <v>0.80209550249944794</v>
      </c>
      <c r="C94" s="33">
        <f t="shared" si="98"/>
        <v>0.75710143745559544</v>
      </c>
      <c r="D94" s="33">
        <f t="shared" si="99"/>
        <v>0.66642451646752876</v>
      </c>
      <c r="E94" s="85"/>
      <c r="F94" s="133"/>
      <c r="G94" s="157"/>
      <c r="H94" s="181"/>
      <c r="I94" s="33">
        <f t="shared" si="100"/>
        <v>0.83360110553019651</v>
      </c>
      <c r="J94" s="33">
        <f t="shared" si="101"/>
        <v>0.81271666179950408</v>
      </c>
      <c r="K94" s="33">
        <f t="shared" si="102"/>
        <v>0.75945028190857089</v>
      </c>
      <c r="M94" s="33">
        <f t="shared" si="103"/>
        <v>0.83356515270048048</v>
      </c>
      <c r="N94" s="33">
        <f t="shared" si="104"/>
        <v>0.81273458384560837</v>
      </c>
      <c r="O94" s="33">
        <f t="shared" si="105"/>
        <v>0.75936723041332133</v>
      </c>
      <c r="P94" s="33"/>
      <c r="Q94" s="30">
        <v>-0.16869999999999999</v>
      </c>
      <c r="R94" s="30">
        <v>-0.33129999999999998</v>
      </c>
      <c r="S94" s="30">
        <v>0.5</v>
      </c>
      <c r="W94" s="47">
        <f t="shared" si="93"/>
        <v>9.0230027496038936</v>
      </c>
      <c r="X94" s="47">
        <f t="shared" si="106"/>
        <v>13.978999820912144</v>
      </c>
      <c r="Y94" s="47">
        <f t="shared" si="107"/>
        <v>2.4265134205576628</v>
      </c>
      <c r="Z94" s="30">
        <f t="shared" si="94"/>
        <v>226.13</v>
      </c>
      <c r="AA94" s="30"/>
      <c r="AB94" s="30">
        <f t="shared" si="95"/>
        <v>160.13</v>
      </c>
      <c r="AC94" s="30">
        <f t="shared" si="96"/>
        <v>144.13</v>
      </c>
      <c r="BD94" s="30"/>
      <c r="BE94" s="30"/>
      <c r="BF94" s="30"/>
      <c r="BG94" s="30"/>
      <c r="BH94" s="30"/>
      <c r="BI94" s="30"/>
      <c r="BV94" s="27">
        <f t="shared" si="78"/>
        <v>163.25</v>
      </c>
      <c r="BW94" s="30">
        <v>90</v>
      </c>
      <c r="BX94" s="30">
        <f t="shared" si="85"/>
        <v>163.25</v>
      </c>
      <c r="BY94" s="30">
        <f t="shared" si="86"/>
        <v>1</v>
      </c>
      <c r="BZ94" s="30"/>
      <c r="CF94" s="30"/>
      <c r="CG94" s="30"/>
    </row>
    <row r="95" spans="2:85" x14ac:dyDescent="0.3">
      <c r="B95" s="33">
        <f t="shared" si="97"/>
        <v>0.61427864558710665</v>
      </c>
      <c r="C95" s="33">
        <f t="shared" si="98"/>
        <v>0.6058983310064503</v>
      </c>
      <c r="D95" s="33">
        <f t="shared" si="99"/>
        <v>0.75489871829059829</v>
      </c>
      <c r="E95" s="86"/>
      <c r="F95" s="134"/>
      <c r="G95" s="158"/>
      <c r="H95" s="182"/>
      <c r="I95" s="33">
        <f t="shared" si="100"/>
        <v>0.62358365852472353</v>
      </c>
      <c r="J95" s="33">
        <f t="shared" si="101"/>
        <v>0.62437906677857957</v>
      </c>
      <c r="K95" s="33">
        <f t="shared" si="102"/>
        <v>0.68938216987011103</v>
      </c>
      <c r="M95" s="33">
        <f t="shared" si="103"/>
        <v>0.62356481639034322</v>
      </c>
      <c r="N95" s="33">
        <f t="shared" si="104"/>
        <v>0.62439097744954186</v>
      </c>
      <c r="O95" s="33">
        <f t="shared" si="105"/>
        <v>0.6894018818834714</v>
      </c>
      <c r="P95" s="33"/>
      <c r="Q95" s="30">
        <v>0.5</v>
      </c>
      <c r="R95" s="30">
        <v>-0.41870000000000002</v>
      </c>
      <c r="S95" s="30">
        <v>-8.1000000000000003E-2</v>
      </c>
      <c r="W95" s="47">
        <f t="shared" si="93"/>
        <v>7.9149914586261101</v>
      </c>
      <c r="X95" s="47">
        <f t="shared" si="106"/>
        <v>17.086520090213227</v>
      </c>
      <c r="Y95" s="47">
        <f t="shared" si="107"/>
        <v>3.3646773485871253</v>
      </c>
      <c r="Z95" s="30">
        <f t="shared" si="94"/>
        <v>104</v>
      </c>
      <c r="AA95" s="30"/>
      <c r="AB95" s="30">
        <f t="shared" si="95"/>
        <v>130</v>
      </c>
      <c r="AC95" s="30">
        <f t="shared" si="96"/>
        <v>181</v>
      </c>
      <c r="BD95" s="30"/>
      <c r="BE95" s="30"/>
      <c r="BF95" s="30"/>
      <c r="BG95" s="30"/>
      <c r="BH95" s="30"/>
      <c r="BI95" s="30"/>
      <c r="BV95" s="27">
        <f t="shared" si="78"/>
        <v>164.25</v>
      </c>
      <c r="BW95" s="30">
        <v>91</v>
      </c>
      <c r="BX95" s="30">
        <f t="shared" si="85"/>
        <v>164.25</v>
      </c>
      <c r="BY95" s="30">
        <f t="shared" si="86"/>
        <v>1</v>
      </c>
      <c r="BZ95" s="30"/>
      <c r="CF95" s="30"/>
      <c r="CG95" s="30"/>
    </row>
    <row r="96" spans="2:85" x14ac:dyDescent="0.3">
      <c r="B96" s="33">
        <f t="shared" si="97"/>
        <v>0.47324545538887614</v>
      </c>
      <c r="C96" s="33">
        <f t="shared" si="98"/>
        <v>0.50227714688126057</v>
      </c>
      <c r="D96" s="33">
        <f t="shared" si="99"/>
        <v>0.38341089837582987</v>
      </c>
      <c r="E96" s="87"/>
      <c r="F96" s="135"/>
      <c r="G96" s="159"/>
      <c r="H96" s="183"/>
      <c r="I96" s="33">
        <f t="shared" si="100"/>
        <v>0.50879795592436117</v>
      </c>
      <c r="J96" s="33">
        <f t="shared" si="101"/>
        <v>0.52342470494277182</v>
      </c>
      <c r="K96" s="33">
        <f t="shared" si="102"/>
        <v>0.47487028369517503</v>
      </c>
      <c r="M96" s="33">
        <f t="shared" si="103"/>
        <v>0.50877996917985124</v>
      </c>
      <c r="N96" s="33">
        <f t="shared" si="104"/>
        <v>0.52343544108267726</v>
      </c>
      <c r="O96" s="33">
        <f t="shared" si="105"/>
        <v>0.47489092407675232</v>
      </c>
      <c r="P96" s="33"/>
      <c r="W96" s="47">
        <f t="shared" si="93"/>
        <v>7.4925596500821703</v>
      </c>
      <c r="X96" s="47">
        <f t="shared" si="106"/>
        <v>15.697815829423321</v>
      </c>
      <c r="Y96" s="47">
        <f t="shared" si="107"/>
        <v>1.7900536859404799</v>
      </c>
      <c r="Z96" s="30">
        <f t="shared" si="94"/>
        <v>89.49</v>
      </c>
      <c r="AA96" s="30"/>
      <c r="AB96" s="30">
        <f t="shared" si="95"/>
        <v>105.48</v>
      </c>
      <c r="AC96" s="30">
        <f t="shared" si="96"/>
        <v>59.62</v>
      </c>
      <c r="BD96" s="30"/>
      <c r="BE96" s="30"/>
      <c r="BF96" s="30"/>
      <c r="BG96" s="30"/>
      <c r="BH96" s="30"/>
      <c r="BI96" s="30"/>
      <c r="BV96" s="27">
        <f t="shared" si="78"/>
        <v>165.25</v>
      </c>
      <c r="BW96" s="30">
        <v>92</v>
      </c>
      <c r="BX96" s="30">
        <f t="shared" si="85"/>
        <v>165.25</v>
      </c>
      <c r="BY96" s="30">
        <f t="shared" si="86"/>
        <v>1</v>
      </c>
      <c r="BZ96" s="30"/>
      <c r="CF96" s="30"/>
      <c r="CG96" s="30"/>
    </row>
    <row r="97" spans="2:85" x14ac:dyDescent="0.3">
      <c r="B97" s="33">
        <f t="shared" si="97"/>
        <v>0.69413395916624765</v>
      </c>
      <c r="C97" s="33">
        <f t="shared" si="98"/>
        <v>0.6525915913563225</v>
      </c>
      <c r="D97" s="33">
        <f t="shared" si="99"/>
        <v>0.78706235887259879</v>
      </c>
      <c r="E97" s="88"/>
      <c r="F97" s="136"/>
      <c r="G97" s="160"/>
      <c r="H97" s="184"/>
      <c r="I97" s="33">
        <f t="shared" si="100"/>
        <v>0.70838576949758636</v>
      </c>
      <c r="J97" s="33">
        <f t="shared" si="101"/>
        <v>0.68872160910681401</v>
      </c>
      <c r="K97" s="33">
        <f t="shared" si="102"/>
        <v>0.73876886017181331</v>
      </c>
      <c r="M97" s="33">
        <f t="shared" si="103"/>
        <v>0.70836232278796529</v>
      </c>
      <c r="N97" s="33">
        <f t="shared" si="104"/>
        <v>0.68873695966423509</v>
      </c>
      <c r="O97" s="33">
        <f t="shared" si="105"/>
        <v>0.73875245117157973</v>
      </c>
      <c r="P97" s="33"/>
      <c r="Q97" s="225" t="s">
        <v>161</v>
      </c>
      <c r="R97" s="225"/>
      <c r="S97" s="225"/>
      <c r="W97" s="47">
        <f t="shared" si="93"/>
        <v>9.0961571319425349</v>
      </c>
      <c r="X97" s="47">
        <f t="shared" si="106"/>
        <v>19.950788559515264</v>
      </c>
      <c r="Y97" s="47">
        <f t="shared" si="107"/>
        <v>2.5929194014362609</v>
      </c>
      <c r="Z97" s="30">
        <f t="shared" si="94"/>
        <v>157.21</v>
      </c>
      <c r="AA97" s="30"/>
      <c r="AB97" s="30">
        <f t="shared" si="95"/>
        <v>133.21</v>
      </c>
      <c r="AC97" s="30">
        <f t="shared" si="96"/>
        <v>191.2</v>
      </c>
      <c r="BD97" s="30"/>
      <c r="BE97" s="30"/>
      <c r="BF97" s="30"/>
      <c r="BG97" s="30"/>
      <c r="BH97" s="30"/>
      <c r="BI97" s="30"/>
      <c r="BV97" s="27">
        <f t="shared" si="78"/>
        <v>166.25</v>
      </c>
      <c r="BW97" s="30">
        <v>93</v>
      </c>
      <c r="BX97" s="30">
        <f t="shared" si="85"/>
        <v>166.25</v>
      </c>
      <c r="BY97" s="30">
        <f t="shared" si="86"/>
        <v>1</v>
      </c>
      <c r="BZ97" s="30"/>
      <c r="CF97" s="30"/>
      <c r="CG97" s="30"/>
    </row>
    <row r="98" spans="2:85" x14ac:dyDescent="0.3">
      <c r="B98" s="33">
        <f t="shared" si="97"/>
        <v>0.75423873952117737</v>
      </c>
      <c r="C98" s="33">
        <f t="shared" si="98"/>
        <v>0.80659758045401941</v>
      </c>
      <c r="D98" s="33">
        <f t="shared" si="99"/>
        <v>0.83456465386089074</v>
      </c>
      <c r="E98" s="89"/>
      <c r="F98" s="137"/>
      <c r="G98" s="161"/>
      <c r="H98" s="185"/>
      <c r="I98" s="33">
        <f t="shared" si="100"/>
        <v>0.76512361177654931</v>
      </c>
      <c r="J98" s="33">
        <f t="shared" si="101"/>
        <v>0.79130842913080479</v>
      </c>
      <c r="K98" s="33">
        <f t="shared" si="102"/>
        <v>0.81340970774930466</v>
      </c>
      <c r="M98" s="33">
        <f t="shared" si="103"/>
        <v>0.76509981241645053</v>
      </c>
      <c r="N98" s="33">
        <f t="shared" si="104"/>
        <v>0.79132273532202346</v>
      </c>
      <c r="O98" s="33">
        <f t="shared" si="105"/>
        <v>0.81346324241215484</v>
      </c>
      <c r="P98" s="33"/>
      <c r="Q98" s="33" cm="1">
        <f t="array" ref="Q98:S100">MINVERSE(Q93:S95)</f>
        <v>0.99957940370993792</v>
      </c>
      <c r="R98" s="33">
        <v>-7.8210741229706171E-4</v>
      </c>
      <c r="S98" s="33">
        <v>1.4019876335405481</v>
      </c>
      <c r="W98" s="47">
        <f t="shared" si="93"/>
        <v>6.3364529759880668</v>
      </c>
      <c r="X98" s="47">
        <f t="shared" si="106"/>
        <v>12.951828854182672</v>
      </c>
      <c r="Y98" s="47">
        <f t="shared" si="107"/>
        <v>2.2127604581232565</v>
      </c>
      <c r="Z98" s="30">
        <f t="shared" si="94"/>
        <v>123.34</v>
      </c>
      <c r="AA98" s="30"/>
      <c r="AB98" s="30">
        <f t="shared" si="95"/>
        <v>205.75</v>
      </c>
      <c r="AC98" s="30">
        <f t="shared" si="96"/>
        <v>201.1</v>
      </c>
      <c r="BD98" s="30"/>
      <c r="BE98" s="30"/>
      <c r="BF98" s="30"/>
      <c r="BG98" s="30"/>
      <c r="BH98" s="30"/>
      <c r="BI98" s="30"/>
      <c r="BV98" s="27">
        <f t="shared" si="78"/>
        <v>167.25</v>
      </c>
      <c r="BW98" s="30">
        <v>94</v>
      </c>
      <c r="BX98" s="30">
        <f t="shared" si="85"/>
        <v>167.25</v>
      </c>
      <c r="BY98" s="30">
        <f t="shared" si="86"/>
        <v>1</v>
      </c>
      <c r="BZ98" s="30"/>
      <c r="CF98" s="30"/>
      <c r="CG98" s="30"/>
    </row>
    <row r="99" spans="2:85" x14ac:dyDescent="0.3">
      <c r="B99" s="33">
        <f t="shared" si="97"/>
        <v>0.776234186392324</v>
      </c>
      <c r="C99" s="33">
        <f t="shared" si="98"/>
        <v>0.71261037414867123</v>
      </c>
      <c r="D99" s="33">
        <f t="shared" si="99"/>
        <v>0.40328136956437771</v>
      </c>
      <c r="E99" s="90"/>
      <c r="F99" s="138"/>
      <c r="G99" s="162"/>
      <c r="H99" s="186"/>
      <c r="I99" s="33">
        <f t="shared" si="100"/>
        <v>0.77350877054659506</v>
      </c>
      <c r="J99" s="33">
        <f t="shared" si="101"/>
        <v>0.74283784556329535</v>
      </c>
      <c r="K99" s="33">
        <f t="shared" si="102"/>
        <v>0.59250127894906945</v>
      </c>
      <c r="M99" s="33">
        <f t="shared" si="103"/>
        <v>0.77347736576859893</v>
      </c>
      <c r="N99" s="33">
        <f t="shared" si="104"/>
        <v>0.74285847341341626</v>
      </c>
      <c r="O99" s="33">
        <f t="shared" si="105"/>
        <v>0.59236464925066667</v>
      </c>
      <c r="P99" s="33"/>
      <c r="Q99" s="33">
        <v>1.0002142311549842</v>
      </c>
      <c r="R99" s="33">
        <v>-0.34373366839476227</v>
      </c>
      <c r="S99" s="33">
        <v>-0.71410384994707332</v>
      </c>
      <c r="W99" s="47">
        <f t="shared" si="93"/>
        <v>9.3530356488173965</v>
      </c>
      <c r="X99" s="47">
        <f t="shared" si="106"/>
        <v>35.813284903652779</v>
      </c>
      <c r="Y99" s="47">
        <f t="shared" si="107"/>
        <v>0.16010113932333708</v>
      </c>
      <c r="Z99" s="30">
        <f t="shared" si="94"/>
        <v>237.21</v>
      </c>
      <c r="AA99" s="30"/>
      <c r="AB99" s="30">
        <f t="shared" si="95"/>
        <v>137.21</v>
      </c>
      <c r="AC99" s="30">
        <f t="shared" si="96"/>
        <v>45.15</v>
      </c>
      <c r="BD99" s="30"/>
      <c r="BE99" s="30"/>
      <c r="BF99" s="30"/>
      <c r="BG99" s="30"/>
      <c r="BH99" s="30"/>
      <c r="BI99" s="30"/>
      <c r="BV99" s="27">
        <f t="shared" si="78"/>
        <v>168</v>
      </c>
      <c r="BW99" s="30">
        <v>95</v>
      </c>
      <c r="BX99" s="30">
        <f t="shared" si="85"/>
        <v>168</v>
      </c>
      <c r="BY99" s="30">
        <f t="shared" si="86"/>
        <v>0.75</v>
      </c>
      <c r="BZ99" s="30"/>
      <c r="CF99" s="30"/>
      <c r="CG99" s="30"/>
    </row>
    <row r="100" spans="2:85" x14ac:dyDescent="0.3">
      <c r="B100" s="33">
        <f t="shared" si="97"/>
        <v>0.51454110005810993</v>
      </c>
      <c r="C100" s="33">
        <f t="shared" si="98"/>
        <v>0.46069014409223857</v>
      </c>
      <c r="D100" s="33">
        <f t="shared" si="99"/>
        <v>0.745764191432021</v>
      </c>
      <c r="E100" s="91"/>
      <c r="F100" s="139"/>
      <c r="G100" s="163"/>
      <c r="H100" s="187"/>
      <c r="I100" s="33">
        <f t="shared" si="100"/>
        <v>0.47309920376791703</v>
      </c>
      <c r="J100" s="33">
        <f t="shared" si="101"/>
        <v>0.45817085056396023</v>
      </c>
      <c r="K100" s="33">
        <f t="shared" si="102"/>
        <v>0.59439926626621375</v>
      </c>
      <c r="M100" s="33">
        <f t="shared" si="103"/>
        <v>0.4730877762478507</v>
      </c>
      <c r="N100" s="33">
        <f t="shared" si="104"/>
        <v>0.45817862326721381</v>
      </c>
      <c r="O100" s="33">
        <f t="shared" si="105"/>
        <v>0.59441266777889068</v>
      </c>
      <c r="P100" s="33"/>
      <c r="Q100" s="33">
        <v>1.0000000403750255</v>
      </c>
      <c r="R100" s="33">
        <v>1.7719781882807215</v>
      </c>
      <c r="S100" s="33">
        <v>-1.3458341834987511E-4</v>
      </c>
      <c r="W100" s="47">
        <f t="shared" si="93"/>
        <v>9.8243866881929129</v>
      </c>
      <c r="X100" s="47">
        <f t="shared" si="106"/>
        <v>34.80329051200107</v>
      </c>
      <c r="Y100" s="47">
        <f t="shared" si="107"/>
        <v>7.3262612075125704</v>
      </c>
      <c r="Z100" s="30">
        <f t="shared" si="94"/>
        <v>59.26</v>
      </c>
      <c r="AA100" s="30"/>
      <c r="AB100" s="30">
        <f t="shared" si="95"/>
        <v>78.260000000000005</v>
      </c>
      <c r="AC100" s="30">
        <f t="shared" si="96"/>
        <v>181.46</v>
      </c>
      <c r="BD100" s="30"/>
      <c r="BE100" s="30"/>
      <c r="BF100" s="30"/>
      <c r="BG100" s="30"/>
      <c r="BH100" s="30"/>
      <c r="BI100" s="30"/>
      <c r="BV100" s="27">
        <f t="shared" si="78"/>
        <v>168.75</v>
      </c>
      <c r="BW100" s="30">
        <v>96</v>
      </c>
      <c r="BX100" s="30">
        <f t="shared" si="85"/>
        <v>168.75</v>
      </c>
      <c r="BY100" s="30">
        <f t="shared" si="86"/>
        <v>0.75</v>
      </c>
      <c r="BZ100" s="30"/>
      <c r="CF100" s="30"/>
      <c r="CG100" s="30"/>
    </row>
    <row r="101" spans="2:85" x14ac:dyDescent="0.3">
      <c r="B101" s="33">
        <f t="shared" si="97"/>
        <v>0.74151183491912986</v>
      </c>
      <c r="C101" s="33">
        <f t="shared" si="98"/>
        <v>0.6302321120593114</v>
      </c>
      <c r="D101" s="33">
        <f t="shared" si="99"/>
        <v>0.49392024945820212</v>
      </c>
      <c r="E101" s="92"/>
      <c r="F101" s="140"/>
      <c r="G101" s="164"/>
      <c r="H101" s="188"/>
      <c r="I101" s="33">
        <f t="shared" si="100"/>
        <v>0.71059091585158041</v>
      </c>
      <c r="J101" s="33">
        <f t="shared" si="101"/>
        <v>0.65461429562599938</v>
      </c>
      <c r="K101" s="33">
        <f t="shared" si="102"/>
        <v>0.5640676715410089</v>
      </c>
      <c r="M101" s="33">
        <f t="shared" si="103"/>
        <v>0.71056194414472129</v>
      </c>
      <c r="N101" s="33">
        <f t="shared" si="104"/>
        <v>0.65463467291056576</v>
      </c>
      <c r="O101" s="33">
        <f t="shared" si="105"/>
        <v>0.56389434542289574</v>
      </c>
      <c r="P101" s="33"/>
      <c r="W101" s="47">
        <f t="shared" si="93"/>
        <v>8.5381751320266641</v>
      </c>
      <c r="X101" s="47">
        <f t="shared" si="106"/>
        <v>28.623851773994403</v>
      </c>
      <c r="Y101" s="47">
        <f t="shared" si="107"/>
        <v>5.3908888062301097</v>
      </c>
      <c r="Z101" s="30">
        <f t="shared" si="94"/>
        <v>231.81</v>
      </c>
      <c r="AA101" s="30"/>
      <c r="AB101" s="30">
        <f t="shared" si="95"/>
        <v>88.82</v>
      </c>
      <c r="AC101" s="30">
        <f t="shared" si="96"/>
        <v>92.89</v>
      </c>
      <c r="BD101" s="30"/>
      <c r="BE101" s="30"/>
      <c r="BF101" s="30"/>
      <c r="BG101" s="30"/>
      <c r="BH101" s="30"/>
      <c r="BI101" s="30"/>
      <c r="BV101" s="27">
        <f t="shared" si="78"/>
        <v>169.75</v>
      </c>
      <c r="BW101" s="30">
        <v>97</v>
      </c>
      <c r="BX101" s="30">
        <f t="shared" si="85"/>
        <v>169.75</v>
      </c>
      <c r="BY101" s="30">
        <f t="shared" si="86"/>
        <v>1</v>
      </c>
      <c r="BZ101" s="30"/>
      <c r="CF101" s="30"/>
      <c r="CG101" s="30"/>
    </row>
    <row r="102" spans="2:85" x14ac:dyDescent="0.3">
      <c r="B102" s="33">
        <f t="shared" si="97"/>
        <v>0.41154932774894343</v>
      </c>
      <c r="C102" s="33">
        <f t="shared" si="98"/>
        <v>0.35463012202360722</v>
      </c>
      <c r="D102" s="33">
        <f t="shared" si="99"/>
        <v>0.43392012501060295</v>
      </c>
      <c r="E102" s="93"/>
      <c r="F102" s="141"/>
      <c r="G102" s="165"/>
      <c r="H102" s="189"/>
      <c r="I102" s="33">
        <f t="shared" si="100"/>
        <v>0.40698480015699512</v>
      </c>
      <c r="J102" s="33">
        <f t="shared" si="101"/>
        <v>0.37328368146604746</v>
      </c>
      <c r="K102" s="33">
        <f t="shared" si="102"/>
        <v>0.39764261853992666</v>
      </c>
      <c r="M102" s="33">
        <f t="shared" si="103"/>
        <v>0.40697004814098697</v>
      </c>
      <c r="N102" s="33">
        <f t="shared" si="104"/>
        <v>0.37329420553450343</v>
      </c>
      <c r="O102" s="33">
        <f t="shared" si="105"/>
        <v>0.39759122429383836</v>
      </c>
      <c r="P102" s="33"/>
      <c r="W102" s="47">
        <f t="shared" si="93"/>
        <v>7.4223974690328056</v>
      </c>
      <c r="X102" s="47">
        <f t="shared" si="106"/>
        <v>15.038834908925086</v>
      </c>
      <c r="Y102" s="47">
        <f t="shared" si="107"/>
        <v>5.4129673987797764</v>
      </c>
      <c r="Z102" s="30">
        <f t="shared" si="94"/>
        <v>89.8</v>
      </c>
      <c r="AA102" s="30"/>
      <c r="AB102" s="30">
        <f t="shared" si="95"/>
        <v>42</v>
      </c>
      <c r="AC102" s="30">
        <f t="shared" si="96"/>
        <v>83.99</v>
      </c>
      <c r="BD102" s="30"/>
      <c r="BE102" s="30"/>
      <c r="BF102" s="30"/>
      <c r="BG102" s="30"/>
      <c r="BH102" s="30"/>
      <c r="BI102" s="30"/>
      <c r="BV102" s="27">
        <f t="shared" si="78"/>
        <v>170.25</v>
      </c>
      <c r="BW102" s="30">
        <v>98</v>
      </c>
      <c r="BX102" s="30">
        <f t="shared" si="85"/>
        <v>170.25</v>
      </c>
      <c r="BY102" s="30">
        <f t="shared" si="86"/>
        <v>0.5</v>
      </c>
      <c r="BZ102" s="30"/>
      <c r="CF102" s="30"/>
      <c r="CG102" s="30"/>
    </row>
    <row r="103" spans="2:85" x14ac:dyDescent="0.3">
      <c r="B103" s="33">
        <f t="shared" si="97"/>
        <v>0.75674951328006757</v>
      </c>
      <c r="C103" s="33">
        <f t="shared" si="98"/>
        <v>0.8111694545815733</v>
      </c>
      <c r="D103" s="33">
        <f t="shared" si="99"/>
        <v>0.50778099300307111</v>
      </c>
      <c r="E103" s="94"/>
      <c r="F103" s="142"/>
      <c r="G103" s="166"/>
      <c r="H103" s="190"/>
      <c r="I103" s="33">
        <f t="shared" si="100"/>
        <v>0.7474278002755258</v>
      </c>
      <c r="J103" s="33">
        <f t="shared" si="101"/>
        <v>0.7714736947209716</v>
      </c>
      <c r="K103" s="33">
        <f t="shared" si="102"/>
        <v>0.67511002374344298</v>
      </c>
      <c r="M103" s="33">
        <f t="shared" si="103"/>
        <v>0.74740082929734908</v>
      </c>
      <c r="N103" s="33">
        <f t="shared" si="104"/>
        <v>0.77148967774142541</v>
      </c>
      <c r="O103" s="33">
        <f t="shared" si="105"/>
        <v>0.67514144170510637</v>
      </c>
      <c r="P103" s="33"/>
      <c r="W103" s="47">
        <f t="shared" si="93"/>
        <v>12.185370670950416</v>
      </c>
      <c r="X103" s="47">
        <f t="shared" si="106"/>
        <v>43.783956536548715</v>
      </c>
      <c r="Y103" s="47">
        <f t="shared" si="107"/>
        <v>5.2897436180047839</v>
      </c>
      <c r="Z103" s="30">
        <f t="shared" si="94"/>
        <v>177.63</v>
      </c>
      <c r="AA103" s="30"/>
      <c r="AB103" s="30">
        <f t="shared" si="95"/>
        <v>204.63</v>
      </c>
      <c r="AC103" s="30">
        <f t="shared" si="96"/>
        <v>71.959999999999994</v>
      </c>
      <c r="BD103" s="30"/>
      <c r="BE103" s="30"/>
      <c r="BF103" s="30"/>
      <c r="BG103" s="30"/>
      <c r="BH103" s="30"/>
      <c r="BI103" s="30"/>
      <c r="BV103" s="27">
        <f t="shared" si="78"/>
        <v>171.25</v>
      </c>
      <c r="BW103" s="30">
        <v>99</v>
      </c>
      <c r="BX103" s="30">
        <f t="shared" si="85"/>
        <v>171.25</v>
      </c>
      <c r="BY103" s="30">
        <f t="shared" si="86"/>
        <v>1</v>
      </c>
      <c r="BZ103" s="30"/>
      <c r="CF103" s="30"/>
      <c r="CG103" s="30"/>
    </row>
    <row r="104" spans="2:85" x14ac:dyDescent="0.3">
      <c r="B104" s="33">
        <f t="shared" si="97"/>
        <v>0.82077964566918027</v>
      </c>
      <c r="C104" s="33">
        <f t="shared" si="98"/>
        <v>0.79302728482242557</v>
      </c>
      <c r="D104" s="33">
        <f t="shared" si="99"/>
        <v>0.43990379623450815</v>
      </c>
      <c r="E104" s="95"/>
      <c r="F104" s="143"/>
      <c r="G104" s="167"/>
      <c r="H104" s="191"/>
      <c r="I104" s="33">
        <f t="shared" si="100"/>
        <v>0.8003199340995546</v>
      </c>
      <c r="J104" s="33">
        <f t="shared" si="101"/>
        <v>0.78563602001723876</v>
      </c>
      <c r="K104" s="33">
        <f t="shared" si="102"/>
        <v>0.64467089449580672</v>
      </c>
      <c r="M104" s="33">
        <f t="shared" si="103"/>
        <v>0.80028839278248565</v>
      </c>
      <c r="N104" s="33">
        <f t="shared" si="104"/>
        <v>0.78565606095260498</v>
      </c>
      <c r="O104" s="33">
        <f t="shared" si="105"/>
        <v>0.64459014238287449</v>
      </c>
      <c r="P104" s="33"/>
      <c r="W104" s="47">
        <f t="shared" si="93"/>
        <v>10.230951818556772</v>
      </c>
      <c r="X104" s="47">
        <f t="shared" si="106"/>
        <v>42.841638642808505</v>
      </c>
      <c r="Y104" s="47">
        <f t="shared" si="107"/>
        <v>2.7815309399296346</v>
      </c>
      <c r="Z104" s="30">
        <f t="shared" si="94"/>
        <v>242.26</v>
      </c>
      <c r="AA104" s="30"/>
      <c r="AB104" s="30">
        <f t="shared" si="95"/>
        <v>175.26</v>
      </c>
      <c r="AC104" s="30">
        <f t="shared" si="96"/>
        <v>44.28</v>
      </c>
      <c r="BD104" s="30"/>
      <c r="BE104" s="30"/>
      <c r="BF104" s="30"/>
      <c r="BG104" s="30"/>
      <c r="BH104" s="30"/>
      <c r="BI104" s="30"/>
      <c r="BV104" s="27">
        <f t="shared" si="78"/>
        <v>172</v>
      </c>
      <c r="BW104" s="30">
        <v>100</v>
      </c>
      <c r="BX104" s="30">
        <f t="shared" si="85"/>
        <v>172</v>
      </c>
      <c r="BY104" s="30">
        <f t="shared" si="86"/>
        <v>0.75</v>
      </c>
      <c r="BZ104" s="30"/>
      <c r="CF104" s="30"/>
      <c r="CG104" s="30"/>
    </row>
    <row r="105" spans="2:85" x14ac:dyDescent="0.3">
      <c r="B105" s="33">
        <f t="shared" si="97"/>
        <v>0.36562989316875516</v>
      </c>
      <c r="C105" s="33">
        <f t="shared" si="98"/>
        <v>0.28046460323882832</v>
      </c>
      <c r="D105" s="33">
        <f t="shared" si="99"/>
        <v>0.59742195139252519</v>
      </c>
      <c r="E105" s="96"/>
      <c r="F105" s="144"/>
      <c r="G105" s="168"/>
      <c r="H105" s="192"/>
      <c r="I105" s="33">
        <f t="shared" si="100"/>
        <v>0.30237973942761781</v>
      </c>
      <c r="J105" s="33">
        <f t="shared" si="101"/>
        <v>0.27721903125265657</v>
      </c>
      <c r="K105" s="33">
        <f t="shared" si="102"/>
        <v>0.44098159151208866</v>
      </c>
      <c r="M105" s="33">
        <f t="shared" si="103"/>
        <v>0.30237574316189408</v>
      </c>
      <c r="N105" s="33">
        <f t="shared" si="104"/>
        <v>0.27722218894986678</v>
      </c>
      <c r="O105" s="33">
        <f t="shared" si="105"/>
        <v>0.44099181643413954</v>
      </c>
      <c r="P105" s="33"/>
      <c r="W105" s="47">
        <f t="shared" si="93"/>
        <v>10.770654923001871</v>
      </c>
      <c r="X105" s="47">
        <f t="shared" si="106"/>
        <v>41.28046085601418</v>
      </c>
      <c r="Y105" s="47">
        <f t="shared" si="107"/>
        <v>11.610630083286566</v>
      </c>
      <c r="Z105" s="30">
        <f t="shared" si="94"/>
        <v>2.91</v>
      </c>
      <c r="AA105" s="30"/>
      <c r="AB105" s="30">
        <f t="shared" si="95"/>
        <v>17.91</v>
      </c>
      <c r="AC105" s="30">
        <f t="shared" si="96"/>
        <v>135.32</v>
      </c>
      <c r="BD105" s="30"/>
      <c r="BE105" s="30"/>
      <c r="BF105" s="30"/>
      <c r="BG105" s="30"/>
      <c r="BH105" s="30"/>
      <c r="BI105" s="30"/>
      <c r="BV105" s="27">
        <f t="shared" si="78"/>
        <v>172.75</v>
      </c>
      <c r="BW105" s="30">
        <v>101</v>
      </c>
      <c r="BX105" s="30">
        <f t="shared" si="85"/>
        <v>172.75</v>
      </c>
      <c r="BY105" s="30">
        <f t="shared" si="86"/>
        <v>0.75</v>
      </c>
      <c r="BZ105" s="30"/>
      <c r="CF105" s="30"/>
      <c r="CG105" s="30"/>
    </row>
    <row r="106" spans="2:85" x14ac:dyDescent="0.3">
      <c r="B106" s="33">
        <f t="shared" si="97"/>
        <v>0.52015539165293967</v>
      </c>
      <c r="C106" s="33">
        <f t="shared" si="98"/>
        <v>0.59844246065488893</v>
      </c>
      <c r="D106" s="33">
        <f t="shared" si="99"/>
        <v>0.44292796515872451</v>
      </c>
      <c r="E106" s="97"/>
      <c r="F106" s="145"/>
      <c r="G106" s="169"/>
      <c r="H106" s="193"/>
      <c r="I106" s="33">
        <f t="shared" si="100"/>
        <v>0.51809658821446702</v>
      </c>
      <c r="J106" s="33">
        <f t="shared" si="101"/>
        <v>0.56121270243828603</v>
      </c>
      <c r="K106" s="33">
        <f t="shared" si="102"/>
        <v>0.51104923989272422</v>
      </c>
      <c r="M106" s="33">
        <f t="shared" si="103"/>
        <v>0.51807972554774195</v>
      </c>
      <c r="N106" s="33">
        <f t="shared" si="104"/>
        <v>0.56122214023376127</v>
      </c>
      <c r="O106" s="33">
        <f t="shared" si="105"/>
        <v>0.5111259559137481</v>
      </c>
      <c r="P106" s="33"/>
      <c r="W106" s="47">
        <f t="shared" si="93"/>
        <v>10.258221132159365</v>
      </c>
      <c r="X106" s="47">
        <f t="shared" si="106"/>
        <v>26.217825093552683</v>
      </c>
      <c r="Y106" s="47">
        <f t="shared" si="107"/>
        <v>8.1134621534557194</v>
      </c>
      <c r="Z106" s="30">
        <f t="shared" si="94"/>
        <v>67.41</v>
      </c>
      <c r="AA106" s="30"/>
      <c r="AB106" s="30">
        <f t="shared" si="95"/>
        <v>143.4</v>
      </c>
      <c r="AC106" s="30">
        <f t="shared" si="96"/>
        <v>71.41</v>
      </c>
      <c r="BD106" s="30"/>
      <c r="BE106" s="30"/>
      <c r="BF106" s="30"/>
      <c r="BG106" s="30"/>
      <c r="BH106" s="30"/>
      <c r="BI106" s="30"/>
      <c r="BV106" s="27">
        <f t="shared" si="78"/>
        <v>173.75</v>
      </c>
      <c r="BW106" s="30">
        <v>102</v>
      </c>
      <c r="BX106" s="30">
        <f t="shared" si="85"/>
        <v>173.75</v>
      </c>
      <c r="BY106" s="30">
        <f t="shared" si="86"/>
        <v>1</v>
      </c>
      <c r="BZ106" s="30"/>
      <c r="CF106" s="30"/>
      <c r="CG106" s="30"/>
    </row>
    <row r="107" spans="2:85" x14ac:dyDescent="0.3">
      <c r="B107" s="33">
        <f t="shared" si="97"/>
        <v>0.66536215870191817</v>
      </c>
      <c r="C107" s="33">
        <f t="shared" si="98"/>
        <v>0.5451372766248197</v>
      </c>
      <c r="D107" s="33">
        <f t="shared" si="99"/>
        <v>0.3808230512820775</v>
      </c>
      <c r="E107" s="98"/>
      <c r="F107" s="146"/>
      <c r="G107" s="170"/>
      <c r="H107" s="194"/>
      <c r="I107" s="33">
        <f t="shared" si="100"/>
        <v>0.62459204512152544</v>
      </c>
      <c r="J107" s="33">
        <f t="shared" si="101"/>
        <v>0.55377561217549798</v>
      </c>
      <c r="K107" s="33">
        <f t="shared" si="102"/>
        <v>0.4465429345349719</v>
      </c>
      <c r="M107" s="33">
        <f t="shared" si="103"/>
        <v>0.62457803137357715</v>
      </c>
      <c r="N107" s="33">
        <f t="shared" si="104"/>
        <v>0.55380354190155179</v>
      </c>
      <c r="O107" s="33">
        <f t="shared" si="105"/>
        <v>0.44628693985580192</v>
      </c>
      <c r="P107" s="33"/>
      <c r="W107" s="47">
        <f t="shared" si="93"/>
        <v>6.8156029966985479</v>
      </c>
      <c r="X107" s="47">
        <f t="shared" si="106"/>
        <v>27.112112642601126</v>
      </c>
      <c r="Y107" s="47">
        <f t="shared" si="107"/>
        <v>2.358852043374263</v>
      </c>
      <c r="Z107" s="30">
        <f t="shared" si="94"/>
        <v>207.62</v>
      </c>
      <c r="AA107" s="30"/>
      <c r="AB107" s="30">
        <f t="shared" si="95"/>
        <v>52.58</v>
      </c>
      <c r="AC107" s="30">
        <f t="shared" si="96"/>
        <v>60.62</v>
      </c>
      <c r="BD107" s="30"/>
      <c r="BE107" s="30"/>
      <c r="BF107" s="30"/>
      <c r="BG107" s="30"/>
      <c r="BH107" s="30"/>
      <c r="BI107" s="30"/>
      <c r="BV107" s="27">
        <f t="shared" si="78"/>
        <v>174.75</v>
      </c>
      <c r="BW107" s="30">
        <v>103</v>
      </c>
      <c r="BX107" s="30">
        <f t="shared" si="85"/>
        <v>174.75</v>
      </c>
      <c r="BY107" s="30">
        <f t="shared" si="86"/>
        <v>1</v>
      </c>
      <c r="BZ107" s="30"/>
      <c r="CF107" s="30"/>
      <c r="CG107" s="30"/>
    </row>
    <row r="108" spans="2:85" x14ac:dyDescent="0.3">
      <c r="B108" s="33">
        <f t="shared" si="97"/>
        <v>0.87723850095144762</v>
      </c>
      <c r="C108" s="33">
        <f t="shared" si="98"/>
        <v>0.88571226495576005</v>
      </c>
      <c r="D108" s="33">
        <f t="shared" si="99"/>
        <v>0.49699323337100237</v>
      </c>
      <c r="E108" s="99"/>
      <c r="F108" s="147"/>
      <c r="G108" s="171"/>
      <c r="H108" s="195"/>
      <c r="I108" s="33">
        <f t="shared" si="100"/>
        <v>0.84644449091165264</v>
      </c>
      <c r="J108" s="33">
        <f t="shared" si="101"/>
        <v>0.84709981060858752</v>
      </c>
      <c r="K108" s="33">
        <f t="shared" si="102"/>
        <v>0.71248725097423926</v>
      </c>
      <c r="M108" s="33">
        <f t="shared" si="103"/>
        <v>0.84641212067778249</v>
      </c>
      <c r="N108" s="33">
        <f t="shared" si="104"/>
        <v>0.8471198107961676</v>
      </c>
      <c r="O108" s="33">
        <f t="shared" si="105"/>
        <v>0.71245223646892986</v>
      </c>
      <c r="P108" s="33"/>
      <c r="W108" s="47">
        <f t="shared" si="93"/>
        <v>12.196972090554024</v>
      </c>
      <c r="X108" s="47">
        <f t="shared" si="106"/>
        <v>50.934665778201932</v>
      </c>
      <c r="Y108" s="47">
        <f t="shared" si="107"/>
        <v>1.9354078105463661</v>
      </c>
      <c r="Z108" s="30">
        <f t="shared" si="94"/>
        <v>248.66</v>
      </c>
      <c r="AA108" s="30"/>
      <c r="AB108" s="30">
        <f t="shared" si="95"/>
        <v>216.07</v>
      </c>
      <c r="AC108" s="30">
        <f t="shared" si="96"/>
        <v>52.72</v>
      </c>
      <c r="BD108" s="30"/>
      <c r="BE108" s="30"/>
      <c r="BF108" s="30"/>
      <c r="BG108" s="30"/>
      <c r="BH108" s="30"/>
      <c r="BI108" s="30"/>
      <c r="BV108" s="27">
        <f t="shared" si="78"/>
        <v>175.25</v>
      </c>
      <c r="BW108" s="30">
        <v>104</v>
      </c>
      <c r="BX108" s="30">
        <f t="shared" si="85"/>
        <v>175.25</v>
      </c>
      <c r="BY108" s="30">
        <f t="shared" si="86"/>
        <v>0.5</v>
      </c>
      <c r="BZ108" s="30"/>
      <c r="CF108" s="30"/>
      <c r="CG108" s="30"/>
    </row>
    <row r="109" spans="2:85" x14ac:dyDescent="0.3">
      <c r="B109" s="33">
        <f t="shared" si="97"/>
        <v>0.71197333927900153</v>
      </c>
      <c r="C109" s="33">
        <f t="shared" si="98"/>
        <v>0.60003220602412</v>
      </c>
      <c r="D109" s="33">
        <f t="shared" si="99"/>
        <v>0.62225190556108934</v>
      </c>
      <c r="E109" s="100"/>
      <c r="F109" s="148"/>
      <c r="G109" s="172"/>
      <c r="H109" s="196"/>
      <c r="I109" s="33">
        <f t="shared" si="100"/>
        <v>0.6745448200284877</v>
      </c>
      <c r="J109" s="33">
        <f t="shared" si="101"/>
        <v>0.61421550519705448</v>
      </c>
      <c r="K109" s="33">
        <f t="shared" si="102"/>
        <v>0.59824894175081167</v>
      </c>
      <c r="M109" s="33">
        <f t="shared" si="103"/>
        <v>0.67451860877832148</v>
      </c>
      <c r="N109" s="33">
        <f t="shared" si="104"/>
        <v>0.61423435306655338</v>
      </c>
      <c r="O109" s="33">
        <f t="shared" si="105"/>
        <v>0.59812013006741616</v>
      </c>
      <c r="P109" s="33"/>
      <c r="W109" s="47">
        <f t="shared" si="93"/>
        <v>8.5648000281419492</v>
      </c>
      <c r="X109" s="47">
        <f t="shared" si="106"/>
        <v>25.813496122081201</v>
      </c>
      <c r="Y109" s="47">
        <f t="shared" si="107"/>
        <v>7.6115698396565987</v>
      </c>
      <c r="Z109" s="30">
        <f t="shared" si="94"/>
        <v>210.6</v>
      </c>
      <c r="AA109" s="30"/>
      <c r="AB109" s="30">
        <f t="shared" si="95"/>
        <v>81.69</v>
      </c>
      <c r="AC109" s="30">
        <f t="shared" si="96"/>
        <v>137.55000000000001</v>
      </c>
      <c r="BD109" s="30"/>
      <c r="BE109" s="30"/>
      <c r="BF109" s="30"/>
      <c r="BG109" s="30"/>
      <c r="BH109" s="30"/>
      <c r="BI109" s="30"/>
      <c r="BV109" s="27">
        <f t="shared" si="78"/>
        <v>176</v>
      </c>
      <c r="BW109" s="30">
        <v>105</v>
      </c>
      <c r="BX109" s="30">
        <f t="shared" si="85"/>
        <v>176</v>
      </c>
      <c r="BY109" s="30">
        <f t="shared" si="86"/>
        <v>0.75</v>
      </c>
      <c r="BZ109" s="30"/>
      <c r="CF109" s="30"/>
      <c r="CG109" s="30"/>
    </row>
    <row r="110" spans="2:85" x14ac:dyDescent="0.3">
      <c r="B110" s="33">
        <f t="shared" si="97"/>
        <v>0.51831984368442752</v>
      </c>
      <c r="C110" s="33">
        <f t="shared" si="98"/>
        <v>0.52170428581176864</v>
      </c>
      <c r="D110" s="33">
        <f t="shared" si="99"/>
        <v>0.72923222457762937</v>
      </c>
      <c r="E110" s="101"/>
      <c r="F110" s="149"/>
      <c r="G110" s="173"/>
      <c r="H110" s="197"/>
      <c r="I110" s="33">
        <f t="shared" si="100"/>
        <v>0.48643115158875894</v>
      </c>
      <c r="J110" s="33">
        <f t="shared" si="101"/>
        <v>0.50101258801700066</v>
      </c>
      <c r="K110" s="33">
        <f t="shared" si="102"/>
        <v>0.612446810596456</v>
      </c>
      <c r="M110" s="33">
        <f t="shared" si="103"/>
        <v>0.48642008017776678</v>
      </c>
      <c r="N110" s="33">
        <f t="shared" si="104"/>
        <v>0.50101958190998286</v>
      </c>
      <c r="O110" s="33">
        <f t="shared" si="105"/>
        <v>0.61249057616588443</v>
      </c>
      <c r="P110" s="33"/>
      <c r="W110" s="47">
        <f t="shared" si="93"/>
        <v>8.5663826909882399</v>
      </c>
      <c r="X110" s="47">
        <f t="shared" si="106"/>
        <v>18.091018756992302</v>
      </c>
      <c r="Y110" s="47">
        <f t="shared" si="107"/>
        <v>8.5684480682495749</v>
      </c>
      <c r="Z110" s="30">
        <f t="shared" si="94"/>
        <v>0.3</v>
      </c>
      <c r="AA110" s="30"/>
      <c r="AB110" s="30">
        <f t="shared" si="95"/>
        <v>109.91</v>
      </c>
      <c r="AC110" s="30">
        <f t="shared" si="96"/>
        <v>174.28</v>
      </c>
      <c r="BD110" s="30"/>
      <c r="BE110" s="30"/>
      <c r="BF110" s="30"/>
      <c r="BG110" s="30"/>
      <c r="BH110" s="30"/>
      <c r="BI110" s="30"/>
      <c r="BV110" s="27">
        <f t="shared" si="78"/>
        <v>176.75</v>
      </c>
      <c r="BW110" s="30">
        <v>106</v>
      </c>
      <c r="BX110" s="30">
        <f t="shared" si="85"/>
        <v>176.75</v>
      </c>
      <c r="BY110" s="30">
        <f t="shared" si="86"/>
        <v>0.75</v>
      </c>
      <c r="BZ110" s="30"/>
      <c r="CF110" s="30"/>
      <c r="CG110" s="30"/>
    </row>
    <row r="111" spans="2:85" x14ac:dyDescent="0.3">
      <c r="B111" s="33">
        <f t="shared" si="97"/>
        <v>0.93255912487254888</v>
      </c>
      <c r="C111" s="33">
        <f t="shared" si="98"/>
        <v>0.93124647380447467</v>
      </c>
      <c r="D111" s="33">
        <f t="shared" si="99"/>
        <v>0.91370471198796843</v>
      </c>
      <c r="E111" s="102"/>
      <c r="F111" s="150"/>
      <c r="G111" s="174"/>
      <c r="H111" s="198"/>
      <c r="I111" s="33">
        <f t="shared" si="100"/>
        <v>0.92646946246592887</v>
      </c>
      <c r="J111" s="33">
        <f t="shared" si="101"/>
        <v>0.92480204268607036</v>
      </c>
      <c r="K111" s="33">
        <f t="shared" si="102"/>
        <v>0.91513307789959397</v>
      </c>
      <c r="M111" s="33">
        <f t="shared" si="103"/>
        <v>0.92643759789911495</v>
      </c>
      <c r="N111" s="33">
        <f t="shared" si="104"/>
        <v>0.92482200647121138</v>
      </c>
      <c r="O111" s="33">
        <f t="shared" si="105"/>
        <v>0.91513243777680497</v>
      </c>
      <c r="P111" s="33"/>
      <c r="W111" s="47">
        <f t="shared" si="93"/>
        <v>1.5752077018571371</v>
      </c>
      <c r="X111" s="47">
        <f t="shared" si="106"/>
        <v>1.4633600327966989</v>
      </c>
      <c r="Y111" s="47">
        <f t="shared" si="107"/>
        <v>0.60768408500666971</v>
      </c>
      <c r="Z111" s="30">
        <f t="shared" si="94"/>
        <v>236.43</v>
      </c>
      <c r="AA111" s="30"/>
      <c r="AB111" s="30">
        <f t="shared" si="95"/>
        <v>231.43</v>
      </c>
      <c r="AC111" s="30">
        <f t="shared" si="96"/>
        <v>225.43</v>
      </c>
      <c r="BD111" s="30"/>
      <c r="BE111" s="30"/>
      <c r="BF111" s="30"/>
      <c r="BG111" s="30"/>
      <c r="BH111" s="30"/>
      <c r="BI111" s="30"/>
      <c r="BV111" s="27">
        <f t="shared" si="78"/>
        <v>177.75</v>
      </c>
      <c r="BW111" s="30">
        <v>107</v>
      </c>
      <c r="BX111" s="30">
        <f t="shared" si="85"/>
        <v>177.75</v>
      </c>
      <c r="BY111" s="30">
        <f t="shared" si="86"/>
        <v>1</v>
      </c>
      <c r="BZ111" s="30"/>
      <c r="CF111" s="30"/>
      <c r="CG111" s="30"/>
    </row>
    <row r="112" spans="2:85" x14ac:dyDescent="0.3">
      <c r="B112" s="33">
        <f t="shared" si="97"/>
        <v>0.84254043296465453</v>
      </c>
      <c r="C112" s="33">
        <f t="shared" si="98"/>
        <v>0.84236060553432357</v>
      </c>
      <c r="D112" s="33">
        <f t="shared" si="99"/>
        <v>0.82627207456673168</v>
      </c>
      <c r="E112" s="103"/>
      <c r="F112" s="151"/>
      <c r="G112" s="175"/>
      <c r="H112" s="199"/>
      <c r="I112" s="33">
        <f t="shared" si="100"/>
        <v>0.81227589255832355</v>
      </c>
      <c r="J112" s="33">
        <f t="shared" si="101"/>
        <v>0.81037902315488086</v>
      </c>
      <c r="K112" s="33">
        <f t="shared" si="102"/>
        <v>0.80274690364438273</v>
      </c>
      <c r="M112" s="33">
        <f t="shared" si="103"/>
        <v>0.81224795939020655</v>
      </c>
      <c r="N112" s="33">
        <f t="shared" si="104"/>
        <v>0.81039653841328851</v>
      </c>
      <c r="O112" s="33">
        <f t="shared" si="105"/>
        <v>0.80274575380932989</v>
      </c>
      <c r="P112" s="33"/>
      <c r="W112" s="47">
        <f t="shared" si="93"/>
        <v>4.0913965104285053</v>
      </c>
      <c r="X112" s="47">
        <f t="shared" si="106"/>
        <v>1.4218816998329447</v>
      </c>
      <c r="Y112" s="47">
        <f t="shared" si="107"/>
        <v>1.255287419399912</v>
      </c>
      <c r="Z112" s="30">
        <f t="shared" si="94"/>
        <v>205.97</v>
      </c>
      <c r="AA112" s="30"/>
      <c r="AB112" s="30">
        <f t="shared" si="95"/>
        <v>202.8</v>
      </c>
      <c r="AC112" s="30">
        <f t="shared" si="96"/>
        <v>197.11</v>
      </c>
      <c r="BD112" s="30"/>
      <c r="BE112" s="30"/>
      <c r="BF112" s="30"/>
      <c r="BG112" s="30"/>
      <c r="BH112" s="30"/>
      <c r="BI112" s="30"/>
      <c r="BV112" s="27">
        <f t="shared" si="78"/>
        <v>178.25</v>
      </c>
      <c r="BW112" s="30">
        <v>108</v>
      </c>
      <c r="BX112" s="30">
        <f t="shared" si="85"/>
        <v>178.25</v>
      </c>
      <c r="BY112" s="30">
        <f t="shared" si="86"/>
        <v>0.5</v>
      </c>
      <c r="BZ112" s="30"/>
      <c r="CF112" s="30"/>
      <c r="CG112" s="30"/>
    </row>
    <row r="113" spans="2:85" x14ac:dyDescent="0.3">
      <c r="B113" s="33">
        <f t="shared" si="97"/>
        <v>0.70589398471957632</v>
      </c>
      <c r="C113" s="33">
        <f t="shared" si="98"/>
        <v>0.70556813221970727</v>
      </c>
      <c r="D113" s="33">
        <f t="shared" si="99"/>
        <v>0.69064754496870873</v>
      </c>
      <c r="E113" s="104"/>
      <c r="F113" s="152"/>
      <c r="G113" s="176"/>
      <c r="H113" s="200"/>
      <c r="I113" s="33">
        <f t="shared" si="100"/>
        <v>0.66763285115323612</v>
      </c>
      <c r="J113" s="33">
        <f t="shared" si="101"/>
        <v>0.66774407617800147</v>
      </c>
      <c r="K113" s="33">
        <f t="shared" si="102"/>
        <v>0.66120262481253389</v>
      </c>
      <c r="M113" s="33">
        <f t="shared" si="103"/>
        <v>0.66760996996882849</v>
      </c>
      <c r="N113" s="33">
        <f t="shared" si="104"/>
        <v>0.66775837374531488</v>
      </c>
      <c r="O113" s="33">
        <f t="shared" si="105"/>
        <v>0.66120473370108024</v>
      </c>
      <c r="P113" s="33"/>
      <c r="W113" s="47">
        <f t="shared" si="93"/>
        <v>4.6341349789885715</v>
      </c>
      <c r="X113" s="47">
        <f t="shared" si="106"/>
        <v>1.679090126226501</v>
      </c>
      <c r="Y113" s="47">
        <f t="shared" si="107"/>
        <v>0.19186522918839963</v>
      </c>
      <c r="Z113" s="30">
        <f t="shared" si="94"/>
        <v>162.65</v>
      </c>
      <c r="AA113" s="30"/>
      <c r="AB113" s="30">
        <f t="shared" si="95"/>
        <v>159.65</v>
      </c>
      <c r="AC113" s="30">
        <f t="shared" si="96"/>
        <v>154.65</v>
      </c>
      <c r="BD113" s="30"/>
      <c r="BE113" s="30"/>
      <c r="BF113" s="30"/>
      <c r="BG113" s="30"/>
      <c r="BH113" s="30"/>
      <c r="BI113" s="30"/>
      <c r="BV113" s="27">
        <f t="shared" si="78"/>
        <v>179</v>
      </c>
      <c r="BW113" s="30">
        <v>109</v>
      </c>
      <c r="BX113" s="30">
        <f t="shared" si="85"/>
        <v>179</v>
      </c>
      <c r="BY113" s="30">
        <f t="shared" si="86"/>
        <v>0.75</v>
      </c>
      <c r="BZ113" s="30"/>
      <c r="CF113" s="30"/>
      <c r="CG113" s="30"/>
    </row>
    <row r="114" spans="2:85" x14ac:dyDescent="0.3">
      <c r="B114" s="33">
        <f t="shared" si="97"/>
        <v>0.50428347764537751</v>
      </c>
      <c r="C114" s="33">
        <f t="shared" si="98"/>
        <v>0.50510772410072613</v>
      </c>
      <c r="D114" s="33">
        <f t="shared" si="99"/>
        <v>0.49310626102686467</v>
      </c>
      <c r="E114" s="105"/>
      <c r="F114" s="153"/>
      <c r="G114" s="177">
        <v>0.18</v>
      </c>
      <c r="H114" s="201"/>
      <c r="I114" s="33">
        <f t="shared" si="100"/>
        <v>0.48511998167708004</v>
      </c>
      <c r="J114" s="33">
        <f t="shared" si="101"/>
        <v>0.485321533574473</v>
      </c>
      <c r="K114" s="33">
        <f t="shared" si="102"/>
        <v>0.47765948472522013</v>
      </c>
      <c r="M114" s="33">
        <f t="shared" si="103"/>
        <v>0.48510327143459653</v>
      </c>
      <c r="N114" s="33">
        <f t="shared" si="104"/>
        <v>0.48533196600272555</v>
      </c>
      <c r="O114" s="33">
        <f t="shared" si="105"/>
        <v>0.47766048274793632</v>
      </c>
      <c r="P114" s="33"/>
      <c r="W114" s="47">
        <f t="shared" si="93"/>
        <v>2.4419811432762204</v>
      </c>
      <c r="X114" s="47">
        <f t="shared" si="106"/>
        <v>0.89969595286096804</v>
      </c>
      <c r="Y114" s="47">
        <f t="shared" si="107"/>
        <v>0.20175468530349072</v>
      </c>
      <c r="Z114" s="30">
        <f t="shared" si="94"/>
        <v>101.6</v>
      </c>
      <c r="AA114" s="30"/>
      <c r="AB114" s="30">
        <f t="shared" si="95"/>
        <v>100.6</v>
      </c>
      <c r="AC114" s="30">
        <f t="shared" si="96"/>
        <v>96.6</v>
      </c>
      <c r="BD114" s="30"/>
      <c r="BE114" s="30"/>
      <c r="BF114" s="30"/>
      <c r="BG114" s="30"/>
      <c r="BH114" s="30"/>
      <c r="BI114" s="30"/>
      <c r="BV114" s="27">
        <f t="shared" si="78"/>
        <v>179.75</v>
      </c>
      <c r="BW114" s="30">
        <v>110</v>
      </c>
      <c r="BX114" s="30">
        <f t="shared" si="85"/>
        <v>179.75</v>
      </c>
      <c r="BY114" s="30">
        <f t="shared" si="86"/>
        <v>0.75</v>
      </c>
      <c r="BZ114" s="30"/>
      <c r="CF114" s="30"/>
      <c r="CG114" s="30"/>
    </row>
    <row r="115" spans="2:85" x14ac:dyDescent="0.3">
      <c r="B115" s="33">
        <f t="shared" si="97"/>
        <v>0.33280458173997257</v>
      </c>
      <c r="C115" s="33">
        <f t="shared" si="98"/>
        <v>0.33317773615536878</v>
      </c>
      <c r="D115" s="33">
        <f t="shared" si="99"/>
        <v>0.33291437534471241</v>
      </c>
      <c r="E115" s="106"/>
      <c r="F115" s="154"/>
      <c r="G115" s="178"/>
      <c r="H115" s="202"/>
      <c r="I115" s="33">
        <f t="shared" si="100"/>
        <v>0.30681531858194172</v>
      </c>
      <c r="J115" s="33">
        <f t="shared" si="101"/>
        <v>0.30682189715976699</v>
      </c>
      <c r="K115" s="33">
        <f t="shared" si="102"/>
        <v>0.30672873706571002</v>
      </c>
      <c r="M115" s="33">
        <f t="shared" si="103"/>
        <v>0.3068048929613606</v>
      </c>
      <c r="N115" s="33">
        <f t="shared" si="104"/>
        <v>0.30682841869942473</v>
      </c>
      <c r="O115" s="33">
        <f t="shared" si="105"/>
        <v>0.30673037649434048</v>
      </c>
      <c r="P115" s="33"/>
      <c r="W115" s="47">
        <f t="shared" si="93"/>
        <v>3.062865762829722</v>
      </c>
      <c r="X115" s="47">
        <f t="shared" si="106"/>
        <v>0.17494943637568464</v>
      </c>
      <c r="Y115" s="47">
        <f t="shared" si="107"/>
        <v>6.4388564526449615E-2</v>
      </c>
      <c r="Z115" s="30">
        <f t="shared" si="94"/>
        <v>53.81</v>
      </c>
      <c r="AA115" s="30"/>
      <c r="AB115" s="30">
        <f t="shared" si="95"/>
        <v>54.16</v>
      </c>
      <c r="AC115" s="30">
        <f t="shared" si="96"/>
        <v>53.99</v>
      </c>
      <c r="BD115" s="30"/>
      <c r="BE115" s="30"/>
      <c r="BF115" s="30"/>
      <c r="BG115" s="30"/>
      <c r="BH115" s="30"/>
      <c r="BI115" s="30"/>
      <c r="BV115" s="27">
        <f t="shared" si="78"/>
        <v>180.75</v>
      </c>
      <c r="BW115" s="30">
        <v>111</v>
      </c>
      <c r="BX115" s="30">
        <f t="shared" si="85"/>
        <v>180.75</v>
      </c>
      <c r="BY115" s="30">
        <f t="shared" si="86"/>
        <v>1</v>
      </c>
      <c r="BZ115" s="30"/>
      <c r="CF115" s="30"/>
      <c r="CG115" s="30"/>
    </row>
    <row r="116" spans="2:85" x14ac:dyDescent="0.3">
      <c r="B116" s="33">
        <f t="shared" si="97"/>
        <v>0.17461130068928415</v>
      </c>
      <c r="C116" s="33">
        <f t="shared" si="98"/>
        <v>0.17460860293707528</v>
      </c>
      <c r="D116" s="33">
        <f t="shared" si="99"/>
        <v>0.17460960985615165</v>
      </c>
      <c r="E116" s="107"/>
      <c r="F116" s="155"/>
      <c r="G116" s="179"/>
      <c r="H116" s="203"/>
      <c r="I116" s="33">
        <f t="shared" si="100"/>
        <v>0.16809022323794293</v>
      </c>
      <c r="J116" s="33">
        <f t="shared" si="101"/>
        <v>0.16776921172550685</v>
      </c>
      <c r="K116" s="33">
        <f t="shared" si="102"/>
        <v>0.16993917619730819</v>
      </c>
      <c r="M116" s="33">
        <f t="shared" si="103"/>
        <v>0.16808720201013344</v>
      </c>
      <c r="N116" s="33">
        <f t="shared" si="104"/>
        <v>0.16777110177992985</v>
      </c>
      <c r="O116" s="33">
        <f t="shared" si="105"/>
        <v>0.16993965103589811</v>
      </c>
      <c r="P116" s="33"/>
      <c r="W116" s="47">
        <f t="shared" si="93"/>
        <v>0.9181039213416704</v>
      </c>
      <c r="X116" s="47">
        <f t="shared" si="106"/>
        <v>0.46135847717268669</v>
      </c>
      <c r="Y116" s="47">
        <f t="shared" si="107"/>
        <v>2.5580122151844388E-2</v>
      </c>
      <c r="Z116" s="30">
        <f t="shared" si="94"/>
        <v>14.83</v>
      </c>
      <c r="AA116" s="30"/>
      <c r="AB116" s="30">
        <f t="shared" si="95"/>
        <v>14.83</v>
      </c>
      <c r="AC116" s="30">
        <f t="shared" si="96"/>
        <v>14.83</v>
      </c>
      <c r="BD116" s="30"/>
      <c r="BE116" s="30"/>
      <c r="BF116" s="30"/>
      <c r="BG116" s="30"/>
      <c r="BH116" s="30"/>
      <c r="BI116" s="30"/>
      <c r="BV116" s="27">
        <f t="shared" si="78"/>
        <v>181.25</v>
      </c>
      <c r="BW116" s="30">
        <v>112</v>
      </c>
      <c r="BX116" s="30">
        <f t="shared" si="85"/>
        <v>181.25</v>
      </c>
      <c r="BY116" s="30">
        <f t="shared" si="86"/>
        <v>0.5</v>
      </c>
      <c r="BZ116" s="30"/>
      <c r="CF116" s="30"/>
      <c r="CG116" s="30"/>
    </row>
    <row r="117" spans="2:85" x14ac:dyDescent="0.3">
      <c r="E117" s="47"/>
      <c r="F117" s="47"/>
      <c r="N117" s="30"/>
      <c r="O117" s="30"/>
      <c r="P117" s="30"/>
      <c r="Q117" s="30"/>
      <c r="AE117" s="30"/>
      <c r="AF117" s="30"/>
      <c r="AG117" s="31"/>
      <c r="AH117" s="31"/>
      <c r="AI117" s="31"/>
      <c r="BD117" s="30"/>
      <c r="BE117" s="30"/>
      <c r="BF117" s="30"/>
      <c r="BG117" s="30"/>
      <c r="BH117" s="30"/>
      <c r="BI117" s="30"/>
      <c r="BV117" s="27">
        <f t="shared" si="78"/>
        <v>182</v>
      </c>
      <c r="BW117" s="30">
        <v>113</v>
      </c>
      <c r="BX117" s="30">
        <f t="shared" si="85"/>
        <v>182</v>
      </c>
      <c r="BY117" s="30">
        <f t="shared" si="86"/>
        <v>0.75</v>
      </c>
      <c r="BZ117" s="30"/>
      <c r="CF117" s="30"/>
      <c r="CG117" s="30"/>
    </row>
    <row r="118" spans="2:85" x14ac:dyDescent="0.3">
      <c r="B118" s="33" t="s">
        <v>89</v>
      </c>
      <c r="C118" s="33" t="s">
        <v>90</v>
      </c>
      <c r="D118" s="33" t="s">
        <v>91</v>
      </c>
      <c r="I118" s="30" t="s">
        <v>92</v>
      </c>
      <c r="J118" s="30" t="s">
        <v>93</v>
      </c>
      <c r="K118" s="30" t="s">
        <v>94</v>
      </c>
      <c r="M118" s="30" t="s">
        <v>95</v>
      </c>
      <c r="N118" s="30" t="s">
        <v>96</v>
      </c>
      <c r="O118" s="30" t="s">
        <v>97</v>
      </c>
      <c r="P118" s="30"/>
      <c r="Q118" s="30" t="s">
        <v>86</v>
      </c>
      <c r="R118" s="30" t="s">
        <v>87</v>
      </c>
      <c r="S118" s="30" t="s">
        <v>88</v>
      </c>
      <c r="W118" s="47" t="str">
        <f t="shared" ref="W118:W142" si="108">W14</f>
        <v>ΔE'</v>
      </c>
      <c r="X118" s="47" t="str">
        <f>Y14</f>
        <v>Δchroma</v>
      </c>
      <c r="Y118" s="47" t="str">
        <f>Z14</f>
        <v>Δhue</v>
      </c>
      <c r="Z118" s="33" t="str">
        <f t="shared" ref="Z118:Z142" si="109">B14</f>
        <v>Target sR</v>
      </c>
      <c r="AB118" s="33" t="str">
        <f t="shared" ref="AB118:AB142" si="110">C14</f>
        <v>Target sG</v>
      </c>
      <c r="AC118" s="33" t="str">
        <f t="shared" ref="AC118:AC142" si="111">D14</f>
        <v>Target sB</v>
      </c>
      <c r="AF118" s="33"/>
      <c r="AG118" s="31"/>
      <c r="BD118" s="30"/>
      <c r="BE118" s="30"/>
      <c r="BF118" s="30"/>
      <c r="BG118" s="30"/>
      <c r="BH118" s="30"/>
      <c r="BI118" s="30"/>
      <c r="BV118" s="27">
        <f t="shared" si="78"/>
        <v>182.75</v>
      </c>
      <c r="BW118" s="30">
        <v>114</v>
      </c>
      <c r="BX118" s="30">
        <f t="shared" si="85"/>
        <v>182.75</v>
      </c>
      <c r="BY118" s="30">
        <f t="shared" si="86"/>
        <v>0.75</v>
      </c>
      <c r="BZ118" s="30"/>
      <c r="CF118" s="30"/>
      <c r="CG118" s="30"/>
    </row>
    <row r="119" spans="2:85" x14ac:dyDescent="0.3">
      <c r="B119" s="33">
        <f t="shared" ref="B119:B142" si="112">(116*C93)-16</f>
        <v>36.641461024245359</v>
      </c>
      <c r="C119" s="33">
        <f t="shared" ref="C119:C142" si="113">500*($B93-$C93)</f>
        <v>15.93148932911026</v>
      </c>
      <c r="D119" s="33">
        <f t="shared" ref="D119:D142" si="114">200*($C93-$D93)</f>
        <v>18.78064472995009</v>
      </c>
      <c r="E119" s="84"/>
      <c r="F119" s="132"/>
      <c r="G119" s="156"/>
      <c r="H119" s="180"/>
      <c r="I119" s="33">
        <f t="shared" ref="I119:I142" si="115">(116*J93)-16</f>
        <v>41.256097813203397</v>
      </c>
      <c r="J119" s="33">
        <f t="shared" ref="J119:J142" si="116">500*(I93-J93)</f>
        <v>9.8838831827103011</v>
      </c>
      <c r="K119" s="33">
        <f t="shared" ref="K119:K142" si="117">200*(J93-K93)</f>
        <v>11.388390579321895</v>
      </c>
      <c r="M119" s="33">
        <f t="shared" ref="M119:M142" si="118">(116*N93)-16</f>
        <v>41.25761805439074</v>
      </c>
      <c r="N119" s="33">
        <f t="shared" ref="N119:N142" si="119">500*(M93-N93)</f>
        <v>9.8673671388621322</v>
      </c>
      <c r="O119" s="33">
        <f t="shared" ref="O119:O142" si="120">200*(N93-O93)</f>
        <v>11.403386705267572</v>
      </c>
      <c r="P119" s="33"/>
      <c r="Q119" s="33">
        <f>BF16</f>
        <v>14.61204129170121</v>
      </c>
      <c r="R119" s="33">
        <f>BL16</f>
        <v>8.0692315256381129</v>
      </c>
      <c r="S119" s="33">
        <f>BR16</f>
        <v>6.1442080255407756</v>
      </c>
      <c r="W119" s="47">
        <f>W15</f>
        <v>6.4682409221488006</v>
      </c>
      <c r="X119" s="47">
        <f t="shared" ref="X119:X142" si="121">ABS(Y15)</f>
        <v>9.5478681380281003</v>
      </c>
      <c r="Y119" s="47">
        <f t="shared" ref="Y119:Y142" si="122">Z15</f>
        <v>0.18901830554255755</v>
      </c>
      <c r="Z119" s="33">
        <f t="shared" si="109"/>
        <v>118.81</v>
      </c>
      <c r="AB119" s="33">
        <f t="shared" si="110"/>
        <v>75.81</v>
      </c>
      <c r="AC119" s="33">
        <f t="shared" si="111"/>
        <v>56.81</v>
      </c>
      <c r="AF119" s="33"/>
      <c r="AG119" s="31"/>
      <c r="BD119" s="30"/>
      <c r="BE119" s="30"/>
      <c r="BF119" s="30"/>
      <c r="BG119" s="30"/>
      <c r="BH119" s="30"/>
      <c r="BI119" s="30"/>
      <c r="BV119" s="27">
        <f t="shared" si="78"/>
        <v>183.75</v>
      </c>
      <c r="BW119" s="30">
        <v>115</v>
      </c>
      <c r="BX119" s="30">
        <f t="shared" si="85"/>
        <v>183.75</v>
      </c>
      <c r="BY119" s="30">
        <f t="shared" si="86"/>
        <v>1</v>
      </c>
      <c r="BZ119" s="30"/>
      <c r="CF119" s="30"/>
      <c r="CG119" s="30"/>
    </row>
    <row r="120" spans="2:85" x14ac:dyDescent="0.3">
      <c r="B120" s="33">
        <f t="shared" si="112"/>
        <v>71.823766744849067</v>
      </c>
      <c r="C120" s="33">
        <f t="shared" si="113"/>
        <v>22.497032521926251</v>
      </c>
      <c r="D120" s="33">
        <f t="shared" si="114"/>
        <v>18.135384197613334</v>
      </c>
      <c r="E120" s="85"/>
      <c r="F120" s="133"/>
      <c r="G120" s="157"/>
      <c r="H120" s="181"/>
      <c r="I120" s="33">
        <f t="shared" si="115"/>
        <v>78.27513276874248</v>
      </c>
      <c r="J120" s="33">
        <f t="shared" si="116"/>
        <v>10.442221865346212</v>
      </c>
      <c r="K120" s="33">
        <f t="shared" si="117"/>
        <v>10.653275978186638</v>
      </c>
      <c r="M120" s="33">
        <f t="shared" si="118"/>
        <v>78.27721172609057</v>
      </c>
      <c r="N120" s="33">
        <f t="shared" si="119"/>
        <v>10.415284427436056</v>
      </c>
      <c r="O120" s="33">
        <f t="shared" si="120"/>
        <v>10.67347068645741</v>
      </c>
      <c r="P120" s="33"/>
      <c r="Q120" s="33">
        <f t="shared" ref="Q120:Q142" si="123">BF17</f>
        <v>115.24221051522926</v>
      </c>
      <c r="R120" s="33">
        <f t="shared" ref="R120:R142" si="124">BL17</f>
        <v>56.187975848272998</v>
      </c>
      <c r="S120" s="33">
        <f t="shared" ref="S120:S142" si="125">BR17</f>
        <v>43.971678780631038</v>
      </c>
      <c r="W120" s="47">
        <f t="shared" si="108"/>
        <v>9.0318523675504245</v>
      </c>
      <c r="X120" s="47">
        <f t="shared" si="121"/>
        <v>13.983396654967756</v>
      </c>
      <c r="Y120" s="47">
        <f t="shared" si="122"/>
        <v>2.4725307392478237</v>
      </c>
      <c r="Z120" s="33">
        <f t="shared" si="109"/>
        <v>226.13</v>
      </c>
      <c r="AB120" s="33">
        <f t="shared" si="110"/>
        <v>160.13</v>
      </c>
      <c r="AC120" s="33">
        <f t="shared" si="111"/>
        <v>144.13</v>
      </c>
      <c r="AF120" s="33"/>
      <c r="AG120" s="31"/>
      <c r="BD120" s="30"/>
      <c r="BE120" s="30"/>
      <c r="BF120" s="30"/>
      <c r="BG120" s="30"/>
      <c r="BH120" s="30"/>
      <c r="BI120" s="30"/>
      <c r="BV120" s="27">
        <f t="shared" si="78"/>
        <v>184.25</v>
      </c>
      <c r="BW120" s="30">
        <v>116</v>
      </c>
      <c r="BX120" s="30">
        <f t="shared" si="85"/>
        <v>184.25</v>
      </c>
      <c r="BY120" s="30">
        <f t="shared" si="86"/>
        <v>0.5</v>
      </c>
      <c r="BZ120" s="30"/>
      <c r="CF120" s="30"/>
      <c r="CG120" s="30"/>
    </row>
    <row r="121" spans="2:85" x14ac:dyDescent="0.3">
      <c r="B121" s="33">
        <f t="shared" si="112"/>
        <v>54.284206396748232</v>
      </c>
      <c r="C121" s="33">
        <f t="shared" si="113"/>
        <v>4.1901572903281785</v>
      </c>
      <c r="D121" s="33">
        <f t="shared" si="114"/>
        <v>-29.800077456829598</v>
      </c>
      <c r="E121" s="86"/>
      <c r="F121" s="134"/>
      <c r="G121" s="158"/>
      <c r="H121" s="182"/>
      <c r="I121" s="33">
        <f t="shared" si="115"/>
        <v>56.427971746315237</v>
      </c>
      <c r="J121" s="33">
        <f t="shared" si="116"/>
        <v>-0.39770412692802237</v>
      </c>
      <c r="K121" s="33">
        <f t="shared" si="117"/>
        <v>-13.000620618306291</v>
      </c>
      <c r="M121" s="33">
        <f t="shared" si="118"/>
        <v>56.42935338414685</v>
      </c>
      <c r="N121" s="33">
        <f t="shared" si="119"/>
        <v>-0.41308052959931896</v>
      </c>
      <c r="O121" s="33">
        <f t="shared" si="120"/>
        <v>-13.002180886785908</v>
      </c>
      <c r="P121" s="33"/>
      <c r="Q121" s="33">
        <f t="shared" si="123"/>
        <v>15.307112997373668</v>
      </c>
      <c r="R121" s="33">
        <f t="shared" si="124"/>
        <v>20.405799512945013</v>
      </c>
      <c r="S121" s="33">
        <f t="shared" si="125"/>
        <v>31.350115710915105</v>
      </c>
      <c r="W121" s="47">
        <f t="shared" si="108"/>
        <v>7.9193257476253889</v>
      </c>
      <c r="X121" s="47">
        <f t="shared" si="121"/>
        <v>17.084481366435988</v>
      </c>
      <c r="Y121" s="47">
        <f t="shared" si="122"/>
        <v>3.388159388900998</v>
      </c>
      <c r="Z121" s="33">
        <f t="shared" si="109"/>
        <v>104</v>
      </c>
      <c r="AB121" s="33">
        <f t="shared" si="110"/>
        <v>130</v>
      </c>
      <c r="AC121" s="33">
        <f t="shared" si="111"/>
        <v>181</v>
      </c>
      <c r="AF121" s="33"/>
      <c r="AG121" s="31"/>
      <c r="BD121" s="30"/>
      <c r="BE121" s="30"/>
      <c r="BF121" s="30"/>
      <c r="BG121" s="30"/>
      <c r="BH121" s="30"/>
      <c r="BI121" s="30"/>
      <c r="BV121" s="27">
        <f t="shared" si="78"/>
        <v>185.25</v>
      </c>
      <c r="BW121" s="30">
        <v>117</v>
      </c>
      <c r="BX121" s="30">
        <f t="shared" si="85"/>
        <v>185.25</v>
      </c>
      <c r="BY121" s="30">
        <f t="shared" si="86"/>
        <v>1</v>
      </c>
      <c r="BZ121" s="30"/>
      <c r="CF121" s="30"/>
      <c r="CG121" s="30"/>
    </row>
    <row r="122" spans="2:85" x14ac:dyDescent="0.3">
      <c r="B122" s="33">
        <f t="shared" si="112"/>
        <v>42.264149038226229</v>
      </c>
      <c r="C122" s="33">
        <f t="shared" si="113"/>
        <v>-14.515845746192218</v>
      </c>
      <c r="D122" s="33">
        <f t="shared" si="114"/>
        <v>23.77324970108614</v>
      </c>
      <c r="E122" s="87"/>
      <c r="F122" s="135"/>
      <c r="G122" s="159"/>
      <c r="H122" s="183"/>
      <c r="I122" s="33">
        <f t="shared" si="115"/>
        <v>44.717265773361532</v>
      </c>
      <c r="J122" s="33">
        <f t="shared" si="116"/>
        <v>-7.3133745092053282</v>
      </c>
      <c r="K122" s="33">
        <f t="shared" si="117"/>
        <v>9.7108842495193581</v>
      </c>
      <c r="M122" s="33">
        <f t="shared" si="118"/>
        <v>44.718511165590563</v>
      </c>
      <c r="N122" s="33">
        <f t="shared" si="119"/>
        <v>-7.3277359514130058</v>
      </c>
      <c r="O122" s="33">
        <f t="shared" si="120"/>
        <v>9.7089034011849868</v>
      </c>
      <c r="P122" s="33"/>
      <c r="Q122" s="33">
        <f t="shared" si="123"/>
        <v>9.7754029004931482</v>
      </c>
      <c r="R122" s="33">
        <f t="shared" si="124"/>
        <v>11.715781630522628</v>
      </c>
      <c r="S122" s="33">
        <f t="shared" si="125"/>
        <v>7.7851447783808787</v>
      </c>
      <c r="W122" s="47">
        <f t="shared" si="108"/>
        <v>7.4924031404634404</v>
      </c>
      <c r="X122" s="47">
        <f t="shared" si="121"/>
        <v>15.6907518599645</v>
      </c>
      <c r="Y122" s="47">
        <f t="shared" si="122"/>
        <v>1.809714158193134</v>
      </c>
      <c r="Z122" s="33">
        <f t="shared" si="109"/>
        <v>89.49</v>
      </c>
      <c r="AB122" s="33">
        <f t="shared" si="110"/>
        <v>105.48</v>
      </c>
      <c r="AC122" s="33">
        <f t="shared" si="111"/>
        <v>59.62</v>
      </c>
      <c r="AF122" s="33"/>
      <c r="AG122" s="31"/>
      <c r="BD122" s="30"/>
      <c r="BE122" s="30"/>
      <c r="BF122" s="30"/>
      <c r="BG122" s="30"/>
      <c r="BH122" s="30"/>
      <c r="BI122" s="30"/>
      <c r="BV122" s="27">
        <f t="shared" si="78"/>
        <v>186</v>
      </c>
      <c r="BW122" s="30">
        <v>118</v>
      </c>
      <c r="BX122" s="30">
        <f t="shared" si="85"/>
        <v>186</v>
      </c>
      <c r="BY122" s="30">
        <f t="shared" si="86"/>
        <v>0.75</v>
      </c>
      <c r="BZ122" s="30"/>
      <c r="CF122" s="30"/>
      <c r="CG122" s="30"/>
    </row>
    <row r="123" spans="2:85" x14ac:dyDescent="0.3">
      <c r="B123" s="33">
        <f t="shared" si="112"/>
        <v>59.700624597333416</v>
      </c>
      <c r="C123" s="33">
        <f t="shared" si="113"/>
        <v>20.771183904962577</v>
      </c>
      <c r="D123" s="33">
        <f t="shared" si="114"/>
        <v>-26.894153503255257</v>
      </c>
      <c r="E123" s="88"/>
      <c r="F123" s="136"/>
      <c r="G123" s="160"/>
      <c r="H123" s="184"/>
      <c r="I123" s="33">
        <f t="shared" si="115"/>
        <v>63.891706656390426</v>
      </c>
      <c r="J123" s="33">
        <f t="shared" si="116"/>
        <v>9.8320801953861725</v>
      </c>
      <c r="K123" s="33">
        <f t="shared" si="117"/>
        <v>-10.009450212999859</v>
      </c>
      <c r="M123" s="33">
        <f t="shared" si="118"/>
        <v>63.893487321051268</v>
      </c>
      <c r="N123" s="33">
        <f t="shared" si="119"/>
        <v>9.8126815618650998</v>
      </c>
      <c r="O123" s="33">
        <f t="shared" si="120"/>
        <v>-10.003098301468928</v>
      </c>
      <c r="P123" s="33"/>
      <c r="Q123" s="33">
        <f t="shared" si="123"/>
        <v>36.031410861818934</v>
      </c>
      <c r="R123" s="33">
        <f t="shared" si="124"/>
        <v>26.590408538405967</v>
      </c>
      <c r="S123" s="33">
        <f t="shared" si="125"/>
        <v>42.767280852183134</v>
      </c>
      <c r="W123" s="47">
        <f t="shared" si="108"/>
        <v>9.1011646931587205</v>
      </c>
      <c r="X123" s="47">
        <f t="shared" si="121"/>
        <v>19.968910606480087</v>
      </c>
      <c r="Y123" s="47">
        <f t="shared" si="122"/>
        <v>2.5766506600377621</v>
      </c>
      <c r="Z123" s="33">
        <f t="shared" si="109"/>
        <v>157.21</v>
      </c>
      <c r="AB123" s="33">
        <f t="shared" si="110"/>
        <v>133.21</v>
      </c>
      <c r="AC123" s="33">
        <f t="shared" si="111"/>
        <v>191.2</v>
      </c>
      <c r="AF123" s="33"/>
      <c r="AG123" s="31"/>
      <c r="BD123" s="30"/>
      <c r="BE123" s="30"/>
      <c r="BF123" s="30"/>
      <c r="BG123" s="30"/>
      <c r="BH123" s="30"/>
      <c r="BI123" s="30"/>
      <c r="BV123" s="27">
        <f t="shared" si="78"/>
        <v>186.75</v>
      </c>
      <c r="BW123" s="30">
        <v>119</v>
      </c>
      <c r="BX123" s="30">
        <f t="shared" si="85"/>
        <v>186.75</v>
      </c>
      <c r="BY123" s="30">
        <f t="shared" si="86"/>
        <v>0.75</v>
      </c>
      <c r="BZ123" s="30"/>
      <c r="CF123" s="30"/>
      <c r="CG123" s="30"/>
    </row>
    <row r="124" spans="2:85" x14ac:dyDescent="0.3">
      <c r="B124" s="33">
        <f t="shared" si="112"/>
        <v>77.565319332666249</v>
      </c>
      <c r="C124" s="33">
        <f t="shared" si="113"/>
        <v>-26.179420466421021</v>
      </c>
      <c r="D124" s="33">
        <f t="shared" si="114"/>
        <v>-5.5934146813742647</v>
      </c>
      <c r="E124" s="89"/>
      <c r="F124" s="137"/>
      <c r="G124" s="161"/>
      <c r="H124" s="185"/>
      <c r="I124" s="33">
        <f t="shared" si="115"/>
        <v>75.791777779173358</v>
      </c>
      <c r="J124" s="33">
        <f t="shared" si="116"/>
        <v>-13.092408677127743</v>
      </c>
      <c r="K124" s="33">
        <f t="shared" si="117"/>
        <v>-4.4202557236999729</v>
      </c>
      <c r="M124" s="33">
        <f t="shared" si="118"/>
        <v>75.793437297354728</v>
      </c>
      <c r="N124" s="33">
        <f t="shared" si="119"/>
        <v>-13.111461452786466</v>
      </c>
      <c r="O124" s="33">
        <f t="shared" si="120"/>
        <v>-4.4281014180262757</v>
      </c>
      <c r="P124" s="33"/>
      <c r="Q124" s="33">
        <f t="shared" si="123"/>
        <v>29.400173208659666</v>
      </c>
      <c r="R124" s="33">
        <f t="shared" si="124"/>
        <v>66.018656571730389</v>
      </c>
      <c r="S124" s="33">
        <f t="shared" si="125"/>
        <v>66.156536049671217</v>
      </c>
      <c r="W124" s="47">
        <f t="shared" si="108"/>
        <v>6.3279666408303621</v>
      </c>
      <c r="X124" s="47">
        <f t="shared" si="121"/>
        <v>12.931267402050475</v>
      </c>
      <c r="Y124" s="47">
        <f t="shared" si="122"/>
        <v>2.2162651376660989</v>
      </c>
      <c r="Z124" s="33">
        <f t="shared" si="109"/>
        <v>123.34</v>
      </c>
      <c r="AB124" s="33">
        <f t="shared" si="110"/>
        <v>205.75</v>
      </c>
      <c r="AC124" s="33">
        <f t="shared" si="111"/>
        <v>201.1</v>
      </c>
      <c r="AF124" s="33"/>
      <c r="AG124" s="31"/>
      <c r="BD124" s="30"/>
      <c r="BE124" s="30"/>
      <c r="BF124" s="30"/>
      <c r="BG124" s="30"/>
      <c r="BH124" s="30"/>
      <c r="BI124" s="30"/>
      <c r="BV124" s="27">
        <f t="shared" si="78"/>
        <v>187.25</v>
      </c>
      <c r="BW124" s="30">
        <v>120</v>
      </c>
      <c r="BX124" s="30">
        <f t="shared" si="85"/>
        <v>187.25</v>
      </c>
      <c r="BY124" s="30">
        <f t="shared" si="86"/>
        <v>0.5</v>
      </c>
      <c r="BZ124" s="30"/>
      <c r="CF124" s="30"/>
      <c r="CG124" s="30"/>
    </row>
    <row r="125" spans="2:85" x14ac:dyDescent="0.3">
      <c r="B125" s="33">
        <f t="shared" si="112"/>
        <v>66.662803401245867</v>
      </c>
      <c r="C125" s="33">
        <f t="shared" si="113"/>
        <v>31.811906121826382</v>
      </c>
      <c r="D125" s="33">
        <f t="shared" si="114"/>
        <v>61.865800916858703</v>
      </c>
      <c r="E125" s="90"/>
      <c r="F125" s="138"/>
      <c r="G125" s="162"/>
      <c r="H125" s="186"/>
      <c r="I125" s="33">
        <f t="shared" si="115"/>
        <v>70.169190085342265</v>
      </c>
      <c r="J125" s="33">
        <f t="shared" si="116"/>
        <v>15.335462491649853</v>
      </c>
      <c r="K125" s="33">
        <f t="shared" si="117"/>
        <v>30.06731332284518</v>
      </c>
      <c r="M125" s="33">
        <f t="shared" si="118"/>
        <v>70.171582915956293</v>
      </c>
      <c r="N125" s="33">
        <f t="shared" si="119"/>
        <v>15.309446177591335</v>
      </c>
      <c r="O125" s="33">
        <f t="shared" si="120"/>
        <v>30.098764832549918</v>
      </c>
      <c r="P125" s="33"/>
      <c r="Q125" s="33">
        <f t="shared" si="123"/>
        <v>102.24236403822488</v>
      </c>
      <c r="R125" s="33">
        <f t="shared" si="124"/>
        <v>33.263430129729699</v>
      </c>
      <c r="S125" s="33">
        <f t="shared" si="125"/>
        <v>14.073488345110555</v>
      </c>
      <c r="W125" s="47">
        <f t="shared" si="108"/>
        <v>9.3505512567355797</v>
      </c>
      <c r="X125" s="47">
        <f t="shared" si="121"/>
        <v>35.797067009629338</v>
      </c>
      <c r="Y125" s="47">
        <f t="shared" si="122"/>
        <v>0.21391423740725718</v>
      </c>
      <c r="Z125" s="33">
        <f t="shared" si="109"/>
        <v>237.21</v>
      </c>
      <c r="AB125" s="33">
        <f t="shared" si="110"/>
        <v>137.21</v>
      </c>
      <c r="AC125" s="33">
        <f t="shared" si="111"/>
        <v>45.15</v>
      </c>
      <c r="AF125" s="33"/>
      <c r="AG125" s="31"/>
      <c r="BD125" s="30"/>
      <c r="BE125" s="30"/>
      <c r="BF125" s="30"/>
      <c r="BG125" s="30"/>
      <c r="BH125" s="30"/>
      <c r="BI125" s="30"/>
      <c r="BV125" s="27">
        <f t="shared" si="78"/>
        <v>188</v>
      </c>
      <c r="BW125" s="30">
        <v>121</v>
      </c>
      <c r="BX125" s="30">
        <f t="shared" si="85"/>
        <v>188</v>
      </c>
      <c r="BY125" s="30">
        <f t="shared" si="86"/>
        <v>0.75</v>
      </c>
      <c r="BZ125" s="30"/>
      <c r="CF125" s="30"/>
      <c r="CG125" s="30"/>
    </row>
    <row r="126" spans="2:85" x14ac:dyDescent="0.3">
      <c r="B126" s="33">
        <f t="shared" si="112"/>
        <v>37.440056714699672</v>
      </c>
      <c r="C126" s="33">
        <f t="shared" si="113"/>
        <v>26.925477982935682</v>
      </c>
      <c r="D126" s="33">
        <f t="shared" si="114"/>
        <v>-57.014809467956482</v>
      </c>
      <c r="E126" s="91"/>
      <c r="F126" s="139"/>
      <c r="G126" s="163"/>
      <c r="H126" s="187"/>
      <c r="I126" s="33">
        <f t="shared" si="115"/>
        <v>37.147818665419386</v>
      </c>
      <c r="J126" s="33">
        <f t="shared" si="116"/>
        <v>7.4641766019784006</v>
      </c>
      <c r="K126" s="33">
        <f t="shared" si="117"/>
        <v>-27.245683140450705</v>
      </c>
      <c r="M126" s="33">
        <f t="shared" si="118"/>
        <v>37.1487202989968</v>
      </c>
      <c r="N126" s="33">
        <f t="shared" si="119"/>
        <v>7.454576490318443</v>
      </c>
      <c r="O126" s="33">
        <f t="shared" si="120"/>
        <v>-27.246808902335374</v>
      </c>
      <c r="P126" s="33"/>
      <c r="Q126" s="33">
        <f t="shared" si="123"/>
        <v>4.9638171225886438</v>
      </c>
      <c r="R126" s="33">
        <f t="shared" si="124"/>
        <v>7.15988012823885</v>
      </c>
      <c r="S126" s="33">
        <f t="shared" si="125"/>
        <v>18.439346724987502</v>
      </c>
      <c r="W126" s="47">
        <f t="shared" si="108"/>
        <v>9.8274751939090947</v>
      </c>
      <c r="X126" s="47">
        <f t="shared" si="121"/>
        <v>34.804739703482753</v>
      </c>
      <c r="Y126" s="47">
        <f t="shared" si="122"/>
        <v>7.3402967775720178</v>
      </c>
      <c r="Z126" s="33">
        <f t="shared" si="109"/>
        <v>59.26</v>
      </c>
      <c r="AB126" s="33">
        <f t="shared" si="110"/>
        <v>78.260000000000005</v>
      </c>
      <c r="AC126" s="33">
        <f t="shared" si="111"/>
        <v>181.46</v>
      </c>
      <c r="AF126" s="33"/>
      <c r="AG126" s="31"/>
      <c r="BD126" s="30"/>
      <c r="BE126" s="30"/>
      <c r="BF126" s="30"/>
      <c r="BG126" s="30"/>
      <c r="BH126" s="30"/>
      <c r="BI126" s="30"/>
      <c r="BV126" s="27">
        <f t="shared" si="78"/>
        <v>188.75</v>
      </c>
      <c r="BW126" s="30">
        <v>122</v>
      </c>
      <c r="BX126" s="30">
        <f t="shared" si="85"/>
        <v>188.75</v>
      </c>
      <c r="BY126" s="30">
        <f t="shared" si="86"/>
        <v>0.75</v>
      </c>
      <c r="BZ126" s="30"/>
      <c r="CF126" s="30"/>
      <c r="CG126" s="30"/>
    </row>
    <row r="127" spans="2:85" x14ac:dyDescent="0.3">
      <c r="B127" s="33">
        <f t="shared" si="112"/>
        <v>57.106924998880118</v>
      </c>
      <c r="C127" s="33">
        <f t="shared" si="113"/>
        <v>55.639861429909232</v>
      </c>
      <c r="D127" s="33">
        <f t="shared" si="114"/>
        <v>27.262372520221856</v>
      </c>
      <c r="E127" s="92"/>
      <c r="F127" s="140"/>
      <c r="G127" s="164"/>
      <c r="H127" s="188"/>
      <c r="I127" s="33">
        <f t="shared" si="115"/>
        <v>59.935258292615927</v>
      </c>
      <c r="J127" s="33">
        <f t="shared" si="116"/>
        <v>27.988310112790515</v>
      </c>
      <c r="K127" s="33">
        <f t="shared" si="117"/>
        <v>18.109324816998097</v>
      </c>
      <c r="M127" s="33">
        <f t="shared" si="118"/>
        <v>59.937622057625632</v>
      </c>
      <c r="N127" s="33">
        <f t="shared" si="119"/>
        <v>27.963635617077763</v>
      </c>
      <c r="O127" s="33">
        <f t="shared" si="120"/>
        <v>18.148065497534006</v>
      </c>
      <c r="P127" s="33"/>
      <c r="Q127" s="33">
        <f t="shared" si="123"/>
        <v>73.985903057355245</v>
      </c>
      <c r="R127" s="33">
        <f t="shared" si="124"/>
        <v>16.091865376325686</v>
      </c>
      <c r="S127" s="33">
        <f t="shared" si="125"/>
        <v>13.058262142309182</v>
      </c>
      <c r="W127" s="47">
        <f t="shared" si="108"/>
        <v>8.5495346677821118</v>
      </c>
      <c r="X127" s="47">
        <f t="shared" si="121"/>
        <v>28.623491056540601</v>
      </c>
      <c r="Y127" s="47">
        <f t="shared" si="122"/>
        <v>5.4534234644667059</v>
      </c>
      <c r="Z127" s="33">
        <f t="shared" si="109"/>
        <v>231.81</v>
      </c>
      <c r="AB127" s="33">
        <f t="shared" si="110"/>
        <v>88.82</v>
      </c>
      <c r="AC127" s="33">
        <f t="shared" si="111"/>
        <v>92.89</v>
      </c>
      <c r="AF127" s="33"/>
      <c r="AG127" s="31"/>
      <c r="BD127" s="30"/>
      <c r="BE127" s="30"/>
      <c r="BF127" s="30"/>
      <c r="BG127" s="30"/>
      <c r="BH127" s="30"/>
      <c r="BI127" s="30"/>
      <c r="BV127" s="27">
        <f t="shared" si="78"/>
        <v>189.25</v>
      </c>
      <c r="BW127" s="30">
        <v>123</v>
      </c>
      <c r="BX127" s="30">
        <f t="shared" si="85"/>
        <v>189.25</v>
      </c>
      <c r="BY127" s="30">
        <f t="shared" si="86"/>
        <v>0.5</v>
      </c>
      <c r="BZ127" s="30"/>
      <c r="CF127" s="30"/>
      <c r="CG127" s="30"/>
    </row>
    <row r="128" spans="2:85" x14ac:dyDescent="0.3">
      <c r="B128" s="33">
        <f t="shared" si="112"/>
        <v>25.137094154738435</v>
      </c>
      <c r="C128" s="33">
        <f t="shared" si="113"/>
        <v>28.459602862668103</v>
      </c>
      <c r="D128" s="33">
        <f t="shared" si="114"/>
        <v>-15.858000597399148</v>
      </c>
      <c r="E128" s="93"/>
      <c r="F128" s="141"/>
      <c r="G128" s="165"/>
      <c r="H128" s="189"/>
      <c r="I128" s="33">
        <f t="shared" si="115"/>
        <v>27.300907050061504</v>
      </c>
      <c r="J128" s="33">
        <f t="shared" si="116"/>
        <v>16.85055934547383</v>
      </c>
      <c r="K128" s="33">
        <f t="shared" si="117"/>
        <v>-4.8717874147758415</v>
      </c>
      <c r="M128" s="33">
        <f t="shared" si="118"/>
        <v>27.302127842002399</v>
      </c>
      <c r="N128" s="33">
        <f t="shared" si="119"/>
        <v>16.837921303241771</v>
      </c>
      <c r="O128" s="33">
        <f t="shared" si="120"/>
        <v>-4.8594037518669868</v>
      </c>
      <c r="P128" s="33"/>
      <c r="Q128" s="33">
        <f t="shared" si="123"/>
        <v>7.2427945099924376</v>
      </c>
      <c r="R128" s="33">
        <f t="shared" si="124"/>
        <v>2.7575428652851848</v>
      </c>
      <c r="S128" s="33">
        <f t="shared" si="125"/>
        <v>5.0529485454061849</v>
      </c>
      <c r="W128" s="47">
        <f t="shared" si="108"/>
        <v>7.4308910901345353</v>
      </c>
      <c r="X128" s="47">
        <f t="shared" si="121"/>
        <v>15.054413174131803</v>
      </c>
      <c r="Y128" s="47">
        <f t="shared" si="122"/>
        <v>5.421923904094089</v>
      </c>
      <c r="Z128" s="33">
        <f t="shared" si="109"/>
        <v>89.8</v>
      </c>
      <c r="AB128" s="33">
        <f t="shared" si="110"/>
        <v>42</v>
      </c>
      <c r="AC128" s="33">
        <f t="shared" si="111"/>
        <v>83.99</v>
      </c>
      <c r="AF128" s="33"/>
      <c r="AG128" s="31"/>
      <c r="BD128" s="30"/>
      <c r="BE128" s="30"/>
      <c r="BF128" s="30"/>
      <c r="BG128" s="30"/>
      <c r="BH128" s="30"/>
      <c r="BI128" s="30"/>
      <c r="BV128" s="27">
        <f t="shared" si="78"/>
        <v>190</v>
      </c>
      <c r="BW128" s="30">
        <v>124</v>
      </c>
      <c r="BX128" s="30">
        <f t="shared" si="85"/>
        <v>190</v>
      </c>
      <c r="BY128" s="30">
        <f t="shared" si="86"/>
        <v>0.75</v>
      </c>
      <c r="BZ128" s="30"/>
      <c r="CF128" s="30"/>
      <c r="CG128" s="30"/>
    </row>
    <row r="129" spans="2:85" x14ac:dyDescent="0.3">
      <c r="B129" s="33">
        <f t="shared" si="112"/>
        <v>78.095656731462498</v>
      </c>
      <c r="C129" s="33">
        <f t="shared" si="113"/>
        <v>-27.209970650752869</v>
      </c>
      <c r="D129" s="33">
        <f t="shared" si="114"/>
        <v>60.67769231570044</v>
      </c>
      <c r="E129" s="94"/>
      <c r="F129" s="142"/>
      <c r="G129" s="166"/>
      <c r="H129" s="190"/>
      <c r="I129" s="33">
        <f t="shared" si="115"/>
        <v>73.490948587632701</v>
      </c>
      <c r="J129" s="33">
        <f t="shared" si="116"/>
        <v>-12.022947222722902</v>
      </c>
      <c r="K129" s="33">
        <f t="shared" si="117"/>
        <v>19.272734195505727</v>
      </c>
      <c r="M129" s="33">
        <f t="shared" si="118"/>
        <v>73.492802618005342</v>
      </c>
      <c r="N129" s="33">
        <f t="shared" si="119"/>
        <v>-12.044424222038163</v>
      </c>
      <c r="O129" s="33">
        <f t="shared" si="120"/>
        <v>19.269647207263809</v>
      </c>
      <c r="P129" s="33"/>
      <c r="Q129" s="33">
        <f t="shared" si="123"/>
        <v>42.231814655617271</v>
      </c>
      <c r="R129" s="33">
        <f t="shared" si="124"/>
        <v>55.746796984664599</v>
      </c>
      <c r="S129" s="33">
        <f t="shared" si="125"/>
        <v>24.12454036717353</v>
      </c>
      <c r="W129" s="47">
        <f t="shared" si="108"/>
        <v>12.18650673436697</v>
      </c>
      <c r="X129" s="47">
        <f t="shared" si="121"/>
        <v>43.775199519279667</v>
      </c>
      <c r="Y129" s="47">
        <f t="shared" si="122"/>
        <v>5.3246507144676842</v>
      </c>
      <c r="Z129" s="33">
        <f t="shared" si="109"/>
        <v>177.63</v>
      </c>
      <c r="AB129" s="33">
        <f t="shared" si="110"/>
        <v>204.63</v>
      </c>
      <c r="AC129" s="33">
        <f t="shared" si="111"/>
        <v>71.959999999999994</v>
      </c>
      <c r="AF129" s="33"/>
      <c r="AG129" s="31"/>
      <c r="BD129" s="30"/>
      <c r="BE129" s="30"/>
      <c r="BF129" s="30"/>
      <c r="BG129" s="30"/>
      <c r="BH129" s="30"/>
      <c r="BI129" s="30"/>
      <c r="BV129" s="27">
        <f t="shared" si="78"/>
        <v>190.75</v>
      </c>
      <c r="BW129" s="30">
        <v>125</v>
      </c>
      <c r="BX129" s="30">
        <f t="shared" si="85"/>
        <v>190.75</v>
      </c>
      <c r="BY129" s="30">
        <f t="shared" si="86"/>
        <v>0.75</v>
      </c>
      <c r="BZ129" s="30"/>
      <c r="CF129" s="30"/>
      <c r="CG129" s="30"/>
    </row>
    <row r="130" spans="2:85" x14ac:dyDescent="0.3">
      <c r="B130" s="33">
        <f t="shared" si="112"/>
        <v>75.991165039401366</v>
      </c>
      <c r="C130" s="33">
        <f t="shared" si="113"/>
        <v>13.876180423377349</v>
      </c>
      <c r="D130" s="33">
        <f t="shared" si="114"/>
        <v>70.624697717583487</v>
      </c>
      <c r="E130" s="95"/>
      <c r="F130" s="143"/>
      <c r="G130" s="167"/>
      <c r="H130" s="191"/>
      <c r="I130" s="33">
        <f t="shared" si="115"/>
        <v>75.133778321999699</v>
      </c>
      <c r="J130" s="33">
        <f t="shared" si="116"/>
        <v>7.3419570411579205</v>
      </c>
      <c r="K130" s="33">
        <f t="shared" si="117"/>
        <v>28.193025104286406</v>
      </c>
      <c r="M130" s="33">
        <f t="shared" si="118"/>
        <v>75.136103070502173</v>
      </c>
      <c r="N130" s="33">
        <f t="shared" si="119"/>
        <v>7.3161659149403313</v>
      </c>
      <c r="O130" s="33">
        <f t="shared" si="120"/>
        <v>28.213183713946101</v>
      </c>
      <c r="P130" s="33"/>
      <c r="Q130" s="33">
        <f t="shared" si="123"/>
        <v>104.22066961753612</v>
      </c>
      <c r="R130" s="33">
        <f t="shared" si="124"/>
        <v>48.100307170820983</v>
      </c>
      <c r="S130" s="33">
        <f t="shared" si="125"/>
        <v>19.231663940519585</v>
      </c>
      <c r="W130" s="47">
        <f t="shared" si="108"/>
        <v>10.22481818569304</v>
      </c>
      <c r="X130" s="47">
        <f t="shared" si="121"/>
        <v>42.828614872577838</v>
      </c>
      <c r="Y130" s="47">
        <f t="shared" si="122"/>
        <v>2.7349695661997093</v>
      </c>
      <c r="Z130" s="33">
        <f t="shared" si="109"/>
        <v>242.26</v>
      </c>
      <c r="AB130" s="33">
        <f t="shared" si="110"/>
        <v>175.26</v>
      </c>
      <c r="AC130" s="33">
        <f t="shared" si="111"/>
        <v>44.28</v>
      </c>
      <c r="AF130" s="33"/>
      <c r="AG130" s="31"/>
      <c r="BD130" s="30"/>
      <c r="BE130" s="30"/>
      <c r="BF130" s="30"/>
      <c r="BG130" s="30"/>
      <c r="BH130" s="30"/>
      <c r="BI130" s="30"/>
      <c r="BV130" s="27">
        <f t="shared" si="78"/>
        <v>191.25</v>
      </c>
      <c r="BW130" s="30">
        <v>126</v>
      </c>
      <c r="BX130" s="30">
        <f t="shared" si="85"/>
        <v>191.25</v>
      </c>
      <c r="BY130" s="30">
        <f t="shared" si="86"/>
        <v>0.5</v>
      </c>
      <c r="BZ130" s="30"/>
      <c r="CF130" s="30"/>
      <c r="CG130" s="30"/>
    </row>
    <row r="131" spans="2:85" x14ac:dyDescent="0.3">
      <c r="B131" s="33">
        <f t="shared" si="112"/>
        <v>16.533893975704089</v>
      </c>
      <c r="C131" s="33">
        <f t="shared" si="113"/>
        <v>42.582644964963414</v>
      </c>
      <c r="D131" s="33">
        <f t="shared" si="114"/>
        <v>-63.391469630739373</v>
      </c>
      <c r="E131" s="96"/>
      <c r="F131" s="144"/>
      <c r="G131" s="168"/>
      <c r="H131" s="192"/>
      <c r="I131" s="33">
        <f t="shared" si="115"/>
        <v>16.15740762530816</v>
      </c>
      <c r="J131" s="33">
        <f t="shared" si="116"/>
        <v>12.580354087480622</v>
      </c>
      <c r="K131" s="33">
        <f t="shared" si="117"/>
        <v>-32.75251205188642</v>
      </c>
      <c r="M131" s="33">
        <f t="shared" si="118"/>
        <v>16.157773918184546</v>
      </c>
      <c r="N131" s="33">
        <f t="shared" si="119"/>
        <v>12.576777106013653</v>
      </c>
      <c r="O131" s="33">
        <f t="shared" si="120"/>
        <v>-32.753925496854549</v>
      </c>
      <c r="P131" s="33"/>
      <c r="Q131" s="33">
        <f t="shared" si="123"/>
        <v>0.33157321892247243</v>
      </c>
      <c r="R131" s="33">
        <f t="shared" si="124"/>
        <v>1.0621835445500345</v>
      </c>
      <c r="S131" s="33">
        <f t="shared" si="125"/>
        <v>7.4104026682205575</v>
      </c>
      <c r="W131" s="47">
        <f t="shared" si="108"/>
        <v>10.771956963032945</v>
      </c>
      <c r="X131" s="47">
        <f t="shared" si="121"/>
        <v>41.280423758765046</v>
      </c>
      <c r="Y131" s="47">
        <f t="shared" si="122"/>
        <v>11.616274395058042</v>
      </c>
      <c r="Z131" s="33">
        <f t="shared" si="109"/>
        <v>2.91</v>
      </c>
      <c r="AB131" s="33">
        <f t="shared" si="110"/>
        <v>17.91</v>
      </c>
      <c r="AC131" s="33">
        <f t="shared" si="111"/>
        <v>135.32</v>
      </c>
      <c r="AF131" s="33"/>
      <c r="AG131" s="31"/>
      <c r="BD131" s="30"/>
      <c r="BE131" s="30"/>
      <c r="BF131" s="30"/>
      <c r="BG131" s="30"/>
      <c r="BH131" s="30"/>
      <c r="BI131" s="30"/>
      <c r="BV131" s="27">
        <f t="shared" si="78"/>
        <v>192</v>
      </c>
      <c r="BW131" s="30">
        <v>127</v>
      </c>
      <c r="BX131" s="30">
        <f t="shared" si="85"/>
        <v>192</v>
      </c>
      <c r="BY131" s="30">
        <f t="shared" si="86"/>
        <v>0.75</v>
      </c>
      <c r="BZ131" s="30"/>
      <c r="CF131" s="30"/>
      <c r="CG131" s="30"/>
    </row>
    <row r="132" spans="2:85" x14ac:dyDescent="0.3">
      <c r="B132" s="33">
        <f t="shared" si="112"/>
        <v>53.41932543596711</v>
      </c>
      <c r="C132" s="33">
        <f t="shared" si="113"/>
        <v>-39.143534500974631</v>
      </c>
      <c r="D132" s="33">
        <f t="shared" si="114"/>
        <v>31.102899099232882</v>
      </c>
      <c r="E132" s="97"/>
      <c r="F132" s="145"/>
      <c r="G132" s="169"/>
      <c r="H132" s="193"/>
      <c r="I132" s="33">
        <f t="shared" si="115"/>
        <v>49.100673482841174</v>
      </c>
      <c r="J132" s="33">
        <f t="shared" si="116"/>
        <v>-21.558057111909502</v>
      </c>
      <c r="K132" s="33">
        <f t="shared" si="117"/>
        <v>10.032692509112362</v>
      </c>
      <c r="M132" s="33">
        <f t="shared" si="118"/>
        <v>49.101768267116313</v>
      </c>
      <c r="N132" s="33">
        <f t="shared" si="119"/>
        <v>-21.571207343009657</v>
      </c>
      <c r="O132" s="33">
        <f t="shared" si="120"/>
        <v>10.019236864002634</v>
      </c>
      <c r="P132" s="33"/>
      <c r="Q132" s="33">
        <f t="shared" si="123"/>
        <v>6.559093701804608</v>
      </c>
      <c r="R132" s="33">
        <f t="shared" si="124"/>
        <v>16.672262580358904</v>
      </c>
      <c r="S132" s="33">
        <f t="shared" si="125"/>
        <v>9.6286306383987998</v>
      </c>
      <c r="W132" s="47">
        <f t="shared" si="108"/>
        <v>10.263132708205196</v>
      </c>
      <c r="X132" s="47">
        <f t="shared" si="121"/>
        <v>26.211573389201469</v>
      </c>
      <c r="Y132" s="47">
        <f t="shared" si="122"/>
        <v>8.1400808017078674</v>
      </c>
      <c r="Z132" s="33">
        <f t="shared" si="109"/>
        <v>67.41</v>
      </c>
      <c r="AB132" s="33">
        <f t="shared" si="110"/>
        <v>143.4</v>
      </c>
      <c r="AC132" s="33">
        <f t="shared" si="111"/>
        <v>71.41</v>
      </c>
      <c r="AF132" s="33"/>
      <c r="AG132" s="31"/>
      <c r="BD132" s="30"/>
      <c r="BE132" s="30"/>
      <c r="BF132" s="30"/>
      <c r="BG132" s="30"/>
      <c r="BH132" s="30"/>
      <c r="BI132" s="30"/>
      <c r="BV132" s="27">
        <f t="shared" ref="BV132:BV195" si="126">BX132</f>
        <v>192.75</v>
      </c>
      <c r="BW132" s="30">
        <v>128</v>
      </c>
      <c r="BX132" s="30">
        <f t="shared" si="85"/>
        <v>192.75</v>
      </c>
      <c r="BY132" s="30">
        <f t="shared" si="86"/>
        <v>0.75</v>
      </c>
      <c r="BZ132" s="30"/>
      <c r="CF132" s="30"/>
      <c r="CG132" s="30"/>
    </row>
    <row r="133" spans="2:85" x14ac:dyDescent="0.3">
      <c r="B133" s="33">
        <f t="shared" si="112"/>
        <v>47.235924088479088</v>
      </c>
      <c r="C133" s="33">
        <f t="shared" si="113"/>
        <v>60.112441038549235</v>
      </c>
      <c r="D133" s="33">
        <f t="shared" si="114"/>
        <v>32.862845068548438</v>
      </c>
      <c r="E133" s="98"/>
      <c r="F133" s="146"/>
      <c r="G133" s="170"/>
      <c r="H133" s="194"/>
      <c r="I133" s="33">
        <f t="shared" si="115"/>
        <v>48.237971012357761</v>
      </c>
      <c r="J133" s="33">
        <f t="shared" si="116"/>
        <v>35.408216473013731</v>
      </c>
      <c r="K133" s="33">
        <f t="shared" si="117"/>
        <v>21.446535528105215</v>
      </c>
      <c r="M133" s="33">
        <f t="shared" si="118"/>
        <v>48.241210860580011</v>
      </c>
      <c r="N133" s="33">
        <f t="shared" si="119"/>
        <v>35.387244736012683</v>
      </c>
      <c r="O133" s="33">
        <f t="shared" si="120"/>
        <v>21.503320409149971</v>
      </c>
      <c r="P133" s="33"/>
      <c r="Q133" s="33">
        <f t="shared" si="123"/>
        <v>46.982521003161352</v>
      </c>
      <c r="R133" s="33">
        <f t="shared" si="124"/>
        <v>7.5803913645155081</v>
      </c>
      <c r="S133" s="33">
        <f t="shared" si="125"/>
        <v>6.3105237320407337</v>
      </c>
      <c r="W133" s="47">
        <f t="shared" si="108"/>
        <v>6.8198962712549918</v>
      </c>
      <c r="X133" s="47">
        <f t="shared" si="121"/>
        <v>27.100589219264471</v>
      </c>
      <c r="Y133" s="47">
        <f t="shared" si="122"/>
        <v>2.4356101196898048</v>
      </c>
      <c r="Z133" s="33">
        <f t="shared" si="109"/>
        <v>207.62</v>
      </c>
      <c r="AB133" s="33">
        <f t="shared" si="110"/>
        <v>52.58</v>
      </c>
      <c r="AC133" s="33">
        <f t="shared" si="111"/>
        <v>60.62</v>
      </c>
      <c r="AF133" s="33"/>
      <c r="AG133" s="31"/>
      <c r="BD133" s="30"/>
      <c r="BE133" s="30"/>
      <c r="BF133" s="30"/>
      <c r="BG133" s="30"/>
      <c r="BH133" s="30"/>
      <c r="BI133" s="30"/>
      <c r="BV133" s="27">
        <f t="shared" si="126"/>
        <v>193.25</v>
      </c>
      <c r="BW133" s="30">
        <v>129</v>
      </c>
      <c r="BX133" s="30">
        <f t="shared" ref="BX133:BX196" si="127">VALUE(MID($CC$2,FIND("*",SUBSTITUTE($CC$2," ","*",BW133),1)+1,FIND("*",SUBSTITUTE($CC$2," ","*",BW134),1)-FIND("*",SUBSTITUTE($CC$2," ","*",BW133),1)-1))/$BH$12</f>
        <v>193.25</v>
      </c>
      <c r="BY133" s="30">
        <f t="shared" ref="BY133:BY196" si="128">BX133-BX132</f>
        <v>0.5</v>
      </c>
      <c r="BZ133" s="30"/>
      <c r="CF133" s="30"/>
      <c r="CG133" s="30"/>
    </row>
    <row r="134" spans="2:85" x14ac:dyDescent="0.3">
      <c r="B134" s="33">
        <f t="shared" si="112"/>
        <v>86.742622734868164</v>
      </c>
      <c r="C134" s="33">
        <f t="shared" si="113"/>
        <v>-4.236882002156217</v>
      </c>
      <c r="D134" s="33">
        <f t="shared" si="114"/>
        <v>77.743806316951535</v>
      </c>
      <c r="E134" s="99"/>
      <c r="F134" s="147"/>
      <c r="G134" s="171"/>
      <c r="H134" s="195"/>
      <c r="I134" s="33">
        <f t="shared" si="115"/>
        <v>82.26357803059615</v>
      </c>
      <c r="J134" s="33">
        <f t="shared" si="116"/>
        <v>-0.32765984846744312</v>
      </c>
      <c r="K134" s="33">
        <f t="shared" si="117"/>
        <v>26.922511926869653</v>
      </c>
      <c r="M134" s="33">
        <f t="shared" si="118"/>
        <v>82.265898052355439</v>
      </c>
      <c r="N134" s="33">
        <f t="shared" si="119"/>
        <v>-0.35384505919255904</v>
      </c>
      <c r="O134" s="33">
        <f t="shared" si="120"/>
        <v>26.933514865447549</v>
      </c>
      <c r="P134" s="33"/>
      <c r="Q134" s="33">
        <f t="shared" si="123"/>
        <v>120.91813407381309</v>
      </c>
      <c r="R134" s="33">
        <f t="shared" si="124"/>
        <v>79.005478258500574</v>
      </c>
      <c r="S134" s="33">
        <f t="shared" si="125"/>
        <v>29.234831497887797</v>
      </c>
      <c r="W134" s="47">
        <f t="shared" si="108"/>
        <v>12.192321858837781</v>
      </c>
      <c r="X134" s="47">
        <f t="shared" si="121"/>
        <v>50.923332395432439</v>
      </c>
      <c r="Y134" s="47">
        <f t="shared" si="122"/>
        <v>1.8915366852113145</v>
      </c>
      <c r="Z134" s="33">
        <f t="shared" si="109"/>
        <v>248.66</v>
      </c>
      <c r="AB134" s="33">
        <f t="shared" si="110"/>
        <v>216.07</v>
      </c>
      <c r="AC134" s="33">
        <f t="shared" si="111"/>
        <v>52.72</v>
      </c>
      <c r="AF134" s="33"/>
      <c r="AG134" s="31"/>
      <c r="BD134" s="30"/>
      <c r="BE134" s="30"/>
      <c r="BF134" s="30"/>
      <c r="BG134" s="30"/>
      <c r="BH134" s="30"/>
      <c r="BI134" s="30"/>
      <c r="BV134" s="27">
        <f t="shared" si="126"/>
        <v>194</v>
      </c>
      <c r="BW134" s="30">
        <v>130</v>
      </c>
      <c r="BX134" s="30">
        <f t="shared" si="127"/>
        <v>194</v>
      </c>
      <c r="BY134" s="30">
        <f t="shared" si="128"/>
        <v>0.75</v>
      </c>
      <c r="BZ134" s="30"/>
      <c r="CF134" s="30"/>
      <c r="CG134" s="30"/>
    </row>
    <row r="135" spans="2:85" x14ac:dyDescent="0.3">
      <c r="B135" s="33">
        <f t="shared" si="112"/>
        <v>53.603735898797922</v>
      </c>
      <c r="C135" s="33">
        <f t="shared" si="113"/>
        <v>55.970566627440768</v>
      </c>
      <c r="D135" s="33">
        <f t="shared" si="114"/>
        <v>-4.4439399073938679</v>
      </c>
      <c r="E135" s="100"/>
      <c r="F135" s="148"/>
      <c r="G135" s="172"/>
      <c r="H135" s="196"/>
      <c r="I135" s="33">
        <f t="shared" si="115"/>
        <v>55.248998602858322</v>
      </c>
      <c r="J135" s="33">
        <f t="shared" si="116"/>
        <v>30.164657415716611</v>
      </c>
      <c r="K135" s="33">
        <f t="shared" si="117"/>
        <v>3.1933126892485619</v>
      </c>
      <c r="M135" s="33">
        <f t="shared" si="118"/>
        <v>55.251184955720191</v>
      </c>
      <c r="N135" s="33">
        <f t="shared" si="119"/>
        <v>30.142127855884048</v>
      </c>
      <c r="O135" s="33">
        <f t="shared" si="120"/>
        <v>3.2228445998274458</v>
      </c>
      <c r="P135" s="33"/>
      <c r="Q135" s="33">
        <f t="shared" si="123"/>
        <v>52.382733644734969</v>
      </c>
      <c r="R135" s="33">
        <f t="shared" si="124"/>
        <v>12.491044156807085</v>
      </c>
      <c r="S135" s="33">
        <f t="shared" si="125"/>
        <v>17.27314951504826</v>
      </c>
      <c r="W135" s="47">
        <f t="shared" si="108"/>
        <v>8.5805375079309414</v>
      </c>
      <c r="X135" s="47">
        <f t="shared" si="121"/>
        <v>25.832774917584715</v>
      </c>
      <c r="Y135" s="47">
        <f t="shared" si="122"/>
        <v>7.6521614014361443</v>
      </c>
      <c r="Z135" s="33">
        <f t="shared" si="109"/>
        <v>210.6</v>
      </c>
      <c r="AB135" s="33">
        <f t="shared" si="110"/>
        <v>81.69</v>
      </c>
      <c r="AC135" s="33">
        <f t="shared" si="111"/>
        <v>137.55000000000001</v>
      </c>
      <c r="AF135" s="33"/>
      <c r="AG135" s="31"/>
      <c r="BD135" s="30"/>
      <c r="BE135" s="30"/>
      <c r="BF135" s="30"/>
      <c r="BG135" s="30"/>
      <c r="BH135" s="30"/>
      <c r="BI135" s="30"/>
      <c r="BV135" s="27">
        <f t="shared" si="126"/>
        <v>194.75</v>
      </c>
      <c r="BW135" s="30">
        <v>131</v>
      </c>
      <c r="BX135" s="30">
        <f t="shared" si="127"/>
        <v>194.75</v>
      </c>
      <c r="BY135" s="30">
        <f t="shared" si="128"/>
        <v>0.75</v>
      </c>
      <c r="BZ135" s="30"/>
      <c r="CF135" s="30"/>
      <c r="CG135" s="30"/>
    </row>
    <row r="136" spans="2:85" x14ac:dyDescent="0.3">
      <c r="B136" s="33">
        <f t="shared" si="112"/>
        <v>44.517697154165162</v>
      </c>
      <c r="C136" s="33">
        <f t="shared" si="113"/>
        <v>-1.6922210636705626</v>
      </c>
      <c r="D136" s="33">
        <f t="shared" si="114"/>
        <v>-41.505587753172144</v>
      </c>
      <c r="E136" s="101"/>
      <c r="F136" s="149"/>
      <c r="G136" s="173"/>
      <c r="H136" s="197"/>
      <c r="I136" s="33">
        <f t="shared" si="115"/>
        <v>42.11746020997208</v>
      </c>
      <c r="J136" s="33">
        <f t="shared" si="116"/>
        <v>-7.2907182141208615</v>
      </c>
      <c r="K136" s="33">
        <f t="shared" si="117"/>
        <v>-22.286844515891069</v>
      </c>
      <c r="M136" s="33">
        <f t="shared" si="118"/>
        <v>42.118271501558013</v>
      </c>
      <c r="N136" s="33">
        <f t="shared" si="119"/>
        <v>-7.2997508661080399</v>
      </c>
      <c r="O136" s="33">
        <f t="shared" si="120"/>
        <v>-22.294198851180312</v>
      </c>
      <c r="P136" s="33"/>
      <c r="Q136" s="33">
        <f t="shared" si="123"/>
        <v>2.5992200409957462</v>
      </c>
      <c r="R136" s="33">
        <f t="shared" si="124"/>
        <v>10.721621654273854</v>
      </c>
      <c r="S136" s="33">
        <f t="shared" si="125"/>
        <v>20.076162517218453</v>
      </c>
      <c r="W136" s="47">
        <f t="shared" si="108"/>
        <v>8.5674763507026483</v>
      </c>
      <c r="X136" s="47">
        <f t="shared" si="121"/>
        <v>18.08121967086959</v>
      </c>
      <c r="Y136" s="47">
        <f t="shared" si="122"/>
        <v>8.5785400414381741</v>
      </c>
      <c r="Z136" s="33">
        <f t="shared" si="109"/>
        <v>0.3</v>
      </c>
      <c r="AB136" s="33">
        <f t="shared" si="110"/>
        <v>109.91</v>
      </c>
      <c r="AC136" s="33">
        <f t="shared" si="111"/>
        <v>174.28</v>
      </c>
      <c r="AF136" s="33"/>
      <c r="AG136" s="31"/>
      <c r="BD136" s="30"/>
      <c r="BE136" s="30"/>
      <c r="BF136" s="30"/>
      <c r="BG136" s="30"/>
      <c r="BH136" s="30"/>
      <c r="BI136" s="30"/>
      <c r="BV136" s="27">
        <f t="shared" si="126"/>
        <v>195.25</v>
      </c>
      <c r="BW136" s="30">
        <v>132</v>
      </c>
      <c r="BX136" s="30">
        <f t="shared" si="127"/>
        <v>195.25</v>
      </c>
      <c r="BY136" s="30">
        <f t="shared" si="128"/>
        <v>0.5</v>
      </c>
      <c r="BZ136" s="30"/>
      <c r="CF136" s="30"/>
      <c r="CG136" s="30"/>
    </row>
    <row r="137" spans="2:85" x14ac:dyDescent="0.3">
      <c r="B137" s="33">
        <f t="shared" si="112"/>
        <v>92.024590961319063</v>
      </c>
      <c r="C137" s="33">
        <f t="shared" si="113"/>
        <v>0.65632553403710547</v>
      </c>
      <c r="D137" s="33">
        <f t="shared" si="114"/>
        <v>3.5083523633012481</v>
      </c>
      <c r="E137" s="102"/>
      <c r="F137" s="150"/>
      <c r="G137" s="174"/>
      <c r="H137" s="198"/>
      <c r="I137" s="33">
        <f t="shared" si="115"/>
        <v>91.277036951584165</v>
      </c>
      <c r="J137" s="33">
        <f t="shared" si="116"/>
        <v>0.83370988992925721</v>
      </c>
      <c r="K137" s="33">
        <f t="shared" si="117"/>
        <v>1.9337929572952772</v>
      </c>
      <c r="M137" s="33">
        <f t="shared" si="118"/>
        <v>91.279352750660522</v>
      </c>
      <c r="N137" s="33">
        <f t="shared" si="119"/>
        <v>0.80779571395178662</v>
      </c>
      <c r="O137" s="33">
        <f t="shared" si="120"/>
        <v>1.9379137388812806</v>
      </c>
      <c r="P137" s="33"/>
      <c r="Q137" s="33">
        <f t="shared" si="123"/>
        <v>153.21632501344601</v>
      </c>
      <c r="R137" s="33">
        <f t="shared" si="124"/>
        <v>139.55248006922778</v>
      </c>
      <c r="S137" s="33">
        <f t="shared" si="125"/>
        <v>130.71389900760784</v>
      </c>
      <c r="W137" s="47">
        <f t="shared" si="108"/>
        <v>1.5670125211999226</v>
      </c>
      <c r="X137" s="47">
        <f t="shared" si="121"/>
        <v>1.4696813988899922</v>
      </c>
      <c r="Y137" s="47">
        <f t="shared" si="122"/>
        <v>0.57380944069457529</v>
      </c>
      <c r="Z137" s="33">
        <f t="shared" si="109"/>
        <v>236.43</v>
      </c>
      <c r="AB137" s="33">
        <f t="shared" si="110"/>
        <v>231.43</v>
      </c>
      <c r="AC137" s="33">
        <f t="shared" si="111"/>
        <v>225.43</v>
      </c>
      <c r="AF137" s="33"/>
      <c r="AG137" s="31"/>
      <c r="BD137" s="30"/>
      <c r="BE137" s="30"/>
      <c r="BF137" s="30"/>
      <c r="BG137" s="30"/>
      <c r="BH137" s="30"/>
      <c r="BI137" s="30"/>
      <c r="BV137" s="27">
        <f t="shared" si="126"/>
        <v>196</v>
      </c>
      <c r="BW137" s="30">
        <v>133</v>
      </c>
      <c r="BX137" s="30">
        <f t="shared" si="127"/>
        <v>196</v>
      </c>
      <c r="BY137" s="30">
        <f t="shared" si="128"/>
        <v>0.75</v>
      </c>
      <c r="BZ137" s="30"/>
      <c r="CF137" s="30"/>
      <c r="CG137" s="30"/>
    </row>
    <row r="138" spans="2:85" x14ac:dyDescent="0.3">
      <c r="B138" s="33">
        <f t="shared" si="112"/>
        <v>81.71383024198154</v>
      </c>
      <c r="C138" s="33">
        <f t="shared" si="113"/>
        <v>8.9913715165479413E-2</v>
      </c>
      <c r="D138" s="33">
        <f t="shared" si="114"/>
        <v>3.2177061935183771</v>
      </c>
      <c r="E138" s="103"/>
      <c r="F138" s="151"/>
      <c r="G138" s="175"/>
      <c r="H138" s="199"/>
      <c r="I138" s="33">
        <f t="shared" si="115"/>
        <v>78.003966685966176</v>
      </c>
      <c r="J138" s="33">
        <f t="shared" si="116"/>
        <v>0.9484347017213457</v>
      </c>
      <c r="K138" s="33">
        <f t="shared" si="117"/>
        <v>1.5264239020996273</v>
      </c>
      <c r="M138" s="33">
        <f t="shared" si="118"/>
        <v>78.005998455941466</v>
      </c>
      <c r="N138" s="33">
        <f t="shared" si="119"/>
        <v>0.92571048845901949</v>
      </c>
      <c r="O138" s="33">
        <f t="shared" si="120"/>
        <v>1.5301569207917254</v>
      </c>
      <c r="P138" s="33"/>
      <c r="Q138" s="33">
        <f t="shared" si="123"/>
        <v>67.788329610283427</v>
      </c>
      <c r="R138" s="33">
        <f t="shared" si="124"/>
        <v>63.165021659737874</v>
      </c>
      <c r="S138" s="33">
        <f t="shared" si="125"/>
        <v>60.38124610532418</v>
      </c>
      <c r="W138" s="47">
        <f t="shared" si="108"/>
        <v>4.0834167221477768</v>
      </c>
      <c r="X138" s="47">
        <f t="shared" si="121"/>
        <v>1.4305774197070797</v>
      </c>
      <c r="Y138" s="47">
        <f t="shared" si="122"/>
        <v>1.2246742588755499</v>
      </c>
      <c r="Z138" s="33">
        <f t="shared" si="109"/>
        <v>205.97</v>
      </c>
      <c r="AB138" s="33">
        <f t="shared" si="110"/>
        <v>202.8</v>
      </c>
      <c r="AC138" s="33">
        <f t="shared" si="111"/>
        <v>197.11</v>
      </c>
      <c r="AF138" s="33"/>
      <c r="AG138" s="31"/>
      <c r="BD138" s="30"/>
      <c r="BE138" s="30"/>
      <c r="BF138" s="30"/>
      <c r="BG138" s="30"/>
      <c r="BH138" s="30"/>
      <c r="BI138" s="30"/>
      <c r="BV138" s="27">
        <f t="shared" si="126"/>
        <v>196.75</v>
      </c>
      <c r="BW138" s="30">
        <v>134</v>
      </c>
      <c r="BX138" s="30">
        <f t="shared" si="127"/>
        <v>196.75</v>
      </c>
      <c r="BY138" s="30">
        <f t="shared" si="128"/>
        <v>0.75</v>
      </c>
      <c r="BZ138" s="30"/>
      <c r="CF138" s="30"/>
      <c r="CG138" s="30"/>
    </row>
    <row r="139" spans="2:85" x14ac:dyDescent="0.3">
      <c r="B139" s="33">
        <f t="shared" si="112"/>
        <v>65.84590333748605</v>
      </c>
      <c r="C139" s="33">
        <f t="shared" si="113"/>
        <v>0.1629262499345252</v>
      </c>
      <c r="D139" s="33">
        <f t="shared" si="114"/>
        <v>2.9841174501997081</v>
      </c>
      <c r="E139" s="104"/>
      <c r="F139" s="152"/>
      <c r="G139" s="176"/>
      <c r="H139" s="200"/>
      <c r="I139" s="33">
        <f t="shared" si="115"/>
        <v>61.458312836648176</v>
      </c>
      <c r="J139" s="33">
        <f t="shared" si="116"/>
        <v>-5.5612512382674506E-2</v>
      </c>
      <c r="K139" s="33">
        <f t="shared" si="117"/>
        <v>1.3082902730935153</v>
      </c>
      <c r="M139" s="33">
        <f t="shared" si="118"/>
        <v>61.459971354456528</v>
      </c>
      <c r="N139" s="33">
        <f t="shared" si="119"/>
        <v>-7.4201888243197178E-2</v>
      </c>
      <c r="O139" s="33">
        <f t="shared" si="120"/>
        <v>1.3107280088469286</v>
      </c>
      <c r="P139" s="33"/>
      <c r="Q139" s="33">
        <f t="shared" si="123"/>
        <v>26.369445228673953</v>
      </c>
      <c r="R139" s="33">
        <f t="shared" si="124"/>
        <v>25.806240445661892</v>
      </c>
      <c r="S139" s="33">
        <f t="shared" si="125"/>
        <v>24.649754977958814</v>
      </c>
      <c r="W139" s="47">
        <f t="shared" si="108"/>
        <v>4.6327639178394016</v>
      </c>
      <c r="X139" s="47">
        <f t="shared" si="121"/>
        <v>1.6757351902441793</v>
      </c>
      <c r="Y139" s="47">
        <f t="shared" si="122"/>
        <v>0.21993987479287319</v>
      </c>
      <c r="Z139" s="33">
        <f t="shared" si="109"/>
        <v>162.65</v>
      </c>
      <c r="AB139" s="33">
        <f t="shared" si="110"/>
        <v>159.65</v>
      </c>
      <c r="AC139" s="33">
        <f t="shared" si="111"/>
        <v>154.65</v>
      </c>
      <c r="AF139" s="33"/>
      <c r="AG139" s="31"/>
      <c r="BD139" s="30"/>
      <c r="BE139" s="30"/>
      <c r="BF139" s="30"/>
      <c r="BG139" s="30"/>
      <c r="BH139" s="30"/>
      <c r="BI139" s="30"/>
      <c r="BV139" s="27">
        <f t="shared" si="126"/>
        <v>197.25</v>
      </c>
      <c r="BW139" s="30">
        <v>135</v>
      </c>
      <c r="BX139" s="30">
        <f t="shared" si="127"/>
        <v>197.25</v>
      </c>
      <c r="BY139" s="30">
        <f t="shared" si="128"/>
        <v>0.5</v>
      </c>
      <c r="BZ139" s="30"/>
      <c r="CF139" s="30"/>
      <c r="CG139" s="30"/>
    </row>
    <row r="140" spans="2:85" x14ac:dyDescent="0.3">
      <c r="B140" s="33">
        <f t="shared" si="112"/>
        <v>42.592495995684232</v>
      </c>
      <c r="C140" s="33">
        <f t="shared" si="113"/>
        <v>-0.41212322767431031</v>
      </c>
      <c r="D140" s="33">
        <f t="shared" si="114"/>
        <v>2.4002926147722925</v>
      </c>
      <c r="E140" s="105"/>
      <c r="F140" s="153"/>
      <c r="G140" s="177">
        <v>0.18</v>
      </c>
      <c r="H140" s="201"/>
      <c r="I140" s="33">
        <f t="shared" si="115"/>
        <v>40.297297894638866</v>
      </c>
      <c r="J140" s="33">
        <f t="shared" si="116"/>
        <v>-0.10077594869647988</v>
      </c>
      <c r="K140" s="33">
        <f t="shared" si="117"/>
        <v>1.5324097698505734</v>
      </c>
      <c r="M140" s="33">
        <f t="shared" si="118"/>
        <v>40.298508056316166</v>
      </c>
      <c r="N140" s="33">
        <f t="shared" si="119"/>
        <v>-0.11434728406450878</v>
      </c>
      <c r="O140" s="33">
        <f t="shared" si="120"/>
        <v>1.5342966509578448</v>
      </c>
      <c r="P140" s="33"/>
      <c r="Q140" s="33">
        <f t="shared" si="123"/>
        <v>9.0717324558300518</v>
      </c>
      <c r="R140" s="33">
        <f t="shared" si="124"/>
        <v>8.8744134601499631</v>
      </c>
      <c r="S140" s="33">
        <f t="shared" si="125"/>
        <v>8.3607135171679765</v>
      </c>
      <c r="W140" s="47">
        <f t="shared" si="108"/>
        <v>2.4387665035795099</v>
      </c>
      <c r="X140" s="47">
        <f t="shared" si="121"/>
        <v>0.89686405606782515</v>
      </c>
      <c r="Y140" s="47">
        <f t="shared" si="122"/>
        <v>0.18507940692900116</v>
      </c>
      <c r="Z140" s="33">
        <f t="shared" si="109"/>
        <v>101.6</v>
      </c>
      <c r="AB140" s="33">
        <f t="shared" si="110"/>
        <v>100.6</v>
      </c>
      <c r="AC140" s="33">
        <f t="shared" si="111"/>
        <v>96.6</v>
      </c>
      <c r="AF140" s="33"/>
      <c r="AG140" s="31"/>
      <c r="BD140" s="30"/>
      <c r="BE140" s="30"/>
      <c r="BF140" s="30"/>
      <c r="BG140" s="30"/>
      <c r="BH140" s="30"/>
      <c r="BI140" s="30"/>
      <c r="BV140" s="27">
        <f t="shared" si="126"/>
        <v>198</v>
      </c>
      <c r="BW140" s="30">
        <v>136</v>
      </c>
      <c r="BX140" s="30">
        <f t="shared" si="127"/>
        <v>198</v>
      </c>
      <c r="BY140" s="30">
        <f t="shared" si="128"/>
        <v>0.75</v>
      </c>
      <c r="BZ140" s="30"/>
      <c r="CF140" s="30"/>
      <c r="CG140" s="30"/>
    </row>
    <row r="141" spans="2:85" x14ac:dyDescent="0.3">
      <c r="B141" s="33">
        <f t="shared" si="112"/>
        <v>22.648617394022779</v>
      </c>
      <c r="C141" s="33">
        <f t="shared" si="113"/>
        <v>-0.18657720769810204</v>
      </c>
      <c r="D141" s="33">
        <f t="shared" si="114"/>
        <v>5.2672162131273126E-2</v>
      </c>
      <c r="E141" s="106"/>
      <c r="F141" s="154"/>
      <c r="G141" s="178"/>
      <c r="H141" s="202"/>
      <c r="I141" s="33">
        <f t="shared" si="115"/>
        <v>19.591340070532972</v>
      </c>
      <c r="J141" s="33">
        <f t="shared" si="116"/>
        <v>-3.2892889126334701E-3</v>
      </c>
      <c r="K141" s="33">
        <f t="shared" si="117"/>
        <v>1.8632018811393092E-2</v>
      </c>
      <c r="M141" s="33">
        <f t="shared" si="118"/>
        <v>19.592096569133268</v>
      </c>
      <c r="N141" s="33">
        <f t="shared" si="119"/>
        <v>-1.1762869032067025E-2</v>
      </c>
      <c r="O141" s="33">
        <f t="shared" si="120"/>
        <v>1.9608441016849554E-2</v>
      </c>
      <c r="P141" s="33"/>
      <c r="Q141" s="33">
        <f t="shared" si="123"/>
        <v>1.955357078718865</v>
      </c>
      <c r="R141" s="33">
        <f t="shared" si="124"/>
        <v>1.955357078718865</v>
      </c>
      <c r="S141" s="33">
        <f t="shared" si="125"/>
        <v>1.9524804565347411</v>
      </c>
      <c r="W141" s="47">
        <f t="shared" si="108"/>
        <v>3.0616099078887333</v>
      </c>
      <c r="X141" s="47">
        <f t="shared" si="121"/>
        <v>0.17100352666073929</v>
      </c>
      <c r="Y141" s="47">
        <f t="shared" si="122"/>
        <v>4.9102510391683576E-2</v>
      </c>
      <c r="Z141" s="33">
        <f t="shared" si="109"/>
        <v>53.81</v>
      </c>
      <c r="AB141" s="33">
        <f t="shared" si="110"/>
        <v>54.16</v>
      </c>
      <c r="AC141" s="33">
        <f t="shared" si="111"/>
        <v>53.99</v>
      </c>
      <c r="AF141" s="33"/>
      <c r="AG141" s="31"/>
      <c r="BD141" s="30"/>
      <c r="BE141" s="30"/>
      <c r="BF141" s="30"/>
      <c r="BG141" s="30"/>
      <c r="BH141" s="30"/>
      <c r="BI141" s="30"/>
      <c r="BV141" s="27">
        <f t="shared" si="126"/>
        <v>198.75</v>
      </c>
      <c r="BW141" s="30">
        <v>137</v>
      </c>
      <c r="BX141" s="30">
        <f t="shared" si="127"/>
        <v>198.75</v>
      </c>
      <c r="BY141" s="30">
        <f t="shared" si="128"/>
        <v>0.75</v>
      </c>
      <c r="BZ141" s="30"/>
      <c r="CF141" s="30"/>
      <c r="CG141" s="30"/>
    </row>
    <row r="142" spans="2:85" x14ac:dyDescent="0.3">
      <c r="B142" s="33">
        <f t="shared" si="112"/>
        <v>4.2545979407007337</v>
      </c>
      <c r="C142" s="33">
        <f t="shared" si="113"/>
        <v>1.3488761044372355E-3</v>
      </c>
      <c r="D142" s="33">
        <f t="shared" si="114"/>
        <v>-2.0138381527368132E-4</v>
      </c>
      <c r="E142" s="107"/>
      <c r="F142" s="155"/>
      <c r="G142" s="179"/>
      <c r="H142" s="203"/>
      <c r="I142" s="33">
        <f t="shared" si="115"/>
        <v>3.4612285601587942</v>
      </c>
      <c r="J142" s="33">
        <f t="shared" si="116"/>
        <v>0.16050575621803786</v>
      </c>
      <c r="K142" s="33">
        <f t="shared" si="117"/>
        <v>-0.43399289436026889</v>
      </c>
      <c r="M142" s="33">
        <f t="shared" si="118"/>
        <v>3.4614478064718632</v>
      </c>
      <c r="N142" s="33">
        <f t="shared" si="119"/>
        <v>0.15805011510179601</v>
      </c>
      <c r="O142" s="33">
        <f t="shared" si="120"/>
        <v>-0.43370985119365324</v>
      </c>
      <c r="P142" s="33"/>
      <c r="Q142" s="33">
        <f t="shared" si="123"/>
        <v>0.21571092585767737</v>
      </c>
      <c r="R142" s="33">
        <f t="shared" si="124"/>
        <v>0.21571092585767737</v>
      </c>
      <c r="S142" s="33">
        <f t="shared" si="125"/>
        <v>0.23542681059620399</v>
      </c>
      <c r="W142" s="47">
        <f t="shared" si="108"/>
        <v>0.91735815249032138</v>
      </c>
      <c r="X142" s="47">
        <f t="shared" si="121"/>
        <v>0.46024647893901982</v>
      </c>
      <c r="Y142" s="47">
        <f t="shared" si="122"/>
        <v>2.5652450492951718E-2</v>
      </c>
      <c r="Z142" s="33">
        <f t="shared" si="109"/>
        <v>14.83</v>
      </c>
      <c r="AB142" s="33">
        <f t="shared" si="110"/>
        <v>14.83</v>
      </c>
      <c r="AC142" s="33">
        <f t="shared" si="111"/>
        <v>14.83</v>
      </c>
      <c r="AF142" s="33"/>
      <c r="AG142" s="31"/>
      <c r="BD142" s="30"/>
      <c r="BE142" s="30"/>
      <c r="BF142" s="30"/>
      <c r="BG142" s="30"/>
      <c r="BH142" s="30"/>
      <c r="BI142" s="30"/>
      <c r="BV142" s="27">
        <f t="shared" si="126"/>
        <v>199.25</v>
      </c>
      <c r="BW142" s="30">
        <v>138</v>
      </c>
      <c r="BX142" s="30">
        <f t="shared" si="127"/>
        <v>199.25</v>
      </c>
      <c r="BY142" s="30">
        <f t="shared" si="128"/>
        <v>0.5</v>
      </c>
      <c r="BZ142" s="30"/>
      <c r="CF142" s="30"/>
      <c r="CG142" s="30"/>
    </row>
    <row r="143" spans="2:85" x14ac:dyDescent="0.3">
      <c r="N143" s="30"/>
      <c r="O143" s="30"/>
      <c r="P143" s="30"/>
      <c r="BD143" s="30"/>
      <c r="BE143" s="30"/>
      <c r="BF143" s="30"/>
      <c r="BG143" s="30"/>
      <c r="BH143" s="30"/>
      <c r="BI143" s="30"/>
      <c r="BV143" s="27">
        <f t="shared" si="126"/>
        <v>200</v>
      </c>
      <c r="BW143" s="30">
        <v>139</v>
      </c>
      <c r="BX143" s="30">
        <f t="shared" si="127"/>
        <v>200</v>
      </c>
      <c r="BY143" s="30">
        <f t="shared" si="128"/>
        <v>0.75</v>
      </c>
      <c r="BZ143" s="30"/>
      <c r="CF143" s="30"/>
      <c r="CG143" s="30"/>
    </row>
    <row r="144" spans="2:85" x14ac:dyDescent="0.3">
      <c r="B144" s="22" t="s">
        <v>101</v>
      </c>
      <c r="C144" s="22" t="s">
        <v>102</v>
      </c>
      <c r="D144" s="22" t="s">
        <v>103</v>
      </c>
      <c r="E144" s="22"/>
      <c r="F144" s="22"/>
      <c r="I144" s="30" t="s">
        <v>9</v>
      </c>
      <c r="J144" s="30" t="s">
        <v>104</v>
      </c>
      <c r="K144" s="30" t="s">
        <v>105</v>
      </c>
      <c r="M144" s="30" t="s">
        <v>106</v>
      </c>
      <c r="N144" s="30" t="s">
        <v>29</v>
      </c>
      <c r="O144" s="30" t="s">
        <v>107</v>
      </c>
      <c r="P144" s="30"/>
      <c r="Q144" s="53" t="s">
        <v>126</v>
      </c>
      <c r="R144" s="53" t="s">
        <v>127</v>
      </c>
      <c r="S144" s="53" t="s">
        <v>128</v>
      </c>
      <c r="W144" s="30" t="s">
        <v>98</v>
      </c>
      <c r="X144" s="30" t="s">
        <v>99</v>
      </c>
      <c r="Y144" s="30" t="s">
        <v>100</v>
      </c>
      <c r="AB144" s="53" t="s">
        <v>129</v>
      </c>
      <c r="AC144" s="53" t="s">
        <v>130</v>
      </c>
      <c r="AD144" s="53" t="s">
        <v>131</v>
      </c>
      <c r="BD144" s="30"/>
      <c r="BE144" s="30"/>
      <c r="BF144" s="30"/>
      <c r="BG144" s="30"/>
      <c r="BH144" s="30"/>
      <c r="BI144" s="30"/>
      <c r="BV144" s="27">
        <f t="shared" si="126"/>
        <v>200.75</v>
      </c>
      <c r="BW144" s="30">
        <v>140</v>
      </c>
      <c r="BX144" s="30">
        <f t="shared" si="127"/>
        <v>200.75</v>
      </c>
      <c r="BY144" s="30">
        <f t="shared" si="128"/>
        <v>0.75</v>
      </c>
      <c r="BZ144" s="30"/>
      <c r="CF144" s="30"/>
      <c r="CG144" s="30"/>
    </row>
    <row r="145" spans="2:85" x14ac:dyDescent="0.3">
      <c r="B145" s="33">
        <v>1</v>
      </c>
      <c r="C145" s="33">
        <f t="shared" ref="C145:C168" si="129">1+($Q$78*SQRT(C119^2+D119^2))</f>
        <v>2.108247743805606</v>
      </c>
      <c r="D145" s="33">
        <f t="shared" ref="D145:D168" si="130">1+($R$78*SQRT(C119^2+D119^2))</f>
        <v>1.3694159146018687</v>
      </c>
      <c r="E145" s="84"/>
      <c r="F145" s="132"/>
      <c r="G145" s="156"/>
      <c r="H145" s="180"/>
      <c r="I145" s="33">
        <f t="shared" ref="I145:I168" si="131">1/2*(1-SQRT((((SQRT(C119^2+D119^2)+SQRT(J119^2+K119^2))/2)^7)/((((SQRT(C119^2+D119^2)+SQRT(J119^2+K119^2))/2)^7)+(25^7))))</f>
        <v>0.2962174379915069</v>
      </c>
      <c r="J145" s="33">
        <f t="shared" ref="J145:J168" si="132">IF(ATAN2((C119*(1+I145)),D119)*180/PI()&gt;=0, ATAN2((C119*(1+I145)),D119)*180/PI(), ATAN2((C119*(1+I145)),D119)*180/PI()+360)</f>
        <v>42.284783154701685</v>
      </c>
      <c r="K145" s="33">
        <f t="shared" ref="K145:K168" si="133">IF(ATAN2((J119*(1+I145)),K119)*180/PI()&gt;=0, ATAN2((J119*(1+I145)),K119)*180/PI(), ATAN2((J119*(1+I145)),K119)*180/PI()+360)</f>
        <v>41.634155930179617</v>
      </c>
      <c r="M145" s="33">
        <f t="shared" ref="M145:M168" si="134">IF(ABS(J145-K145)&gt;180, (J145+K145+360)/2, (J145+K145)/2)</f>
        <v>41.959469542440651</v>
      </c>
      <c r="N145" s="33">
        <f t="shared" ref="N145:N168" si="135">1-(0.17*COS(PI()*(M145-30)/180))+(0.24*COS(PI()*(2*M145)/180))+(0.32*COS(PI()*((3*M145)+6)/180))-(0.2*COS(PI()*((4*M145)-63)/180))</f>
        <v>0.69671476660296783</v>
      </c>
      <c r="O145" s="33">
        <f t="shared" ref="O145:O168" si="136">IF(ABS(J145-K145)&lt;=180, K145-J145, IF(AND(ABS(J145-K145)&gt;180, K145&lt;=J145), K145-J145+360, K145-J145-360))</f>
        <v>-0.65062722452206856</v>
      </c>
      <c r="P145" s="33"/>
      <c r="Q145" s="45">
        <f>Q119*$Q$83+R119*$R$83+S119*$S$83</f>
        <v>14.61204129170121</v>
      </c>
      <c r="R145" s="45">
        <f>Q119*$Q$84+R119*$R$84+S119*$S$84</f>
        <v>8.0692315256381129</v>
      </c>
      <c r="S145" s="45">
        <f t="shared" ref="S145:S168" si="137">Q119*$Q$85+R119*$R$85+S119*$S$85</f>
        <v>6.1442080255407756</v>
      </c>
      <c r="W145" s="33">
        <f>IF(($W$7*Q145+$X$7*R145+$Y$7*S145)&lt;0,0,IF(($W$7*Q145+$X$7*R145+$Y$7*S145)&gt;255,255,$W$7*Q145+$X$7*R145+$Y$7*S145))</f>
        <v>14.61204129170121</v>
      </c>
      <c r="X145" s="33">
        <f t="shared" ref="X145:X168" si="138">IF(($W$8*Q145+$X$8*R145+$Y$8*S145)&lt;0,0,IF(($W$8*Q145+$X$8*R145+$Y$8*S145)&gt;255,255,$W$8*Q145+$X$8*R145+$Y$8*S145))</f>
        <v>8.0692315256381129</v>
      </c>
      <c r="Y145" s="33">
        <f t="shared" ref="Y145:Y168" si="139">IF(($W$9*Q145+$X$9*R145+$Y$9*S145)&lt;0,0,IF(($W$9*Q145+$X$9*R145+$Y$9*S145)&gt;255,255,$W$9*Q145+$X$9*R145+$Y$9*S145))</f>
        <v>6.1442080255407756</v>
      </c>
      <c r="AB145" s="45">
        <f>BG16/255</f>
        <v>0.18661225049060245</v>
      </c>
      <c r="AC145" s="45">
        <f>BM16/255</f>
        <v>0.10473605716436994</v>
      </c>
      <c r="AD145" s="45">
        <f>BS16/255</f>
        <v>7.8449914076049856E-2</v>
      </c>
      <c r="BD145" s="30"/>
      <c r="BE145" s="30"/>
      <c r="BF145" s="30"/>
      <c r="BG145" s="30"/>
      <c r="BH145" s="30"/>
      <c r="BI145" s="30"/>
      <c r="BV145" s="27">
        <f t="shared" si="126"/>
        <v>201.25</v>
      </c>
      <c r="BW145" s="30">
        <v>141</v>
      </c>
      <c r="BX145" s="30">
        <f t="shared" si="127"/>
        <v>201.25</v>
      </c>
      <c r="BY145" s="30">
        <f t="shared" si="128"/>
        <v>0.5</v>
      </c>
      <c r="BZ145" s="30"/>
      <c r="CF145" s="30"/>
      <c r="CG145" s="30"/>
    </row>
    <row r="146" spans="2:85" x14ac:dyDescent="0.3">
      <c r="B146" s="33">
        <v>1</v>
      </c>
      <c r="C146" s="33">
        <f t="shared" si="129"/>
        <v>2.3003432163788502</v>
      </c>
      <c r="D146" s="33">
        <f t="shared" si="130"/>
        <v>1.4334477387929501</v>
      </c>
      <c r="E146" s="85"/>
      <c r="F146" s="133"/>
      <c r="G146" s="157"/>
      <c r="H146" s="181"/>
      <c r="I146" s="33">
        <f t="shared" si="131"/>
        <v>0.23352039792197088</v>
      </c>
      <c r="J146" s="33">
        <f t="shared" si="132"/>
        <v>33.16519576904151</v>
      </c>
      <c r="K146" s="33">
        <f t="shared" si="133"/>
        <v>39.593237339581762</v>
      </c>
      <c r="M146" s="33">
        <f t="shared" si="134"/>
        <v>36.37921655431164</v>
      </c>
      <c r="N146" s="33">
        <f t="shared" si="135"/>
        <v>0.74020776107175412</v>
      </c>
      <c r="O146" s="33">
        <f t="shared" si="136"/>
        <v>6.4280415705402518</v>
      </c>
      <c r="P146" s="33"/>
      <c r="Q146" s="45">
        <f t="shared" ref="Q146:Q168" si="140">Q120*$Q$83+R120*$R$83+S120*$S$83</f>
        <v>115.24221051522926</v>
      </c>
      <c r="R146" s="45">
        <f t="shared" ref="R146:R168" si="141">Q120*$Q$84+R120*$R$84+S120*$S$84</f>
        <v>56.187975848272998</v>
      </c>
      <c r="S146" s="45">
        <f t="shared" si="137"/>
        <v>43.971678780631038</v>
      </c>
      <c r="W146" s="33">
        <f t="shared" ref="W146:W168" si="142">IF(($W$7*Q146+$X$7*R146+$Y$7*S146)&lt;0,0,IF(($W$7*Q146+$X$7*R146+$Y$7*S146)&gt;255,255,$W$7*Q146+$X$7*R146+$Y$7*S146))</f>
        <v>115.24221051522926</v>
      </c>
      <c r="X146" s="33">
        <f t="shared" si="138"/>
        <v>56.187975848272998</v>
      </c>
      <c r="Y146" s="33">
        <f t="shared" si="139"/>
        <v>43.971678780631038</v>
      </c>
      <c r="AB146" s="45">
        <f t="shared" ref="AB146:AB168" si="143">BG17/255</f>
        <v>0.72106315787299857</v>
      </c>
      <c r="AC146" s="45">
        <f t="shared" ref="AC146:AC168" si="144">BM17/255</f>
        <v>0.49326260302905678</v>
      </c>
      <c r="AD146" s="45">
        <f t="shared" ref="AD146:AD168" si="145">BS17/255</f>
        <v>0.42526806886769442</v>
      </c>
      <c r="BD146" s="30"/>
      <c r="BE146" s="30"/>
      <c r="BF146" s="30"/>
      <c r="BG146" s="30"/>
      <c r="BH146" s="30"/>
      <c r="BI146" s="30"/>
      <c r="BV146" s="27">
        <f t="shared" si="126"/>
        <v>202</v>
      </c>
      <c r="BW146" s="30">
        <v>142</v>
      </c>
      <c r="BX146" s="30">
        <f t="shared" si="127"/>
        <v>202</v>
      </c>
      <c r="BY146" s="30">
        <f t="shared" si="128"/>
        <v>0.75</v>
      </c>
      <c r="BZ146" s="30"/>
      <c r="CF146" s="30"/>
      <c r="CG146" s="30"/>
    </row>
    <row r="147" spans="2:85" x14ac:dyDescent="0.3">
      <c r="B147" s="33">
        <v>1</v>
      </c>
      <c r="C147" s="33">
        <f t="shared" si="129"/>
        <v>2.3541950081008407</v>
      </c>
      <c r="D147" s="33">
        <f t="shared" si="130"/>
        <v>1.4513983360336136</v>
      </c>
      <c r="E147" s="86"/>
      <c r="F147" s="134"/>
      <c r="G147" s="158"/>
      <c r="H147" s="182"/>
      <c r="I147" s="33">
        <f t="shared" si="131"/>
        <v>0.24443977730485367</v>
      </c>
      <c r="J147" s="33">
        <f t="shared" si="132"/>
        <v>279.925097916261</v>
      </c>
      <c r="K147" s="33">
        <f t="shared" si="133"/>
        <v>267.81986763406877</v>
      </c>
      <c r="M147" s="33">
        <f t="shared" si="134"/>
        <v>273.87248277516488</v>
      </c>
      <c r="N147" s="33">
        <f t="shared" si="135"/>
        <v>0.60510893659927889</v>
      </c>
      <c r="O147" s="33">
        <f t="shared" si="136"/>
        <v>-12.105230282192224</v>
      </c>
      <c r="P147" s="33"/>
      <c r="Q147" s="45">
        <f t="shared" si="140"/>
        <v>15.307112997373668</v>
      </c>
      <c r="R147" s="45">
        <f t="shared" si="141"/>
        <v>20.405799512945013</v>
      </c>
      <c r="S147" s="45">
        <f t="shared" si="137"/>
        <v>31.350115710915105</v>
      </c>
      <c r="W147" s="33">
        <f t="shared" si="142"/>
        <v>15.307112997373668</v>
      </c>
      <c r="X147" s="33">
        <f t="shared" si="138"/>
        <v>20.405799512945013</v>
      </c>
      <c r="Y147" s="33">
        <f t="shared" si="139"/>
        <v>31.350115710915105</v>
      </c>
      <c r="AB147" s="45">
        <f t="shared" si="143"/>
        <v>0.19478956467498434</v>
      </c>
      <c r="AC147" s="45">
        <f t="shared" si="144"/>
        <v>0.24809607365632361</v>
      </c>
      <c r="AD147" s="45">
        <f t="shared" si="145"/>
        <v>0.34029479829950054</v>
      </c>
      <c r="BD147" s="30"/>
      <c r="BE147" s="30"/>
      <c r="BF147" s="30"/>
      <c r="BG147" s="30"/>
      <c r="BH147" s="30"/>
      <c r="BI147" s="30"/>
      <c r="BV147" s="27">
        <f t="shared" si="126"/>
        <v>202.75</v>
      </c>
      <c r="BW147" s="30">
        <v>143</v>
      </c>
      <c r="BX147" s="30">
        <f t="shared" si="127"/>
        <v>202.75</v>
      </c>
      <c r="BY147" s="30">
        <f t="shared" si="128"/>
        <v>0.75</v>
      </c>
      <c r="BZ147" s="30"/>
      <c r="CF147" s="30"/>
      <c r="CG147" s="30"/>
    </row>
    <row r="148" spans="2:85" x14ac:dyDescent="0.3">
      <c r="B148" s="33">
        <v>1</v>
      </c>
      <c r="C148" s="33">
        <f t="shared" si="129"/>
        <v>2.253455738202117</v>
      </c>
      <c r="D148" s="33">
        <f t="shared" si="130"/>
        <v>1.4178185794007057</v>
      </c>
      <c r="E148" s="87"/>
      <c r="F148" s="135"/>
      <c r="G148" s="159"/>
      <c r="H148" s="183"/>
      <c r="I148" s="33">
        <f t="shared" si="131"/>
        <v>0.29164730245424431</v>
      </c>
      <c r="J148" s="33">
        <f t="shared" si="132"/>
        <v>128.26193959244108</v>
      </c>
      <c r="K148" s="33">
        <f t="shared" si="133"/>
        <v>134.2087265894711</v>
      </c>
      <c r="M148" s="33">
        <f t="shared" si="134"/>
        <v>131.23533309095609</v>
      </c>
      <c r="N148" s="33">
        <f t="shared" si="135"/>
        <v>1.2892430245905531</v>
      </c>
      <c r="O148" s="33">
        <f t="shared" si="136"/>
        <v>5.9467869970300171</v>
      </c>
      <c r="P148" s="33"/>
      <c r="Q148" s="45">
        <f t="shared" si="140"/>
        <v>9.7754029004931482</v>
      </c>
      <c r="R148" s="45">
        <f t="shared" si="141"/>
        <v>11.715781630522628</v>
      </c>
      <c r="S148" s="45">
        <f t="shared" si="137"/>
        <v>7.7851447783808787</v>
      </c>
      <c r="W148" s="33">
        <f t="shared" si="142"/>
        <v>9.7754029004931482</v>
      </c>
      <c r="X148" s="33">
        <f t="shared" si="138"/>
        <v>11.715781630522628</v>
      </c>
      <c r="Y148" s="33">
        <f t="shared" si="139"/>
        <v>7.7851447783808787</v>
      </c>
      <c r="AB148" s="45">
        <f t="shared" si="143"/>
        <v>0.12708925834058551</v>
      </c>
      <c r="AC148" s="45">
        <f t="shared" si="144"/>
        <v>0.15253860741791328</v>
      </c>
      <c r="AD148" s="45">
        <f t="shared" si="145"/>
        <v>0.10097257538954146</v>
      </c>
      <c r="BD148" s="30"/>
      <c r="BE148" s="30"/>
      <c r="BF148" s="30"/>
      <c r="BG148" s="30"/>
      <c r="BH148" s="30"/>
      <c r="BI148" s="30"/>
      <c r="BV148" s="27">
        <f t="shared" si="126"/>
        <v>203.25</v>
      </c>
      <c r="BW148" s="30">
        <v>144</v>
      </c>
      <c r="BX148" s="30">
        <f t="shared" si="127"/>
        <v>203.25</v>
      </c>
      <c r="BY148" s="30">
        <f t="shared" si="128"/>
        <v>0.5</v>
      </c>
      <c r="BZ148" s="30"/>
      <c r="CF148" s="30"/>
      <c r="CG148" s="30"/>
    </row>
    <row r="149" spans="2:85" x14ac:dyDescent="0.3">
      <c r="B149" s="33">
        <v>1</v>
      </c>
      <c r="C149" s="33">
        <f t="shared" si="129"/>
        <v>2.5291643424686661</v>
      </c>
      <c r="D149" s="33">
        <f t="shared" si="130"/>
        <v>1.5097214474895555</v>
      </c>
      <c r="E149" s="88"/>
      <c r="F149" s="136"/>
      <c r="G149" s="160"/>
      <c r="H149" s="184"/>
      <c r="I149" s="33">
        <f t="shared" si="131"/>
        <v>0.17232832259607994</v>
      </c>
      <c r="J149" s="33">
        <f t="shared" si="132"/>
        <v>312.1584887114937</v>
      </c>
      <c r="K149" s="33">
        <f t="shared" si="133"/>
        <v>319.02922958677135</v>
      </c>
      <c r="M149" s="33">
        <f t="shared" si="134"/>
        <v>315.59385914913253</v>
      </c>
      <c r="N149" s="33">
        <f t="shared" si="135"/>
        <v>0.86382830553376899</v>
      </c>
      <c r="O149" s="33">
        <f t="shared" si="136"/>
        <v>6.8707408752776473</v>
      </c>
      <c r="P149" s="33"/>
      <c r="Q149" s="45">
        <f t="shared" si="140"/>
        <v>36.031410861818934</v>
      </c>
      <c r="R149" s="45">
        <f t="shared" si="141"/>
        <v>26.590408538405967</v>
      </c>
      <c r="S149" s="45">
        <f t="shared" si="137"/>
        <v>42.767280852183134</v>
      </c>
      <c r="W149" s="33">
        <f t="shared" si="142"/>
        <v>36.031410861818934</v>
      </c>
      <c r="X149" s="33">
        <f t="shared" si="138"/>
        <v>26.590408538405967</v>
      </c>
      <c r="Y149" s="33">
        <f t="shared" si="139"/>
        <v>42.767280852183134</v>
      </c>
      <c r="AB149" s="45">
        <f t="shared" si="143"/>
        <v>0.37374497650267902</v>
      </c>
      <c r="AC149" s="45">
        <f t="shared" si="144"/>
        <v>0.30365026304632131</v>
      </c>
      <c r="AD149" s="45">
        <f t="shared" si="145"/>
        <v>0.41627812265990077</v>
      </c>
      <c r="BD149" s="30"/>
      <c r="BE149" s="30"/>
      <c r="BF149" s="30"/>
      <c r="BG149" s="30"/>
      <c r="BH149" s="30"/>
      <c r="BI149" s="30"/>
      <c r="BV149" s="27">
        <f t="shared" si="126"/>
        <v>204</v>
      </c>
      <c r="BW149" s="30">
        <v>145</v>
      </c>
      <c r="BX149" s="30">
        <f t="shared" si="127"/>
        <v>204</v>
      </c>
      <c r="BY149" s="30">
        <f t="shared" si="128"/>
        <v>0.75</v>
      </c>
      <c r="BZ149" s="30"/>
      <c r="CF149" s="30"/>
      <c r="CG149" s="30"/>
    </row>
    <row r="150" spans="2:85" x14ac:dyDescent="0.3">
      <c r="B150" s="33">
        <v>1</v>
      </c>
      <c r="C150" s="33">
        <f t="shared" si="129"/>
        <v>2.2046629802998186</v>
      </c>
      <c r="D150" s="33">
        <f t="shared" si="130"/>
        <v>1.4015543267666062</v>
      </c>
      <c r="E150" s="89"/>
      <c r="F150" s="137"/>
      <c r="G150" s="161"/>
      <c r="H150" s="185"/>
      <c r="I150" s="33">
        <f t="shared" si="131"/>
        <v>0.28291164529270602</v>
      </c>
      <c r="J150" s="33">
        <f t="shared" si="132"/>
        <v>189.45529670345496</v>
      </c>
      <c r="K150" s="33">
        <f t="shared" si="133"/>
        <v>194.74403985774089</v>
      </c>
      <c r="M150" s="33">
        <f t="shared" si="134"/>
        <v>192.09966828059794</v>
      </c>
      <c r="N150" s="33">
        <f t="shared" si="135"/>
        <v>0.9504543556822449</v>
      </c>
      <c r="O150" s="33">
        <f t="shared" si="136"/>
        <v>5.2887431542859247</v>
      </c>
      <c r="P150" s="33"/>
      <c r="Q150" s="45">
        <f t="shared" si="140"/>
        <v>29.400173208659666</v>
      </c>
      <c r="R150" s="45">
        <f t="shared" si="141"/>
        <v>66.018656571730389</v>
      </c>
      <c r="S150" s="45">
        <f t="shared" si="137"/>
        <v>66.156536049671217</v>
      </c>
      <c r="W150" s="33">
        <f t="shared" si="142"/>
        <v>29.400173208659666</v>
      </c>
      <c r="X150" s="33">
        <f t="shared" si="138"/>
        <v>66.018656571730389</v>
      </c>
      <c r="Y150" s="33">
        <f t="shared" si="139"/>
        <v>66.156536049671217</v>
      </c>
      <c r="AB150" s="45">
        <f t="shared" si="143"/>
        <v>0.32568763300909542</v>
      </c>
      <c r="AC150" s="45">
        <f t="shared" si="144"/>
        <v>0.54128621512782582</v>
      </c>
      <c r="AD150" s="45">
        <f t="shared" si="145"/>
        <v>0.54209727088041892</v>
      </c>
      <c r="BD150" s="30"/>
      <c r="BE150" s="30"/>
      <c r="BF150" s="30"/>
      <c r="BG150" s="30"/>
      <c r="BH150" s="30"/>
      <c r="BI150" s="30"/>
      <c r="BV150" s="27">
        <f t="shared" si="126"/>
        <v>204.75</v>
      </c>
      <c r="BW150" s="30">
        <v>146</v>
      </c>
      <c r="BX150" s="30">
        <f t="shared" si="127"/>
        <v>204.75</v>
      </c>
      <c r="BY150" s="30">
        <f t="shared" si="128"/>
        <v>0.75</v>
      </c>
      <c r="BZ150" s="30"/>
      <c r="CF150" s="30"/>
      <c r="CG150" s="30"/>
    </row>
    <row r="151" spans="2:85" x14ac:dyDescent="0.3">
      <c r="B151" s="33">
        <v>1</v>
      </c>
      <c r="C151" s="33">
        <f t="shared" si="129"/>
        <v>4.130452643904917</v>
      </c>
      <c r="D151" s="33">
        <f t="shared" si="130"/>
        <v>2.0434842146349723</v>
      </c>
      <c r="E151" s="90"/>
      <c r="F151" s="138"/>
      <c r="G151" s="162"/>
      <c r="H151" s="186"/>
      <c r="I151" s="33">
        <f t="shared" si="131"/>
        <v>1.5469653974063413E-3</v>
      </c>
      <c r="J151" s="33">
        <f t="shared" si="132"/>
        <v>62.751363800761887</v>
      </c>
      <c r="K151" s="33">
        <f t="shared" si="133"/>
        <v>62.940842360279696</v>
      </c>
      <c r="M151" s="33">
        <f t="shared" si="134"/>
        <v>62.846103080520791</v>
      </c>
      <c r="N151" s="33">
        <f t="shared" si="135"/>
        <v>0.60526324996355529</v>
      </c>
      <c r="O151" s="33">
        <f t="shared" si="136"/>
        <v>0.18947855951780923</v>
      </c>
      <c r="P151" s="33"/>
      <c r="Q151" s="45">
        <f t="shared" si="140"/>
        <v>102.24236403822488</v>
      </c>
      <c r="R151" s="45">
        <f t="shared" si="141"/>
        <v>33.263430129729699</v>
      </c>
      <c r="S151" s="45">
        <f t="shared" si="137"/>
        <v>14.073488345110555</v>
      </c>
      <c r="W151" s="33">
        <f t="shared" si="142"/>
        <v>102.24236403822488</v>
      </c>
      <c r="X151" s="33">
        <f t="shared" si="138"/>
        <v>33.263430129729699</v>
      </c>
      <c r="Y151" s="33">
        <f t="shared" si="139"/>
        <v>14.073488345110555</v>
      </c>
      <c r="AB151" s="45">
        <f t="shared" si="143"/>
        <v>0.68232299622833281</v>
      </c>
      <c r="AC151" s="45">
        <f t="shared" si="144"/>
        <v>0.35206611866454668</v>
      </c>
      <c r="AD151" s="45">
        <f t="shared" si="145"/>
        <v>0.1802763334718889</v>
      </c>
      <c r="BD151" s="30"/>
      <c r="BE151" s="30"/>
      <c r="BF151" s="30"/>
      <c r="BG151" s="30"/>
      <c r="BH151" s="30"/>
      <c r="BI151" s="30"/>
      <c r="BV151" s="27">
        <f t="shared" si="126"/>
        <v>205.25</v>
      </c>
      <c r="BW151" s="30">
        <v>147</v>
      </c>
      <c r="BX151" s="30">
        <f t="shared" si="127"/>
        <v>205.25</v>
      </c>
      <c r="BY151" s="30">
        <f t="shared" si="128"/>
        <v>0.5</v>
      </c>
      <c r="BZ151" s="30"/>
      <c r="CF151" s="30"/>
      <c r="CG151" s="30"/>
    </row>
    <row r="152" spans="2:85" x14ac:dyDescent="0.3">
      <c r="B152" s="33">
        <v>1</v>
      </c>
      <c r="C152" s="33">
        <f t="shared" si="129"/>
        <v>3.8373810940964188</v>
      </c>
      <c r="D152" s="33">
        <f t="shared" si="130"/>
        <v>1.9457936980321395</v>
      </c>
      <c r="E152" s="91"/>
      <c r="F152" s="139"/>
      <c r="G152" s="163"/>
      <c r="H152" s="187"/>
      <c r="I152" s="33">
        <f t="shared" si="131"/>
        <v>3.6523400219213853E-3</v>
      </c>
      <c r="J152" s="33">
        <f t="shared" si="132"/>
        <v>295.35996651546111</v>
      </c>
      <c r="K152" s="33">
        <f t="shared" si="133"/>
        <v>285.37405264150152</v>
      </c>
      <c r="M152" s="33">
        <f t="shared" si="134"/>
        <v>290.36700957848132</v>
      </c>
      <c r="N152" s="33">
        <f t="shared" si="135"/>
        <v>0.36210624301394845</v>
      </c>
      <c r="O152" s="33">
        <f t="shared" si="136"/>
        <v>-9.9859138739595892</v>
      </c>
      <c r="P152" s="33"/>
      <c r="Q152" s="45">
        <f t="shared" si="140"/>
        <v>4.9638171225886438</v>
      </c>
      <c r="R152" s="45">
        <f t="shared" si="141"/>
        <v>7.15988012823885</v>
      </c>
      <c r="S152" s="45">
        <f t="shared" si="137"/>
        <v>18.439346724987502</v>
      </c>
      <c r="W152" s="33">
        <f t="shared" si="142"/>
        <v>4.9638171225886438</v>
      </c>
      <c r="X152" s="33">
        <f t="shared" si="138"/>
        <v>7.15988012823885</v>
      </c>
      <c r="Y152" s="33">
        <f t="shared" si="139"/>
        <v>18.439346724987502</v>
      </c>
      <c r="AB152" s="45">
        <f t="shared" si="143"/>
        <v>6.428020144221934E-2</v>
      </c>
      <c r="AC152" s="45">
        <f t="shared" si="144"/>
        <v>9.2390511564062638E-2</v>
      </c>
      <c r="AD152" s="45">
        <f t="shared" si="145"/>
        <v>0.22771780460769608</v>
      </c>
      <c r="BD152" s="30"/>
      <c r="BE152" s="30"/>
      <c r="BF152" s="30"/>
      <c r="BG152" s="30"/>
      <c r="BH152" s="30"/>
      <c r="BI152" s="30"/>
      <c r="BV152" s="27">
        <f t="shared" si="126"/>
        <v>205.75</v>
      </c>
      <c r="BW152" s="30">
        <v>148</v>
      </c>
      <c r="BX152" s="30">
        <f t="shared" si="127"/>
        <v>205.75</v>
      </c>
      <c r="BY152" s="30">
        <f t="shared" si="128"/>
        <v>0.5</v>
      </c>
      <c r="BZ152" s="30"/>
      <c r="CF152" s="30"/>
      <c r="CG152" s="30"/>
    </row>
    <row r="153" spans="2:85" x14ac:dyDescent="0.3">
      <c r="B153" s="33">
        <v>1</v>
      </c>
      <c r="C153" s="33">
        <f t="shared" si="129"/>
        <v>3.7881961998980573</v>
      </c>
      <c r="D153" s="33">
        <f t="shared" si="130"/>
        <v>1.9293987332993523</v>
      </c>
      <c r="E153" s="92"/>
      <c r="F153" s="140"/>
      <c r="G153" s="164"/>
      <c r="H153" s="188"/>
      <c r="I153" s="33">
        <f t="shared" si="131"/>
        <v>2.7143154397848979E-3</v>
      </c>
      <c r="J153" s="33">
        <f t="shared" si="132"/>
        <v>26.042576871675582</v>
      </c>
      <c r="K153" s="33">
        <f t="shared" si="133"/>
        <v>32.833353798814656</v>
      </c>
      <c r="M153" s="33">
        <f t="shared" si="134"/>
        <v>29.437965335245117</v>
      </c>
      <c r="N153" s="33">
        <f t="shared" si="135"/>
        <v>0.81456818160677358</v>
      </c>
      <c r="O153" s="33">
        <f t="shared" si="136"/>
        <v>6.7907769271390741</v>
      </c>
      <c r="P153" s="33"/>
      <c r="Q153" s="45">
        <f t="shared" si="140"/>
        <v>73.985903057355245</v>
      </c>
      <c r="R153" s="45">
        <f t="shared" si="141"/>
        <v>16.091865376325686</v>
      </c>
      <c r="S153" s="45">
        <f t="shared" si="137"/>
        <v>13.058262142309182</v>
      </c>
      <c r="W153" s="33">
        <f t="shared" si="142"/>
        <v>73.985903057355245</v>
      </c>
      <c r="X153" s="33">
        <f t="shared" si="138"/>
        <v>16.091865376325686</v>
      </c>
      <c r="Y153" s="33">
        <f t="shared" si="139"/>
        <v>13.058262142309182</v>
      </c>
      <c r="AB153" s="45">
        <f t="shared" si="143"/>
        <v>0.57641530610727543</v>
      </c>
      <c r="AC153" s="45">
        <f t="shared" si="144"/>
        <v>0.20384181741495774</v>
      </c>
      <c r="AD153" s="45">
        <f t="shared" si="145"/>
        <v>0.1683324957918727</v>
      </c>
      <c r="BD153" s="30"/>
      <c r="BE153" s="30"/>
      <c r="BF153" s="30"/>
      <c r="BG153" s="30"/>
      <c r="BH153" s="30"/>
      <c r="BI153" s="30"/>
      <c r="BV153" s="27">
        <f t="shared" si="126"/>
        <v>206.25</v>
      </c>
      <c r="BW153" s="30">
        <v>149</v>
      </c>
      <c r="BX153" s="30">
        <f t="shared" si="127"/>
        <v>206.25</v>
      </c>
      <c r="BY153" s="30">
        <f t="shared" si="128"/>
        <v>0.5</v>
      </c>
      <c r="BZ153" s="30"/>
      <c r="CF153" s="30"/>
      <c r="CG153" s="30"/>
    </row>
    <row r="154" spans="2:85" x14ac:dyDescent="0.3">
      <c r="B154" s="33">
        <v>1</v>
      </c>
      <c r="C154" s="33">
        <f t="shared" si="129"/>
        <v>2.4660784377198217</v>
      </c>
      <c r="D154" s="33">
        <f t="shared" si="130"/>
        <v>1.4886928125732739</v>
      </c>
      <c r="E154" s="93"/>
      <c r="F154" s="141"/>
      <c r="G154" s="165"/>
      <c r="H154" s="189"/>
      <c r="I154" s="33">
        <f t="shared" si="131"/>
        <v>0.14496405511730404</v>
      </c>
      <c r="J154" s="33">
        <f t="shared" si="132"/>
        <v>334.04955756274506</v>
      </c>
      <c r="K154" s="33">
        <f t="shared" si="133"/>
        <v>345.82837192794614</v>
      </c>
      <c r="M154" s="33">
        <f t="shared" si="134"/>
        <v>339.93896474534563</v>
      </c>
      <c r="N154" s="33">
        <f t="shared" si="135"/>
        <v>1.42188797042479</v>
      </c>
      <c r="O154" s="33">
        <f t="shared" si="136"/>
        <v>11.778814365201072</v>
      </c>
      <c r="P154" s="33"/>
      <c r="Q154" s="45">
        <f t="shared" si="140"/>
        <v>7.2427945099924376</v>
      </c>
      <c r="R154" s="45">
        <f t="shared" si="141"/>
        <v>2.7575428652851848</v>
      </c>
      <c r="S154" s="45">
        <f t="shared" si="137"/>
        <v>5.0529485454061849</v>
      </c>
      <c r="W154" s="33">
        <f t="shared" si="142"/>
        <v>7.2427945099924376</v>
      </c>
      <c r="X154" s="33">
        <f t="shared" si="138"/>
        <v>2.7575428652851848</v>
      </c>
      <c r="Y154" s="33">
        <f t="shared" si="139"/>
        <v>5.0529485454061849</v>
      </c>
      <c r="AB154" s="45">
        <f t="shared" si="143"/>
        <v>9.3528552097935425E-2</v>
      </c>
      <c r="AC154" s="45">
        <f t="shared" si="144"/>
        <v>3.8324033709237468E-2</v>
      </c>
      <c r="AD154" s="45">
        <f t="shared" si="145"/>
        <v>6.5328806416543345E-2</v>
      </c>
      <c r="BD154" s="30"/>
      <c r="BE154" s="30"/>
      <c r="BF154" s="30"/>
      <c r="BG154" s="30"/>
      <c r="BH154" s="30"/>
      <c r="BI154" s="30"/>
      <c r="BV154" s="27">
        <f t="shared" si="126"/>
        <v>206.75</v>
      </c>
      <c r="BW154" s="30">
        <v>150</v>
      </c>
      <c r="BX154" s="30">
        <f t="shared" si="127"/>
        <v>206.75</v>
      </c>
      <c r="BY154" s="30">
        <f t="shared" si="128"/>
        <v>0.5</v>
      </c>
      <c r="BZ154" s="30"/>
      <c r="CF154" s="30"/>
      <c r="CG154" s="30"/>
    </row>
    <row r="155" spans="2:85" x14ac:dyDescent="0.3">
      <c r="B155" s="33">
        <v>1</v>
      </c>
      <c r="C155" s="33">
        <f t="shared" si="129"/>
        <v>3.9924711888899833</v>
      </c>
      <c r="D155" s="33">
        <f t="shared" si="130"/>
        <v>1.997490396296661</v>
      </c>
      <c r="E155" s="94"/>
      <c r="F155" s="142"/>
      <c r="G155" s="166"/>
      <c r="H155" s="190"/>
      <c r="I155" s="33">
        <f t="shared" si="131"/>
        <v>4.2860831746200367E-3</v>
      </c>
      <c r="J155" s="33">
        <f t="shared" si="132"/>
        <v>114.24473062626242</v>
      </c>
      <c r="K155" s="33">
        <f t="shared" si="133"/>
        <v>122.06737986170701</v>
      </c>
      <c r="M155" s="33">
        <f t="shared" si="134"/>
        <v>118.15605524398472</v>
      </c>
      <c r="N155" s="33">
        <f t="shared" si="135"/>
        <v>1.0518391289606852</v>
      </c>
      <c r="O155" s="33">
        <f t="shared" si="136"/>
        <v>7.8226492354445867</v>
      </c>
      <c r="P155" s="33"/>
      <c r="Q155" s="45">
        <f t="shared" si="140"/>
        <v>42.231814655617271</v>
      </c>
      <c r="R155" s="45">
        <f t="shared" si="141"/>
        <v>55.746796984664599</v>
      </c>
      <c r="S155" s="45">
        <f t="shared" si="137"/>
        <v>24.12454036717353</v>
      </c>
      <c r="W155" s="33">
        <f t="shared" si="142"/>
        <v>42.231814655617271</v>
      </c>
      <c r="X155" s="33">
        <f t="shared" si="138"/>
        <v>55.746796984664599</v>
      </c>
      <c r="Y155" s="33">
        <f t="shared" si="139"/>
        <v>24.12454036717353</v>
      </c>
      <c r="AB155" s="45">
        <f t="shared" si="143"/>
        <v>0.41312832150363105</v>
      </c>
      <c r="AC155" s="45">
        <f t="shared" si="144"/>
        <v>0.49066743324312517</v>
      </c>
      <c r="AD155" s="45">
        <f t="shared" si="145"/>
        <v>0.28259353301150519</v>
      </c>
      <c r="BD155" s="30"/>
      <c r="BE155" s="30"/>
      <c r="BF155" s="30"/>
      <c r="BG155" s="30"/>
      <c r="BH155" s="30"/>
      <c r="BI155" s="30"/>
      <c r="BV155" s="27">
        <f t="shared" si="126"/>
        <v>207.25</v>
      </c>
      <c r="BW155" s="30">
        <v>151</v>
      </c>
      <c r="BX155" s="30">
        <f t="shared" si="127"/>
        <v>207.25</v>
      </c>
      <c r="BY155" s="30">
        <f t="shared" si="128"/>
        <v>0.5</v>
      </c>
      <c r="BZ155" s="30"/>
      <c r="CF155" s="30"/>
      <c r="CG155" s="30"/>
    </row>
    <row r="156" spans="2:85" x14ac:dyDescent="0.3">
      <c r="B156" s="33">
        <v>1</v>
      </c>
      <c r="C156" s="33">
        <f t="shared" si="129"/>
        <v>4.2388736513571166</v>
      </c>
      <c r="D156" s="33">
        <f t="shared" si="130"/>
        <v>2.0796245504523725</v>
      </c>
      <c r="E156" s="95"/>
      <c r="F156" s="143"/>
      <c r="G156" s="167"/>
      <c r="H156" s="191"/>
      <c r="I156" s="33">
        <f t="shared" si="131"/>
        <v>1.7983506159577889E-3</v>
      </c>
      <c r="J156" s="33">
        <f t="shared" si="132"/>
        <v>78.864756561230593</v>
      </c>
      <c r="K156" s="33">
        <f t="shared" si="133"/>
        <v>75.378254060975195</v>
      </c>
      <c r="M156" s="33">
        <f t="shared" si="134"/>
        <v>77.121505311102894</v>
      </c>
      <c r="N156" s="33">
        <f t="shared" si="135"/>
        <v>0.57857881761585861</v>
      </c>
      <c r="O156" s="33">
        <f t="shared" si="136"/>
        <v>-3.4865025002553978</v>
      </c>
      <c r="P156" s="33"/>
      <c r="Q156" s="45">
        <f t="shared" si="140"/>
        <v>104.22066961753612</v>
      </c>
      <c r="R156" s="45">
        <f t="shared" si="141"/>
        <v>48.100307170820983</v>
      </c>
      <c r="S156" s="45">
        <f t="shared" si="137"/>
        <v>19.231663940519585</v>
      </c>
      <c r="W156" s="33">
        <f t="shared" si="142"/>
        <v>104.22066961753612</v>
      </c>
      <c r="X156" s="33">
        <f t="shared" si="138"/>
        <v>48.100307170820983</v>
      </c>
      <c r="Y156" s="33">
        <f t="shared" si="139"/>
        <v>19.231663940519585</v>
      </c>
      <c r="AB156" s="45">
        <f t="shared" si="143"/>
        <v>0.68790393024765517</v>
      </c>
      <c r="AC156" s="45">
        <f t="shared" si="144"/>
        <v>0.44960965002443715</v>
      </c>
      <c r="AD156" s="45">
        <f t="shared" si="145"/>
        <v>0.23658494059332924</v>
      </c>
      <c r="BD156" s="30"/>
      <c r="BE156" s="30"/>
      <c r="BF156" s="30"/>
      <c r="BG156" s="30"/>
      <c r="BH156" s="30"/>
      <c r="BI156" s="30"/>
      <c r="BV156" s="27">
        <f t="shared" si="126"/>
        <v>207.75</v>
      </c>
      <c r="BW156" s="30">
        <v>152</v>
      </c>
      <c r="BX156" s="30">
        <f t="shared" si="127"/>
        <v>207.75</v>
      </c>
      <c r="BY156" s="30">
        <f t="shared" si="128"/>
        <v>0.5</v>
      </c>
      <c r="BZ156" s="30"/>
      <c r="CF156" s="30"/>
      <c r="CG156" s="30"/>
    </row>
    <row r="157" spans="2:85" x14ac:dyDescent="0.3">
      <c r="B157" s="33">
        <v>1</v>
      </c>
      <c r="C157" s="33">
        <f t="shared" si="129"/>
        <v>4.4364682670101985</v>
      </c>
      <c r="D157" s="33">
        <f t="shared" si="130"/>
        <v>2.1454894223367331</v>
      </c>
      <c r="E157" s="96"/>
      <c r="F157" s="144"/>
      <c r="G157" s="168"/>
      <c r="H157" s="192"/>
      <c r="I157" s="33">
        <f t="shared" si="131"/>
        <v>9.1188548035425754E-4</v>
      </c>
      <c r="J157" s="33">
        <f t="shared" si="132"/>
        <v>303.91505090814712</v>
      </c>
      <c r="K157" s="33">
        <f t="shared" si="133"/>
        <v>291.02944280322163</v>
      </c>
      <c r="M157" s="33">
        <f t="shared" si="134"/>
        <v>297.47224685568438</v>
      </c>
      <c r="N157" s="33">
        <f t="shared" si="135"/>
        <v>0.41308817122004937</v>
      </c>
      <c r="O157" s="33">
        <f t="shared" si="136"/>
        <v>-12.885608104925495</v>
      </c>
      <c r="P157" s="33"/>
      <c r="Q157" s="45">
        <f t="shared" si="140"/>
        <v>0.33157321892247243</v>
      </c>
      <c r="R157" s="45">
        <f t="shared" si="141"/>
        <v>1.0621835445500345</v>
      </c>
      <c r="S157" s="45">
        <f t="shared" si="137"/>
        <v>7.4104026682205575</v>
      </c>
      <c r="W157" s="33">
        <f t="shared" si="142"/>
        <v>0.33157321892247243</v>
      </c>
      <c r="X157" s="33">
        <f t="shared" si="138"/>
        <v>1.0621835445500345</v>
      </c>
      <c r="Y157" s="33">
        <f t="shared" si="139"/>
        <v>7.4104026682205575</v>
      </c>
      <c r="AB157" s="45">
        <f t="shared" si="143"/>
        <v>5.8512920986318658E-3</v>
      </c>
      <c r="AC157" s="45">
        <f t="shared" si="144"/>
        <v>1.8378629935882757E-2</v>
      </c>
      <c r="AD157" s="45">
        <f t="shared" si="145"/>
        <v>9.5829056230478243E-2</v>
      </c>
      <c r="BD157" s="30"/>
      <c r="BE157" s="30"/>
      <c r="BF157" s="30"/>
      <c r="BG157" s="30"/>
      <c r="BH157" s="30"/>
      <c r="BI157" s="30"/>
      <c r="BV157" s="27">
        <f t="shared" si="126"/>
        <v>208.25</v>
      </c>
      <c r="BW157" s="30">
        <v>153</v>
      </c>
      <c r="BX157" s="30">
        <f t="shared" si="127"/>
        <v>208.25</v>
      </c>
      <c r="BY157" s="30">
        <f t="shared" si="128"/>
        <v>0.5</v>
      </c>
      <c r="BZ157" s="30"/>
      <c r="CF157" s="30"/>
      <c r="CG157" s="30"/>
    </row>
    <row r="158" spans="2:85" x14ac:dyDescent="0.3">
      <c r="B158" s="33">
        <v>1</v>
      </c>
      <c r="C158" s="33">
        <f t="shared" si="129"/>
        <v>3.2498229745587222</v>
      </c>
      <c r="D158" s="33">
        <f t="shared" si="130"/>
        <v>1.7499409915195741</v>
      </c>
      <c r="E158" s="97"/>
      <c r="F158" s="145"/>
      <c r="G158" s="169"/>
      <c r="H158" s="193"/>
      <c r="I158" s="33">
        <f t="shared" si="131"/>
        <v>1.5653738103995951E-2</v>
      </c>
      <c r="J158" s="33">
        <f t="shared" si="132"/>
        <v>141.96253013974342</v>
      </c>
      <c r="K158" s="33">
        <f t="shared" si="133"/>
        <v>155.382392656739</v>
      </c>
      <c r="M158" s="33">
        <f t="shared" si="134"/>
        <v>148.67246139824121</v>
      </c>
      <c r="N158" s="33">
        <f t="shared" si="135"/>
        <v>1.3784445539198353</v>
      </c>
      <c r="O158" s="33">
        <f t="shared" si="136"/>
        <v>13.419862516995579</v>
      </c>
      <c r="P158" s="33"/>
      <c r="Q158" s="45">
        <f t="shared" si="140"/>
        <v>6.559093701804608</v>
      </c>
      <c r="R158" s="45">
        <f t="shared" si="141"/>
        <v>16.672262580358904</v>
      </c>
      <c r="S158" s="45">
        <f t="shared" si="137"/>
        <v>9.6286306383987998</v>
      </c>
      <c r="W158" s="33">
        <f t="shared" si="142"/>
        <v>6.559093701804608</v>
      </c>
      <c r="X158" s="33">
        <f t="shared" si="138"/>
        <v>16.672262580358904</v>
      </c>
      <c r="Y158" s="33">
        <f t="shared" si="139"/>
        <v>9.6286306383987998</v>
      </c>
      <c r="AB158" s="45">
        <f t="shared" si="143"/>
        <v>8.4144423358102474E-2</v>
      </c>
      <c r="AC158" s="45">
        <f t="shared" si="144"/>
        <v>0.20953198608195003</v>
      </c>
      <c r="AD158" s="45">
        <f t="shared" si="145"/>
        <v>0.12493084272155101</v>
      </c>
      <c r="BD158" s="30"/>
      <c r="BE158" s="30"/>
      <c r="BF158" s="30"/>
      <c r="BG158" s="30"/>
      <c r="BH158" s="30"/>
      <c r="BI158" s="30"/>
      <c r="BV158" s="27">
        <f t="shared" si="126"/>
        <v>209</v>
      </c>
      <c r="BW158" s="30">
        <v>154</v>
      </c>
      <c r="BX158" s="30">
        <f t="shared" si="127"/>
        <v>209</v>
      </c>
      <c r="BY158" s="30">
        <f t="shared" si="128"/>
        <v>0.75</v>
      </c>
      <c r="BZ158" s="30"/>
      <c r="CF158" s="30"/>
      <c r="CG158" s="30"/>
    </row>
    <row r="159" spans="2:85" x14ac:dyDescent="0.3">
      <c r="B159" s="33">
        <v>1</v>
      </c>
      <c r="C159" s="33">
        <f t="shared" si="129"/>
        <v>4.0829014111815614</v>
      </c>
      <c r="D159" s="33">
        <f t="shared" si="130"/>
        <v>2.0276338037271868</v>
      </c>
      <c r="E159" s="98"/>
      <c r="F159" s="146"/>
      <c r="G159" s="170"/>
      <c r="H159" s="194"/>
      <c r="I159" s="33">
        <f t="shared" si="131"/>
        <v>1.0052555576109956E-3</v>
      </c>
      <c r="J159" s="33">
        <f t="shared" si="132"/>
        <v>28.640744235656598</v>
      </c>
      <c r="K159" s="33">
        <f t="shared" si="133"/>
        <v>31.177523707416526</v>
      </c>
      <c r="M159" s="33">
        <f t="shared" si="134"/>
        <v>29.909133971536562</v>
      </c>
      <c r="N159" s="33">
        <f t="shared" si="135"/>
        <v>0.80873460539171893</v>
      </c>
      <c r="O159" s="33">
        <f t="shared" si="136"/>
        <v>2.5367794717599281</v>
      </c>
      <c r="P159" s="33"/>
      <c r="Q159" s="45">
        <f t="shared" si="140"/>
        <v>46.982521003161352</v>
      </c>
      <c r="R159" s="45">
        <f t="shared" si="141"/>
        <v>7.5803913645155081</v>
      </c>
      <c r="S159" s="45">
        <f t="shared" si="137"/>
        <v>6.3105237320407337</v>
      </c>
      <c r="W159" s="33">
        <f t="shared" si="142"/>
        <v>46.982521003161352</v>
      </c>
      <c r="X159" s="33">
        <f t="shared" si="138"/>
        <v>7.5803913645155081</v>
      </c>
      <c r="Y159" s="33">
        <f t="shared" si="139"/>
        <v>6.3105237320407337</v>
      </c>
      <c r="AB159" s="45">
        <f t="shared" si="143"/>
        <v>0.44107365295977263</v>
      </c>
      <c r="AC159" s="45">
        <f t="shared" si="144"/>
        <v>9.8162234414918739E-2</v>
      </c>
      <c r="AD159" s="45">
        <f t="shared" si="145"/>
        <v>8.0732678675068892E-2</v>
      </c>
      <c r="BD159" s="30"/>
      <c r="BE159" s="30"/>
      <c r="BF159" s="30"/>
      <c r="BG159" s="30"/>
      <c r="BH159" s="30"/>
      <c r="BI159" s="30"/>
      <c r="BV159" s="27">
        <f t="shared" si="126"/>
        <v>209.75</v>
      </c>
      <c r="BW159" s="30">
        <v>155</v>
      </c>
      <c r="BX159" s="30">
        <f t="shared" si="127"/>
        <v>209.75</v>
      </c>
      <c r="BY159" s="30">
        <f t="shared" si="128"/>
        <v>0.75</v>
      </c>
      <c r="BZ159" s="30"/>
      <c r="CF159" s="30"/>
      <c r="CG159" s="30"/>
    </row>
    <row r="160" spans="2:85" x14ac:dyDescent="0.3">
      <c r="B160" s="33">
        <v>1</v>
      </c>
      <c r="C160" s="33">
        <f t="shared" si="129"/>
        <v>4.5036627183904896</v>
      </c>
      <c r="D160" s="33">
        <f t="shared" si="130"/>
        <v>2.1678875727968299</v>
      </c>
      <c r="E160" s="99"/>
      <c r="F160" s="147"/>
      <c r="G160" s="171"/>
      <c r="H160" s="195"/>
      <c r="I160" s="33">
        <f t="shared" si="131"/>
        <v>1.402311666598377E-3</v>
      </c>
      <c r="J160" s="33">
        <f t="shared" si="132"/>
        <v>93.123785350009726</v>
      </c>
      <c r="K160" s="33">
        <f t="shared" si="133"/>
        <v>90.698260328839766</v>
      </c>
      <c r="M160" s="33">
        <f t="shared" si="134"/>
        <v>91.911022839424746</v>
      </c>
      <c r="N160" s="33">
        <f t="shared" si="135"/>
        <v>0.63186799066533827</v>
      </c>
      <c r="O160" s="33">
        <f t="shared" si="136"/>
        <v>-2.4255250211699604</v>
      </c>
      <c r="P160" s="33"/>
      <c r="Q160" s="45">
        <f t="shared" si="140"/>
        <v>120.91813407381309</v>
      </c>
      <c r="R160" s="45">
        <f t="shared" si="141"/>
        <v>79.005478258500574</v>
      </c>
      <c r="S160" s="45">
        <f t="shared" si="137"/>
        <v>29.234831497887797</v>
      </c>
      <c r="W160" s="33">
        <f t="shared" si="142"/>
        <v>120.91813407381309</v>
      </c>
      <c r="X160" s="33">
        <f t="shared" si="138"/>
        <v>79.005478258500574</v>
      </c>
      <c r="Y160" s="33">
        <f t="shared" si="139"/>
        <v>29.234831497887797</v>
      </c>
      <c r="AB160" s="45">
        <f t="shared" si="143"/>
        <v>0.73701411982494047</v>
      </c>
      <c r="AC160" s="45">
        <f t="shared" si="144"/>
        <v>0.59806069905294346</v>
      </c>
      <c r="AD160" s="45">
        <f t="shared" si="145"/>
        <v>0.32439083527755136</v>
      </c>
      <c r="BD160" s="30"/>
      <c r="BE160" s="30"/>
      <c r="BF160" s="30"/>
      <c r="BG160" s="30"/>
      <c r="BH160" s="30"/>
      <c r="BI160" s="30"/>
      <c r="BV160" s="27">
        <f t="shared" si="126"/>
        <v>210.25</v>
      </c>
      <c r="BW160" s="30">
        <v>156</v>
      </c>
      <c r="BX160" s="30">
        <f t="shared" si="127"/>
        <v>210.25</v>
      </c>
      <c r="BY160" s="30">
        <f t="shared" si="128"/>
        <v>0.5</v>
      </c>
      <c r="BZ160" s="30"/>
      <c r="CF160" s="30"/>
      <c r="CG160" s="30"/>
    </row>
    <row r="161" spans="2:85" x14ac:dyDescent="0.3">
      <c r="B161" s="33">
        <v>1</v>
      </c>
      <c r="C161" s="33">
        <f t="shared" si="129"/>
        <v>3.5266019045858923</v>
      </c>
      <c r="D161" s="33">
        <f t="shared" si="130"/>
        <v>1.8422006348619642</v>
      </c>
      <c r="E161" s="100"/>
      <c r="F161" s="148"/>
      <c r="G161" s="172"/>
      <c r="H161" s="196"/>
      <c r="I161" s="33">
        <f t="shared" si="131"/>
        <v>5.3132136771119609E-3</v>
      </c>
      <c r="J161" s="33">
        <f t="shared" si="132"/>
        <v>355.48425750469318</v>
      </c>
      <c r="K161" s="33">
        <f t="shared" si="133"/>
        <v>6.0112762804190227</v>
      </c>
      <c r="M161" s="33">
        <f t="shared" si="134"/>
        <v>360.74776689255611</v>
      </c>
      <c r="N161" s="33">
        <f t="shared" si="135"/>
        <v>1.308317977872435</v>
      </c>
      <c r="O161" s="33">
        <f t="shared" si="136"/>
        <v>10.527018775725821</v>
      </c>
      <c r="P161" s="33"/>
      <c r="Q161" s="45">
        <f t="shared" si="140"/>
        <v>52.382733644734969</v>
      </c>
      <c r="R161" s="45">
        <f t="shared" si="141"/>
        <v>12.491044156807085</v>
      </c>
      <c r="S161" s="45">
        <f t="shared" si="137"/>
        <v>17.27314951504826</v>
      </c>
      <c r="W161" s="33">
        <f t="shared" si="142"/>
        <v>52.382733644734969</v>
      </c>
      <c r="X161" s="33">
        <f t="shared" si="138"/>
        <v>12.491044156807085</v>
      </c>
      <c r="Y161" s="33">
        <f t="shared" si="139"/>
        <v>17.27314951504826</v>
      </c>
      <c r="AB161" s="45">
        <f t="shared" si="143"/>
        <v>0.47283960967491157</v>
      </c>
      <c r="AC161" s="45">
        <f t="shared" si="144"/>
        <v>0.16165934302125987</v>
      </c>
      <c r="AD161" s="45">
        <f t="shared" si="145"/>
        <v>0.21542303446125746</v>
      </c>
      <c r="BD161" s="30"/>
      <c r="BE161" s="30"/>
      <c r="BF161" s="30"/>
      <c r="BG161" s="30"/>
      <c r="BH161" s="30"/>
      <c r="BI161" s="30"/>
      <c r="BV161" s="27">
        <f t="shared" si="126"/>
        <v>211</v>
      </c>
      <c r="BW161" s="30">
        <v>157</v>
      </c>
      <c r="BX161" s="30">
        <f t="shared" si="127"/>
        <v>211</v>
      </c>
      <c r="BY161" s="30">
        <f t="shared" si="128"/>
        <v>0.75</v>
      </c>
      <c r="BZ161" s="30"/>
      <c r="CF161" s="30"/>
      <c r="CG161" s="30"/>
    </row>
    <row r="162" spans="2:85" x14ac:dyDescent="0.3">
      <c r="B162" s="33">
        <v>1</v>
      </c>
      <c r="C162" s="33">
        <f t="shared" si="129"/>
        <v>2.8693031560987698</v>
      </c>
      <c r="D162" s="33">
        <f t="shared" si="130"/>
        <v>1.6231010520329234</v>
      </c>
      <c r="E162" s="101"/>
      <c r="F162" s="149"/>
      <c r="G162" s="173"/>
      <c r="H162" s="197"/>
      <c r="I162" s="33">
        <f t="shared" si="131"/>
        <v>3.5672211513303242E-2</v>
      </c>
      <c r="J162" s="33">
        <f t="shared" si="132"/>
        <v>267.58210425308704</v>
      </c>
      <c r="K162" s="33">
        <f t="shared" si="133"/>
        <v>251.28359361805425</v>
      </c>
      <c r="M162" s="33">
        <f t="shared" si="134"/>
        <v>259.43284893557063</v>
      </c>
      <c r="N162" s="33">
        <f t="shared" si="135"/>
        <v>1.078147629053172</v>
      </c>
      <c r="O162" s="33">
        <f t="shared" si="136"/>
        <v>-16.298510635032784</v>
      </c>
      <c r="P162" s="33"/>
      <c r="Q162" s="45">
        <f t="shared" si="140"/>
        <v>2.5992200409957462</v>
      </c>
      <c r="R162" s="45">
        <f t="shared" si="141"/>
        <v>10.721621654273854</v>
      </c>
      <c r="S162" s="45">
        <f t="shared" si="137"/>
        <v>20.076162517218453</v>
      </c>
      <c r="W162" s="33">
        <f t="shared" si="142"/>
        <v>2.5992200409957462</v>
      </c>
      <c r="X162" s="33">
        <f t="shared" si="138"/>
        <v>10.721621654273854</v>
      </c>
      <c r="Y162" s="33">
        <f t="shared" si="139"/>
        <v>20.076162517218453</v>
      </c>
      <c r="AB162" s="45">
        <f t="shared" si="143"/>
        <v>3.646141224700878E-2</v>
      </c>
      <c r="AC162" s="45">
        <f t="shared" si="144"/>
        <v>0.14029676780375877</v>
      </c>
      <c r="AD162" s="45">
        <f t="shared" si="145"/>
        <v>0.24486433840410243</v>
      </c>
      <c r="BD162" s="30"/>
      <c r="BE162" s="30"/>
      <c r="BF162" s="30"/>
      <c r="BG162" s="30"/>
      <c r="BH162" s="30"/>
      <c r="BI162" s="30"/>
      <c r="BV162" s="27">
        <f t="shared" si="126"/>
        <v>211.5</v>
      </c>
      <c r="BW162" s="30">
        <v>158</v>
      </c>
      <c r="BX162" s="30">
        <f t="shared" si="127"/>
        <v>211.5</v>
      </c>
      <c r="BY162" s="30">
        <f t="shared" si="128"/>
        <v>0.5</v>
      </c>
      <c r="BZ162" s="30"/>
      <c r="CF162" s="30"/>
      <c r="CG162" s="30"/>
    </row>
    <row r="163" spans="2:85" x14ac:dyDescent="0.3">
      <c r="B163" s="33">
        <v>1</v>
      </c>
      <c r="C163" s="33">
        <f t="shared" si="129"/>
        <v>1.1606146989263868</v>
      </c>
      <c r="D163" s="33">
        <f t="shared" si="130"/>
        <v>1.0535382329754623</v>
      </c>
      <c r="E163" s="102"/>
      <c r="F163" s="150"/>
      <c r="G163" s="174"/>
      <c r="H163" s="198"/>
      <c r="I163" s="33">
        <f t="shared" si="131"/>
        <v>0.49975369428309496</v>
      </c>
      <c r="J163" s="33">
        <f t="shared" si="132"/>
        <v>74.327652038770751</v>
      </c>
      <c r="K163" s="33">
        <f t="shared" si="133"/>
        <v>57.113939758377413</v>
      </c>
      <c r="M163" s="33">
        <f t="shared" si="134"/>
        <v>65.720795898574082</v>
      </c>
      <c r="N163" s="33">
        <f t="shared" si="135"/>
        <v>0.59700792431148209</v>
      </c>
      <c r="O163" s="33">
        <f t="shared" si="136"/>
        <v>-17.213712280393338</v>
      </c>
      <c r="P163" s="33"/>
      <c r="Q163" s="45">
        <f t="shared" si="140"/>
        <v>153.21632501344601</v>
      </c>
      <c r="R163" s="45">
        <f t="shared" si="141"/>
        <v>139.55248006922778</v>
      </c>
      <c r="S163" s="45">
        <f t="shared" si="137"/>
        <v>130.71389900760784</v>
      </c>
      <c r="W163" s="33">
        <f t="shared" si="142"/>
        <v>153.21632501344601</v>
      </c>
      <c r="X163" s="33">
        <f t="shared" si="138"/>
        <v>139.55248006922778</v>
      </c>
      <c r="Y163" s="33">
        <f t="shared" si="139"/>
        <v>130.71389900760784</v>
      </c>
      <c r="AB163" s="45">
        <f t="shared" si="143"/>
        <v>0.81730291670621369</v>
      </c>
      <c r="AC163" s="45">
        <f>BM34/255</f>
        <v>0.78593866687027769</v>
      </c>
      <c r="AD163" s="45">
        <f t="shared" si="145"/>
        <v>0.76288401668904271</v>
      </c>
      <c r="BD163" s="30"/>
      <c r="BE163" s="30"/>
      <c r="BF163" s="30"/>
      <c r="BG163" s="30"/>
      <c r="BH163" s="30"/>
      <c r="BI163" s="30"/>
      <c r="BV163" s="27">
        <f t="shared" si="126"/>
        <v>212</v>
      </c>
      <c r="BW163" s="30">
        <v>159</v>
      </c>
      <c r="BX163" s="30">
        <f t="shared" si="127"/>
        <v>212</v>
      </c>
      <c r="BY163" s="30">
        <f t="shared" si="128"/>
        <v>0.5</v>
      </c>
      <c r="BZ163" s="30"/>
      <c r="CF163" s="30"/>
      <c r="CG163" s="30"/>
    </row>
    <row r="164" spans="2:85" x14ac:dyDescent="0.3">
      <c r="B164" s="33">
        <v>1</v>
      </c>
      <c r="C164" s="33">
        <f t="shared" si="129"/>
        <v>1.1448532988528819</v>
      </c>
      <c r="D164" s="33">
        <f t="shared" si="130"/>
        <v>1.0482844329509606</v>
      </c>
      <c r="E164" s="103"/>
      <c r="F164" s="151"/>
      <c r="G164" s="175"/>
      <c r="H164" s="199"/>
      <c r="I164" s="33">
        <f t="shared" si="131"/>
        <v>0.49984010339157514</v>
      </c>
      <c r="J164" s="33">
        <f t="shared" si="132"/>
        <v>87.600100452262112</v>
      </c>
      <c r="K164" s="33">
        <f t="shared" si="133"/>
        <v>47.018334223528448</v>
      </c>
      <c r="M164" s="33">
        <f t="shared" si="134"/>
        <v>67.309217337895277</v>
      </c>
      <c r="N164" s="33">
        <f t="shared" si="135"/>
        <v>0.59287649005022947</v>
      </c>
      <c r="O164" s="33">
        <f t="shared" si="136"/>
        <v>-40.581766228733663</v>
      </c>
      <c r="P164" s="33"/>
      <c r="Q164" s="45">
        <f t="shared" si="140"/>
        <v>67.788329610283427</v>
      </c>
      <c r="R164" s="45">
        <f t="shared" si="141"/>
        <v>63.165021659737874</v>
      </c>
      <c r="S164" s="45">
        <f t="shared" si="137"/>
        <v>60.38124610532418</v>
      </c>
      <c r="W164" s="33">
        <f t="shared" si="142"/>
        <v>67.788329610283427</v>
      </c>
      <c r="X164" s="33">
        <f t="shared" si="138"/>
        <v>63.165021659737874</v>
      </c>
      <c r="Y164" s="33">
        <f t="shared" si="139"/>
        <v>60.38124610532418</v>
      </c>
      <c r="AB164" s="45">
        <f t="shared" si="143"/>
        <v>0.551696056531079</v>
      </c>
      <c r="AC164" s="45">
        <f t="shared" si="144"/>
        <v>0.52809812415583479</v>
      </c>
      <c r="AD164" s="45">
        <f t="shared" si="145"/>
        <v>0.51522057296205559</v>
      </c>
      <c r="BD164" s="30"/>
      <c r="BE164" s="30"/>
      <c r="BF164" s="30"/>
      <c r="BG164" s="30"/>
      <c r="BH164" s="30"/>
      <c r="BI164" s="30"/>
      <c r="BV164" s="27">
        <f t="shared" si="126"/>
        <v>212.75</v>
      </c>
      <c r="BW164" s="30">
        <v>160</v>
      </c>
      <c r="BX164" s="30">
        <f t="shared" si="127"/>
        <v>212.75</v>
      </c>
      <c r="BY164" s="30">
        <f t="shared" si="128"/>
        <v>0.75</v>
      </c>
      <c r="BZ164" s="30"/>
      <c r="CF164" s="30"/>
      <c r="CG164" s="30"/>
    </row>
    <row r="165" spans="2:85" x14ac:dyDescent="0.3">
      <c r="B165" s="33">
        <v>1</v>
      </c>
      <c r="C165" s="33">
        <f t="shared" si="129"/>
        <v>1.1344852831613774</v>
      </c>
      <c r="D165" s="33">
        <f t="shared" si="130"/>
        <v>1.0448284277204591</v>
      </c>
      <c r="E165" s="104"/>
      <c r="F165" s="152"/>
      <c r="G165" s="176"/>
      <c r="H165" s="200"/>
      <c r="I165" s="33">
        <f t="shared" si="131"/>
        <v>0.49990688507604281</v>
      </c>
      <c r="J165" s="33">
        <f t="shared" si="132"/>
        <v>85.31840260510829</v>
      </c>
      <c r="K165" s="33">
        <f t="shared" si="133"/>
        <v>93.648109727207071</v>
      </c>
      <c r="M165" s="33">
        <f t="shared" si="134"/>
        <v>89.483256166157673</v>
      </c>
      <c r="N165" s="33">
        <f t="shared" si="135"/>
        <v>0.61423022800792593</v>
      </c>
      <c r="O165" s="33">
        <f t="shared" si="136"/>
        <v>8.3297071220987817</v>
      </c>
      <c r="P165" s="33"/>
      <c r="Q165" s="45">
        <f t="shared" si="140"/>
        <v>26.369445228673953</v>
      </c>
      <c r="R165" s="45">
        <f t="shared" si="141"/>
        <v>25.806240445661892</v>
      </c>
      <c r="S165" s="45">
        <f t="shared" si="137"/>
        <v>24.649754977958814</v>
      </c>
      <c r="W165" s="33">
        <f t="shared" si="142"/>
        <v>26.369445228673953</v>
      </c>
      <c r="X165" s="33">
        <f t="shared" si="138"/>
        <v>25.806240445661892</v>
      </c>
      <c r="Y165" s="33">
        <f t="shared" si="139"/>
        <v>24.649754977958814</v>
      </c>
      <c r="AB165" s="45">
        <f t="shared" si="143"/>
        <v>0.30191721747979572</v>
      </c>
      <c r="AC165" s="45">
        <f t="shared" si="144"/>
        <v>0.29749992506401485</v>
      </c>
      <c r="AD165" s="45">
        <f t="shared" si="145"/>
        <v>0.28774269586234125</v>
      </c>
      <c r="BD165" s="30"/>
      <c r="BE165" s="30"/>
      <c r="BF165" s="30"/>
      <c r="BG165" s="30"/>
      <c r="BH165" s="30"/>
      <c r="BI165" s="30"/>
      <c r="BV165" s="27">
        <f t="shared" si="126"/>
        <v>213.25</v>
      </c>
      <c r="BW165" s="30">
        <v>161</v>
      </c>
      <c r="BX165" s="30">
        <f t="shared" si="127"/>
        <v>213.25</v>
      </c>
      <c r="BY165" s="30">
        <f t="shared" si="128"/>
        <v>0.5</v>
      </c>
      <c r="BZ165" s="30"/>
      <c r="CF165" s="30"/>
      <c r="CG165" s="30"/>
    </row>
    <row r="166" spans="2:85" x14ac:dyDescent="0.3">
      <c r="B166" s="33">
        <v>1</v>
      </c>
      <c r="C166" s="33">
        <f t="shared" si="129"/>
        <v>1.1095937116691519</v>
      </c>
      <c r="D166" s="33">
        <f t="shared" si="130"/>
        <v>1.0365312372230506</v>
      </c>
      <c r="E166" s="105"/>
      <c r="F166" s="153"/>
      <c r="G166" s="177">
        <v>0.18</v>
      </c>
      <c r="H166" s="201"/>
      <c r="I166" s="33">
        <f t="shared" si="131"/>
        <v>0.49992940458047308</v>
      </c>
      <c r="J166" s="33">
        <f t="shared" si="132"/>
        <v>104.44176492278892</v>
      </c>
      <c r="K166" s="33">
        <f t="shared" si="133"/>
        <v>95.633428672850286</v>
      </c>
      <c r="M166" s="33">
        <f t="shared" si="134"/>
        <v>100.0375967978196</v>
      </c>
      <c r="N166" s="33">
        <f t="shared" si="135"/>
        <v>0.72083820174654534</v>
      </c>
      <c r="O166" s="33">
        <f t="shared" si="136"/>
        <v>-8.808336249938634</v>
      </c>
      <c r="P166" s="33"/>
      <c r="Q166" s="45">
        <f t="shared" si="140"/>
        <v>9.0717324558300518</v>
      </c>
      <c r="R166" s="45">
        <f t="shared" si="141"/>
        <v>8.8744134601499631</v>
      </c>
      <c r="S166" s="45">
        <f t="shared" si="137"/>
        <v>8.3607135171679765</v>
      </c>
      <c r="W166" s="33">
        <f t="shared" si="142"/>
        <v>9.0717324558300518</v>
      </c>
      <c r="X166" s="33">
        <f t="shared" si="138"/>
        <v>8.8744134601499631</v>
      </c>
      <c r="Y166" s="33">
        <f t="shared" si="139"/>
        <v>8.3607135171679765</v>
      </c>
      <c r="AB166" s="45">
        <f t="shared" si="143"/>
        <v>0.11674116356612822</v>
      </c>
      <c r="AC166" s="45">
        <f t="shared" si="144"/>
        <v>0.11420878580568583</v>
      </c>
      <c r="AD166" s="45">
        <f t="shared" si="145"/>
        <v>0.10816525706472128</v>
      </c>
      <c r="BD166" s="30"/>
      <c r="BE166" s="30"/>
      <c r="BF166" s="30"/>
      <c r="BG166" s="30"/>
      <c r="BH166" s="30"/>
      <c r="BI166" s="30"/>
      <c r="BV166" s="27">
        <f t="shared" si="126"/>
        <v>213.75</v>
      </c>
      <c r="BW166" s="30">
        <v>162</v>
      </c>
      <c r="BX166" s="30">
        <f t="shared" si="127"/>
        <v>213.75</v>
      </c>
      <c r="BY166" s="30">
        <f t="shared" si="128"/>
        <v>0.5</v>
      </c>
      <c r="BZ166" s="30"/>
      <c r="CF166" s="30"/>
      <c r="CG166" s="30"/>
    </row>
    <row r="167" spans="2:85" x14ac:dyDescent="0.3">
      <c r="B167" s="33">
        <v>1</v>
      </c>
      <c r="C167" s="33">
        <f t="shared" si="129"/>
        <v>1.0087241307572392</v>
      </c>
      <c r="D167" s="33">
        <f t="shared" si="130"/>
        <v>1.0029080435857465</v>
      </c>
      <c r="E167" s="106"/>
      <c r="F167" s="154"/>
      <c r="G167" s="178"/>
      <c r="H167" s="202"/>
      <c r="I167" s="33">
        <f t="shared" si="131"/>
        <v>0.4999999974857865</v>
      </c>
      <c r="J167" s="33">
        <f t="shared" si="132"/>
        <v>169.34132465084031</v>
      </c>
      <c r="K167" s="33">
        <f t="shared" si="133"/>
        <v>104.83202153775898</v>
      </c>
      <c r="M167" s="33">
        <f t="shared" si="134"/>
        <v>137.08667309429964</v>
      </c>
      <c r="N167" s="33">
        <f t="shared" si="135"/>
        <v>1.3561841498073879</v>
      </c>
      <c r="O167" s="33">
        <f t="shared" si="136"/>
        <v>-64.50930311308133</v>
      </c>
      <c r="P167" s="33"/>
      <c r="Q167" s="45">
        <f t="shared" si="140"/>
        <v>1.955357078718865</v>
      </c>
      <c r="R167" s="45">
        <f t="shared" si="141"/>
        <v>1.955357078718865</v>
      </c>
      <c r="S167" s="45">
        <f t="shared" si="137"/>
        <v>1.9524804565347411</v>
      </c>
      <c r="W167" s="33">
        <f t="shared" si="142"/>
        <v>1.955357078718865</v>
      </c>
      <c r="X167" s="33">
        <f t="shared" si="138"/>
        <v>1.955357078718865</v>
      </c>
      <c r="Y167" s="33">
        <f t="shared" si="139"/>
        <v>1.9524804565347411</v>
      </c>
      <c r="AB167" s="45">
        <f t="shared" si="143"/>
        <v>2.8886553867280763E-2</v>
      </c>
      <c r="AC167" s="45">
        <f t="shared" si="144"/>
        <v>2.8886553867280763E-2</v>
      </c>
      <c r="AD167" s="45">
        <f t="shared" si="145"/>
        <v>2.88527112533499E-2</v>
      </c>
      <c r="BD167" s="30"/>
      <c r="BE167" s="30"/>
      <c r="BF167" s="30"/>
      <c r="BG167" s="30"/>
      <c r="BH167" s="30"/>
      <c r="BI167" s="30"/>
      <c r="BV167" s="27">
        <f t="shared" si="126"/>
        <v>214.25</v>
      </c>
      <c r="BW167" s="30">
        <v>163</v>
      </c>
      <c r="BX167" s="30">
        <f t="shared" si="127"/>
        <v>214.25</v>
      </c>
      <c r="BY167" s="30">
        <f t="shared" si="128"/>
        <v>0.5</v>
      </c>
      <c r="BZ167" s="30"/>
      <c r="CF167" s="30"/>
      <c r="CG167" s="30"/>
    </row>
    <row r="168" spans="2:85" x14ac:dyDescent="0.3">
      <c r="B168" s="33">
        <v>1</v>
      </c>
      <c r="C168" s="33">
        <f t="shared" si="129"/>
        <v>1.0000613721836584</v>
      </c>
      <c r="D168" s="33">
        <f t="shared" si="130"/>
        <v>1.0000204573945528</v>
      </c>
      <c r="E168" s="107"/>
      <c r="F168" s="155"/>
      <c r="G168" s="179"/>
      <c r="H168" s="203"/>
      <c r="I168" s="33">
        <f t="shared" si="131"/>
        <v>0.49999996148143938</v>
      </c>
      <c r="J168" s="33">
        <f t="shared" si="132"/>
        <v>354.3159762111419</v>
      </c>
      <c r="K168" s="33">
        <f t="shared" si="133"/>
        <v>299.01943072062926</v>
      </c>
      <c r="M168" s="33">
        <f t="shared" si="134"/>
        <v>326.66770346588555</v>
      </c>
      <c r="N168" s="33">
        <f t="shared" si="135"/>
        <v>1.1883962069863836</v>
      </c>
      <c r="O168" s="33">
        <f t="shared" si="136"/>
        <v>-55.296545490512642</v>
      </c>
      <c r="P168" s="33"/>
      <c r="Q168" s="45">
        <f t="shared" si="140"/>
        <v>0.21571092585767737</v>
      </c>
      <c r="R168" s="45">
        <f t="shared" si="141"/>
        <v>0.21571092585767737</v>
      </c>
      <c r="S168" s="45">
        <f t="shared" si="137"/>
        <v>0.23542681059620399</v>
      </c>
      <c r="W168" s="33">
        <f t="shared" si="142"/>
        <v>0.21571092585767737</v>
      </c>
      <c r="X168" s="33">
        <f t="shared" si="138"/>
        <v>0.21571092585767737</v>
      </c>
      <c r="Y168" s="33">
        <f t="shared" si="139"/>
        <v>0.23542681059620399</v>
      </c>
      <c r="AB168" s="45">
        <f t="shared" si="143"/>
        <v>3.8066633974884242E-3</v>
      </c>
      <c r="AC168" s="45">
        <f t="shared" si="144"/>
        <v>3.8066633974884242E-3</v>
      </c>
      <c r="AD168" s="45">
        <f t="shared" si="145"/>
        <v>4.1545907752271296E-3</v>
      </c>
      <c r="BD168" s="30"/>
      <c r="BE168" s="30"/>
      <c r="BF168" s="30"/>
      <c r="BG168" s="30"/>
      <c r="BH168" s="30"/>
      <c r="BI168" s="30"/>
      <c r="BV168" s="27">
        <f t="shared" si="126"/>
        <v>214.75</v>
      </c>
      <c r="BW168" s="30">
        <v>164</v>
      </c>
      <c r="BX168" s="30">
        <f t="shared" si="127"/>
        <v>214.75</v>
      </c>
      <c r="BY168" s="30">
        <f t="shared" si="128"/>
        <v>0.5</v>
      </c>
      <c r="BZ168" s="30"/>
      <c r="CF168" s="30"/>
      <c r="CG168" s="30"/>
    </row>
    <row r="169" spans="2:85" x14ac:dyDescent="0.3">
      <c r="I169" s="224" t="s">
        <v>173</v>
      </c>
      <c r="J169" s="224"/>
      <c r="K169" s="224"/>
      <c r="L169" s="224"/>
      <c r="M169" s="224"/>
      <c r="N169" s="224"/>
      <c r="O169" s="224"/>
      <c r="P169" s="224"/>
      <c r="Q169" s="224"/>
      <c r="R169" s="224"/>
      <c r="S169" s="224"/>
      <c r="T169" s="224"/>
      <c r="U169" s="224"/>
      <c r="V169" s="224"/>
      <c r="W169" s="224"/>
      <c r="X169" s="224"/>
      <c r="Y169" s="224"/>
      <c r="BD169" s="30"/>
      <c r="BE169" s="30"/>
      <c r="BF169" s="30"/>
      <c r="BG169" s="30"/>
      <c r="BH169" s="30"/>
      <c r="BI169" s="30"/>
      <c r="BV169" s="27">
        <f t="shared" si="126"/>
        <v>215.25</v>
      </c>
      <c r="BW169" s="30">
        <v>165</v>
      </c>
      <c r="BX169" s="30">
        <f t="shared" si="127"/>
        <v>215.25</v>
      </c>
      <c r="BY169" s="30">
        <f t="shared" si="128"/>
        <v>0.5</v>
      </c>
      <c r="BZ169" s="30"/>
      <c r="CF169" s="30"/>
      <c r="CG169" s="30"/>
    </row>
    <row r="170" spans="2:85" x14ac:dyDescent="0.3">
      <c r="B170" s="30" t="s">
        <v>108</v>
      </c>
      <c r="C170" s="30" t="s">
        <v>109</v>
      </c>
      <c r="D170" s="30" t="s">
        <v>110</v>
      </c>
      <c r="I170" s="10" t="s">
        <v>157</v>
      </c>
      <c r="J170" s="10" t="s">
        <v>159</v>
      </c>
      <c r="K170" s="10" t="s">
        <v>158</v>
      </c>
      <c r="M170" s="30" t="s">
        <v>178</v>
      </c>
      <c r="N170" s="10" t="s">
        <v>179</v>
      </c>
      <c r="O170" s="10" t="s">
        <v>180</v>
      </c>
      <c r="P170" s="22"/>
      <c r="Q170" s="53" t="s">
        <v>174</v>
      </c>
      <c r="R170" s="53" t="s">
        <v>175</v>
      </c>
      <c r="S170" s="53" t="s">
        <v>176</v>
      </c>
      <c r="T170" s="53" t="s">
        <v>177</v>
      </c>
      <c r="W170" s="53" t="s">
        <v>182</v>
      </c>
      <c r="X170" s="53" t="s">
        <v>181</v>
      </c>
      <c r="Y170" s="53" t="s">
        <v>183</v>
      </c>
      <c r="AB170" s="53" t="s">
        <v>129</v>
      </c>
      <c r="AC170" s="53" t="s">
        <v>130</v>
      </c>
      <c r="AD170" s="53" t="s">
        <v>131</v>
      </c>
      <c r="BD170" s="30"/>
      <c r="BE170" s="30"/>
      <c r="BF170" s="30"/>
      <c r="BG170" s="30"/>
      <c r="BH170" s="30"/>
      <c r="BI170" s="30"/>
      <c r="BV170" s="27">
        <f t="shared" si="126"/>
        <v>216</v>
      </c>
      <c r="BW170" s="30">
        <v>166</v>
      </c>
      <c r="BX170" s="30">
        <f t="shared" si="127"/>
        <v>216</v>
      </c>
      <c r="BY170" s="30">
        <f t="shared" si="128"/>
        <v>0.75</v>
      </c>
      <c r="BZ170" s="30"/>
      <c r="CF170" s="30"/>
      <c r="CG170" s="30"/>
    </row>
    <row r="171" spans="2:85" x14ac:dyDescent="0.3">
      <c r="B171" s="33">
        <f t="shared" ref="B171:B194" si="146">I119-B119</f>
        <v>4.6146367889580375</v>
      </c>
      <c r="C171" s="33">
        <f t="shared" ref="C171:C194" si="147">SQRT((J119*(1+I145))^2+K119^2)-SQRT((C119*(1+I145))^2+D119^2)</f>
        <v>-10.771900476349838</v>
      </c>
      <c r="D171" s="33">
        <f t="shared" ref="D171:D194" si="148">2*SQRT(SQRT((C119*(1+I145))^2+D119^2)*SQRT((J119*(1+I145))^2+K119^2))*SIN(PI()*(O145/2)/180)</f>
        <v>-0.24839331076199589</v>
      </c>
      <c r="E171" s="84"/>
      <c r="F171" s="132"/>
      <c r="G171" s="156"/>
      <c r="H171" s="180"/>
      <c r="I171" s="33">
        <f>$Q$93*AB145*255+$R$93*AC145*255+$S$93*AD145*255</f>
        <v>32.186206757495469</v>
      </c>
      <c r="J171" s="33">
        <f>$Q$94*AB145*255+$R$94*AC145*255+$S$94*AD145*255+128</f>
        <v>121.12632573363466</v>
      </c>
      <c r="K171" s="33">
        <f>$Q$95*AB145*255+$R$95*AC145*255+$S$95*AD145*255+128</f>
        <v>138.99016724295697</v>
      </c>
      <c r="M171" s="33">
        <f>I171</f>
        <v>32.186206757495469</v>
      </c>
      <c r="N171" s="33">
        <f>S171*((AD145*255-AC145*255)+Q171*(AB145*255-AC145*255))+128</f>
        <v>121.1200622048452</v>
      </c>
      <c r="O171" s="33">
        <f>T171*((AB145*255-AC145*255)+R171*(AD145*255-AC145*255))+128</f>
        <v>138.98215493458389</v>
      </c>
      <c r="P171" s="33"/>
      <c r="Q171" s="30">
        <f>IF(I15-J15&gt;0,$AG$12,$AH$12)</f>
        <v>-0.33800000000000002</v>
      </c>
      <c r="R171" s="30">
        <f>IF(K15-J15&gt;0,$AI$12,$AJ$12)</f>
        <v>-0.16200000000000001</v>
      </c>
      <c r="S171" s="30">
        <f>IF(K15-J15+(I15-J15)*Q171&gt;0,$AC$12,$AD$12)</f>
        <v>0.5</v>
      </c>
      <c r="T171" s="30">
        <f>IF((I15-J15)+(K15-J15)*R171&gt;0,$AE$12,$AF$12)</f>
        <v>0.5</v>
      </c>
      <c r="W171" s="33">
        <f>IF((M171*$Q$98+(N171-128)*$R$98+(O171-128)*$S$98)&lt;0,0,IF((M171*$Q$98+(N171-128)*$R$98+(O171-128)*$S$98)&gt;255,255,(M171*$Q$98+(N171-128)*$R$98+(O171-128)*$S$98)))</f>
        <v>47.574895616600749</v>
      </c>
      <c r="X171" s="33">
        <f>IF((M171*$Q$99+(N171-128)*$R$99+(O171-128)*$S$99)&lt;0,0,IF((M171*$Q$99+(N171-128)*$R$99+(O171-128)*$S$99)&gt;255,255,(M171*$Q$99+(N171-128)*$R$99+(O171-128)*$S$99)))</f>
        <v>26.715569182898417</v>
      </c>
      <c r="Y171" s="33">
        <f>IF((M171*$Q$100+(N171-128)*$R$100+(O171-128)*$S$100)&lt;0,0,IF((M171*$Q$100+(N171-128)*$R$100+(O171-128)*$S$100)&gt;255,255,(M171*$Q$100+(N171-128)*$R$100+(O171-128)*$S$100)))</f>
        <v>19.993630331319981</v>
      </c>
      <c r="AB171" s="45">
        <f>W171/255</f>
        <v>0.18656821810431667</v>
      </c>
      <c r="AC171" s="45">
        <f>X171/255</f>
        <v>0.10476693797215066</v>
      </c>
      <c r="AD171" s="45">
        <f t="shared" ref="AC171:AD186" si="149">Y171/255</f>
        <v>7.8406393456156784E-2</v>
      </c>
      <c r="BD171" s="30"/>
      <c r="BE171" s="30"/>
      <c r="BF171" s="30"/>
      <c r="BG171" s="30"/>
      <c r="BH171" s="30"/>
      <c r="BI171" s="30"/>
      <c r="BV171" s="27">
        <f t="shared" si="126"/>
        <v>216.5</v>
      </c>
      <c r="BW171" s="30">
        <v>167</v>
      </c>
      <c r="BX171" s="30">
        <f t="shared" si="127"/>
        <v>216.5</v>
      </c>
      <c r="BY171" s="30">
        <f t="shared" si="128"/>
        <v>0.5</v>
      </c>
      <c r="BZ171" s="30"/>
      <c r="CF171" s="30"/>
      <c r="CG171" s="30"/>
    </row>
    <row r="172" spans="2:85" x14ac:dyDescent="0.3">
      <c r="B172" s="33">
        <f t="shared" si="146"/>
        <v>6.4513660238934136</v>
      </c>
      <c r="C172" s="33">
        <f t="shared" si="147"/>
        <v>-16.435545373971269</v>
      </c>
      <c r="D172" s="33">
        <f t="shared" si="148"/>
        <v>2.6395784833758267</v>
      </c>
      <c r="E172" s="85"/>
      <c r="F172" s="133"/>
      <c r="G172" s="157"/>
      <c r="H172" s="181"/>
      <c r="I172" s="33">
        <f t="shared" ref="I172:I194" si="150">$Q$93*AB146*255+$R$93*AC146*255+$S$93*AD146*255</f>
        <v>141.17401596841501</v>
      </c>
      <c r="J172" s="33">
        <f t="shared" ref="J172:J194" si="151">$Q$94*AB146*255+$R$94*AC146*255+$S$94*AD146*255+128</f>
        <v>109.5310587258722</v>
      </c>
      <c r="K172" s="33">
        <f t="shared" ref="K172:K194" si="152">$Q$95*AB146*255+$R$95*AC146*255+$S$95*AD146*255+128</f>
        <v>158.48673243483722</v>
      </c>
      <c r="M172" s="33">
        <f>I172</f>
        <v>141.17401596841501</v>
      </c>
      <c r="N172" s="33">
        <f>S172*((AD146*255-AC146*255)+Q172*(AB146*255-AC146*255))+128</f>
        <v>109.51363198342662</v>
      </c>
      <c r="O172" s="33">
        <f>T172*((AB146*255-AC146*255)+R172*(AD146*255-AC146*255))+128</f>
        <v>158.44899784570552</v>
      </c>
      <c r="P172" s="33"/>
      <c r="Q172" s="30">
        <f t="shared" ref="Q172:Q188" si="153">IF(I16-J16&gt;0,$AG$12,$AH$12)</f>
        <v>-0.33800000000000002</v>
      </c>
      <c r="R172" s="30">
        <f t="shared" ref="R172:R188" si="154">IF(K16-J16&gt;0,$AI$12,$AJ$12)</f>
        <v>-0.16200000000000001</v>
      </c>
      <c r="S172" s="30">
        <f t="shared" ref="S172:S188" si="155">IF(K16-J16+(I16-J16)*Q172&gt;0,$AC$12,$AD$12)</f>
        <v>0.5</v>
      </c>
      <c r="T172" s="30">
        <f t="shared" ref="T172:T188" si="156">IF((I16-J16)+(K16-J16)*R172&gt;0,$AE$12,$AF$12)</f>
        <v>0.5</v>
      </c>
      <c r="W172" s="33">
        <f t="shared" ref="W172:W188" si="157">IF((M172*$Q$98+(N172-128)*$R$98+(O172-128)*$S$98)&lt;0,0,IF((M172*$Q$98+(N172-128)*$R$98+(O172-128)*$S$98)&gt;255,255,(M172*$Q$98+(N172-128)*$R$98+(O172-128)*$S$98)))</f>
        <v>183.81821545987967</v>
      </c>
      <c r="X172" s="33">
        <f t="shared" ref="X172:X188" si="158">IF((M172*$Q$99+(N172-128)*$R$99+(O172-128)*$S$99)&lt;0,0,IF((M172*$Q$99+(N172-128)*$R$99+(O172-128)*$S$99)&gt;255,255,(M172*$Q$99+(N172-128)*$R$99+(O172-128)*$S$99)))</f>
        <v>125.81490034589361</v>
      </c>
      <c r="Y172" s="33">
        <f t="shared" ref="Y172:Y188" si="159">IF((M172*$Q$100+(N172-128)*$R$100+(O172-128)*$S$100)&lt;0,0,IF((M172*$Q$100+(N172-128)*$R$100+(O172-128)*$S$100)&gt;255,255,(M172*$Q$100+(N172-128)*$R$100+(O172-128)*$S$100)))</f>
        <v>108.41248283220574</v>
      </c>
      <c r="AB172" s="45">
        <f t="shared" ref="AB172:AB188" si="160">W172/255</f>
        <v>0.7208557469014889</v>
      </c>
      <c r="AC172" s="45">
        <f t="shared" si="149"/>
        <v>0.49339176606232787</v>
      </c>
      <c r="AD172" s="45">
        <f t="shared" si="149"/>
        <v>0.42514699149884605</v>
      </c>
      <c r="BD172" s="30"/>
      <c r="BE172" s="30"/>
      <c r="BF172" s="30"/>
      <c r="BG172" s="30"/>
      <c r="BH172" s="30"/>
      <c r="BI172" s="30"/>
      <c r="BV172" s="27">
        <f t="shared" si="126"/>
        <v>217</v>
      </c>
      <c r="BW172" s="30">
        <v>168</v>
      </c>
      <c r="BX172" s="30">
        <f t="shared" si="127"/>
        <v>217</v>
      </c>
      <c r="BY172" s="30">
        <f t="shared" si="128"/>
        <v>0.5</v>
      </c>
      <c r="BZ172" s="30"/>
      <c r="CF172" s="30"/>
      <c r="CG172" s="30"/>
    </row>
    <row r="173" spans="2:85" x14ac:dyDescent="0.3">
      <c r="B173" s="33">
        <f t="shared" si="146"/>
        <v>2.1437653495670048</v>
      </c>
      <c r="C173" s="33">
        <f t="shared" si="147"/>
        <v>-17.242806245516146</v>
      </c>
      <c r="D173" s="33">
        <f t="shared" si="148"/>
        <v>-4.1837406946986979</v>
      </c>
      <c r="E173" s="86"/>
      <c r="F173" s="134"/>
      <c r="G173" s="158"/>
      <c r="H173" s="182"/>
      <c r="I173" s="33">
        <f t="shared" si="150"/>
        <v>61.880360930457464</v>
      </c>
      <c r="J173" s="33">
        <f t="shared" si="151"/>
        <v>142.04850344861882</v>
      </c>
      <c r="K173" s="33">
        <f t="shared" si="152"/>
        <v>119.31803479700913</v>
      </c>
      <c r="M173" s="33">
        <f t="shared" ref="M173:M188" si="161">I173</f>
        <v>61.880360930457464</v>
      </c>
      <c r="N173" s="33">
        <f t="shared" ref="N173:N188" si="162">S173*((AD147*255-AC147*255)+Q173*(AB147*255-AC147*255))+128</f>
        <v>142.05258139655587</v>
      </c>
      <c r="O173" s="33">
        <f t="shared" ref="O173:O188" si="163">T173*((AB147*255-AC147*255)+R173*(AD147*255-AC147*255))+128</f>
        <v>119.29905544737443</v>
      </c>
      <c r="P173" s="33"/>
      <c r="Q173" s="30">
        <f t="shared" si="153"/>
        <v>-0.33800000000000002</v>
      </c>
      <c r="R173" s="30">
        <f t="shared" si="154"/>
        <v>-0.16200000000000001</v>
      </c>
      <c r="S173" s="30">
        <f t="shared" si="155"/>
        <v>0.5</v>
      </c>
      <c r="T173" s="30">
        <f t="shared" si="156"/>
        <v>0.5</v>
      </c>
      <c r="W173" s="33">
        <f t="shared" si="157"/>
        <v>49.644726989247204</v>
      </c>
      <c r="X173" s="33">
        <f t="shared" si="158"/>
        <v>63.276650281002233</v>
      </c>
      <c r="Y173" s="33">
        <f t="shared" si="159"/>
        <v>86.782402155475808</v>
      </c>
      <c r="AB173" s="45">
        <f t="shared" si="160"/>
        <v>0.1946852038794008</v>
      </c>
      <c r="AC173" s="45">
        <f t="shared" si="149"/>
        <v>0.24814372659216563</v>
      </c>
      <c r="AD173" s="45">
        <f t="shared" si="149"/>
        <v>0.34032314570774824</v>
      </c>
      <c r="BD173" s="30"/>
      <c r="BE173" s="30"/>
      <c r="BF173" s="30"/>
      <c r="BG173" s="30"/>
      <c r="BH173" s="30"/>
      <c r="BI173" s="30"/>
      <c r="BV173" s="27">
        <f t="shared" si="126"/>
        <v>217.5</v>
      </c>
      <c r="BW173" s="30">
        <v>169</v>
      </c>
      <c r="BX173" s="30">
        <f t="shared" si="127"/>
        <v>217.5</v>
      </c>
      <c r="BY173" s="30">
        <f t="shared" si="128"/>
        <v>0.5</v>
      </c>
      <c r="BZ173" s="30"/>
      <c r="CF173" s="30"/>
      <c r="CG173" s="30"/>
    </row>
    <row r="174" spans="2:85" x14ac:dyDescent="0.3">
      <c r="B174" s="33">
        <f t="shared" si="146"/>
        <v>2.4531167351353034</v>
      </c>
      <c r="C174" s="33">
        <f t="shared" si="147"/>
        <v>-16.729680031301669</v>
      </c>
      <c r="D174" s="33">
        <f t="shared" si="148"/>
        <v>2.1011222679601125</v>
      </c>
      <c r="E174" s="87"/>
      <c r="F174" s="135"/>
      <c r="G174" s="159"/>
      <c r="H174" s="183"/>
      <c r="I174" s="33">
        <f t="shared" si="150"/>
        <v>35.457934720102266</v>
      </c>
      <c r="J174" s="33">
        <f t="shared" si="151"/>
        <v>122.52012373966562</v>
      </c>
      <c r="K174" s="33">
        <f t="shared" si="152"/>
        <v>125.8319735876542</v>
      </c>
      <c r="M174" s="33">
        <f t="shared" si="161"/>
        <v>35.457934720102266</v>
      </c>
      <c r="N174" s="33">
        <f t="shared" si="162"/>
        <v>122.52207061487003</v>
      </c>
      <c r="O174" s="33">
        <f t="shared" si="163"/>
        <v>125.82030438418673</v>
      </c>
      <c r="P174" s="33"/>
      <c r="Q174" s="30">
        <f t="shared" si="153"/>
        <v>-0.33800000000000002</v>
      </c>
      <c r="R174" s="30">
        <f t="shared" si="154"/>
        <v>-0.16200000000000001</v>
      </c>
      <c r="S174" s="30">
        <f t="shared" si="155"/>
        <v>0.5</v>
      </c>
      <c r="T174" s="30">
        <f t="shared" si="156"/>
        <v>0.5</v>
      </c>
      <c r="W174" s="33">
        <f t="shared" si="157"/>
        <v>32.391399275229119</v>
      </c>
      <c r="X174" s="33">
        <f t="shared" si="158"/>
        <v>38.905008708133913</v>
      </c>
      <c r="Y174" s="33">
        <f t="shared" si="159"/>
        <v>25.751458115211893</v>
      </c>
      <c r="AB174" s="45">
        <f t="shared" si="160"/>
        <v>0.12702509519697694</v>
      </c>
      <c r="AC174" s="45">
        <f t="shared" si="149"/>
        <v>0.15256866160052515</v>
      </c>
      <c r="AD174" s="45">
        <f t="shared" si="149"/>
        <v>0.10098611025573291</v>
      </c>
      <c r="BD174" s="30"/>
      <c r="BE174" s="30"/>
      <c r="BF174" s="30"/>
      <c r="BG174" s="30"/>
      <c r="BH174" s="30"/>
      <c r="BI174" s="30"/>
      <c r="BV174" s="27">
        <f t="shared" si="126"/>
        <v>218</v>
      </c>
      <c r="BW174" s="30">
        <v>170</v>
      </c>
      <c r="BX174" s="30">
        <f t="shared" si="127"/>
        <v>218</v>
      </c>
      <c r="BY174" s="30">
        <f t="shared" si="128"/>
        <v>0.5</v>
      </c>
      <c r="BZ174" s="30"/>
      <c r="CF174" s="30"/>
      <c r="CG174" s="30"/>
    </row>
    <row r="175" spans="2:85" x14ac:dyDescent="0.3">
      <c r="B175" s="33">
        <f t="shared" si="146"/>
        <v>4.1910820590570097</v>
      </c>
      <c r="C175" s="33">
        <f t="shared" si="147"/>
        <v>-21.014256763722269</v>
      </c>
      <c r="D175" s="33">
        <f t="shared" si="148"/>
        <v>2.8204369795230524</v>
      </c>
      <c r="E175" s="88"/>
      <c r="F175" s="136"/>
      <c r="G175" s="160"/>
      <c r="H175" s="184"/>
      <c r="I175" s="33">
        <f t="shared" si="150"/>
        <v>86.049280383258676</v>
      </c>
      <c r="J175" s="33">
        <f t="shared" si="151"/>
        <v>139.34468266990905</v>
      </c>
      <c r="K175" s="33">
        <f t="shared" si="152"/>
        <v>134.63397677049016</v>
      </c>
      <c r="M175" s="33">
        <f t="shared" si="161"/>
        <v>86.049280383258676</v>
      </c>
      <c r="N175" s="33">
        <f t="shared" si="162"/>
        <v>139.33932042432966</v>
      </c>
      <c r="O175" s="33">
        <f t="shared" si="163"/>
        <v>134.61074752536712</v>
      </c>
      <c r="P175" s="33"/>
      <c r="Q175" s="30">
        <f t="shared" si="153"/>
        <v>-0.33800000000000002</v>
      </c>
      <c r="R175" s="30">
        <f t="shared" si="154"/>
        <v>-0.16200000000000001</v>
      </c>
      <c r="S175" s="30">
        <f t="shared" si="155"/>
        <v>0.5</v>
      </c>
      <c r="T175" s="30">
        <f t="shared" si="156"/>
        <v>0.5</v>
      </c>
      <c r="W175" s="33">
        <f t="shared" si="157"/>
        <v>95.272406087636156</v>
      </c>
      <c r="X175" s="33">
        <f t="shared" si="158"/>
        <v>77.449248354529516</v>
      </c>
      <c r="Y175" s="33">
        <f t="shared" si="159"/>
        <v>106.14142262233901</v>
      </c>
      <c r="AB175" s="45">
        <f t="shared" si="160"/>
        <v>0.37361727877504375</v>
      </c>
      <c r="AC175" s="45">
        <f t="shared" si="149"/>
        <v>0.30372254256678244</v>
      </c>
      <c r="AD175" s="45">
        <f t="shared" si="149"/>
        <v>0.41624087302878043</v>
      </c>
      <c r="BD175" s="30"/>
      <c r="BE175" s="30"/>
      <c r="BF175" s="30"/>
      <c r="BG175" s="30"/>
      <c r="BH175" s="30"/>
      <c r="BI175" s="30"/>
      <c r="BV175" s="27">
        <f t="shared" si="126"/>
        <v>218.5</v>
      </c>
      <c r="BW175" s="30">
        <v>171</v>
      </c>
      <c r="BX175" s="30">
        <f t="shared" si="127"/>
        <v>218.5</v>
      </c>
      <c r="BY175" s="30">
        <f t="shared" si="128"/>
        <v>0.5</v>
      </c>
      <c r="BZ175" s="30"/>
      <c r="CF175" s="30"/>
      <c r="CG175" s="30"/>
    </row>
    <row r="176" spans="2:85" x14ac:dyDescent="0.3">
      <c r="B176" s="33">
        <f t="shared" si="146"/>
        <v>-1.7735415534928904</v>
      </c>
      <c r="C176" s="33">
        <f t="shared" si="147"/>
        <v>-16.680163600293604</v>
      </c>
      <c r="D176" s="33">
        <f t="shared" si="148"/>
        <v>2.2438977370017348</v>
      </c>
      <c r="E176" s="89"/>
      <c r="F176" s="137"/>
      <c r="G176" s="161"/>
      <c r="H176" s="185"/>
      <c r="I176" s="33">
        <f t="shared" si="150"/>
        <v>121.61324835468085</v>
      </c>
      <c r="J176" s="33">
        <f t="shared" si="151"/>
        <v>137.37813721333023</v>
      </c>
      <c r="K176" s="33">
        <f t="shared" si="152"/>
        <v>100.53583681874935</v>
      </c>
      <c r="M176" s="33">
        <f t="shared" si="161"/>
        <v>121.61324835468085</v>
      </c>
      <c r="N176" s="33">
        <f t="shared" si="162"/>
        <v>137.39463050486231</v>
      </c>
      <c r="O176" s="33">
        <f t="shared" si="163"/>
        <v>100.49442842329206</v>
      </c>
      <c r="P176" s="33"/>
      <c r="Q176" s="30">
        <f t="shared" si="153"/>
        <v>-0.33800000000000002</v>
      </c>
      <c r="R176" s="30">
        <f t="shared" si="154"/>
        <v>-0.16200000000000001</v>
      </c>
      <c r="S176" s="30">
        <f t="shared" si="155"/>
        <v>0.5</v>
      </c>
      <c r="T176" s="30">
        <f t="shared" si="156"/>
        <v>0.5</v>
      </c>
      <c r="W176" s="33">
        <f t="shared" si="157"/>
        <v>82.992279459437896</v>
      </c>
      <c r="X176" s="33">
        <f t="shared" si="158"/>
        <v>138.05188545260953</v>
      </c>
      <c r="Y176" s="33">
        <f t="shared" si="159"/>
        <v>138.26403540023801</v>
      </c>
      <c r="AB176" s="45">
        <f t="shared" si="160"/>
        <v>0.32545991944877606</v>
      </c>
      <c r="AC176" s="45">
        <f t="shared" si="149"/>
        <v>0.5413799429514099</v>
      </c>
      <c r="AD176" s="45">
        <f t="shared" si="149"/>
        <v>0.54221190353034521</v>
      </c>
      <c r="BD176" s="30"/>
      <c r="BE176" s="30"/>
      <c r="BF176" s="30"/>
      <c r="BG176" s="30"/>
      <c r="BH176" s="30"/>
      <c r="BI176" s="30"/>
      <c r="BV176" s="27">
        <f t="shared" si="126"/>
        <v>219</v>
      </c>
      <c r="BW176" s="30">
        <v>172</v>
      </c>
      <c r="BX176" s="30">
        <f t="shared" si="127"/>
        <v>219</v>
      </c>
      <c r="BY176" s="30">
        <f t="shared" si="128"/>
        <v>0.5</v>
      </c>
      <c r="BZ176" s="30"/>
      <c r="CF176" s="30"/>
      <c r="CG176" s="30"/>
    </row>
    <row r="177" spans="2:85" x14ac:dyDescent="0.3">
      <c r="B177" s="33">
        <f t="shared" si="146"/>
        <v>3.5063866840963982</v>
      </c>
      <c r="C177" s="33">
        <f t="shared" si="147"/>
        <v>-35.825017539352132</v>
      </c>
      <c r="D177" s="33">
        <f t="shared" si="148"/>
        <v>0.16029725575083978</v>
      </c>
      <c r="E177" s="90"/>
      <c r="F177" s="138"/>
      <c r="G177" s="162"/>
      <c r="H177" s="186"/>
      <c r="I177" s="33">
        <f t="shared" si="150"/>
        <v>109.96336683375971</v>
      </c>
      <c r="J177" s="33">
        <f t="shared" si="151"/>
        <v>91.889646900458402</v>
      </c>
      <c r="K177" s="33">
        <f t="shared" si="152"/>
        <v>173.68300296061491</v>
      </c>
      <c r="M177" s="33">
        <f t="shared" si="161"/>
        <v>109.96336683375971</v>
      </c>
      <c r="N177" s="33">
        <f>S177*((AD151*255-AC151*255)+Q177*(AB151*255-AC151*255))+128</f>
        <v>91.864382249324763</v>
      </c>
      <c r="O177" s="33">
        <f t="shared" si="163"/>
        <v>173.65606990253707</v>
      </c>
      <c r="P177" s="33"/>
      <c r="Q177" s="30">
        <f t="shared" si="153"/>
        <v>-0.33800000000000002</v>
      </c>
      <c r="R177" s="30">
        <f t="shared" si="154"/>
        <v>-0.16200000000000001</v>
      </c>
      <c r="S177" s="30">
        <f t="shared" si="155"/>
        <v>0.5</v>
      </c>
      <c r="T177" s="30">
        <f t="shared" si="156"/>
        <v>0.5</v>
      </c>
      <c r="W177" s="33">
        <f t="shared" si="157"/>
        <v>173.9546239835372</v>
      </c>
      <c r="X177" s="33">
        <f t="shared" si="158"/>
        <v>89.804777571138516</v>
      </c>
      <c r="Y177" s="33">
        <f t="shared" si="159"/>
        <v>45.925700249331356</v>
      </c>
      <c r="AB177" s="45">
        <f t="shared" si="160"/>
        <v>0.68217499601387144</v>
      </c>
      <c r="AC177" s="45">
        <f t="shared" si="149"/>
        <v>0.35217559831819023</v>
      </c>
      <c r="AD177" s="45">
        <f t="shared" si="149"/>
        <v>0.18010078529149551</v>
      </c>
      <c r="BD177" s="30"/>
      <c r="BE177" s="30"/>
      <c r="BF177" s="30"/>
      <c r="BG177" s="30"/>
      <c r="BH177" s="30"/>
      <c r="BI177" s="30"/>
      <c r="BV177" s="27">
        <f t="shared" si="126"/>
        <v>219.5</v>
      </c>
      <c r="BW177" s="30">
        <v>173</v>
      </c>
      <c r="BX177" s="30">
        <f t="shared" si="127"/>
        <v>219.5</v>
      </c>
      <c r="BY177" s="30">
        <f t="shared" si="128"/>
        <v>0.5</v>
      </c>
      <c r="BZ177" s="30"/>
      <c r="CF177" s="30"/>
      <c r="CG177" s="30"/>
    </row>
    <row r="178" spans="2:85" x14ac:dyDescent="0.3">
      <c r="B178" s="33">
        <f t="shared" si="146"/>
        <v>-0.29223804928028585</v>
      </c>
      <c r="C178" s="33">
        <f t="shared" si="147"/>
        <v>-34.838132339496624</v>
      </c>
      <c r="D178" s="33">
        <f t="shared" si="148"/>
        <v>-7.3497831308467303</v>
      </c>
      <c r="E178" s="91"/>
      <c r="F178" s="139"/>
      <c r="G178" s="163"/>
      <c r="H178" s="187"/>
      <c r="I178" s="33">
        <f t="shared" si="150"/>
        <v>25.350274262374452</v>
      </c>
      <c r="J178" s="33">
        <f t="shared" si="151"/>
        <v>146.46349323903979</v>
      </c>
      <c r="K178" s="33">
        <f t="shared" si="152"/>
        <v>121.62781809578338</v>
      </c>
      <c r="M178" s="33">
        <f t="shared" si="161"/>
        <v>25.350274262374452</v>
      </c>
      <c r="N178" s="33">
        <f>S178*((AD152*255-AC152*255)+Q178*(AB152*255-AC152*255))+128</f>
        <v>146.46564367776409</v>
      </c>
      <c r="O178" s="33">
        <f t="shared" si="163"/>
        <v>121.62075022164873</v>
      </c>
      <c r="P178" s="33"/>
      <c r="Q178" s="30">
        <f t="shared" si="153"/>
        <v>-0.33800000000000002</v>
      </c>
      <c r="R178" s="30">
        <f t="shared" si="154"/>
        <v>-0.16200000000000001</v>
      </c>
      <c r="S178" s="30">
        <f t="shared" si="155"/>
        <v>0.5</v>
      </c>
      <c r="T178" s="30">
        <f t="shared" si="156"/>
        <v>0.5</v>
      </c>
      <c r="W178" s="33">
        <f t="shared" si="157"/>
        <v>16.381540613759668</v>
      </c>
      <c r="X178" s="33">
        <f t="shared" si="158"/>
        <v>23.563888466775097</v>
      </c>
      <c r="Y178" s="33">
        <f t="shared" si="159"/>
        <v>58.071851656695877</v>
      </c>
      <c r="AB178" s="45">
        <f t="shared" si="160"/>
        <v>6.4241335740233996E-2</v>
      </c>
      <c r="AC178" s="45">
        <f t="shared" si="149"/>
        <v>9.2407405752059205E-2</v>
      </c>
      <c r="AD178" s="45">
        <f t="shared" si="149"/>
        <v>0.22773275159488579</v>
      </c>
      <c r="BD178" s="30"/>
      <c r="BE178" s="30"/>
      <c r="BF178" s="30"/>
      <c r="BG178" s="30"/>
      <c r="BH178" s="30"/>
      <c r="BI178" s="30"/>
      <c r="BV178" s="27">
        <f t="shared" si="126"/>
        <v>220</v>
      </c>
      <c r="BW178" s="30">
        <v>174</v>
      </c>
      <c r="BX178" s="30">
        <f t="shared" si="127"/>
        <v>220</v>
      </c>
      <c r="BY178" s="30">
        <f t="shared" si="128"/>
        <v>0.5</v>
      </c>
      <c r="BZ178" s="30"/>
      <c r="CF178" s="30"/>
      <c r="CG178" s="30"/>
    </row>
    <row r="179" spans="2:85" x14ac:dyDescent="0.3">
      <c r="B179" s="33">
        <f t="shared" si="146"/>
        <v>2.8283332937358097</v>
      </c>
      <c r="C179" s="33">
        <f t="shared" si="147"/>
        <v>-28.695698979476369</v>
      </c>
      <c r="D179" s="33">
        <f t="shared" si="148"/>
        <v>5.3944269401983709</v>
      </c>
      <c r="E179" s="92"/>
      <c r="F179" s="140"/>
      <c r="G179" s="164"/>
      <c r="H179" s="188"/>
      <c r="I179" s="33">
        <f t="shared" si="150"/>
        <v>79.354273106576883</v>
      </c>
      <c r="J179" s="33">
        <f t="shared" si="151"/>
        <v>107.44500886974619</v>
      </c>
      <c r="K179" s="33">
        <f t="shared" si="152"/>
        <v>176.25215874542758</v>
      </c>
      <c r="M179" s="33">
        <f t="shared" si="161"/>
        <v>79.354273106576883</v>
      </c>
      <c r="N179" s="33">
        <f t="shared" si="162"/>
        <v>107.41650699786123</v>
      </c>
      <c r="O179" s="33">
        <f t="shared" si="163"/>
        <v>176.23656484639534</v>
      </c>
      <c r="P179" s="33"/>
      <c r="Q179" s="30">
        <f t="shared" si="153"/>
        <v>-0.33800000000000002</v>
      </c>
      <c r="R179" s="30">
        <f t="shared" si="154"/>
        <v>-0.16200000000000001</v>
      </c>
      <c r="S179" s="30">
        <f t="shared" si="155"/>
        <v>0.5</v>
      </c>
      <c r="T179" s="30">
        <f t="shared" si="156"/>
        <v>0.5</v>
      </c>
      <c r="W179" s="33">
        <f t="shared" si="157"/>
        <v>146.9640628952786</v>
      </c>
      <c r="X179" s="33">
        <f t="shared" si="158"/>
        <v>52.000596157127944</v>
      </c>
      <c r="Y179" s="33">
        <f t="shared" si="159"/>
        <v>42.874283830302439</v>
      </c>
      <c r="AB179" s="45">
        <f t="shared" si="160"/>
        <v>0.57632965841285722</v>
      </c>
      <c r="AC179" s="45">
        <f t="shared" si="149"/>
        <v>0.20392390649854095</v>
      </c>
      <c r="AD179" s="45">
        <f t="shared" si="149"/>
        <v>0.16813444639334291</v>
      </c>
      <c r="BD179" s="30"/>
      <c r="BE179" s="30"/>
      <c r="BF179" s="30"/>
      <c r="BG179" s="30"/>
      <c r="BH179" s="30"/>
      <c r="BI179" s="30"/>
      <c r="BV179" s="27">
        <f t="shared" si="126"/>
        <v>220.5</v>
      </c>
      <c r="BW179" s="30">
        <v>175</v>
      </c>
      <c r="BX179" s="30">
        <f t="shared" si="127"/>
        <v>220.5</v>
      </c>
      <c r="BY179" s="30">
        <f t="shared" si="128"/>
        <v>0.5</v>
      </c>
      <c r="BZ179" s="30"/>
      <c r="CF179" s="30"/>
      <c r="CG179" s="30"/>
    </row>
    <row r="180" spans="2:85" x14ac:dyDescent="0.3">
      <c r="B180" s="33">
        <f t="shared" si="146"/>
        <v>2.1638128953230691</v>
      </c>
      <c r="C180" s="33">
        <f t="shared" si="147"/>
        <v>-16.340234195600623</v>
      </c>
      <c r="D180" s="33">
        <f t="shared" si="148"/>
        <v>5.5108284434897472</v>
      </c>
      <c r="E180" s="93"/>
      <c r="F180" s="141"/>
      <c r="G180" s="165"/>
      <c r="H180" s="189"/>
      <c r="I180" s="33">
        <f t="shared" si="150"/>
        <v>14.766725843003211</v>
      </c>
      <c r="J180" s="33">
        <f t="shared" si="151"/>
        <v>129.06829294587729</v>
      </c>
      <c r="K180" s="33">
        <f t="shared" si="152"/>
        <v>134.48372430286835</v>
      </c>
      <c r="M180" s="33">
        <f t="shared" si="161"/>
        <v>14.766725843003211</v>
      </c>
      <c r="N180" s="33">
        <f t="shared" si="162"/>
        <v>129.06406980022055</v>
      </c>
      <c r="O180" s="33">
        <f t="shared" si="163"/>
        <v>134.48079251428959</v>
      </c>
      <c r="P180" s="33"/>
      <c r="Q180" s="30">
        <f t="shared" si="153"/>
        <v>-0.33800000000000002</v>
      </c>
      <c r="R180" s="30">
        <f t="shared" si="154"/>
        <v>-0.16200000000000001</v>
      </c>
      <c r="S180" s="30">
        <f t="shared" si="155"/>
        <v>0.5</v>
      </c>
      <c r="T180" s="30">
        <f t="shared" si="156"/>
        <v>0.5</v>
      </c>
      <c r="W180" s="33">
        <f t="shared" si="157"/>
        <v>23.845673756595488</v>
      </c>
      <c r="X180" s="33">
        <f t="shared" si="158"/>
        <v>9.7761738347156317</v>
      </c>
      <c r="Y180" s="33">
        <f t="shared" si="159"/>
        <v>16.651362708798995</v>
      </c>
      <c r="AB180" s="45">
        <f t="shared" si="160"/>
        <v>9.3512446104296029E-2</v>
      </c>
      <c r="AC180" s="45">
        <f t="shared" si="149"/>
        <v>3.8337936606727969E-2</v>
      </c>
      <c r="AD180" s="45">
        <f t="shared" si="149"/>
        <v>6.529946160313331E-2</v>
      </c>
      <c r="BD180" s="30"/>
      <c r="BE180" s="30"/>
      <c r="BF180" s="30"/>
      <c r="BG180" s="30"/>
      <c r="BH180" s="30"/>
      <c r="BI180" s="30"/>
      <c r="BV180" s="27">
        <f t="shared" si="126"/>
        <v>221</v>
      </c>
      <c r="BW180" s="30">
        <v>176</v>
      </c>
      <c r="BX180" s="30">
        <f t="shared" si="127"/>
        <v>221</v>
      </c>
      <c r="BY180" s="30">
        <f t="shared" si="128"/>
        <v>0.5</v>
      </c>
      <c r="BZ180" s="30"/>
      <c r="CF180" s="30"/>
      <c r="CG180" s="30"/>
    </row>
    <row r="181" spans="2:85" x14ac:dyDescent="0.3">
      <c r="B181" s="33">
        <f t="shared" si="146"/>
        <v>-4.6047081438297965</v>
      </c>
      <c r="C181" s="33">
        <f t="shared" si="147"/>
        <v>-43.804444637831416</v>
      </c>
      <c r="D181" s="33">
        <f t="shared" si="148"/>
        <v>5.3073757856576922</v>
      </c>
      <c r="E181" s="94"/>
      <c r="F181" s="142"/>
      <c r="G181" s="166"/>
      <c r="H181" s="190"/>
      <c r="I181" s="33">
        <f t="shared" si="150"/>
        <v>113.159517622686</v>
      </c>
      <c r="J181" s="33">
        <f t="shared" si="151"/>
        <v>104.80619399883389</v>
      </c>
      <c r="K181" s="33">
        <f t="shared" si="152"/>
        <v>122.44906572114171</v>
      </c>
      <c r="M181" s="33">
        <f t="shared" si="161"/>
        <v>113.159517622686</v>
      </c>
      <c r="N181" s="33">
        <f t="shared" si="162"/>
        <v>104.81212574088195</v>
      </c>
      <c r="O181" s="33">
        <f t="shared" si="163"/>
        <v>122.41152966249861</v>
      </c>
      <c r="P181" s="33"/>
      <c r="Q181" s="30">
        <f t="shared" si="153"/>
        <v>-0.33800000000000002</v>
      </c>
      <c r="R181" s="30">
        <f t="shared" si="154"/>
        <v>-0.16200000000000001</v>
      </c>
      <c r="S181" s="30">
        <f t="shared" si="155"/>
        <v>0.5</v>
      </c>
      <c r="T181" s="30">
        <f t="shared" si="156"/>
        <v>0.5</v>
      </c>
      <c r="W181" s="33">
        <f t="shared" si="157"/>
        <v>105.29509225413702</v>
      </c>
      <c r="X181" s="33">
        <f t="shared" si="158"/>
        <v>125.14496118153166</v>
      </c>
      <c r="Y181" s="33">
        <f t="shared" si="159"/>
        <v>72.071866887192613</v>
      </c>
      <c r="AB181" s="45">
        <f t="shared" si="160"/>
        <v>0.41292193040838049</v>
      </c>
      <c r="AC181" s="45">
        <f t="shared" si="149"/>
        <v>0.49076455365306532</v>
      </c>
      <c r="AD181" s="45">
        <f t="shared" si="149"/>
        <v>0.28263477210663768</v>
      </c>
      <c r="BD181" s="30"/>
      <c r="BE181" s="30"/>
      <c r="BF181" s="30"/>
      <c r="BG181" s="30"/>
      <c r="BH181" s="30"/>
      <c r="BI181" s="30"/>
      <c r="BV181" s="27">
        <f t="shared" si="126"/>
        <v>221.5</v>
      </c>
      <c r="BW181" s="30">
        <v>177</v>
      </c>
      <c r="BX181" s="30">
        <f t="shared" si="127"/>
        <v>221.5</v>
      </c>
      <c r="BY181" s="30">
        <f t="shared" si="128"/>
        <v>0.5</v>
      </c>
      <c r="BZ181" s="30"/>
      <c r="CF181" s="30"/>
      <c r="CG181" s="30"/>
    </row>
    <row r="182" spans="2:85" x14ac:dyDescent="0.3">
      <c r="B182" s="33">
        <f t="shared" si="146"/>
        <v>-0.85738671740166694</v>
      </c>
      <c r="C182" s="33">
        <f t="shared" si="147"/>
        <v>-42.843123555085008</v>
      </c>
      <c r="D182" s="33">
        <f t="shared" si="148"/>
        <v>-2.7862848243979901</v>
      </c>
      <c r="E182" s="95"/>
      <c r="F182" s="143"/>
      <c r="G182" s="167"/>
      <c r="H182" s="191"/>
      <c r="I182" s="33">
        <f>$Q$93*AB156*255+$R$93*AC156*255+$S$93*AD156*255</f>
        <v>126.62657984868844</v>
      </c>
      <c r="J182" s="33">
        <f t="shared" si="151"/>
        <v>90.588287053751245</v>
      </c>
      <c r="K182" s="33">
        <f t="shared" si="152"/>
        <v>162.8169412399867</v>
      </c>
      <c r="M182" s="33">
        <f t="shared" si="161"/>
        <v>126.62657984868844</v>
      </c>
      <c r="N182" s="33">
        <f t="shared" si="162"/>
        <v>90.570057541314156</v>
      </c>
      <c r="O182" s="33">
        <f t="shared" si="163"/>
        <v>162.78254610175983</v>
      </c>
      <c r="P182" s="33"/>
      <c r="Q182" s="30">
        <f t="shared" si="153"/>
        <v>-0.33800000000000002</v>
      </c>
      <c r="R182" s="30">
        <f t="shared" si="154"/>
        <v>-0.16200000000000001</v>
      </c>
      <c r="S182" s="30">
        <f t="shared" si="155"/>
        <v>0.5</v>
      </c>
      <c r="T182" s="30">
        <f t="shared" si="156"/>
        <v>0.5</v>
      </c>
      <c r="W182" s="33">
        <f t="shared" si="157"/>
        <v>175.36729491214092</v>
      </c>
      <c r="X182" s="33">
        <f t="shared" si="158"/>
        <v>114.68128855404183</v>
      </c>
      <c r="Y182" s="33">
        <f t="shared" si="159"/>
        <v>60.296862181892749</v>
      </c>
      <c r="AB182" s="45">
        <f t="shared" si="160"/>
        <v>0.68771488200839581</v>
      </c>
      <c r="AC182" s="45">
        <f t="shared" si="149"/>
        <v>0.44973054334918366</v>
      </c>
      <c r="AD182" s="45">
        <f t="shared" si="149"/>
        <v>0.23645828306624608</v>
      </c>
      <c r="BD182" s="30"/>
      <c r="BE182" s="30"/>
      <c r="BF182" s="30"/>
      <c r="BG182" s="30"/>
      <c r="BH182" s="30"/>
      <c r="BI182" s="30"/>
      <c r="BV182" s="27">
        <f t="shared" si="126"/>
        <v>222</v>
      </c>
      <c r="BW182" s="30">
        <v>178</v>
      </c>
      <c r="BX182" s="30">
        <f t="shared" si="127"/>
        <v>222</v>
      </c>
      <c r="BY182" s="30">
        <f t="shared" si="128"/>
        <v>0.5</v>
      </c>
      <c r="BZ182" s="30"/>
      <c r="CF182" s="30"/>
      <c r="CG182" s="30"/>
    </row>
    <row r="183" spans="2:85" x14ac:dyDescent="0.3">
      <c r="B183" s="33">
        <f t="shared" si="146"/>
        <v>-0.37648635039592904</v>
      </c>
      <c r="C183" s="33">
        <f t="shared" si="147"/>
        <v>-41.298005032275022</v>
      </c>
      <c r="D183" s="33">
        <f t="shared" si="148"/>
        <v>-11.618965221666731</v>
      </c>
      <c r="E183" s="96"/>
      <c r="F183" s="144"/>
      <c r="G183" s="168"/>
      <c r="H183" s="192"/>
      <c r="I183" s="33">
        <f t="shared" si="150"/>
        <v>5.9828876526328001</v>
      </c>
      <c r="J183" s="33">
        <f t="shared" si="151"/>
        <v>138.41383663531269</v>
      </c>
      <c r="K183" s="33">
        <f t="shared" si="152"/>
        <v>124.80443183582574</v>
      </c>
      <c r="M183" s="33">
        <f t="shared" si="161"/>
        <v>5.9828876526328001</v>
      </c>
      <c r="N183" s="33">
        <f t="shared" si="162"/>
        <v>138.41479497665725</v>
      </c>
      <c r="O183" s="33">
        <f t="shared" si="163"/>
        <v>124.80302587063564</v>
      </c>
      <c r="P183" s="33"/>
      <c r="Q183" s="30">
        <f t="shared" si="153"/>
        <v>-0.33800000000000002</v>
      </c>
      <c r="R183" s="30">
        <f t="shared" si="154"/>
        <v>-0.16200000000000001</v>
      </c>
      <c r="S183" s="30">
        <f t="shared" si="155"/>
        <v>0.5</v>
      </c>
      <c r="T183" s="30">
        <f t="shared" si="156"/>
        <v>0.5</v>
      </c>
      <c r="W183" s="33">
        <f t="shared" si="157"/>
        <v>1.4901075898155485</v>
      </c>
      <c r="X183" s="33">
        <f t="shared" si="158"/>
        <v>4.6872252246193113</v>
      </c>
      <c r="Y183" s="33">
        <f t="shared" si="159"/>
        <v>24.438107687951021</v>
      </c>
      <c r="AB183" s="45">
        <f t="shared" si="160"/>
        <v>5.8435591757472491E-3</v>
      </c>
      <c r="AC183" s="45">
        <f t="shared" si="149"/>
        <v>1.8381275390663965E-2</v>
      </c>
      <c r="AD183" s="45">
        <f t="shared" si="149"/>
        <v>9.5835716423337339E-2</v>
      </c>
      <c r="BD183" s="30"/>
      <c r="BE183" s="30"/>
      <c r="BF183" s="30"/>
      <c r="BG183" s="30"/>
      <c r="BH183" s="30"/>
      <c r="BI183" s="30"/>
      <c r="BV183" s="27">
        <f t="shared" si="126"/>
        <v>222.5</v>
      </c>
      <c r="BW183" s="30">
        <v>179</v>
      </c>
      <c r="BX183" s="30">
        <f t="shared" si="127"/>
        <v>222.5</v>
      </c>
      <c r="BY183" s="30">
        <f t="shared" si="128"/>
        <v>0.5</v>
      </c>
      <c r="BZ183" s="30"/>
      <c r="CF183" s="30"/>
      <c r="CG183" s="30"/>
    </row>
    <row r="184" spans="2:85" x14ac:dyDescent="0.3">
      <c r="B184" s="33">
        <f t="shared" si="146"/>
        <v>-4.3186519531259364</v>
      </c>
      <c r="C184" s="33">
        <f t="shared" si="147"/>
        <v>-26.392624540404558</v>
      </c>
      <c r="D184" s="33">
        <f t="shared" si="148"/>
        <v>8.1479798127859357</v>
      </c>
      <c r="E184" s="97"/>
      <c r="F184" s="145"/>
      <c r="G184" s="169"/>
      <c r="H184" s="193"/>
      <c r="I184" s="33">
        <f t="shared" si="150"/>
        <v>41.411126493530709</v>
      </c>
      <c r="J184" s="33">
        <f t="shared" si="151"/>
        <v>122.60733908858496</v>
      </c>
      <c r="K184" s="33">
        <f>$Q$95*AB158*255+$R$95*AC158*255+$S$95*AD158*255+128</f>
        <v>113.77655156575375</v>
      </c>
      <c r="M184" s="33">
        <f t="shared" si="161"/>
        <v>41.411126493530709</v>
      </c>
      <c r="N184" s="33">
        <f t="shared" si="162"/>
        <v>122.61693123713333</v>
      </c>
      <c r="O184" s="33">
        <f t="shared" si="163"/>
        <v>113.76052236881847</v>
      </c>
      <c r="P184" s="33"/>
      <c r="Q184" s="30">
        <f t="shared" si="153"/>
        <v>-0.33800000000000002</v>
      </c>
      <c r="R184" s="30">
        <f t="shared" si="154"/>
        <v>-0.16200000000000001</v>
      </c>
      <c r="S184" s="30">
        <f t="shared" si="155"/>
        <v>0.5</v>
      </c>
      <c r="T184" s="30">
        <f t="shared" si="156"/>
        <v>0.5</v>
      </c>
      <c r="W184" s="33">
        <f t="shared" si="157"/>
        <v>21.434347718346821</v>
      </c>
      <c r="X184" s="33">
        <f t="shared" si="158"/>
        <v>53.438805817731989</v>
      </c>
      <c r="Y184" s="33">
        <f t="shared" si="159"/>
        <v>31.874364129266095</v>
      </c>
      <c r="AB184" s="45">
        <f t="shared" si="160"/>
        <v>8.4056265562144392E-2</v>
      </c>
      <c r="AC184" s="45">
        <f t="shared" si="149"/>
        <v>0.2095639443832627</v>
      </c>
      <c r="AD184" s="45">
        <f t="shared" si="149"/>
        <v>0.1249975063892788</v>
      </c>
      <c r="BD184" s="30"/>
      <c r="BE184" s="30"/>
      <c r="BF184" s="30"/>
      <c r="BG184" s="30"/>
      <c r="BH184" s="30"/>
      <c r="BI184" s="30"/>
      <c r="BV184" s="27">
        <f t="shared" si="126"/>
        <v>223</v>
      </c>
      <c r="BW184" s="30">
        <v>180</v>
      </c>
      <c r="BX184" s="30">
        <f t="shared" si="127"/>
        <v>223</v>
      </c>
      <c r="BY184" s="30">
        <f t="shared" si="128"/>
        <v>0.5</v>
      </c>
      <c r="BZ184" s="30"/>
      <c r="CF184" s="30"/>
      <c r="CG184" s="30"/>
    </row>
    <row r="185" spans="2:85" x14ac:dyDescent="0.3">
      <c r="B185" s="33">
        <f t="shared" si="146"/>
        <v>1.0020469238786731</v>
      </c>
      <c r="C185" s="33">
        <f t="shared" si="147"/>
        <v>-27.134691784870924</v>
      </c>
      <c r="D185" s="33">
        <f t="shared" si="148"/>
        <v>2.3594418240367072</v>
      </c>
      <c r="E185" s="98"/>
      <c r="F185" s="146"/>
      <c r="G185" s="170"/>
      <c r="H185" s="194"/>
      <c r="I185" s="33">
        <f t="shared" si="150"/>
        <v>50.669973697399222</v>
      </c>
      <c r="J185" s="33">
        <f t="shared" si="151"/>
        <v>111.02619678449736</v>
      </c>
      <c r="K185" s="33">
        <f t="shared" si="152"/>
        <v>172.08872274920822</v>
      </c>
      <c r="M185" s="33">
        <f t="shared" si="161"/>
        <v>50.669973697399222</v>
      </c>
      <c r="N185" s="33">
        <f t="shared" si="162"/>
        <v>110.99996406097867</v>
      </c>
      <c r="O185" s="33">
        <f t="shared" si="163"/>
        <v>172.08121333827546</v>
      </c>
      <c r="P185" s="33"/>
      <c r="Q185" s="30">
        <f t="shared" si="153"/>
        <v>-0.33800000000000002</v>
      </c>
      <c r="R185" s="30">
        <f t="shared" si="154"/>
        <v>-0.16200000000000001</v>
      </c>
      <c r="S185" s="30">
        <f t="shared" si="155"/>
        <v>0.5</v>
      </c>
      <c r="T185" s="30">
        <f t="shared" si="156"/>
        <v>0.5</v>
      </c>
      <c r="W185" s="33">
        <f t="shared" si="157"/>
        <v>112.46327392028664</v>
      </c>
      <c r="X185" s="33">
        <f t="shared" si="158"/>
        <v>25.04574934534925</v>
      </c>
      <c r="Y185" s="33">
        <f t="shared" si="159"/>
        <v>20.540350258890456</v>
      </c>
      <c r="AB185" s="45">
        <f t="shared" si="160"/>
        <v>0.44103244674622211</v>
      </c>
      <c r="AC185" s="45">
        <f t="shared" si="149"/>
        <v>9.8218624883722544E-2</v>
      </c>
      <c r="AD185" s="45">
        <f t="shared" si="149"/>
        <v>8.0550393172119442E-2</v>
      </c>
      <c r="BD185" s="30"/>
      <c r="BE185" s="30"/>
      <c r="BF185" s="30"/>
      <c r="BG185" s="30"/>
      <c r="BH185" s="30"/>
      <c r="BI185" s="30"/>
      <c r="BV185" s="27">
        <f t="shared" si="126"/>
        <v>223.5</v>
      </c>
      <c r="BW185" s="30">
        <v>181</v>
      </c>
      <c r="BX185" s="30">
        <f t="shared" si="127"/>
        <v>223.5</v>
      </c>
      <c r="BY185" s="30">
        <f t="shared" si="128"/>
        <v>0.5</v>
      </c>
      <c r="BZ185" s="30"/>
      <c r="CF185" s="30"/>
      <c r="CG185" s="30"/>
    </row>
    <row r="186" spans="2:85" x14ac:dyDescent="0.3">
      <c r="B186" s="33">
        <f t="shared" si="146"/>
        <v>-4.4790447042720132</v>
      </c>
      <c r="C186" s="33">
        <f t="shared" si="147"/>
        <v>-50.934983724843121</v>
      </c>
      <c r="D186" s="33">
        <f t="shared" si="148"/>
        <v>-1.9381188394444713</v>
      </c>
      <c r="E186" s="99"/>
      <c r="F186" s="147"/>
      <c r="G186" s="171"/>
      <c r="H186" s="195"/>
      <c r="I186" s="33">
        <f>$Q$93*AB160*255+$R$93*AC160*255+$S$93*AD160*255</f>
        <v>155.14439888531084</v>
      </c>
      <c r="J186" s="33">
        <f>$Q$94*AB160*255+$R$94*AC160*255+$S$94*AD160*255+128</f>
        <v>87.12952463715736</v>
      </c>
      <c r="K186" s="33">
        <f t="shared" si="152"/>
        <v>151.41496382818789</v>
      </c>
      <c r="M186" s="33">
        <f t="shared" si="161"/>
        <v>155.14439888531084</v>
      </c>
      <c r="N186" s="33">
        <f t="shared" si="162"/>
        <v>87.118894700468303</v>
      </c>
      <c r="O186" s="33">
        <f t="shared" si="163"/>
        <v>151.36921218471034</v>
      </c>
      <c r="P186" s="33"/>
      <c r="Q186" s="30">
        <f t="shared" si="153"/>
        <v>-0.33800000000000002</v>
      </c>
      <c r="R186" s="30">
        <f t="shared" si="154"/>
        <v>-0.16200000000000001</v>
      </c>
      <c r="S186" s="30">
        <f t="shared" si="155"/>
        <v>0.5</v>
      </c>
      <c r="T186" s="30">
        <f t="shared" si="156"/>
        <v>0.5</v>
      </c>
      <c r="W186" s="33">
        <f t="shared" si="157"/>
        <v>187.87446563074241</v>
      </c>
      <c r="X186" s="33">
        <f t="shared" si="158"/>
        <v>152.54180355038221</v>
      </c>
      <c r="Y186" s="33">
        <f t="shared" si="159"/>
        <v>82.700833137232379</v>
      </c>
      <c r="AB186" s="45">
        <f t="shared" si="160"/>
        <v>0.73676261031663692</v>
      </c>
      <c r="AC186" s="45">
        <f t="shared" si="149"/>
        <v>0.59820315117796941</v>
      </c>
      <c r="AD186" s="45">
        <f t="shared" si="149"/>
        <v>0.32431699269502895</v>
      </c>
      <c r="BD186" s="30"/>
      <c r="BE186" s="30"/>
      <c r="BF186" s="30"/>
      <c r="BG186" s="30"/>
      <c r="BH186" s="30"/>
      <c r="BI186" s="30"/>
      <c r="BV186" s="27">
        <f t="shared" si="126"/>
        <v>224</v>
      </c>
      <c r="BW186" s="30">
        <v>182</v>
      </c>
      <c r="BX186" s="30">
        <f t="shared" si="127"/>
        <v>224</v>
      </c>
      <c r="BY186" s="30">
        <f t="shared" si="128"/>
        <v>0.5</v>
      </c>
      <c r="BZ186" s="30"/>
      <c r="CF186" s="30"/>
      <c r="CG186" s="30"/>
    </row>
    <row r="187" spans="2:85" x14ac:dyDescent="0.3">
      <c r="B187" s="33">
        <f t="shared" si="146"/>
        <v>1.6452627040604</v>
      </c>
      <c r="C187" s="33">
        <f t="shared" si="147"/>
        <v>-25.950566320208154</v>
      </c>
      <c r="D187" s="33">
        <f t="shared" si="148"/>
        <v>7.6115767453477439</v>
      </c>
      <c r="E187" s="100"/>
      <c r="F187" s="148"/>
      <c r="G187" s="172"/>
      <c r="H187" s="196"/>
      <c r="I187" s="33">
        <f t="shared" si="150"/>
        <v>66.511982411589656</v>
      </c>
      <c r="J187" s="33">
        <f t="shared" si="151"/>
        <v>121.46836235755958</v>
      </c>
      <c r="K187" s="33">
        <f t="shared" si="152"/>
        <v>166.57736189138856</v>
      </c>
      <c r="M187" s="33">
        <f t="shared" si="161"/>
        <v>66.511982411589656</v>
      </c>
      <c r="N187" s="33">
        <f t="shared" si="162"/>
        <v>121.44455706716057</v>
      </c>
      <c r="O187" s="33">
        <f t="shared" si="163"/>
        <v>166.56499495164744</v>
      </c>
      <c r="P187" s="33"/>
      <c r="Q187" s="30">
        <f t="shared" si="153"/>
        <v>-0.33800000000000002</v>
      </c>
      <c r="R187" s="30">
        <f t="shared" si="154"/>
        <v>-0.16200000000000001</v>
      </c>
      <c r="S187" s="30">
        <f t="shared" si="155"/>
        <v>0.5</v>
      </c>
      <c r="T187" s="30">
        <f t="shared" si="156"/>
        <v>0.5</v>
      </c>
      <c r="W187" s="33">
        <f t="shared" si="157"/>
        <v>120.55678078881471</v>
      </c>
      <c r="X187" s="33">
        <f t="shared" si="158"/>
        <v>41.240146429498523</v>
      </c>
      <c r="Y187" s="33">
        <f t="shared" si="159"/>
        <v>54.890692996652938</v>
      </c>
      <c r="AB187" s="45">
        <f t="shared" si="160"/>
        <v>0.47277168936790082</v>
      </c>
      <c r="AC187" s="45">
        <f t="shared" ref="AC187:AC188" si="164">X187/255</f>
        <v>0.16172606442940599</v>
      </c>
      <c r="AD187" s="45">
        <f t="shared" ref="AD187:AD188" si="165">Y187/255</f>
        <v>0.2152576195947174</v>
      </c>
      <c r="BD187" s="30"/>
      <c r="BE187" s="30"/>
      <c r="BF187" s="30"/>
      <c r="BG187" s="30"/>
      <c r="BH187" s="30"/>
      <c r="BI187" s="30"/>
      <c r="BV187" s="27">
        <f t="shared" si="126"/>
        <v>224.5</v>
      </c>
      <c r="BW187" s="30">
        <v>183</v>
      </c>
      <c r="BX187" s="30">
        <f t="shared" si="127"/>
        <v>224.5</v>
      </c>
      <c r="BY187" s="30">
        <f t="shared" si="128"/>
        <v>0.5</v>
      </c>
      <c r="BZ187" s="30"/>
      <c r="CF187" s="30"/>
      <c r="CG187" s="30"/>
    </row>
    <row r="188" spans="2:85" x14ac:dyDescent="0.3">
      <c r="B188" s="33">
        <f t="shared" si="146"/>
        <v>-2.4002369441930824</v>
      </c>
      <c r="C188" s="33">
        <f t="shared" si="147"/>
        <v>-18.011361149067827</v>
      </c>
      <c r="D188" s="33">
        <f t="shared" si="148"/>
        <v>-8.8639819674585425</v>
      </c>
      <c r="E188" s="101"/>
      <c r="F188" s="149"/>
      <c r="G188" s="173"/>
      <c r="H188" s="197"/>
      <c r="I188" s="33">
        <f t="shared" si="150"/>
        <v>30.898528382886074</v>
      </c>
      <c r="J188" s="33">
        <f>$Q$94*AB162*255+$R$94*AC162*255+$S$94*AD162*255+128</f>
        <v>145.79920649456187</v>
      </c>
      <c r="K188" s="33">
        <f t="shared" si="152"/>
        <v>112.61188169850126</v>
      </c>
      <c r="M188" s="33">
        <f t="shared" si="161"/>
        <v>30.898528382886074</v>
      </c>
      <c r="N188" s="33">
        <f t="shared" si="162"/>
        <v>145.80714989926196</v>
      </c>
      <c r="O188" s="33">
        <f t="shared" si="163"/>
        <v>112.60114899576428</v>
      </c>
      <c r="P188" s="33"/>
      <c r="Q188" s="30">
        <f t="shared" si="153"/>
        <v>-0.33800000000000002</v>
      </c>
      <c r="R188" s="30">
        <f t="shared" si="154"/>
        <v>-0.16200000000000001</v>
      </c>
      <c r="S188" s="30">
        <f t="shared" si="155"/>
        <v>0.5</v>
      </c>
      <c r="T188" s="30">
        <f t="shared" si="156"/>
        <v>0.5</v>
      </c>
      <c r="W188" s="33">
        <f t="shared" si="157"/>
        <v>9.2826067938798218</v>
      </c>
      <c r="X188" s="33">
        <f t="shared" si="158"/>
        <v>35.780609638666206</v>
      </c>
      <c r="Y188" s="33">
        <f t="shared" si="159"/>
        <v>62.454483277359195</v>
      </c>
      <c r="AB188" s="45">
        <f t="shared" si="160"/>
        <v>3.6402379583842438E-2</v>
      </c>
      <c r="AC188" s="45">
        <f t="shared" si="164"/>
        <v>0.14031611623006354</v>
      </c>
      <c r="AD188" s="45">
        <f t="shared" si="165"/>
        <v>0.24491954226415372</v>
      </c>
      <c r="BD188" s="30"/>
      <c r="BE188" s="30"/>
      <c r="BF188" s="30"/>
      <c r="BG188" s="30"/>
      <c r="BH188" s="30"/>
      <c r="BI188" s="30"/>
      <c r="BV188" s="27">
        <f t="shared" si="126"/>
        <v>225</v>
      </c>
      <c r="BW188" s="30">
        <v>184</v>
      </c>
      <c r="BX188" s="30">
        <f t="shared" si="127"/>
        <v>225</v>
      </c>
      <c r="BY188" s="30">
        <f t="shared" si="128"/>
        <v>0.5</v>
      </c>
      <c r="BZ188" s="30"/>
      <c r="CF188" s="30"/>
      <c r="CG188" s="30"/>
    </row>
    <row r="189" spans="2:85" x14ac:dyDescent="0.3">
      <c r="B189" s="33">
        <f t="shared" si="146"/>
        <v>-0.74755400973489827</v>
      </c>
      <c r="C189" s="33">
        <f t="shared" si="147"/>
        <v>-1.3410071412122408</v>
      </c>
      <c r="D189" s="33">
        <f t="shared" si="148"/>
        <v>-0.8670124819429007</v>
      </c>
      <c r="E189" s="102"/>
      <c r="F189" s="150"/>
      <c r="G189" s="174"/>
      <c r="H189" s="198"/>
      <c r="I189" s="33">
        <f t="shared" si="150"/>
        <v>202.13552859989326</v>
      </c>
      <c r="J189" s="33">
        <f t="shared" si="151"/>
        <v>123.71128912032532</v>
      </c>
      <c r="K189" s="33">
        <f t="shared" si="152"/>
        <v>132.53525996159081</v>
      </c>
      <c r="M189" s="33">
        <f t="shared" ref="M189:M194" si="166">I189</f>
        <v>202.13552859989326</v>
      </c>
      <c r="N189" s="33">
        <f t="shared" ref="N189:N194" si="167">S189*((AD163*255-AC163*255)+Q189*(AB163*255-AC163*255))+128</f>
        <v>123.70888975521288</v>
      </c>
      <c r="O189" s="33">
        <f t="shared" ref="O189:O194" si="168">T189*((AB163*255-AC163*255)+R189*(AD163*255-AC163*255))+128</f>
        <v>132.47513565357525</v>
      </c>
      <c r="P189" s="33"/>
      <c r="Q189" s="30">
        <f t="shared" ref="Q189:Q194" si="169">IF(I33-J33&gt;0,$AG$12,$AH$12)</f>
        <v>-0.33800000000000002</v>
      </c>
      <c r="R189" s="30">
        <f t="shared" ref="R189:R194" si="170">IF(K33-J33&gt;0,$AI$12,$AJ$12)</f>
        <v>-0.16200000000000001</v>
      </c>
      <c r="S189" s="30">
        <f t="shared" ref="S189:S194" si="171">IF(K33-J33+(I33-J33)*Q189&gt;0,$AC$12,$AD$12)</f>
        <v>0.5</v>
      </c>
      <c r="T189" s="30">
        <f t="shared" ref="T189:T194" si="172">IF((I33-J33)+(K33-J33)*R189&gt;0,$AE$12,$AF$12)</f>
        <v>0.5</v>
      </c>
      <c r="W189" s="33">
        <f t="shared" ref="W189:W194" si="173">IF((M189*$Q$98+(N189-128)*$R$98+(O189-128)*$S$98)&lt;0,0,IF((M189*$Q$98+(N189-128)*$R$98+(O189-128)*$S$98)&gt;255,255,(M189*$Q$98+(N189-128)*$R$98+(O189-128)*$S$98)))</f>
        <v>208.32795210033274</v>
      </c>
      <c r="X189" s="33">
        <f t="shared" ref="X189:X194" si="174">IF((M189*$Q$99+(N189-128)*$R$99+(O189-128)*$S$99)&lt;0,0,IF((M189*$Q$99+(N189-128)*$R$99+(O189-128)*$S$99)&gt;255,255,(M189*$Q$99+(N189-128)*$R$99+(O189-128)*$S$99)))</f>
        <v>200.4581197943221</v>
      </c>
      <c r="Y189" s="33">
        <f t="shared" ref="Y189:Y194" si="175">IF((M189*$Q$100+(N189-128)*$R$100+(O189-128)*$S$100)&lt;0,0,IF((M189*$Q$100+(N189-128)*$R$100+(O189-128)*$S$100)&gt;255,255,(M189*$Q$100+(N189-128)*$R$100+(O189-128)*$S$100)))</f>
        <v>194.5311807247958</v>
      </c>
      <c r="AB189" s="45">
        <f t="shared" ref="AB189:AB194" si="176">W189/255</f>
        <v>0.81697236117777539</v>
      </c>
      <c r="AC189" s="45">
        <f t="shared" ref="AC189:AC194" si="177">X189/255</f>
        <v>0.78611027370322395</v>
      </c>
      <c r="AD189" s="45">
        <f t="shared" ref="AD189:AD194" si="178">Y189/255</f>
        <v>0.76286737539135607</v>
      </c>
      <c r="BD189" s="30"/>
      <c r="BE189" s="30"/>
      <c r="BF189" s="30"/>
      <c r="BG189" s="30"/>
      <c r="BH189" s="30"/>
      <c r="BI189" s="30"/>
      <c r="BV189" s="27">
        <f t="shared" si="126"/>
        <v>225.75</v>
      </c>
      <c r="BW189" s="30">
        <v>185</v>
      </c>
      <c r="BX189" s="30">
        <f t="shared" si="127"/>
        <v>225.75</v>
      </c>
      <c r="BY189" s="30">
        <f t="shared" si="128"/>
        <v>0.75</v>
      </c>
      <c r="BZ189" s="30"/>
      <c r="CF189" s="30"/>
      <c r="CG189" s="30"/>
    </row>
    <row r="190" spans="2:85" x14ac:dyDescent="0.3">
      <c r="B190" s="33">
        <f t="shared" si="146"/>
        <v>-3.7098635560153639</v>
      </c>
      <c r="C190" s="33">
        <f t="shared" si="147"/>
        <v>-1.1340320912644368</v>
      </c>
      <c r="D190" s="33">
        <f t="shared" si="148"/>
        <v>-1.7978972730767091</v>
      </c>
      <c r="E190" s="103"/>
      <c r="F190" s="151"/>
      <c r="G190" s="175"/>
      <c r="H190" s="199"/>
      <c r="I190" s="33">
        <f t="shared" si="150"/>
        <v>136.08989560048519</v>
      </c>
      <c r="J190" s="33">
        <f t="shared" si="151"/>
        <v>125.34296456890871</v>
      </c>
      <c r="K190" s="33">
        <f t="shared" si="152"/>
        <v>131.31512170424907</v>
      </c>
      <c r="M190" s="33">
        <f t="shared" si="166"/>
        <v>136.08989560048519</v>
      </c>
      <c r="N190" s="33">
        <f t="shared" si="167"/>
        <v>125.34115932708201</v>
      </c>
      <c r="O190" s="33">
        <f t="shared" si="168"/>
        <v>131.27472219775115</v>
      </c>
      <c r="P190" s="33"/>
      <c r="Q190" s="30">
        <f t="shared" si="169"/>
        <v>-0.33800000000000002</v>
      </c>
      <c r="R190" s="30">
        <f t="shared" si="170"/>
        <v>-0.16200000000000001</v>
      </c>
      <c r="S190" s="30">
        <f t="shared" si="171"/>
        <v>0.5</v>
      </c>
      <c r="T190" s="30">
        <f t="shared" si="172"/>
        <v>0.5</v>
      </c>
      <c r="W190" s="33">
        <f t="shared" si="173"/>
        <v>140.62585621880692</v>
      </c>
      <c r="X190" s="33">
        <f t="shared" si="174"/>
        <v>134.69449162525945</v>
      </c>
      <c r="Y190" s="33">
        <f t="shared" si="175"/>
        <v>131.37805269328635</v>
      </c>
      <c r="AB190" s="45">
        <f t="shared" si="176"/>
        <v>0.55147394595610555</v>
      </c>
      <c r="AC190" s="45">
        <f t="shared" si="177"/>
        <v>0.52821369264807627</v>
      </c>
      <c r="AD190" s="45">
        <f t="shared" si="178"/>
        <v>0.51520804977759349</v>
      </c>
      <c r="BD190" s="30"/>
      <c r="BE190" s="30"/>
      <c r="BF190" s="30"/>
      <c r="BG190" s="30"/>
      <c r="BH190" s="30"/>
      <c r="BI190" s="30"/>
      <c r="BV190" s="27">
        <f t="shared" si="126"/>
        <v>226.25</v>
      </c>
      <c r="BW190" s="30">
        <v>186</v>
      </c>
      <c r="BX190" s="30">
        <f t="shared" si="127"/>
        <v>226.25</v>
      </c>
      <c r="BY190" s="30">
        <f t="shared" si="128"/>
        <v>0.5</v>
      </c>
      <c r="BZ190" s="30"/>
      <c r="CF190" s="30"/>
      <c r="CG190" s="30"/>
    </row>
    <row r="191" spans="2:85" x14ac:dyDescent="0.3">
      <c r="B191" s="33">
        <f t="shared" si="146"/>
        <v>-4.3875905008378737</v>
      </c>
      <c r="C191" s="33">
        <f t="shared" si="147"/>
        <v>-1.6831601238904594</v>
      </c>
      <c r="D191" s="33">
        <f t="shared" si="148"/>
        <v>0.2877734576636502</v>
      </c>
      <c r="E191" s="104"/>
      <c r="F191" s="152"/>
      <c r="G191" s="176"/>
      <c r="H191" s="200"/>
      <c r="I191" s="33">
        <f t="shared" si="150"/>
        <v>75.915634698672349</v>
      </c>
      <c r="J191" s="33">
        <f t="shared" si="151"/>
        <v>126.56592798299835</v>
      </c>
      <c r="K191" s="33">
        <f t="shared" si="152"/>
        <v>128.78749909644003</v>
      </c>
      <c r="M191" s="33">
        <f t="shared" si="166"/>
        <v>75.915634698672349</v>
      </c>
      <c r="N191" s="33">
        <f t="shared" si="167"/>
        <v>126.56559006012854</v>
      </c>
      <c r="O191" s="33">
        <f t="shared" si="168"/>
        <v>128.76474035217262</v>
      </c>
      <c r="P191" s="33"/>
      <c r="Q191" s="30">
        <f t="shared" si="169"/>
        <v>-0.33800000000000002</v>
      </c>
      <c r="R191" s="30">
        <f t="shared" si="170"/>
        <v>-0.16200000000000001</v>
      </c>
      <c r="S191" s="30">
        <f t="shared" si="171"/>
        <v>0.5</v>
      </c>
      <c r="T191" s="30">
        <f t="shared" si="172"/>
        <v>0.5</v>
      </c>
      <c r="W191" s="33">
        <f t="shared" si="173"/>
        <v>76.956983243622091</v>
      </c>
      <c r="X191" s="33">
        <f t="shared" si="174"/>
        <v>75.878849153692784</v>
      </c>
      <c r="Y191" s="33">
        <f t="shared" si="175"/>
        <v>73.373791715892025</v>
      </c>
      <c r="AB191" s="45">
        <f t="shared" si="176"/>
        <v>0.30179209115145916</v>
      </c>
      <c r="AC191" s="45">
        <f t="shared" si="177"/>
        <v>0.29756411432820701</v>
      </c>
      <c r="AD191" s="45">
        <f t="shared" si="178"/>
        <v>0.28774035967016481</v>
      </c>
      <c r="BD191" s="30"/>
      <c r="BE191" s="30"/>
      <c r="BF191" s="30"/>
      <c r="BG191" s="30"/>
      <c r="BH191" s="30"/>
      <c r="BI191" s="30"/>
      <c r="BV191" s="27">
        <f t="shared" si="126"/>
        <v>226.75</v>
      </c>
      <c r="BW191" s="30">
        <v>187</v>
      </c>
      <c r="BX191" s="30">
        <f t="shared" si="127"/>
        <v>226.75</v>
      </c>
      <c r="BY191" s="30">
        <f t="shared" si="128"/>
        <v>0.5</v>
      </c>
      <c r="BZ191" s="30"/>
      <c r="CF191" s="30"/>
      <c r="CG191" s="30"/>
    </row>
    <row r="192" spans="2:85" x14ac:dyDescent="0.3">
      <c r="B192" s="33">
        <f t="shared" si="146"/>
        <v>-2.295198101045365</v>
      </c>
      <c r="C192" s="33">
        <f t="shared" si="147"/>
        <v>-0.93876597729445943</v>
      </c>
      <c r="D192" s="33">
        <f t="shared" si="148"/>
        <v>-0.30004513193974858</v>
      </c>
      <c r="E192" s="105"/>
      <c r="F192" s="153"/>
      <c r="G192" s="177">
        <v>0.18</v>
      </c>
      <c r="H192" s="201"/>
      <c r="I192" s="33">
        <f t="shared" si="150"/>
        <v>29.14063614229498</v>
      </c>
      <c r="J192" s="33">
        <f t="shared" si="151"/>
        <v>127.12051099283943</v>
      </c>
      <c r="K192" s="33">
        <f t="shared" si="152"/>
        <v>128.45644422271516</v>
      </c>
      <c r="M192" s="33">
        <f t="shared" si="166"/>
        <v>29.14063614229498</v>
      </c>
      <c r="N192" s="33">
        <f t="shared" si="167"/>
        <v>127.12031726594076</v>
      </c>
      <c r="O192" s="33">
        <f t="shared" si="168"/>
        <v>128.44770725060104</v>
      </c>
      <c r="P192" s="33"/>
      <c r="Q192" s="30">
        <f t="shared" si="169"/>
        <v>-0.33800000000000002</v>
      </c>
      <c r="R192" s="30">
        <f t="shared" si="170"/>
        <v>-0.16200000000000001</v>
      </c>
      <c r="S192" s="30">
        <f t="shared" si="171"/>
        <v>0.5</v>
      </c>
      <c r="T192" s="30">
        <f t="shared" si="172"/>
        <v>0.5</v>
      </c>
      <c r="W192" s="33">
        <f t="shared" si="173"/>
        <v>29.75674773401936</v>
      </c>
      <c r="X192" s="33">
        <f t="shared" si="174"/>
        <v>29.129546076331014</v>
      </c>
      <c r="Y192" s="33">
        <f t="shared" si="175"/>
        <v>27.581798447516572</v>
      </c>
      <c r="AB192" s="45">
        <f t="shared" si="176"/>
        <v>0.11669312836870337</v>
      </c>
      <c r="AC192" s="45">
        <f t="shared" si="177"/>
        <v>0.11423351402482751</v>
      </c>
      <c r="AD192" s="45">
        <f t="shared" si="178"/>
        <v>0.10816391548045715</v>
      </c>
      <c r="BD192" s="30"/>
      <c r="BE192" s="30"/>
      <c r="BF192" s="30"/>
      <c r="BG192" s="30"/>
      <c r="BH192" s="30"/>
      <c r="BI192" s="30"/>
      <c r="BV192" s="27">
        <f t="shared" si="126"/>
        <v>227.25</v>
      </c>
      <c r="BW192" s="30">
        <v>188</v>
      </c>
      <c r="BX192" s="30">
        <f t="shared" si="127"/>
        <v>227.25</v>
      </c>
      <c r="BY192" s="30">
        <f t="shared" si="128"/>
        <v>0.5</v>
      </c>
      <c r="BZ192" s="30"/>
      <c r="CF192" s="30"/>
      <c r="CG192" s="30"/>
    </row>
    <row r="193" spans="2:85" x14ac:dyDescent="0.3">
      <c r="B193" s="33">
        <f t="shared" si="146"/>
        <v>-3.0572773234898065</v>
      </c>
      <c r="C193" s="33">
        <f t="shared" si="147"/>
        <v>-0.26550503649903545</v>
      </c>
      <c r="D193" s="33">
        <f t="shared" si="148"/>
        <v>-7.9078090114057989E-2</v>
      </c>
      <c r="E193" s="106"/>
      <c r="F193" s="154"/>
      <c r="G193" s="178"/>
      <c r="H193" s="202"/>
      <c r="I193" s="33">
        <f t="shared" si="150"/>
        <v>7.3650874313696244</v>
      </c>
      <c r="J193" s="33">
        <f t="shared" si="151"/>
        <v>127.99568506672381</v>
      </c>
      <c r="K193" s="33">
        <f t="shared" si="152"/>
        <v>128.00290884056159</v>
      </c>
      <c r="M193" s="33">
        <f t="shared" si="166"/>
        <v>7.3650874313696244</v>
      </c>
      <c r="N193" s="33">
        <f t="shared" si="167"/>
        <v>127.99568506672381</v>
      </c>
      <c r="O193" s="33">
        <f t="shared" si="168"/>
        <v>128.00069901919073</v>
      </c>
      <c r="P193" s="33"/>
      <c r="Q193" s="30">
        <f t="shared" si="169"/>
        <v>-0.33800000000000002</v>
      </c>
      <c r="R193" s="30">
        <f t="shared" si="170"/>
        <v>-0.16200000000000001</v>
      </c>
      <c r="S193" s="30">
        <f t="shared" si="171"/>
        <v>0.5</v>
      </c>
      <c r="T193" s="30">
        <f t="shared" si="172"/>
        <v>0.5</v>
      </c>
      <c r="W193" s="33">
        <f t="shared" si="173"/>
        <v>7.3629730939223226</v>
      </c>
      <c r="X193" s="33">
        <f t="shared" si="174"/>
        <v>7.3676492781052207</v>
      </c>
      <c r="Y193" s="33">
        <f t="shared" si="175"/>
        <v>7.3574416670095282</v>
      </c>
      <c r="AB193" s="45">
        <f t="shared" si="176"/>
        <v>2.8874404289891461E-2</v>
      </c>
      <c r="AC193" s="45">
        <f t="shared" si="177"/>
        <v>2.8892742267079299E-2</v>
      </c>
      <c r="AD193" s="45">
        <f t="shared" si="178"/>
        <v>2.885271241964521E-2</v>
      </c>
      <c r="BD193" s="30"/>
      <c r="BE193" s="30"/>
      <c r="BF193" s="30"/>
      <c r="BG193" s="30"/>
      <c r="BH193" s="30"/>
      <c r="BI193" s="30"/>
      <c r="BV193" s="27">
        <f t="shared" si="126"/>
        <v>227.75</v>
      </c>
      <c r="BW193" s="30">
        <v>189</v>
      </c>
      <c r="BX193" s="30">
        <f t="shared" si="127"/>
        <v>227.75</v>
      </c>
      <c r="BY193" s="30">
        <f t="shared" si="128"/>
        <v>0.5</v>
      </c>
      <c r="BZ193" s="30"/>
      <c r="CF193" s="30"/>
      <c r="CG193" s="30"/>
    </row>
    <row r="194" spans="2:85" x14ac:dyDescent="0.3">
      <c r="B194" s="33">
        <f t="shared" si="146"/>
        <v>-0.79336938054193951</v>
      </c>
      <c r="C194" s="33">
        <f t="shared" si="147"/>
        <v>0.49426755434851039</v>
      </c>
      <c r="D194" s="33">
        <f t="shared" si="148"/>
        <v>-2.9482359284562807E-2</v>
      </c>
      <c r="E194" s="107"/>
      <c r="F194" s="155"/>
      <c r="G194" s="179"/>
      <c r="H194" s="203"/>
      <c r="I194" s="33">
        <f t="shared" si="150"/>
        <v>0.98081341523041232</v>
      </c>
      <c r="J194" s="33">
        <f t="shared" si="151"/>
        <v>128.04436074066169</v>
      </c>
      <c r="K194" s="33">
        <f t="shared" si="152"/>
        <v>127.99310476976271</v>
      </c>
      <c r="M194" s="33">
        <f t="shared" si="166"/>
        <v>0.98081341523041232</v>
      </c>
      <c r="N194" s="33">
        <f t="shared" si="167"/>
        <v>128.04436074066169</v>
      </c>
      <c r="O194" s="33">
        <f t="shared" si="168"/>
        <v>127.99281356001281</v>
      </c>
      <c r="P194" s="33"/>
      <c r="Q194" s="30">
        <f t="shared" si="169"/>
        <v>-0.33800000000000002</v>
      </c>
      <c r="R194" s="30">
        <f t="shared" si="170"/>
        <v>-0.16200000000000001</v>
      </c>
      <c r="S194" s="30">
        <f t="shared" si="171"/>
        <v>0.5</v>
      </c>
      <c r="T194" s="30">
        <f t="shared" si="172"/>
        <v>0.5</v>
      </c>
      <c r="W194" s="33">
        <f t="shared" si="173"/>
        <v>0.97029089389140932</v>
      </c>
      <c r="X194" s="33">
        <f t="shared" si="174"/>
        <v>0.97090712036309945</v>
      </c>
      <c r="Y194" s="33">
        <f t="shared" si="175"/>
        <v>1.0594206868749267</v>
      </c>
      <c r="AB194" s="45">
        <f t="shared" si="176"/>
        <v>3.8050623289859189E-3</v>
      </c>
      <c r="AC194" s="45">
        <f t="shared" si="177"/>
        <v>3.8074789033847038E-3</v>
      </c>
      <c r="AD194" s="45">
        <f t="shared" si="178"/>
        <v>4.1545909289212816E-3</v>
      </c>
      <c r="BD194" s="30"/>
      <c r="BE194" s="30"/>
      <c r="BF194" s="30"/>
      <c r="BG194" s="30"/>
      <c r="BH194" s="30"/>
      <c r="BI194" s="30"/>
      <c r="BV194" s="27">
        <f t="shared" si="126"/>
        <v>228.25</v>
      </c>
      <c r="BW194" s="30">
        <v>190</v>
      </c>
      <c r="BX194" s="30">
        <f t="shared" si="127"/>
        <v>228.25</v>
      </c>
      <c r="BY194" s="30">
        <f t="shared" si="128"/>
        <v>0.5</v>
      </c>
      <c r="BZ194" s="30"/>
      <c r="CF194" s="30"/>
      <c r="CG194" s="30"/>
    </row>
    <row r="195" spans="2:85" x14ac:dyDescent="0.3">
      <c r="N195" s="30"/>
      <c r="O195" s="30"/>
      <c r="P195" s="30"/>
      <c r="BD195" s="30"/>
      <c r="BE195" s="30"/>
      <c r="BF195" s="30"/>
      <c r="BG195" s="30"/>
      <c r="BH195" s="30"/>
      <c r="BI195" s="30"/>
      <c r="BV195" s="27">
        <f t="shared" si="126"/>
        <v>228.75</v>
      </c>
      <c r="BW195" s="30">
        <v>191</v>
      </c>
      <c r="BX195" s="30">
        <f t="shared" si="127"/>
        <v>228.75</v>
      </c>
      <c r="BY195" s="30">
        <f t="shared" si="128"/>
        <v>0.5</v>
      </c>
      <c r="BZ195" s="30"/>
      <c r="CF195" s="30"/>
      <c r="CG195" s="30"/>
    </row>
    <row r="196" spans="2:85" x14ac:dyDescent="0.3">
      <c r="B196" s="22"/>
      <c r="C196" s="22"/>
      <c r="D196" s="22"/>
      <c r="E196" s="22"/>
      <c r="F196" s="22"/>
      <c r="N196" s="30"/>
      <c r="O196" s="30"/>
      <c r="P196" s="30"/>
      <c r="BD196" s="30"/>
      <c r="BE196" s="30"/>
      <c r="BF196" s="30"/>
      <c r="BG196" s="30"/>
      <c r="BH196" s="30"/>
      <c r="BI196" s="30"/>
      <c r="BV196" s="27">
        <f t="shared" ref="BV196:BV260" si="179">BX196</f>
        <v>229</v>
      </c>
      <c r="BW196" s="30">
        <v>192</v>
      </c>
      <c r="BX196" s="30">
        <f t="shared" si="127"/>
        <v>229</v>
      </c>
      <c r="BY196" s="30">
        <f t="shared" si="128"/>
        <v>0.25</v>
      </c>
      <c r="BZ196" s="30"/>
      <c r="CF196" s="30"/>
      <c r="CG196" s="30"/>
    </row>
    <row r="197" spans="2:85" x14ac:dyDescent="0.3">
      <c r="E197" s="33"/>
      <c r="F197" s="33"/>
      <c r="I197" s="33"/>
      <c r="J197" s="33"/>
      <c r="K197" s="33"/>
      <c r="M197" s="33"/>
      <c r="N197" s="33"/>
      <c r="O197" s="33"/>
      <c r="P197" s="33"/>
      <c r="BD197" s="30"/>
      <c r="BE197" s="30"/>
      <c r="BF197" s="30"/>
      <c r="BG197" s="30"/>
      <c r="BH197" s="30"/>
      <c r="BI197" s="30"/>
      <c r="BV197" s="27">
        <f t="shared" si="179"/>
        <v>229.5</v>
      </c>
      <c r="BW197" s="30">
        <v>193</v>
      </c>
      <c r="BX197" s="30">
        <f t="shared" ref="BX197:BX259" si="180">VALUE(MID($CC$2,FIND("*",SUBSTITUTE($CC$2," ","*",BW197),1)+1,FIND("*",SUBSTITUTE($CC$2," ","*",BW198),1)-FIND("*",SUBSTITUTE($CC$2," ","*",BW197),1)-1))/$BH$12</f>
        <v>229.5</v>
      </c>
      <c r="BY197" s="30">
        <f t="shared" ref="BY197:BY260" si="181">BX197-BX196</f>
        <v>0.5</v>
      </c>
      <c r="BZ197" s="30"/>
      <c r="CF197" s="30"/>
      <c r="CG197" s="30"/>
    </row>
    <row r="198" spans="2:85" x14ac:dyDescent="0.3">
      <c r="E198" s="33"/>
      <c r="F198" s="33"/>
      <c r="I198" s="33"/>
      <c r="J198" s="33"/>
      <c r="K198" s="33"/>
      <c r="M198" s="33"/>
      <c r="N198" s="33"/>
      <c r="O198" s="33"/>
      <c r="P198" s="33"/>
      <c r="BD198" s="30"/>
      <c r="BE198" s="30"/>
      <c r="BF198" s="30"/>
      <c r="BG198" s="30"/>
      <c r="BH198" s="30"/>
      <c r="BI198" s="30"/>
      <c r="BV198" s="27">
        <f t="shared" si="179"/>
        <v>230</v>
      </c>
      <c r="BW198" s="30">
        <v>194</v>
      </c>
      <c r="BX198" s="30">
        <f t="shared" si="180"/>
        <v>230</v>
      </c>
      <c r="BY198" s="30">
        <f t="shared" si="181"/>
        <v>0.5</v>
      </c>
      <c r="BZ198" s="30"/>
      <c r="CF198" s="30"/>
      <c r="CG198" s="30"/>
    </row>
    <row r="199" spans="2:85" x14ac:dyDescent="0.3">
      <c r="E199" s="33"/>
      <c r="F199" s="33"/>
      <c r="I199" s="33"/>
      <c r="J199" s="33"/>
      <c r="K199" s="33"/>
      <c r="M199" s="33"/>
      <c r="N199" s="33"/>
      <c r="O199" s="33"/>
      <c r="P199" s="33"/>
      <c r="BD199" s="30"/>
      <c r="BE199" s="30"/>
      <c r="BF199" s="30"/>
      <c r="BG199" s="30"/>
      <c r="BH199" s="30"/>
      <c r="BI199" s="30"/>
      <c r="BV199" s="27">
        <f t="shared" si="179"/>
        <v>230.5</v>
      </c>
      <c r="BW199" s="30">
        <v>195</v>
      </c>
      <c r="BX199" s="30">
        <f t="shared" si="180"/>
        <v>230.5</v>
      </c>
      <c r="BY199" s="30">
        <f t="shared" si="181"/>
        <v>0.5</v>
      </c>
      <c r="BZ199" s="30"/>
      <c r="CF199" s="30"/>
      <c r="CG199" s="30"/>
    </row>
    <row r="200" spans="2:85" x14ac:dyDescent="0.3">
      <c r="E200" s="33"/>
      <c r="F200" s="33"/>
      <c r="I200" s="33"/>
      <c r="J200" s="33"/>
      <c r="K200" s="33"/>
      <c r="M200" s="33"/>
      <c r="N200" s="33"/>
      <c r="O200" s="33"/>
      <c r="P200" s="33"/>
      <c r="BD200" s="30"/>
      <c r="BE200" s="30"/>
      <c r="BF200" s="30"/>
      <c r="BG200" s="30"/>
      <c r="BH200" s="30"/>
      <c r="BI200" s="30"/>
      <c r="BV200" s="27">
        <f t="shared" si="179"/>
        <v>230.75</v>
      </c>
      <c r="BW200" s="30">
        <v>196</v>
      </c>
      <c r="BX200" s="30">
        <f t="shared" si="180"/>
        <v>230.75</v>
      </c>
      <c r="BY200" s="30">
        <f t="shared" si="181"/>
        <v>0.25</v>
      </c>
      <c r="BZ200" s="30"/>
      <c r="CF200" s="30"/>
      <c r="CG200" s="30"/>
    </row>
    <row r="201" spans="2:85" x14ac:dyDescent="0.3">
      <c r="E201" s="33"/>
      <c r="F201" s="33"/>
      <c r="I201" s="33"/>
      <c r="J201" s="33"/>
      <c r="K201" s="33"/>
      <c r="M201" s="33"/>
      <c r="N201" s="33"/>
      <c r="O201" s="33"/>
      <c r="P201" s="33"/>
      <c r="BD201" s="30"/>
      <c r="BE201" s="30"/>
      <c r="BF201" s="30"/>
      <c r="BG201" s="30"/>
      <c r="BH201" s="30"/>
      <c r="BI201" s="30"/>
      <c r="BV201" s="27">
        <f t="shared" si="179"/>
        <v>231.25</v>
      </c>
      <c r="BW201" s="30">
        <v>197</v>
      </c>
      <c r="BX201" s="30">
        <f t="shared" si="180"/>
        <v>231.25</v>
      </c>
      <c r="BY201" s="30">
        <f t="shared" si="181"/>
        <v>0.5</v>
      </c>
      <c r="BZ201" s="30"/>
      <c r="CF201" s="30"/>
      <c r="CG201" s="30"/>
    </row>
    <row r="202" spans="2:85" x14ac:dyDescent="0.3">
      <c r="E202" s="33"/>
      <c r="F202" s="33"/>
      <c r="I202" s="33"/>
      <c r="J202" s="33"/>
      <c r="K202" s="33"/>
      <c r="M202" s="33"/>
      <c r="N202" s="33"/>
      <c r="O202" s="33"/>
      <c r="P202" s="33"/>
      <c r="BD202" s="30"/>
      <c r="BE202" s="30"/>
      <c r="BF202" s="30"/>
      <c r="BG202" s="30"/>
      <c r="BH202" s="30"/>
      <c r="BI202" s="30"/>
      <c r="BV202" s="27">
        <f t="shared" si="179"/>
        <v>231.75</v>
      </c>
      <c r="BW202" s="30">
        <v>198</v>
      </c>
      <c r="BX202" s="30">
        <f t="shared" si="180"/>
        <v>231.75</v>
      </c>
      <c r="BY202" s="30">
        <f t="shared" si="181"/>
        <v>0.5</v>
      </c>
      <c r="BZ202" s="30"/>
      <c r="CF202" s="30"/>
      <c r="CG202" s="30"/>
    </row>
    <row r="203" spans="2:85" x14ac:dyDescent="0.3">
      <c r="E203" s="33"/>
      <c r="F203" s="33"/>
      <c r="I203" s="33"/>
      <c r="J203" s="33"/>
      <c r="K203" s="33"/>
      <c r="M203" s="33"/>
      <c r="N203" s="33"/>
      <c r="O203" s="33"/>
      <c r="P203" s="33"/>
      <c r="BD203" s="30"/>
      <c r="BE203" s="30"/>
      <c r="BF203" s="30"/>
      <c r="BG203" s="30"/>
      <c r="BH203" s="30"/>
      <c r="BI203" s="30"/>
      <c r="BV203" s="27">
        <f t="shared" si="179"/>
        <v>232.25</v>
      </c>
      <c r="BW203" s="30">
        <v>199</v>
      </c>
      <c r="BX203" s="30">
        <f t="shared" si="180"/>
        <v>232.25</v>
      </c>
      <c r="BY203" s="30">
        <f t="shared" si="181"/>
        <v>0.5</v>
      </c>
      <c r="BZ203" s="30"/>
      <c r="CF203" s="30"/>
      <c r="CG203" s="30"/>
    </row>
    <row r="204" spans="2:85" x14ac:dyDescent="0.3">
      <c r="E204" s="33"/>
      <c r="F204" s="33"/>
      <c r="I204" s="33"/>
      <c r="J204" s="33"/>
      <c r="K204" s="33"/>
      <c r="M204" s="33"/>
      <c r="N204" s="33"/>
      <c r="O204" s="33"/>
      <c r="P204" s="33"/>
      <c r="BD204" s="30"/>
      <c r="BE204" s="30"/>
      <c r="BF204" s="30"/>
      <c r="BG204" s="30"/>
      <c r="BH204" s="30"/>
      <c r="BI204" s="30"/>
      <c r="BV204" s="27">
        <f t="shared" si="179"/>
        <v>232.75</v>
      </c>
      <c r="BW204" s="30">
        <v>200</v>
      </c>
      <c r="BX204" s="30">
        <f t="shared" si="180"/>
        <v>232.75</v>
      </c>
      <c r="BY204" s="30">
        <f t="shared" si="181"/>
        <v>0.5</v>
      </c>
      <c r="BZ204" s="30"/>
      <c r="CF204" s="30"/>
      <c r="CG204" s="30"/>
    </row>
    <row r="205" spans="2:85" x14ac:dyDescent="0.3">
      <c r="E205" s="33"/>
      <c r="F205" s="33"/>
      <c r="I205" s="33"/>
      <c r="J205" s="33"/>
      <c r="K205" s="33"/>
      <c r="M205" s="33"/>
      <c r="N205" s="33"/>
      <c r="O205" s="33"/>
      <c r="P205" s="33"/>
      <c r="BD205" s="30"/>
      <c r="BE205" s="30"/>
      <c r="BF205" s="30"/>
      <c r="BG205" s="30"/>
      <c r="BH205" s="30"/>
      <c r="BI205" s="30"/>
      <c r="BV205" s="27">
        <f t="shared" si="179"/>
        <v>233</v>
      </c>
      <c r="BW205" s="30">
        <v>201</v>
      </c>
      <c r="BX205" s="30">
        <f t="shared" si="180"/>
        <v>233</v>
      </c>
      <c r="BY205" s="30">
        <f t="shared" si="181"/>
        <v>0.25</v>
      </c>
      <c r="BZ205" s="30"/>
      <c r="CF205" s="30"/>
      <c r="CG205" s="30"/>
    </row>
    <row r="206" spans="2:85" x14ac:dyDescent="0.3">
      <c r="E206" s="33"/>
      <c r="F206" s="33"/>
      <c r="I206" s="33"/>
      <c r="J206" s="33"/>
      <c r="K206" s="33"/>
      <c r="M206" s="33"/>
      <c r="N206" s="33"/>
      <c r="O206" s="33"/>
      <c r="P206" s="33"/>
      <c r="BD206" s="30"/>
      <c r="BE206" s="30"/>
      <c r="BF206" s="30"/>
      <c r="BG206" s="30"/>
      <c r="BH206" s="30"/>
      <c r="BI206" s="30"/>
      <c r="BV206" s="27">
        <f t="shared" si="179"/>
        <v>233.5</v>
      </c>
      <c r="BW206" s="30">
        <v>202</v>
      </c>
      <c r="BX206" s="30">
        <f t="shared" si="180"/>
        <v>233.5</v>
      </c>
      <c r="BY206" s="30">
        <f t="shared" si="181"/>
        <v>0.5</v>
      </c>
      <c r="BZ206" s="30"/>
      <c r="CF206" s="30"/>
      <c r="CG206" s="30"/>
    </row>
    <row r="207" spans="2:85" x14ac:dyDescent="0.3">
      <c r="E207" s="33"/>
      <c r="F207" s="33"/>
      <c r="I207" s="33"/>
      <c r="J207" s="33"/>
      <c r="K207" s="33"/>
      <c r="M207" s="33"/>
      <c r="N207" s="33"/>
      <c r="O207" s="33"/>
      <c r="P207" s="33"/>
      <c r="BD207" s="30"/>
      <c r="BE207" s="30"/>
      <c r="BF207" s="30"/>
      <c r="BG207" s="30"/>
      <c r="BH207" s="30"/>
      <c r="BI207" s="30"/>
      <c r="BV207" s="27">
        <f t="shared" si="179"/>
        <v>233.75</v>
      </c>
      <c r="BW207" s="30">
        <v>203</v>
      </c>
      <c r="BX207" s="30">
        <f t="shared" si="180"/>
        <v>233.75</v>
      </c>
      <c r="BY207" s="30">
        <f t="shared" si="181"/>
        <v>0.25</v>
      </c>
      <c r="BZ207" s="30"/>
      <c r="CF207" s="30"/>
      <c r="CG207" s="30"/>
    </row>
    <row r="208" spans="2:85" x14ac:dyDescent="0.3">
      <c r="E208" s="33"/>
      <c r="F208" s="33"/>
      <c r="I208" s="33"/>
      <c r="J208" s="33"/>
      <c r="K208" s="33"/>
      <c r="M208" s="33"/>
      <c r="N208" s="33"/>
      <c r="O208" s="33"/>
      <c r="P208" s="33"/>
      <c r="BD208" s="30"/>
      <c r="BE208" s="30"/>
      <c r="BF208" s="30"/>
      <c r="BG208" s="30"/>
      <c r="BH208" s="30"/>
      <c r="BI208" s="30"/>
      <c r="BV208" s="27">
        <f t="shared" si="179"/>
        <v>234.25</v>
      </c>
      <c r="BW208" s="30">
        <v>204</v>
      </c>
      <c r="BX208" s="30">
        <f t="shared" si="180"/>
        <v>234.25</v>
      </c>
      <c r="BY208" s="30">
        <f t="shared" si="181"/>
        <v>0.5</v>
      </c>
      <c r="BZ208" s="30"/>
      <c r="CF208" s="30"/>
      <c r="CG208" s="30"/>
    </row>
    <row r="209" spans="5:85" x14ac:dyDescent="0.3">
      <c r="E209" s="33"/>
      <c r="F209" s="33"/>
      <c r="I209" s="33"/>
      <c r="J209" s="33"/>
      <c r="K209" s="33"/>
      <c r="M209" s="33"/>
      <c r="N209" s="33"/>
      <c r="O209" s="33"/>
      <c r="P209" s="33"/>
      <c r="BD209" s="30"/>
      <c r="BE209" s="30"/>
      <c r="BF209" s="30"/>
      <c r="BG209" s="30"/>
      <c r="BH209" s="30"/>
      <c r="BI209" s="30"/>
      <c r="BV209" s="27">
        <f t="shared" si="179"/>
        <v>234.75</v>
      </c>
      <c r="BW209" s="30">
        <v>205</v>
      </c>
      <c r="BX209" s="30">
        <f t="shared" si="180"/>
        <v>234.75</v>
      </c>
      <c r="BY209" s="30">
        <f t="shared" si="181"/>
        <v>0.5</v>
      </c>
      <c r="BZ209" s="30"/>
      <c r="CF209" s="30"/>
      <c r="CG209" s="30"/>
    </row>
    <row r="210" spans="5:85" x14ac:dyDescent="0.3">
      <c r="E210" s="33"/>
      <c r="F210" s="33"/>
      <c r="I210" s="33"/>
      <c r="J210" s="33"/>
      <c r="K210" s="33"/>
      <c r="M210" s="33"/>
      <c r="N210" s="33"/>
      <c r="O210" s="33"/>
      <c r="P210" s="33"/>
      <c r="BD210" s="30"/>
      <c r="BE210" s="30"/>
      <c r="BF210" s="30"/>
      <c r="BG210" s="30"/>
      <c r="BH210" s="30"/>
      <c r="BI210" s="30"/>
      <c r="BV210" s="27">
        <f t="shared" si="179"/>
        <v>235.25</v>
      </c>
      <c r="BW210" s="30">
        <v>206</v>
      </c>
      <c r="BX210" s="30">
        <f t="shared" si="180"/>
        <v>235.25</v>
      </c>
      <c r="BY210" s="30">
        <f t="shared" si="181"/>
        <v>0.5</v>
      </c>
      <c r="BZ210" s="30"/>
      <c r="CF210" s="30"/>
      <c r="CG210" s="30"/>
    </row>
    <row r="211" spans="5:85" x14ac:dyDescent="0.3">
      <c r="E211" s="33"/>
      <c r="F211" s="33"/>
      <c r="I211" s="33"/>
      <c r="J211" s="33"/>
      <c r="K211" s="33"/>
      <c r="M211" s="33"/>
      <c r="N211" s="33"/>
      <c r="O211" s="33"/>
      <c r="P211" s="33"/>
      <c r="BD211" s="30"/>
      <c r="BE211" s="30"/>
      <c r="BF211" s="30"/>
      <c r="BG211" s="30"/>
      <c r="BH211" s="30"/>
      <c r="BI211" s="30"/>
      <c r="BV211" s="27">
        <f t="shared" si="179"/>
        <v>235.75</v>
      </c>
      <c r="BW211" s="30">
        <v>207</v>
      </c>
      <c r="BX211" s="30">
        <f t="shared" si="180"/>
        <v>235.75</v>
      </c>
      <c r="BY211" s="30">
        <f t="shared" si="181"/>
        <v>0.5</v>
      </c>
      <c r="BZ211" s="30"/>
      <c r="CF211" s="30"/>
      <c r="CG211" s="30"/>
    </row>
    <row r="212" spans="5:85" x14ac:dyDescent="0.3">
      <c r="E212" s="33"/>
      <c r="F212" s="33"/>
      <c r="I212" s="33"/>
      <c r="J212" s="33"/>
      <c r="K212" s="33"/>
      <c r="M212" s="33"/>
      <c r="N212" s="33"/>
      <c r="O212" s="33"/>
      <c r="P212" s="33"/>
      <c r="BD212" s="30"/>
      <c r="BE212" s="30"/>
      <c r="BF212" s="30"/>
      <c r="BG212" s="30"/>
      <c r="BH212" s="30"/>
      <c r="BI212" s="30"/>
      <c r="BV212" s="27">
        <f t="shared" si="179"/>
        <v>236.25</v>
      </c>
      <c r="BW212" s="30">
        <v>208</v>
      </c>
      <c r="BX212" s="30">
        <f t="shared" si="180"/>
        <v>236.25</v>
      </c>
      <c r="BY212" s="30">
        <f t="shared" si="181"/>
        <v>0.5</v>
      </c>
      <c r="BZ212" s="30"/>
      <c r="CF212" s="30"/>
      <c r="CG212" s="30"/>
    </row>
    <row r="213" spans="5:85" x14ac:dyDescent="0.3">
      <c r="E213" s="33"/>
      <c r="F213" s="33"/>
      <c r="I213" s="33"/>
      <c r="J213" s="33"/>
      <c r="K213" s="33"/>
      <c r="M213" s="33"/>
      <c r="N213" s="33"/>
      <c r="O213" s="33"/>
      <c r="P213" s="33"/>
      <c r="BD213" s="30"/>
      <c r="BE213" s="30"/>
      <c r="BF213" s="30"/>
      <c r="BG213" s="30"/>
      <c r="BH213" s="30"/>
      <c r="BI213" s="30"/>
      <c r="BV213" s="27">
        <f t="shared" si="179"/>
        <v>236.75</v>
      </c>
      <c r="BW213" s="30">
        <v>209</v>
      </c>
      <c r="BX213" s="30">
        <f t="shared" si="180"/>
        <v>236.75</v>
      </c>
      <c r="BY213" s="30">
        <f t="shared" si="181"/>
        <v>0.5</v>
      </c>
      <c r="BZ213" s="30"/>
      <c r="CF213" s="30"/>
      <c r="CG213" s="30"/>
    </row>
    <row r="214" spans="5:85" x14ac:dyDescent="0.3">
      <c r="E214" s="33"/>
      <c r="F214" s="33"/>
      <c r="I214" s="33"/>
      <c r="J214" s="33"/>
      <c r="K214" s="33"/>
      <c r="M214" s="33"/>
      <c r="N214" s="33"/>
      <c r="O214" s="33"/>
      <c r="P214" s="33"/>
      <c r="BD214" s="30"/>
      <c r="BE214" s="30"/>
      <c r="BF214" s="30"/>
      <c r="BG214" s="30"/>
      <c r="BH214" s="30"/>
      <c r="BI214" s="30"/>
      <c r="BV214" s="27">
        <f t="shared" si="179"/>
        <v>237</v>
      </c>
      <c r="BW214" s="30">
        <v>210</v>
      </c>
      <c r="BX214" s="30">
        <f t="shared" si="180"/>
        <v>237</v>
      </c>
      <c r="BY214" s="30">
        <f t="shared" si="181"/>
        <v>0.25</v>
      </c>
      <c r="BZ214" s="30"/>
      <c r="CF214" s="30"/>
      <c r="CG214" s="30"/>
    </row>
    <row r="215" spans="5:85" x14ac:dyDescent="0.3">
      <c r="E215" s="33"/>
      <c r="F215" s="33"/>
      <c r="I215" s="33"/>
      <c r="J215" s="33"/>
      <c r="K215" s="33"/>
      <c r="M215" s="33"/>
      <c r="N215" s="33"/>
      <c r="O215" s="33"/>
      <c r="P215" s="33"/>
      <c r="BD215" s="30"/>
      <c r="BE215" s="30"/>
      <c r="BF215" s="30"/>
      <c r="BG215" s="30"/>
      <c r="BH215" s="30"/>
      <c r="BI215" s="30"/>
      <c r="BV215" s="27">
        <f t="shared" si="179"/>
        <v>237.5</v>
      </c>
      <c r="BW215" s="30">
        <v>211</v>
      </c>
      <c r="BX215" s="30">
        <f t="shared" si="180"/>
        <v>237.5</v>
      </c>
      <c r="BY215" s="30">
        <f t="shared" si="181"/>
        <v>0.5</v>
      </c>
      <c r="BZ215" s="30"/>
      <c r="CF215" s="30"/>
      <c r="CG215" s="30"/>
    </row>
    <row r="216" spans="5:85" x14ac:dyDescent="0.3">
      <c r="E216" s="33"/>
      <c r="F216" s="33"/>
      <c r="I216" s="33"/>
      <c r="J216" s="33"/>
      <c r="K216" s="33"/>
      <c r="M216" s="33"/>
      <c r="N216" s="33"/>
      <c r="O216" s="33"/>
      <c r="P216" s="33"/>
      <c r="BD216" s="30"/>
      <c r="BE216" s="30"/>
      <c r="BF216" s="30"/>
      <c r="BG216" s="30"/>
      <c r="BH216" s="30"/>
      <c r="BI216" s="30"/>
      <c r="BV216" s="27">
        <f t="shared" si="179"/>
        <v>238</v>
      </c>
      <c r="BW216" s="30">
        <v>212</v>
      </c>
      <c r="BX216" s="30">
        <f t="shared" si="180"/>
        <v>238</v>
      </c>
      <c r="BY216" s="30">
        <f t="shared" si="181"/>
        <v>0.5</v>
      </c>
      <c r="BZ216" s="30"/>
      <c r="CF216" s="30"/>
      <c r="CG216" s="30"/>
    </row>
    <row r="217" spans="5:85" x14ac:dyDescent="0.3">
      <c r="E217" s="33"/>
      <c r="F217" s="33"/>
      <c r="I217" s="33"/>
      <c r="J217" s="33"/>
      <c r="K217" s="33"/>
      <c r="M217" s="33"/>
      <c r="N217" s="33"/>
      <c r="O217" s="33"/>
      <c r="P217" s="33"/>
      <c r="BD217" s="30"/>
      <c r="BE217" s="30"/>
      <c r="BF217" s="30"/>
      <c r="BG217" s="30"/>
      <c r="BH217" s="30"/>
      <c r="BI217" s="30"/>
      <c r="BV217" s="27">
        <f t="shared" si="179"/>
        <v>238.5</v>
      </c>
      <c r="BW217" s="30">
        <v>213</v>
      </c>
      <c r="BX217" s="30">
        <f t="shared" si="180"/>
        <v>238.5</v>
      </c>
      <c r="BY217" s="30">
        <f t="shared" si="181"/>
        <v>0.5</v>
      </c>
      <c r="BZ217" s="30"/>
      <c r="CF217" s="30"/>
      <c r="CG217" s="30"/>
    </row>
    <row r="218" spans="5:85" x14ac:dyDescent="0.3">
      <c r="E218" s="33"/>
      <c r="F218" s="33"/>
      <c r="G218" s="58"/>
      <c r="H218" s="58"/>
      <c r="I218" s="33"/>
      <c r="J218" s="33"/>
      <c r="K218" s="33"/>
      <c r="M218" s="33"/>
      <c r="N218" s="33"/>
      <c r="O218" s="33"/>
      <c r="P218" s="33"/>
      <c r="BD218" s="30"/>
      <c r="BE218" s="30"/>
      <c r="BF218" s="30"/>
      <c r="BG218" s="30"/>
      <c r="BH218" s="30"/>
      <c r="BI218" s="30"/>
      <c r="BV218" s="27">
        <f t="shared" si="179"/>
        <v>238.75</v>
      </c>
      <c r="BW218" s="30">
        <v>214</v>
      </c>
      <c r="BX218" s="30">
        <f t="shared" si="180"/>
        <v>238.75</v>
      </c>
      <c r="BY218" s="30">
        <f t="shared" si="181"/>
        <v>0.25</v>
      </c>
      <c r="BZ218" s="30"/>
      <c r="CF218" s="30"/>
      <c r="CG218" s="30"/>
    </row>
    <row r="219" spans="5:85" x14ac:dyDescent="0.3">
      <c r="E219" s="33"/>
      <c r="F219" s="33"/>
      <c r="I219" s="33"/>
      <c r="J219" s="33"/>
      <c r="K219" s="33"/>
      <c r="M219" s="33"/>
      <c r="N219" s="33"/>
      <c r="O219" s="33"/>
      <c r="P219" s="33"/>
      <c r="BD219" s="30"/>
      <c r="BE219" s="30"/>
      <c r="BF219" s="30"/>
      <c r="BG219" s="30"/>
      <c r="BH219" s="30"/>
      <c r="BI219" s="30"/>
      <c r="BV219" s="27">
        <f t="shared" si="179"/>
        <v>239.25</v>
      </c>
      <c r="BW219" s="30">
        <v>215</v>
      </c>
      <c r="BX219" s="30">
        <f t="shared" si="180"/>
        <v>239.25</v>
      </c>
      <c r="BY219" s="30">
        <f t="shared" si="181"/>
        <v>0.5</v>
      </c>
      <c r="BZ219" s="30"/>
      <c r="CF219" s="30"/>
      <c r="CG219" s="30"/>
    </row>
    <row r="220" spans="5:85" x14ac:dyDescent="0.3">
      <c r="E220" s="33"/>
      <c r="F220" s="33"/>
      <c r="I220" s="33"/>
      <c r="J220" s="33"/>
      <c r="K220" s="33"/>
      <c r="M220" s="33"/>
      <c r="N220" s="33"/>
      <c r="O220" s="33"/>
      <c r="P220" s="33"/>
      <c r="BD220" s="30"/>
      <c r="BE220" s="30"/>
      <c r="BF220" s="30"/>
      <c r="BG220" s="30"/>
      <c r="BH220" s="30"/>
      <c r="BI220" s="30"/>
      <c r="BV220" s="27">
        <f t="shared" si="179"/>
        <v>239.75</v>
      </c>
      <c r="BW220" s="30">
        <v>216</v>
      </c>
      <c r="BX220" s="30">
        <f t="shared" si="180"/>
        <v>239.75</v>
      </c>
      <c r="BY220" s="30">
        <f t="shared" si="181"/>
        <v>0.5</v>
      </c>
      <c r="BZ220" s="30"/>
      <c r="CF220" s="30"/>
      <c r="CG220" s="30"/>
    </row>
    <row r="221" spans="5:85" x14ac:dyDescent="0.3">
      <c r="BD221" s="30"/>
      <c r="BE221" s="30"/>
      <c r="BF221" s="30"/>
      <c r="BG221" s="30"/>
      <c r="BH221" s="30"/>
      <c r="BI221" s="30"/>
      <c r="BV221" s="27">
        <f t="shared" si="179"/>
        <v>240.25</v>
      </c>
      <c r="BW221" s="30">
        <v>217</v>
      </c>
      <c r="BX221" s="30">
        <f t="shared" si="180"/>
        <v>240.25</v>
      </c>
      <c r="BY221" s="30">
        <f t="shared" si="181"/>
        <v>0.5</v>
      </c>
      <c r="BZ221" s="30"/>
      <c r="CF221" s="30"/>
      <c r="CG221" s="30"/>
    </row>
    <row r="222" spans="5:85" x14ac:dyDescent="0.3">
      <c r="BD222" s="30"/>
      <c r="BE222" s="30"/>
      <c r="BF222" s="30"/>
      <c r="BG222" s="30"/>
      <c r="BH222" s="30"/>
      <c r="BI222" s="30"/>
      <c r="BV222" s="27">
        <f t="shared" si="179"/>
        <v>240.75</v>
      </c>
      <c r="BW222" s="30">
        <v>218</v>
      </c>
      <c r="BX222" s="30">
        <f t="shared" si="180"/>
        <v>240.75</v>
      </c>
      <c r="BY222" s="30">
        <f t="shared" si="181"/>
        <v>0.5</v>
      </c>
      <c r="BZ222" s="30"/>
      <c r="CF222" s="30"/>
      <c r="CG222" s="30"/>
    </row>
    <row r="223" spans="5:85" x14ac:dyDescent="0.3">
      <c r="BD223" s="30"/>
      <c r="BE223" s="30"/>
      <c r="BF223" s="30"/>
      <c r="BG223" s="30"/>
      <c r="BH223" s="30"/>
      <c r="BI223" s="30"/>
      <c r="BV223" s="27">
        <f t="shared" si="179"/>
        <v>241</v>
      </c>
      <c r="BW223" s="30">
        <v>219</v>
      </c>
      <c r="BX223" s="30">
        <f t="shared" si="180"/>
        <v>241</v>
      </c>
      <c r="BY223" s="30">
        <f t="shared" si="181"/>
        <v>0.25</v>
      </c>
      <c r="BZ223" s="30"/>
      <c r="CF223" s="30"/>
      <c r="CG223" s="30"/>
    </row>
    <row r="224" spans="5:85" x14ac:dyDescent="0.3">
      <c r="BD224" s="30"/>
      <c r="BE224" s="30"/>
      <c r="BF224" s="30"/>
      <c r="BG224" s="30"/>
      <c r="BH224" s="30"/>
      <c r="BI224" s="30"/>
      <c r="BV224" s="27">
        <f t="shared" si="179"/>
        <v>241.5</v>
      </c>
      <c r="BW224" s="30">
        <v>220</v>
      </c>
      <c r="BX224" s="30">
        <f t="shared" si="180"/>
        <v>241.5</v>
      </c>
      <c r="BY224" s="30">
        <f t="shared" si="181"/>
        <v>0.5</v>
      </c>
      <c r="BZ224" s="30"/>
      <c r="CF224" s="30"/>
      <c r="CG224" s="30"/>
    </row>
    <row r="225" spans="56:85" x14ac:dyDescent="0.3">
      <c r="BD225" s="30"/>
      <c r="BE225" s="30"/>
      <c r="BF225" s="30"/>
      <c r="BG225" s="30"/>
      <c r="BH225" s="30"/>
      <c r="BI225" s="30"/>
      <c r="BV225" s="27">
        <f t="shared" si="179"/>
        <v>241.75</v>
      </c>
      <c r="BW225" s="30">
        <v>221</v>
      </c>
      <c r="BX225" s="30">
        <f t="shared" si="180"/>
        <v>241.75</v>
      </c>
      <c r="BY225" s="30">
        <f t="shared" si="181"/>
        <v>0.25</v>
      </c>
      <c r="BZ225" s="30"/>
      <c r="CF225" s="30"/>
      <c r="CG225" s="30"/>
    </row>
    <row r="226" spans="56:85" x14ac:dyDescent="0.3">
      <c r="BD226" s="30"/>
      <c r="BE226" s="30"/>
      <c r="BF226" s="30"/>
      <c r="BG226" s="30"/>
      <c r="BH226" s="30"/>
      <c r="BI226" s="30"/>
      <c r="BV226" s="27">
        <f t="shared" si="179"/>
        <v>242.25</v>
      </c>
      <c r="BW226" s="30">
        <v>222</v>
      </c>
      <c r="BX226" s="30">
        <f t="shared" si="180"/>
        <v>242.25</v>
      </c>
      <c r="BY226" s="30">
        <f t="shared" si="181"/>
        <v>0.5</v>
      </c>
      <c r="BZ226" s="30"/>
      <c r="CF226" s="30"/>
      <c r="CG226" s="30"/>
    </row>
    <row r="227" spans="56:85" x14ac:dyDescent="0.3">
      <c r="BD227" s="30"/>
      <c r="BE227" s="30"/>
      <c r="BF227" s="30"/>
      <c r="BG227" s="30"/>
      <c r="BH227" s="30"/>
      <c r="BI227" s="30"/>
      <c r="BV227" s="27">
        <f t="shared" si="179"/>
        <v>242.75</v>
      </c>
      <c r="BW227" s="30">
        <v>223</v>
      </c>
      <c r="BX227" s="30">
        <f t="shared" si="180"/>
        <v>242.75</v>
      </c>
      <c r="BY227" s="30">
        <f t="shared" si="181"/>
        <v>0.5</v>
      </c>
      <c r="BZ227" s="30"/>
      <c r="CF227" s="30"/>
      <c r="CG227" s="30"/>
    </row>
    <row r="228" spans="56:85" x14ac:dyDescent="0.3">
      <c r="BD228" s="30"/>
      <c r="BE228" s="30"/>
      <c r="BF228" s="30"/>
      <c r="BG228" s="30"/>
      <c r="BH228" s="30"/>
      <c r="BI228" s="30"/>
      <c r="BV228" s="27">
        <f t="shared" si="179"/>
        <v>243</v>
      </c>
      <c r="BW228" s="30">
        <v>224</v>
      </c>
      <c r="BX228" s="30">
        <f t="shared" si="180"/>
        <v>243</v>
      </c>
      <c r="BY228" s="30">
        <f t="shared" si="181"/>
        <v>0.25</v>
      </c>
      <c r="BZ228" s="30"/>
      <c r="CF228" s="30"/>
      <c r="CG228" s="30"/>
    </row>
    <row r="229" spans="56:85" x14ac:dyDescent="0.3">
      <c r="BD229" s="30"/>
      <c r="BE229" s="30"/>
      <c r="BF229" s="30"/>
      <c r="BG229" s="30"/>
      <c r="BH229" s="30"/>
      <c r="BI229" s="30"/>
      <c r="BV229" s="27">
        <f t="shared" si="179"/>
        <v>243.5</v>
      </c>
      <c r="BW229" s="30">
        <v>225</v>
      </c>
      <c r="BX229" s="30">
        <f t="shared" si="180"/>
        <v>243.5</v>
      </c>
      <c r="BY229" s="30">
        <f t="shared" si="181"/>
        <v>0.5</v>
      </c>
      <c r="BZ229" s="30"/>
      <c r="CF229" s="30"/>
      <c r="CG229" s="30"/>
    </row>
    <row r="230" spans="56:85" x14ac:dyDescent="0.3">
      <c r="BD230" s="30"/>
      <c r="BE230" s="30"/>
      <c r="BF230" s="30"/>
      <c r="BG230" s="30"/>
      <c r="BH230" s="30"/>
      <c r="BI230" s="30"/>
      <c r="BV230" s="27">
        <f t="shared" si="179"/>
        <v>243.75</v>
      </c>
      <c r="BW230" s="30">
        <v>226</v>
      </c>
      <c r="BX230" s="30">
        <f t="shared" si="180"/>
        <v>243.75</v>
      </c>
      <c r="BY230" s="30">
        <f t="shared" si="181"/>
        <v>0.25</v>
      </c>
      <c r="BZ230" s="30"/>
      <c r="CF230" s="30"/>
      <c r="CG230" s="30"/>
    </row>
    <row r="231" spans="56:85" x14ac:dyDescent="0.3">
      <c r="BD231" s="30"/>
      <c r="BE231" s="30"/>
      <c r="BF231" s="30"/>
      <c r="BG231" s="30"/>
      <c r="BH231" s="30"/>
      <c r="BI231" s="30"/>
      <c r="BV231" s="27">
        <f t="shared" si="179"/>
        <v>244</v>
      </c>
      <c r="BW231" s="30">
        <v>227</v>
      </c>
      <c r="BX231" s="30">
        <f t="shared" si="180"/>
        <v>244</v>
      </c>
      <c r="BY231" s="30">
        <f t="shared" si="181"/>
        <v>0.25</v>
      </c>
      <c r="BZ231" s="30"/>
      <c r="CF231" s="30"/>
      <c r="CG231" s="30"/>
    </row>
    <row r="232" spans="56:85" x14ac:dyDescent="0.3">
      <c r="BD232" s="30"/>
      <c r="BE232" s="30"/>
      <c r="BF232" s="30"/>
      <c r="BG232" s="30"/>
      <c r="BH232" s="30"/>
      <c r="BI232" s="30"/>
      <c r="BV232" s="27">
        <f t="shared" si="179"/>
        <v>244.5</v>
      </c>
      <c r="BW232" s="30">
        <v>228</v>
      </c>
      <c r="BX232" s="30">
        <f t="shared" si="180"/>
        <v>244.5</v>
      </c>
      <c r="BY232" s="30">
        <f t="shared" si="181"/>
        <v>0.5</v>
      </c>
      <c r="BZ232" s="30"/>
      <c r="CF232" s="30"/>
      <c r="CG232" s="30"/>
    </row>
    <row r="233" spans="56:85" x14ac:dyDescent="0.3">
      <c r="BD233" s="30"/>
      <c r="BE233" s="30"/>
      <c r="BF233" s="30"/>
      <c r="BG233" s="30"/>
      <c r="BH233" s="30"/>
      <c r="BI233" s="30"/>
      <c r="BV233" s="27">
        <f t="shared" si="179"/>
        <v>245</v>
      </c>
      <c r="BW233" s="30">
        <v>229</v>
      </c>
      <c r="BX233" s="30">
        <f t="shared" si="180"/>
        <v>245</v>
      </c>
      <c r="BY233" s="30">
        <f t="shared" si="181"/>
        <v>0.5</v>
      </c>
      <c r="BZ233" s="30"/>
      <c r="CF233" s="30"/>
      <c r="CG233" s="30"/>
    </row>
    <row r="234" spans="56:85" x14ac:dyDescent="0.3">
      <c r="BD234" s="30"/>
      <c r="BE234" s="30"/>
      <c r="BF234" s="30"/>
      <c r="BG234" s="30"/>
      <c r="BH234" s="30"/>
      <c r="BI234" s="30"/>
      <c r="BV234" s="27">
        <f t="shared" si="179"/>
        <v>245.5</v>
      </c>
      <c r="BW234" s="30">
        <v>230</v>
      </c>
      <c r="BX234" s="30">
        <f t="shared" si="180"/>
        <v>245.5</v>
      </c>
      <c r="BY234" s="30">
        <f t="shared" si="181"/>
        <v>0.5</v>
      </c>
      <c r="BZ234" s="30"/>
      <c r="CF234" s="30"/>
      <c r="CG234" s="30"/>
    </row>
    <row r="235" spans="56:85" x14ac:dyDescent="0.3">
      <c r="BD235" s="30"/>
      <c r="BE235" s="30"/>
      <c r="BF235" s="30"/>
      <c r="BG235" s="30"/>
      <c r="BH235" s="30"/>
      <c r="BI235" s="30"/>
      <c r="BV235" s="27">
        <f t="shared" si="179"/>
        <v>245.75</v>
      </c>
      <c r="BW235" s="30">
        <v>231</v>
      </c>
      <c r="BX235" s="30">
        <f t="shared" si="180"/>
        <v>245.75</v>
      </c>
      <c r="BY235" s="30">
        <f t="shared" si="181"/>
        <v>0.25</v>
      </c>
      <c r="BZ235" s="30"/>
      <c r="CF235" s="30"/>
      <c r="CG235" s="30"/>
    </row>
    <row r="236" spans="56:85" x14ac:dyDescent="0.3">
      <c r="BD236" s="30"/>
      <c r="BE236" s="30"/>
      <c r="BF236" s="30"/>
      <c r="BG236" s="30"/>
      <c r="BH236" s="30"/>
      <c r="BI236" s="30"/>
      <c r="BV236" s="27">
        <f t="shared" si="179"/>
        <v>246.25</v>
      </c>
      <c r="BW236" s="30">
        <v>232</v>
      </c>
      <c r="BX236" s="30">
        <f t="shared" si="180"/>
        <v>246.25</v>
      </c>
      <c r="BY236" s="30">
        <f t="shared" si="181"/>
        <v>0.5</v>
      </c>
      <c r="BZ236" s="30"/>
      <c r="CF236" s="30"/>
      <c r="CG236" s="30"/>
    </row>
    <row r="237" spans="56:85" x14ac:dyDescent="0.3">
      <c r="BD237" s="30"/>
      <c r="BE237" s="30"/>
      <c r="BF237" s="30"/>
      <c r="BG237" s="30"/>
      <c r="BH237" s="30"/>
      <c r="BI237" s="30"/>
      <c r="BV237" s="27">
        <f t="shared" si="179"/>
        <v>246.75</v>
      </c>
      <c r="BW237" s="30">
        <v>233</v>
      </c>
      <c r="BX237" s="30">
        <f t="shared" si="180"/>
        <v>246.75</v>
      </c>
      <c r="BY237" s="30">
        <f t="shared" si="181"/>
        <v>0.5</v>
      </c>
      <c r="BZ237" s="30"/>
      <c r="CF237" s="30"/>
      <c r="CG237" s="30"/>
    </row>
    <row r="238" spans="56:85" x14ac:dyDescent="0.3">
      <c r="BD238" s="30"/>
      <c r="BE238" s="30"/>
      <c r="BF238" s="30"/>
      <c r="BG238" s="30"/>
      <c r="BH238" s="30"/>
      <c r="BI238" s="30"/>
      <c r="BV238" s="27">
        <f t="shared" si="179"/>
        <v>247</v>
      </c>
      <c r="BW238" s="30">
        <v>234</v>
      </c>
      <c r="BX238" s="30">
        <f t="shared" si="180"/>
        <v>247</v>
      </c>
      <c r="BY238" s="30">
        <f t="shared" si="181"/>
        <v>0.25</v>
      </c>
      <c r="BZ238" s="30"/>
      <c r="CF238" s="30"/>
      <c r="CG238" s="30"/>
    </row>
    <row r="239" spans="56:85" x14ac:dyDescent="0.3">
      <c r="BD239" s="30"/>
      <c r="BE239" s="30"/>
      <c r="BF239" s="30"/>
      <c r="BG239" s="30"/>
      <c r="BH239" s="30"/>
      <c r="BI239" s="30"/>
      <c r="BV239" s="27">
        <f t="shared" si="179"/>
        <v>247.5</v>
      </c>
      <c r="BW239" s="30">
        <v>235</v>
      </c>
      <c r="BX239" s="30">
        <f t="shared" si="180"/>
        <v>247.5</v>
      </c>
      <c r="BY239" s="30">
        <f t="shared" si="181"/>
        <v>0.5</v>
      </c>
      <c r="BZ239" s="30"/>
      <c r="CF239" s="30"/>
      <c r="CG239" s="30"/>
    </row>
    <row r="240" spans="56:85" x14ac:dyDescent="0.3">
      <c r="BD240" s="30"/>
      <c r="BE240" s="30"/>
      <c r="BF240" s="30"/>
      <c r="BG240" s="30"/>
      <c r="BH240" s="30"/>
      <c r="BI240" s="30"/>
      <c r="BV240" s="27">
        <f t="shared" si="179"/>
        <v>248</v>
      </c>
      <c r="BW240" s="30">
        <v>236</v>
      </c>
      <c r="BX240" s="30">
        <f t="shared" si="180"/>
        <v>248</v>
      </c>
      <c r="BY240" s="30">
        <f t="shared" si="181"/>
        <v>0.5</v>
      </c>
      <c r="BZ240" s="30"/>
      <c r="CF240" s="30"/>
      <c r="CG240" s="30"/>
    </row>
    <row r="241" spans="2:85" x14ac:dyDescent="0.3">
      <c r="BD241" s="30"/>
      <c r="BE241" s="30"/>
      <c r="BF241" s="30"/>
      <c r="BG241" s="30"/>
      <c r="BH241" s="30"/>
      <c r="BI241" s="30"/>
      <c r="BV241" s="27">
        <f t="shared" si="179"/>
        <v>248.5</v>
      </c>
      <c r="BW241" s="30">
        <v>237</v>
      </c>
      <c r="BX241" s="30">
        <f t="shared" si="180"/>
        <v>248.5</v>
      </c>
      <c r="BY241" s="30">
        <f t="shared" si="181"/>
        <v>0.5</v>
      </c>
      <c r="BZ241" s="30"/>
      <c r="CF241" s="30"/>
      <c r="CG241" s="30"/>
    </row>
    <row r="242" spans="2:85" x14ac:dyDescent="0.3">
      <c r="BD242" s="30"/>
      <c r="BE242" s="30"/>
      <c r="BF242" s="30"/>
      <c r="BG242" s="30"/>
      <c r="BH242" s="30"/>
      <c r="BI242" s="30"/>
      <c r="BV242" s="27">
        <f t="shared" si="179"/>
        <v>248.75</v>
      </c>
      <c r="BW242" s="30">
        <v>238</v>
      </c>
      <c r="BX242" s="30">
        <f t="shared" si="180"/>
        <v>248.75</v>
      </c>
      <c r="BY242" s="30">
        <f t="shared" si="181"/>
        <v>0.25</v>
      </c>
      <c r="BZ242" s="30"/>
      <c r="CF242" s="30"/>
      <c r="CG242" s="30"/>
    </row>
    <row r="243" spans="2:85" x14ac:dyDescent="0.3">
      <c r="BD243" s="30"/>
      <c r="BE243" s="30"/>
      <c r="BF243" s="30"/>
      <c r="BG243" s="30"/>
      <c r="BH243" s="30"/>
      <c r="BI243" s="30"/>
      <c r="BV243" s="27">
        <f t="shared" si="179"/>
        <v>249.25</v>
      </c>
      <c r="BW243" s="30">
        <v>239</v>
      </c>
      <c r="BX243" s="30">
        <f t="shared" si="180"/>
        <v>249.25</v>
      </c>
      <c r="BY243" s="30">
        <f t="shared" si="181"/>
        <v>0.5</v>
      </c>
      <c r="BZ243" s="30"/>
      <c r="CF243" s="30"/>
      <c r="CG243" s="30"/>
    </row>
    <row r="244" spans="2:85" x14ac:dyDescent="0.3">
      <c r="BD244" s="30"/>
      <c r="BE244" s="30"/>
      <c r="BF244" s="30"/>
      <c r="BG244" s="30"/>
      <c r="BH244" s="30"/>
      <c r="BI244" s="30"/>
      <c r="BV244" s="27">
        <f t="shared" si="179"/>
        <v>249.75</v>
      </c>
      <c r="BW244" s="30">
        <v>240</v>
      </c>
      <c r="BX244" s="30">
        <f t="shared" si="180"/>
        <v>249.75</v>
      </c>
      <c r="BY244" s="30">
        <f t="shared" si="181"/>
        <v>0.5</v>
      </c>
      <c r="BZ244" s="30"/>
      <c r="CF244" s="30"/>
      <c r="CG244" s="30"/>
    </row>
    <row r="245" spans="2:85" x14ac:dyDescent="0.3">
      <c r="BD245" s="30"/>
      <c r="BE245" s="30"/>
      <c r="BF245" s="30"/>
      <c r="BG245" s="30"/>
      <c r="BH245" s="30"/>
      <c r="BI245" s="30"/>
      <c r="BV245" s="27">
        <f t="shared" si="179"/>
        <v>250.25</v>
      </c>
      <c r="BW245" s="30">
        <v>241</v>
      </c>
      <c r="BX245" s="30">
        <f t="shared" si="180"/>
        <v>250.25</v>
      </c>
      <c r="BY245" s="30">
        <f t="shared" si="181"/>
        <v>0.5</v>
      </c>
      <c r="BZ245" s="30"/>
      <c r="CF245" s="30"/>
      <c r="CG245" s="30"/>
    </row>
    <row r="246" spans="2:85" x14ac:dyDescent="0.3">
      <c r="BD246" s="30"/>
      <c r="BE246" s="30"/>
      <c r="BF246" s="30"/>
      <c r="BG246" s="30"/>
      <c r="BH246" s="30"/>
      <c r="BI246" s="30"/>
      <c r="BV246" s="27">
        <f t="shared" si="179"/>
        <v>250.75</v>
      </c>
      <c r="BW246" s="30">
        <v>242</v>
      </c>
      <c r="BX246" s="30">
        <f t="shared" si="180"/>
        <v>250.75</v>
      </c>
      <c r="BY246" s="30">
        <f t="shared" si="181"/>
        <v>0.5</v>
      </c>
      <c r="BZ246" s="30"/>
      <c r="CF246" s="30"/>
      <c r="CG246" s="30"/>
    </row>
    <row r="247" spans="2:85" x14ac:dyDescent="0.3">
      <c r="B247" s="49"/>
      <c r="BD247" s="30"/>
      <c r="BE247" s="30"/>
      <c r="BF247" s="30"/>
      <c r="BG247" s="30"/>
      <c r="BH247" s="30"/>
      <c r="BI247" s="30"/>
      <c r="BV247" s="27">
        <f t="shared" si="179"/>
        <v>251</v>
      </c>
      <c r="BW247" s="30">
        <v>243</v>
      </c>
      <c r="BX247" s="30">
        <f t="shared" si="180"/>
        <v>251</v>
      </c>
      <c r="BY247" s="30">
        <f t="shared" si="181"/>
        <v>0.25</v>
      </c>
      <c r="BZ247" s="30"/>
      <c r="CF247" s="30"/>
      <c r="CG247" s="30"/>
    </row>
    <row r="248" spans="2:85" x14ac:dyDescent="0.3">
      <c r="B248" s="49"/>
      <c r="BD248" s="30"/>
      <c r="BE248" s="30"/>
      <c r="BF248" s="30"/>
      <c r="BG248" s="30"/>
      <c r="BH248" s="30"/>
      <c r="BI248" s="30"/>
      <c r="BV248" s="27">
        <f t="shared" si="179"/>
        <v>251.25</v>
      </c>
      <c r="BW248" s="30">
        <v>244</v>
      </c>
      <c r="BX248" s="30">
        <f t="shared" si="180"/>
        <v>251.25</v>
      </c>
      <c r="BY248" s="30">
        <f t="shared" si="181"/>
        <v>0.25</v>
      </c>
      <c r="BZ248" s="30"/>
      <c r="CF248" s="30"/>
      <c r="CG248" s="30"/>
    </row>
    <row r="249" spans="2:85" x14ac:dyDescent="0.3">
      <c r="B249" s="49"/>
      <c r="BD249" s="30"/>
      <c r="BE249" s="30"/>
      <c r="BF249" s="30"/>
      <c r="BG249" s="30"/>
      <c r="BH249" s="30"/>
      <c r="BI249" s="30"/>
      <c r="BV249" s="27">
        <f t="shared" si="179"/>
        <v>251.75</v>
      </c>
      <c r="BW249" s="30">
        <v>245</v>
      </c>
      <c r="BX249" s="30">
        <f t="shared" si="180"/>
        <v>251.75</v>
      </c>
      <c r="BY249" s="30">
        <f t="shared" si="181"/>
        <v>0.5</v>
      </c>
      <c r="BZ249" s="30"/>
      <c r="CF249" s="30"/>
      <c r="CG249" s="30"/>
    </row>
    <row r="250" spans="2:85" x14ac:dyDescent="0.3">
      <c r="B250" s="49"/>
      <c r="BD250" s="30"/>
      <c r="BE250" s="30"/>
      <c r="BF250" s="30"/>
      <c r="BG250" s="30"/>
      <c r="BH250" s="30"/>
      <c r="BI250" s="30"/>
      <c r="BV250" s="27">
        <f t="shared" si="179"/>
        <v>252</v>
      </c>
      <c r="BW250" s="30">
        <v>246</v>
      </c>
      <c r="BX250" s="30">
        <f t="shared" si="180"/>
        <v>252</v>
      </c>
      <c r="BY250" s="30">
        <f t="shared" si="181"/>
        <v>0.25</v>
      </c>
      <c r="BZ250" s="30"/>
      <c r="CF250" s="30"/>
      <c r="CG250" s="30"/>
    </row>
    <row r="251" spans="2:85" x14ac:dyDescent="0.3">
      <c r="B251" s="49"/>
      <c r="BD251" s="30"/>
      <c r="BE251" s="30"/>
      <c r="BF251" s="30"/>
      <c r="BG251" s="30"/>
      <c r="BH251" s="30"/>
      <c r="BI251" s="30"/>
      <c r="BV251" s="27">
        <f t="shared" si="179"/>
        <v>252.5</v>
      </c>
      <c r="BW251" s="30">
        <v>247</v>
      </c>
      <c r="BX251" s="30">
        <f t="shared" si="180"/>
        <v>252.5</v>
      </c>
      <c r="BY251" s="30">
        <f t="shared" si="181"/>
        <v>0.5</v>
      </c>
      <c r="BZ251" s="30"/>
      <c r="CF251" s="30"/>
      <c r="CG251" s="30"/>
    </row>
    <row r="252" spans="2:85" x14ac:dyDescent="0.3">
      <c r="BD252" s="30"/>
      <c r="BE252" s="30"/>
      <c r="BF252" s="30"/>
      <c r="BG252" s="30"/>
      <c r="BH252" s="30"/>
      <c r="BI252" s="30"/>
      <c r="BV252" s="27">
        <f t="shared" si="179"/>
        <v>252.75</v>
      </c>
      <c r="BW252" s="30">
        <v>248</v>
      </c>
      <c r="BX252" s="30">
        <f t="shared" si="180"/>
        <v>252.75</v>
      </c>
      <c r="BY252" s="30">
        <f t="shared" si="181"/>
        <v>0.25</v>
      </c>
      <c r="BZ252" s="30"/>
      <c r="CF252" s="30"/>
      <c r="CG252" s="30"/>
    </row>
    <row r="253" spans="2:85" x14ac:dyDescent="0.3">
      <c r="BD253" s="30"/>
      <c r="BE253" s="30"/>
      <c r="BF253" s="30"/>
      <c r="BG253" s="30"/>
      <c r="BH253" s="30"/>
      <c r="BI253" s="30"/>
      <c r="BV253" s="27">
        <f t="shared" si="179"/>
        <v>253.25</v>
      </c>
      <c r="BW253" s="30">
        <v>249</v>
      </c>
      <c r="BX253" s="30">
        <f t="shared" si="180"/>
        <v>253.25</v>
      </c>
      <c r="BY253" s="30">
        <f t="shared" si="181"/>
        <v>0.5</v>
      </c>
      <c r="BZ253" s="30"/>
      <c r="CF253" s="30"/>
      <c r="CG253" s="30"/>
    </row>
    <row r="254" spans="2:85" x14ac:dyDescent="0.3">
      <c r="BD254" s="30"/>
      <c r="BE254" s="30"/>
      <c r="BF254" s="30"/>
      <c r="BG254" s="30"/>
      <c r="BH254" s="30"/>
      <c r="BI254" s="30"/>
      <c r="BV254" s="27">
        <f t="shared" si="179"/>
        <v>253.75</v>
      </c>
      <c r="BW254" s="30">
        <v>250</v>
      </c>
      <c r="BX254" s="30">
        <f t="shared" si="180"/>
        <v>253.75</v>
      </c>
      <c r="BY254" s="30">
        <f t="shared" si="181"/>
        <v>0.5</v>
      </c>
      <c r="BZ254" s="30"/>
      <c r="CF254" s="30"/>
      <c r="CG254" s="30"/>
    </row>
    <row r="255" spans="2:85" x14ac:dyDescent="0.3">
      <c r="BD255" s="30"/>
      <c r="BE255" s="30"/>
      <c r="BF255" s="30"/>
      <c r="BG255" s="30"/>
      <c r="BH255" s="30"/>
      <c r="BI255" s="30"/>
      <c r="BV255" s="27">
        <f t="shared" si="179"/>
        <v>254</v>
      </c>
      <c r="BW255" s="30">
        <v>251</v>
      </c>
      <c r="BX255" s="30">
        <f t="shared" si="180"/>
        <v>254</v>
      </c>
      <c r="BY255" s="30">
        <f t="shared" si="181"/>
        <v>0.25</v>
      </c>
      <c r="BZ255" s="30"/>
      <c r="CF255" s="30"/>
      <c r="CG255" s="30"/>
    </row>
    <row r="256" spans="2:85" x14ac:dyDescent="0.3">
      <c r="BD256" s="30"/>
      <c r="BE256" s="30"/>
      <c r="BF256" s="30"/>
      <c r="BG256" s="30"/>
      <c r="BH256" s="30"/>
      <c r="BI256" s="30"/>
      <c r="BV256" s="27">
        <f t="shared" si="179"/>
        <v>254.25</v>
      </c>
      <c r="BW256" s="30">
        <v>252</v>
      </c>
      <c r="BX256" s="30">
        <f t="shared" si="180"/>
        <v>254.25</v>
      </c>
      <c r="BY256" s="30">
        <f t="shared" si="181"/>
        <v>0.25</v>
      </c>
      <c r="BZ256" s="30"/>
      <c r="CF256" s="30"/>
      <c r="CG256" s="30"/>
    </row>
    <row r="257" spans="56:85" x14ac:dyDescent="0.3">
      <c r="BD257" s="30"/>
      <c r="BE257" s="30"/>
      <c r="BF257" s="30"/>
      <c r="BG257" s="30"/>
      <c r="BH257" s="30"/>
      <c r="BI257" s="30"/>
      <c r="BV257" s="27">
        <f t="shared" si="179"/>
        <v>254.75</v>
      </c>
      <c r="BW257" s="30">
        <v>253</v>
      </c>
      <c r="BX257" s="30">
        <f t="shared" si="180"/>
        <v>254.75</v>
      </c>
      <c r="BY257" s="30">
        <f t="shared" si="181"/>
        <v>0.5</v>
      </c>
      <c r="BZ257" s="30"/>
      <c r="CF257" s="30"/>
      <c r="CG257" s="30"/>
    </row>
    <row r="258" spans="56:85" x14ac:dyDescent="0.3">
      <c r="BD258" s="30"/>
      <c r="BE258" s="30"/>
      <c r="BF258" s="30"/>
      <c r="BG258" s="30"/>
      <c r="BH258" s="30"/>
      <c r="BI258" s="30"/>
      <c r="BV258" s="27">
        <f t="shared" si="179"/>
        <v>255</v>
      </c>
      <c r="BW258" s="30">
        <v>254</v>
      </c>
      <c r="BX258" s="30">
        <f t="shared" si="180"/>
        <v>255</v>
      </c>
      <c r="BY258" s="30">
        <f t="shared" si="181"/>
        <v>0.25</v>
      </c>
      <c r="BZ258" s="30"/>
      <c r="CF258" s="30"/>
      <c r="CG258" s="30"/>
    </row>
    <row r="259" spans="56:85" x14ac:dyDescent="0.3">
      <c r="BD259" s="30"/>
      <c r="BE259" s="30"/>
      <c r="BF259" s="30"/>
      <c r="BG259" s="30"/>
      <c r="BH259" s="30"/>
      <c r="BI259" s="30"/>
      <c r="BV259" s="27">
        <f t="shared" si="179"/>
        <v>255.5</v>
      </c>
      <c r="BW259" s="30">
        <v>255</v>
      </c>
      <c r="BX259" s="30">
        <f t="shared" si="180"/>
        <v>255.5</v>
      </c>
      <c r="BY259" s="30">
        <f t="shared" si="181"/>
        <v>0.5</v>
      </c>
      <c r="BZ259" s="30"/>
      <c r="CF259" s="30"/>
      <c r="CG259" s="30"/>
    </row>
    <row r="260" spans="56:85" x14ac:dyDescent="0.3">
      <c r="BD260" s="30"/>
      <c r="BE260" s="30"/>
      <c r="BF260" s="30"/>
      <c r="BG260" s="30"/>
      <c r="BH260" s="30"/>
      <c r="BI260" s="30"/>
      <c r="BV260" s="27">
        <f t="shared" si="179"/>
        <v>255.75</v>
      </c>
      <c r="BW260" s="30">
        <v>256</v>
      </c>
      <c r="BX260" s="30">
        <f>VALUE(RIGHT(CC2,LEN(CC2)-FIND("*",SUBSTITUTE(CC2," ","*",256),1)))/$BH$12</f>
        <v>255.75</v>
      </c>
      <c r="BY260" s="30">
        <f t="shared" si="181"/>
        <v>0.25</v>
      </c>
      <c r="BZ260" s="30"/>
      <c r="CF260" s="30"/>
      <c r="CG260" s="30"/>
    </row>
  </sheetData>
  <mergeCells count="58">
    <mergeCell ref="BD2:BH9"/>
    <mergeCell ref="BV2:BY2"/>
    <mergeCell ref="CA2:CB5"/>
    <mergeCell ref="CC2:CG5"/>
    <mergeCell ref="BD11:BG13"/>
    <mergeCell ref="BH12:BH13"/>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O7:AO9"/>
    <mergeCell ref="AO6:AR6"/>
    <mergeCell ref="AB7:AJ7"/>
    <mergeCell ref="AL6:AN6"/>
    <mergeCell ref="Q92:S9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colorCalculate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瘋狗 大</cp:lastModifiedBy>
  <dcterms:created xsi:type="dcterms:W3CDTF">2021-03-22T01:03:16Z</dcterms:created>
  <dcterms:modified xsi:type="dcterms:W3CDTF">2023-10-25T07:37:30Z</dcterms:modified>
</cp:coreProperties>
</file>