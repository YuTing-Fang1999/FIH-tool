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"/>
    </mc:Choice>
  </mc:AlternateContent>
  <xr:revisionPtr revIDLastSave="0" documentId="13_ncr:1_{0FB33549-8F3A-4D90-8954-9EC89463BAAC}" xr6:coauthVersionLast="47" xr6:coauthVersionMax="47" xr10:uidLastSave="{00000000-0000-0000-0000-000000000000}"/>
  <bookViews>
    <workbookView xWindow="1920" yWindow="1920" windowWidth="17280" windowHeight="8880" tabRatio="500" firstSheet="11" activeTab="12" xr2:uid="{00000000-000D-0000-FFFF-FFFF00000000}"/>
  </bookViews>
  <sheets>
    <sheet name="goldenOTP_check" sheetId="1" r:id="rId1"/>
    <sheet name="(default)" sheetId="8" r:id="rId2"/>
    <sheet name="lux_1_245_cct_2200_2400" sheetId="9" r:id="rId3"/>
    <sheet name="lux_1_245_cct_2700_3100" sheetId="10" r:id="rId4"/>
    <sheet name="lux_1_245_cct_3800_4200" sheetId="11" r:id="rId5"/>
    <sheet name="lux_1_245_cct_4800_5200" sheetId="12" r:id="rId6"/>
    <sheet name="lux_1_245_cct_6000_7000" sheetId="13" r:id="rId7"/>
    <sheet name="lux_370_420_cct_2200_2400" sheetId="14" r:id="rId8"/>
    <sheet name="lux_370_420_cct_2700_3100" sheetId="15" r:id="rId9"/>
    <sheet name="lux_370_420_cct_3800_4200" sheetId="16" r:id="rId10"/>
    <sheet name="lux_370_420_cct_4800_5200" sheetId="17" r:id="rId11"/>
    <sheet name="lux_370_420_cct_6000_7000" sheetId="18" r:id="rId12"/>
    <sheet name="lux_425_900_cct_1_10000" sheetId="19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Y112" i="19" l="1"/>
  <c r="P92" i="19"/>
  <c r="P76" i="19"/>
  <c r="M106" i="19"/>
  <c r="K107" i="19"/>
  <c r="U68" i="19"/>
  <c r="U64" i="19"/>
  <c r="W105" i="19"/>
  <c r="S111" i="19"/>
  <c r="T107" i="19"/>
  <c r="R108" i="19"/>
  <c r="K70" i="19"/>
  <c r="L67" i="19"/>
  <c r="V108" i="19"/>
  <c r="J67" i="19"/>
  <c r="O110" i="18"/>
  <c r="P73" i="19"/>
  <c r="M61" i="19"/>
  <c r="X101" i="19"/>
  <c r="X84" i="19"/>
  <c r="K64" i="19"/>
  <c r="L94" i="19"/>
  <c r="L78" i="19"/>
  <c r="N82" i="19"/>
  <c r="O76" i="19"/>
  <c r="T98" i="19"/>
  <c r="Y83" i="19"/>
  <c r="S95" i="19"/>
  <c r="S79" i="19"/>
  <c r="W58" i="19"/>
  <c r="O92" i="19"/>
  <c r="K67" i="19"/>
  <c r="I83" i="18"/>
  <c r="V84" i="19"/>
  <c r="L79" i="19"/>
  <c r="Q102" i="19"/>
  <c r="L89" i="19"/>
  <c r="P110" i="19"/>
  <c r="V94" i="19"/>
  <c r="P86" i="19"/>
  <c r="Y62" i="19"/>
  <c r="W93" i="19"/>
  <c r="W77" i="19"/>
  <c r="W111" i="19"/>
  <c r="L96" i="19"/>
  <c r="R88" i="19"/>
  <c r="N66" i="19"/>
  <c r="P80" i="19"/>
  <c r="M59" i="19"/>
  <c r="O98" i="19"/>
  <c r="X75" i="19"/>
  <c r="V84" i="18"/>
  <c r="S83" i="18"/>
  <c r="N84" i="19"/>
  <c r="T96" i="19"/>
  <c r="T80" i="19"/>
  <c r="Q110" i="19"/>
  <c r="O111" i="19"/>
  <c r="Y73" i="19"/>
  <c r="N73" i="19"/>
  <c r="J110" i="19"/>
  <c r="P94" i="19"/>
  <c r="X111" i="19"/>
  <c r="V112" i="19"/>
  <c r="O75" i="19"/>
  <c r="Y75" i="19"/>
  <c r="J101" i="19"/>
  <c r="N58" i="19"/>
  <c r="V78" i="18"/>
  <c r="U86" i="19"/>
  <c r="Q62" i="19"/>
  <c r="O78" i="18"/>
  <c r="S96" i="19"/>
  <c r="X73" i="19"/>
  <c r="M102" i="19"/>
  <c r="M108" i="19"/>
  <c r="M92" i="19"/>
  <c r="S72" i="19"/>
  <c r="R101" i="19"/>
  <c r="R84" i="19"/>
  <c r="V63" i="19"/>
  <c r="U82" i="19"/>
  <c r="I106" i="19"/>
  <c r="K65" i="19"/>
  <c r="Y102" i="19"/>
  <c r="Y86" i="19"/>
  <c r="M65" i="19"/>
  <c r="P112" i="19"/>
  <c r="X64" i="19"/>
  <c r="O90" i="18"/>
  <c r="W110" i="19"/>
  <c r="X61" i="19"/>
  <c r="T63" i="19"/>
  <c r="R73" i="19"/>
  <c r="Y90" i="18"/>
  <c r="L83" i="19"/>
  <c r="X94" i="19"/>
  <c r="P62" i="19"/>
  <c r="N89" i="18"/>
  <c r="K88" i="18"/>
  <c r="J91" i="18"/>
  <c r="J94" i="18"/>
  <c r="Y59" i="19"/>
  <c r="P107" i="18"/>
  <c r="K110" i="18"/>
  <c r="R104" i="19"/>
  <c r="N77" i="18"/>
  <c r="T89" i="19"/>
  <c r="T110" i="18"/>
  <c r="V95" i="18"/>
  <c r="Q94" i="19"/>
  <c r="Y82" i="18"/>
  <c r="L74" i="19"/>
  <c r="K76" i="19"/>
  <c r="U59" i="19"/>
  <c r="V106" i="18"/>
  <c r="O62" i="19"/>
  <c r="N75" i="19"/>
  <c r="M82" i="19"/>
  <c r="X100" i="18"/>
  <c r="U98" i="18"/>
  <c r="S112" i="18"/>
  <c r="T105" i="18"/>
  <c r="J68" i="19"/>
  <c r="K81" i="18"/>
  <c r="P76" i="18"/>
  <c r="M100" i="19"/>
  <c r="K101" i="19"/>
  <c r="L88" i="19"/>
  <c r="R92" i="19"/>
  <c r="P93" i="19"/>
  <c r="L77" i="19"/>
  <c r="J81" i="19"/>
  <c r="K92" i="19"/>
  <c r="X97" i="19"/>
  <c r="Y93" i="19"/>
  <c r="W94" i="19"/>
  <c r="N79" i="19"/>
  <c r="O77" i="19"/>
  <c r="T67" i="19"/>
  <c r="P74" i="19"/>
  <c r="P77" i="19"/>
  <c r="T66" i="19"/>
  <c r="U108" i="19"/>
  <c r="S109" i="19"/>
  <c r="L72" i="19"/>
  <c r="I102" i="19"/>
  <c r="X102" i="19"/>
  <c r="X90" i="19"/>
  <c r="O59" i="19"/>
  <c r="S101" i="19"/>
  <c r="O107" i="19"/>
  <c r="P103" i="19"/>
  <c r="N104" i="19"/>
  <c r="X65" i="19"/>
  <c r="J61" i="19"/>
  <c r="J95" i="19"/>
  <c r="O58" i="19"/>
  <c r="W104" i="19"/>
  <c r="U62" i="19"/>
  <c r="P104" i="19"/>
  <c r="L110" i="19"/>
  <c r="U83" i="19"/>
  <c r="U96" i="19"/>
  <c r="Q103" i="19"/>
  <c r="M88" i="19"/>
  <c r="T101" i="19"/>
  <c r="R102" i="19"/>
  <c r="N90" i="19"/>
  <c r="K98" i="19"/>
  <c r="X104" i="19"/>
  <c r="O90" i="19"/>
  <c r="K84" i="19"/>
  <c r="R74" i="19"/>
  <c r="N108" i="18"/>
  <c r="J102" i="19"/>
  <c r="S61" i="19"/>
  <c r="X107" i="18"/>
  <c r="J103" i="19"/>
  <c r="Q104" i="19"/>
  <c r="O105" i="19"/>
  <c r="Y66" i="19"/>
  <c r="V96" i="19"/>
  <c r="T97" i="19"/>
  <c r="R83" i="19"/>
  <c r="W76" i="19"/>
  <c r="O96" i="19"/>
  <c r="K103" i="19"/>
  <c r="L98" i="19"/>
  <c r="J100" i="19"/>
  <c r="T86" i="19"/>
  <c r="I80" i="19"/>
  <c r="O81" i="19"/>
  <c r="T69" i="19"/>
  <c r="K91" i="19"/>
  <c r="J80" i="19"/>
  <c r="J110" i="18"/>
  <c r="X108" i="18"/>
  <c r="N100" i="19"/>
  <c r="X60" i="19"/>
  <c r="Y104" i="19"/>
  <c r="R94" i="19"/>
  <c r="R78" i="19"/>
  <c r="O108" i="19"/>
  <c r="M109" i="19"/>
  <c r="W70" i="19"/>
  <c r="Q68" i="19"/>
  <c r="Y107" i="19"/>
  <c r="N92" i="19"/>
  <c r="V109" i="19"/>
  <c r="T110" i="19"/>
  <c r="M73" i="19"/>
  <c r="I72" i="19"/>
  <c r="U93" i="19"/>
  <c r="U73" i="19"/>
  <c r="Q112" i="18"/>
  <c r="U111" i="19"/>
  <c r="U103" i="19"/>
  <c r="P102" i="19"/>
  <c r="R111" i="18"/>
  <c r="P109" i="19"/>
  <c r="R64" i="19"/>
  <c r="T112" i="19"/>
  <c r="I70" i="19"/>
  <c r="P111" i="18"/>
  <c r="P74" i="18"/>
  <c r="S102" i="18"/>
  <c r="O80" i="18"/>
  <c r="U90" i="18"/>
  <c r="U93" i="18"/>
  <c r="N81" i="18"/>
  <c r="N61" i="19"/>
  <c r="Q101" i="18"/>
  <c r="V72" i="19"/>
  <c r="S90" i="18"/>
  <c r="J82" i="18"/>
  <c r="X89" i="19"/>
  <c r="K97" i="19"/>
  <c r="M76" i="19"/>
  <c r="P79" i="19"/>
  <c r="O74" i="19"/>
  <c r="W88" i="18"/>
  <c r="S82" i="19"/>
  <c r="Y109" i="19"/>
  <c r="I59" i="19"/>
  <c r="L87" i="18"/>
  <c r="I86" i="18"/>
  <c r="W86" i="18"/>
  <c r="Y91" i="18"/>
  <c r="M112" i="18"/>
  <c r="N105" i="18"/>
  <c r="R86" i="19"/>
  <c r="W108" i="19"/>
  <c r="R68" i="19"/>
  <c r="W78" i="19"/>
  <c r="K102" i="19"/>
  <c r="S88" i="19"/>
  <c r="S58" i="19"/>
  <c r="L101" i="19"/>
  <c r="L84" i="19"/>
  <c r="M80" i="19"/>
  <c r="R103" i="19"/>
  <c r="U90" i="19"/>
  <c r="N60" i="19"/>
  <c r="W86" i="19"/>
  <c r="Y74" i="19"/>
  <c r="I97" i="19"/>
  <c r="M69" i="19"/>
  <c r="I95" i="19"/>
  <c r="X95" i="19"/>
  <c r="W80" i="19"/>
  <c r="N88" i="19"/>
  <c r="S110" i="19"/>
  <c r="T70" i="19"/>
  <c r="M72" i="19"/>
  <c r="T109" i="19"/>
  <c r="T93" i="19"/>
  <c r="U89" i="19"/>
  <c r="I112" i="19"/>
  <c r="O73" i="19"/>
  <c r="V74" i="19"/>
  <c r="R75" i="19"/>
  <c r="S62" i="19"/>
  <c r="T102" i="19"/>
  <c r="J58" i="19"/>
  <c r="Q112" i="19"/>
  <c r="Q96" i="19"/>
  <c r="N78" i="19"/>
  <c r="V105" i="19"/>
  <c r="V89" i="19"/>
  <c r="S68" i="19"/>
  <c r="Y87" i="19"/>
  <c r="M110" i="19"/>
  <c r="M70" i="19"/>
  <c r="L107" i="19"/>
  <c r="L91" i="19"/>
  <c r="N70" i="19"/>
  <c r="U104" i="19"/>
  <c r="X77" i="19"/>
  <c r="S94" i="18"/>
  <c r="S84" i="19"/>
  <c r="V66" i="19"/>
  <c r="L94" i="18"/>
  <c r="X100" i="19"/>
  <c r="V90" i="19"/>
  <c r="T91" i="19"/>
  <c r="S74" i="19"/>
  <c r="J83" i="19"/>
  <c r="O106" i="19"/>
  <c r="S65" i="19"/>
  <c r="W63" i="19"/>
  <c r="P105" i="19"/>
  <c r="P89" i="19"/>
  <c r="Q84" i="19"/>
  <c r="V107" i="19"/>
  <c r="M67" i="19"/>
  <c r="K66" i="19"/>
  <c r="J87" i="19"/>
  <c r="P68" i="19"/>
  <c r="U110" i="19"/>
  <c r="R76" i="19"/>
  <c r="O96" i="18"/>
  <c r="L95" i="18"/>
  <c r="X81" i="19"/>
  <c r="V65" i="19"/>
  <c r="O102" i="19"/>
  <c r="M103" i="19"/>
  <c r="O91" i="19"/>
  <c r="T94" i="19"/>
  <c r="R95" i="19"/>
  <c r="O80" i="19"/>
  <c r="I79" i="19"/>
  <c r="M94" i="19"/>
  <c r="I101" i="19"/>
  <c r="J96" i="19"/>
  <c r="Y96" i="19"/>
  <c r="Q82" i="19"/>
  <c r="L82" i="19"/>
  <c r="I75" i="19"/>
  <c r="W60" i="19"/>
  <c r="V83" i="19"/>
  <c r="N74" i="19"/>
  <c r="Q109" i="19"/>
  <c r="L62" i="19"/>
  <c r="K92" i="18"/>
  <c r="S102" i="19"/>
  <c r="Q74" i="19"/>
  <c r="R72" i="19"/>
  <c r="Q79" i="19"/>
  <c r="U97" i="18"/>
  <c r="R109" i="19"/>
  <c r="R81" i="18"/>
  <c r="N106" i="18"/>
  <c r="M102" i="18"/>
  <c r="I80" i="18"/>
  <c r="Y59" i="18"/>
  <c r="R63" i="19"/>
  <c r="P80" i="18"/>
  <c r="R69" i="19"/>
  <c r="Y110" i="18"/>
  <c r="O68" i="18"/>
  <c r="J70" i="19"/>
  <c r="I98" i="19"/>
  <c r="V111" i="19"/>
  <c r="J86" i="19"/>
  <c r="Y107" i="18"/>
  <c r="O89" i="19"/>
  <c r="K59" i="19"/>
  <c r="N106" i="19"/>
  <c r="O64" i="19"/>
  <c r="N109" i="18"/>
  <c r="N107" i="19"/>
  <c r="V98" i="18"/>
  <c r="M78" i="18"/>
  <c r="Q86" i="18"/>
  <c r="S91" i="18"/>
  <c r="O73" i="18"/>
  <c r="U69" i="19"/>
  <c r="V110" i="19"/>
  <c r="K95" i="19"/>
  <c r="I87" i="19"/>
  <c r="J104" i="19"/>
  <c r="W109" i="19"/>
  <c r="I91" i="19"/>
  <c r="I108" i="19"/>
  <c r="X108" i="19"/>
  <c r="Q70" i="19"/>
  <c r="Q105" i="19"/>
  <c r="M111" i="19"/>
  <c r="O86" i="19"/>
  <c r="L105" i="19"/>
  <c r="P63" i="19"/>
  <c r="X111" i="18"/>
  <c r="U100" i="19"/>
  <c r="T82" i="19"/>
  <c r="N81" i="19"/>
  <c r="S104" i="19"/>
  <c r="U63" i="19"/>
  <c r="R112" i="19"/>
  <c r="X96" i="19"/>
  <c r="S89" i="19"/>
  <c r="M68" i="19"/>
  <c r="Y95" i="19"/>
  <c r="Y79" i="19"/>
  <c r="I76" i="19"/>
  <c r="N98" i="19"/>
  <c r="O83" i="19"/>
  <c r="J73" i="19"/>
  <c r="V87" i="19"/>
  <c r="I63" i="19"/>
  <c r="U105" i="19"/>
  <c r="W59" i="19"/>
  <c r="V98" i="19"/>
  <c r="V82" i="19"/>
  <c r="S112" i="19"/>
  <c r="J92" i="19"/>
  <c r="J76" i="19"/>
  <c r="S77" i="19"/>
  <c r="L112" i="19"/>
  <c r="R96" i="19"/>
  <c r="K89" i="19"/>
  <c r="Q93" i="19"/>
  <c r="Q77" i="19"/>
  <c r="V80" i="19"/>
  <c r="P107" i="19"/>
  <c r="P60" i="19"/>
  <c r="X80" i="18"/>
  <c r="N86" i="19"/>
  <c r="Q67" i="19"/>
  <c r="Q80" i="18"/>
  <c r="Y103" i="19"/>
  <c r="J77" i="19"/>
  <c r="O100" i="19"/>
  <c r="I86" i="19"/>
  <c r="N108" i="19"/>
  <c r="T92" i="19"/>
  <c r="S90" i="19"/>
  <c r="M112" i="19"/>
  <c r="U91" i="19"/>
  <c r="U75" i="19"/>
  <c r="U109" i="19"/>
  <c r="J94" i="19"/>
  <c r="O84" i="19"/>
  <c r="U61" i="19"/>
  <c r="M74" i="19"/>
  <c r="Q59" i="19"/>
  <c r="I92" i="19"/>
  <c r="N65" i="19"/>
  <c r="T82" i="18"/>
  <c r="Q81" i="18"/>
  <c r="U84" i="19"/>
  <c r="O66" i="19"/>
  <c r="T88" i="19"/>
  <c r="Y110" i="19"/>
  <c r="J72" i="19"/>
  <c r="Y80" i="19"/>
  <c r="M104" i="19"/>
  <c r="O63" i="19"/>
  <c r="K61" i="19"/>
  <c r="N103" i="19"/>
  <c r="N87" i="19"/>
  <c r="O82" i="19"/>
  <c r="T105" i="19"/>
  <c r="V64" i="19"/>
  <c r="W62" i="19"/>
  <c r="Y84" i="19"/>
  <c r="K63" i="19"/>
  <c r="O104" i="19"/>
  <c r="K104" i="19"/>
  <c r="R105" i="19"/>
  <c r="L111" i="19"/>
  <c r="I110" i="18"/>
  <c r="S91" i="19"/>
  <c r="R66" i="19"/>
  <c r="I90" i="19"/>
  <c r="K81" i="19"/>
  <c r="I84" i="18"/>
  <c r="R82" i="19"/>
  <c r="U105" i="18"/>
  <c r="L109" i="19"/>
  <c r="L81" i="18"/>
  <c r="Y105" i="18"/>
  <c r="O89" i="18"/>
  <c r="Q110" i="18"/>
  <c r="Y104" i="18"/>
  <c r="P97" i="18"/>
  <c r="M97" i="18"/>
  <c r="Q104" i="18"/>
  <c r="S64" i="19"/>
  <c r="I84" i="19"/>
  <c r="V95" i="19"/>
  <c r="S67" i="19"/>
  <c r="I90" i="18"/>
  <c r="M95" i="19"/>
  <c r="I65" i="19"/>
  <c r="L65" i="19"/>
  <c r="S70" i="19"/>
  <c r="S95" i="18"/>
  <c r="X110" i="19"/>
  <c r="U78" i="18"/>
  <c r="Y106" i="19"/>
  <c r="J98" i="18"/>
  <c r="X77" i="18"/>
  <c r="V109" i="18"/>
  <c r="P83" i="19"/>
  <c r="J97" i="19"/>
  <c r="K112" i="19"/>
  <c r="N94" i="19"/>
  <c r="V91" i="19"/>
  <c r="I103" i="19"/>
  <c r="I81" i="19"/>
  <c r="N112" i="19"/>
  <c r="S105" i="19"/>
  <c r="T104" i="19"/>
  <c r="I107" i="19"/>
  <c r="S81" i="19"/>
  <c r="S106" i="19"/>
  <c r="X98" i="19"/>
  <c r="R81" i="19"/>
  <c r="N101" i="19"/>
  <c r="R58" i="19"/>
  <c r="Q97" i="19"/>
  <c r="I111" i="18"/>
  <c r="J108" i="19"/>
  <c r="O101" i="19"/>
  <c r="P100" i="19"/>
  <c r="V102" i="19"/>
  <c r="X67" i="19"/>
  <c r="I67" i="19"/>
  <c r="L59" i="19"/>
  <c r="M97" i="19"/>
  <c r="Y111" i="19"/>
  <c r="I111" i="19"/>
  <c r="Y91" i="19"/>
  <c r="L68" i="19"/>
  <c r="I105" i="19"/>
  <c r="W87" i="18"/>
  <c r="T65" i="19"/>
  <c r="M62" i="19"/>
  <c r="O105" i="18"/>
  <c r="P84" i="18"/>
  <c r="R83" i="18"/>
  <c r="P90" i="19"/>
  <c r="T103" i="18"/>
  <c r="R90" i="19"/>
  <c r="W64" i="19"/>
  <c r="I78" i="18"/>
  <c r="L105" i="18"/>
  <c r="I100" i="19"/>
  <c r="P101" i="19"/>
  <c r="O67" i="19"/>
  <c r="S82" i="18"/>
  <c r="N83" i="19"/>
  <c r="U109" i="18"/>
  <c r="Q58" i="19"/>
  <c r="Q111" i="18"/>
  <c r="N110" i="18"/>
  <c r="K82" i="19"/>
  <c r="N78" i="18"/>
  <c r="I93" i="19"/>
  <c r="V106" i="19"/>
  <c r="M60" i="19"/>
  <c r="U103" i="18"/>
  <c r="T75" i="19"/>
  <c r="X70" i="19"/>
  <c r="S92" i="19"/>
  <c r="S59" i="19"/>
  <c r="J105" i="18"/>
  <c r="K105" i="19"/>
  <c r="P92" i="18"/>
  <c r="T112" i="18"/>
  <c r="U101" i="19"/>
  <c r="J93" i="19"/>
  <c r="O78" i="19"/>
  <c r="S101" i="18"/>
  <c r="M107" i="19"/>
  <c r="J65" i="19"/>
  <c r="M86" i="19"/>
  <c r="T73" i="19"/>
  <c r="Y102" i="18"/>
  <c r="W106" i="19"/>
  <c r="X88" i="18"/>
  <c r="R110" i="18"/>
  <c r="S108" i="18"/>
  <c r="M84" i="18"/>
  <c r="L64" i="18"/>
  <c r="L58" i="19"/>
  <c r="V87" i="18"/>
  <c r="V70" i="19"/>
  <c r="X76" i="18"/>
  <c r="S73" i="18"/>
  <c r="R80" i="19"/>
  <c r="Q78" i="19"/>
  <c r="Y77" i="19"/>
  <c r="M81" i="18"/>
  <c r="L69" i="18"/>
  <c r="W80" i="18"/>
  <c r="T102" i="18"/>
  <c r="X97" i="18"/>
  <c r="T64" i="19"/>
  <c r="V94" i="18"/>
  <c r="K106" i="19"/>
  <c r="P98" i="19"/>
  <c r="S80" i="19"/>
  <c r="W100" i="19"/>
  <c r="J106" i="19"/>
  <c r="Q86" i="19"/>
  <c r="S98" i="19"/>
  <c r="X91" i="19"/>
  <c r="O112" i="19"/>
  <c r="N93" i="19"/>
  <c r="J78" i="19"/>
  <c r="X92" i="19"/>
  <c r="L86" i="19"/>
  <c r="P67" i="19"/>
  <c r="S87" i="19"/>
  <c r="Y69" i="19"/>
  <c r="N95" i="19"/>
  <c r="N97" i="18"/>
  <c r="O94" i="19"/>
  <c r="T87" i="19"/>
  <c r="K108" i="19"/>
  <c r="J89" i="19"/>
  <c r="R70" i="19"/>
  <c r="J62" i="19"/>
  <c r="X82" i="19"/>
  <c r="Y105" i="19"/>
  <c r="M98" i="19"/>
  <c r="N97" i="19"/>
  <c r="T100" i="19"/>
  <c r="V62" i="19"/>
  <c r="S66" i="19"/>
  <c r="X68" i="18"/>
  <c r="T60" i="19"/>
  <c r="Q60" i="19"/>
  <c r="N84" i="18"/>
  <c r="O97" i="18"/>
  <c r="Q109" i="18"/>
  <c r="U112" i="19"/>
  <c r="U84" i="18"/>
  <c r="I62" i="19"/>
  <c r="X68" i="19"/>
  <c r="L102" i="18"/>
  <c r="X79" i="19"/>
  <c r="P84" i="19"/>
  <c r="R87" i="19"/>
  <c r="W72" i="19"/>
  <c r="T104" i="18"/>
  <c r="K79" i="19"/>
  <c r="X106" i="19"/>
  <c r="M81" i="19"/>
  <c r="V97" i="18"/>
  <c r="S96" i="18"/>
  <c r="I109" i="18"/>
  <c r="R103" i="18"/>
  <c r="J91" i="19"/>
  <c r="O68" i="19"/>
  <c r="R112" i="18"/>
  <c r="R80" i="18"/>
  <c r="T111" i="19"/>
  <c r="P72" i="19"/>
  <c r="Q72" i="19"/>
  <c r="L81" i="19"/>
  <c r="O91" i="18"/>
  <c r="V69" i="19"/>
  <c r="O72" i="18"/>
  <c r="V104" i="19"/>
  <c r="T84" i="19"/>
  <c r="S76" i="19"/>
  <c r="W98" i="18"/>
  <c r="P78" i="18"/>
  <c r="N105" i="19"/>
  <c r="O61" i="19"/>
  <c r="J64" i="19"/>
  <c r="O72" i="19"/>
  <c r="M89" i="18"/>
  <c r="O69" i="19"/>
  <c r="J112" i="18"/>
  <c r="Q106" i="19"/>
  <c r="R88" i="18"/>
  <c r="L110" i="18"/>
  <c r="P68" i="18"/>
  <c r="L70" i="19"/>
  <c r="L109" i="18"/>
  <c r="X106" i="18"/>
  <c r="Q102" i="18"/>
  <c r="W103" i="19"/>
  <c r="K96" i="19"/>
  <c r="L95" i="19"/>
  <c r="R97" i="19"/>
  <c r="Y58" i="19"/>
  <c r="W65" i="19"/>
  <c r="X87" i="19"/>
  <c r="T83" i="19"/>
  <c r="M66" i="19"/>
  <c r="V86" i="19"/>
  <c r="P110" i="18"/>
  <c r="Q107" i="19"/>
  <c r="V100" i="19"/>
  <c r="Q98" i="19"/>
  <c r="L102" i="19"/>
  <c r="U88" i="19"/>
  <c r="X59" i="19"/>
  <c r="T106" i="19"/>
  <c r="P88" i="19"/>
  <c r="J84" i="19"/>
  <c r="K87" i="19"/>
  <c r="L87" i="19"/>
  <c r="L106" i="18"/>
  <c r="V105" i="18"/>
  <c r="W111" i="18"/>
  <c r="L90" i="19"/>
  <c r="P87" i="19"/>
  <c r="S73" i="19"/>
  <c r="R89" i="19"/>
  <c r="J60" i="19"/>
  <c r="P106" i="19"/>
  <c r="P64" i="19"/>
  <c r="Y112" i="18"/>
  <c r="T84" i="18"/>
  <c r="M92" i="18"/>
  <c r="M91" i="18"/>
  <c r="Q63" i="18"/>
  <c r="W91" i="19"/>
  <c r="Y92" i="19"/>
  <c r="N72" i="19"/>
  <c r="X102" i="18"/>
  <c r="W103" i="18"/>
  <c r="Q83" i="19"/>
  <c r="X74" i="19"/>
  <c r="W82" i="19"/>
  <c r="R62" i="19"/>
  <c r="U86" i="18"/>
  <c r="P75" i="19"/>
  <c r="S103" i="19"/>
  <c r="Y70" i="19"/>
  <c r="J84" i="18"/>
  <c r="X82" i="18"/>
  <c r="S81" i="18"/>
  <c r="W89" i="18"/>
  <c r="Y101" i="19"/>
  <c r="O103" i="19"/>
  <c r="O93" i="19"/>
  <c r="P98" i="18"/>
  <c r="M79" i="19"/>
  <c r="V61" i="19"/>
  <c r="S83" i="19"/>
  <c r="L61" i="19"/>
  <c r="T77" i="18"/>
  <c r="L60" i="19"/>
  <c r="R95" i="18"/>
  <c r="P69" i="19"/>
  <c r="I110" i="19"/>
  <c r="P111" i="19"/>
  <c r="T74" i="19"/>
  <c r="N96" i="18"/>
  <c r="X72" i="19"/>
  <c r="W68" i="19"/>
  <c r="M77" i="19"/>
  <c r="K60" i="19"/>
  <c r="K90" i="19"/>
  <c r="P82" i="19"/>
  <c r="X103" i="19"/>
  <c r="W83" i="19"/>
  <c r="U60" i="19"/>
  <c r="R67" i="19"/>
  <c r="Q81" i="19"/>
  <c r="K72" i="19"/>
  <c r="V73" i="19"/>
  <c r="W73" i="19"/>
  <c r="U96" i="18"/>
  <c r="V93" i="19"/>
  <c r="Q108" i="19"/>
  <c r="R107" i="19"/>
  <c r="X109" i="19"/>
  <c r="W66" i="19"/>
  <c r="R77" i="19"/>
  <c r="R65" i="19"/>
  <c r="K75" i="19"/>
  <c r="J66" i="19"/>
  <c r="U67" i="19"/>
  <c r="V67" i="19"/>
  <c r="Q92" i="18"/>
  <c r="J92" i="18"/>
  <c r="T81" i="19"/>
  <c r="M84" i="19"/>
  <c r="X80" i="19"/>
  <c r="Y82" i="19"/>
  <c r="I83" i="19"/>
  <c r="J104" i="18"/>
  <c r="I68" i="19"/>
  <c r="X66" i="19"/>
  <c r="I103" i="18"/>
  <c r="V107" i="18"/>
  <c r="R78" i="18"/>
  <c r="K100" i="19"/>
  <c r="O67" i="18"/>
  <c r="U92" i="19"/>
  <c r="M91" i="19"/>
  <c r="W110" i="18"/>
  <c r="W81" i="18"/>
  <c r="K90" i="18"/>
  <c r="U106" i="19"/>
  <c r="J98" i="19"/>
  <c r="O87" i="19"/>
  <c r="W105" i="18"/>
  <c r="I82" i="19"/>
  <c r="L80" i="19"/>
  <c r="Y98" i="19"/>
  <c r="O60" i="19"/>
  <c r="L107" i="18"/>
  <c r="M87" i="19"/>
  <c r="M95" i="18"/>
  <c r="K76" i="18"/>
  <c r="U107" i="19"/>
  <c r="K109" i="19"/>
  <c r="I74" i="19"/>
  <c r="M76" i="18"/>
  <c r="K86" i="19"/>
  <c r="J109" i="19"/>
  <c r="P78" i="19"/>
  <c r="O109" i="18"/>
  <c r="L108" i="18"/>
  <c r="I77" i="19"/>
  <c r="Q75" i="18"/>
  <c r="V59" i="19"/>
  <c r="I94" i="19"/>
  <c r="P95" i="19"/>
  <c r="N62" i="19"/>
  <c r="K74" i="18"/>
  <c r="V78" i="19"/>
  <c r="U102" i="19"/>
  <c r="P70" i="19"/>
  <c r="M107" i="18"/>
  <c r="J106" i="18"/>
  <c r="Y78" i="19"/>
  <c r="I112" i="18"/>
  <c r="S78" i="19"/>
  <c r="T91" i="18"/>
  <c r="V82" i="18"/>
  <c r="S87" i="18"/>
  <c r="U104" i="18"/>
  <c r="R79" i="19"/>
  <c r="W93" i="18"/>
  <c r="J75" i="18"/>
  <c r="O82" i="18"/>
  <c r="U110" i="18"/>
  <c r="K75" i="18"/>
  <c r="K106" i="18"/>
  <c r="Q89" i="18"/>
  <c r="U80" i="19"/>
  <c r="I87" i="18"/>
  <c r="M83" i="18"/>
  <c r="M59" i="18"/>
  <c r="K107" i="18"/>
  <c r="N93" i="18"/>
  <c r="I70" i="18"/>
  <c r="U69" i="18"/>
  <c r="U64" i="18"/>
  <c r="M95" i="17"/>
  <c r="X95" i="18"/>
  <c r="V96" i="18"/>
  <c r="J77" i="17"/>
  <c r="Y104" i="17"/>
  <c r="M100" i="18"/>
  <c r="S62" i="18"/>
  <c r="V98" i="17"/>
  <c r="P86" i="18"/>
  <c r="V60" i="18"/>
  <c r="S80" i="17"/>
  <c r="Q108" i="17"/>
  <c r="K66" i="18"/>
  <c r="M94" i="18"/>
  <c r="L108" i="19"/>
  <c r="V74" i="18"/>
  <c r="Q100" i="19"/>
  <c r="W102" i="18"/>
  <c r="Q107" i="18"/>
  <c r="V90" i="18"/>
  <c r="P79" i="18"/>
  <c r="X104" i="18"/>
  <c r="W78" i="18"/>
  <c r="P69" i="18"/>
  <c r="Y61" i="18"/>
  <c r="W106" i="17"/>
  <c r="T62" i="19"/>
  <c r="S75" i="18"/>
  <c r="W88" i="19"/>
  <c r="W79" i="19"/>
  <c r="W98" i="19"/>
  <c r="Q91" i="19"/>
  <c r="U87" i="19"/>
  <c r="N77" i="19"/>
  <c r="S94" i="19"/>
  <c r="V77" i="19"/>
  <c r="X112" i="19"/>
  <c r="S107" i="19"/>
  <c r="X83" i="19"/>
  <c r="Y81" i="19"/>
  <c r="W92" i="18"/>
  <c r="X81" i="18"/>
  <c r="I66" i="19"/>
  <c r="X87" i="18"/>
  <c r="P81" i="19"/>
  <c r="W90" i="19"/>
  <c r="W87" i="19"/>
  <c r="R102" i="18"/>
  <c r="V81" i="19"/>
  <c r="V104" i="18"/>
  <c r="U74" i="19"/>
  <c r="P100" i="18"/>
  <c r="J74" i="19"/>
  <c r="T78" i="18"/>
  <c r="S84" i="18"/>
  <c r="Y97" i="18"/>
  <c r="Q89" i="19"/>
  <c r="L69" i="19"/>
  <c r="N87" i="18"/>
  <c r="N102" i="18"/>
  <c r="S97" i="19"/>
  <c r="Y77" i="18"/>
  <c r="V111" i="18"/>
  <c r="S69" i="18"/>
  <c r="K58" i="19"/>
  <c r="I107" i="18"/>
  <c r="W69" i="18"/>
  <c r="M80" i="18"/>
  <c r="X112" i="17"/>
  <c r="Y111" i="17"/>
  <c r="W104" i="18"/>
  <c r="Y101" i="17"/>
  <c r="M78" i="19"/>
  <c r="T58" i="18"/>
  <c r="U103" i="17"/>
  <c r="V92" i="19"/>
  <c r="X66" i="18"/>
  <c r="V91" i="17"/>
  <c r="K108" i="18"/>
  <c r="V101" i="19"/>
  <c r="W100" i="18"/>
  <c r="O87" i="18"/>
  <c r="S107" i="18"/>
  <c r="X62" i="19"/>
  <c r="T93" i="18"/>
  <c r="K79" i="18"/>
  <c r="L91" i="18"/>
  <c r="Q66" i="18"/>
  <c r="R68" i="18"/>
  <c r="V110" i="17"/>
  <c r="W109" i="17"/>
  <c r="Y67" i="18"/>
  <c r="R112" i="17"/>
  <c r="W102" i="17"/>
  <c r="Y74" i="18"/>
  <c r="I58" i="18"/>
  <c r="T96" i="17"/>
  <c r="K88" i="19"/>
  <c r="U65" i="19"/>
  <c r="P105" i="18"/>
  <c r="J62" i="18"/>
  <c r="Y69" i="18"/>
  <c r="Y88" i="18"/>
  <c r="R91" i="18"/>
  <c r="K111" i="18"/>
  <c r="R90" i="18"/>
  <c r="V70" i="18"/>
  <c r="L90" i="18"/>
  <c r="U60" i="18"/>
  <c r="T108" i="17"/>
  <c r="Y97" i="17"/>
  <c r="W63" i="18"/>
  <c r="Y112" i="17"/>
  <c r="V92" i="17"/>
  <c r="O112" i="18"/>
  <c r="P66" i="18"/>
  <c r="L112" i="17"/>
  <c r="Q102" i="17"/>
  <c r="P66" i="19"/>
  <c r="P73" i="18"/>
  <c r="I98" i="18"/>
  <c r="K84" i="18"/>
  <c r="S77" i="18"/>
  <c r="N83" i="18"/>
  <c r="M66" i="18"/>
  <c r="Q100" i="18"/>
  <c r="U74" i="18"/>
  <c r="R79" i="18"/>
  <c r="O88" i="18"/>
  <c r="S60" i="18"/>
  <c r="W92" i="17"/>
  <c r="S105" i="17"/>
  <c r="N76" i="18"/>
  <c r="K97" i="17"/>
  <c r="P100" i="17"/>
  <c r="J95" i="18"/>
  <c r="Q58" i="18"/>
  <c r="O96" i="17"/>
  <c r="K109" i="17"/>
  <c r="U81" i="19"/>
  <c r="K105" i="18"/>
  <c r="U91" i="18"/>
  <c r="T73" i="18"/>
  <c r="I105" i="18"/>
  <c r="J111" i="18"/>
  <c r="L84" i="18"/>
  <c r="J97" i="18"/>
  <c r="N86" i="18"/>
  <c r="N65" i="18"/>
  <c r="O74" i="18"/>
  <c r="P64" i="18"/>
  <c r="P104" i="17"/>
  <c r="U93" i="17"/>
  <c r="X86" i="18"/>
  <c r="U108" i="17"/>
  <c r="U77" i="19"/>
  <c r="Y101" i="18"/>
  <c r="V103" i="19"/>
  <c r="P108" i="19"/>
  <c r="M105" i="19"/>
  <c r="L112" i="18"/>
  <c r="R98" i="19"/>
  <c r="U94" i="19"/>
  <c r="L106" i="19"/>
  <c r="R111" i="19"/>
  <c r="I60" i="19"/>
  <c r="L68" i="18"/>
  <c r="I109" i="19"/>
  <c r="R110" i="19"/>
  <c r="J82" i="19"/>
  <c r="N110" i="19"/>
  <c r="Y64" i="19"/>
  <c r="L75" i="18"/>
  <c r="Y89" i="19"/>
  <c r="U72" i="19"/>
  <c r="T95" i="18"/>
  <c r="P101" i="18"/>
  <c r="T76" i="19"/>
  <c r="Y65" i="19"/>
  <c r="R93" i="18"/>
  <c r="R100" i="18"/>
  <c r="Q76" i="19"/>
  <c r="J69" i="18"/>
  <c r="T83" i="18"/>
  <c r="V73" i="18"/>
  <c r="M68" i="18"/>
  <c r="I104" i="19"/>
  <c r="R76" i="18"/>
  <c r="N74" i="18"/>
  <c r="J107" i="18"/>
  <c r="N79" i="18"/>
  <c r="V86" i="18"/>
  <c r="X65" i="18"/>
  <c r="I79" i="18"/>
  <c r="O58" i="18"/>
  <c r="Y108" i="17"/>
  <c r="S105" i="18"/>
  <c r="R60" i="18"/>
  <c r="I97" i="17"/>
  <c r="X110" i="18"/>
  <c r="O64" i="18"/>
  <c r="R108" i="17"/>
  <c r="M86" i="18"/>
  <c r="K68" i="18"/>
  <c r="N110" i="17"/>
  <c r="W70" i="18"/>
  <c r="Y108" i="19"/>
  <c r="P108" i="18"/>
  <c r="L72" i="18"/>
  <c r="Q74" i="18"/>
  <c r="I97" i="18"/>
  <c r="P103" i="18"/>
  <c r="R82" i="18"/>
  <c r="V103" i="18"/>
  <c r="X103" i="18"/>
  <c r="N62" i="18"/>
  <c r="K93" i="17"/>
  <c r="O101" i="18"/>
  <c r="J66" i="18"/>
  <c r="S108" i="17"/>
  <c r="U79" i="19"/>
  <c r="N101" i="18"/>
  <c r="P90" i="17"/>
  <c r="U92" i="17"/>
  <c r="K112" i="18"/>
  <c r="Y88" i="19"/>
  <c r="R109" i="18"/>
  <c r="L103" i="19"/>
  <c r="U100" i="18"/>
  <c r="N104" i="18"/>
  <c r="J77" i="18"/>
  <c r="S76" i="18"/>
  <c r="V102" i="18"/>
  <c r="L70" i="18"/>
  <c r="L65" i="18"/>
  <c r="J83" i="18"/>
  <c r="U104" i="17"/>
  <c r="Q105" i="18"/>
  <c r="J68" i="18"/>
  <c r="R86" i="17"/>
  <c r="W88" i="17"/>
  <c r="X72" i="18"/>
  <c r="J65" i="18"/>
  <c r="M108" i="17"/>
  <c r="P65" i="19"/>
  <c r="Y72" i="19"/>
  <c r="L89" i="18"/>
  <c r="V75" i="18"/>
  <c r="T72" i="19"/>
  <c r="Q101" i="19"/>
  <c r="W108" i="18"/>
  <c r="J103" i="18"/>
  <c r="M96" i="18"/>
  <c r="Y86" i="18"/>
  <c r="Y75" i="18"/>
  <c r="M93" i="18"/>
  <c r="J109" i="17"/>
  <c r="O111" i="17"/>
  <c r="J88" i="18"/>
  <c r="L60" i="18"/>
  <c r="N108" i="17"/>
  <c r="S97" i="17"/>
  <c r="V62" i="18"/>
  <c r="S112" i="17"/>
  <c r="P92" i="17"/>
  <c r="M110" i="18"/>
  <c r="I72" i="18"/>
  <c r="T78" i="19"/>
  <c r="J101" i="18"/>
  <c r="M90" i="19"/>
  <c r="O93" i="18"/>
  <c r="V93" i="18"/>
  <c r="U65" i="18"/>
  <c r="M69" i="18"/>
  <c r="R97" i="18"/>
  <c r="L98" i="18"/>
  <c r="J70" i="18"/>
  <c r="J64" i="18"/>
  <c r="Q100" i="17"/>
  <c r="V92" i="18"/>
  <c r="S61" i="18"/>
  <c r="N81" i="17"/>
  <c r="L109" i="17"/>
  <c r="T101" i="18"/>
  <c r="R62" i="18"/>
  <c r="I104" i="17"/>
  <c r="I96" i="18"/>
  <c r="J67" i="18"/>
  <c r="W84" i="17"/>
  <c r="U112" i="17"/>
  <c r="X92" i="18"/>
  <c r="J61" i="18"/>
  <c r="J98" i="17"/>
  <c r="O88" i="17"/>
  <c r="M64" i="17"/>
  <c r="O94" i="17"/>
  <c r="M60" i="18"/>
  <c r="P84" i="17"/>
  <c r="X112" i="18"/>
  <c r="Y100" i="18"/>
  <c r="S89" i="18"/>
  <c r="O76" i="18"/>
  <c r="M101" i="17"/>
  <c r="V89" i="18"/>
  <c r="V109" i="17"/>
  <c r="M96" i="17"/>
  <c r="S89" i="17"/>
  <c r="J91" i="17"/>
  <c r="K104" i="18"/>
  <c r="U83" i="17"/>
  <c r="T61" i="19"/>
  <c r="M88" i="18"/>
  <c r="J90" i="19"/>
  <c r="N67" i="19"/>
  <c r="R91" i="19"/>
  <c r="Q98" i="18"/>
  <c r="W84" i="19"/>
  <c r="J75" i="19"/>
  <c r="Q92" i="19"/>
  <c r="O109" i="19"/>
  <c r="I89" i="19"/>
  <c r="Y100" i="19"/>
  <c r="O79" i="19"/>
  <c r="Q64" i="19"/>
  <c r="K78" i="19"/>
  <c r="S86" i="19"/>
  <c r="Q65" i="19"/>
  <c r="O98" i="18"/>
  <c r="W97" i="19"/>
  <c r="T68" i="19"/>
  <c r="Y81" i="18"/>
  <c r="U87" i="18"/>
  <c r="T95" i="19"/>
  <c r="M63" i="19"/>
  <c r="W79" i="18"/>
  <c r="Y108" i="18"/>
  <c r="L100" i="18"/>
  <c r="U108" i="18"/>
  <c r="W107" i="18"/>
  <c r="Y96" i="18"/>
  <c r="P91" i="19"/>
  <c r="U98" i="19"/>
  <c r="Q82" i="18"/>
  <c r="N68" i="18"/>
  <c r="V88" i="19"/>
  <c r="W77" i="18"/>
  <c r="J87" i="18"/>
  <c r="T88" i="18"/>
  <c r="J102" i="18"/>
  <c r="S68" i="18"/>
  <c r="I105" i="17"/>
  <c r="L78" i="18"/>
  <c r="V58" i="18"/>
  <c r="V106" i="17"/>
  <c r="O81" i="18"/>
  <c r="M106" i="17"/>
  <c r="W94" i="17"/>
  <c r="S74" i="18"/>
  <c r="I108" i="17"/>
  <c r="S96" i="17"/>
  <c r="M67" i="18"/>
  <c r="K62" i="19"/>
  <c r="T79" i="19"/>
  <c r="R66" i="18"/>
  <c r="N91" i="18"/>
  <c r="J80" i="18"/>
  <c r="W95" i="19"/>
  <c r="O106" i="18"/>
  <c r="I76" i="18"/>
  <c r="W96" i="18"/>
  <c r="J60" i="18"/>
  <c r="X102" i="17"/>
  <c r="Y73" i="18"/>
  <c r="L63" i="18"/>
  <c r="X94" i="17"/>
  <c r="U92" i="18"/>
  <c r="S93" i="18"/>
  <c r="U76" i="17"/>
  <c r="S104" i="17"/>
  <c r="Y97" i="19"/>
  <c r="M109" i="18"/>
  <c r="K82" i="18"/>
  <c r="W67" i="19"/>
  <c r="P97" i="19"/>
  <c r="U73" i="18"/>
  <c r="J72" i="18"/>
  <c r="V100" i="18"/>
  <c r="J89" i="18"/>
  <c r="T94" i="18"/>
  <c r="N60" i="18"/>
  <c r="L111" i="17"/>
  <c r="I91" i="17"/>
  <c r="V101" i="18"/>
  <c r="V79" i="19"/>
  <c r="R106" i="19"/>
  <c r="M101" i="19"/>
  <c r="J69" i="19"/>
  <c r="W89" i="19"/>
  <c r="N102" i="19"/>
  <c r="I96" i="19"/>
  <c r="U95" i="19"/>
  <c r="K110" i="19"/>
  <c r="J107" i="19"/>
  <c r="N70" i="18"/>
  <c r="R107" i="18"/>
  <c r="W61" i="19"/>
  <c r="P96" i="18"/>
  <c r="N68" i="19"/>
  <c r="W81" i="19"/>
  <c r="Q93" i="18"/>
  <c r="X86" i="19"/>
  <c r="L66" i="19"/>
  <c r="R100" i="19"/>
  <c r="Q94" i="18"/>
  <c r="Q75" i="19"/>
  <c r="V75" i="19"/>
  <c r="L93" i="19"/>
  <c r="R75" i="18"/>
  <c r="I92" i="18"/>
  <c r="U111" i="18"/>
  <c r="I89" i="18"/>
  <c r="Q95" i="18"/>
  <c r="V88" i="18"/>
  <c r="U78" i="19"/>
  <c r="M58" i="19"/>
  <c r="R61" i="19"/>
  <c r="V97" i="19"/>
  <c r="P61" i="19"/>
  <c r="T72" i="18"/>
  <c r="Q108" i="18"/>
  <c r="I61" i="18"/>
  <c r="T74" i="18"/>
  <c r="U102" i="17"/>
  <c r="N91" i="17"/>
  <c r="L79" i="18"/>
  <c r="Q104" i="17"/>
  <c r="J93" i="17"/>
  <c r="O66" i="18"/>
  <c r="R92" i="17"/>
  <c r="U106" i="17"/>
  <c r="M75" i="18"/>
  <c r="N94" i="17"/>
  <c r="V94" i="17"/>
  <c r="R70" i="18"/>
  <c r="X78" i="19"/>
  <c r="W112" i="18"/>
  <c r="J109" i="18"/>
  <c r="S100" i="19"/>
  <c r="K95" i="18"/>
  <c r="M64" i="19"/>
  <c r="T92" i="18"/>
  <c r="X58" i="18"/>
  <c r="R64" i="18"/>
  <c r="S100" i="17"/>
  <c r="L89" i="17"/>
  <c r="T68" i="18"/>
  <c r="O102" i="17"/>
  <c r="T104" i="17"/>
  <c r="R104" i="18"/>
  <c r="P60" i="18"/>
  <c r="S101" i="17"/>
  <c r="X90" i="17"/>
  <c r="L73" i="19"/>
  <c r="W107" i="19"/>
  <c r="O94" i="18"/>
  <c r="O103" i="18"/>
  <c r="S75" i="19"/>
  <c r="I93" i="18"/>
  <c r="L97" i="19"/>
  <c r="U79" i="18"/>
  <c r="O75" i="18"/>
  <c r="U63" i="18"/>
  <c r="T81" i="18"/>
  <c r="Q97" i="17"/>
  <c r="V100" i="17"/>
  <c r="K96" i="18"/>
  <c r="W60" i="18"/>
  <c r="I69" i="19"/>
  <c r="J111" i="19"/>
  <c r="T103" i="19"/>
  <c r="X93" i="19"/>
  <c r="I104" i="18"/>
  <c r="R101" i="18"/>
  <c r="X105" i="19"/>
  <c r="O77" i="18"/>
  <c r="P58" i="19"/>
  <c r="Q96" i="18"/>
  <c r="Q78" i="18"/>
  <c r="U101" i="18"/>
  <c r="O83" i="18"/>
  <c r="T69" i="18"/>
  <c r="X60" i="18"/>
  <c r="P63" i="18"/>
  <c r="P58" i="18"/>
  <c r="I78" i="19"/>
  <c r="M108" i="18"/>
  <c r="S103" i="18"/>
  <c r="V63" i="18"/>
  <c r="T64" i="18"/>
  <c r="I82" i="18"/>
  <c r="K86" i="18"/>
  <c r="Q73" i="18"/>
  <c r="Q70" i="18"/>
  <c r="S100" i="18"/>
  <c r="Y94" i="17"/>
  <c r="K61" i="18"/>
  <c r="U100" i="17"/>
  <c r="L74" i="18"/>
  <c r="R94" i="17"/>
  <c r="U97" i="19"/>
  <c r="Q90" i="19"/>
  <c r="U89" i="18"/>
  <c r="S60" i="19"/>
  <c r="P89" i="18"/>
  <c r="L76" i="18"/>
  <c r="W67" i="18"/>
  <c r="V68" i="18"/>
  <c r="R106" i="17"/>
  <c r="X91" i="18"/>
  <c r="W110" i="17"/>
  <c r="O107" i="17"/>
  <c r="U62" i="18"/>
  <c r="L102" i="17"/>
  <c r="N80" i="19"/>
  <c r="X109" i="18"/>
  <c r="W73" i="18"/>
  <c r="W102" i="19"/>
  <c r="M105" i="18"/>
  <c r="P93" i="18"/>
  <c r="K72" i="18"/>
  <c r="Y68" i="18"/>
  <c r="R79" i="17"/>
  <c r="T79" i="18"/>
  <c r="N59" i="18"/>
  <c r="N97" i="17"/>
  <c r="R58" i="18"/>
  <c r="V96" i="17"/>
  <c r="Y110" i="17"/>
  <c r="P62" i="18"/>
  <c r="R98" i="17"/>
  <c r="I100" i="17"/>
  <c r="V77" i="18"/>
  <c r="K78" i="17"/>
  <c r="N92" i="17"/>
  <c r="R81" i="17"/>
  <c r="L78" i="17"/>
  <c r="V102" i="17"/>
  <c r="Y94" i="18"/>
  <c r="O102" i="18"/>
  <c r="K100" i="17"/>
  <c r="N63" i="18"/>
  <c r="J106" i="17"/>
  <c r="M87" i="18"/>
  <c r="P105" i="17"/>
  <c r="L87" i="17"/>
  <c r="K103" i="17"/>
  <c r="T106" i="17"/>
  <c r="J59" i="17"/>
  <c r="W97" i="16"/>
  <c r="T75" i="17"/>
  <c r="X87" i="17"/>
  <c r="J65" i="17"/>
  <c r="O84" i="18"/>
  <c r="L83" i="18"/>
  <c r="X67" i="18"/>
  <c r="K95" i="17"/>
  <c r="W61" i="18"/>
  <c r="O106" i="17"/>
  <c r="V64" i="18"/>
  <c r="T95" i="17"/>
  <c r="S92" i="17"/>
  <c r="Q65" i="17"/>
  <c r="X80" i="17"/>
  <c r="N80" i="17"/>
  <c r="J79" i="17"/>
  <c r="U95" i="16"/>
  <c r="R100" i="17"/>
  <c r="M83" i="17"/>
  <c r="M62" i="17"/>
  <c r="M94" i="16"/>
  <c r="K77" i="17"/>
  <c r="V60" i="17"/>
  <c r="M100" i="16"/>
  <c r="M90" i="18"/>
  <c r="K93" i="18"/>
  <c r="V76" i="19"/>
  <c r="K92" i="17"/>
  <c r="I63" i="18"/>
  <c r="U98" i="17"/>
  <c r="K91" i="18"/>
  <c r="O109" i="17"/>
  <c r="N106" i="17"/>
  <c r="T66" i="17"/>
  <c r="U75" i="17"/>
  <c r="N91" i="19"/>
  <c r="T77" i="19"/>
  <c r="J105" i="19"/>
  <c r="O88" i="19"/>
  <c r="L111" i="18"/>
  <c r="K73" i="19"/>
  <c r="K74" i="19"/>
  <c r="Y94" i="19"/>
  <c r="O92" i="18"/>
  <c r="W101" i="19"/>
  <c r="I64" i="19"/>
  <c r="U58" i="19"/>
  <c r="J81" i="18"/>
  <c r="I89" i="17"/>
  <c r="V90" i="17"/>
  <c r="W78" i="17"/>
  <c r="Q105" i="17"/>
  <c r="L64" i="19"/>
  <c r="X88" i="19"/>
  <c r="Y78" i="18"/>
  <c r="X86" i="17"/>
  <c r="T88" i="17"/>
  <c r="V59" i="18"/>
  <c r="T90" i="19"/>
  <c r="X101" i="18"/>
  <c r="U66" i="19"/>
  <c r="N82" i="18"/>
  <c r="T111" i="17"/>
  <c r="M100" i="17"/>
  <c r="Q109" i="17"/>
  <c r="X79" i="18"/>
  <c r="N104" i="17"/>
  <c r="Y89" i="18"/>
  <c r="T108" i="18"/>
  <c r="M89" i="19"/>
  <c r="N69" i="19"/>
  <c r="N72" i="18"/>
  <c r="K102" i="18"/>
  <c r="V66" i="18"/>
  <c r="I62" i="18"/>
  <c r="S102" i="17"/>
  <c r="I108" i="18"/>
  <c r="P83" i="17"/>
  <c r="M101" i="18"/>
  <c r="Q60" i="18"/>
  <c r="Q88" i="17"/>
  <c r="Y76" i="19"/>
  <c r="Q88" i="19"/>
  <c r="T107" i="18"/>
  <c r="J79" i="19"/>
  <c r="X105" i="18"/>
  <c r="U112" i="18"/>
  <c r="O70" i="18"/>
  <c r="W97" i="18"/>
  <c r="U90" i="17"/>
  <c r="T87" i="18"/>
  <c r="I95" i="17"/>
  <c r="Q95" i="17"/>
  <c r="R74" i="18"/>
  <c r="J83" i="17"/>
  <c r="M97" i="17"/>
  <c r="O95" i="18"/>
  <c r="U109" i="17"/>
  <c r="N89" i="19"/>
  <c r="N107" i="18"/>
  <c r="I103" i="17"/>
  <c r="J102" i="17"/>
  <c r="Y59" i="17"/>
  <c r="T84" i="17"/>
  <c r="S86" i="17"/>
  <c r="I95" i="18"/>
  <c r="J100" i="18"/>
  <c r="L61" i="18"/>
  <c r="W59" i="18"/>
  <c r="S110" i="17"/>
  <c r="X63" i="18"/>
  <c r="J112" i="17"/>
  <c r="M89" i="17"/>
  <c r="Q83" i="17"/>
  <c r="V82" i="17"/>
  <c r="M60" i="17"/>
  <c r="K84" i="16"/>
  <c r="R103" i="17"/>
  <c r="P70" i="17"/>
  <c r="N66" i="17"/>
  <c r="P109" i="18"/>
  <c r="K63" i="18"/>
  <c r="S106" i="17"/>
  <c r="W109" i="18"/>
  <c r="T101" i="17"/>
  <c r="K94" i="19"/>
  <c r="N69" i="18"/>
  <c r="N103" i="17"/>
  <c r="V76" i="17"/>
  <c r="P75" i="18"/>
  <c r="L90" i="17"/>
  <c r="J84" i="17"/>
  <c r="S81" i="17"/>
  <c r="I82" i="16"/>
  <c r="N112" i="17"/>
  <c r="Q67" i="17"/>
  <c r="I63" i="17"/>
  <c r="I106" i="18"/>
  <c r="R82" i="17"/>
  <c r="Y61" i="17"/>
  <c r="R86" i="16"/>
  <c r="Q88" i="18"/>
  <c r="K109" i="18"/>
  <c r="Q91" i="18"/>
  <c r="X104" i="17"/>
  <c r="U70" i="18"/>
  <c r="M104" i="17"/>
  <c r="V61" i="18"/>
  <c r="R93" i="17"/>
  <c r="Q90" i="17"/>
  <c r="K79" i="17"/>
  <c r="M77" i="17"/>
  <c r="W77" i="17"/>
  <c r="J63" i="19"/>
  <c r="K68" i="19"/>
  <c r="O97" i="19"/>
  <c r="N64" i="19"/>
  <c r="P112" i="18"/>
  <c r="Y90" i="19"/>
  <c r="O79" i="18"/>
  <c r="L92" i="19"/>
  <c r="K80" i="19"/>
  <c r="X93" i="18"/>
  <c r="N90" i="18"/>
  <c r="K94" i="18"/>
  <c r="S79" i="18"/>
  <c r="L100" i="17"/>
  <c r="U110" i="17"/>
  <c r="Q112" i="17"/>
  <c r="R101" i="17"/>
  <c r="J86" i="18"/>
  <c r="L93" i="18"/>
  <c r="Q77" i="18"/>
  <c r="J97" i="17"/>
  <c r="W98" i="17"/>
  <c r="K104" i="17"/>
  <c r="K87" i="18"/>
  <c r="Y83" i="18"/>
  <c r="W106" i="18"/>
  <c r="S92" i="18"/>
  <c r="U107" i="17"/>
  <c r="P110" i="17"/>
  <c r="N63" i="19"/>
  <c r="T61" i="18"/>
  <c r="S90" i="17"/>
  <c r="N59" i="19"/>
  <c r="X94" i="18"/>
  <c r="K98" i="18"/>
  <c r="U83" i="18"/>
  <c r="K77" i="19"/>
  <c r="P88" i="18"/>
  <c r="M93" i="19"/>
  <c r="N75" i="18"/>
  <c r="T97" i="17"/>
  <c r="S59" i="18"/>
  <c r="S94" i="17"/>
  <c r="T98" i="18"/>
  <c r="X98" i="17"/>
  <c r="O100" i="17"/>
  <c r="I73" i="19"/>
  <c r="P104" i="18"/>
  <c r="S69" i="19"/>
  <c r="I58" i="19"/>
  <c r="S93" i="19"/>
  <c r="I100" i="18"/>
  <c r="Q97" i="18"/>
  <c r="Q59" i="18"/>
  <c r="M109" i="17"/>
  <c r="S80" i="18"/>
  <c r="L106" i="17"/>
  <c r="M105" i="17"/>
  <c r="K64" i="18"/>
  <c r="Y107" i="17"/>
  <c r="I107" i="17"/>
  <c r="M62" i="18"/>
  <c r="I96" i="17"/>
  <c r="P106" i="18"/>
  <c r="O62" i="18"/>
  <c r="V111" i="17"/>
  <c r="T74" i="17"/>
  <c r="J79" i="18"/>
  <c r="W63" i="17"/>
  <c r="J69" i="17"/>
  <c r="L88" i="18"/>
  <c r="P77" i="17"/>
  <c r="Y80" i="17"/>
  <c r="Y60" i="18"/>
  <c r="R90" i="17"/>
  <c r="Y58" i="18"/>
  <c r="X103" i="17"/>
  <c r="U72" i="17"/>
  <c r="T89" i="17"/>
  <c r="Y88" i="17"/>
  <c r="Q61" i="17"/>
  <c r="N108" i="16"/>
  <c r="T93" i="17"/>
  <c r="J68" i="17"/>
  <c r="I58" i="17"/>
  <c r="T97" i="18"/>
  <c r="T106" i="18"/>
  <c r="X108" i="17"/>
  <c r="K97" i="18"/>
  <c r="Q78" i="17"/>
  <c r="P94" i="18"/>
  <c r="P59" i="18"/>
  <c r="Y109" i="17"/>
  <c r="W79" i="17"/>
  <c r="I69" i="18"/>
  <c r="M103" i="18"/>
  <c r="S84" i="17"/>
  <c r="X58" i="17"/>
  <c r="L106" i="16"/>
  <c r="L91" i="17"/>
  <c r="W60" i="17"/>
  <c r="L111" i="16"/>
  <c r="W92" i="19"/>
  <c r="W69" i="19"/>
  <c r="R93" i="19"/>
  <c r="W101" i="18"/>
  <c r="R73" i="18"/>
  <c r="V79" i="18"/>
  <c r="M96" i="19"/>
  <c r="T58" i="19"/>
  <c r="N98" i="18"/>
  <c r="K83" i="19"/>
  <c r="P59" i="19"/>
  <c r="L101" i="18"/>
  <c r="X98" i="18"/>
  <c r="L103" i="17"/>
  <c r="M91" i="17"/>
  <c r="I93" i="17"/>
  <c r="X63" i="19"/>
  <c r="T70" i="18"/>
  <c r="L77" i="18"/>
  <c r="U66" i="18"/>
  <c r="J101" i="17"/>
  <c r="Y90" i="17"/>
  <c r="O110" i="17"/>
  <c r="N76" i="19"/>
  <c r="V68" i="19"/>
  <c r="M104" i="18"/>
  <c r="I65" i="18"/>
  <c r="U68" i="18"/>
  <c r="U96" i="17"/>
  <c r="N100" i="18"/>
  <c r="I102" i="17"/>
  <c r="M111" i="17"/>
  <c r="U70" i="19"/>
  <c r="L103" i="18"/>
  <c r="R94" i="18"/>
  <c r="K101" i="18"/>
  <c r="W75" i="19"/>
  <c r="T100" i="18"/>
  <c r="Y95" i="18"/>
  <c r="R61" i="18"/>
  <c r="R109" i="17"/>
  <c r="S64" i="18"/>
  <c r="O104" i="17"/>
  <c r="T67" i="18"/>
  <c r="L86" i="17"/>
  <c r="Y63" i="19"/>
  <c r="O95" i="19"/>
  <c r="W94" i="18"/>
  <c r="T89" i="18"/>
  <c r="K80" i="18"/>
  <c r="J88" i="19"/>
  <c r="M111" i="18"/>
  <c r="W96" i="19"/>
  <c r="T66" i="18"/>
  <c r="R95" i="17"/>
  <c r="U67" i="18"/>
  <c r="Q92" i="17"/>
  <c r="T109" i="18"/>
  <c r="U59" i="18"/>
  <c r="M94" i="17"/>
  <c r="R96" i="18"/>
  <c r="I77" i="18"/>
  <c r="V105" i="17"/>
  <c r="V108" i="18"/>
  <c r="W62" i="18"/>
  <c r="W107" i="17"/>
  <c r="I83" i="17"/>
  <c r="X59" i="18"/>
  <c r="Y89" i="17"/>
  <c r="J73" i="17"/>
  <c r="K103" i="18"/>
  <c r="N105" i="17"/>
  <c r="W108" i="17"/>
  <c r="V103" i="17"/>
  <c r="O86" i="18"/>
  <c r="Y93" i="17"/>
  <c r="R110" i="17"/>
  <c r="U74" i="17"/>
  <c r="T86" i="17"/>
  <c r="N90" i="17"/>
  <c r="T62" i="17"/>
  <c r="S94" i="16"/>
  <c r="Q77" i="17"/>
  <c r="L61" i="17"/>
  <c r="S100" i="16"/>
  <c r="O104" i="18"/>
  <c r="P61" i="18"/>
  <c r="S78" i="18"/>
  <c r="V67" i="18"/>
  <c r="K98" i="17"/>
  <c r="R84" i="18"/>
  <c r="T107" i="17"/>
  <c r="I92" i="17"/>
  <c r="J86" i="17"/>
  <c r="W100" i="17"/>
  <c r="X61" i="18"/>
  <c r="O87" i="17"/>
  <c r="K60" i="17"/>
  <c r="Q92" i="16"/>
  <c r="I75" i="17"/>
  <c r="T58" i="17"/>
  <c r="Q97" i="16"/>
  <c r="K111" i="17"/>
  <c r="P87" i="17"/>
  <c r="Q64" i="17"/>
  <c r="I96" i="16"/>
  <c r="N111" i="18"/>
  <c r="X78" i="18"/>
  <c r="L95" i="17"/>
  <c r="I74" i="18"/>
  <c r="O76" i="17"/>
  <c r="W82" i="18"/>
  <c r="Y65" i="18"/>
  <c r="U105" i="17"/>
  <c r="T76" i="17"/>
  <c r="X107" i="19"/>
  <c r="L75" i="19"/>
  <c r="L100" i="19"/>
  <c r="I61" i="19"/>
  <c r="U76" i="19"/>
  <c r="X76" i="19"/>
  <c r="S63" i="19"/>
  <c r="M77" i="18"/>
  <c r="Y68" i="19"/>
  <c r="Q79" i="18"/>
  <c r="U77" i="18"/>
  <c r="O100" i="18"/>
  <c r="J59" i="19"/>
  <c r="L63" i="19"/>
  <c r="V112" i="18"/>
  <c r="R77" i="18"/>
  <c r="M98" i="18"/>
  <c r="S98" i="18"/>
  <c r="U75" i="18"/>
  <c r="V110" i="18"/>
  <c r="W75" i="18"/>
  <c r="S111" i="17"/>
  <c r="P106" i="17"/>
  <c r="R108" i="18"/>
  <c r="T90" i="18"/>
  <c r="W76" i="18"/>
  <c r="M65" i="18"/>
  <c r="R105" i="18"/>
  <c r="Q106" i="17"/>
  <c r="P67" i="18"/>
  <c r="N88" i="17"/>
  <c r="R89" i="18"/>
  <c r="V60" i="19"/>
  <c r="I88" i="18"/>
  <c r="O111" i="18"/>
  <c r="X90" i="18"/>
  <c r="R106" i="18"/>
  <c r="M73" i="18"/>
  <c r="U80" i="18"/>
  <c r="O95" i="17"/>
  <c r="W95" i="17"/>
  <c r="Q64" i="18"/>
  <c r="T90" i="17"/>
  <c r="U102" i="18"/>
  <c r="J110" i="17"/>
  <c r="Y98" i="18"/>
  <c r="O65" i="19"/>
  <c r="N112" i="18"/>
  <c r="I91" i="18"/>
  <c r="U106" i="18"/>
  <c r="T59" i="19"/>
  <c r="W83" i="18"/>
  <c r="X75" i="18"/>
  <c r="Y106" i="17"/>
  <c r="P107" i="17"/>
  <c r="P70" i="18"/>
  <c r="M102" i="17"/>
  <c r="Y84" i="18"/>
  <c r="T63" i="18"/>
  <c r="V112" i="17"/>
  <c r="U94" i="18"/>
  <c r="T59" i="18"/>
  <c r="J92" i="17"/>
  <c r="N80" i="18"/>
  <c r="R105" i="17"/>
  <c r="K94" i="17"/>
  <c r="N65" i="17"/>
  <c r="X79" i="17"/>
  <c r="R86" i="18"/>
  <c r="R59" i="19"/>
  <c r="Q63" i="19"/>
  <c r="S106" i="18"/>
  <c r="X83" i="18"/>
  <c r="U82" i="17"/>
  <c r="W72" i="18"/>
  <c r="I76" i="17"/>
  <c r="U94" i="17"/>
  <c r="Q95" i="19"/>
  <c r="Q69" i="19"/>
  <c r="X67" i="17"/>
  <c r="P63" i="17"/>
  <c r="L82" i="18"/>
  <c r="S83" i="17"/>
  <c r="O62" i="17"/>
  <c r="Y60" i="19"/>
  <c r="Y79" i="18"/>
  <c r="N102" i="17"/>
  <c r="Q68" i="18"/>
  <c r="M58" i="18"/>
  <c r="P98" i="17"/>
  <c r="U61" i="18"/>
  <c r="U89" i="17"/>
  <c r="V101" i="17"/>
  <c r="V84" i="17"/>
  <c r="T100" i="17"/>
  <c r="P111" i="17"/>
  <c r="Y64" i="17"/>
  <c r="X60" i="17"/>
  <c r="P102" i="18"/>
  <c r="O79" i="17"/>
  <c r="W59" i="17"/>
  <c r="V83" i="16"/>
  <c r="P101" i="17"/>
  <c r="I70" i="17"/>
  <c r="S65" i="17"/>
  <c r="R107" i="16"/>
  <c r="Y76" i="18"/>
  <c r="N61" i="18"/>
  <c r="S86" i="18"/>
  <c r="S72" i="18"/>
  <c r="X93" i="17"/>
  <c r="J76" i="18"/>
  <c r="P103" i="17"/>
  <c r="X89" i="17"/>
  <c r="X81" i="17"/>
  <c r="S109" i="17"/>
  <c r="K62" i="18"/>
  <c r="S82" i="17"/>
  <c r="L80" i="17"/>
  <c r="L76" i="19"/>
  <c r="K78" i="18"/>
  <c r="L79" i="17"/>
  <c r="Q90" i="18"/>
  <c r="L92" i="17"/>
  <c r="V91" i="18"/>
  <c r="X73" i="18"/>
  <c r="Y95" i="17"/>
  <c r="N109" i="19"/>
  <c r="V80" i="18"/>
  <c r="Y70" i="18"/>
  <c r="V58" i="19"/>
  <c r="S111" i="18"/>
  <c r="Q98" i="17"/>
  <c r="J73" i="18"/>
  <c r="N111" i="17"/>
  <c r="J74" i="18"/>
  <c r="K111" i="19"/>
  <c r="N67" i="18"/>
  <c r="I87" i="17"/>
  <c r="R98" i="18"/>
  <c r="T102" i="17"/>
  <c r="P91" i="18"/>
  <c r="O108" i="18"/>
  <c r="J80" i="17"/>
  <c r="N64" i="18"/>
  <c r="U109" i="16"/>
  <c r="X92" i="17"/>
  <c r="K69" i="19"/>
  <c r="R72" i="17"/>
  <c r="U107" i="18"/>
  <c r="J74" i="17"/>
  <c r="J93" i="18"/>
  <c r="Y109" i="18"/>
  <c r="J59" i="18"/>
  <c r="I67" i="18"/>
  <c r="K112" i="17"/>
  <c r="Y72" i="18"/>
  <c r="M107" i="17"/>
  <c r="M86" i="17"/>
  <c r="S74" i="17"/>
  <c r="Q73" i="17"/>
  <c r="O75" i="17"/>
  <c r="U69" i="17"/>
  <c r="Q91" i="16"/>
  <c r="O70" i="19"/>
  <c r="P77" i="18"/>
  <c r="J104" i="17"/>
  <c r="I81" i="18"/>
  <c r="J90" i="17"/>
  <c r="N103" i="18"/>
  <c r="N58" i="18"/>
  <c r="W93" i="17"/>
  <c r="N67" i="17"/>
  <c r="R69" i="18"/>
  <c r="X83" i="17"/>
  <c r="K69" i="17"/>
  <c r="U67" i="17"/>
  <c r="R112" i="16"/>
  <c r="S98" i="17"/>
  <c r="N59" i="17"/>
  <c r="X69" i="17"/>
  <c r="X64" i="18"/>
  <c r="M72" i="17"/>
  <c r="J75" i="17"/>
  <c r="L79" i="16"/>
  <c r="Q80" i="19"/>
  <c r="N73" i="18"/>
  <c r="W112" i="19"/>
  <c r="K108" i="17"/>
  <c r="P110" i="16"/>
  <c r="P78" i="17"/>
  <c r="R60" i="19"/>
  <c r="I74" i="17"/>
  <c r="T88" i="16"/>
  <c r="I112" i="17"/>
  <c r="R73" i="17"/>
  <c r="K65" i="17"/>
  <c r="I105" i="16"/>
  <c r="U72" i="16"/>
  <c r="M58" i="16"/>
  <c r="Y106" i="15"/>
  <c r="X102" i="15"/>
  <c r="W91" i="18"/>
  <c r="N69" i="17"/>
  <c r="T72" i="17"/>
  <c r="T81" i="16"/>
  <c r="O110" i="19"/>
  <c r="N111" i="19"/>
  <c r="L86" i="18"/>
  <c r="V65" i="18"/>
  <c r="J90" i="18"/>
  <c r="N96" i="19"/>
  <c r="U76" i="18"/>
  <c r="R67" i="18"/>
  <c r="T86" i="18"/>
  <c r="I60" i="18"/>
  <c r="M112" i="17"/>
  <c r="V107" i="17"/>
  <c r="T103" i="17"/>
  <c r="T61" i="17"/>
  <c r="S88" i="18"/>
  <c r="Q111" i="17"/>
  <c r="P109" i="16"/>
  <c r="N93" i="17"/>
  <c r="X58" i="19"/>
  <c r="K59" i="18"/>
  <c r="Y106" i="18"/>
  <c r="K89" i="17"/>
  <c r="Q107" i="17"/>
  <c r="R74" i="17"/>
  <c r="N95" i="18"/>
  <c r="P95" i="18"/>
  <c r="J107" i="17"/>
  <c r="Y80" i="18"/>
  <c r="L94" i="17"/>
  <c r="I66" i="18"/>
  <c r="P91" i="17"/>
  <c r="P69" i="17"/>
  <c r="S70" i="18"/>
  <c r="S88" i="17"/>
  <c r="L76" i="17"/>
  <c r="Q72" i="17"/>
  <c r="V77" i="16"/>
  <c r="L104" i="19"/>
  <c r="R92" i="18"/>
  <c r="O93" i="17"/>
  <c r="L58" i="18"/>
  <c r="S107" i="17"/>
  <c r="Q103" i="18"/>
  <c r="S58" i="18"/>
  <c r="Q101" i="17"/>
  <c r="O70" i="17"/>
  <c r="S93" i="17"/>
  <c r="U95" i="18"/>
  <c r="N83" i="17"/>
  <c r="Q69" i="17"/>
  <c r="W98" i="16"/>
  <c r="P82" i="17"/>
  <c r="Y67" i="17"/>
  <c r="W104" i="16"/>
  <c r="Q67" i="18"/>
  <c r="O83" i="17"/>
  <c r="L77" i="17"/>
  <c r="O103" i="16"/>
  <c r="P81" i="18"/>
  <c r="K91" i="17"/>
  <c r="L67" i="18"/>
  <c r="W82" i="17"/>
  <c r="I75" i="18"/>
  <c r="R80" i="17"/>
  <c r="T62" i="18"/>
  <c r="S77" i="17"/>
  <c r="Q105" i="16"/>
  <c r="P95" i="17"/>
  <c r="K76" i="17"/>
  <c r="K68" i="17"/>
  <c r="N91" i="16"/>
  <c r="O83" i="16"/>
  <c r="X59" i="16"/>
  <c r="M93" i="15"/>
  <c r="X106" i="17"/>
  <c r="M80" i="17"/>
  <c r="U58" i="17"/>
  <c r="K82" i="17"/>
  <c r="Q98" i="16"/>
  <c r="P86" i="17"/>
  <c r="Q104" i="16"/>
  <c r="I109" i="17"/>
  <c r="W86" i="17"/>
  <c r="X59" i="17"/>
  <c r="O91" i="16"/>
  <c r="Q90" i="16"/>
  <c r="W96" i="17"/>
  <c r="U96" i="16"/>
  <c r="U63" i="17"/>
  <c r="V69" i="18"/>
  <c r="X63" i="17"/>
  <c r="N81" i="16"/>
  <c r="L110" i="17"/>
  <c r="L66" i="17"/>
  <c r="P96" i="19"/>
  <c r="T111" i="18"/>
  <c r="N88" i="18"/>
  <c r="Q69" i="18"/>
  <c r="V83" i="17"/>
  <c r="Y61" i="19"/>
  <c r="W84" i="18"/>
  <c r="K106" i="17"/>
  <c r="T96" i="18"/>
  <c r="I111" i="17"/>
  <c r="W101" i="17"/>
  <c r="U97" i="17"/>
  <c r="X70" i="18"/>
  <c r="R111" i="16"/>
  <c r="S91" i="17"/>
  <c r="P108" i="17"/>
  <c r="W58" i="18"/>
  <c r="L88" i="17"/>
  <c r="K73" i="18"/>
  <c r="L104" i="18"/>
  <c r="L62" i="18"/>
  <c r="Q83" i="18"/>
  <c r="Q96" i="17"/>
  <c r="R76" i="17"/>
  <c r="W95" i="18"/>
  <c r="P83" i="18"/>
  <c r="T75" i="18"/>
  <c r="O65" i="18"/>
  <c r="Q94" i="17"/>
  <c r="U58" i="18"/>
  <c r="S103" i="17"/>
  <c r="X73" i="17"/>
  <c r="N107" i="17"/>
  <c r="M79" i="18"/>
  <c r="J88" i="17"/>
  <c r="M74" i="17"/>
  <c r="Y101" i="16"/>
  <c r="S104" i="18"/>
  <c r="W104" i="17"/>
  <c r="T76" i="18"/>
  <c r="Y93" i="18"/>
  <c r="I110" i="17"/>
  <c r="N94" i="18"/>
  <c r="L98" i="17"/>
  <c r="M110" i="17"/>
  <c r="X82" i="17"/>
  <c r="J94" i="17"/>
  <c r="Q91" i="17"/>
  <c r="W74" i="17"/>
  <c r="T70" i="17"/>
  <c r="O110" i="16"/>
  <c r="M66" i="17"/>
  <c r="I69" i="17"/>
  <c r="K91" i="16"/>
  <c r="Q93" i="17"/>
  <c r="J81" i="17"/>
  <c r="T78" i="17"/>
  <c r="S108" i="19"/>
  <c r="X69" i="19"/>
  <c r="P93" i="17"/>
  <c r="P72" i="18"/>
  <c r="J108" i="17"/>
  <c r="N109" i="17"/>
  <c r="U59" i="17"/>
  <c r="R89" i="17"/>
  <c r="U64" i="17"/>
  <c r="V111" i="16"/>
  <c r="M79" i="17"/>
  <c r="X62" i="17"/>
  <c r="T101" i="16"/>
  <c r="S104" i="16"/>
  <c r="K80" i="16"/>
  <c r="Q61" i="16"/>
  <c r="R79" i="15"/>
  <c r="O86" i="17"/>
  <c r="T112" i="17"/>
  <c r="J104" i="16"/>
  <c r="O73" i="17"/>
  <c r="L97" i="18"/>
  <c r="J67" i="17"/>
  <c r="P83" i="16"/>
  <c r="N98" i="17"/>
  <c r="S69" i="17"/>
  <c r="V59" i="17"/>
  <c r="X102" i="16"/>
  <c r="Y96" i="17"/>
  <c r="N82" i="17"/>
  <c r="V83" i="18"/>
  <c r="K67" i="17"/>
  <c r="M87" i="17"/>
  <c r="N63" i="17"/>
  <c r="K98" i="16"/>
  <c r="K90" i="17"/>
  <c r="N58" i="17"/>
  <c r="Q87" i="18"/>
  <c r="I101" i="18"/>
  <c r="L66" i="18"/>
  <c r="K77" i="18"/>
  <c r="M63" i="18"/>
  <c r="U82" i="18"/>
  <c r="T81" i="17"/>
  <c r="R72" i="18"/>
  <c r="K70" i="18"/>
  <c r="W90" i="18"/>
  <c r="M106" i="18"/>
  <c r="Y67" i="19"/>
  <c r="V97" i="17"/>
  <c r="I73" i="18"/>
  <c r="W105" i="17"/>
  <c r="L69" i="17"/>
  <c r="I84" i="17"/>
  <c r="V66" i="17"/>
  <c r="L92" i="18"/>
  <c r="P90" i="18"/>
  <c r="S87" i="17"/>
  <c r="W64" i="18"/>
  <c r="P80" i="17"/>
  <c r="U78" i="17"/>
  <c r="K89" i="18"/>
  <c r="R59" i="18"/>
  <c r="M72" i="18"/>
  <c r="S63" i="18"/>
  <c r="K102" i="17"/>
  <c r="S67" i="18"/>
  <c r="O112" i="17"/>
  <c r="J87" i="17"/>
  <c r="X95" i="17"/>
  <c r="L105" i="17"/>
  <c r="Y78" i="17"/>
  <c r="Q75" i="17"/>
  <c r="Q61" i="19"/>
  <c r="Q111" i="19"/>
  <c r="K107" i="17"/>
  <c r="O108" i="17"/>
  <c r="L59" i="18"/>
  <c r="P112" i="17"/>
  <c r="X74" i="18"/>
  <c r="O82" i="17"/>
  <c r="P94" i="17"/>
  <c r="O78" i="17"/>
  <c r="P89" i="17"/>
  <c r="T105" i="17"/>
  <c r="N79" i="17"/>
  <c r="V63" i="17"/>
  <c r="V72" i="18"/>
  <c r="T68" i="17"/>
  <c r="Y70" i="17"/>
  <c r="P77" i="16"/>
  <c r="U101" i="17"/>
  <c r="P61" i="17"/>
  <c r="Y76" i="17"/>
  <c r="M75" i="19"/>
  <c r="S110" i="18"/>
  <c r="P82" i="18"/>
  <c r="X107" i="17"/>
  <c r="V77" i="17"/>
  <c r="U88" i="17"/>
  <c r="J109" i="16"/>
  <c r="I88" i="17"/>
  <c r="J58" i="17"/>
  <c r="R87" i="18"/>
  <c r="U86" i="17"/>
  <c r="Q62" i="18"/>
  <c r="K111" i="16"/>
  <c r="X90" i="16"/>
  <c r="P95" i="16"/>
  <c r="K63" i="16"/>
  <c r="T102" i="15"/>
  <c r="T94" i="17"/>
  <c r="M75" i="17"/>
  <c r="M70" i="18"/>
  <c r="W75" i="17"/>
  <c r="Y100" i="17"/>
  <c r="M67" i="17"/>
  <c r="M101" i="16"/>
  <c r="Y92" i="17"/>
  <c r="O64" i="17"/>
  <c r="U61" i="17"/>
  <c r="L89" i="16"/>
  <c r="M64" i="18"/>
  <c r="Y66" i="17"/>
  <c r="T91" i="17"/>
  <c r="J70" i="17"/>
  <c r="R104" i="17"/>
  <c r="U79" i="17"/>
  <c r="P105" i="16"/>
  <c r="Y73" i="17"/>
  <c r="W81" i="17"/>
  <c r="L92" i="16"/>
  <c r="O100" i="16"/>
  <c r="P89" i="16"/>
  <c r="Q81" i="16"/>
  <c r="K111" i="15"/>
  <c r="N68" i="17"/>
  <c r="I81" i="17"/>
  <c r="O90" i="16"/>
  <c r="M78" i="17"/>
  <c r="N66" i="18"/>
  <c r="Y58" i="17"/>
  <c r="J77" i="16"/>
  <c r="W103" i="17"/>
  <c r="R63" i="17"/>
  <c r="X66" i="17"/>
  <c r="T97" i="16"/>
  <c r="N112" i="16"/>
  <c r="L65" i="17"/>
  <c r="Q112" i="16"/>
  <c r="W73" i="17"/>
  <c r="K69" i="18"/>
  <c r="T77" i="17"/>
  <c r="W111" i="16"/>
  <c r="O101" i="17"/>
  <c r="J61" i="17"/>
  <c r="Y60" i="17"/>
  <c r="R95" i="16"/>
  <c r="X111" i="17"/>
  <c r="T65" i="17"/>
  <c r="M82" i="17"/>
  <c r="W105" i="16"/>
  <c r="R83" i="17"/>
  <c r="W110" i="16"/>
  <c r="W97" i="17"/>
  <c r="Y84" i="17"/>
  <c r="O63" i="17"/>
  <c r="S95" i="16"/>
  <c r="S65" i="16"/>
  <c r="U58" i="16"/>
  <c r="O70" i="16"/>
  <c r="O97" i="15"/>
  <c r="R67" i="17"/>
  <c r="Y90" i="16"/>
  <c r="X82" i="16"/>
  <c r="Q59" i="16"/>
  <c r="X92" i="15"/>
  <c r="R109" i="15"/>
  <c r="J112" i="19"/>
  <c r="W74" i="18"/>
  <c r="I88" i="19"/>
  <c r="Q66" i="19"/>
  <c r="R102" i="17"/>
  <c r="S97" i="18"/>
  <c r="J78" i="18"/>
  <c r="Y103" i="18"/>
  <c r="K83" i="18"/>
  <c r="Q110" i="17"/>
  <c r="W91" i="17"/>
  <c r="X96" i="18"/>
  <c r="X78" i="17"/>
  <c r="X88" i="17"/>
  <c r="X69" i="18"/>
  <c r="T80" i="17"/>
  <c r="I61" i="17"/>
  <c r="K63" i="17"/>
  <c r="W66" i="18"/>
  <c r="P96" i="17"/>
  <c r="L101" i="17"/>
  <c r="L97" i="17"/>
  <c r="Q89" i="17"/>
  <c r="O58" i="17"/>
  <c r="P87" i="18"/>
  <c r="O97" i="17"/>
  <c r="X101" i="17"/>
  <c r="K60" i="18"/>
  <c r="Q76" i="18"/>
  <c r="N101" i="17"/>
  <c r="R96" i="17"/>
  <c r="U84" i="17"/>
  <c r="X91" i="17"/>
  <c r="V93" i="17"/>
  <c r="T59" i="17"/>
  <c r="S70" i="17"/>
  <c r="L96" i="18"/>
  <c r="X89" i="18"/>
  <c r="Y111" i="18"/>
  <c r="T110" i="17"/>
  <c r="I59" i="18"/>
  <c r="O92" i="17"/>
  <c r="X62" i="18"/>
  <c r="K105" i="17"/>
  <c r="Y98" i="17"/>
  <c r="I60" i="17"/>
  <c r="V69" i="17"/>
  <c r="R91" i="17"/>
  <c r="N64" i="17"/>
  <c r="J103" i="16"/>
  <c r="J103" i="17"/>
  <c r="Q87" i="17"/>
  <c r="U73" i="17"/>
  <c r="S101" i="16"/>
  <c r="R84" i="17"/>
  <c r="V72" i="17"/>
  <c r="S106" i="16"/>
  <c r="T80" i="18"/>
  <c r="I68" i="18"/>
  <c r="K65" i="18"/>
  <c r="L73" i="18"/>
  <c r="X70" i="17"/>
  <c r="S75" i="17"/>
  <c r="X86" i="16"/>
  <c r="V87" i="17"/>
  <c r="O69" i="17"/>
  <c r="Q65" i="18"/>
  <c r="R64" i="17"/>
  <c r="L64" i="17"/>
  <c r="Y108" i="16"/>
  <c r="L77" i="16"/>
  <c r="K70" i="16"/>
  <c r="W64" i="16"/>
  <c r="Y108" i="15"/>
  <c r="Y62" i="18"/>
  <c r="Y86" i="17"/>
  <c r="S95" i="17"/>
  <c r="Q79" i="17"/>
  <c r="X110" i="17"/>
  <c r="P59" i="17"/>
  <c r="T109" i="16"/>
  <c r="P76" i="17"/>
  <c r="N60" i="17"/>
  <c r="P96" i="16"/>
  <c r="Q102" i="16"/>
  <c r="M90" i="17"/>
  <c r="J89" i="17"/>
  <c r="Y79" i="17"/>
  <c r="U102" i="16"/>
  <c r="S79" i="17"/>
  <c r="L68" i="17"/>
  <c r="Y92" i="18"/>
  <c r="N78" i="17"/>
  <c r="X109" i="17"/>
  <c r="T102" i="16"/>
  <c r="T86" i="16"/>
  <c r="S82" i="16"/>
  <c r="T108" i="19"/>
  <c r="K93" i="19"/>
  <c r="Q73" i="19"/>
  <c r="Y66" i="18"/>
  <c r="W68" i="18"/>
  <c r="O107" i="18"/>
  <c r="I64" i="18"/>
  <c r="X84" i="18"/>
  <c r="M93" i="17"/>
  <c r="J100" i="17"/>
  <c r="I106" i="17"/>
  <c r="O63" i="18"/>
  <c r="Y64" i="18"/>
  <c r="S63" i="17"/>
  <c r="Y103" i="17"/>
  <c r="N100" i="17"/>
  <c r="Y107" i="16"/>
  <c r="Y112" i="16"/>
  <c r="J111" i="17"/>
  <c r="N96" i="17"/>
  <c r="T98" i="17"/>
  <c r="I86" i="17"/>
  <c r="Q62" i="17"/>
  <c r="N107" i="16"/>
  <c r="O61" i="18"/>
  <c r="U72" i="18"/>
  <c r="Q87" i="19"/>
  <c r="W111" i="17"/>
  <c r="S66" i="18"/>
  <c r="Q84" i="17"/>
  <c r="L104" i="17"/>
  <c r="K62" i="17"/>
  <c r="M73" i="17"/>
  <c r="I94" i="17"/>
  <c r="R68" i="17"/>
  <c r="L105" i="16"/>
  <c r="J108" i="18"/>
  <c r="U81" i="18"/>
  <c r="Y63" i="18"/>
  <c r="Q106" i="18"/>
  <c r="K110" i="17"/>
  <c r="X96" i="17"/>
  <c r="S65" i="18"/>
  <c r="T109" i="17"/>
  <c r="K83" i="17"/>
  <c r="W69" i="17"/>
  <c r="R69" i="17"/>
  <c r="X72" i="17"/>
  <c r="Y65" i="17"/>
  <c r="O89" i="16"/>
  <c r="O105" i="17"/>
  <c r="X77" i="17"/>
  <c r="X74" i="17"/>
  <c r="K112" i="16"/>
  <c r="O68" i="17"/>
  <c r="N73" i="17"/>
  <c r="X92" i="16"/>
  <c r="L80" i="18"/>
  <c r="M83" i="19"/>
  <c r="W112" i="17"/>
  <c r="J96" i="17"/>
  <c r="W66" i="17"/>
  <c r="V86" i="17"/>
  <c r="U103" i="16"/>
  <c r="K88" i="17"/>
  <c r="U108" i="16"/>
  <c r="K84" i="17"/>
  <c r="L81" i="17"/>
  <c r="R70" i="17"/>
  <c r="Q93" i="16"/>
  <c r="L104" i="16"/>
  <c r="I83" i="16"/>
  <c r="R66" i="16"/>
  <c r="M95" i="15"/>
  <c r="L108" i="17"/>
  <c r="Y91" i="17"/>
  <c r="X84" i="17"/>
  <c r="Y106" i="16"/>
  <c r="J82" i="17"/>
  <c r="I73" i="17"/>
  <c r="N92" i="18"/>
  <c r="Y81" i="17"/>
  <c r="I82" i="17"/>
  <c r="X106" i="16"/>
  <c r="V88" i="16"/>
  <c r="O60" i="18"/>
  <c r="S61" i="17"/>
  <c r="U65" i="17"/>
  <c r="R79" i="16"/>
  <c r="L75" i="17"/>
  <c r="J60" i="17"/>
  <c r="K67" i="18"/>
  <c r="Y82" i="17"/>
  <c r="I80" i="17"/>
  <c r="I104" i="16"/>
  <c r="Y72" i="16"/>
  <c r="J65" i="16"/>
  <c r="T59" i="16"/>
  <c r="U104" i="15"/>
  <c r="X105" i="17"/>
  <c r="R66" i="17"/>
  <c r="Y105" i="17"/>
  <c r="Q60" i="17"/>
  <c r="M98" i="17"/>
  <c r="M70" i="17"/>
  <c r="N103" i="16"/>
  <c r="Q70" i="17"/>
  <c r="S76" i="17"/>
  <c r="Y87" i="16"/>
  <c r="M97" i="16"/>
  <c r="Y87" i="17"/>
  <c r="N84" i="17"/>
  <c r="P102" i="17"/>
  <c r="K81" i="17"/>
  <c r="V95" i="17"/>
  <c r="P66" i="17"/>
  <c r="L101" i="16"/>
  <c r="I68" i="17"/>
  <c r="S72" i="17"/>
  <c r="U82" i="16"/>
  <c r="K95" i="16"/>
  <c r="W67" i="17"/>
  <c r="W74" i="19"/>
  <c r="M65" i="17"/>
  <c r="J63" i="18"/>
  <c r="K59" i="17"/>
  <c r="S107" i="16"/>
  <c r="V78" i="17"/>
  <c r="J75" i="16"/>
  <c r="O102" i="16"/>
  <c r="M89" i="16"/>
  <c r="N70" i="16"/>
  <c r="I89" i="15"/>
  <c r="T92" i="17"/>
  <c r="S93" i="16"/>
  <c r="O95" i="16"/>
  <c r="T82" i="17"/>
  <c r="R65" i="18"/>
  <c r="M84" i="17"/>
  <c r="P97" i="16"/>
  <c r="O81" i="16"/>
  <c r="K66" i="17"/>
  <c r="V61" i="17"/>
  <c r="W70" i="17"/>
  <c r="I95" i="16"/>
  <c r="V70" i="17"/>
  <c r="R58" i="17"/>
  <c r="W65" i="18"/>
  <c r="R88" i="17"/>
  <c r="X68" i="17"/>
  <c r="X65" i="17"/>
  <c r="T89" i="16"/>
  <c r="R65" i="17"/>
  <c r="K86" i="17"/>
  <c r="K107" i="16"/>
  <c r="W87" i="16"/>
  <c r="J64" i="16"/>
  <c r="V104" i="15"/>
  <c r="T64" i="17"/>
  <c r="M104" i="16"/>
  <c r="N93" i="16"/>
  <c r="N64" i="16"/>
  <c r="X94" i="15"/>
  <c r="X87" i="15"/>
  <c r="M98" i="16"/>
  <c r="X86" i="15"/>
  <c r="V109" i="16"/>
  <c r="T92" i="16"/>
  <c r="L67" i="16"/>
  <c r="P60" i="16"/>
  <c r="L95" i="15"/>
  <c r="U88" i="18"/>
  <c r="X100" i="16"/>
  <c r="Y84" i="16"/>
  <c r="R81" i="16"/>
  <c r="U88" i="16"/>
  <c r="U96" i="15"/>
  <c r="M112" i="16"/>
  <c r="X109" i="16"/>
  <c r="X91" i="16"/>
  <c r="P69" i="16"/>
  <c r="W84" i="15"/>
  <c r="Q102" i="15"/>
  <c r="W87" i="15"/>
  <c r="Y63" i="17"/>
  <c r="X89" i="16"/>
  <c r="M81" i="16"/>
  <c r="L58" i="16"/>
  <c r="M76" i="16"/>
  <c r="L93" i="15"/>
  <c r="R106" i="16"/>
  <c r="S72" i="16"/>
  <c r="W65" i="16"/>
  <c r="K97" i="15"/>
  <c r="Y97" i="15"/>
  <c r="M76" i="17"/>
  <c r="Q100" i="16"/>
  <c r="K69" i="16"/>
  <c r="M62" i="16"/>
  <c r="P78" i="16"/>
  <c r="X101" i="15"/>
  <c r="S80" i="16"/>
  <c r="J94" i="16"/>
  <c r="Q79" i="16"/>
  <c r="K68" i="16"/>
  <c r="W105" i="15"/>
  <c r="N106" i="15"/>
  <c r="U90" i="15"/>
  <c r="Y93" i="16"/>
  <c r="K103" i="16"/>
  <c r="P77" i="15"/>
  <c r="J96" i="16"/>
  <c r="N86" i="16"/>
  <c r="S62" i="16"/>
  <c r="W110" i="15"/>
  <c r="T111" i="15"/>
  <c r="V108" i="17"/>
  <c r="P91" i="16"/>
  <c r="U80" i="16"/>
  <c r="O75" i="16"/>
  <c r="K72" i="16"/>
  <c r="Q112" i="15"/>
  <c r="V103" i="16"/>
  <c r="T105" i="16"/>
  <c r="U81" i="16"/>
  <c r="V62" i="16"/>
  <c r="S80" i="15"/>
  <c r="M97" i="15"/>
  <c r="X89" i="15"/>
  <c r="W64" i="17"/>
  <c r="L69" i="16"/>
  <c r="S100" i="15"/>
  <c r="N61" i="17"/>
  <c r="I100" i="16"/>
  <c r="X78" i="16"/>
  <c r="S74" i="16"/>
  <c r="S98" i="16"/>
  <c r="Q97" i="15"/>
  <c r="W72" i="17"/>
  <c r="X96" i="16"/>
  <c r="W75" i="16"/>
  <c r="V69" i="16"/>
  <c r="P100" i="15"/>
  <c r="J92" i="15"/>
  <c r="O109" i="16"/>
  <c r="L90" i="16"/>
  <c r="L91" i="16"/>
  <c r="N62" i="16"/>
  <c r="Y101" i="15"/>
  <c r="L59" i="17"/>
  <c r="K88" i="16"/>
  <c r="T78" i="16"/>
  <c r="J79" i="16"/>
  <c r="J90" i="15"/>
  <c r="U106" i="15"/>
  <c r="O65" i="15"/>
  <c r="M81" i="17"/>
  <c r="P63" i="16"/>
  <c r="Y74" i="17"/>
  <c r="S110" i="16"/>
  <c r="R80" i="16"/>
  <c r="Y67" i="16"/>
  <c r="V92" i="15"/>
  <c r="R80" i="15"/>
  <c r="T94" i="16"/>
  <c r="V101" i="16"/>
  <c r="X97" i="16"/>
  <c r="K58" i="16"/>
  <c r="R112" i="15"/>
  <c r="U70" i="17"/>
  <c r="U98" i="16"/>
  <c r="O65" i="16"/>
  <c r="V70" i="16"/>
  <c r="T101" i="15"/>
  <c r="S96" i="15"/>
  <c r="Q79" i="15"/>
  <c r="P68" i="17"/>
  <c r="U105" i="16"/>
  <c r="R73" i="16"/>
  <c r="K59" i="16"/>
  <c r="T107" i="15"/>
  <c r="S103" i="15"/>
  <c r="J100" i="15"/>
  <c r="Q86" i="15"/>
  <c r="U91" i="16"/>
  <c r="J108" i="15"/>
  <c r="I65" i="15"/>
  <c r="T104" i="15"/>
  <c r="J104" i="15"/>
  <c r="W108" i="15"/>
  <c r="I80" i="16"/>
  <c r="M63" i="16"/>
  <c r="Q105" i="15"/>
  <c r="R63" i="16"/>
  <c r="J84" i="15"/>
  <c r="W102" i="16"/>
  <c r="N74" i="15"/>
  <c r="R66" i="15"/>
  <c r="I89" i="14"/>
  <c r="Q58" i="16"/>
  <c r="T75" i="15"/>
  <c r="W69" i="15"/>
  <c r="L102" i="15"/>
  <c r="S88" i="15"/>
  <c r="U101" i="16"/>
  <c r="P82" i="15"/>
  <c r="N77" i="15"/>
  <c r="S62" i="17"/>
  <c r="X100" i="17"/>
  <c r="N95" i="17"/>
  <c r="V100" i="16"/>
  <c r="V73" i="16"/>
  <c r="P97" i="15"/>
  <c r="O59" i="18"/>
  <c r="Q72" i="18"/>
  <c r="L112" i="16"/>
  <c r="L58" i="17"/>
  <c r="J58" i="18"/>
  <c r="X76" i="17"/>
  <c r="R101" i="16"/>
  <c r="V76" i="18"/>
  <c r="J64" i="17"/>
  <c r="I78" i="17"/>
  <c r="X64" i="17"/>
  <c r="V91" i="16"/>
  <c r="I90" i="17"/>
  <c r="K110" i="16"/>
  <c r="O103" i="17"/>
  <c r="X79" i="16"/>
  <c r="Y62" i="17"/>
  <c r="N77" i="17"/>
  <c r="J98" i="16"/>
  <c r="P67" i="17"/>
  <c r="V73" i="17"/>
  <c r="P93" i="16"/>
  <c r="N83" i="16"/>
  <c r="K66" i="16"/>
  <c r="J111" i="15"/>
  <c r="N101" i="16"/>
  <c r="R90" i="16"/>
  <c r="U69" i="16"/>
  <c r="I66" i="16"/>
  <c r="R102" i="15"/>
  <c r="V68" i="15"/>
  <c r="P79" i="16"/>
  <c r="N95" i="15"/>
  <c r="K78" i="16"/>
  <c r="U74" i="16"/>
  <c r="T69" i="16"/>
  <c r="M100" i="15"/>
  <c r="J101" i="15"/>
  <c r="Q82" i="17"/>
  <c r="Y102" i="16"/>
  <c r="M72" i="16"/>
  <c r="O64" i="16"/>
  <c r="W58" i="16"/>
  <c r="I104" i="15"/>
  <c r="W84" i="16"/>
  <c r="L96" i="16"/>
  <c r="T82" i="16"/>
  <c r="X72" i="16"/>
  <c r="Y107" i="15"/>
  <c r="P108" i="15"/>
  <c r="S84" i="15"/>
  <c r="L98" i="16"/>
  <c r="L103" i="16"/>
  <c r="O107" i="16"/>
  <c r="W59" i="16"/>
  <c r="O63" i="16"/>
  <c r="K107" i="15"/>
  <c r="T103" i="16"/>
  <c r="W80" i="16"/>
  <c r="R64" i="16"/>
  <c r="N81" i="15"/>
  <c r="T100" i="15"/>
  <c r="R61" i="17"/>
  <c r="T110" i="16"/>
  <c r="N80" i="16"/>
  <c r="L65" i="16"/>
  <c r="S112" i="15"/>
  <c r="K70" i="17"/>
  <c r="J91" i="16"/>
  <c r="O80" i="16"/>
  <c r="Y74" i="16"/>
  <c r="Q70" i="16"/>
  <c r="K112" i="15"/>
  <c r="S92" i="15"/>
  <c r="U111" i="17"/>
  <c r="P104" i="16"/>
  <c r="S67" i="16"/>
  <c r="W106" i="15"/>
  <c r="N102" i="16"/>
  <c r="Q69" i="16"/>
  <c r="X62" i="16"/>
  <c r="I95" i="15"/>
  <c r="U93" i="15"/>
  <c r="V65" i="17"/>
  <c r="I97" i="16"/>
  <c r="I67" i="16"/>
  <c r="K60" i="16"/>
  <c r="X73" i="16"/>
  <c r="Y87" i="18"/>
  <c r="O76" i="16"/>
  <c r="Y91" i="16"/>
  <c r="V102" i="16"/>
  <c r="P64" i="16"/>
  <c r="U103" i="15"/>
  <c r="L104" i="15"/>
  <c r="R87" i="15"/>
  <c r="U89" i="16"/>
  <c r="N84" i="16"/>
  <c r="I109" i="15"/>
  <c r="W91" i="16"/>
  <c r="L83" i="16"/>
  <c r="Q60" i="16"/>
  <c r="U108" i="15"/>
  <c r="K81" i="16"/>
  <c r="X106" i="15"/>
  <c r="S87" i="16"/>
  <c r="J81" i="16"/>
  <c r="O58" i="16"/>
  <c r="Q104" i="15"/>
  <c r="N105" i="15"/>
  <c r="S73" i="17"/>
  <c r="M108" i="16"/>
  <c r="Q76" i="16"/>
  <c r="N69" i="16"/>
  <c r="X63" i="16"/>
  <c r="M108" i="15"/>
  <c r="N94" i="16"/>
  <c r="P101" i="16"/>
  <c r="V95" i="16"/>
  <c r="R104" i="16"/>
  <c r="L112" i="15"/>
  <c r="M61" i="18"/>
  <c r="Y100" i="16"/>
  <c r="W89" i="17"/>
  <c r="J87" i="16"/>
  <c r="L76" i="16"/>
  <c r="O111" i="15"/>
  <c r="R107" i="17"/>
  <c r="L72" i="17"/>
  <c r="K92" i="16"/>
  <c r="W61" i="17"/>
  <c r="J105" i="17"/>
  <c r="J95" i="17"/>
  <c r="O111" i="16"/>
  <c r="M82" i="18"/>
  <c r="M87" i="16"/>
  <c r="M93" i="16"/>
  <c r="N86" i="17"/>
  <c r="T60" i="18"/>
  <c r="Q80" i="17"/>
  <c r="L93" i="16"/>
  <c r="I94" i="18"/>
  <c r="O89" i="17"/>
  <c r="I89" i="16"/>
  <c r="Q68" i="17"/>
  <c r="Q84" i="18"/>
  <c r="W76" i="17"/>
  <c r="I77" i="17"/>
  <c r="U106" i="16"/>
  <c r="K109" i="16"/>
  <c r="S68" i="16"/>
  <c r="I105" i="15"/>
  <c r="V110" i="16"/>
  <c r="W76" i="16"/>
  <c r="U87" i="17"/>
  <c r="P74" i="17"/>
  <c r="I72" i="17"/>
  <c r="R84" i="16"/>
  <c r="J58" i="16"/>
  <c r="T97" i="15"/>
  <c r="I66" i="17"/>
  <c r="V88" i="17"/>
  <c r="P97" i="17"/>
  <c r="S68" i="17"/>
  <c r="T87" i="17"/>
  <c r="V68" i="17"/>
  <c r="Y110" i="16"/>
  <c r="R63" i="18"/>
  <c r="T65" i="18"/>
  <c r="J110" i="16"/>
  <c r="R77" i="17"/>
  <c r="R111" i="17"/>
  <c r="J72" i="17"/>
  <c r="U97" i="16"/>
  <c r="O98" i="17"/>
  <c r="K96" i="17"/>
  <c r="I110" i="16"/>
  <c r="S60" i="17"/>
  <c r="K101" i="17"/>
  <c r="S58" i="17"/>
  <c r="X105" i="16"/>
  <c r="I93" i="16"/>
  <c r="U73" i="16"/>
  <c r="J109" i="15"/>
  <c r="K58" i="18"/>
  <c r="S108" i="16"/>
  <c r="J102" i="16"/>
  <c r="V108" i="16"/>
  <c r="L79" i="15"/>
  <c r="V102" i="15"/>
  <c r="P88" i="17"/>
  <c r="O72" i="16"/>
  <c r="J76" i="17"/>
  <c r="X88" i="16"/>
  <c r="L110" i="16"/>
  <c r="X66" i="16"/>
  <c r="P104" i="15"/>
  <c r="Y86" i="15"/>
  <c r="P72" i="17"/>
  <c r="J100" i="16"/>
  <c r="V65" i="16"/>
  <c r="Q72" i="16"/>
  <c r="I102" i="15"/>
  <c r="O65" i="17"/>
  <c r="K100" i="16"/>
  <c r="V68" i="16"/>
  <c r="X61" i="16"/>
  <c r="O77" i="16"/>
  <c r="R101" i="15"/>
  <c r="I81" i="15"/>
  <c r="N89" i="17"/>
  <c r="L107" i="16"/>
  <c r="V75" i="16"/>
  <c r="Q68" i="16"/>
  <c r="J63" i="16"/>
  <c r="P73" i="16"/>
  <c r="M63" i="17"/>
  <c r="L95" i="16"/>
  <c r="V82" i="16"/>
  <c r="L60" i="16"/>
  <c r="O104" i="15"/>
  <c r="I68" i="15"/>
  <c r="S112" i="16"/>
  <c r="M110" i="16"/>
  <c r="I94" i="16"/>
  <c r="J70" i="16"/>
  <c r="L86" i="15"/>
  <c r="J78" i="17"/>
  <c r="L108" i="16"/>
  <c r="S76" i="16"/>
  <c r="J62" i="16"/>
  <c r="K110" i="15"/>
  <c r="J106" i="15"/>
  <c r="L65" i="15"/>
  <c r="X75" i="17"/>
  <c r="Y89" i="16"/>
  <c r="Y58" i="16"/>
  <c r="P79" i="17"/>
  <c r="X108" i="16"/>
  <c r="K87" i="16"/>
  <c r="R58" i="16"/>
  <c r="J97" i="15"/>
  <c r="U81" i="15"/>
  <c r="W58" i="17"/>
  <c r="W94" i="16"/>
  <c r="O94" i="16"/>
  <c r="K64" i="16"/>
  <c r="V96" i="15"/>
  <c r="W80" i="17"/>
  <c r="R94" i="16"/>
  <c r="R110" i="16"/>
  <c r="X110" i="16"/>
  <c r="R68" i="16"/>
  <c r="N96" i="15"/>
  <c r="V76" i="15"/>
  <c r="K73" i="17"/>
  <c r="M102" i="16"/>
  <c r="Y68" i="16"/>
  <c r="R95" i="15"/>
  <c r="O97" i="16"/>
  <c r="W74" i="16"/>
  <c r="K86" i="16"/>
  <c r="V110" i="15"/>
  <c r="K65" i="16"/>
  <c r="V81" i="18"/>
  <c r="M95" i="16"/>
  <c r="U68" i="16"/>
  <c r="R75" i="16"/>
  <c r="T108" i="15"/>
  <c r="N93" i="15"/>
  <c r="U62" i="17"/>
  <c r="N104" i="16"/>
  <c r="W70" i="16"/>
  <c r="J95" i="16"/>
  <c r="M106" i="15"/>
  <c r="W87" i="17"/>
  <c r="J105" i="16"/>
  <c r="I74" i="16"/>
  <c r="O66" i="16"/>
  <c r="Y60" i="16"/>
  <c r="V105" i="15"/>
  <c r="M86" i="15"/>
  <c r="T67" i="17"/>
  <c r="K75" i="16"/>
  <c r="K93" i="15"/>
  <c r="W112" i="16"/>
  <c r="S88" i="16"/>
  <c r="J73" i="16"/>
  <c r="R86" i="15"/>
  <c r="I107" i="15"/>
  <c r="P65" i="17"/>
  <c r="T90" i="16"/>
  <c r="X87" i="16"/>
  <c r="W73" i="16"/>
  <c r="R62" i="16"/>
  <c r="Q103" i="17"/>
  <c r="R100" i="16"/>
  <c r="S84" i="16"/>
  <c r="I81" i="16"/>
  <c r="J84" i="16"/>
  <c r="O96" i="15"/>
  <c r="W96" i="15"/>
  <c r="J96" i="18"/>
  <c r="X112" i="16"/>
  <c r="U80" i="17"/>
  <c r="O96" i="16"/>
  <c r="R75" i="17"/>
  <c r="S66" i="16"/>
  <c r="X60" i="16"/>
  <c r="M92" i="17"/>
  <c r="S66" i="17"/>
  <c r="S64" i="17"/>
  <c r="N74" i="17"/>
  <c r="K97" i="16"/>
  <c r="V74" i="17"/>
  <c r="T63" i="17"/>
  <c r="R83" i="16"/>
  <c r="U91" i="17"/>
  <c r="U68" i="17"/>
  <c r="I90" i="16"/>
  <c r="M59" i="17"/>
  <c r="O91" i="17"/>
  <c r="R78" i="17"/>
  <c r="M109" i="16"/>
  <c r="V104" i="17"/>
  <c r="M88" i="17"/>
  <c r="M103" i="17"/>
  <c r="L74" i="17"/>
  <c r="X97" i="17"/>
  <c r="U66" i="17"/>
  <c r="Q78" i="16"/>
  <c r="N79" i="16"/>
  <c r="V60" i="16"/>
  <c r="O95" i="15"/>
  <c r="K87" i="17"/>
  <c r="K93" i="16"/>
  <c r="N72" i="16"/>
  <c r="J61" i="16"/>
  <c r="N102" i="15"/>
  <c r="J89" i="15"/>
  <c r="V80" i="17"/>
  <c r="Q77" i="16"/>
  <c r="N70" i="17"/>
  <c r="N97" i="16"/>
  <c r="Y86" i="16"/>
  <c r="R65" i="16"/>
  <c r="Q106" i="15"/>
  <c r="K70" i="15"/>
  <c r="O67" i="17"/>
  <c r="O112" i="16"/>
  <c r="U107" i="16"/>
  <c r="X74" i="16"/>
  <c r="N88" i="15"/>
  <c r="K61" i="17"/>
  <c r="N110" i="16"/>
  <c r="V79" i="16"/>
  <c r="T64" i="16"/>
  <c r="M112" i="15"/>
  <c r="L108" i="15"/>
  <c r="N67" i="15"/>
  <c r="P62" i="17"/>
  <c r="J92" i="16"/>
  <c r="U94" i="16"/>
  <c r="P76" i="16"/>
  <c r="U67" i="16"/>
  <c r="L111" i="15"/>
  <c r="R60" i="17"/>
  <c r="O106" i="16"/>
  <c r="M86" i="16"/>
  <c r="M59" i="16"/>
  <c r="X108" i="15"/>
  <c r="W74" i="15"/>
  <c r="L86" i="16"/>
  <c r="R96" i="16"/>
  <c r="M83" i="16"/>
  <c r="Q73" i="16"/>
  <c r="N108" i="15"/>
  <c r="P58" i="17"/>
  <c r="Q94" i="16"/>
  <c r="M92" i="16"/>
  <c r="U63" i="16"/>
  <c r="P96" i="15"/>
  <c r="O92" i="15"/>
  <c r="I74" i="15"/>
  <c r="T79" i="17"/>
  <c r="Q101" i="16"/>
  <c r="L62" i="16"/>
  <c r="K58" i="17"/>
  <c r="J93" i="16"/>
  <c r="I101" i="16"/>
  <c r="P102" i="16"/>
  <c r="M102" i="15"/>
  <c r="X65" i="15"/>
  <c r="O108" i="16"/>
  <c r="K108" i="16"/>
  <c r="P86" i="16"/>
  <c r="M66" i="16"/>
  <c r="J83" i="15"/>
  <c r="Y68" i="17"/>
  <c r="J106" i="16"/>
  <c r="Y73" i="16"/>
  <c r="R59" i="16"/>
  <c r="I108" i="15"/>
  <c r="Y103" i="15"/>
  <c r="I90" i="15"/>
  <c r="Q66" i="17"/>
  <c r="J112" i="16"/>
  <c r="V74" i="16"/>
  <c r="O60" i="17"/>
  <c r="V106" i="16"/>
  <c r="U79" i="16"/>
  <c r="V78" i="16"/>
  <c r="Y94" i="15"/>
  <c r="Y69" i="16"/>
  <c r="R62" i="17"/>
  <c r="R102" i="16"/>
  <c r="W109" i="16"/>
  <c r="L74" i="16"/>
  <c r="W112" i="15"/>
  <c r="Q77" i="15"/>
  <c r="I65" i="17"/>
  <c r="S90" i="16"/>
  <c r="N82" i="16"/>
  <c r="I59" i="16"/>
  <c r="R92" i="15"/>
  <c r="V79" i="17"/>
  <c r="N90" i="16"/>
  <c r="L87" i="16"/>
  <c r="L73" i="16"/>
  <c r="K62" i="16"/>
  <c r="P112" i="15"/>
  <c r="R72" i="15"/>
  <c r="P73" i="17"/>
  <c r="Y92" i="16"/>
  <c r="L96" i="17"/>
  <c r="I91" i="16"/>
  <c r="L66" i="16"/>
  <c r="U70" i="16"/>
  <c r="R106" i="15"/>
  <c r="L91" i="15"/>
  <c r="P81" i="17"/>
  <c r="L102" i="16"/>
  <c r="N68" i="16"/>
  <c r="Q106" i="16"/>
  <c r="V81" i="17"/>
  <c r="K74" i="17"/>
  <c r="Y111" i="16"/>
  <c r="U102" i="15"/>
  <c r="S109" i="18"/>
  <c r="V62" i="17"/>
  <c r="Q58" i="17"/>
  <c r="M68" i="17"/>
  <c r="X93" i="16"/>
  <c r="R87" i="17"/>
  <c r="P60" i="17"/>
  <c r="W69" i="16"/>
  <c r="I102" i="18"/>
  <c r="Y83" i="17"/>
  <c r="L107" i="17"/>
  <c r="J62" i="17"/>
  <c r="L84" i="17"/>
  <c r="U60" i="17"/>
  <c r="W108" i="16"/>
  <c r="M74" i="18"/>
  <c r="S78" i="17"/>
  <c r="W90" i="17"/>
  <c r="V90" i="16"/>
  <c r="U81" i="17"/>
  <c r="K100" i="18"/>
  <c r="Y88" i="16"/>
  <c r="M75" i="16"/>
  <c r="P62" i="16"/>
  <c r="T81" i="15"/>
  <c r="M69" i="17"/>
  <c r="T104" i="16"/>
  <c r="S79" i="16"/>
  <c r="U62" i="16"/>
  <c r="S108" i="15"/>
  <c r="O75" i="15"/>
  <c r="P81" i="16"/>
  <c r="N58" i="16"/>
  <c r="O66" i="17"/>
  <c r="Q108" i="16"/>
  <c r="I107" i="16"/>
  <c r="V61" i="16"/>
  <c r="I111" i="15"/>
  <c r="O77" i="15"/>
  <c r="P90" i="16"/>
  <c r="T98" i="16"/>
  <c r="R87" i="16"/>
  <c r="U77" i="16"/>
  <c r="P110" i="15"/>
  <c r="Q63" i="17"/>
  <c r="S96" i="16"/>
  <c r="Y105" i="16"/>
  <c r="Y66" i="16"/>
  <c r="R98" i="15"/>
  <c r="Q94" i="15"/>
  <c r="R76" i="15"/>
  <c r="X61" i="17"/>
  <c r="S103" i="16"/>
  <c r="I70" i="16"/>
  <c r="R82" i="16"/>
  <c r="T87" i="16"/>
  <c r="V83" i="15"/>
  <c r="R105" i="16"/>
  <c r="P88" i="16"/>
  <c r="U64" i="16"/>
  <c r="Y112" i="15"/>
  <c r="J93" i="15"/>
  <c r="Q61" i="18"/>
  <c r="T95" i="16"/>
  <c r="W82" i="16"/>
  <c r="O78" i="16"/>
  <c r="Y75" i="16"/>
  <c r="S94" i="15"/>
  <c r="I108" i="16"/>
  <c r="V107" i="16"/>
  <c r="X84" i="16"/>
  <c r="T65" i="16"/>
  <c r="U82" i="15"/>
  <c r="O100" i="15"/>
  <c r="T83" i="15"/>
  <c r="V58" i="17"/>
  <c r="L78" i="16"/>
  <c r="W79" i="16"/>
  <c r="K106" i="16"/>
  <c r="V112" i="16"/>
  <c r="Q82" i="16"/>
  <c r="T108" i="16"/>
  <c r="I111" i="16"/>
  <c r="Y96" i="16"/>
  <c r="T66" i="16"/>
  <c r="U104" i="16"/>
  <c r="K102" i="16"/>
  <c r="V106" i="15"/>
  <c r="P94" i="16"/>
  <c r="L106" i="15"/>
  <c r="I86" i="16"/>
  <c r="Y110" i="15"/>
  <c r="O98" i="16"/>
  <c r="W88" i="16"/>
  <c r="K100" i="15"/>
  <c r="U112" i="16"/>
  <c r="I97" i="15"/>
  <c r="X103" i="16"/>
  <c r="W78" i="15"/>
  <c r="X67" i="16"/>
  <c r="U98" i="15"/>
  <c r="O77" i="17"/>
  <c r="Q59" i="17"/>
  <c r="K96" i="16"/>
  <c r="U110" i="15"/>
  <c r="S59" i="17"/>
  <c r="K79" i="16"/>
  <c r="O61" i="16"/>
  <c r="L67" i="17"/>
  <c r="N98" i="16"/>
  <c r="O68" i="16"/>
  <c r="J110" i="15"/>
  <c r="P69" i="15"/>
  <c r="P103" i="16"/>
  <c r="X77" i="16"/>
  <c r="L97" i="16"/>
  <c r="Y93" i="15"/>
  <c r="Y104" i="16"/>
  <c r="L78" i="15"/>
  <c r="X75" i="15"/>
  <c r="Q108" i="15"/>
  <c r="T77" i="15"/>
  <c r="U76" i="16"/>
  <c r="W81" i="16"/>
  <c r="K94" i="16"/>
  <c r="V67" i="16"/>
  <c r="R107" i="15"/>
  <c r="L109" i="15"/>
  <c r="I76" i="15"/>
  <c r="K102" i="15"/>
  <c r="W66" i="15"/>
  <c r="N75" i="14"/>
  <c r="V93" i="15"/>
  <c r="T69" i="15"/>
  <c r="I73" i="16"/>
  <c r="N86" i="15"/>
  <c r="U65" i="16"/>
  <c r="Y89" i="15"/>
  <c r="S61" i="15"/>
  <c r="O76" i="14"/>
  <c r="M69" i="16"/>
  <c r="R73" i="15"/>
  <c r="W67" i="15"/>
  <c r="N60" i="15"/>
  <c r="Q73" i="14"/>
  <c r="T92" i="14"/>
  <c r="S61" i="14"/>
  <c r="O62" i="14"/>
  <c r="X74" i="13"/>
  <c r="J59" i="15"/>
  <c r="K73" i="14"/>
  <c r="N92" i="14"/>
  <c r="M61" i="14"/>
  <c r="U60" i="14"/>
  <c r="R74" i="13"/>
  <c r="L82" i="13"/>
  <c r="S78" i="16"/>
  <c r="Q109" i="16"/>
  <c r="V98" i="16"/>
  <c r="L82" i="16"/>
  <c r="L59" i="16"/>
  <c r="W65" i="17"/>
  <c r="P102" i="15"/>
  <c r="P67" i="15"/>
  <c r="N104" i="15"/>
  <c r="T73" i="15"/>
  <c r="K65" i="15"/>
  <c r="O104" i="16"/>
  <c r="X110" i="15"/>
  <c r="K67" i="15"/>
  <c r="V84" i="16"/>
  <c r="P76" i="15"/>
  <c r="O69" i="15"/>
  <c r="Q101" i="15"/>
  <c r="K88" i="15"/>
  <c r="N82" i="15"/>
  <c r="X112" i="14"/>
  <c r="J72" i="16"/>
  <c r="L69" i="15"/>
  <c r="M64" i="15"/>
  <c r="N70" i="15"/>
  <c r="O70" i="14"/>
  <c r="R90" i="14"/>
  <c r="Q59" i="14"/>
  <c r="V67" i="14"/>
  <c r="V72" i="13"/>
  <c r="Q68" i="15"/>
  <c r="I70" i="14"/>
  <c r="T112" i="16"/>
  <c r="J89" i="16"/>
  <c r="N96" i="16"/>
  <c r="I79" i="16"/>
  <c r="X111" i="15"/>
  <c r="W68" i="17"/>
  <c r="J95" i="15"/>
  <c r="I64" i="15"/>
  <c r="O98" i="15"/>
  <c r="J70" i="15"/>
  <c r="L61" i="15"/>
  <c r="S89" i="16"/>
  <c r="U107" i="15"/>
  <c r="T64" i="15"/>
  <c r="Y79" i="16"/>
  <c r="S73" i="15"/>
  <c r="S65" i="15"/>
  <c r="M96" i="15"/>
  <c r="U91" i="15"/>
  <c r="N73" i="15"/>
  <c r="V110" i="14"/>
  <c r="P109" i="15"/>
  <c r="Y64" i="15"/>
  <c r="U61" i="15"/>
  <c r="M70" i="15"/>
  <c r="M68" i="14"/>
  <c r="P88" i="14"/>
  <c r="T86" i="14"/>
  <c r="Y78" i="14"/>
  <c r="T69" i="13"/>
  <c r="M68" i="15"/>
  <c r="T69" i="17"/>
  <c r="X107" i="16"/>
  <c r="W83" i="17"/>
  <c r="Q67" i="16"/>
  <c r="X58" i="16"/>
  <c r="L101" i="15"/>
  <c r="O105" i="15"/>
  <c r="R70" i="15"/>
  <c r="T106" i="16"/>
  <c r="I92" i="15"/>
  <c r="Q69" i="15"/>
  <c r="S107" i="14"/>
  <c r="S109" i="15"/>
  <c r="R83" i="15"/>
  <c r="X101" i="16"/>
  <c r="L110" i="15"/>
  <c r="U66" i="15"/>
  <c r="J74" i="16"/>
  <c r="P74" i="15"/>
  <c r="R68" i="15"/>
  <c r="P96" i="14"/>
  <c r="R88" i="16"/>
  <c r="J82" i="15"/>
  <c r="U76" i="15"/>
  <c r="M58" i="15"/>
  <c r="M94" i="14"/>
  <c r="U112" i="14"/>
  <c r="K72" i="14"/>
  <c r="O60" i="14"/>
  <c r="S106" i="15"/>
  <c r="I84" i="16"/>
  <c r="Q83" i="16"/>
  <c r="W77" i="16"/>
  <c r="Q89" i="16"/>
  <c r="Q96" i="16"/>
  <c r="J108" i="16"/>
  <c r="V59" i="16"/>
  <c r="I78" i="16"/>
  <c r="T77" i="16"/>
  <c r="R97" i="15"/>
  <c r="K77" i="16"/>
  <c r="O74" i="17"/>
  <c r="P72" i="16"/>
  <c r="Q90" i="15"/>
  <c r="Y62" i="16"/>
  <c r="O67" i="16"/>
  <c r="W60" i="16"/>
  <c r="M65" i="16"/>
  <c r="K109" i="15"/>
  <c r="Y98" i="16"/>
  <c r="Y102" i="17"/>
  <c r="L84" i="16"/>
  <c r="T112" i="15"/>
  <c r="L80" i="16"/>
  <c r="R59" i="17"/>
  <c r="M73" i="16"/>
  <c r="N97" i="15"/>
  <c r="K105" i="16"/>
  <c r="U84" i="16"/>
  <c r="K104" i="15"/>
  <c r="J66" i="17"/>
  <c r="X70" i="16"/>
  <c r="M74" i="16"/>
  <c r="T103" i="15"/>
  <c r="I91" i="15"/>
  <c r="U110" i="16"/>
  <c r="P108" i="16"/>
  <c r="U60" i="16"/>
  <c r="M80" i="15"/>
  <c r="T80" i="16"/>
  <c r="S81" i="15"/>
  <c r="I62" i="17"/>
  <c r="I88" i="15"/>
  <c r="I61" i="15"/>
  <c r="N92" i="16"/>
  <c r="S58" i="16"/>
  <c r="Y97" i="16"/>
  <c r="I76" i="16"/>
  <c r="J112" i="15"/>
  <c r="S105" i="15"/>
  <c r="J72" i="15"/>
  <c r="X97" i="15"/>
  <c r="Q63" i="15"/>
  <c r="I98" i="17"/>
  <c r="P94" i="15"/>
  <c r="O79" i="15"/>
  <c r="M87" i="15"/>
  <c r="N75" i="15"/>
  <c r="W97" i="15"/>
  <c r="V91" i="15"/>
  <c r="I62" i="15"/>
  <c r="N102" i="14"/>
  <c r="P111" i="15"/>
  <c r="T84" i="15"/>
  <c r="J78" i="15"/>
  <c r="W72" i="15"/>
  <c r="R107" i="14"/>
  <c r="M105" i="14"/>
  <c r="K69" i="14"/>
  <c r="P109" i="13"/>
  <c r="S108" i="13"/>
  <c r="X69" i="15"/>
  <c r="L107" i="14"/>
  <c r="X104" i="14"/>
  <c r="R68" i="14"/>
  <c r="J109" i="13"/>
  <c r="M108" i="13"/>
  <c r="Q68" i="13"/>
  <c r="W72" i="16"/>
  <c r="M60" i="16"/>
  <c r="V87" i="16"/>
  <c r="X65" i="16"/>
  <c r="L98" i="15"/>
  <c r="T91" i="16"/>
  <c r="I75" i="15"/>
  <c r="M67" i="15"/>
  <c r="N98" i="15"/>
  <c r="L80" i="15"/>
  <c r="R59" i="15"/>
  <c r="N73" i="16"/>
  <c r="W90" i="15"/>
  <c r="R81" i="15"/>
  <c r="Q75" i="16"/>
  <c r="I79" i="15"/>
  <c r="Q110" i="16"/>
  <c r="U100" i="15"/>
  <c r="X74" i="15"/>
  <c r="L58" i="15"/>
  <c r="L100" i="14"/>
  <c r="V98" i="15"/>
  <c r="N90" i="15"/>
  <c r="S70" i="15"/>
  <c r="V61" i="15"/>
  <c r="P105" i="14"/>
  <c r="K103" i="14"/>
  <c r="Y65" i="14"/>
  <c r="N107" i="13"/>
  <c r="Q106" i="13"/>
  <c r="R60" i="15"/>
  <c r="J105" i="14"/>
  <c r="I58" i="16"/>
  <c r="W61" i="16"/>
  <c r="T111" i="16"/>
  <c r="T63" i="16"/>
  <c r="J96" i="15"/>
  <c r="M91" i="16"/>
  <c r="W70" i="15"/>
  <c r="W63" i="15"/>
  <c r="V94" i="15"/>
  <c r="Q82" i="15"/>
  <c r="L111" i="14"/>
  <c r="J86" i="16"/>
  <c r="T87" i="15"/>
  <c r="X76" i="15"/>
  <c r="R78" i="16"/>
  <c r="M75" i="15"/>
  <c r="J83" i="16"/>
  <c r="R96" i="15"/>
  <c r="O72" i="15"/>
  <c r="W73" i="15"/>
  <c r="J97" i="14"/>
  <c r="V112" i="15"/>
  <c r="T86" i="15"/>
  <c r="W64" i="15"/>
  <c r="X66" i="15"/>
  <c r="N103" i="14"/>
  <c r="I101" i="14"/>
  <c r="S63" i="14"/>
  <c r="L105" i="13"/>
  <c r="O104" i="13"/>
  <c r="T63" i="15"/>
  <c r="P106" i="16"/>
  <c r="K76" i="16"/>
  <c r="Q84" i="16"/>
  <c r="V89" i="16"/>
  <c r="R76" i="16"/>
  <c r="U105" i="15"/>
  <c r="Q95" i="15"/>
  <c r="L83" i="15"/>
  <c r="V77" i="15"/>
  <c r="L90" i="15"/>
  <c r="V63" i="15"/>
  <c r="Q76" i="17"/>
  <c r="Y104" i="15"/>
  <c r="S78" i="15"/>
  <c r="L70" i="16"/>
  <c r="K90" i="15"/>
  <c r="W80" i="15"/>
  <c r="R93" i="15"/>
  <c r="K86" i="15"/>
  <c r="P80" i="15"/>
  <c r="U82" i="14"/>
  <c r="W62" i="16"/>
  <c r="Q88" i="15"/>
  <c r="J81" i="15"/>
  <c r="V58" i="15"/>
  <c r="W79" i="14"/>
  <c r="I100" i="14"/>
  <c r="M69" i="14"/>
  <c r="J81" i="14"/>
  <c r="M81" i="13"/>
  <c r="I83" i="15"/>
  <c r="Q79" i="14"/>
  <c r="T98" i="14"/>
  <c r="S61" i="16"/>
  <c r="V64" i="16"/>
  <c r="P107" i="16"/>
  <c r="P59" i="16"/>
  <c r="U89" i="15"/>
  <c r="N106" i="16"/>
  <c r="K92" i="15"/>
  <c r="O84" i="17"/>
  <c r="M105" i="15"/>
  <c r="Q75" i="15"/>
  <c r="Y106" i="14"/>
  <c r="S77" i="16"/>
  <c r="N80" i="15"/>
  <c r="V74" i="15"/>
  <c r="V58" i="16"/>
  <c r="T66" i="15"/>
  <c r="P98" i="16"/>
  <c r="W109" i="15"/>
  <c r="N66" i="15"/>
  <c r="Y61" i="15"/>
  <c r="W92" i="14"/>
  <c r="K101" i="15"/>
  <c r="J87" i="15"/>
  <c r="W79" i="15"/>
  <c r="R111" i="14"/>
  <c r="J98" i="14"/>
  <c r="V95" i="14"/>
  <c r="O59" i="14"/>
  <c r="Y100" i="13"/>
  <c r="K100" i="13"/>
  <c r="W110" i="14"/>
  <c r="K104" i="16"/>
  <c r="Y103" i="16"/>
  <c r="T60" i="17"/>
  <c r="W103" i="16"/>
  <c r="T74" i="16"/>
  <c r="W93" i="15"/>
  <c r="O112" i="15"/>
  <c r="P65" i="15"/>
  <c r="I61" i="16"/>
  <c r="S83" i="15"/>
  <c r="X63" i="15"/>
  <c r="O103" i="14"/>
  <c r="I98" i="15"/>
  <c r="P84" i="15"/>
  <c r="I98" i="16"/>
  <c r="W103" i="15"/>
  <c r="L62" i="15"/>
  <c r="R111" i="15"/>
  <c r="V65" i="15"/>
  <c r="K62" i="15"/>
  <c r="L92" i="14"/>
  <c r="M111" i="16"/>
  <c r="U75" i="15"/>
  <c r="K68" i="15"/>
  <c r="X111" i="14"/>
  <c r="N89" i="14"/>
  <c r="Q108" i="14"/>
  <c r="I87" i="14"/>
  <c r="S67" i="14"/>
  <c r="U90" i="13"/>
  <c r="O98" i="13"/>
  <c r="Y88" i="14"/>
  <c r="K108" i="14"/>
  <c r="J86" i="14"/>
  <c r="W65" i="14"/>
  <c r="O90" i="13"/>
  <c r="I98" i="13"/>
  <c r="P108" i="13"/>
  <c r="I96" i="14"/>
  <c r="W88" i="14"/>
  <c r="M74" i="14"/>
  <c r="R63" i="14"/>
  <c r="O96" i="13"/>
  <c r="Y86" i="14"/>
  <c r="L66" i="14"/>
  <c r="N90" i="13"/>
  <c r="T66" i="13"/>
  <c r="K79" i="14"/>
  <c r="V108" i="14"/>
  <c r="W95" i="15"/>
  <c r="M68" i="16"/>
  <c r="I69" i="16"/>
  <c r="N75" i="16"/>
  <c r="L88" i="16"/>
  <c r="S63" i="16"/>
  <c r="T67" i="16"/>
  <c r="O73" i="16"/>
  <c r="W104" i="15"/>
  <c r="J82" i="16"/>
  <c r="N72" i="15"/>
  <c r="J80" i="16"/>
  <c r="Y72" i="17"/>
  <c r="K61" i="16"/>
  <c r="P70" i="15"/>
  <c r="S83" i="16"/>
  <c r="M88" i="16"/>
  <c r="L75" i="16"/>
  <c r="U83" i="16"/>
  <c r="U83" i="15"/>
  <c r="S111" i="16"/>
  <c r="O80" i="17"/>
  <c r="S75" i="16"/>
  <c r="Y98" i="15"/>
  <c r="V86" i="16"/>
  <c r="O82" i="16"/>
  <c r="Q74" i="16"/>
  <c r="L103" i="15"/>
  <c r="V105" i="16"/>
  <c r="V66" i="16"/>
  <c r="P90" i="15"/>
  <c r="J90" i="16"/>
  <c r="Y82" i="16"/>
  <c r="X76" i="16"/>
  <c r="N110" i="15"/>
  <c r="V88" i="15"/>
  <c r="L94" i="16"/>
  <c r="P84" i="16"/>
  <c r="O62" i="16"/>
  <c r="O103" i="15"/>
  <c r="Y61" i="16"/>
  <c r="T92" i="15"/>
  <c r="S92" i="16"/>
  <c r="Y66" i="15"/>
  <c r="P63" i="15"/>
  <c r="X104" i="16"/>
  <c r="L92" i="15"/>
  <c r="P82" i="16"/>
  <c r="X69" i="16"/>
  <c r="N75" i="17"/>
  <c r="O81" i="15"/>
  <c r="L62" i="17"/>
  <c r="U72" i="15"/>
  <c r="K60" i="15"/>
  <c r="I103" i="16"/>
  <c r="I94" i="15"/>
  <c r="K66" i="15"/>
  <c r="P101" i="15"/>
  <c r="J60" i="15"/>
  <c r="Q107" i="15"/>
  <c r="R77" i="15"/>
  <c r="U74" i="15"/>
  <c r="O90" i="17"/>
  <c r="U112" i="15"/>
  <c r="Q87" i="15"/>
  <c r="U79" i="15"/>
  <c r="Q104" i="14"/>
  <c r="W93" i="14"/>
  <c r="R91" i="14"/>
  <c r="V74" i="14"/>
  <c r="U95" i="13"/>
  <c r="X94" i="13"/>
  <c r="K104" i="14"/>
  <c r="Q93" i="14"/>
  <c r="L91" i="14"/>
  <c r="T73" i="14"/>
  <c r="O95" i="13"/>
  <c r="R94" i="13"/>
  <c r="R103" i="13"/>
  <c r="N67" i="16"/>
  <c r="Q78" i="15"/>
  <c r="W95" i="16"/>
  <c r="L64" i="16"/>
  <c r="O82" i="15"/>
  <c r="R97" i="16"/>
  <c r="K73" i="15"/>
  <c r="V96" i="16"/>
  <c r="O94" i="15"/>
  <c r="R63" i="15"/>
  <c r="S100" i="14"/>
  <c r="Q65" i="16"/>
  <c r="V69" i="15"/>
  <c r="K63" i="15"/>
  <c r="O109" i="15"/>
  <c r="Y90" i="15"/>
  <c r="L109" i="16"/>
  <c r="N100" i="15"/>
  <c r="U59" i="15"/>
  <c r="J68" i="15"/>
  <c r="K72" i="17"/>
  <c r="X109" i="15"/>
  <c r="N83" i="15"/>
  <c r="K72" i="15"/>
  <c r="N101" i="14"/>
  <c r="U91" i="14"/>
  <c r="P89" i="14"/>
  <c r="O67" i="14"/>
  <c r="S93" i="13"/>
  <c r="V92" i="13"/>
  <c r="Y100" i="14"/>
  <c r="O91" i="14"/>
  <c r="J69" i="16"/>
  <c r="S101" i="15"/>
  <c r="U93" i="16"/>
  <c r="T61" i="16"/>
  <c r="K78" i="15"/>
  <c r="S70" i="16"/>
  <c r="N68" i="15"/>
  <c r="M107" i="16"/>
  <c r="R91" i="15"/>
  <c r="Q58" i="15"/>
  <c r="Q97" i="14"/>
  <c r="Y70" i="16"/>
  <c r="S66" i="15"/>
  <c r="S60" i="15"/>
  <c r="T95" i="15"/>
  <c r="L87" i="15"/>
  <c r="Q95" i="16"/>
  <c r="K96" i="15"/>
  <c r="R82" i="15"/>
  <c r="J63" i="15"/>
  <c r="Q74" i="17"/>
  <c r="O106" i="15"/>
  <c r="K80" i="15"/>
  <c r="Q65" i="15"/>
  <c r="K97" i="14"/>
  <c r="S89" i="14"/>
  <c r="N87" i="14"/>
  <c r="N63" i="14"/>
  <c r="Q91" i="13"/>
  <c r="T90" i="13"/>
  <c r="V96" i="14"/>
  <c r="P74" i="16"/>
  <c r="X68" i="16"/>
  <c r="Y109" i="16"/>
  <c r="T83" i="16"/>
  <c r="V109" i="15"/>
  <c r="Q111" i="16"/>
  <c r="X91" i="15"/>
  <c r="P61" i="15"/>
  <c r="K94" i="15"/>
  <c r="R67" i="15"/>
  <c r="V80" i="15"/>
  <c r="K101" i="16"/>
  <c r="R104" i="15"/>
  <c r="R62" i="15"/>
  <c r="N63" i="16"/>
  <c r="J69" i="15"/>
  <c r="O81" i="17"/>
  <c r="U92" i="15"/>
  <c r="J88" i="15"/>
  <c r="Y81" i="15"/>
  <c r="T108" i="14"/>
  <c r="U95" i="15"/>
  <c r="Q89" i="15"/>
  <c r="L59" i="15"/>
  <c r="U60" i="15"/>
  <c r="K66" i="14"/>
  <c r="S111" i="14"/>
  <c r="P81" i="14"/>
  <c r="S64" i="14"/>
  <c r="R67" i="13"/>
  <c r="Q59" i="15"/>
  <c r="V65" i="14"/>
  <c r="M111" i="14"/>
  <c r="T94" i="15"/>
  <c r="L94" i="15"/>
  <c r="M84" i="16"/>
  <c r="M70" i="16"/>
  <c r="U109" i="15"/>
  <c r="T58" i="16"/>
  <c r="P88" i="15"/>
  <c r="M103" i="16"/>
  <c r="T80" i="15"/>
  <c r="L75" i="15"/>
  <c r="M93" i="14"/>
  <c r="Y76" i="16"/>
  <c r="V84" i="15"/>
  <c r="U78" i="15"/>
  <c r="R94" i="15"/>
  <c r="U87" i="15"/>
  <c r="J68" i="16"/>
  <c r="V89" i="15"/>
  <c r="I80" i="15"/>
  <c r="U70" i="15"/>
  <c r="M106" i="16"/>
  <c r="I100" i="15"/>
  <c r="Q74" i="15"/>
  <c r="Q81" i="15"/>
  <c r="V90" i="14"/>
  <c r="U111" i="14"/>
  <c r="J82" i="14"/>
  <c r="X82" i="14"/>
  <c r="M87" i="13"/>
  <c r="P86" i="13"/>
  <c r="P90" i="14"/>
  <c r="I106" i="16"/>
  <c r="P70" i="16"/>
  <c r="Y94" i="16"/>
  <c r="T93" i="16"/>
  <c r="M64" i="16"/>
  <c r="I67" i="17"/>
  <c r="V108" i="15"/>
  <c r="Q80" i="15"/>
  <c r="L107" i="15"/>
  <c r="J79" i="15"/>
  <c r="V78" i="15"/>
  <c r="R92" i="16"/>
  <c r="S97" i="15"/>
  <c r="L73" i="15"/>
  <c r="S64" i="16"/>
  <c r="V82" i="15"/>
  <c r="M78" i="15"/>
  <c r="Q93" i="15"/>
  <c r="K87" i="15"/>
  <c r="U65" i="15"/>
  <c r="Q78" i="14"/>
  <c r="W66" i="16"/>
  <c r="Y77" i="15"/>
  <c r="T72" i="15"/>
  <c r="R69" i="15"/>
  <c r="S75" i="14"/>
  <c r="V94" i="14"/>
  <c r="U63" i="14"/>
  <c r="V80" i="14"/>
  <c r="I77" i="13"/>
  <c r="U67" i="15"/>
  <c r="M75" i="14"/>
  <c r="P94" i="14"/>
  <c r="O63" i="14"/>
  <c r="R76" i="14"/>
  <c r="T76" i="13"/>
  <c r="N84" i="13"/>
  <c r="S62" i="15"/>
  <c r="M81" i="14"/>
  <c r="P101" i="14"/>
  <c r="O72" i="14"/>
  <c r="M64" i="14"/>
  <c r="T82" i="13"/>
  <c r="I68" i="14"/>
  <c r="M58" i="14"/>
  <c r="O72" i="13"/>
  <c r="N78" i="15"/>
  <c r="J111" i="14"/>
  <c r="L93" i="17"/>
  <c r="P83" i="15"/>
  <c r="I60" i="16"/>
  <c r="M94" i="15"/>
  <c r="P61" i="16"/>
  <c r="L100" i="15"/>
  <c r="X98" i="15"/>
  <c r="P98" i="15"/>
  <c r="V100" i="15"/>
  <c r="I62" i="16"/>
  <c r="I79" i="17"/>
  <c r="Q62" i="16"/>
  <c r="J111" i="16"/>
  <c r="U66" i="16"/>
  <c r="I101" i="17"/>
  <c r="S102" i="15"/>
  <c r="O60" i="16"/>
  <c r="Q100" i="15"/>
  <c r="I77" i="16"/>
  <c r="L82" i="17"/>
  <c r="N78" i="16"/>
  <c r="V104" i="16"/>
  <c r="N59" i="16"/>
  <c r="T82" i="15"/>
  <c r="S60" i="16"/>
  <c r="P100" i="16"/>
  <c r="O69" i="16"/>
  <c r="M73" i="15"/>
  <c r="Q88" i="16"/>
  <c r="N76" i="16"/>
  <c r="W98" i="15"/>
  <c r="S102" i="16"/>
  <c r="S105" i="16"/>
  <c r="P58" i="16"/>
  <c r="S104" i="15"/>
  <c r="Y69" i="17"/>
  <c r="I92" i="16"/>
  <c r="L81" i="16"/>
  <c r="Y63" i="16"/>
  <c r="T109" i="15"/>
  <c r="X79" i="15"/>
  <c r="J74" i="15"/>
  <c r="U75" i="16"/>
  <c r="Q67" i="15"/>
  <c r="S68" i="15"/>
  <c r="X64" i="16"/>
  <c r="X67" i="15"/>
  <c r="K90" i="16"/>
  <c r="U61" i="16"/>
  <c r="O105" i="16"/>
  <c r="Y76" i="15"/>
  <c r="Q87" i="16"/>
  <c r="I84" i="15"/>
  <c r="V70" i="15"/>
  <c r="I87" i="16"/>
  <c r="Y73" i="15"/>
  <c r="M61" i="17"/>
  <c r="I101" i="15"/>
  <c r="L74" i="15"/>
  <c r="X103" i="15"/>
  <c r="W61" i="15"/>
  <c r="J62" i="15"/>
  <c r="N89" i="16"/>
  <c r="N112" i="15"/>
  <c r="P68" i="15"/>
  <c r="M65" i="15"/>
  <c r="P83" i="14"/>
  <c r="Q107" i="14"/>
  <c r="W77" i="14"/>
  <c r="J67" i="14"/>
  <c r="I82" i="13"/>
  <c r="L81" i="13"/>
  <c r="J83" i="14"/>
  <c r="K107" i="14"/>
  <c r="Q77" i="14"/>
  <c r="I66" i="14"/>
  <c r="T81" i="13"/>
  <c r="W80" i="13"/>
  <c r="P107" i="15"/>
  <c r="O110" i="15"/>
  <c r="K95" i="15"/>
  <c r="T73" i="16"/>
  <c r="Y77" i="16"/>
  <c r="M101" i="15"/>
  <c r="P65" i="16"/>
  <c r="W89" i="15"/>
  <c r="K89" i="16"/>
  <c r="Q70" i="15"/>
  <c r="X60" i="15"/>
  <c r="X86" i="14"/>
  <c r="J60" i="16"/>
  <c r="X70" i="15"/>
  <c r="I66" i="15"/>
  <c r="Y96" i="15"/>
  <c r="Y83" i="15"/>
  <c r="O88" i="16"/>
  <c r="M79" i="15"/>
  <c r="Q73" i="15"/>
  <c r="J64" i="15"/>
  <c r="Y95" i="16"/>
  <c r="Q109" i="15"/>
  <c r="W65" i="15"/>
  <c r="T60" i="15"/>
  <c r="M80" i="14"/>
  <c r="O105" i="14"/>
  <c r="U75" i="14"/>
  <c r="K63" i="14"/>
  <c r="X112" i="13"/>
  <c r="J79" i="13"/>
  <c r="X79" i="14"/>
  <c r="M111" i="15"/>
  <c r="P65" i="18"/>
  <c r="J102" i="15"/>
  <c r="R70" i="16"/>
  <c r="S73" i="16"/>
  <c r="K98" i="15"/>
  <c r="M67" i="16"/>
  <c r="J86" i="15"/>
  <c r="P75" i="16"/>
  <c r="T91" i="15"/>
  <c r="O58" i="15"/>
  <c r="V83" i="14"/>
  <c r="N61" i="16"/>
  <c r="J67" i="15"/>
  <c r="R97" i="17"/>
  <c r="P93" i="15"/>
  <c r="R88" i="15"/>
  <c r="S81" i="16"/>
  <c r="J76" i="15"/>
  <c r="T68" i="15"/>
  <c r="M112" i="14"/>
  <c r="Q107" i="16"/>
  <c r="Y105" i="15"/>
  <c r="S63" i="15"/>
  <c r="K58" i="15"/>
  <c r="J77" i="14"/>
  <c r="M103" i="14"/>
  <c r="S73" i="14"/>
  <c r="Y59" i="14"/>
  <c r="V110" i="13"/>
  <c r="Y76" i="13"/>
  <c r="U76" i="14"/>
  <c r="Y59" i="16"/>
  <c r="Q63" i="16"/>
  <c r="R109" i="16"/>
  <c r="R61" i="16"/>
  <c r="W91" i="15"/>
  <c r="R77" i="16"/>
  <c r="T67" i="15"/>
  <c r="U95" i="17"/>
  <c r="S111" i="15"/>
  <c r="V79" i="15"/>
  <c r="J109" i="14"/>
  <c r="J67" i="16"/>
  <c r="Q83" i="15"/>
  <c r="Y78" i="15"/>
  <c r="I88" i="16"/>
  <c r="I70" i="15"/>
  <c r="R93" i="16"/>
  <c r="O93" i="15"/>
  <c r="W68" i="15"/>
  <c r="O66" i="15"/>
  <c r="Y94" i="14"/>
  <c r="P106" i="15"/>
  <c r="N91" i="15"/>
  <c r="Y60" i="15"/>
  <c r="T65" i="15"/>
  <c r="L101" i="14"/>
  <c r="X97" i="14"/>
  <c r="Q61" i="14"/>
  <c r="J103" i="13"/>
  <c r="M102" i="13"/>
  <c r="U64" i="15"/>
  <c r="W100" i="14"/>
  <c r="S79" i="15"/>
  <c r="V64" i="17"/>
  <c r="T74" i="15"/>
  <c r="N66" i="16"/>
  <c r="I65" i="16"/>
  <c r="X93" i="15"/>
  <c r="S93" i="15"/>
  <c r="T90" i="15"/>
  <c r="V80" i="16"/>
  <c r="K81" i="15"/>
  <c r="O60" i="15"/>
  <c r="R79" i="14"/>
  <c r="O89" i="15"/>
  <c r="V86" i="15"/>
  <c r="K64" i="17"/>
  <c r="V107" i="15"/>
  <c r="L81" i="15"/>
  <c r="L61" i="16"/>
  <c r="U68" i="15"/>
  <c r="N62" i="15"/>
  <c r="I108" i="14"/>
  <c r="J107" i="16"/>
  <c r="S98" i="15"/>
  <c r="O59" i="15"/>
  <c r="I67" i="15"/>
  <c r="O109" i="14"/>
  <c r="I98" i="14"/>
  <c r="O68" i="14"/>
  <c r="Q72" i="14"/>
  <c r="R106" i="13"/>
  <c r="U72" i="13"/>
  <c r="I109" i="14"/>
  <c r="M82" i="16"/>
  <c r="U86" i="16"/>
  <c r="M96" i="16"/>
  <c r="N77" i="16"/>
  <c r="P103" i="15"/>
  <c r="W93" i="16"/>
  <c r="R84" i="15"/>
  <c r="O80" i="15"/>
  <c r="T105" i="15"/>
  <c r="V60" i="15"/>
  <c r="V62" i="15"/>
  <c r="U100" i="16"/>
  <c r="L97" i="15"/>
  <c r="N58" i="15"/>
  <c r="R69" i="16"/>
  <c r="R89" i="15"/>
  <c r="I59" i="17"/>
  <c r="J107" i="15"/>
  <c r="U80" i="15"/>
  <c r="P66" i="15"/>
  <c r="P104" i="14"/>
  <c r="K105" i="15"/>
  <c r="N89" i="15"/>
  <c r="Y62" i="15"/>
  <c r="Y59" i="15"/>
  <c r="T109" i="14"/>
  <c r="O107" i="14"/>
  <c r="N73" i="14"/>
  <c r="R111" i="13"/>
  <c r="U110" i="13"/>
  <c r="L67" i="15"/>
  <c r="N109" i="14"/>
  <c r="I107" i="14"/>
  <c r="U72" i="14"/>
  <c r="L111" i="13"/>
  <c r="O110" i="13"/>
  <c r="S70" i="13"/>
  <c r="O67" i="15"/>
  <c r="R67" i="14"/>
  <c r="U87" i="14"/>
  <c r="M84" i="14"/>
  <c r="W64" i="14"/>
  <c r="S81" i="14"/>
  <c r="Y72" i="14"/>
  <c r="K91" i="13"/>
  <c r="T91" i="13"/>
  <c r="L68" i="15"/>
  <c r="M95" i="14"/>
  <c r="K77" i="14"/>
  <c r="Q66" i="16"/>
  <c r="X104" i="15"/>
  <c r="N87" i="17"/>
  <c r="U94" i="15"/>
  <c r="R67" i="16"/>
  <c r="W83" i="15"/>
  <c r="K80" i="17"/>
  <c r="X78" i="15"/>
  <c r="N76" i="17"/>
  <c r="P80" i="16"/>
  <c r="Y80" i="16"/>
  <c r="T68" i="16"/>
  <c r="O92" i="16"/>
  <c r="N94" i="15"/>
  <c r="L70" i="17"/>
  <c r="L73" i="17"/>
  <c r="T76" i="16"/>
  <c r="O59" i="17"/>
  <c r="V72" i="16"/>
  <c r="X98" i="16"/>
  <c r="T60" i="16"/>
  <c r="W101" i="16"/>
  <c r="V103" i="15"/>
  <c r="Y91" i="15"/>
  <c r="K91" i="15"/>
  <c r="V94" i="16"/>
  <c r="I63" i="16"/>
  <c r="X88" i="15"/>
  <c r="J88" i="16"/>
  <c r="Y81" i="16"/>
  <c r="K106" i="15"/>
  <c r="P112" i="16"/>
  <c r="W86" i="16"/>
  <c r="S59" i="16"/>
  <c r="R110" i="15"/>
  <c r="Y75" i="17"/>
  <c r="N105" i="16"/>
  <c r="T100" i="16"/>
  <c r="J66" i="16"/>
  <c r="Y95" i="15"/>
  <c r="T98" i="15"/>
  <c r="I59" i="15"/>
  <c r="W63" i="16"/>
  <c r="M89" i="15"/>
  <c r="N69" i="15"/>
  <c r="P64" i="17"/>
  <c r="J63" i="17"/>
  <c r="O86" i="16"/>
  <c r="N101" i="15"/>
  <c r="Y83" i="16"/>
  <c r="W82" i="15"/>
  <c r="T62" i="16"/>
  <c r="L76" i="15"/>
  <c r="R61" i="15"/>
  <c r="K83" i="16"/>
  <c r="V87" i="15"/>
  <c r="N111" i="16"/>
  <c r="Y79" i="15"/>
  <c r="O61" i="17"/>
  <c r="Q103" i="15"/>
  <c r="X81" i="15"/>
  <c r="V103" i="14"/>
  <c r="T79" i="16"/>
  <c r="M92" i="15"/>
  <c r="J77" i="15"/>
  <c r="S58" i="15"/>
  <c r="I103" i="14"/>
  <c r="V93" i="14"/>
  <c r="I84" i="14"/>
  <c r="Y58" i="14"/>
  <c r="N102" i="13"/>
  <c r="Y109" i="13"/>
  <c r="T102" i="14"/>
  <c r="P93" i="14"/>
  <c r="N83" i="14"/>
  <c r="L58" i="14"/>
  <c r="Y101" i="13"/>
  <c r="S109" i="13"/>
  <c r="V89" i="17"/>
  <c r="R98" i="16"/>
  <c r="U86" i="15"/>
  <c r="M79" i="16"/>
  <c r="L72" i="16"/>
  <c r="P105" i="15"/>
  <c r="U97" i="15"/>
  <c r="T79" i="15"/>
  <c r="I68" i="16"/>
  <c r="W92" i="15"/>
  <c r="T59" i="15"/>
  <c r="W111" i="14"/>
  <c r="J105" i="15"/>
  <c r="Q92" i="15"/>
  <c r="N88" i="16"/>
  <c r="X96" i="15"/>
  <c r="V72" i="15"/>
  <c r="L68" i="16"/>
  <c r="M83" i="15"/>
  <c r="L77" i="15"/>
  <c r="T101" i="14"/>
  <c r="Y65" i="16"/>
  <c r="P89" i="15"/>
  <c r="N79" i="15"/>
  <c r="X68" i="15"/>
  <c r="R100" i="14"/>
  <c r="T91" i="14"/>
  <c r="V79" i="14"/>
  <c r="Q75" i="14"/>
  <c r="L100" i="13"/>
  <c r="W107" i="13"/>
  <c r="W98" i="14"/>
  <c r="M58" i="17"/>
  <c r="I109" i="16"/>
  <c r="N92" i="15"/>
  <c r="J76" i="16"/>
  <c r="P67" i="16"/>
  <c r="N103" i="15"/>
  <c r="U111" i="15"/>
  <c r="S76" i="15"/>
  <c r="O79" i="16"/>
  <c r="O87" i="15"/>
  <c r="M76" i="15"/>
  <c r="U109" i="14"/>
  <c r="S95" i="15"/>
  <c r="L88" i="15"/>
  <c r="V97" i="16"/>
  <c r="J94" i="15"/>
  <c r="M69" i="15"/>
  <c r="T70" i="16"/>
  <c r="P78" i="15"/>
  <c r="O73" i="15"/>
  <c r="R98" i="14"/>
  <c r="T75" i="16"/>
  <c r="X84" i="15"/>
  <c r="P81" i="15"/>
  <c r="W59" i="15"/>
  <c r="U96" i="14"/>
  <c r="R89" i="14"/>
  <c r="R75" i="14"/>
  <c r="L65" i="14"/>
  <c r="J97" i="13"/>
  <c r="U105" i="13"/>
  <c r="O96" i="14"/>
  <c r="O108" i="15"/>
  <c r="X107" i="15"/>
  <c r="O87" i="16"/>
  <c r="I75" i="16"/>
  <c r="W111" i="15"/>
  <c r="N87" i="16"/>
  <c r="S64" i="15"/>
  <c r="W106" i="16"/>
  <c r="L84" i="15"/>
  <c r="P79" i="15"/>
  <c r="O95" i="14"/>
  <c r="N74" i="16"/>
  <c r="S90" i="15"/>
  <c r="J58" i="15"/>
  <c r="Y102" i="15"/>
  <c r="O91" i="15"/>
  <c r="V81" i="16"/>
  <c r="Y92" i="15"/>
  <c r="U77" i="15"/>
  <c r="M59" i="15"/>
  <c r="Y77" i="17"/>
  <c r="R103" i="15"/>
  <c r="I77" i="15"/>
  <c r="O61" i="15"/>
  <c r="Y93" i="14"/>
  <c r="Q87" i="14"/>
  <c r="L84" i="14"/>
  <c r="K60" i="14"/>
  <c r="O89" i="13"/>
  <c r="R88" i="13"/>
  <c r="S93" i="14"/>
  <c r="K87" i="14"/>
  <c r="T73" i="17"/>
  <c r="P92" i="16"/>
  <c r="L63" i="17"/>
  <c r="Y64" i="16"/>
  <c r="X80" i="16"/>
  <c r="J98" i="15"/>
  <c r="W94" i="15"/>
  <c r="Y67" i="15"/>
  <c r="O59" i="16"/>
  <c r="M88" i="15"/>
  <c r="Y75" i="15"/>
  <c r="Q105" i="14"/>
  <c r="M103" i="15"/>
  <c r="L89" i="15"/>
  <c r="U111" i="16"/>
  <c r="O107" i="15"/>
  <c r="N64" i="15"/>
  <c r="X75" i="16"/>
  <c r="S69" i="15"/>
  <c r="V64" i="15"/>
  <c r="N94" i="14"/>
  <c r="W83" i="16"/>
  <c r="R78" i="15"/>
  <c r="Y72" i="15"/>
  <c r="M60" i="15"/>
  <c r="V91" i="14"/>
  <c r="S110" i="14"/>
  <c r="Y67" i="14"/>
  <c r="O79" i="14"/>
  <c r="W92" i="13"/>
  <c r="Q101" i="13"/>
  <c r="P91" i="14"/>
  <c r="L63" i="16"/>
  <c r="X105" i="15"/>
  <c r="J101" i="16"/>
  <c r="R72" i="16"/>
  <c r="S87" i="15"/>
  <c r="K73" i="16"/>
  <c r="P87" i="15"/>
  <c r="L60" i="17"/>
  <c r="U101" i="15"/>
  <c r="T70" i="15"/>
  <c r="W104" i="14"/>
  <c r="R91" i="16"/>
  <c r="K77" i="15"/>
  <c r="Y69" i="15"/>
  <c r="Y100" i="15"/>
  <c r="R90" i="15"/>
  <c r="S109" i="16"/>
  <c r="T106" i="15"/>
  <c r="Y63" i="15"/>
  <c r="P59" i="15"/>
  <c r="U90" i="14"/>
  <c r="X95" i="15"/>
  <c r="M91" i="15"/>
  <c r="P72" i="15"/>
  <c r="T107" i="14"/>
  <c r="Y95" i="14"/>
  <c r="T93" i="14"/>
  <c r="M83" i="14"/>
  <c r="W97" i="13"/>
  <c r="I97" i="13"/>
  <c r="N107" i="14"/>
  <c r="S95" i="14"/>
  <c r="N93" i="14"/>
  <c r="W81" i="14"/>
  <c r="Q97" i="13"/>
  <c r="T96" i="13"/>
  <c r="T105" i="13"/>
  <c r="O62" i="15"/>
  <c r="S102" i="14"/>
  <c r="N100" i="14"/>
  <c r="X62" i="14"/>
  <c r="Q104" i="13"/>
  <c r="O111" i="14"/>
  <c r="Q76" i="14"/>
  <c r="L106" i="13"/>
  <c r="U73" i="13"/>
  <c r="M109" i="15"/>
  <c r="V67" i="17"/>
  <c r="N95" i="16"/>
  <c r="P109" i="17"/>
  <c r="Q81" i="17"/>
  <c r="I64" i="17"/>
  <c r="T96" i="16"/>
  <c r="T83" i="17"/>
  <c r="W100" i="16"/>
  <c r="X112" i="15"/>
  <c r="R108" i="16"/>
  <c r="Q110" i="15"/>
  <c r="M78" i="16"/>
  <c r="I110" i="15"/>
  <c r="L100" i="16"/>
  <c r="J97" i="16"/>
  <c r="V90" i="15"/>
  <c r="W92" i="16"/>
  <c r="T88" i="15"/>
  <c r="V92" i="16"/>
  <c r="N65" i="16"/>
  <c r="U87" i="16"/>
  <c r="Q98" i="15"/>
  <c r="K89" i="15"/>
  <c r="R100" i="15"/>
  <c r="Y78" i="16"/>
  <c r="O102" i="15"/>
  <c r="U77" i="17"/>
  <c r="O74" i="16"/>
  <c r="U59" i="16"/>
  <c r="V75" i="17"/>
  <c r="I112" i="16"/>
  <c r="I64" i="16"/>
  <c r="Y87" i="15"/>
  <c r="K83" i="15"/>
  <c r="O72" i="17"/>
  <c r="S91" i="16"/>
  <c r="I72" i="16"/>
  <c r="W67" i="16"/>
  <c r="I102" i="16"/>
  <c r="M98" i="15"/>
  <c r="M72" i="15"/>
  <c r="T96" i="15"/>
  <c r="M82" i="15"/>
  <c r="L66" i="15"/>
  <c r="M90" i="16"/>
  <c r="U90" i="16"/>
  <c r="R74" i="16"/>
  <c r="Q84" i="15"/>
  <c r="N109" i="15"/>
  <c r="M63" i="15"/>
  <c r="T110" i="15"/>
  <c r="T58" i="15"/>
  <c r="U102" i="14"/>
  <c r="V97" i="15"/>
  <c r="S89" i="15"/>
  <c r="O101" i="16"/>
  <c r="N84" i="15"/>
  <c r="X95" i="16"/>
  <c r="Y88" i="15"/>
  <c r="S59" i="15"/>
  <c r="J90" i="14"/>
  <c r="K74" i="16"/>
  <c r="L72" i="15"/>
  <c r="P64" i="15"/>
  <c r="V109" i="14"/>
  <c r="L87" i="14"/>
  <c r="O106" i="14"/>
  <c r="R81" i="14"/>
  <c r="V61" i="14"/>
  <c r="S88" i="13"/>
  <c r="M96" i="13"/>
  <c r="W86" i="14"/>
  <c r="I106" i="14"/>
  <c r="W80" i="14"/>
  <c r="Y60" i="14"/>
  <c r="M88" i="13"/>
  <c r="X95" i="13"/>
  <c r="P111" i="16"/>
  <c r="R103" i="16"/>
  <c r="X111" i="16"/>
  <c r="J78" i="16"/>
  <c r="R60" i="16"/>
  <c r="Y109" i="15"/>
  <c r="I106" i="15"/>
  <c r="K61" i="15"/>
  <c r="L105" i="15"/>
  <c r="T89" i="15"/>
  <c r="W76" i="15"/>
  <c r="L83" i="17"/>
  <c r="N111" i="15"/>
  <c r="Y84" i="15"/>
  <c r="S97" i="16"/>
  <c r="Q96" i="15"/>
  <c r="O83" i="15"/>
  <c r="K84" i="15"/>
  <c r="U84" i="15"/>
  <c r="O76" i="15"/>
  <c r="Y87" i="14"/>
  <c r="J59" i="16"/>
  <c r="O68" i="15"/>
  <c r="X61" i="15"/>
  <c r="U62" i="15"/>
  <c r="J84" i="14"/>
  <c r="M104" i="14"/>
  <c r="N77" i="14"/>
  <c r="U74" i="14"/>
  <c r="Q86" i="13"/>
  <c r="L60" i="15"/>
  <c r="U83" i="14"/>
  <c r="X94" i="16"/>
  <c r="W89" i="16"/>
  <c r="T107" i="16"/>
  <c r="Q103" i="16"/>
  <c r="N100" i="16"/>
  <c r="W107" i="15"/>
  <c r="W102" i="15"/>
  <c r="X80" i="15"/>
  <c r="Q91" i="15"/>
  <c r="I86" i="15"/>
  <c r="L70" i="15"/>
  <c r="K75" i="17"/>
  <c r="K108" i="15"/>
  <c r="V81" i="15"/>
  <c r="X83" i="16"/>
  <c r="T93" i="15"/>
  <c r="T78" i="15"/>
  <c r="M107" i="15"/>
  <c r="O90" i="15"/>
  <c r="L64" i="15"/>
  <c r="W84" i="14"/>
  <c r="M61" i="16"/>
  <c r="I93" i="15"/>
  <c r="N59" i="15"/>
  <c r="N65" i="15"/>
  <c r="Y81" i="14"/>
  <c r="K102" i="14"/>
  <c r="P73" i="14"/>
  <c r="O69" i="14"/>
  <c r="O83" i="13"/>
  <c r="I63" i="15"/>
  <c r="P95" i="15"/>
  <c r="Q86" i="17"/>
  <c r="O88" i="15"/>
  <c r="P68" i="16"/>
  <c r="W68" i="16"/>
  <c r="I96" i="15"/>
  <c r="N107" i="15"/>
  <c r="M90" i="15"/>
  <c r="S69" i="16"/>
  <c r="O86" i="15"/>
  <c r="U69" i="15"/>
  <c r="T81" i="14"/>
  <c r="J103" i="15"/>
  <c r="S91" i="15"/>
  <c r="N72" i="17"/>
  <c r="S110" i="15"/>
  <c r="O84" i="15"/>
  <c r="V76" i="16"/>
  <c r="X72" i="15"/>
  <c r="X64" i="15"/>
  <c r="K110" i="14"/>
  <c r="V93" i="16"/>
  <c r="K103" i="15"/>
  <c r="Q61" i="15"/>
  <c r="V73" i="15"/>
  <c r="R112" i="14"/>
  <c r="K101" i="14"/>
  <c r="Q70" i="14"/>
  <c r="S84" i="14"/>
  <c r="T108" i="13"/>
  <c r="W74" i="13"/>
  <c r="L112" i="14"/>
  <c r="V100" i="14"/>
  <c r="U92" i="16"/>
  <c r="W96" i="16"/>
  <c r="M80" i="16"/>
  <c r="O84" i="16"/>
  <c r="T72" i="16"/>
  <c r="O69" i="18"/>
  <c r="Y111" i="15"/>
  <c r="O78" i="15"/>
  <c r="X100" i="15"/>
  <c r="P86" i="15"/>
  <c r="U58" i="15"/>
  <c r="P75" i="17"/>
  <c r="V101" i="15"/>
  <c r="V75" i="15"/>
  <c r="X81" i="16"/>
  <c r="N87" i="15"/>
  <c r="Y82" i="15"/>
  <c r="W100" i="15"/>
  <c r="X90" i="15"/>
  <c r="Q72" i="15"/>
  <c r="S80" i="14"/>
  <c r="Q64" i="16"/>
  <c r="L82" i="15"/>
  <c r="Q76" i="15"/>
  <c r="T61" i="15"/>
  <c r="U77" i="14"/>
  <c r="X96" i="14"/>
  <c r="J66" i="14"/>
  <c r="P62" i="14"/>
  <c r="K79" i="13"/>
  <c r="K59" i="15"/>
  <c r="O77" i="14"/>
  <c r="Y80" i="15"/>
  <c r="W101" i="15"/>
  <c r="K82" i="16"/>
  <c r="P66" i="16"/>
  <c r="S107" i="15"/>
  <c r="N60" i="16"/>
  <c r="Y94" i="13"/>
  <c r="W107" i="16"/>
  <c r="I112" i="15"/>
  <c r="K67" i="16"/>
  <c r="R106" i="14"/>
  <c r="Q109" i="14"/>
  <c r="N62" i="17"/>
  <c r="W88" i="15"/>
  <c r="O70" i="15"/>
  <c r="J80" i="15"/>
  <c r="P92" i="15"/>
  <c r="K82" i="15"/>
  <c r="L96" i="15"/>
  <c r="S87" i="14"/>
  <c r="P74" i="14"/>
  <c r="M87" i="14"/>
  <c r="O73" i="14"/>
  <c r="Y91" i="13"/>
  <c r="S86" i="14"/>
  <c r="M110" i="14"/>
  <c r="N98" i="13"/>
  <c r="Y90" i="14"/>
  <c r="P80" i="14"/>
  <c r="N81" i="13"/>
  <c r="I82" i="14"/>
  <c r="P106" i="14"/>
  <c r="V76" i="14"/>
  <c r="U64" i="14"/>
  <c r="Y80" i="13"/>
  <c r="T76" i="15"/>
  <c r="M108" i="14"/>
  <c r="Y105" i="14"/>
  <c r="L70" i="14"/>
  <c r="K110" i="13"/>
  <c r="Y74" i="15"/>
  <c r="K112" i="14"/>
  <c r="W109" i="14"/>
  <c r="X77" i="14"/>
  <c r="K74" i="14"/>
  <c r="V65" i="13"/>
  <c r="P74" i="13"/>
  <c r="N96" i="13"/>
  <c r="O107" i="13"/>
  <c r="W67" i="13"/>
  <c r="Y101" i="12"/>
  <c r="Q67" i="12"/>
  <c r="V81" i="12"/>
  <c r="L64" i="12"/>
  <c r="I80" i="13"/>
  <c r="J70" i="13"/>
  <c r="V70" i="12"/>
  <c r="J86" i="12"/>
  <c r="O100" i="12"/>
  <c r="P64" i="12"/>
  <c r="W78" i="11"/>
  <c r="R96" i="13"/>
  <c r="K70" i="13"/>
  <c r="I82" i="12"/>
  <c r="I105" i="14"/>
  <c r="O65" i="14"/>
  <c r="W98" i="13"/>
  <c r="O66" i="13"/>
  <c r="P103" i="14"/>
  <c r="T104" i="14"/>
  <c r="J70" i="14"/>
  <c r="M59" i="14"/>
  <c r="M77" i="15"/>
  <c r="N69" i="14"/>
  <c r="Q89" i="14"/>
  <c r="P58" i="14"/>
  <c r="X61" i="14"/>
  <c r="U70" i="13"/>
  <c r="M101" i="14"/>
  <c r="O92" i="14"/>
  <c r="L81" i="14"/>
  <c r="U79" i="14"/>
  <c r="X100" i="13"/>
  <c r="X106" i="14"/>
  <c r="M96" i="14"/>
  <c r="S66" i="14"/>
  <c r="R64" i="14"/>
  <c r="V104" i="13"/>
  <c r="P112" i="13"/>
  <c r="Y78" i="13"/>
  <c r="N111" i="13"/>
  <c r="R66" i="13"/>
  <c r="L92" i="12"/>
  <c r="Q106" i="12"/>
  <c r="I73" i="12"/>
  <c r="M86" i="12"/>
  <c r="S90" i="13"/>
  <c r="T75" i="13"/>
  <c r="V109" i="12"/>
  <c r="N76" i="12"/>
  <c r="S90" i="12"/>
  <c r="W103" i="12"/>
  <c r="T100" i="14"/>
  <c r="Q64" i="14"/>
  <c r="I104" i="13"/>
  <c r="K76" i="13"/>
  <c r="J91" i="14"/>
  <c r="J94" i="14"/>
  <c r="J68" i="14"/>
  <c r="X92" i="13"/>
  <c r="U95" i="14"/>
  <c r="R88" i="14"/>
  <c r="M86" i="14"/>
  <c r="U61" i="14"/>
  <c r="P90" i="13"/>
  <c r="J75" i="15"/>
  <c r="Y68" i="14"/>
  <c r="K89" i="14"/>
  <c r="J58" i="14"/>
  <c r="N60" i="14"/>
  <c r="M62" i="15"/>
  <c r="W73" i="14"/>
  <c r="I93" i="14"/>
  <c r="Y61" i="14"/>
  <c r="X63" i="14"/>
  <c r="M75" i="13"/>
  <c r="X82" i="13"/>
  <c r="Q73" i="13"/>
  <c r="I67" i="13"/>
  <c r="O75" i="13"/>
  <c r="P110" i="12"/>
  <c r="Y76" i="12"/>
  <c r="M91" i="12"/>
  <c r="R65" i="12"/>
  <c r="U93" i="13"/>
  <c r="L65" i="13"/>
  <c r="M80" i="12"/>
  <c r="R94" i="12"/>
  <c r="W108" i="12"/>
  <c r="O75" i="14"/>
  <c r="J65" i="14"/>
  <c r="U78" i="13"/>
  <c r="M74" i="13"/>
  <c r="V72" i="14"/>
  <c r="P102" i="14"/>
  <c r="J59" i="14"/>
  <c r="W105" i="13"/>
  <c r="K111" i="14"/>
  <c r="J100" i="14"/>
  <c r="P69" i="14"/>
  <c r="M78" i="14"/>
  <c r="S107" i="13"/>
  <c r="Y58" i="15"/>
  <c r="X101" i="14"/>
  <c r="S98" i="14"/>
  <c r="L62" i="14"/>
  <c r="V103" i="13"/>
  <c r="U63" i="15"/>
  <c r="V105" i="14"/>
  <c r="Q103" i="14"/>
  <c r="P66" i="14"/>
  <c r="T107" i="13"/>
  <c r="W106" i="13"/>
  <c r="J67" i="13"/>
  <c r="S82" i="13"/>
  <c r="S73" i="13"/>
  <c r="V70" i="13"/>
  <c r="S94" i="12"/>
  <c r="X108" i="12"/>
  <c r="P75" i="12"/>
  <c r="P78" i="13"/>
  <c r="W69" i="13"/>
  <c r="L58" i="13"/>
  <c r="L112" i="12"/>
  <c r="U78" i="12"/>
  <c r="I93" i="12"/>
  <c r="J58" i="12"/>
  <c r="N91" i="14"/>
  <c r="I59" i="14"/>
  <c r="Q92" i="13"/>
  <c r="V107" i="13"/>
  <c r="U89" i="14"/>
  <c r="L95" i="14"/>
  <c r="K80" i="14"/>
  <c r="Q63" i="14"/>
  <c r="Q64" i="15"/>
  <c r="U110" i="14"/>
  <c r="P108" i="14"/>
  <c r="J75" i="14"/>
  <c r="S112" i="13"/>
  <c r="V111" i="13"/>
  <c r="Q92" i="14"/>
  <c r="N111" i="14"/>
  <c r="I69" i="14"/>
  <c r="S83" i="14"/>
  <c r="R93" i="13"/>
  <c r="P97" i="14"/>
  <c r="X89" i="14"/>
  <c r="M76" i="14"/>
  <c r="R66" i="14"/>
  <c r="P97" i="13"/>
  <c r="J106" i="13"/>
  <c r="S72" i="13"/>
  <c r="V101" i="13"/>
  <c r="Q96" i="13"/>
  <c r="W84" i="12"/>
  <c r="K100" i="12"/>
  <c r="T65" i="12"/>
  <c r="X78" i="12"/>
  <c r="U79" i="13"/>
  <c r="Y62" i="13"/>
  <c r="P103" i="12"/>
  <c r="Y68" i="12"/>
  <c r="M83" i="12"/>
  <c r="Q96" i="12"/>
  <c r="S76" i="14"/>
  <c r="M93" i="13"/>
  <c r="V93" i="13"/>
  <c r="W58" i="15"/>
  <c r="O97" i="14"/>
  <c r="M79" i="14"/>
  <c r="Y83" i="14"/>
  <c r="V84" i="13"/>
  <c r="M88" i="14"/>
  <c r="P107" i="14"/>
  <c r="T83" i="14"/>
  <c r="K64" i="14"/>
  <c r="T89" i="13"/>
  <c r="T88" i="14"/>
  <c r="N110" i="14"/>
  <c r="T80" i="14"/>
  <c r="M77" i="14"/>
  <c r="W84" i="13"/>
  <c r="T94" i="14"/>
  <c r="W87" i="14"/>
  <c r="R84" i="14"/>
  <c r="T60" i="14"/>
  <c r="U89" i="13"/>
  <c r="X88" i="13"/>
  <c r="X96" i="13"/>
  <c r="Y90" i="13"/>
  <c r="U76" i="13"/>
  <c r="K110" i="12"/>
  <c r="T76" i="12"/>
  <c r="Y90" i="12"/>
  <c r="L104" i="12"/>
  <c r="M82" i="13"/>
  <c r="R72" i="13"/>
  <c r="M67" i="13"/>
  <c r="M94" i="12"/>
  <c r="R108" i="12"/>
  <c r="J75" i="12"/>
  <c r="W64" i="12"/>
  <c r="J105" i="13"/>
  <c r="Q78" i="13"/>
  <c r="R78" i="13"/>
  <c r="Q105" i="12"/>
  <c r="I72" i="12"/>
  <c r="N86" i="12"/>
  <c r="N76" i="13"/>
  <c r="P68" i="13"/>
  <c r="S103" i="13"/>
  <c r="Q80" i="16"/>
  <c r="X62" i="15"/>
  <c r="M66" i="15"/>
  <c r="I82" i="15"/>
  <c r="L77" i="14"/>
  <c r="W86" i="15"/>
  <c r="I87" i="15"/>
  <c r="P75" i="15"/>
  <c r="P91" i="15"/>
  <c r="I78" i="15"/>
  <c r="V59" i="15"/>
  <c r="V95" i="15"/>
  <c r="L106" i="14"/>
  <c r="V63" i="14"/>
  <c r="W105" i="14"/>
  <c r="Y62" i="14"/>
  <c r="M78" i="13"/>
  <c r="X72" i="14"/>
  <c r="K109" i="14"/>
  <c r="Q82" i="13"/>
  <c r="N98" i="14"/>
  <c r="M65" i="14"/>
  <c r="Q98" i="13"/>
  <c r="S101" i="14"/>
  <c r="U92" i="14"/>
  <c r="X81" i="14"/>
  <c r="L82" i="14"/>
  <c r="M101" i="13"/>
  <c r="R105" i="14"/>
  <c r="R94" i="14"/>
  <c r="M92" i="14"/>
  <c r="S77" i="14"/>
  <c r="P96" i="13"/>
  <c r="S112" i="14"/>
  <c r="P98" i="14"/>
  <c r="K96" i="14"/>
  <c r="U59" i="14"/>
  <c r="N101" i="13"/>
  <c r="Q100" i="13"/>
  <c r="Q108" i="13"/>
  <c r="O111" i="13"/>
  <c r="N62" i="13"/>
  <c r="L64" i="13"/>
  <c r="M88" i="12"/>
  <c r="R102" i="12"/>
  <c r="J68" i="12"/>
  <c r="V105" i="13"/>
  <c r="R79" i="13"/>
  <c r="S86" i="13"/>
  <c r="W105" i="12"/>
  <c r="O72" i="12"/>
  <c r="T86" i="12"/>
  <c r="U60" i="12"/>
  <c r="X112" i="11"/>
  <c r="Q76" i="13"/>
  <c r="Y63" i="13"/>
  <c r="N68" i="12"/>
  <c r="X103" i="14"/>
  <c r="S59" i="14"/>
  <c r="X80" i="13"/>
  <c r="L96" i="13"/>
  <c r="L79" i="14"/>
  <c r="I112" i="14"/>
  <c r="K65" i="14"/>
  <c r="W110" i="13"/>
  <c r="I58" i="15"/>
  <c r="O104" i="14"/>
  <c r="J102" i="14"/>
  <c r="T64" i="14"/>
  <c r="M106" i="13"/>
  <c r="P105" i="13"/>
  <c r="V84" i="14"/>
  <c r="Y104" i="14"/>
  <c r="U78" i="14"/>
  <c r="S58" i="14"/>
  <c r="L87" i="13"/>
  <c r="T89" i="14"/>
  <c r="W108" i="14"/>
  <c r="J87" i="14"/>
  <c r="X68" i="14"/>
  <c r="J91" i="13"/>
  <c r="U98" i="13"/>
  <c r="T112" i="13"/>
  <c r="M91" i="13"/>
  <c r="Q62" i="13"/>
  <c r="Q78" i="12"/>
  <c r="V92" i="12"/>
  <c r="J107" i="12"/>
  <c r="R72" i="12"/>
  <c r="R69" i="13"/>
  <c r="O94" i="13"/>
  <c r="J96" i="12"/>
  <c r="O110" i="12"/>
  <c r="X76" i="12"/>
  <c r="K90" i="12"/>
  <c r="U81" i="14"/>
  <c r="W60" i="14"/>
  <c r="J86" i="13"/>
  <c r="I81" i="13"/>
  <c r="X74" i="14"/>
  <c r="R104" i="14"/>
  <c r="Q65" i="14"/>
  <c r="Y107" i="13"/>
  <c r="T75" i="14"/>
  <c r="L102" i="14"/>
  <c r="R72" i="14"/>
  <c r="O58" i="14"/>
  <c r="U109" i="13"/>
  <c r="R75" i="15"/>
  <c r="I104" i="14"/>
  <c r="U101" i="14"/>
  <c r="N64" i="14"/>
  <c r="X105" i="13"/>
  <c r="S75" i="15"/>
  <c r="X107" i="14"/>
  <c r="S105" i="14"/>
  <c r="S69" i="14"/>
  <c r="V109" i="13"/>
  <c r="Y108" i="13"/>
  <c r="L69" i="13"/>
  <c r="W87" i="13"/>
  <c r="Y79" i="13"/>
  <c r="R84" i="13"/>
  <c r="U96" i="12"/>
  <c r="I111" i="12"/>
  <c r="R77" i="12"/>
  <c r="Y59" i="12"/>
  <c r="T73" i="13"/>
  <c r="O61" i="13"/>
  <c r="R66" i="12"/>
  <c r="W80" i="12"/>
  <c r="K95" i="12"/>
  <c r="S70" i="14"/>
  <c r="U102" i="13"/>
  <c r="M103" i="13"/>
  <c r="P58" i="15"/>
  <c r="U104" i="14"/>
  <c r="Q83" i="14"/>
  <c r="N68" i="14"/>
  <c r="I90" i="13"/>
  <c r="L93" i="14"/>
  <c r="T111" i="14"/>
  <c r="R69" i="14"/>
  <c r="K58" i="14"/>
  <c r="X93" i="13"/>
  <c r="I95" i="14"/>
  <c r="L88" i="14"/>
  <c r="X84" i="14"/>
  <c r="L61" i="14"/>
  <c r="J90" i="13"/>
  <c r="I102" i="14"/>
  <c r="J92" i="14"/>
  <c r="V89" i="14"/>
  <c r="P68" i="14"/>
  <c r="Y93" i="13"/>
  <c r="K93" i="13"/>
  <c r="K102" i="13"/>
  <c r="T97" i="13"/>
  <c r="T100" i="13"/>
  <c r="R68" i="13"/>
  <c r="X80" i="12"/>
  <c r="L95" i="12"/>
  <c r="P108" i="12"/>
  <c r="U91" i="13"/>
  <c r="R91" i="13"/>
  <c r="Y64" i="13"/>
  <c r="Q98" i="12"/>
  <c r="V112" i="12"/>
  <c r="N79" i="12"/>
  <c r="U61" i="12"/>
  <c r="L90" i="14"/>
  <c r="P59" i="14"/>
  <c r="N69" i="13"/>
  <c r="U87" i="13"/>
  <c r="K105" i="14"/>
  <c r="T105" i="14"/>
  <c r="V58" i="14"/>
  <c r="O102" i="13"/>
  <c r="P109" i="14"/>
  <c r="I97" i="14"/>
  <c r="U94" i="14"/>
  <c r="N58" i="14"/>
  <c r="X98" i="13"/>
  <c r="V67" i="15"/>
  <c r="P78" i="14"/>
  <c r="S97" i="14"/>
  <c r="K67" i="14"/>
  <c r="U65" i="14"/>
  <c r="K69" i="15"/>
  <c r="N82" i="14"/>
  <c r="Q102" i="14"/>
  <c r="I74" i="14"/>
  <c r="R73" i="14"/>
  <c r="U83" i="13"/>
  <c r="O92" i="13"/>
  <c r="O76" i="13"/>
  <c r="U80" i="13"/>
  <c r="W72" i="13"/>
  <c r="K72" i="12"/>
  <c r="P86" i="12"/>
  <c r="U100" i="12"/>
  <c r="V64" i="12"/>
  <c r="P107" i="13"/>
  <c r="L62" i="13"/>
  <c r="U89" i="12"/>
  <c r="I104" i="12"/>
  <c r="R69" i="12"/>
  <c r="M89" i="14"/>
  <c r="U80" i="14"/>
  <c r="N108" i="13"/>
  <c r="W75" i="13"/>
  <c r="Q110" i="14"/>
  <c r="X108" i="14"/>
  <c r="S82" i="14"/>
  <c r="Q58" i="14"/>
  <c r="K64" i="15"/>
  <c r="R74" i="14"/>
  <c r="U93" i="14"/>
  <c r="T62" i="14"/>
  <c r="T68" i="14"/>
  <c r="Y75" i="13"/>
  <c r="M107" i="14"/>
  <c r="S96" i="14"/>
  <c r="Y66" i="14"/>
  <c r="N65" i="14"/>
  <c r="K105" i="13"/>
  <c r="S74" i="14"/>
  <c r="Q101" i="14"/>
  <c r="W70" i="14"/>
  <c r="N86" i="14"/>
  <c r="I109" i="13"/>
  <c r="L75" i="13"/>
  <c r="L83" i="13"/>
  <c r="X69" i="13"/>
  <c r="S98" i="13"/>
  <c r="O112" i="14"/>
  <c r="N109" i="16"/>
  <c r="P87" i="16"/>
  <c r="M110" i="15"/>
  <c r="R74" i="15"/>
  <c r="W112" i="13"/>
  <c r="W90" i="16"/>
  <c r="M105" i="16"/>
  <c r="P77" i="14"/>
  <c r="S67" i="17"/>
  <c r="V63" i="16"/>
  <c r="X105" i="14"/>
  <c r="W81" i="15"/>
  <c r="X95" i="14"/>
  <c r="P104" i="13"/>
  <c r="R95" i="14"/>
  <c r="J104" i="13"/>
  <c r="I76" i="14"/>
  <c r="X58" i="14"/>
  <c r="X69" i="14"/>
  <c r="O82" i="14"/>
  <c r="O78" i="14"/>
  <c r="I73" i="14"/>
  <c r="S77" i="15"/>
  <c r="P72" i="14"/>
  <c r="S91" i="14"/>
  <c r="R60" i="14"/>
  <c r="X83" i="14"/>
  <c r="W73" i="13"/>
  <c r="J104" i="14"/>
  <c r="Q94" i="14"/>
  <c r="P86" i="14"/>
  <c r="S60" i="14"/>
  <c r="I103" i="13"/>
  <c r="J110" i="14"/>
  <c r="O98" i="14"/>
  <c r="U68" i="14"/>
  <c r="J74" i="14"/>
  <c r="X106" i="13"/>
  <c r="J73" i="13"/>
  <c r="J81" i="13"/>
  <c r="U66" i="13"/>
  <c r="J76" i="13"/>
  <c r="N94" i="12"/>
  <c r="S108" i="12"/>
  <c r="K75" i="12"/>
  <c r="O88" i="12"/>
  <c r="P93" i="13"/>
  <c r="W83" i="13"/>
  <c r="X111" i="12"/>
  <c r="P78" i="12"/>
  <c r="U92" i="12"/>
  <c r="Y105" i="12"/>
  <c r="V60" i="12"/>
  <c r="P73" i="13"/>
  <c r="U63" i="13"/>
  <c r="Q83" i="13"/>
  <c r="T89" i="12"/>
  <c r="W83" i="14"/>
  <c r="W76" i="14"/>
  <c r="L88" i="13"/>
  <c r="U94" i="13"/>
  <c r="I77" i="14"/>
  <c r="T106" i="14"/>
  <c r="S72" i="14"/>
  <c r="L112" i="13"/>
  <c r="W78" i="14"/>
  <c r="N104" i="14"/>
  <c r="T74" i="14"/>
  <c r="R61" i="14"/>
  <c r="W111" i="13"/>
  <c r="O64" i="15"/>
  <c r="K106" i="14"/>
  <c r="W103" i="14"/>
  <c r="I67" i="14"/>
  <c r="I108" i="13"/>
  <c r="Q62" i="15"/>
  <c r="I110" i="14"/>
  <c r="U107" i="14"/>
  <c r="V73" i="14"/>
  <c r="X111" i="13"/>
  <c r="J111" i="13"/>
  <c r="N72" i="13"/>
  <c r="J92" i="13"/>
  <c r="T93" i="13"/>
  <c r="N67" i="13"/>
  <c r="W98" i="12"/>
  <c r="O65" i="12"/>
  <c r="T79" i="12"/>
  <c r="J62" i="12"/>
  <c r="L77" i="13"/>
  <c r="R64" i="13"/>
  <c r="T68" i="12"/>
  <c r="Y82" i="12"/>
  <c r="M97" i="12"/>
  <c r="P111" i="14"/>
  <c r="S65" i="14"/>
  <c r="X86" i="13"/>
  <c r="P87" i="13"/>
  <c r="Y68" i="15"/>
  <c r="I91" i="14"/>
  <c r="V69" i="14"/>
  <c r="K75" i="14"/>
  <c r="N61" i="15"/>
  <c r="X80" i="14"/>
  <c r="J101" i="14"/>
  <c r="X70" i="14"/>
  <c r="U62" i="14"/>
  <c r="N82" i="13"/>
  <c r="K78" i="14"/>
  <c r="Y103" i="14"/>
  <c r="N74" i="14"/>
  <c r="I61" i="14"/>
  <c r="Q111" i="13"/>
  <c r="K84" i="14"/>
  <c r="W107" i="14"/>
  <c r="L78" i="14"/>
  <c r="K68" i="14"/>
  <c r="O82" i="13"/>
  <c r="R81" i="13"/>
  <c r="R90" i="13"/>
  <c r="P80" i="13"/>
  <c r="N63" i="13"/>
  <c r="V103" i="12"/>
  <c r="N69" i="12"/>
  <c r="S83" i="12"/>
  <c r="W96" i="12"/>
  <c r="I111" i="13"/>
  <c r="Y61" i="13"/>
  <c r="U62" i="13"/>
  <c r="X87" i="12"/>
  <c r="L102" i="12"/>
  <c r="T97" i="14"/>
  <c r="K61" i="14"/>
  <c r="S94" i="13"/>
  <c r="X109" i="13"/>
  <c r="X92" i="14"/>
  <c r="N97" i="14"/>
  <c r="O84" i="14"/>
  <c r="L59" i="14"/>
  <c r="K79" i="15"/>
  <c r="W112" i="14"/>
  <c r="R110" i="14"/>
  <c r="N79" i="14"/>
  <c r="R82" i="14"/>
  <c r="Q66" i="13"/>
  <c r="N95" i="14"/>
  <c r="K88" i="14"/>
  <c r="L73" i="14"/>
  <c r="I62" i="14"/>
  <c r="T95" i="13"/>
  <c r="X100" i="14"/>
  <c r="I92" i="14"/>
  <c r="Q80" i="14"/>
  <c r="Y77" i="14"/>
  <c r="R100" i="13"/>
  <c r="L108" i="13"/>
  <c r="U74" i="13"/>
  <c r="Y104" i="13"/>
  <c r="S59" i="13"/>
  <c r="Y87" i="12"/>
  <c r="M102" i="12"/>
  <c r="V67" i="12"/>
  <c r="I81" i="12"/>
  <c r="M83" i="13"/>
  <c r="J65" i="13"/>
  <c r="R105" i="12"/>
  <c r="J72" i="12"/>
  <c r="O86" i="12"/>
  <c r="S98" i="12"/>
  <c r="S112" i="11"/>
  <c r="M73" i="14"/>
  <c r="P70" i="14"/>
  <c r="S76" i="13"/>
  <c r="Y105" i="13"/>
  <c r="T69" i="14"/>
  <c r="L97" i="14"/>
  <c r="J80" i="14"/>
  <c r="U103" i="13"/>
  <c r="Y107" i="14"/>
  <c r="Y96" i="14"/>
  <c r="N67" i="14"/>
  <c r="U66" i="14"/>
  <c r="Q105" i="13"/>
  <c r="Y112" i="14"/>
  <c r="V98" i="14"/>
  <c r="Q96" i="14"/>
  <c r="J60" i="14"/>
  <c r="T101" i="13"/>
  <c r="U73" i="15"/>
  <c r="T103" i="14"/>
  <c r="O101" i="14"/>
  <c r="Y63" i="14"/>
  <c r="R105" i="13"/>
  <c r="U104" i="13"/>
  <c r="U112" i="13"/>
  <c r="O78" i="13"/>
  <c r="T67" i="13"/>
  <c r="Q58" i="13"/>
  <c r="Q92" i="12"/>
  <c r="V106" i="12"/>
  <c r="N73" i="12"/>
  <c r="J72" i="13"/>
  <c r="N66" i="13"/>
  <c r="N70" i="13"/>
  <c r="J110" i="12"/>
  <c r="S76" i="12"/>
  <c r="X90" i="12"/>
  <c r="J88" i="14"/>
  <c r="Q82" i="14"/>
  <c r="L67" i="13"/>
  <c r="S84" i="13"/>
  <c r="Y101" i="14"/>
  <c r="R103" i="14"/>
  <c r="I80" i="14"/>
  <c r="M100" i="13"/>
  <c r="M106" i="14"/>
  <c r="X94" i="14"/>
  <c r="S92" i="14"/>
  <c r="I79" i="14"/>
  <c r="V96" i="13"/>
  <c r="O74" i="15"/>
  <c r="N76" i="14"/>
  <c r="Q95" i="14"/>
  <c r="P64" i="14"/>
  <c r="M67" i="14"/>
  <c r="I60" i="15"/>
  <c r="L80" i="14"/>
  <c r="O100" i="14"/>
  <c r="W69" i="14"/>
  <c r="R59" i="14"/>
  <c r="S81" i="13"/>
  <c r="M90" i="13"/>
  <c r="L110" i="13"/>
  <c r="R77" i="13"/>
  <c r="I65" i="13"/>
  <c r="I69" i="12"/>
  <c r="N83" i="12"/>
  <c r="S97" i="12"/>
  <c r="T62" i="12"/>
  <c r="S104" i="13"/>
  <c r="I59" i="13"/>
  <c r="S87" i="12"/>
  <c r="X101" i="12"/>
  <c r="P67" i="12"/>
  <c r="T80" i="12"/>
  <c r="T94" i="11"/>
  <c r="I73" i="13"/>
  <c r="O58" i="13"/>
  <c r="W97" i="12"/>
  <c r="K112" i="12"/>
  <c r="T78" i="12"/>
  <c r="X91" i="12"/>
  <c r="W81" i="13"/>
  <c r="O64" i="13"/>
  <c r="Q86" i="16"/>
  <c r="U88" i="15"/>
  <c r="O101" i="15"/>
  <c r="X83" i="15"/>
  <c r="I72" i="15"/>
  <c r="I69" i="15"/>
  <c r="V111" i="15"/>
  <c r="W77" i="15"/>
  <c r="T84" i="16"/>
  <c r="R108" i="15"/>
  <c r="S86" i="15"/>
  <c r="W78" i="16"/>
  <c r="I73" i="15"/>
  <c r="Y79" i="14"/>
  <c r="N83" i="13"/>
  <c r="S79" i="14"/>
  <c r="Y82" i="13"/>
  <c r="X88" i="14"/>
  <c r="V90" i="13"/>
  <c r="I83" i="13"/>
  <c r="Q98" i="14"/>
  <c r="L68" i="14"/>
  <c r="Y112" i="13"/>
  <c r="J66" i="15"/>
  <c r="Q106" i="14"/>
  <c r="L104" i="14"/>
  <c r="Q67" i="14"/>
  <c r="O108" i="13"/>
  <c r="R107" i="13"/>
  <c r="X87" i="14"/>
  <c r="J107" i="14"/>
  <c r="Y82" i="14"/>
  <c r="P63" i="14"/>
  <c r="N89" i="13"/>
  <c r="K92" i="14"/>
  <c r="Y110" i="14"/>
  <c r="Q68" i="14"/>
  <c r="K81" i="14"/>
  <c r="L93" i="13"/>
  <c r="W101" i="13"/>
  <c r="O67" i="13"/>
  <c r="P94" i="13"/>
  <c r="X65" i="13"/>
  <c r="S80" i="12"/>
  <c r="X94" i="12"/>
  <c r="L109" i="12"/>
  <c r="T74" i="12"/>
  <c r="O73" i="13"/>
  <c r="U58" i="13"/>
  <c r="L98" i="12"/>
  <c r="Q112" i="12"/>
  <c r="I79" i="12"/>
  <c r="M92" i="12"/>
  <c r="M106" i="11"/>
  <c r="X89" i="13"/>
  <c r="S74" i="13"/>
  <c r="P109" i="12"/>
  <c r="Y75" i="12"/>
  <c r="J79" i="14"/>
  <c r="Y106" i="13"/>
  <c r="Q107" i="13"/>
  <c r="X82" i="15"/>
  <c r="Y108" i="14"/>
  <c r="W90" i="14"/>
  <c r="J62" i="14"/>
  <c r="M94" i="13"/>
  <c r="K98" i="14"/>
  <c r="S90" i="14"/>
  <c r="T77" i="14"/>
  <c r="U69" i="14"/>
  <c r="K98" i="13"/>
  <c r="O102" i="14"/>
  <c r="P92" i="14"/>
  <c r="K90" i="14"/>
  <c r="Q69" i="14"/>
  <c r="N94" i="13"/>
  <c r="O108" i="14"/>
  <c r="N96" i="14"/>
  <c r="I94" i="14"/>
  <c r="T84" i="14"/>
  <c r="L98" i="13"/>
  <c r="O97" i="13"/>
  <c r="O106" i="13"/>
  <c r="K107" i="13"/>
  <c r="L60" i="13"/>
  <c r="X73" i="13"/>
  <c r="K86" i="12"/>
  <c r="P100" i="12"/>
  <c r="T112" i="12"/>
  <c r="L101" i="13"/>
  <c r="N112" i="13"/>
  <c r="P63" i="13"/>
  <c r="U103" i="12"/>
  <c r="M69" i="12"/>
  <c r="R83" i="12"/>
  <c r="X102" i="14"/>
  <c r="M63" i="14"/>
  <c r="U96" i="13"/>
  <c r="I112" i="13"/>
  <c r="M100" i="14"/>
  <c r="P100" i="14"/>
  <c r="X66" i="14"/>
  <c r="W72" i="14"/>
  <c r="R64" i="15"/>
  <c r="L67" i="14"/>
  <c r="T112" i="14"/>
  <c r="R83" i="14"/>
  <c r="I60" i="14"/>
  <c r="S68" i="13"/>
  <c r="V97" i="14"/>
  <c r="M90" i="14"/>
  <c r="Y76" i="14"/>
  <c r="W67" i="14"/>
  <c r="V97" i="13"/>
  <c r="U103" i="14"/>
  <c r="K94" i="14"/>
  <c r="U84" i="14"/>
  <c r="V59" i="14"/>
  <c r="T102" i="13"/>
  <c r="N110" i="13"/>
  <c r="W76" i="13"/>
  <c r="K108" i="13"/>
  <c r="V62" i="13"/>
  <c r="J90" i="12"/>
  <c r="O104" i="12"/>
  <c r="X69" i="12"/>
  <c r="K83" i="12"/>
  <c r="J87" i="13"/>
  <c r="I69" i="13"/>
  <c r="T107" i="12"/>
  <c r="L74" i="12"/>
  <c r="Q88" i="12"/>
  <c r="R96" i="14"/>
  <c r="S62" i="14"/>
  <c r="P72" i="13"/>
  <c r="W89" i="13"/>
  <c r="N108" i="14"/>
  <c r="V107" i="14"/>
  <c r="X60" i="14"/>
  <c r="S106" i="13"/>
  <c r="O63" i="15"/>
  <c r="K100" i="14"/>
  <c r="W96" i="14"/>
  <c r="P60" i="14"/>
  <c r="I102" i="13"/>
  <c r="Q60" i="15"/>
  <c r="R80" i="14"/>
  <c r="U100" i="14"/>
  <c r="N70" i="14"/>
  <c r="J61" i="14"/>
  <c r="Y81" i="13"/>
  <c r="P84" i="14"/>
  <c r="S104" i="14"/>
  <c r="I78" i="14"/>
  <c r="Y70" i="14"/>
  <c r="W86" i="13"/>
  <c r="Q94" i="13"/>
  <c r="M86" i="13"/>
  <c r="X83" i="13"/>
  <c r="X91" i="13"/>
  <c r="M74" i="12"/>
  <c r="R88" i="12"/>
  <c r="W102" i="12"/>
  <c r="N67" i="12"/>
  <c r="Y110" i="13"/>
  <c r="P65" i="13"/>
  <c r="W91" i="12"/>
  <c r="K106" i="12"/>
  <c r="T72" i="12"/>
  <c r="X84" i="12"/>
  <c r="X98" i="11"/>
  <c r="P67" i="14"/>
  <c r="S100" i="13"/>
  <c r="K101" i="13"/>
  <c r="S67" i="15"/>
  <c r="Q100" i="14"/>
  <c r="O81" i="14"/>
  <c r="K62" i="14"/>
  <c r="X87" i="13"/>
  <c r="O90" i="14"/>
  <c r="R109" i="14"/>
  <c r="O66" i="14"/>
  <c r="J73" i="14"/>
  <c r="V91" i="13"/>
  <c r="W91" i="14"/>
  <c r="P112" i="14"/>
  <c r="V82" i="14"/>
  <c r="I58" i="14"/>
  <c r="Y87" i="13"/>
  <c r="W97" i="14"/>
  <c r="Y89" i="14"/>
  <c r="T87" i="14"/>
  <c r="W63" i="14"/>
  <c r="W91" i="13"/>
  <c r="I91" i="13"/>
  <c r="I100" i="13"/>
  <c r="K94" i="13"/>
  <c r="Y86" i="13"/>
  <c r="M112" i="12"/>
  <c r="V78" i="12"/>
  <c r="J93" i="12"/>
  <c r="N106" i="12"/>
  <c r="Q87" i="13"/>
  <c r="X78" i="13"/>
  <c r="M64" i="13"/>
  <c r="O96" i="12"/>
  <c r="T110" i="12"/>
  <c r="L77" i="12"/>
  <c r="J89" i="14"/>
  <c r="L63" i="14"/>
  <c r="P92" i="13"/>
  <c r="V68" i="13"/>
  <c r="O83" i="14"/>
  <c r="X110" i="14"/>
  <c r="T58" i="14"/>
  <c r="P83" i="13"/>
  <c r="L86" i="14"/>
  <c r="R108" i="14"/>
  <c r="X78" i="14"/>
  <c r="M70" i="14"/>
  <c r="J83" i="13"/>
  <c r="L63" i="15"/>
  <c r="O110" i="14"/>
  <c r="J108" i="14"/>
  <c r="O74" i="14"/>
  <c r="M112" i="13"/>
  <c r="T62" i="15"/>
  <c r="Q66" i="14"/>
  <c r="Y111" i="14"/>
  <c r="K82" i="14"/>
  <c r="V66" i="14"/>
  <c r="X67" i="13"/>
  <c r="R76" i="13"/>
  <c r="R101" i="13"/>
  <c r="K72" i="13"/>
  <c r="Q64" i="13"/>
  <c r="J104" i="12"/>
  <c r="S69" i="12"/>
  <c r="X83" i="12"/>
  <c r="Y58" i="12"/>
  <c r="R83" i="13"/>
  <c r="T87" i="13"/>
  <c r="X73" i="12"/>
  <c r="L88" i="12"/>
  <c r="Q102" i="12"/>
  <c r="Y66" i="12"/>
  <c r="Y80" i="11"/>
  <c r="U100" i="13"/>
  <c r="I88" i="13"/>
  <c r="K84" i="12"/>
  <c r="P98" i="12"/>
  <c r="U112" i="12"/>
  <c r="L78" i="12"/>
  <c r="R109" i="13"/>
  <c r="M77" i="16"/>
  <c r="X58" i="15"/>
  <c r="P60" i="15"/>
  <c r="J73" i="15"/>
  <c r="V111" i="14"/>
  <c r="J91" i="15"/>
  <c r="I103" i="15"/>
  <c r="K76" i="15"/>
  <c r="Q111" i="15"/>
  <c r="M104" i="15"/>
  <c r="R65" i="15"/>
  <c r="O93" i="16"/>
  <c r="P62" i="15"/>
  <c r="M66" i="14"/>
  <c r="J112" i="13"/>
  <c r="X65" i="14"/>
  <c r="U111" i="13"/>
  <c r="R102" i="14"/>
  <c r="J110" i="13"/>
  <c r="Q112" i="13"/>
  <c r="V106" i="14"/>
  <c r="V75" i="14"/>
  <c r="K97" i="13"/>
  <c r="J103" i="14"/>
  <c r="V92" i="14"/>
  <c r="Q90" i="14"/>
  <c r="R70" i="14"/>
  <c r="T94" i="13"/>
  <c r="W62" i="15"/>
  <c r="L74" i="14"/>
  <c r="O93" i="14"/>
  <c r="N62" i="14"/>
  <c r="T65" i="14"/>
  <c r="Y65" i="15"/>
  <c r="J78" i="14"/>
  <c r="M97" i="14"/>
  <c r="T66" i="14"/>
  <c r="I64" i="14"/>
  <c r="Q79" i="13"/>
  <c r="K88" i="13"/>
  <c r="Q109" i="13"/>
  <c r="O74" i="13"/>
  <c r="W61" i="13"/>
  <c r="X66" i="12"/>
  <c r="L81" i="12"/>
  <c r="Q95" i="12"/>
  <c r="R60" i="12"/>
  <c r="J101" i="13"/>
  <c r="M92" i="13"/>
  <c r="Q84" i="12"/>
  <c r="V98" i="12"/>
  <c r="N65" i="12"/>
  <c r="R78" i="12"/>
  <c r="R92" i="11"/>
  <c r="W68" i="13"/>
  <c r="K90" i="13"/>
  <c r="U95" i="12"/>
  <c r="X67" i="14"/>
  <c r="V68" i="14"/>
  <c r="I89" i="13"/>
  <c r="R89" i="13"/>
  <c r="M61" i="15"/>
  <c r="K93" i="14"/>
  <c r="I75" i="14"/>
  <c r="W58" i="14"/>
  <c r="X77" i="15"/>
  <c r="I83" i="14"/>
  <c r="L103" i="14"/>
  <c r="L75" i="14"/>
  <c r="V81" i="14"/>
  <c r="P84" i="13"/>
  <c r="N81" i="14"/>
  <c r="J106" i="14"/>
  <c r="P76" i="14"/>
  <c r="L64" i="14"/>
  <c r="S80" i="13"/>
  <c r="N88" i="14"/>
  <c r="Y109" i="14"/>
  <c r="N80" i="14"/>
  <c r="W75" i="14"/>
  <c r="Q84" i="13"/>
  <c r="T83" i="13"/>
  <c r="T92" i="13"/>
  <c r="S83" i="13"/>
  <c r="Q65" i="13"/>
  <c r="X105" i="12"/>
  <c r="P72" i="12"/>
  <c r="U86" i="12"/>
  <c r="Y98" i="12"/>
  <c r="V73" i="13"/>
  <c r="J64" i="13"/>
  <c r="M98" i="13"/>
  <c r="I90" i="12"/>
  <c r="N104" i="12"/>
  <c r="W69" i="12"/>
  <c r="V101" i="14"/>
  <c r="Q81" i="14"/>
  <c r="V78" i="13"/>
  <c r="J94" i="13"/>
  <c r="Q111" i="14"/>
  <c r="X109" i="14"/>
  <c r="I63" i="14"/>
  <c r="U108" i="13"/>
  <c r="R58" i="15"/>
  <c r="M102" i="14"/>
  <c r="Y98" i="14"/>
  <c r="R62" i="14"/>
  <c r="K104" i="13"/>
  <c r="X73" i="15"/>
  <c r="T82" i="14"/>
  <c r="W102" i="14"/>
  <c r="Q74" i="14"/>
  <c r="R77" i="14"/>
  <c r="J84" i="13"/>
  <c r="R87" i="14"/>
  <c r="U106" i="14"/>
  <c r="M82" i="14"/>
  <c r="Q62" i="14"/>
  <c r="Y88" i="13"/>
  <c r="S96" i="13"/>
  <c r="Y98" i="13"/>
  <c r="J88" i="13"/>
  <c r="N59" i="13"/>
  <c r="O76" i="12"/>
  <c r="T90" i="12"/>
  <c r="Y104" i="12"/>
  <c r="P69" i="12"/>
  <c r="I66" i="13"/>
  <c r="Y73" i="13"/>
  <c r="Y93" i="12"/>
  <c r="M108" i="12"/>
  <c r="V74" i="12"/>
  <c r="R97" i="14"/>
  <c r="T59" i="14"/>
  <c r="X101" i="13"/>
  <c r="I74" i="13"/>
  <c r="S88" i="14"/>
  <c r="Y91" i="14"/>
  <c r="I65" i="14"/>
  <c r="T88" i="13"/>
  <c r="R92" i="14"/>
  <c r="V112" i="14"/>
  <c r="K83" i="14"/>
  <c r="R58" i="14"/>
  <c r="N88" i="13"/>
  <c r="N63" i="15"/>
  <c r="W66" i="14"/>
  <c r="N112" i="14"/>
  <c r="W82" i="14"/>
  <c r="N78" i="14"/>
  <c r="M74" i="15"/>
  <c r="U70" i="14"/>
  <c r="X90" i="14"/>
  <c r="W59" i="14"/>
  <c r="P75" i="14"/>
  <c r="K73" i="13"/>
  <c r="V80" i="13"/>
  <c r="K66" i="13"/>
  <c r="L104" i="13"/>
  <c r="R62" i="13"/>
  <c r="N108" i="12"/>
  <c r="W74" i="12"/>
  <c r="K89" i="12"/>
  <c r="L63" i="12"/>
  <c r="X90" i="13"/>
  <c r="I62" i="13"/>
  <c r="K78" i="12"/>
  <c r="P92" i="12"/>
  <c r="U106" i="12"/>
  <c r="L72" i="12"/>
  <c r="U97" i="14"/>
  <c r="Y84" i="14"/>
  <c r="P110" i="13"/>
  <c r="Y77" i="13"/>
  <c r="W60" i="15"/>
  <c r="I111" i="14"/>
  <c r="R65" i="14"/>
  <c r="M60" i="14"/>
  <c r="N76" i="15"/>
  <c r="T76" i="14"/>
  <c r="W95" i="14"/>
  <c r="V64" i="14"/>
  <c r="L83" i="14"/>
  <c r="J78" i="13"/>
  <c r="P110" i="14"/>
  <c r="U98" i="14"/>
  <c r="J69" i="14"/>
  <c r="K76" i="14"/>
  <c r="M107" i="13"/>
  <c r="V77" i="14"/>
  <c r="S103" i="14"/>
  <c r="Y73" i="14"/>
  <c r="Q60" i="14"/>
  <c r="K111" i="13"/>
  <c r="N77" i="13"/>
  <c r="N86" i="13"/>
  <c r="J74" i="13"/>
  <c r="J59" i="13"/>
  <c r="R98" i="12"/>
  <c r="W112" i="12"/>
  <c r="O79" i="12"/>
  <c r="S92" i="12"/>
  <c r="R102" i="13"/>
  <c r="M111" i="13"/>
  <c r="N80" i="13"/>
  <c r="T82" i="12"/>
  <c r="Y96" i="12"/>
  <c r="L110" i="12"/>
  <c r="K70" i="14"/>
  <c r="Y69" i="14"/>
  <c r="Q74" i="13"/>
  <c r="S82" i="15"/>
  <c r="P65" i="14"/>
  <c r="J95" i="14"/>
  <c r="N72" i="14"/>
  <c r="S101" i="13"/>
  <c r="V104" i="14"/>
  <c r="W94" i="14"/>
  <c r="X93" i="14"/>
  <c r="S86" i="16"/>
  <c r="Y70" i="15"/>
  <c r="M62" i="14"/>
  <c r="K86" i="14"/>
  <c r="L108" i="14"/>
  <c r="P82" i="14"/>
  <c r="U69" i="13"/>
  <c r="Y66" i="13"/>
  <c r="W100" i="13"/>
  <c r="K106" i="13"/>
  <c r="X98" i="14"/>
  <c r="J72" i="14"/>
  <c r="K95" i="14"/>
  <c r="L70" i="13"/>
  <c r="M97" i="13"/>
  <c r="W74" i="14"/>
  <c r="O80" i="14"/>
  <c r="I96" i="13"/>
  <c r="L105" i="14"/>
  <c r="M104" i="13"/>
  <c r="R110" i="12"/>
  <c r="Y102" i="14"/>
  <c r="T67" i="14"/>
  <c r="W68" i="14"/>
  <c r="O109" i="13"/>
  <c r="P79" i="13"/>
  <c r="Q81" i="12"/>
  <c r="J100" i="12"/>
  <c r="X70" i="13"/>
  <c r="T110" i="14"/>
  <c r="L110" i="14"/>
  <c r="U86" i="14"/>
  <c r="J95" i="13"/>
  <c r="W58" i="13"/>
  <c r="K86" i="13"/>
  <c r="M81" i="15"/>
  <c r="Q110" i="13"/>
  <c r="L109" i="14"/>
  <c r="P91" i="13"/>
  <c r="T72" i="14"/>
  <c r="Y103" i="13"/>
  <c r="I75" i="13"/>
  <c r="I97" i="12"/>
  <c r="V76" i="12"/>
  <c r="W60" i="13"/>
  <c r="W66" i="12"/>
  <c r="O94" i="12"/>
  <c r="J93" i="13"/>
  <c r="R111" i="12"/>
  <c r="O92" i="12"/>
  <c r="I105" i="13"/>
  <c r="L97" i="13"/>
  <c r="Q111" i="12"/>
  <c r="I78" i="12"/>
  <c r="V110" i="11"/>
  <c r="N68" i="13"/>
  <c r="L66" i="12"/>
  <c r="Y103" i="12"/>
  <c r="O101" i="12"/>
  <c r="T72" i="13"/>
  <c r="M69" i="13"/>
  <c r="W65" i="12"/>
  <c r="J112" i="12"/>
  <c r="S78" i="12"/>
  <c r="T70" i="13"/>
  <c r="I63" i="13"/>
  <c r="O69" i="13"/>
  <c r="Y88" i="12"/>
  <c r="M103" i="12"/>
  <c r="V68" i="12"/>
  <c r="P67" i="13"/>
  <c r="L78" i="13"/>
  <c r="T94" i="12"/>
  <c r="Y108" i="12"/>
  <c r="Q75" i="12"/>
  <c r="U88" i="12"/>
  <c r="U102" i="11"/>
  <c r="L92" i="11"/>
  <c r="P92" i="11"/>
  <c r="J94" i="11"/>
  <c r="L58" i="11"/>
  <c r="P90" i="10"/>
  <c r="I104" i="10"/>
  <c r="K68" i="10"/>
  <c r="O102" i="11"/>
  <c r="P98" i="11"/>
  <c r="J101" i="11"/>
  <c r="L64" i="11"/>
  <c r="P96" i="10"/>
  <c r="I110" i="10"/>
  <c r="X66" i="11"/>
  <c r="X75" i="11"/>
  <c r="R77" i="11"/>
  <c r="I66" i="11"/>
  <c r="X73" i="10"/>
  <c r="X64" i="12"/>
  <c r="S81" i="11"/>
  <c r="P87" i="11"/>
  <c r="J89" i="11"/>
  <c r="N66" i="11"/>
  <c r="K104" i="11"/>
  <c r="K69" i="13"/>
  <c r="L105" i="12"/>
  <c r="W87" i="12"/>
  <c r="L83" i="12"/>
  <c r="Q80" i="13"/>
  <c r="X79" i="13"/>
  <c r="O95" i="12"/>
  <c r="W93" i="12"/>
  <c r="X103" i="12"/>
  <c r="O68" i="12"/>
  <c r="M72" i="13"/>
  <c r="U59" i="13"/>
  <c r="Q65" i="12"/>
  <c r="V79" i="12"/>
  <c r="J94" i="12"/>
  <c r="R108" i="13"/>
  <c r="R60" i="13"/>
  <c r="O81" i="13"/>
  <c r="Q86" i="12"/>
  <c r="V100" i="12"/>
  <c r="N66" i="12"/>
  <c r="M62" i="12"/>
  <c r="R59" i="12"/>
  <c r="L74" i="11"/>
  <c r="I79" i="11"/>
  <c r="T80" i="11"/>
  <c r="U58" i="11"/>
  <c r="X80" i="10"/>
  <c r="P93" i="10"/>
  <c r="O61" i="12"/>
  <c r="L80" i="11"/>
  <c r="I86" i="11"/>
  <c r="T87" i="11"/>
  <c r="O60" i="11"/>
  <c r="X87" i="10"/>
  <c r="L105" i="11"/>
  <c r="L101" i="11"/>
  <c r="W102" i="11"/>
  <c r="J66" i="11"/>
  <c r="L98" i="10"/>
  <c r="Q58" i="12"/>
  <c r="O93" i="13"/>
  <c r="I61" i="13"/>
  <c r="R101" i="12"/>
  <c r="X96" i="12"/>
  <c r="I110" i="13"/>
  <c r="R65" i="13"/>
  <c r="J109" i="12"/>
  <c r="R107" i="12"/>
  <c r="U66" i="12"/>
  <c r="Y79" i="12"/>
  <c r="K89" i="13"/>
  <c r="O60" i="13"/>
  <c r="J77" i="12"/>
  <c r="O91" i="12"/>
  <c r="T105" i="12"/>
  <c r="M89" i="13"/>
  <c r="J82" i="13"/>
  <c r="S58" i="13"/>
  <c r="J97" i="12"/>
  <c r="O111" i="12"/>
  <c r="X77" i="12"/>
  <c r="N60" i="12"/>
  <c r="M64" i="12"/>
  <c r="V84" i="11"/>
  <c r="S90" i="11"/>
  <c r="M92" i="11"/>
  <c r="U66" i="11"/>
  <c r="Q92" i="10"/>
  <c r="I105" i="10"/>
  <c r="U81" i="12"/>
  <c r="V91" i="11"/>
  <c r="S96" i="11"/>
  <c r="M98" i="11"/>
  <c r="S65" i="11"/>
  <c r="Q98" i="10"/>
  <c r="V59" i="12"/>
  <c r="V111" i="11"/>
  <c r="J74" i="11"/>
  <c r="X67" i="11"/>
  <c r="V109" i="10"/>
  <c r="P111" i="13"/>
  <c r="Q60" i="13"/>
  <c r="S107" i="12"/>
  <c r="S96" i="12"/>
  <c r="I94" i="12"/>
  <c r="U106" i="13"/>
  <c r="L79" i="13"/>
  <c r="K105" i="12"/>
  <c r="U105" i="12"/>
  <c r="M72" i="12"/>
  <c r="P100" i="13"/>
  <c r="X104" i="13"/>
  <c r="M73" i="13"/>
  <c r="S81" i="12"/>
  <c r="X95" i="12"/>
  <c r="K109" i="12"/>
  <c r="N105" i="13"/>
  <c r="J60" i="13"/>
  <c r="N88" i="12"/>
  <c r="S102" i="12"/>
  <c r="K68" i="12"/>
  <c r="O81" i="12"/>
  <c r="O95" i="11"/>
  <c r="I82" i="11"/>
  <c r="J86" i="11"/>
  <c r="U87" i="11"/>
  <c r="V64" i="11"/>
  <c r="J83" i="10"/>
  <c r="T96" i="10"/>
  <c r="R109" i="10"/>
  <c r="W91" i="11"/>
  <c r="J92" i="11"/>
  <c r="U93" i="11"/>
  <c r="W77" i="11"/>
  <c r="J90" i="10"/>
  <c r="T103" i="10"/>
  <c r="M107" i="11"/>
  <c r="J112" i="11"/>
  <c r="L70" i="11"/>
  <c r="P67" i="11"/>
  <c r="R66" i="10"/>
  <c r="Y60" i="12"/>
  <c r="J65" i="12"/>
  <c r="I87" i="13"/>
  <c r="Y92" i="13"/>
  <c r="R105" i="15"/>
  <c r="R89" i="16"/>
  <c r="S109" i="14"/>
  <c r="V62" i="14"/>
  <c r="N105" i="14"/>
  <c r="R78" i="14"/>
  <c r="N84" i="14"/>
  <c r="I108" i="12"/>
  <c r="N100" i="13"/>
  <c r="J108" i="13"/>
  <c r="O80" i="13"/>
  <c r="T90" i="14"/>
  <c r="M91" i="14"/>
  <c r="J64" i="14"/>
  <c r="T58" i="13"/>
  <c r="X72" i="13"/>
  <c r="W104" i="13"/>
  <c r="K92" i="13"/>
  <c r="L98" i="14"/>
  <c r="L94" i="14"/>
  <c r="X102" i="13"/>
  <c r="Y95" i="13"/>
  <c r="K59" i="14"/>
  <c r="Y64" i="14"/>
  <c r="L80" i="13"/>
  <c r="Y80" i="14"/>
  <c r="P88" i="13"/>
  <c r="U94" i="12"/>
  <c r="N112" i="12"/>
  <c r="Q86" i="14"/>
  <c r="I81" i="14"/>
  <c r="S78" i="14"/>
  <c r="U58" i="14"/>
  <c r="L106" i="12"/>
  <c r="I76" i="12"/>
  <c r="P101" i="13"/>
  <c r="S108" i="14"/>
  <c r="O103" i="13"/>
  <c r="O94" i="14"/>
  <c r="Q66" i="15"/>
  <c r="W61" i="14"/>
  <c r="S110" i="13"/>
  <c r="P76" i="13"/>
  <c r="T104" i="12"/>
  <c r="K112" i="13"/>
  <c r="Q61" i="13"/>
  <c r="Q74" i="12"/>
  <c r="W62" i="12"/>
  <c r="T79" i="13"/>
  <c r="P70" i="12"/>
  <c r="I100" i="12"/>
  <c r="Q89" i="13"/>
  <c r="V61" i="13"/>
  <c r="V97" i="12"/>
  <c r="P81" i="12"/>
  <c r="K87" i="13"/>
  <c r="U61" i="13"/>
  <c r="I96" i="12"/>
  <c r="K88" i="12"/>
  <c r="R84" i="12"/>
  <c r="W95" i="13"/>
  <c r="N60" i="13"/>
  <c r="T95" i="12"/>
  <c r="O98" i="12"/>
  <c r="S111" i="12"/>
  <c r="W88" i="13"/>
  <c r="Q72" i="13"/>
  <c r="U108" i="12"/>
  <c r="M75" i="12"/>
  <c r="R89" i="12"/>
  <c r="V102" i="12"/>
  <c r="K95" i="13"/>
  <c r="K67" i="13"/>
  <c r="Y80" i="12"/>
  <c r="M95" i="12"/>
  <c r="R109" i="12"/>
  <c r="I75" i="12"/>
  <c r="I89" i="11"/>
  <c r="K72" i="11"/>
  <c r="U78" i="11"/>
  <c r="O80" i="11"/>
  <c r="W62" i="17"/>
  <c r="S74" i="15"/>
  <c r="M109" i="14"/>
  <c r="Y92" i="14"/>
  <c r="N59" i="14"/>
  <c r="U82" i="13"/>
  <c r="V86" i="13"/>
  <c r="W88" i="12"/>
  <c r="P106" i="12"/>
  <c r="O103" i="12"/>
  <c r="L96" i="14"/>
  <c r="X64" i="14"/>
  <c r="T79" i="14"/>
  <c r="O77" i="13"/>
  <c r="J79" i="12"/>
  <c r="T96" i="12"/>
  <c r="V66" i="15"/>
  <c r="Q88" i="14"/>
  <c r="I88" i="14"/>
  <c r="L76" i="14"/>
  <c r="Y58" i="13"/>
  <c r="K58" i="13"/>
  <c r="J80" i="13"/>
  <c r="V78" i="14"/>
  <c r="W101" i="14"/>
  <c r="J76" i="14"/>
  <c r="L61" i="13"/>
  <c r="W59" i="13"/>
  <c r="P95" i="14"/>
  <c r="V60" i="14"/>
  <c r="L86" i="13"/>
  <c r="K74" i="15"/>
  <c r="T78" i="13"/>
  <c r="I87" i="12"/>
  <c r="S104" i="12"/>
  <c r="J93" i="14"/>
  <c r="P87" i="14"/>
  <c r="U108" i="14"/>
  <c r="I86" i="14"/>
  <c r="R101" i="14"/>
  <c r="P103" i="13"/>
  <c r="K74" i="13"/>
  <c r="U82" i="12"/>
  <c r="N111" i="12"/>
  <c r="X76" i="13"/>
  <c r="N101" i="12"/>
  <c r="K81" i="12"/>
  <c r="O108" i="11"/>
  <c r="U81" i="13"/>
  <c r="J78" i="12"/>
  <c r="S105" i="12"/>
  <c r="K59" i="13"/>
  <c r="W104" i="12"/>
  <c r="O70" i="12"/>
  <c r="S59" i="12"/>
  <c r="J107" i="13"/>
  <c r="J61" i="13"/>
  <c r="V105" i="12"/>
  <c r="M104" i="12"/>
  <c r="Q62" i="12"/>
  <c r="V76" i="13"/>
  <c r="J62" i="13"/>
  <c r="V111" i="12"/>
  <c r="Y70" i="12"/>
  <c r="L84" i="12"/>
  <c r="Q95" i="13"/>
  <c r="I68" i="13"/>
  <c r="N81" i="12"/>
  <c r="S95" i="12"/>
  <c r="X109" i="12"/>
  <c r="U97" i="13"/>
  <c r="S111" i="13"/>
  <c r="L59" i="13"/>
  <c r="N102" i="12"/>
  <c r="W67" i="12"/>
  <c r="K82" i="12"/>
  <c r="R64" i="12"/>
  <c r="K70" i="12"/>
  <c r="I90" i="11"/>
  <c r="W94" i="11"/>
  <c r="Q96" i="11"/>
  <c r="T58" i="11"/>
  <c r="U96" i="10"/>
  <c r="M109" i="10"/>
  <c r="V75" i="10"/>
  <c r="I96" i="11"/>
  <c r="W101" i="11"/>
  <c r="Q103" i="11"/>
  <c r="Y68" i="11"/>
  <c r="U103" i="10"/>
  <c r="K58" i="12"/>
  <c r="Q73" i="11"/>
  <c r="N78" i="11"/>
  <c r="Y79" i="11"/>
  <c r="P65" i="11"/>
  <c r="L80" i="10"/>
  <c r="M80" i="11"/>
  <c r="I84" i="11"/>
  <c r="T86" i="11"/>
  <c r="U63" i="11"/>
  <c r="U67" i="12"/>
  <c r="X81" i="13"/>
  <c r="R58" i="13"/>
  <c r="X93" i="12"/>
  <c r="I86" i="12"/>
  <c r="P82" i="12"/>
  <c r="I93" i="13"/>
  <c r="J66" i="13"/>
  <c r="R93" i="12"/>
  <c r="M96" i="12"/>
  <c r="Q109" i="12"/>
  <c r="T84" i="13"/>
  <c r="X66" i="13"/>
  <c r="S106" i="12"/>
  <c r="K73" i="12"/>
  <c r="P87" i="12"/>
  <c r="T100" i="12"/>
  <c r="S91" i="13"/>
  <c r="J63" i="13"/>
  <c r="W78" i="12"/>
  <c r="K93" i="12"/>
  <c r="P107" i="12"/>
  <c r="X72" i="12"/>
  <c r="X86" i="11"/>
  <c r="N68" i="11"/>
  <c r="S76" i="11"/>
  <c r="M78" i="11"/>
  <c r="U67" i="11"/>
  <c r="S74" i="10"/>
  <c r="L88" i="10"/>
  <c r="J101" i="10"/>
  <c r="K78" i="11"/>
  <c r="S82" i="11"/>
  <c r="M84" i="11"/>
  <c r="N62" i="11"/>
  <c r="S80" i="10"/>
  <c r="L94" i="10"/>
  <c r="V97" i="11"/>
  <c r="S103" i="11"/>
  <c r="M105" i="11"/>
  <c r="W60" i="11"/>
  <c r="Q105" i="10"/>
  <c r="O70" i="13"/>
  <c r="S62" i="13"/>
  <c r="U109" i="12"/>
  <c r="U98" i="12"/>
  <c r="K96" i="12"/>
  <c r="N65" i="13"/>
  <c r="S105" i="13"/>
  <c r="M107" i="12"/>
  <c r="W107" i="12"/>
  <c r="O74" i="12"/>
  <c r="T104" i="13"/>
  <c r="V58" i="13"/>
  <c r="K62" i="13"/>
  <c r="U83" i="12"/>
  <c r="I98" i="12"/>
  <c r="M111" i="12"/>
  <c r="W108" i="13"/>
  <c r="M63" i="13"/>
  <c r="P90" i="12"/>
  <c r="U104" i="12"/>
  <c r="M70" i="12"/>
  <c r="Q83" i="12"/>
  <c r="Q97" i="11"/>
  <c r="W84" i="11"/>
  <c r="L88" i="11"/>
  <c r="W89" i="11"/>
  <c r="L67" i="11"/>
  <c r="L86" i="10"/>
  <c r="V98" i="10"/>
  <c r="T111" i="10"/>
  <c r="I95" i="11"/>
  <c r="L94" i="11"/>
  <c r="W95" i="11"/>
  <c r="Y59" i="11"/>
  <c r="L92" i="10"/>
  <c r="V105" i="10"/>
  <c r="O109" i="11"/>
  <c r="T70" i="11"/>
  <c r="N73" i="11"/>
  <c r="S58" i="11"/>
  <c r="K61" i="12"/>
  <c r="L90" i="13"/>
  <c r="O65" i="13"/>
  <c r="N96" i="12"/>
  <c r="V94" i="12"/>
  <c r="T103" i="13"/>
  <c r="O63" i="13"/>
  <c r="Y106" i="12"/>
  <c r="N103" i="12"/>
  <c r="O112" i="12"/>
  <c r="W77" i="12"/>
  <c r="Y84" i="13"/>
  <c r="O101" i="13"/>
  <c r="Y74" i="12"/>
  <c r="M89" i="12"/>
  <c r="R103" i="12"/>
  <c r="I84" i="13"/>
  <c r="T74" i="13"/>
  <c r="Q77" i="13"/>
  <c r="Y94" i="12"/>
  <c r="M109" i="12"/>
  <c r="V75" i="12"/>
  <c r="L58" i="12"/>
  <c r="T59" i="12"/>
  <c r="T82" i="11"/>
  <c r="Q88" i="11"/>
  <c r="K90" i="11"/>
  <c r="M58" i="11"/>
  <c r="O90" i="10"/>
  <c r="X102" i="10"/>
  <c r="I68" i="12"/>
  <c r="T89" i="11"/>
  <c r="Q94" i="11"/>
  <c r="K96" i="11"/>
  <c r="S73" i="11"/>
  <c r="O96" i="10"/>
  <c r="X65" i="12"/>
  <c r="T109" i="11"/>
  <c r="N111" i="11"/>
  <c r="O65" i="11"/>
  <c r="T107" i="10"/>
  <c r="W73" i="10"/>
  <c r="U69" i="11"/>
  <c r="S95" i="13"/>
  <c r="W70" i="13"/>
  <c r="M101" i="12"/>
  <c r="Q94" i="12"/>
  <c r="V89" i="12"/>
  <c r="L103" i="13"/>
  <c r="Y67" i="13"/>
  <c r="I103" i="12"/>
  <c r="S103" i="12"/>
  <c r="K69" i="12"/>
  <c r="L95" i="13"/>
  <c r="L91" i="13"/>
  <c r="Y112" i="12"/>
  <c r="Q79" i="12"/>
  <c r="V93" i="12"/>
  <c r="I107" i="12"/>
  <c r="Q102" i="13"/>
  <c r="U101" i="13"/>
  <c r="L86" i="12"/>
  <c r="Q100" i="12"/>
  <c r="I66" i="12"/>
  <c r="M79" i="12"/>
  <c r="M93" i="11"/>
  <c r="Q78" i="11"/>
  <c r="Y82" i="11"/>
  <c r="S84" i="11"/>
  <c r="T62" i="11"/>
  <c r="Y80" i="10"/>
  <c r="R94" i="10"/>
  <c r="P107" i="10"/>
  <c r="T88" i="11"/>
  <c r="Y89" i="11"/>
  <c r="M84" i="15"/>
  <c r="U78" i="16"/>
  <c r="V83" i="13"/>
  <c r="I72" i="14"/>
  <c r="R87" i="13"/>
  <c r="Q91" i="14"/>
  <c r="V94" i="13"/>
  <c r="J102" i="12"/>
  <c r="Y72" i="12"/>
  <c r="V102" i="14"/>
  <c r="M72" i="14"/>
  <c r="R92" i="13"/>
  <c r="P73" i="15"/>
  <c r="I86" i="13"/>
  <c r="O93" i="12"/>
  <c r="Y110" i="12"/>
  <c r="W106" i="14"/>
  <c r="U73" i="14"/>
  <c r="O64" i="14"/>
  <c r="J96" i="13"/>
  <c r="I83" i="12"/>
  <c r="S101" i="12"/>
  <c r="X59" i="15"/>
  <c r="Y97" i="14"/>
  <c r="L72" i="14"/>
  <c r="T63" i="14"/>
  <c r="T101" i="12"/>
  <c r="U68" i="13"/>
  <c r="X76" i="14"/>
  <c r="R86" i="13"/>
  <c r="W75" i="15"/>
  <c r="S68" i="14"/>
  <c r="L107" i="13"/>
  <c r="J61" i="12"/>
  <c r="L89" i="14"/>
  <c r="X75" i="14"/>
  <c r="T70" i="14"/>
  <c r="I90" i="14"/>
  <c r="V70" i="14"/>
  <c r="V87" i="14"/>
  <c r="N95" i="13"/>
  <c r="S97" i="13"/>
  <c r="O90" i="12"/>
  <c r="L70" i="12"/>
  <c r="J102" i="13"/>
  <c r="Y107" i="12"/>
  <c r="V88" i="12"/>
  <c r="M67" i="11"/>
  <c r="X68" i="13"/>
  <c r="U84" i="12"/>
  <c r="J64" i="12"/>
  <c r="N64" i="13"/>
  <c r="K91" i="12"/>
  <c r="P105" i="12"/>
  <c r="Q110" i="11"/>
  <c r="N73" i="13"/>
  <c r="N107" i="12"/>
  <c r="Y89" i="12"/>
  <c r="P88" i="12"/>
  <c r="U84" i="13"/>
  <c r="N93" i="13"/>
  <c r="Q97" i="12"/>
  <c r="Y95" i="12"/>
  <c r="I106" i="12"/>
  <c r="Q70" i="12"/>
  <c r="P75" i="13"/>
  <c r="X62" i="13"/>
  <c r="S67" i="12"/>
  <c r="X81" i="12"/>
  <c r="L96" i="12"/>
  <c r="V112" i="13"/>
  <c r="T62" i="13"/>
  <c r="P66" i="13"/>
  <c r="S88" i="12"/>
  <c r="X102" i="12"/>
  <c r="P68" i="12"/>
  <c r="L59" i="12"/>
  <c r="O62" i="12"/>
  <c r="N76" i="11"/>
  <c r="K81" i="11"/>
  <c r="V82" i="11"/>
  <c r="V69" i="11"/>
  <c r="I83" i="10"/>
  <c r="R95" i="10"/>
  <c r="M58" i="12"/>
  <c r="N82" i="11"/>
  <c r="K88" i="11"/>
  <c r="V89" i="11"/>
  <c r="L72" i="11"/>
  <c r="I90" i="10"/>
  <c r="I108" i="11"/>
  <c r="N103" i="11"/>
  <c r="Y104" i="11"/>
  <c r="S68" i="11"/>
  <c r="N101" i="10"/>
  <c r="Q66" i="10"/>
  <c r="I109" i="11"/>
  <c r="N70" i="11"/>
  <c r="Y72" i="11"/>
  <c r="I58" i="11"/>
  <c r="N62" i="12"/>
  <c r="R82" i="13"/>
  <c r="U107" i="13"/>
  <c r="U70" i="12"/>
  <c r="L69" i="12"/>
  <c r="S66" i="12"/>
  <c r="S65" i="13"/>
  <c r="K63" i="13"/>
  <c r="U77" i="12"/>
  <c r="R82" i="12"/>
  <c r="V95" i="12"/>
  <c r="O112" i="13"/>
  <c r="T68" i="13"/>
  <c r="X92" i="12"/>
  <c r="L107" i="12"/>
  <c r="U73" i="12"/>
  <c r="Y86" i="12"/>
  <c r="R70" i="13"/>
  <c r="M59" i="13"/>
  <c r="X112" i="12"/>
  <c r="P79" i="12"/>
  <c r="U93" i="12"/>
  <c r="V58" i="12"/>
  <c r="L73" i="11"/>
  <c r="S101" i="11"/>
  <c r="P106" i="11"/>
  <c r="J108" i="11"/>
  <c r="K70" i="11"/>
  <c r="N108" i="10"/>
  <c r="Q74" i="10"/>
  <c r="O87" i="10"/>
  <c r="S107" i="11"/>
  <c r="P112" i="11"/>
  <c r="R70" i="11"/>
  <c r="M68" i="11"/>
  <c r="X66" i="10"/>
  <c r="K62" i="12"/>
  <c r="J84" i="11"/>
  <c r="X89" i="11"/>
  <c r="R91" i="11"/>
  <c r="N63" i="11"/>
  <c r="U101" i="12"/>
  <c r="T110" i="13"/>
  <c r="S64" i="13"/>
  <c r="R87" i="12"/>
  <c r="X82" i="12"/>
  <c r="N80" i="12"/>
  <c r="T86" i="13"/>
  <c r="O59" i="13"/>
  <c r="P91" i="12"/>
  <c r="K94" i="12"/>
  <c r="O107" i="12"/>
  <c r="Q81" i="13"/>
  <c r="I64" i="13"/>
  <c r="Q104" i="12"/>
  <c r="I70" i="12"/>
  <c r="N84" i="12"/>
  <c r="R97" i="12"/>
  <c r="V88" i="13"/>
  <c r="X59" i="13"/>
  <c r="U76" i="12"/>
  <c r="I91" i="12"/>
  <c r="N105" i="12"/>
  <c r="V69" i="12"/>
  <c r="V83" i="11"/>
  <c r="R112" i="11"/>
  <c r="Q74" i="11"/>
  <c r="K76" i="11"/>
  <c r="J63" i="11"/>
  <c r="Q72" i="10"/>
  <c r="J86" i="10"/>
  <c r="Y97" i="10"/>
  <c r="Y74" i="11"/>
  <c r="Q80" i="11"/>
  <c r="K82" i="11"/>
  <c r="L60" i="11"/>
  <c r="Q78" i="10"/>
  <c r="J92" i="10"/>
  <c r="T95" i="11"/>
  <c r="Q101" i="11"/>
  <c r="K103" i="11"/>
  <c r="W67" i="11"/>
  <c r="V96" i="11"/>
  <c r="W96" i="13"/>
  <c r="Y100" i="12"/>
  <c r="Q80" i="12"/>
  <c r="Y78" i="12"/>
  <c r="I72" i="13"/>
  <c r="S67" i="13"/>
  <c r="I89" i="12"/>
  <c r="Q87" i="12"/>
  <c r="T98" i="12"/>
  <c r="M68" i="13"/>
  <c r="R110" i="13"/>
  <c r="T64" i="13"/>
  <c r="I109" i="12"/>
  <c r="R75" i="12"/>
  <c r="W89" i="12"/>
  <c r="J100" i="13"/>
  <c r="V102" i="13"/>
  <c r="X58" i="13"/>
  <c r="M81" i="12"/>
  <c r="R95" i="12"/>
  <c r="V108" i="12"/>
  <c r="Y62" i="12"/>
  <c r="I64" i="12"/>
  <c r="Q112" i="11"/>
  <c r="V74" i="11"/>
  <c r="V68" i="11"/>
  <c r="Q110" i="10"/>
  <c r="T76" i="10"/>
  <c r="L89" i="10"/>
  <c r="I62" i="12"/>
  <c r="Y75" i="11"/>
  <c r="V80" i="11"/>
  <c r="P82" i="11"/>
  <c r="R67" i="11"/>
  <c r="T82" i="10"/>
  <c r="W97" i="11"/>
  <c r="Y95" i="11"/>
  <c r="S97" i="11"/>
  <c r="U61" i="11"/>
  <c r="Y93" i="10"/>
  <c r="R107" i="10"/>
  <c r="V82" i="12"/>
  <c r="L102" i="13"/>
  <c r="M58" i="13"/>
  <c r="N82" i="12"/>
  <c r="R76" i="12"/>
  <c r="Y73" i="12"/>
  <c r="N79" i="13"/>
  <c r="N61" i="13"/>
  <c r="L87" i="12"/>
  <c r="X89" i="12"/>
  <c r="K103" i="12"/>
  <c r="K75" i="13"/>
  <c r="V59" i="13"/>
  <c r="M100" i="12"/>
  <c r="V65" i="12"/>
  <c r="J80" i="12"/>
  <c r="N93" i="12"/>
  <c r="P81" i="13"/>
  <c r="Y74" i="13"/>
  <c r="Q72" i="12"/>
  <c r="V86" i="12"/>
  <c r="J101" i="12"/>
  <c r="K65" i="12"/>
  <c r="R79" i="11"/>
  <c r="Y107" i="11"/>
  <c r="V112" i="11"/>
  <c r="X70" i="11"/>
  <c r="K69" i="11"/>
  <c r="M67" i="10"/>
  <c r="W80" i="10"/>
  <c r="U93" i="10"/>
  <c r="X59" i="14"/>
  <c r="J61" i="15"/>
  <c r="J96" i="14"/>
  <c r="R80" i="13"/>
  <c r="Q84" i="14"/>
  <c r="J112" i="14"/>
  <c r="V87" i="13"/>
  <c r="I78" i="13"/>
  <c r="U62" i="12"/>
  <c r="X73" i="14"/>
  <c r="I95" i="13"/>
  <c r="K75" i="15"/>
  <c r="Y75" i="14"/>
  <c r="W79" i="13"/>
  <c r="P58" i="12"/>
  <c r="P76" i="12"/>
  <c r="U88" i="14"/>
  <c r="W62" i="14"/>
  <c r="L92" i="13"/>
  <c r="M95" i="13"/>
  <c r="N97" i="12"/>
  <c r="K67" i="12"/>
  <c r="V86" i="14"/>
  <c r="U67" i="14"/>
  <c r="O86" i="14"/>
  <c r="M80" i="13"/>
  <c r="L67" i="12"/>
  <c r="V84" i="12"/>
  <c r="V98" i="13"/>
  <c r="O89" i="14"/>
  <c r="Q112" i="14"/>
  <c r="V88" i="14"/>
  <c r="K83" i="13"/>
  <c r="O87" i="13"/>
  <c r="N66" i="14"/>
  <c r="J63" i="14"/>
  <c r="O61" i="14"/>
  <c r="T96" i="14"/>
  <c r="R98" i="13"/>
  <c r="M98" i="14"/>
  <c r="S102" i="13"/>
  <c r="P64" i="13"/>
  <c r="U110" i="12"/>
  <c r="Q90" i="12"/>
  <c r="R97" i="13"/>
  <c r="R80" i="12"/>
  <c r="J108" i="12"/>
  <c r="T77" i="13"/>
  <c r="P69" i="13"/>
  <c r="J106" i="12"/>
  <c r="Y89" i="13"/>
  <c r="Y60" i="13"/>
  <c r="P77" i="12"/>
  <c r="U91" i="12"/>
  <c r="L86" i="11"/>
  <c r="W77" i="13"/>
  <c r="O89" i="12"/>
  <c r="K74" i="12"/>
  <c r="Q69" i="12"/>
  <c r="R95" i="13"/>
  <c r="I58" i="13"/>
  <c r="T81" i="12"/>
  <c r="K80" i="12"/>
  <c r="N92" i="12"/>
  <c r="J98" i="13"/>
  <c r="W109" i="13"/>
  <c r="M60" i="13"/>
  <c r="T102" i="12"/>
  <c r="L68" i="12"/>
  <c r="Q82" i="12"/>
  <c r="Q88" i="13"/>
  <c r="P70" i="13"/>
  <c r="O108" i="12"/>
  <c r="X74" i="12"/>
  <c r="L89" i="12"/>
  <c r="P102" i="12"/>
  <c r="Q60" i="12"/>
  <c r="M112" i="11"/>
  <c r="K106" i="11"/>
  <c r="V107" i="11"/>
  <c r="R78" i="11"/>
  <c r="K104" i="10"/>
  <c r="N69" i="10"/>
  <c r="W81" i="10"/>
  <c r="X61" i="12"/>
  <c r="K112" i="11"/>
  <c r="P74" i="11"/>
  <c r="O68" i="11"/>
  <c r="K110" i="10"/>
  <c r="N76" i="10"/>
  <c r="Y87" i="11"/>
  <c r="S89" i="11"/>
  <c r="M91" i="11"/>
  <c r="X68" i="11"/>
  <c r="S87" i="10"/>
  <c r="L101" i="10"/>
  <c r="N95" i="11"/>
  <c r="K101" i="11"/>
  <c r="V102" i="11"/>
  <c r="P66" i="11"/>
  <c r="S60" i="12"/>
  <c r="X103" i="13"/>
  <c r="W64" i="13"/>
  <c r="T103" i="12"/>
  <c r="K102" i="12"/>
  <c r="Y68" i="13"/>
  <c r="V69" i="13"/>
  <c r="L111" i="12"/>
  <c r="T109" i="12"/>
  <c r="W68" i="12"/>
  <c r="J82" i="12"/>
  <c r="N92" i="13"/>
  <c r="R63" i="13"/>
  <c r="L79" i="12"/>
  <c r="Q93" i="12"/>
  <c r="V107" i="12"/>
  <c r="Q93" i="13"/>
  <c r="V95" i="13"/>
  <c r="L72" i="13"/>
  <c r="L100" i="12"/>
  <c r="U65" i="12"/>
  <c r="I80" i="12"/>
  <c r="P62" i="12"/>
  <c r="S61" i="12"/>
  <c r="X87" i="11"/>
  <c r="U92" i="11"/>
  <c r="O94" i="11"/>
  <c r="X61" i="11"/>
  <c r="S94" i="10"/>
  <c r="K107" i="10"/>
  <c r="T73" i="10"/>
  <c r="X93" i="11"/>
  <c r="U98" i="11"/>
  <c r="O101" i="11"/>
  <c r="I62" i="11"/>
  <c r="S101" i="10"/>
  <c r="O64" i="12"/>
  <c r="O70" i="11"/>
  <c r="L76" i="11"/>
  <c r="I73" i="11"/>
  <c r="X111" i="10"/>
  <c r="L60" i="12"/>
  <c r="O79" i="13"/>
  <c r="L68" i="13"/>
  <c r="S68" i="12"/>
  <c r="J67" i="12"/>
  <c r="Y61" i="12"/>
  <c r="S92" i="13"/>
  <c r="S66" i="13"/>
  <c r="S75" i="12"/>
  <c r="P80" i="12"/>
  <c r="T93" i="12"/>
  <c r="L109" i="13"/>
  <c r="W63" i="13"/>
  <c r="V90" i="12"/>
  <c r="J105" i="12"/>
  <c r="S70" i="12"/>
  <c r="L74" i="13"/>
  <c r="U67" i="13"/>
  <c r="S79" i="13"/>
  <c r="V110" i="12"/>
  <c r="N77" i="12"/>
  <c r="S91" i="12"/>
  <c r="N64" i="12"/>
  <c r="J70" i="11"/>
  <c r="Q98" i="11"/>
  <c r="N104" i="11"/>
  <c r="Y105" i="11"/>
  <c r="S62" i="11"/>
  <c r="L106" i="10"/>
  <c r="O72" i="10"/>
  <c r="M84" i="10"/>
  <c r="Q105" i="11"/>
  <c r="N110" i="11"/>
  <c r="Y111" i="11"/>
  <c r="R63" i="11"/>
  <c r="L112" i="10"/>
  <c r="M65" i="12"/>
  <c r="Y81" i="11"/>
  <c r="V87" i="11"/>
  <c r="P89" i="11"/>
  <c r="K68" i="11"/>
  <c r="S74" i="11"/>
  <c r="Q59" i="13"/>
  <c r="V77" i="12"/>
  <c r="P112" i="12"/>
  <c r="W109" i="12"/>
  <c r="O86" i="13"/>
  <c r="K61" i="13"/>
  <c r="L73" i="12"/>
  <c r="T70" i="12"/>
  <c r="Y84" i="12"/>
  <c r="O84" i="13"/>
  <c r="U75" i="13"/>
  <c r="V89" i="13"/>
  <c r="N95" i="12"/>
  <c r="S109" i="12"/>
  <c r="K76" i="12"/>
  <c r="S77" i="13"/>
  <c r="R61" i="13"/>
  <c r="I102" i="12"/>
  <c r="R67" i="12"/>
  <c r="W81" i="12"/>
  <c r="J95" i="12"/>
  <c r="J109" i="11"/>
  <c r="J103" i="11"/>
  <c r="V98" i="11"/>
  <c r="P101" i="11"/>
  <c r="R64" i="11"/>
  <c r="V96" i="10"/>
  <c r="O110" i="10"/>
  <c r="Q75" i="10"/>
  <c r="X111" i="11"/>
  <c r="V105" i="11"/>
  <c r="P107" i="11"/>
  <c r="L78" i="11"/>
  <c r="V103" i="10"/>
  <c r="Y68" i="10"/>
  <c r="V77" i="11"/>
  <c r="M82" i="11"/>
  <c r="X83" i="11"/>
  <c r="Y61" i="11"/>
  <c r="M80" i="10"/>
  <c r="Y65" i="12"/>
  <c r="S58" i="12"/>
  <c r="T65" i="13"/>
  <c r="Q103" i="13"/>
  <c r="I110" i="12"/>
  <c r="Q108" i="12"/>
  <c r="S65" i="12"/>
  <c r="Y111" i="13"/>
  <c r="R59" i="13"/>
  <c r="M68" i="12"/>
  <c r="L76" i="12"/>
  <c r="P89" i="12"/>
  <c r="W102" i="13"/>
  <c r="T106" i="13"/>
  <c r="R86" i="12"/>
  <c r="W100" i="12"/>
  <c r="O66" i="12"/>
  <c r="X107" i="13"/>
  <c r="O88" i="13"/>
  <c r="R104" i="13"/>
  <c r="R106" i="12"/>
  <c r="J73" i="12"/>
  <c r="O87" i="12"/>
  <c r="P61" i="12"/>
  <c r="W65" i="11"/>
  <c r="M94" i="11"/>
  <c r="J100" i="11"/>
  <c r="U101" i="11"/>
  <c r="L63" i="11"/>
  <c r="Y101" i="10"/>
  <c r="K67" i="10"/>
  <c r="I80" i="10"/>
  <c r="J65" i="15"/>
  <c r="S87" i="13"/>
  <c r="L60" i="14"/>
  <c r="N90" i="14"/>
  <c r="Y74" i="14"/>
  <c r="T78" i="14"/>
  <c r="N106" i="14"/>
  <c r="P96" i="12"/>
  <c r="M66" i="13"/>
  <c r="J69" i="12"/>
  <c r="Y72" i="13"/>
  <c r="T80" i="13"/>
  <c r="P62" i="13"/>
  <c r="U103" i="11"/>
  <c r="P110" i="10"/>
  <c r="U109" i="11"/>
  <c r="J59" i="11"/>
  <c r="L87" i="11"/>
  <c r="R59" i="11"/>
  <c r="U97" i="11"/>
  <c r="U95" i="10"/>
  <c r="W111" i="12"/>
  <c r="K68" i="13"/>
  <c r="Y109" i="12"/>
  <c r="X60" i="13"/>
  <c r="K101" i="12"/>
  <c r="Q67" i="13"/>
  <c r="O73" i="12"/>
  <c r="O89" i="11"/>
  <c r="M70" i="11"/>
  <c r="I66" i="10"/>
  <c r="Y97" i="11"/>
  <c r="X107" i="10"/>
  <c r="P75" i="11"/>
  <c r="U76" i="11"/>
  <c r="V66" i="12"/>
  <c r="S69" i="13"/>
  <c r="J88" i="12"/>
  <c r="I60" i="13"/>
  <c r="M78" i="12"/>
  <c r="K104" i="12"/>
  <c r="L97" i="12"/>
  <c r="X101" i="11"/>
  <c r="X98" i="10"/>
  <c r="S63" i="12"/>
  <c r="S63" i="11"/>
  <c r="S80" i="11"/>
  <c r="J64" i="11"/>
  <c r="P60" i="13"/>
  <c r="W59" i="12"/>
  <c r="Q73" i="12"/>
  <c r="I106" i="13"/>
  <c r="Y102" i="12"/>
  <c r="N106" i="13"/>
  <c r="L75" i="12"/>
  <c r="Y67" i="11"/>
  <c r="W103" i="11"/>
  <c r="M69" i="10"/>
  <c r="L108" i="11"/>
  <c r="J110" i="10"/>
  <c r="T84" i="11"/>
  <c r="R87" i="10"/>
  <c r="K109" i="13"/>
  <c r="T92" i="12"/>
  <c r="M61" i="13"/>
  <c r="L101" i="12"/>
  <c r="U75" i="12"/>
  <c r="J77" i="13"/>
  <c r="K87" i="12"/>
  <c r="V79" i="13"/>
  <c r="Y59" i="13"/>
  <c r="K107" i="12"/>
  <c r="P63" i="12"/>
  <c r="R80" i="11"/>
  <c r="I88" i="11"/>
  <c r="M88" i="10"/>
  <c r="M61" i="12"/>
  <c r="W73" i="11"/>
  <c r="N105" i="11"/>
  <c r="J69" i="11"/>
  <c r="T101" i="10"/>
  <c r="W66" i="10"/>
  <c r="M74" i="11"/>
  <c r="K80" i="11"/>
  <c r="V81" i="11"/>
  <c r="W59" i="11"/>
  <c r="N74" i="12"/>
  <c r="Y96" i="13"/>
  <c r="P82" i="13"/>
  <c r="L80" i="12"/>
  <c r="P74" i="12"/>
  <c r="W70" i="12"/>
  <c r="V75" i="13"/>
  <c r="W90" i="13"/>
  <c r="Y81" i="12"/>
  <c r="V87" i="12"/>
  <c r="I101" i="12"/>
  <c r="Y70" i="13"/>
  <c r="X110" i="13"/>
  <c r="K97" i="12"/>
  <c r="P111" i="12"/>
  <c r="Y77" i="12"/>
  <c r="L91" i="12"/>
  <c r="X77" i="13"/>
  <c r="W65" i="13"/>
  <c r="O69" i="12"/>
  <c r="T83" i="12"/>
  <c r="Y97" i="12"/>
  <c r="I63" i="12"/>
  <c r="P77" i="11"/>
  <c r="W105" i="11"/>
  <c r="T110" i="11"/>
  <c r="N112" i="11"/>
  <c r="M64" i="11"/>
  <c r="R112" i="10"/>
  <c r="U78" i="10"/>
  <c r="S91" i="10"/>
  <c r="L112" i="11"/>
  <c r="K74" i="11"/>
  <c r="V75" i="11"/>
  <c r="O62" i="11"/>
  <c r="K72" i="10"/>
  <c r="M66" i="12"/>
  <c r="N89" i="11"/>
  <c r="K94" i="11"/>
  <c r="V95" i="11"/>
  <c r="W68" i="11"/>
  <c r="I96" i="10"/>
  <c r="Q104" i="11"/>
  <c r="W100" i="11"/>
  <c r="Q102" i="11"/>
  <c r="T65" i="11"/>
  <c r="W97" i="10"/>
  <c r="P111" i="10"/>
  <c r="O76" i="11"/>
  <c r="R81" i="11"/>
  <c r="L83" i="11"/>
  <c r="M61" i="11"/>
  <c r="R79" i="10"/>
  <c r="K98" i="10"/>
  <c r="K73" i="11"/>
  <c r="L77" i="11"/>
  <c r="M62" i="11"/>
  <c r="J105" i="10"/>
  <c r="J97" i="11"/>
  <c r="J87" i="11"/>
  <c r="R62" i="11"/>
  <c r="I89" i="10"/>
  <c r="M73" i="12"/>
  <c r="O90" i="11"/>
  <c r="L95" i="11"/>
  <c r="W96" i="11"/>
  <c r="Y60" i="11"/>
  <c r="J97" i="10"/>
  <c r="S109" i="10"/>
  <c r="K76" i="10"/>
  <c r="X108" i="10"/>
  <c r="T87" i="10"/>
  <c r="Y100" i="9"/>
  <c r="O104" i="9"/>
  <c r="T92" i="9"/>
  <c r="L104" i="9"/>
  <c r="V3" i="1"/>
  <c r="M2" i="1"/>
  <c r="Y73" i="8"/>
  <c r="V88" i="10"/>
  <c r="M63" i="10"/>
  <c r="M103" i="9"/>
  <c r="U77" i="9"/>
  <c r="I91" i="9"/>
  <c r="Q63" i="9"/>
  <c r="Q104" i="8"/>
  <c r="T73" i="8"/>
  <c r="J81" i="10"/>
  <c r="T58" i="10"/>
  <c r="T97" i="9"/>
  <c r="O70" i="9"/>
  <c r="Q74" i="9"/>
  <c r="L67" i="9"/>
  <c r="T18" i="1"/>
  <c r="T60" i="12"/>
  <c r="U111" i="11"/>
  <c r="I65" i="11"/>
  <c r="R73" i="10"/>
  <c r="V63" i="12"/>
  <c r="U104" i="11"/>
  <c r="R90" i="11"/>
  <c r="U60" i="11"/>
  <c r="T102" i="10"/>
  <c r="V109" i="11"/>
  <c r="O104" i="11"/>
  <c r="I106" i="11"/>
  <c r="S70" i="11"/>
  <c r="O102" i="10"/>
  <c r="R67" i="10"/>
  <c r="J80" i="10"/>
  <c r="R91" i="10"/>
  <c r="U112" i="10"/>
  <c r="S61" i="10"/>
  <c r="P70" i="9"/>
  <c r="Q102" i="9"/>
  <c r="O88" i="9"/>
  <c r="J58" i="9"/>
  <c r="N25" i="1"/>
  <c r="O105" i="8"/>
  <c r="J73" i="10"/>
  <c r="U94" i="10"/>
  <c r="Y106" i="9"/>
  <c r="U73" i="9"/>
  <c r="S110" i="9"/>
  <c r="W63" i="9"/>
  <c r="L59" i="9"/>
  <c r="V11" i="1"/>
  <c r="I111" i="10"/>
  <c r="J89" i="10"/>
  <c r="K64" i="12"/>
  <c r="S109" i="11"/>
  <c r="X62" i="11"/>
  <c r="N68" i="10"/>
  <c r="M60" i="12"/>
  <c r="S102" i="11"/>
  <c r="P88" i="11"/>
  <c r="N74" i="11"/>
  <c r="P97" i="10"/>
  <c r="S106" i="11"/>
  <c r="M102" i="11"/>
  <c r="X103" i="11"/>
  <c r="O67" i="11"/>
  <c r="M100" i="10"/>
  <c r="W112" i="10"/>
  <c r="Y77" i="10"/>
  <c r="P89" i="10"/>
  <c r="L109" i="10"/>
  <c r="Q59" i="10"/>
  <c r="N68" i="9"/>
  <c r="N98" i="9"/>
  <c r="S82" i="9"/>
  <c r="T103" i="9"/>
  <c r="V110" i="8"/>
  <c r="N101" i="8"/>
  <c r="R68" i="10"/>
  <c r="M92" i="10"/>
  <c r="W104" i="9"/>
  <c r="L110" i="9"/>
  <c r="M104" i="9"/>
  <c r="V60" i="9"/>
  <c r="M109" i="8"/>
  <c r="T23" i="1"/>
  <c r="L108" i="10"/>
  <c r="S86" i="10"/>
  <c r="T102" i="11"/>
  <c r="U106" i="11"/>
  <c r="Y58" i="11"/>
  <c r="Y81" i="10"/>
  <c r="X79" i="11"/>
  <c r="K91" i="14"/>
  <c r="R74" i="12"/>
  <c r="T61" i="14"/>
  <c r="X91" i="14"/>
  <c r="U105" i="14"/>
  <c r="P61" i="14"/>
  <c r="T109" i="13"/>
  <c r="M77" i="12"/>
  <c r="V91" i="12"/>
  <c r="U86" i="13"/>
  <c r="P102" i="13"/>
  <c r="I95" i="12"/>
  <c r="M67" i="12"/>
  <c r="R108" i="11"/>
  <c r="N90" i="10"/>
  <c r="U84" i="11"/>
  <c r="U82" i="10"/>
  <c r="U105" i="11"/>
  <c r="S107" i="10"/>
  <c r="U73" i="11"/>
  <c r="J83" i="11"/>
  <c r="X68" i="12"/>
  <c r="X84" i="13"/>
  <c r="L90" i="12"/>
  <c r="K78" i="13"/>
  <c r="O80" i="12"/>
  <c r="M106" i="12"/>
  <c r="N100" i="12"/>
  <c r="I104" i="11"/>
  <c r="I102" i="10"/>
  <c r="T58" i="12"/>
  <c r="V65" i="11"/>
  <c r="K84" i="11"/>
  <c r="O66" i="11"/>
  <c r="Y65" i="13"/>
  <c r="J81" i="12"/>
  <c r="M93" i="12"/>
  <c r="S75" i="13"/>
  <c r="K111" i="12"/>
  <c r="N104" i="13"/>
  <c r="O83" i="12"/>
  <c r="M63" i="12"/>
  <c r="X76" i="11"/>
  <c r="V78" i="10"/>
  <c r="J78" i="11"/>
  <c r="U62" i="11"/>
  <c r="J98" i="11"/>
  <c r="I88" i="12"/>
  <c r="P84" i="12"/>
  <c r="K82" i="13"/>
  <c r="I92" i="12"/>
  <c r="X61" i="13"/>
  <c r="L82" i="12"/>
  <c r="K96" i="13"/>
  <c r="L103" i="12"/>
  <c r="J110" i="11"/>
  <c r="T59" i="11"/>
  <c r="W95" i="10"/>
  <c r="I80" i="11"/>
  <c r="Y89" i="10"/>
  <c r="I101" i="11"/>
  <c r="W110" i="11"/>
  <c r="S93" i="12"/>
  <c r="W76" i="12"/>
  <c r="M62" i="13"/>
  <c r="O84" i="12"/>
  <c r="N109" i="13"/>
  <c r="N58" i="13"/>
  <c r="P73" i="12"/>
  <c r="W94" i="13"/>
  <c r="S112" i="12"/>
  <c r="P93" i="12"/>
  <c r="X62" i="12"/>
  <c r="O110" i="11"/>
  <c r="M66" i="11"/>
  <c r="R74" i="10"/>
  <c r="W58" i="12"/>
  <c r="T103" i="11"/>
  <c r="S91" i="11"/>
  <c r="N69" i="11"/>
  <c r="Y87" i="10"/>
  <c r="R101" i="10"/>
  <c r="K105" i="11"/>
  <c r="Y109" i="11"/>
  <c r="S111" i="11"/>
  <c r="W62" i="11"/>
  <c r="W63" i="12"/>
  <c r="M110" i="13"/>
  <c r="L63" i="13"/>
  <c r="X107" i="12"/>
  <c r="O106" i="12"/>
  <c r="S64" i="12"/>
  <c r="I101" i="13"/>
  <c r="S60" i="13"/>
  <c r="K66" i="12"/>
  <c r="J74" i="12"/>
  <c r="N87" i="12"/>
  <c r="T98" i="13"/>
  <c r="M79" i="13"/>
  <c r="P83" i="12"/>
  <c r="U97" i="12"/>
  <c r="I112" i="12"/>
  <c r="Y102" i="13"/>
  <c r="L73" i="13"/>
  <c r="U65" i="13"/>
  <c r="P104" i="12"/>
  <c r="Y69" i="12"/>
  <c r="M84" i="12"/>
  <c r="N59" i="12"/>
  <c r="W83" i="12"/>
  <c r="K92" i="11"/>
  <c r="Y96" i="11"/>
  <c r="S98" i="11"/>
  <c r="K58" i="11"/>
  <c r="W98" i="10"/>
  <c r="O111" i="10"/>
  <c r="X77" i="10"/>
  <c r="K98" i="11"/>
  <c r="Y103" i="11"/>
  <c r="S105" i="11"/>
  <c r="T61" i="11"/>
  <c r="W105" i="10"/>
  <c r="T61" i="12"/>
  <c r="S75" i="11"/>
  <c r="P80" i="11"/>
  <c r="J82" i="11"/>
  <c r="I64" i="11"/>
  <c r="N82" i="10"/>
  <c r="P83" i="11"/>
  <c r="K87" i="11"/>
  <c r="V88" i="11"/>
  <c r="Y65" i="11"/>
  <c r="K84" i="10"/>
  <c r="U97" i="10"/>
  <c r="R106" i="11"/>
  <c r="O111" i="11"/>
  <c r="Q69" i="11"/>
  <c r="U65" i="11"/>
  <c r="W65" i="10"/>
  <c r="U70" i="10"/>
  <c r="Q93" i="11"/>
  <c r="R97" i="11"/>
  <c r="Q91" i="10"/>
  <c r="M89" i="10"/>
  <c r="M81" i="11"/>
  <c r="Q108" i="11"/>
  <c r="O73" i="11"/>
  <c r="L73" i="10"/>
  <c r="J63" i="12"/>
  <c r="T76" i="11"/>
  <c r="Q81" i="11"/>
  <c r="K83" i="11"/>
  <c r="K77" i="11"/>
  <c r="O83" i="10"/>
  <c r="X95" i="10"/>
  <c r="O107" i="10"/>
  <c r="W88" i="10"/>
  <c r="K70" i="10"/>
  <c r="M87" i="9"/>
  <c r="N83" i="9"/>
  <c r="R65" i="9"/>
  <c r="R96" i="9"/>
  <c r="N100" i="8"/>
  <c r="L106" i="8"/>
  <c r="Y19" i="1"/>
  <c r="P68" i="10"/>
  <c r="S58" i="10"/>
  <c r="R89" i="9"/>
  <c r="P61" i="9"/>
  <c r="W58" i="9"/>
  <c r="N77" i="9"/>
  <c r="S67" i="8"/>
  <c r="U91" i="10"/>
  <c r="J108" i="10"/>
  <c r="J62" i="10"/>
  <c r="Y83" i="9"/>
  <c r="X110" i="9"/>
  <c r="P94" i="9"/>
  <c r="K58" i="9"/>
  <c r="Y64" i="8"/>
  <c r="K97" i="11"/>
  <c r="V93" i="11"/>
  <c r="O75" i="11"/>
  <c r="I103" i="10"/>
  <c r="K110" i="11"/>
  <c r="X88" i="11"/>
  <c r="U74" i="11"/>
  <c r="N65" i="11"/>
  <c r="U83" i="10"/>
  <c r="U89" i="11"/>
  <c r="T90" i="11"/>
  <c r="N92" i="11"/>
  <c r="N72" i="11"/>
  <c r="T88" i="10"/>
  <c r="M102" i="10"/>
  <c r="O66" i="10"/>
  <c r="W77" i="10"/>
  <c r="T92" i="10"/>
  <c r="Y65" i="10"/>
  <c r="U105" i="9"/>
  <c r="P81" i="9"/>
  <c r="R101" i="9"/>
  <c r="R106" i="9"/>
  <c r="M98" i="8"/>
  <c r="S4" i="1"/>
  <c r="O98" i="10"/>
  <c r="R78" i="10"/>
  <c r="M93" i="9"/>
  <c r="N93" i="9"/>
  <c r="S76" i="9"/>
  <c r="T77" i="9"/>
  <c r="K67" i="8"/>
  <c r="Y68" i="8"/>
  <c r="Y90" i="10"/>
  <c r="X72" i="10"/>
  <c r="Y93" i="11"/>
  <c r="T91" i="11"/>
  <c r="Q68" i="11"/>
  <c r="X100" i="10"/>
  <c r="N107" i="11"/>
  <c r="V86" i="11"/>
  <c r="S72" i="11"/>
  <c r="X63" i="11"/>
  <c r="S81" i="10"/>
  <c r="R86" i="11"/>
  <c r="R88" i="11"/>
  <c r="L90" i="11"/>
  <c r="T67" i="11"/>
  <c r="R86" i="10"/>
  <c r="K100" i="10"/>
  <c r="I112" i="10"/>
  <c r="U75" i="10"/>
  <c r="K89" i="10"/>
  <c r="S63" i="10"/>
  <c r="S103" i="9"/>
  <c r="M78" i="9"/>
  <c r="K92" i="9"/>
  <c r="S65" i="9"/>
  <c r="Q49" i="1"/>
  <c r="U41" i="1"/>
  <c r="W94" i="10"/>
  <c r="J76" i="10"/>
  <c r="K91" i="9"/>
  <c r="K90" i="9"/>
  <c r="L72" i="9"/>
  <c r="M70" i="9"/>
  <c r="K84" i="13"/>
  <c r="K92" i="12"/>
  <c r="R112" i="12"/>
  <c r="J58" i="13"/>
  <c r="M77" i="13"/>
  <c r="I70" i="13"/>
  <c r="O87" i="14"/>
  <c r="N97" i="13"/>
  <c r="S72" i="12"/>
  <c r="V60" i="13"/>
  <c r="W79" i="12"/>
  <c r="N109" i="12"/>
  <c r="R81" i="12"/>
  <c r="L110" i="11"/>
  <c r="S76" i="10"/>
  <c r="I72" i="11"/>
  <c r="I69" i="10"/>
  <c r="I92" i="11"/>
  <c r="X93" i="10"/>
  <c r="O100" i="11"/>
  <c r="U77" i="13"/>
  <c r="W101" i="12"/>
  <c r="K64" i="13"/>
  <c r="Q76" i="12"/>
  <c r="I94" i="13"/>
  <c r="T66" i="12"/>
  <c r="R92" i="12"/>
  <c r="S86" i="12"/>
  <c r="N90" i="11"/>
  <c r="N88" i="10"/>
  <c r="L98" i="11"/>
  <c r="J62" i="11"/>
  <c r="W111" i="11"/>
  <c r="V61" i="11"/>
  <c r="S61" i="13"/>
  <c r="Y111" i="12"/>
  <c r="N75" i="12"/>
  <c r="S89" i="13"/>
  <c r="P97" i="12"/>
  <c r="K81" i="13"/>
  <c r="T69" i="12"/>
  <c r="L111" i="11"/>
  <c r="R103" i="11"/>
  <c r="Q112" i="10"/>
  <c r="X107" i="11"/>
  <c r="X105" i="10"/>
  <c r="O84" i="11"/>
  <c r="Y64" i="12"/>
  <c r="Q66" i="12"/>
  <c r="P77" i="13"/>
  <c r="N78" i="12"/>
  <c r="T60" i="13"/>
  <c r="Q68" i="12"/>
  <c r="S63" i="13"/>
  <c r="Q89" i="12"/>
  <c r="O96" i="11"/>
  <c r="X72" i="11"/>
  <c r="K82" i="10"/>
  <c r="W109" i="11"/>
  <c r="I61" i="12"/>
  <c r="N87" i="11"/>
  <c r="V90" i="11"/>
  <c r="T75" i="12"/>
  <c r="U107" i="12"/>
  <c r="V108" i="13"/>
  <c r="R68" i="12"/>
  <c r="K80" i="13"/>
  <c r="T61" i="13"/>
  <c r="Q107" i="12"/>
  <c r="V74" i="13"/>
  <c r="X98" i="12"/>
  <c r="U79" i="12"/>
  <c r="Y106" i="11"/>
  <c r="S106" i="14"/>
  <c r="O62" i="13"/>
  <c r="O82" i="12"/>
  <c r="M105" i="13"/>
  <c r="V106" i="13"/>
  <c r="U72" i="12"/>
  <c r="S94" i="14"/>
  <c r="M65" i="13"/>
  <c r="N87" i="13"/>
  <c r="W73" i="12"/>
  <c r="T84" i="12"/>
  <c r="W75" i="12"/>
  <c r="W95" i="12"/>
  <c r="P58" i="11"/>
  <c r="L103" i="10"/>
  <c r="O87" i="11"/>
  <c r="N96" i="10"/>
  <c r="O107" i="11"/>
  <c r="U58" i="12"/>
  <c r="Q67" i="11"/>
  <c r="Q70" i="13"/>
  <c r="O67" i="12"/>
  <c r="R79" i="12"/>
  <c r="W93" i="13"/>
  <c r="R100" i="12"/>
  <c r="Y83" i="13"/>
  <c r="V72" i="12"/>
  <c r="O59" i="12"/>
  <c r="T105" i="11"/>
  <c r="L67" i="10"/>
  <c r="I110" i="11"/>
  <c r="I108" i="10"/>
  <c r="Q87" i="11"/>
  <c r="Q84" i="10"/>
  <c r="J103" i="12"/>
  <c r="M76" i="13"/>
  <c r="S89" i="12"/>
  <c r="J68" i="13"/>
  <c r="T77" i="12"/>
  <c r="P58" i="13"/>
  <c r="T97" i="12"/>
  <c r="J59" i="12"/>
  <c r="V76" i="11"/>
  <c r="N91" i="10"/>
  <c r="X82" i="11"/>
  <c r="V84" i="10"/>
  <c r="U100" i="11"/>
  <c r="P106" i="13"/>
  <c r="V80" i="12"/>
  <c r="N74" i="13"/>
  <c r="M105" i="12"/>
  <c r="O102" i="12"/>
  <c r="P95" i="12"/>
  <c r="S74" i="12"/>
  <c r="T67" i="12"/>
  <c r="O72" i="11"/>
  <c r="O69" i="10"/>
  <c r="V70" i="11"/>
  <c r="J58" i="11"/>
  <c r="R93" i="11"/>
  <c r="N61" i="11"/>
  <c r="P90" i="11"/>
  <c r="L94" i="12"/>
  <c r="P98" i="13"/>
  <c r="U102" i="12"/>
  <c r="M110" i="12"/>
  <c r="V81" i="13"/>
  <c r="W72" i="12"/>
  <c r="P101" i="12"/>
  <c r="O68" i="13"/>
  <c r="W92" i="12"/>
  <c r="T73" i="12"/>
  <c r="V62" i="12"/>
  <c r="O86" i="11"/>
  <c r="Q61" i="11"/>
  <c r="V100" i="10"/>
  <c r="S67" i="11"/>
  <c r="J106" i="11"/>
  <c r="U107" i="11"/>
  <c r="P68" i="11"/>
  <c r="Y107" i="10"/>
  <c r="Q64" i="12"/>
  <c r="U77" i="11"/>
  <c r="R82" i="11"/>
  <c r="L84" i="11"/>
  <c r="P61" i="11"/>
  <c r="N88" i="11"/>
  <c r="P89" i="13"/>
  <c r="Q91" i="12"/>
  <c r="M76" i="12"/>
  <c r="U74" i="12"/>
  <c r="V100" i="13"/>
  <c r="K60" i="13"/>
  <c r="V83" i="12"/>
  <c r="M82" i="12"/>
  <c r="P94" i="12"/>
  <c r="N103" i="13"/>
  <c r="N75" i="13"/>
  <c r="Y69" i="13"/>
  <c r="V104" i="12"/>
  <c r="N70" i="12"/>
  <c r="S84" i="12"/>
  <c r="N91" i="13"/>
  <c r="V77" i="13"/>
  <c r="Q110" i="12"/>
  <c r="I77" i="12"/>
  <c r="N91" i="12"/>
  <c r="R104" i="12"/>
  <c r="R61" i="12"/>
  <c r="T63" i="12"/>
  <c r="M108" i="11"/>
  <c r="X109" i="11"/>
  <c r="Y63" i="11"/>
  <c r="M106" i="10"/>
  <c r="P72" i="10"/>
  <c r="Y83" i="10"/>
  <c r="I58" i="12"/>
  <c r="U70" i="11"/>
  <c r="R76" i="11"/>
  <c r="T74" i="11"/>
  <c r="M112" i="10"/>
  <c r="P78" i="10"/>
  <c r="Q91" i="11"/>
  <c r="U91" i="11"/>
  <c r="O93" i="11"/>
  <c r="Q77" i="11"/>
  <c r="U89" i="10"/>
  <c r="N103" i="10"/>
  <c r="P97" i="11"/>
  <c r="M103" i="11"/>
  <c r="X104" i="11"/>
  <c r="J60" i="11"/>
  <c r="K105" i="10"/>
  <c r="M59" i="12"/>
  <c r="K79" i="11"/>
  <c r="Y83" i="11"/>
  <c r="S86" i="11"/>
  <c r="I68" i="11"/>
  <c r="W86" i="10"/>
  <c r="T107" i="11"/>
  <c r="X95" i="11"/>
  <c r="M59" i="11"/>
  <c r="M107" i="10"/>
  <c r="R62" i="12"/>
  <c r="I91" i="11"/>
  <c r="W76" i="11"/>
  <c r="N59" i="11"/>
  <c r="Y88" i="10"/>
  <c r="X92" i="11"/>
  <c r="V92" i="11"/>
  <c r="P94" i="11"/>
  <c r="R58" i="11"/>
  <c r="V90" i="10"/>
  <c r="O104" i="10"/>
  <c r="Q68" i="10"/>
  <c r="Y79" i="10"/>
  <c r="Q95" i="10"/>
  <c r="P59" i="10"/>
  <c r="W107" i="9"/>
  <c r="S84" i="9"/>
  <c r="J111" i="9"/>
  <c r="U74" i="9"/>
  <c r="M84" i="8"/>
  <c r="M47" i="1"/>
  <c r="L102" i="10"/>
  <c r="I81" i="10"/>
  <c r="O95" i="9"/>
  <c r="Q96" i="9"/>
  <c r="O81" i="9"/>
  <c r="V84" i="9"/>
  <c r="S17" i="1"/>
  <c r="N79" i="8"/>
  <c r="Q94" i="10"/>
  <c r="O75" i="10"/>
  <c r="V90" i="9"/>
  <c r="S89" i="9"/>
  <c r="S70" i="9"/>
  <c r="Q69" i="9"/>
  <c r="W41" i="1"/>
  <c r="O82" i="10"/>
  <c r="Y88" i="11"/>
  <c r="I93" i="11"/>
  <c r="I67" i="11"/>
  <c r="O70" i="10"/>
  <c r="K111" i="11"/>
  <c r="V100" i="11"/>
  <c r="Q83" i="11"/>
  <c r="U102" i="10"/>
  <c r="S102" i="10"/>
  <c r="Y101" i="11"/>
  <c r="V106" i="11"/>
  <c r="P108" i="11"/>
  <c r="I75" i="11"/>
  <c r="T108" i="10"/>
  <c r="W74" i="10"/>
  <c r="U87" i="10"/>
  <c r="V79" i="10"/>
  <c r="O101" i="10"/>
  <c r="R111" i="9"/>
  <c r="N78" i="9"/>
  <c r="P102" i="9"/>
  <c r="O74" i="9"/>
  <c r="Y94" i="9"/>
  <c r="U62" i="8"/>
  <c r="V86" i="8"/>
  <c r="I106" i="10"/>
  <c r="Q65" i="10"/>
  <c r="W65" i="9"/>
  <c r="S94" i="9"/>
  <c r="I77" i="9"/>
  <c r="M91" i="9"/>
  <c r="U98" i="8"/>
  <c r="Y36" i="1"/>
  <c r="S97" i="10"/>
  <c r="K78" i="10"/>
  <c r="W86" i="11"/>
  <c r="X90" i="11"/>
  <c r="N58" i="11"/>
  <c r="M68" i="10"/>
  <c r="T108" i="11"/>
  <c r="R95" i="11"/>
  <c r="O81" i="11"/>
  <c r="S100" i="10"/>
  <c r="Q100" i="10"/>
  <c r="W98" i="11"/>
  <c r="T104" i="11"/>
  <c r="N106" i="11"/>
  <c r="T63" i="11"/>
  <c r="R106" i="10"/>
  <c r="U72" i="10"/>
  <c r="S84" i="10"/>
  <c r="M76" i="10"/>
  <c r="R97" i="10"/>
  <c r="P109" i="9"/>
  <c r="L76" i="9"/>
  <c r="M98" i="9"/>
  <c r="K68" i="9"/>
  <c r="O91" i="9"/>
  <c r="I86" i="8"/>
  <c r="N18" i="1"/>
  <c r="Q102" i="10"/>
  <c r="N63" i="10"/>
  <c r="U111" i="9"/>
  <c r="P91" i="9"/>
  <c r="R72" i="9"/>
  <c r="L69" i="9"/>
  <c r="O16" i="1"/>
  <c r="R62" i="8"/>
  <c r="V94" i="10"/>
  <c r="P105" i="10"/>
  <c r="X81" i="11"/>
  <c r="Y86" i="11"/>
  <c r="I82" i="10"/>
  <c r="U63" i="12"/>
  <c r="P79" i="14"/>
  <c r="R93" i="14"/>
  <c r="O105" i="13"/>
  <c r="R112" i="13"/>
  <c r="K60" i="12"/>
  <c r="N90" i="12"/>
  <c r="N61" i="14"/>
  <c r="W94" i="12"/>
  <c r="X63" i="13"/>
  <c r="N72" i="12"/>
  <c r="X97" i="12"/>
  <c r="J89" i="12"/>
  <c r="X60" i="12"/>
  <c r="Q60" i="11"/>
  <c r="Q89" i="10"/>
  <c r="T73" i="11"/>
  <c r="Q59" i="12"/>
  <c r="T93" i="11"/>
  <c r="N101" i="11"/>
  <c r="Q63" i="11"/>
  <c r="U64" i="13"/>
  <c r="M98" i="12"/>
  <c r="O109" i="12"/>
  <c r="X108" i="13"/>
  <c r="W86" i="12"/>
  <c r="T111" i="13"/>
  <c r="W106" i="12"/>
  <c r="S100" i="11"/>
  <c r="Y91" i="11"/>
  <c r="X101" i="10"/>
  <c r="N96" i="11"/>
  <c r="N94" i="10"/>
  <c r="V73" i="11"/>
  <c r="V70" i="10"/>
  <c r="X79" i="12"/>
  <c r="L89" i="13"/>
  <c r="V73" i="12"/>
  <c r="L84" i="13"/>
  <c r="U111" i="12"/>
  <c r="T63" i="13"/>
  <c r="Y83" i="12"/>
  <c r="X105" i="11"/>
  <c r="Y66" i="11"/>
  <c r="S77" i="10"/>
  <c r="R109" i="11"/>
  <c r="J72" i="10"/>
  <c r="I87" i="11"/>
  <c r="L76" i="13"/>
  <c r="S110" i="12"/>
  <c r="I76" i="13"/>
  <c r="R91" i="12"/>
  <c r="T88" i="12"/>
  <c r="W66" i="13"/>
  <c r="T108" i="12"/>
  <c r="R63" i="12"/>
  <c r="L102" i="11"/>
  <c r="J104" i="10"/>
  <c r="O103" i="11"/>
  <c r="I60" i="11"/>
  <c r="W79" i="11"/>
  <c r="L59" i="11"/>
  <c r="Q72" i="11"/>
  <c r="O78" i="12"/>
  <c r="M109" i="13"/>
  <c r="X86" i="12"/>
  <c r="R96" i="12"/>
  <c r="Q90" i="13"/>
  <c r="X106" i="12"/>
  <c r="U87" i="12"/>
  <c r="J89" i="13"/>
  <c r="K79" i="12"/>
  <c r="T106" i="12"/>
  <c r="U59" i="12"/>
  <c r="I112" i="11"/>
  <c r="O108" i="10"/>
  <c r="J87" i="10"/>
  <c r="M101" i="11"/>
  <c r="O92" i="11"/>
  <c r="I94" i="11"/>
  <c r="V60" i="11"/>
  <c r="M94" i="10"/>
  <c r="S62" i="12"/>
  <c r="R107" i="11"/>
  <c r="L109" i="11"/>
  <c r="M63" i="11"/>
  <c r="R105" i="10"/>
  <c r="O69" i="11"/>
  <c r="P95" i="13"/>
  <c r="R73" i="12"/>
  <c r="L108" i="12"/>
  <c r="Q103" i="12"/>
  <c r="Q75" i="13"/>
  <c r="V82" i="13"/>
  <c r="Y67" i="12"/>
  <c r="P66" i="12"/>
  <c r="U80" i="12"/>
  <c r="X75" i="13"/>
  <c r="K65" i="13"/>
  <c r="W62" i="13"/>
  <c r="J91" i="12"/>
  <c r="O105" i="12"/>
  <c r="X70" i="12"/>
  <c r="M70" i="13"/>
  <c r="W103" i="13"/>
  <c r="V96" i="12"/>
  <c r="J111" i="12"/>
  <c r="S77" i="12"/>
  <c r="W90" i="12"/>
  <c r="W104" i="11"/>
  <c r="U95" i="11"/>
  <c r="R94" i="11"/>
  <c r="L96" i="11"/>
  <c r="N60" i="11"/>
  <c r="R92" i="10"/>
  <c r="K106" i="10"/>
  <c r="M70" i="10"/>
  <c r="R105" i="11"/>
  <c r="R101" i="11"/>
  <c r="L103" i="11"/>
  <c r="Q66" i="11"/>
  <c r="R98" i="10"/>
  <c r="K112" i="10"/>
  <c r="P70" i="11"/>
  <c r="I78" i="11"/>
  <c r="T79" i="11"/>
  <c r="U75" i="11"/>
  <c r="I76" i="10"/>
  <c r="V61" i="12"/>
  <c r="U83" i="11"/>
  <c r="R89" i="11"/>
  <c r="L91" i="11"/>
  <c r="W61" i="11"/>
  <c r="P91" i="10"/>
  <c r="Q61" i="12"/>
  <c r="Y108" i="11"/>
  <c r="S110" i="11"/>
  <c r="T64" i="11"/>
  <c r="Y106" i="10"/>
  <c r="K73" i="10"/>
  <c r="R66" i="11"/>
  <c r="Y77" i="11"/>
  <c r="L65" i="11"/>
  <c r="N89" i="10"/>
  <c r="J90" i="11"/>
  <c r="L75" i="11"/>
  <c r="R104" i="11"/>
  <c r="S64" i="11"/>
  <c r="I70" i="10"/>
  <c r="W72" i="11"/>
  <c r="J79" i="11"/>
  <c r="U80" i="11"/>
  <c r="V58" i="11"/>
  <c r="J77" i="10"/>
  <c r="T90" i="10"/>
  <c r="R103" i="10"/>
  <c r="N66" i="10"/>
  <c r="P75" i="10"/>
  <c r="L63" i="10"/>
  <c r="K94" i="9"/>
  <c r="K66" i="9"/>
  <c r="P65" i="9"/>
  <c r="T93" i="9"/>
  <c r="N60" i="8"/>
  <c r="X17" i="1"/>
  <c r="K81" i="10"/>
  <c r="Q64" i="10"/>
  <c r="T81" i="9"/>
  <c r="P76" i="9"/>
  <c r="Y59" i="9"/>
  <c r="Y79" i="9"/>
  <c r="V90" i="8"/>
  <c r="T35" i="1"/>
  <c r="P74" i="10"/>
  <c r="W58" i="10"/>
  <c r="J77" i="9"/>
  <c r="Y110" i="9"/>
  <c r="U103" i="9"/>
  <c r="O66" i="9"/>
  <c r="M48" i="1"/>
  <c r="V91" i="10"/>
  <c r="N109" i="11"/>
  <c r="W69" i="11"/>
  <c r="N107" i="10"/>
  <c r="Y102" i="10"/>
  <c r="Y94" i="11"/>
  <c r="W81" i="11"/>
  <c r="T72" i="11"/>
  <c r="X86" i="10"/>
  <c r="O63" i="12"/>
  <c r="M88" i="11"/>
  <c r="J93" i="11"/>
  <c r="U94" i="11"/>
  <c r="P63" i="11"/>
  <c r="Y94" i="10"/>
  <c r="Q107" i="10"/>
  <c r="I74" i="10"/>
  <c r="J106" i="10"/>
  <c r="W83" i="10"/>
  <c r="W97" i="9"/>
  <c r="L101" i="9"/>
  <c r="X87" i="9"/>
  <c r="L94" i="9"/>
  <c r="T106" i="8"/>
  <c r="R11" i="1"/>
  <c r="L62" i="8"/>
  <c r="Y84" i="10"/>
  <c r="K61" i="10"/>
  <c r="K101" i="9"/>
  <c r="R74" i="9"/>
  <c r="W82" i="9"/>
  <c r="L90" i="9"/>
  <c r="U109" i="8"/>
  <c r="Q21" i="1"/>
  <c r="R77" i="10"/>
  <c r="T89" i="10"/>
  <c r="L107" i="11"/>
  <c r="M111" i="11"/>
  <c r="L105" i="10"/>
  <c r="W100" i="10"/>
  <c r="U90" i="11"/>
  <c r="U79" i="11"/>
  <c r="V67" i="11"/>
  <c r="V83" i="10"/>
  <c r="T64" i="12"/>
  <c r="K86" i="11"/>
  <c r="Y90" i="11"/>
  <c r="S92" i="11"/>
  <c r="U68" i="11"/>
  <c r="W92" i="10"/>
  <c r="O105" i="10"/>
  <c r="X70" i="10"/>
  <c r="R102" i="10"/>
  <c r="O81" i="10"/>
  <c r="U95" i="9"/>
  <c r="I97" i="9"/>
  <c r="K82" i="9"/>
  <c r="I87" i="9"/>
  <c r="P68" i="8"/>
  <c r="I27" i="1"/>
  <c r="M54" i="1"/>
  <c r="P81" i="10"/>
  <c r="I59" i="10"/>
  <c r="I98" i="9"/>
  <c r="W70" i="9"/>
  <c r="U75" i="9"/>
  <c r="V68" i="9"/>
  <c r="L10" i="1"/>
  <c r="L54" i="1"/>
  <c r="U74" i="10"/>
  <c r="U64" i="12"/>
  <c r="Q107" i="11"/>
  <c r="Y73" i="11"/>
  <c r="L66" i="10"/>
  <c r="N63" i="12"/>
  <c r="L69" i="14"/>
  <c r="O88" i="14"/>
  <c r="T95" i="14"/>
  <c r="S72" i="15"/>
  <c r="W89" i="14"/>
  <c r="R86" i="14"/>
  <c r="Q69" i="13"/>
  <c r="W60" i="12"/>
  <c r="J84" i="12"/>
  <c r="U68" i="12"/>
  <c r="V67" i="13"/>
  <c r="J75" i="13"/>
  <c r="N75" i="11"/>
  <c r="U76" i="10"/>
  <c r="N81" i="11"/>
  <c r="P64" i="11"/>
  <c r="X100" i="11"/>
  <c r="K67" i="11"/>
  <c r="P111" i="11"/>
  <c r="P109" i="10"/>
  <c r="M87" i="12"/>
  <c r="U92" i="13"/>
  <c r="X75" i="12"/>
  <c r="X97" i="13"/>
  <c r="J66" i="12"/>
  <c r="L66" i="13"/>
  <c r="J87" i="12"/>
  <c r="P109" i="11"/>
  <c r="R69" i="11"/>
  <c r="U79" i="10"/>
  <c r="T111" i="11"/>
  <c r="L74" i="10"/>
  <c r="K89" i="11"/>
  <c r="I102" i="11"/>
  <c r="S82" i="12"/>
  <c r="R73" i="13"/>
  <c r="V101" i="12"/>
  <c r="U88" i="13"/>
  <c r="Y91" i="12"/>
  <c r="U60" i="13"/>
  <c r="X110" i="12"/>
  <c r="J72" i="11"/>
  <c r="S112" i="10"/>
  <c r="L65" i="12"/>
  <c r="R84" i="11"/>
  <c r="T101" i="11"/>
  <c r="W63" i="11"/>
  <c r="P61" i="13"/>
  <c r="J76" i="12"/>
  <c r="N89" i="12"/>
  <c r="N78" i="13"/>
  <c r="X67" i="12"/>
  <c r="M84" i="13"/>
  <c r="X88" i="12"/>
  <c r="T81" i="11"/>
  <c r="I74" i="11"/>
  <c r="Y82" i="10"/>
  <c r="O78" i="11"/>
  <c r="O76" i="10"/>
  <c r="O98" i="11"/>
  <c r="M101" i="10"/>
  <c r="K103" i="13"/>
  <c r="N110" i="12"/>
  <c r="I79" i="13"/>
  <c r="J70" i="12"/>
  <c r="W82" i="12"/>
  <c r="J69" i="13"/>
  <c r="L93" i="12"/>
  <c r="I74" i="12"/>
  <c r="P59" i="13"/>
  <c r="P65" i="12"/>
  <c r="Y92" i="12"/>
  <c r="R98" i="11"/>
  <c r="N98" i="11"/>
  <c r="T94" i="10"/>
  <c r="O73" i="10"/>
  <c r="R87" i="11"/>
  <c r="T78" i="11"/>
  <c r="N80" i="11"/>
  <c r="P76" i="11"/>
  <c r="R80" i="10"/>
  <c r="N94" i="11"/>
  <c r="W93" i="11"/>
  <c r="Q95" i="11"/>
  <c r="S59" i="11"/>
  <c r="W91" i="10"/>
  <c r="O91" i="13"/>
  <c r="X64" i="13"/>
  <c r="K98" i="12"/>
  <c r="M90" i="12"/>
  <c r="T87" i="12"/>
  <c r="O100" i="13"/>
  <c r="Q63" i="13"/>
  <c r="X100" i="12"/>
  <c r="Q101" i="12"/>
  <c r="I67" i="12"/>
  <c r="I92" i="13"/>
  <c r="W78" i="13"/>
  <c r="W110" i="12"/>
  <c r="O77" i="12"/>
  <c r="T91" i="12"/>
  <c r="X104" i="12"/>
  <c r="Y97" i="13"/>
  <c r="K77" i="13"/>
  <c r="J83" i="12"/>
  <c r="O97" i="12"/>
  <c r="T111" i="12"/>
  <c r="K77" i="12"/>
  <c r="K91" i="11"/>
  <c r="T75" i="11"/>
  <c r="W80" i="11"/>
  <c r="Q82" i="11"/>
  <c r="R60" i="11"/>
  <c r="W78" i="10"/>
  <c r="P92" i="10"/>
  <c r="N105" i="10"/>
  <c r="Q84" i="11"/>
  <c r="W87" i="11"/>
  <c r="Q89" i="11"/>
  <c r="V66" i="11"/>
  <c r="W84" i="10"/>
  <c r="P98" i="10"/>
  <c r="I103" i="11"/>
  <c r="W107" i="11"/>
  <c r="Q109" i="11"/>
  <c r="P59" i="11"/>
  <c r="U109" i="10"/>
  <c r="L62" i="12"/>
  <c r="I70" i="11"/>
  <c r="W75" i="11"/>
  <c r="Y70" i="11"/>
  <c r="R111" i="10"/>
  <c r="U77" i="10"/>
  <c r="P96" i="11"/>
  <c r="M95" i="11"/>
  <c r="X96" i="11"/>
  <c r="I61" i="11"/>
  <c r="M93" i="10"/>
  <c r="J96" i="10"/>
  <c r="J91" i="11"/>
  <c r="K95" i="11"/>
  <c r="N67" i="11"/>
  <c r="Q73" i="10"/>
  <c r="L66" i="11"/>
  <c r="X102" i="11"/>
  <c r="U88" i="11"/>
  <c r="W104" i="10"/>
  <c r="U104" i="10"/>
  <c r="J104" i="11"/>
  <c r="X108" i="11"/>
  <c r="R110" i="11"/>
  <c r="J61" i="11"/>
  <c r="V110" i="10"/>
  <c r="Y76" i="10"/>
  <c r="W89" i="10"/>
  <c r="S82" i="10"/>
  <c r="W103" i="10"/>
  <c r="R58" i="10"/>
  <c r="P80" i="9"/>
  <c r="S105" i="9"/>
  <c r="R81" i="9"/>
  <c r="I96" i="9"/>
  <c r="V47" i="1"/>
  <c r="O102" i="8"/>
  <c r="W108" i="10"/>
  <c r="K59" i="10"/>
  <c r="Y67" i="9"/>
  <c r="V97" i="9"/>
  <c r="V81" i="9"/>
  <c r="J102" i="9"/>
  <c r="V55" i="1"/>
  <c r="N9" i="1"/>
  <c r="K102" i="10"/>
  <c r="Y62" i="10"/>
  <c r="O111" i="9"/>
  <c r="X90" i="9"/>
  <c r="X70" i="9"/>
  <c r="T67" i="9"/>
  <c r="M61" i="8"/>
  <c r="V111" i="10"/>
  <c r="O91" i="11"/>
  <c r="P95" i="11"/>
  <c r="O89" i="10"/>
  <c r="K87" i="10"/>
  <c r="I77" i="11"/>
  <c r="O106" i="11"/>
  <c r="J68" i="11"/>
  <c r="J70" i="10"/>
  <c r="X59" i="12"/>
  <c r="R74" i="11"/>
  <c r="O79" i="11"/>
  <c r="I81" i="11"/>
  <c r="X59" i="11"/>
  <c r="M81" i="10"/>
  <c r="V93" i="10"/>
  <c r="M105" i="10"/>
  <c r="I86" i="10"/>
  <c r="T67" i="10"/>
  <c r="K84" i="9"/>
  <c r="K80" i="9"/>
  <c r="Y62" i="9"/>
  <c r="M89" i="9"/>
  <c r="W6" i="1"/>
  <c r="V104" i="8"/>
  <c r="L26" i="1"/>
  <c r="X110" i="10"/>
  <c r="R64" i="10"/>
  <c r="P87" i="9"/>
  <c r="N59" i="9"/>
  <c r="I106" i="9"/>
  <c r="P58" i="9"/>
  <c r="K13" i="1"/>
  <c r="V86" i="10"/>
  <c r="S105" i="10"/>
  <c r="T109" i="10"/>
  <c r="M89" i="11"/>
  <c r="N93" i="11"/>
  <c r="M87" i="10"/>
  <c r="O75" i="12"/>
  <c r="X74" i="11"/>
  <c r="M104" i="11"/>
  <c r="R65" i="11"/>
  <c r="Y67" i="10"/>
  <c r="L61" i="12"/>
  <c r="P72" i="11"/>
  <c r="M77" i="11"/>
  <c r="X78" i="11"/>
  <c r="Y112" i="10"/>
  <c r="K79" i="10"/>
  <c r="T91" i="10"/>
  <c r="K103" i="10"/>
  <c r="Q81" i="10"/>
  <c r="W64" i="10"/>
  <c r="I82" i="9"/>
  <c r="Y76" i="9"/>
  <c r="P60" i="9"/>
  <c r="J81" i="9"/>
  <c r="T4" i="1"/>
  <c r="O104" i="8"/>
  <c r="W93" i="10"/>
  <c r="P108" i="10"/>
  <c r="P62" i="10"/>
  <c r="N84" i="9"/>
  <c r="P111" i="9"/>
  <c r="S95" i="9"/>
  <c r="L61" i="9"/>
  <c r="M95" i="8"/>
  <c r="X81" i="10"/>
  <c r="V102" i="10"/>
  <c r="S87" i="11"/>
  <c r="N84" i="11"/>
  <c r="S61" i="11"/>
  <c r="V97" i="10"/>
  <c r="V103" i="11"/>
  <c r="T96" i="11"/>
  <c r="W66" i="11"/>
  <c r="M69" i="11"/>
  <c r="L94" i="13"/>
  <c r="S78" i="13"/>
  <c r="V64" i="13"/>
  <c r="R58" i="12"/>
  <c r="T97" i="10"/>
  <c r="K92" i="10"/>
  <c r="S68" i="10"/>
  <c r="I84" i="10"/>
  <c r="K59" i="12"/>
  <c r="T92" i="11"/>
  <c r="L62" i="11"/>
  <c r="U63" i="10"/>
  <c r="P77" i="8"/>
  <c r="O67" i="9"/>
  <c r="T109" i="9"/>
  <c r="Y110" i="11"/>
  <c r="I59" i="11"/>
  <c r="Y74" i="10"/>
  <c r="I92" i="9"/>
  <c r="N78" i="10"/>
  <c r="U33" i="1"/>
  <c r="K62" i="11"/>
  <c r="V65" i="10"/>
  <c r="P86" i="10"/>
  <c r="V61" i="9"/>
  <c r="L59" i="10"/>
  <c r="J26" i="1"/>
  <c r="P84" i="10"/>
  <c r="J103" i="10"/>
  <c r="Q100" i="11"/>
  <c r="N86" i="11"/>
  <c r="R61" i="11"/>
  <c r="N95" i="10"/>
  <c r="P103" i="11"/>
  <c r="K100" i="11"/>
  <c r="V101" i="11"/>
  <c r="X64" i="11"/>
  <c r="K97" i="10"/>
  <c r="U110" i="10"/>
  <c r="W75" i="10"/>
  <c r="N87" i="10"/>
  <c r="O106" i="10"/>
  <c r="J66" i="10"/>
  <c r="L66" i="9"/>
  <c r="K95" i="9"/>
  <c r="W77" i="9"/>
  <c r="V94" i="9"/>
  <c r="P84" i="8"/>
  <c r="S65" i="8"/>
  <c r="J112" i="10"/>
  <c r="V89" i="10"/>
  <c r="U102" i="9"/>
  <c r="I107" i="9"/>
  <c r="X96" i="9"/>
  <c r="K112" i="9"/>
  <c r="V58" i="8"/>
  <c r="K44" i="1"/>
  <c r="T104" i="10"/>
  <c r="K83" i="10"/>
  <c r="K97" i="9"/>
  <c r="K100" i="9"/>
  <c r="O58" i="12"/>
  <c r="O105" i="11"/>
  <c r="L68" i="11"/>
  <c r="Q111" i="10"/>
  <c r="J60" i="12"/>
  <c r="O97" i="11"/>
  <c r="J81" i="11"/>
  <c r="O58" i="11"/>
  <c r="L93" i="10"/>
  <c r="M100" i="11"/>
  <c r="I97" i="11"/>
  <c r="T98" i="11"/>
  <c r="V62" i="11"/>
  <c r="I95" i="10"/>
  <c r="S108" i="10"/>
  <c r="U73" i="10"/>
  <c r="L84" i="10"/>
  <c r="W102" i="10"/>
  <c r="T63" i="10"/>
  <c r="J112" i="9"/>
  <c r="Y91" i="9"/>
  <c r="K73" i="9"/>
  <c r="S72" i="9"/>
  <c r="W49" i="1"/>
  <c r="T101" i="8"/>
  <c r="R108" i="10"/>
  <c r="Y86" i="10"/>
  <c r="S100" i="9"/>
  <c r="W103" i="9"/>
  <c r="X91" i="9"/>
  <c r="S102" i="9"/>
  <c r="T65" i="8"/>
  <c r="L70" i="8"/>
  <c r="W101" i="10"/>
  <c r="T80" i="10"/>
  <c r="I95" i="9"/>
  <c r="Y95" i="9"/>
  <c r="R80" i="9"/>
  <c r="T83" i="9"/>
  <c r="K111" i="8"/>
  <c r="T110" i="10"/>
  <c r="U88" i="10"/>
  <c r="O103" i="10"/>
  <c r="M75" i="11"/>
  <c r="N79" i="11"/>
  <c r="Q62" i="11"/>
  <c r="L107" i="10"/>
  <c r="L100" i="11"/>
  <c r="L89" i="11"/>
  <c r="J67" i="11"/>
  <c r="K91" i="10"/>
  <c r="K93" i="10"/>
  <c r="Q92" i="11"/>
  <c r="N97" i="11"/>
  <c r="Y98" i="11"/>
  <c r="W58" i="11"/>
  <c r="L100" i="10"/>
  <c r="U111" i="10"/>
  <c r="M78" i="10"/>
  <c r="P112" i="10"/>
  <c r="K90" i="10"/>
  <c r="J103" i="9"/>
  <c r="R107" i="9"/>
  <c r="Y97" i="9"/>
  <c r="L58" i="9"/>
  <c r="N2" i="1"/>
  <c r="I23" i="1"/>
  <c r="V54" i="1"/>
  <c r="N92" i="10"/>
  <c r="P65" i="10"/>
  <c r="O105" i="9"/>
  <c r="X80" i="9"/>
  <c r="Y98" i="9"/>
  <c r="S92" i="9"/>
  <c r="N45" i="1"/>
  <c r="K110" i="8"/>
  <c r="X83" i="10"/>
  <c r="V60" i="10"/>
  <c r="V100" i="9"/>
  <c r="I74" i="9"/>
  <c r="S81" i="9"/>
  <c r="S86" i="9"/>
  <c r="W3" i="1"/>
  <c r="P94" i="10"/>
  <c r="O58" i="10"/>
  <c r="P69" i="10"/>
  <c r="J91" i="9"/>
  <c r="X89" i="8"/>
  <c r="L70" i="10"/>
  <c r="P90" i="9"/>
  <c r="U81" i="9"/>
  <c r="L64" i="9"/>
  <c r="W92" i="9"/>
  <c r="P64" i="8"/>
  <c r="J16" i="1"/>
  <c r="N73" i="10"/>
  <c r="V61" i="10"/>
  <c r="U92" i="9"/>
  <c r="S64" i="9"/>
  <c r="P63" i="9"/>
  <c r="O78" i="9"/>
  <c r="K12" i="1"/>
  <c r="W82" i="10"/>
  <c r="U59" i="10"/>
  <c r="U98" i="9"/>
  <c r="T72" i="9"/>
  <c r="J78" i="9"/>
  <c r="X74" i="9"/>
  <c r="L7" i="1"/>
  <c r="X63" i="8"/>
  <c r="V79" i="8"/>
  <c r="U97" i="8"/>
  <c r="O13" i="1"/>
  <c r="Y102" i="8"/>
  <c r="W79" i="8"/>
  <c r="L83" i="8"/>
  <c r="X51" i="1"/>
  <c r="L32" i="1"/>
  <c r="I52" i="1"/>
  <c r="M50" i="1"/>
  <c r="K106" i="8"/>
  <c r="U39" i="1"/>
  <c r="Y41" i="1"/>
  <c r="U79" i="8"/>
  <c r="T96" i="8"/>
  <c r="S60" i="8"/>
  <c r="Q26" i="1"/>
  <c r="Q54" i="1"/>
  <c r="M59" i="8"/>
  <c r="N33" i="1"/>
  <c r="I98" i="8"/>
  <c r="T37" i="1"/>
  <c r="X27" i="1"/>
  <c r="U79" i="9"/>
  <c r="V91" i="9"/>
  <c r="W67" i="10"/>
  <c r="S62" i="10"/>
  <c r="Y90" i="9"/>
  <c r="W62" i="9"/>
  <c r="X60" i="9"/>
  <c r="R60" i="9"/>
  <c r="U83" i="8"/>
  <c r="X82" i="10"/>
  <c r="S65" i="10"/>
  <c r="U82" i="9"/>
  <c r="I78" i="9"/>
  <c r="M61" i="9"/>
  <c r="Q83" i="9"/>
  <c r="I96" i="8"/>
  <c r="U92" i="10"/>
  <c r="N74" i="10"/>
  <c r="U89" i="9"/>
  <c r="I88" i="9"/>
  <c r="J69" i="9"/>
  <c r="T108" i="9"/>
  <c r="K41" i="1"/>
  <c r="I94" i="8"/>
  <c r="M96" i="8"/>
  <c r="M30" i="1"/>
  <c r="V50" i="1"/>
  <c r="M79" i="8"/>
  <c r="O23" i="1"/>
  <c r="L34" i="1"/>
  <c r="U108" i="8"/>
  <c r="K83" i="8"/>
  <c r="N82" i="8"/>
  <c r="V72" i="8"/>
  <c r="U32" i="1"/>
  <c r="J74" i="8"/>
  <c r="O34" i="1"/>
  <c r="Q68" i="8"/>
  <c r="Y45" i="1"/>
  <c r="O25" i="1"/>
  <c r="U3" i="1"/>
  <c r="M90" i="8"/>
  <c r="W60" i="10"/>
  <c r="R67" i="9"/>
  <c r="U6" i="1"/>
  <c r="L110" i="10"/>
  <c r="J83" i="9"/>
  <c r="O75" i="9"/>
  <c r="K59" i="9"/>
  <c r="R77" i="9"/>
  <c r="T68" i="8"/>
  <c r="L75" i="8"/>
  <c r="N112" i="10"/>
  <c r="U65" i="10"/>
  <c r="P62" i="11"/>
  <c r="M74" i="10"/>
  <c r="P60" i="12"/>
  <c r="I107" i="13"/>
  <c r="V66" i="13"/>
  <c r="T59" i="13"/>
  <c r="P78" i="11"/>
  <c r="X63" i="12"/>
  <c r="R111" i="11"/>
  <c r="Q111" i="11"/>
  <c r="W92" i="11"/>
  <c r="R75" i="11"/>
  <c r="Q64" i="11"/>
  <c r="Q104" i="10"/>
  <c r="R73" i="9"/>
  <c r="X75" i="10"/>
  <c r="I62" i="9"/>
  <c r="L103" i="9"/>
  <c r="S66" i="11"/>
  <c r="X67" i="10"/>
  <c r="R88" i="10"/>
  <c r="X63" i="9"/>
  <c r="I62" i="10"/>
  <c r="N74" i="8"/>
  <c r="J84" i="10"/>
  <c r="Q65" i="11"/>
  <c r="N98" i="10"/>
  <c r="O59" i="9"/>
  <c r="P77" i="9"/>
  <c r="M62" i="8"/>
  <c r="Q79" i="11"/>
  <c r="K66" i="10"/>
  <c r="T83" i="11"/>
  <c r="X110" i="11"/>
  <c r="J65" i="11"/>
  <c r="Q79" i="10"/>
  <c r="O82" i="11"/>
  <c r="P86" i="11"/>
  <c r="J88" i="11"/>
  <c r="K65" i="11"/>
  <c r="P83" i="10"/>
  <c r="I97" i="10"/>
  <c r="X109" i="10"/>
  <c r="S73" i="10"/>
  <c r="N86" i="10"/>
  <c r="Q61" i="10"/>
  <c r="Q101" i="9"/>
  <c r="J75" i="9"/>
  <c r="I84" i="9"/>
  <c r="U93" i="9"/>
  <c r="S69" i="8"/>
  <c r="J38" i="1"/>
  <c r="I92" i="10"/>
  <c r="M73" i="10"/>
  <c r="I89" i="9"/>
  <c r="Y86" i="9"/>
  <c r="J68" i="9"/>
  <c r="Q105" i="9"/>
  <c r="X95" i="8"/>
  <c r="L46" i="1"/>
  <c r="S83" i="10"/>
  <c r="Y66" i="10"/>
  <c r="P83" i="9"/>
  <c r="J79" i="9"/>
  <c r="J77" i="11"/>
  <c r="L82" i="11"/>
  <c r="Q59" i="11"/>
  <c r="T95" i="10"/>
  <c r="Y100" i="11"/>
  <c r="P79" i="11"/>
  <c r="V108" i="11"/>
  <c r="M73" i="11"/>
  <c r="O77" i="10"/>
  <c r="L79" i="11"/>
  <c r="N83" i="11"/>
  <c r="Y84" i="11"/>
  <c r="I63" i="11"/>
  <c r="N81" i="10"/>
  <c r="X94" i="10"/>
  <c r="V107" i="10"/>
  <c r="Q70" i="10"/>
  <c r="V81" i="10"/>
  <c r="O59" i="10"/>
  <c r="O98" i="9"/>
  <c r="M72" i="9"/>
  <c r="W76" i="9"/>
  <c r="U70" i="9"/>
  <c r="T88" i="8"/>
  <c r="O46" i="1"/>
  <c r="Q88" i="10"/>
  <c r="V69" i="10"/>
  <c r="X86" i="9"/>
  <c r="V82" i="9"/>
  <c r="J65" i="9"/>
  <c r="M95" i="9"/>
  <c r="I76" i="8"/>
  <c r="L72" i="8"/>
  <c r="V80" i="10"/>
  <c r="K64" i="10"/>
  <c r="N81" i="9"/>
  <c r="X75" i="9"/>
  <c r="R59" i="9"/>
  <c r="U78" i="9"/>
  <c r="P38" i="1"/>
  <c r="S90" i="10"/>
  <c r="R72" i="10"/>
  <c r="Y75" i="10"/>
  <c r="S95" i="11"/>
  <c r="T100" i="11"/>
  <c r="S93" i="10"/>
  <c r="O91" i="10"/>
  <c r="O83" i="11"/>
  <c r="U112" i="11"/>
  <c r="X58" i="11"/>
  <c r="N75" i="10"/>
  <c r="X58" i="12"/>
  <c r="V78" i="11"/>
  <c r="S83" i="11"/>
  <c r="M86" i="11"/>
  <c r="K66" i="11"/>
  <c r="Q86" i="10"/>
  <c r="I98" i="10"/>
  <c r="Q109" i="10"/>
  <c r="O92" i="10"/>
  <c r="Y73" i="10"/>
  <c r="O89" i="9"/>
  <c r="Q87" i="9"/>
  <c r="R68" i="9"/>
  <c r="J107" i="9"/>
  <c r="K3" i="1"/>
  <c r="U7" i="1"/>
  <c r="R67" i="8"/>
  <c r="M72" i="10"/>
  <c r="U60" i="10"/>
  <c r="T91" i="9"/>
  <c r="R63" i="9"/>
  <c r="X61" i="9"/>
  <c r="R64" i="9"/>
  <c r="U76" i="8"/>
  <c r="W95" i="8"/>
  <c r="R110" i="10"/>
  <c r="L64" i="10"/>
  <c r="J87" i="9"/>
  <c r="Y58" i="9"/>
  <c r="P104" i="9"/>
  <c r="Y104" i="9"/>
  <c r="W88" i="8"/>
  <c r="O74" i="10"/>
  <c r="K62" i="10"/>
  <c r="Y59" i="10"/>
  <c r="R91" i="9"/>
  <c r="U21" i="1"/>
  <c r="I94" i="10"/>
  <c r="S74" i="9"/>
  <c r="J104" i="9"/>
  <c r="U90" i="9"/>
  <c r="S59" i="9"/>
  <c r="V100" i="8"/>
  <c r="Q80" i="10"/>
  <c r="J102" i="10"/>
  <c r="M112" i="9"/>
  <c r="I79" i="9"/>
  <c r="Q103" i="9"/>
  <c r="V76" i="9"/>
  <c r="M63" i="9"/>
  <c r="Y81" i="8"/>
  <c r="K109" i="10"/>
  <c r="K63" i="10"/>
  <c r="I86" i="9"/>
  <c r="Q112" i="9"/>
  <c r="T98" i="9"/>
  <c r="I68" i="9"/>
  <c r="W89" i="8"/>
  <c r="X37" i="1"/>
  <c r="I21" i="1"/>
  <c r="N58" i="8"/>
  <c r="S24" i="1"/>
  <c r="T38" i="1"/>
  <c r="M104" i="8"/>
  <c r="S44" i="1"/>
  <c r="U58" i="8"/>
  <c r="M20" i="1"/>
  <c r="I110" i="8"/>
  <c r="N107" i="8"/>
  <c r="U74" i="8"/>
  <c r="O31" i="1"/>
  <c r="Y14" i="1"/>
  <c r="J63" i="8"/>
  <c r="S42" i="1"/>
  <c r="Q98" i="8"/>
  <c r="T59" i="8"/>
  <c r="U25" i="1"/>
  <c r="P10" i="1"/>
  <c r="O97" i="8"/>
  <c r="O27" i="1"/>
  <c r="Q30" i="1"/>
  <c r="J110" i="8"/>
  <c r="S104" i="9"/>
  <c r="I110" i="9"/>
  <c r="P80" i="10"/>
  <c r="P66" i="10"/>
  <c r="M77" i="9"/>
  <c r="W100" i="9"/>
  <c r="Q70" i="9"/>
  <c r="N66" i="9"/>
  <c r="I60" i="8"/>
  <c r="S110" i="10"/>
  <c r="L60" i="10"/>
  <c r="I69" i="9"/>
  <c r="O100" i="9"/>
  <c r="L84" i="9"/>
  <c r="W106" i="9"/>
  <c r="U46" i="1"/>
  <c r="T72" i="10"/>
  <c r="O67" i="10"/>
  <c r="I76" i="9"/>
  <c r="O109" i="9"/>
  <c r="R100" i="9"/>
  <c r="U64" i="9"/>
  <c r="Y101" i="8"/>
  <c r="J96" i="8"/>
  <c r="T25" i="1"/>
  <c r="K74" i="8"/>
  <c r="M28" i="1"/>
  <c r="M111" i="8"/>
  <c r="X94" i="8"/>
  <c r="W33" i="1"/>
  <c r="K105" i="8"/>
  <c r="S8" i="1"/>
  <c r="J25" i="1"/>
  <c r="X78" i="8"/>
  <c r="I7" i="1"/>
  <c r="Q36" i="1"/>
  <c r="M45" i="1"/>
  <c r="M26" i="1"/>
  <c r="S19" i="1"/>
  <c r="V62" i="8"/>
  <c r="Y55" i="1"/>
  <c r="M108" i="10"/>
  <c r="S79" i="12"/>
  <c r="W82" i="13"/>
  <c r="S100" i="12"/>
  <c r="U69" i="12"/>
  <c r="U90" i="12"/>
  <c r="M83" i="11"/>
  <c r="P84" i="11"/>
  <c r="P105" i="11"/>
  <c r="P73" i="11"/>
  <c r="T97" i="11"/>
  <c r="S79" i="11"/>
  <c r="V104" i="10"/>
  <c r="T69" i="10"/>
  <c r="T105" i="9"/>
  <c r="L97" i="10"/>
  <c r="T77" i="8"/>
  <c r="M60" i="9"/>
  <c r="L87" i="10"/>
  <c r="T68" i="11"/>
  <c r="P101" i="10"/>
  <c r="O62" i="9"/>
  <c r="R79" i="9"/>
  <c r="X69" i="10"/>
  <c r="U82" i="11"/>
  <c r="W74" i="11"/>
  <c r="T61" i="10"/>
  <c r="P84" i="9"/>
  <c r="Q111" i="9"/>
  <c r="O12" i="1"/>
  <c r="J105" i="11"/>
  <c r="S95" i="10"/>
  <c r="M109" i="11"/>
  <c r="J95" i="11"/>
  <c r="V59" i="11"/>
  <c r="J111" i="10"/>
  <c r="P110" i="11"/>
  <c r="U72" i="11"/>
  <c r="O74" i="11"/>
  <c r="K60" i="11"/>
  <c r="U69" i="10"/>
  <c r="N83" i="10"/>
  <c r="L96" i="10"/>
  <c r="R59" i="10"/>
  <c r="M111" i="10"/>
  <c r="X64" i="10"/>
  <c r="V87" i="9"/>
  <c r="T59" i="9"/>
  <c r="S107" i="9"/>
  <c r="Q60" i="9"/>
  <c r="I36" i="1"/>
  <c r="X18" i="1"/>
  <c r="Y70" i="10"/>
  <c r="R65" i="10"/>
  <c r="N75" i="9"/>
  <c r="N108" i="9"/>
  <c r="P97" i="9"/>
  <c r="T63" i="9"/>
  <c r="P89" i="8"/>
  <c r="U64" i="8"/>
  <c r="N111" i="10"/>
  <c r="X60" i="10"/>
  <c r="U69" i="9"/>
  <c r="P101" i="9"/>
  <c r="R100" i="11"/>
  <c r="S104" i="11"/>
  <c r="X65" i="11"/>
  <c r="W79" i="10"/>
  <c r="R73" i="11"/>
  <c r="K107" i="11"/>
  <c r="Y92" i="11"/>
  <c r="L111" i="10"/>
  <c r="Y108" i="10"/>
  <c r="N108" i="11"/>
  <c r="S69" i="11"/>
  <c r="M72" i="11"/>
  <c r="W70" i="11"/>
  <c r="S67" i="10"/>
  <c r="L81" i="10"/>
  <c r="J94" i="10"/>
  <c r="Y95" i="10"/>
  <c r="V108" i="10"/>
  <c r="V62" i="10"/>
  <c r="T84" i="9"/>
  <c r="Y111" i="9"/>
  <c r="J97" i="9"/>
  <c r="N64" i="9"/>
  <c r="R47" i="1"/>
  <c r="T26" i="1"/>
  <c r="P67" i="10"/>
  <c r="O63" i="10"/>
  <c r="L73" i="9"/>
  <c r="K105" i="9"/>
  <c r="N92" i="9"/>
  <c r="S60" i="9"/>
  <c r="O41" i="1"/>
  <c r="U82" i="8"/>
  <c r="Q108" i="10"/>
  <c r="V58" i="10"/>
  <c r="S67" i="9"/>
  <c r="M97" i="9"/>
  <c r="I81" i="9"/>
  <c r="Q100" i="9"/>
  <c r="X16" i="1"/>
  <c r="R69" i="10"/>
  <c r="V64" i="10"/>
  <c r="Q77" i="12"/>
  <c r="T77" i="11"/>
  <c r="U81" i="11"/>
  <c r="V77" i="10"/>
  <c r="O60" i="12"/>
  <c r="J111" i="11"/>
  <c r="V94" i="11"/>
  <c r="P69" i="11"/>
  <c r="X106" i="10"/>
  <c r="N58" i="12"/>
  <c r="S108" i="11"/>
  <c r="M110" i="11"/>
  <c r="N64" i="11"/>
  <c r="S106" i="10"/>
  <c r="V72" i="10"/>
  <c r="N84" i="10"/>
  <c r="V95" i="10"/>
  <c r="N72" i="10"/>
  <c r="M66" i="10"/>
  <c r="T75" i="9"/>
  <c r="W108" i="9"/>
  <c r="Q98" i="9"/>
  <c r="K64" i="9"/>
  <c r="P39" i="1"/>
  <c r="Q41" i="1"/>
  <c r="P79" i="10"/>
  <c r="T100" i="10"/>
  <c r="L111" i="9"/>
  <c r="Y77" i="9"/>
  <c r="X101" i="9"/>
  <c r="M73" i="9"/>
  <c r="L83" i="9"/>
  <c r="N93" i="8"/>
  <c r="I72" i="10"/>
  <c r="O94" i="10"/>
  <c r="S106" i="9"/>
  <c r="W112" i="9"/>
  <c r="R109" i="9"/>
  <c r="N63" i="9"/>
  <c r="T79" i="9"/>
  <c r="R81" i="10"/>
  <c r="P102" i="10"/>
  <c r="S112" i="9"/>
  <c r="Y74" i="9"/>
  <c r="P64" i="9"/>
  <c r="I3" i="1"/>
  <c r="U67" i="10"/>
  <c r="V106" i="9"/>
  <c r="I83" i="9"/>
  <c r="N106" i="9"/>
  <c r="S63" i="9"/>
  <c r="X96" i="8"/>
  <c r="V106" i="10"/>
  <c r="X84" i="10"/>
  <c r="R98" i="9"/>
  <c r="M102" i="9"/>
  <c r="Q89" i="9"/>
  <c r="W96" i="9"/>
  <c r="N62" i="8"/>
  <c r="Y69" i="10"/>
  <c r="Y92" i="10"/>
  <c r="R105" i="9"/>
  <c r="M111" i="9"/>
  <c r="O106" i="9"/>
  <c r="W61" i="9"/>
  <c r="Q109" i="8"/>
  <c r="S51" i="1"/>
  <c r="U91" i="8"/>
  <c r="P59" i="8"/>
  <c r="Q91" i="8"/>
  <c r="L45" i="1"/>
  <c r="N23" i="1"/>
  <c r="S13" i="1"/>
  <c r="Q87" i="8"/>
  <c r="M33" i="1"/>
  <c r="U105" i="8"/>
  <c r="M81" i="8"/>
  <c r="K102" i="8"/>
  <c r="S112" i="8"/>
  <c r="K59" i="8"/>
  <c r="N46" i="1"/>
  <c r="O24" i="1"/>
  <c r="I19" i="1"/>
  <c r="J72" i="8"/>
  <c r="K47" i="1"/>
  <c r="V88" i="8"/>
  <c r="K61" i="8"/>
  <c r="Q33" i="1"/>
  <c r="M75" i="8"/>
  <c r="K17" i="1"/>
  <c r="S26" i="1"/>
  <c r="L63" i="9"/>
  <c r="S62" i="9"/>
  <c r="V101" i="10"/>
  <c r="K104" i="9"/>
  <c r="S98" i="9"/>
  <c r="R84" i="9"/>
  <c r="R90" i="9"/>
  <c r="L104" i="8"/>
  <c r="W20" i="1"/>
  <c r="R90" i="10"/>
  <c r="N64" i="10"/>
  <c r="N104" i="9"/>
  <c r="N79" i="9"/>
  <c r="R94" i="9"/>
  <c r="T73" i="9"/>
  <c r="K8" i="1"/>
  <c r="O100" i="10"/>
  <c r="X61" i="10"/>
  <c r="N110" i="9"/>
  <c r="N89" i="9"/>
  <c r="N69" i="9"/>
  <c r="I64" i="9"/>
  <c r="V42" i="1"/>
  <c r="I4" i="1"/>
  <c r="V18" i="1"/>
  <c r="P25" i="1"/>
  <c r="O68" i="8"/>
  <c r="M103" i="8"/>
  <c r="X90" i="8"/>
  <c r="N3" i="1"/>
  <c r="W4" i="1"/>
  <c r="U61" i="8"/>
  <c r="O65" i="8"/>
  <c r="I77" i="8"/>
  <c r="P95" i="8"/>
  <c r="Q88" i="8"/>
  <c r="K38" i="1"/>
  <c r="V30" i="1"/>
  <c r="K6" i="1"/>
  <c r="J24" i="1"/>
  <c r="I5" i="1"/>
  <c r="Q95" i="8"/>
  <c r="M109" i="9"/>
  <c r="N87" i="9"/>
  <c r="J106" i="8"/>
  <c r="Y60" i="10"/>
  <c r="R102" i="9"/>
  <c r="T76" i="9"/>
  <c r="S88" i="9"/>
  <c r="P59" i="9"/>
  <c r="V52" i="1"/>
  <c r="P100" i="10"/>
  <c r="S79" i="10"/>
  <c r="N94" i="9"/>
  <c r="X94" i="9"/>
  <c r="Y78" i="9"/>
  <c r="M81" i="9"/>
  <c r="U110" i="8"/>
  <c r="U108" i="11"/>
  <c r="P91" i="11"/>
  <c r="V63" i="13"/>
  <c r="J98" i="12"/>
  <c r="I84" i="12"/>
  <c r="I105" i="12"/>
  <c r="X84" i="11"/>
  <c r="M90" i="11"/>
  <c r="J107" i="11"/>
  <c r="J75" i="11"/>
  <c r="N100" i="11"/>
  <c r="T75" i="10"/>
  <c r="Y112" i="11"/>
  <c r="L82" i="10"/>
  <c r="K93" i="9"/>
  <c r="J109" i="9"/>
  <c r="L68" i="10"/>
  <c r="R45" i="1"/>
  <c r="M87" i="11"/>
  <c r="Y76" i="11"/>
  <c r="V63" i="10"/>
  <c r="Y66" i="9"/>
  <c r="N73" i="9"/>
  <c r="K65" i="10"/>
  <c r="Y69" i="11"/>
  <c r="Q76" i="11"/>
  <c r="K69" i="10"/>
  <c r="V46" i="1"/>
  <c r="V104" i="9"/>
  <c r="K88" i="10"/>
  <c r="R83" i="11"/>
  <c r="P104" i="11"/>
  <c r="P93" i="11"/>
  <c r="M79" i="11"/>
  <c r="Q97" i="10"/>
  <c r="O97" i="10"/>
  <c r="U96" i="11"/>
  <c r="R102" i="11"/>
  <c r="L104" i="11"/>
  <c r="Q58" i="11"/>
  <c r="P104" i="10"/>
  <c r="S69" i="10"/>
  <c r="Q82" i="10"/>
  <c r="P73" i="10"/>
  <c r="J95" i="10"/>
  <c r="N107" i="9"/>
  <c r="J74" i="9"/>
  <c r="T111" i="9"/>
  <c r="O64" i="9"/>
  <c r="M62" i="9"/>
  <c r="U36" i="1"/>
  <c r="W10" i="1"/>
  <c r="T98" i="10"/>
  <c r="L61" i="10"/>
  <c r="S109" i="9"/>
  <c r="M88" i="9"/>
  <c r="O68" i="9"/>
  <c r="Y61" i="9"/>
  <c r="V9" i="1"/>
  <c r="I28" i="1"/>
  <c r="M91" i="10"/>
  <c r="I65" i="10"/>
  <c r="I105" i="9"/>
  <c r="W111" i="10"/>
  <c r="O77" i="11"/>
  <c r="P81" i="11"/>
  <c r="M60" i="11"/>
  <c r="N109" i="10"/>
  <c r="N102" i="11"/>
  <c r="N91" i="11"/>
  <c r="X69" i="11"/>
  <c r="O95" i="10"/>
  <c r="M95" i="10"/>
  <c r="S94" i="11"/>
  <c r="P100" i="11"/>
  <c r="J102" i="11"/>
  <c r="K64" i="11"/>
  <c r="N102" i="10"/>
  <c r="Q67" i="10"/>
  <c r="O80" i="10"/>
  <c r="X68" i="10"/>
  <c r="S92" i="10"/>
  <c r="L105" i="9"/>
  <c r="U110" i="9"/>
  <c r="N105" i="9"/>
  <c r="N61" i="9"/>
  <c r="O21" i="1"/>
  <c r="W53" i="1"/>
  <c r="W62" i="8"/>
  <c r="K95" i="10"/>
  <c r="J59" i="10"/>
  <c r="Q107" i="9"/>
  <c r="J84" i="9"/>
  <c r="Q109" i="9"/>
  <c r="Q68" i="9"/>
  <c r="P21" i="1"/>
  <c r="L111" i="8"/>
  <c r="P88" i="10"/>
  <c r="X62" i="10"/>
  <c r="X102" i="9"/>
  <c r="L77" i="9"/>
  <c r="V89" i="9"/>
  <c r="Q61" i="9"/>
  <c r="P105" i="8"/>
  <c r="M97" i="10"/>
  <c r="Q60" i="10"/>
  <c r="P59" i="12"/>
  <c r="I98" i="11"/>
  <c r="O61" i="11"/>
  <c r="O109" i="10"/>
  <c r="Y63" i="12"/>
  <c r="K93" i="11"/>
  <c r="Y78" i="11"/>
  <c r="U64" i="11"/>
  <c r="J91" i="10"/>
  <c r="J96" i="11"/>
  <c r="X94" i="11"/>
  <c r="R96" i="11"/>
  <c r="T60" i="11"/>
  <c r="X92" i="10"/>
  <c r="Q106" i="10"/>
  <c r="S70" i="10"/>
  <c r="J82" i="10"/>
  <c r="I100" i="10"/>
  <c r="R61" i="10"/>
  <c r="Y109" i="9"/>
  <c r="V88" i="9"/>
  <c r="W68" i="9"/>
  <c r="I63" i="9"/>
  <c r="U112" i="8"/>
  <c r="Q2" i="1"/>
  <c r="U105" i="10"/>
  <c r="Q83" i="10"/>
  <c r="Q97" i="9"/>
  <c r="T100" i="9"/>
  <c r="K87" i="9"/>
  <c r="Y92" i="9"/>
  <c r="K103" i="8"/>
  <c r="R26" i="1"/>
  <c r="N97" i="10"/>
  <c r="L78" i="10"/>
  <c r="X92" i="9"/>
  <c r="V92" i="9"/>
  <c r="V75" i="9"/>
  <c r="Q76" i="9"/>
  <c r="K95" i="8"/>
  <c r="W107" i="10"/>
  <c r="M86" i="10"/>
  <c r="X98" i="9"/>
  <c r="W81" i="9"/>
  <c r="I101" i="9"/>
  <c r="T70" i="10"/>
  <c r="U64" i="10"/>
  <c r="J93" i="9"/>
  <c r="Y64" i="9"/>
  <c r="Y63" i="9"/>
  <c r="X81" i="9"/>
  <c r="I61" i="8"/>
  <c r="U86" i="10"/>
  <c r="U68" i="10"/>
  <c r="W84" i="9"/>
  <c r="L81" i="9"/>
  <c r="V63" i="9"/>
  <c r="S91" i="9"/>
  <c r="M9" i="1"/>
  <c r="M96" i="10"/>
  <c r="V76" i="10"/>
  <c r="W91" i="9"/>
  <c r="L91" i="9"/>
  <c r="P73" i="9"/>
  <c r="I73" i="9"/>
  <c r="J18" i="1"/>
  <c r="P34" i="1"/>
  <c r="N63" i="8"/>
  <c r="X34" i="1"/>
  <c r="N7" i="1"/>
  <c r="U17" i="1"/>
  <c r="Q51" i="1"/>
  <c r="U60" i="8"/>
  <c r="R104" i="8"/>
  <c r="V87" i="8"/>
  <c r="M94" i="8"/>
  <c r="R76" i="8"/>
  <c r="M70" i="8"/>
  <c r="I90" i="8"/>
  <c r="N95" i="8"/>
  <c r="S93" i="8"/>
  <c r="W83" i="8"/>
  <c r="L17" i="1"/>
  <c r="Y82" i="8"/>
  <c r="P108" i="8"/>
  <c r="V82" i="8"/>
  <c r="S14" i="1"/>
  <c r="L109" i="8"/>
  <c r="P106" i="8"/>
  <c r="K80" i="8"/>
  <c r="I63" i="10"/>
  <c r="N86" i="9"/>
  <c r="I63" i="8"/>
  <c r="T112" i="10"/>
  <c r="N88" i="9"/>
  <c r="R78" i="9"/>
  <c r="T61" i="9"/>
  <c r="U84" i="9"/>
  <c r="U48" i="1"/>
  <c r="I2" i="1"/>
  <c r="W69" i="10"/>
  <c r="T59" i="10"/>
  <c r="S90" i="9"/>
  <c r="Q62" i="9"/>
  <c r="N60" i="9"/>
  <c r="Q58" i="9"/>
  <c r="I106" i="8"/>
  <c r="N79" i="10"/>
  <c r="X65" i="10"/>
  <c r="S96" i="9"/>
  <c r="K69" i="9"/>
  <c r="R70" i="9"/>
  <c r="U63" i="9"/>
  <c r="Y56" i="1"/>
  <c r="U92" i="8"/>
  <c r="Q3" i="1"/>
  <c r="N13" i="1"/>
  <c r="Y48" i="1"/>
  <c r="R33" i="1"/>
  <c r="R82" i="8"/>
  <c r="K31" i="1"/>
  <c r="L42" i="1"/>
  <c r="W106" i="8"/>
  <c r="O96" i="8"/>
  <c r="W98" i="8"/>
  <c r="V4" i="1"/>
  <c r="Y95" i="8"/>
  <c r="V40" i="1"/>
  <c r="I87" i="8"/>
  <c r="O10" i="1"/>
  <c r="S50" i="1"/>
  <c r="T21" i="1"/>
  <c r="O11" i="1"/>
  <c r="Q106" i="9"/>
  <c r="X103" i="9"/>
  <c r="N104" i="10"/>
  <c r="T64" i="10"/>
  <c r="W88" i="9"/>
  <c r="U60" i="9"/>
  <c r="O112" i="9"/>
  <c r="W66" i="9"/>
  <c r="V6" i="1"/>
  <c r="O79" i="10"/>
  <c r="J63" i="10"/>
  <c r="S80" i="9"/>
  <c r="W74" i="9"/>
  <c r="U58" i="9"/>
  <c r="N76" i="9"/>
  <c r="M3" i="1"/>
  <c r="X89" i="10"/>
  <c r="M76" i="11"/>
  <c r="M96" i="11"/>
  <c r="J92" i="12"/>
  <c r="K108" i="12"/>
  <c r="N98" i="12"/>
  <c r="R70" i="12"/>
  <c r="O64" i="11"/>
  <c r="X91" i="11"/>
  <c r="J76" i="11"/>
  <c r="L61" i="11"/>
  <c r="U59" i="11"/>
  <c r="Q63" i="12"/>
  <c r="Q106" i="11"/>
  <c r="T93" i="10"/>
  <c r="K61" i="9"/>
  <c r="W75" i="9"/>
  <c r="X91" i="10"/>
  <c r="I78" i="10"/>
  <c r="J73" i="11"/>
  <c r="S78" i="11"/>
  <c r="S72" i="10"/>
  <c r="V21" i="1"/>
  <c r="K111" i="9"/>
  <c r="V104" i="11"/>
  <c r="L97" i="11"/>
  <c r="V63" i="11"/>
  <c r="Y58" i="10"/>
  <c r="P44" i="1"/>
  <c r="K67" i="9"/>
  <c r="J67" i="10"/>
  <c r="K109" i="11"/>
  <c r="S88" i="11"/>
  <c r="S77" i="11"/>
  <c r="M65" i="11"/>
  <c r="T81" i="10"/>
  <c r="I60" i="12"/>
  <c r="I83" i="11"/>
  <c r="W88" i="11"/>
  <c r="Q90" i="11"/>
  <c r="O59" i="11"/>
  <c r="U90" i="10"/>
  <c r="M103" i="10"/>
  <c r="V68" i="10"/>
  <c r="U98" i="10"/>
  <c r="X78" i="10"/>
  <c r="S93" i="9"/>
  <c r="W93" i="9"/>
  <c r="O77" i="9"/>
  <c r="X78" i="9"/>
  <c r="K19" i="1"/>
  <c r="Q76" i="8"/>
  <c r="X13" i="1"/>
  <c r="S78" i="10"/>
  <c r="Y64" i="10"/>
  <c r="X95" i="9"/>
  <c r="M68" i="9"/>
  <c r="Y68" i="9"/>
  <c r="U61" i="9"/>
  <c r="Q19" i="1"/>
  <c r="S89" i="8"/>
  <c r="R70" i="10"/>
  <c r="O60" i="10"/>
  <c r="N91" i="9"/>
  <c r="J78" i="10"/>
  <c r="Y102" i="11"/>
  <c r="I107" i="11"/>
  <c r="Y100" i="10"/>
  <c r="Q93" i="10"/>
  <c r="Q86" i="11"/>
  <c r="Q75" i="11"/>
  <c r="K63" i="11"/>
  <c r="P77" i="10"/>
  <c r="K63" i="12"/>
  <c r="X80" i="11"/>
  <c r="U86" i="11"/>
  <c r="O88" i="11"/>
  <c r="Y62" i="11"/>
  <c r="S88" i="10"/>
  <c r="K101" i="10"/>
  <c r="S111" i="10"/>
  <c r="L95" i="10"/>
  <c r="P76" i="10"/>
  <c r="Q91" i="9"/>
  <c r="T90" i="9"/>
  <c r="V72" i="9"/>
  <c r="J72" i="9"/>
  <c r="T9" i="1"/>
  <c r="K46" i="1"/>
  <c r="J68" i="8"/>
  <c r="J75" i="10"/>
  <c r="W62" i="10"/>
  <c r="V93" i="9"/>
  <c r="U65" i="9"/>
  <c r="X64" i="9"/>
  <c r="I90" i="9"/>
  <c r="L93" i="8"/>
  <c r="T28" i="1"/>
  <c r="J68" i="10"/>
  <c r="M58" i="10"/>
  <c r="L89" i="9"/>
  <c r="J61" i="9"/>
  <c r="O58" i="9"/>
  <c r="I70" i="9"/>
  <c r="J19" i="1"/>
  <c r="L77" i="10"/>
  <c r="M64" i="10"/>
  <c r="X73" i="11"/>
  <c r="J80" i="11"/>
  <c r="R72" i="11"/>
  <c r="R93" i="10"/>
  <c r="S93" i="11"/>
  <c r="N77" i="11"/>
  <c r="T106" i="11"/>
  <c r="S60" i="11"/>
  <c r="M75" i="10"/>
  <c r="I76" i="11"/>
  <c r="L81" i="11"/>
  <c r="W82" i="11"/>
  <c r="X60" i="11"/>
  <c r="L79" i="10"/>
  <c r="V92" i="10"/>
  <c r="T105" i="10"/>
  <c r="O68" i="10"/>
  <c r="Y78" i="10"/>
  <c r="O65" i="10"/>
  <c r="M96" i="9"/>
  <c r="U68" i="9"/>
  <c r="V69" i="9"/>
  <c r="U62" i="9"/>
  <c r="T33" i="1"/>
  <c r="J86" i="8"/>
  <c r="T84" i="10"/>
  <c r="N67" i="10"/>
  <c r="V83" i="9"/>
  <c r="S79" i="9"/>
  <c r="R62" i="9"/>
  <c r="J88" i="9"/>
  <c r="I66" i="8"/>
  <c r="W46" i="1"/>
  <c r="M77" i="10"/>
  <c r="N61" i="10"/>
  <c r="L79" i="9"/>
  <c r="X72" i="9"/>
  <c r="J110" i="9"/>
  <c r="Y70" i="9"/>
  <c r="U111" i="8"/>
  <c r="V87" i="10"/>
  <c r="J69" i="10"/>
  <c r="L86" i="9"/>
  <c r="V107" i="9"/>
  <c r="K60" i="9"/>
  <c r="M83" i="10"/>
  <c r="I60" i="10"/>
  <c r="O79" i="9"/>
  <c r="I104" i="9"/>
  <c r="X77" i="9"/>
  <c r="P66" i="9"/>
  <c r="L95" i="8"/>
  <c r="T65" i="10"/>
  <c r="N62" i="10"/>
  <c r="K72" i="9"/>
  <c r="R103" i="9"/>
  <c r="X77" i="11"/>
  <c r="X97" i="11"/>
  <c r="R90" i="12"/>
  <c r="S73" i="12"/>
  <c r="R75" i="13"/>
  <c r="N61" i="12"/>
  <c r="K86" i="10"/>
  <c r="W64" i="11"/>
  <c r="P103" i="10"/>
  <c r="P70" i="10"/>
  <c r="R100" i="10"/>
  <c r="W106" i="11"/>
  <c r="K108" i="11"/>
  <c r="V67" i="10"/>
  <c r="X32" i="1"/>
  <c r="U97" i="9"/>
  <c r="Q104" i="9"/>
  <c r="X106" i="11"/>
  <c r="P102" i="11"/>
  <c r="R68" i="11"/>
  <c r="J61" i="10"/>
  <c r="X59" i="8"/>
  <c r="Y72" i="9"/>
  <c r="W108" i="11"/>
  <c r="K61" i="11"/>
  <c r="W72" i="10"/>
  <c r="X89" i="9"/>
  <c r="V74" i="10"/>
  <c r="P45" i="1"/>
  <c r="T68" i="10"/>
  <c r="Q70" i="11"/>
  <c r="V72" i="11"/>
  <c r="K102" i="11"/>
  <c r="O63" i="11"/>
  <c r="K111" i="10"/>
  <c r="I59" i="12"/>
  <c r="W112" i="11"/>
  <c r="K75" i="11"/>
  <c r="L69" i="11"/>
  <c r="W110" i="10"/>
  <c r="I77" i="10"/>
  <c r="R89" i="10"/>
  <c r="I101" i="10"/>
  <c r="T78" i="10"/>
  <c r="O62" i="10"/>
  <c r="X79" i="9"/>
  <c r="V73" i="9"/>
  <c r="L112" i="9"/>
  <c r="Y73" i="9"/>
  <c r="L84" i="8"/>
  <c r="N108" i="8"/>
  <c r="Q87" i="10"/>
  <c r="Y105" i="10"/>
  <c r="N60" i="10"/>
  <c r="L82" i="9"/>
  <c r="M108" i="9"/>
  <c r="P88" i="9"/>
  <c r="J76" i="9"/>
  <c r="I20" i="1"/>
  <c r="O78" i="10"/>
  <c r="N100" i="10"/>
  <c r="W110" i="9"/>
  <c r="S77" i="9"/>
  <c r="J98" i="10"/>
  <c r="V79" i="11"/>
  <c r="W83" i="11"/>
  <c r="X79" i="10"/>
  <c r="I65" i="12"/>
  <c r="T69" i="11"/>
  <c r="O112" i="11"/>
  <c r="K75" i="10"/>
  <c r="Q93" i="8"/>
  <c r="J105" i="9"/>
  <c r="U108" i="9"/>
  <c r="X104" i="10"/>
  <c r="I69" i="11"/>
  <c r="I111" i="11"/>
  <c r="W87" i="10"/>
  <c r="W87" i="9"/>
  <c r="Y101" i="9"/>
  <c r="J65" i="10"/>
  <c r="U66" i="10"/>
  <c r="M106" i="9"/>
  <c r="O93" i="10"/>
  <c r="J59" i="9"/>
  <c r="M60" i="10"/>
  <c r="X106" i="9"/>
  <c r="M27" i="1"/>
  <c r="P60" i="8"/>
  <c r="L52" i="1"/>
  <c r="Q42" i="1"/>
  <c r="Y75" i="8"/>
  <c r="L98" i="8"/>
  <c r="M107" i="8"/>
  <c r="V17" i="1"/>
  <c r="Y112" i="9"/>
  <c r="L91" i="10"/>
  <c r="Y84" i="9"/>
  <c r="T77" i="10"/>
  <c r="X76" i="9"/>
  <c r="J63" i="9"/>
  <c r="I61" i="10"/>
  <c r="W90" i="9"/>
  <c r="W90" i="8"/>
  <c r="U84" i="8"/>
  <c r="I56" i="1"/>
  <c r="J67" i="8"/>
  <c r="T58" i="8"/>
  <c r="L59" i="8"/>
  <c r="X110" i="8"/>
  <c r="V67" i="9"/>
  <c r="V82" i="10"/>
  <c r="U96" i="9"/>
  <c r="X97" i="9"/>
  <c r="K74" i="10"/>
  <c r="I108" i="9"/>
  <c r="K76" i="9"/>
  <c r="O65" i="9"/>
  <c r="X52" i="1"/>
  <c r="Q76" i="10"/>
  <c r="R63" i="10"/>
  <c r="Q94" i="9"/>
  <c r="S66" i="9"/>
  <c r="J66" i="9"/>
  <c r="S97" i="9"/>
  <c r="X82" i="8"/>
  <c r="R16" i="1"/>
  <c r="X91" i="8"/>
  <c r="T67" i="8"/>
  <c r="X108" i="8"/>
  <c r="V65" i="8"/>
  <c r="U63" i="8"/>
  <c r="P33" i="1"/>
  <c r="J77" i="8"/>
  <c r="S77" i="8"/>
  <c r="P62" i="8"/>
  <c r="P56" i="1"/>
  <c r="S58" i="8"/>
  <c r="P74" i="8"/>
  <c r="J17" i="1"/>
  <c r="M88" i="8"/>
  <c r="V39" i="1"/>
  <c r="V24" i="1"/>
  <c r="Y61" i="8"/>
  <c r="K84" i="8"/>
  <c r="R104" i="9"/>
  <c r="S73" i="9"/>
  <c r="J88" i="10"/>
  <c r="V96" i="9"/>
  <c r="M92" i="9"/>
  <c r="I75" i="9"/>
  <c r="M75" i="9"/>
  <c r="V84" i="8"/>
  <c r="O66" i="8"/>
  <c r="L83" i="10"/>
  <c r="J60" i="10"/>
  <c r="J100" i="9"/>
  <c r="J73" i="9"/>
  <c r="M79" i="9"/>
  <c r="P78" i="9"/>
  <c r="M52" i="1"/>
  <c r="I93" i="10"/>
  <c r="T66" i="10"/>
  <c r="J106" i="9"/>
  <c r="Y81" i="9"/>
  <c r="K103" i="9"/>
  <c r="Q59" i="9"/>
  <c r="M102" i="8"/>
  <c r="W40" i="1"/>
  <c r="W77" i="8"/>
  <c r="N89" i="8"/>
  <c r="P93" i="8"/>
  <c r="X100" i="8"/>
  <c r="X83" i="8"/>
  <c r="L79" i="8"/>
  <c r="S102" i="8"/>
  <c r="L6" i="1"/>
  <c r="S46" i="1"/>
  <c r="T83" i="8"/>
  <c r="S98" i="8"/>
  <c r="P80" i="8"/>
  <c r="O22" i="1"/>
  <c r="Q92" i="8"/>
  <c r="X65" i="8"/>
  <c r="N70" i="8"/>
  <c r="W72" i="8"/>
  <c r="P32" i="1"/>
  <c r="K48" i="1"/>
  <c r="R78" i="8"/>
  <c r="O80" i="9"/>
  <c r="Y88" i="9"/>
  <c r="Y110" i="10"/>
  <c r="Q110" i="9"/>
  <c r="K109" i="9"/>
  <c r="K102" i="9"/>
  <c r="V59" i="9"/>
  <c r="N72" i="8"/>
  <c r="J102" i="8"/>
  <c r="U100" i="10"/>
  <c r="M62" i="10"/>
  <c r="T110" i="9"/>
  <c r="W89" i="9"/>
  <c r="W69" i="9"/>
  <c r="I65" i="9"/>
  <c r="Y90" i="8"/>
  <c r="M110" i="10"/>
  <c r="W59" i="10"/>
  <c r="T68" i="9"/>
  <c r="W98" i="9"/>
  <c r="O83" i="9"/>
  <c r="M105" i="9"/>
  <c r="R60" i="8"/>
  <c r="T34" i="1"/>
  <c r="O17" i="1"/>
  <c r="O42" i="1"/>
  <c r="Y70" i="8"/>
  <c r="P49" i="1"/>
  <c r="L53" i="1"/>
  <c r="W44" i="1"/>
  <c r="L78" i="8"/>
  <c r="U2" i="1"/>
  <c r="T97" i="8"/>
  <c r="U75" i="8"/>
  <c r="O64" i="8"/>
  <c r="K52" i="1"/>
  <c r="O26" i="1"/>
  <c r="J94" i="8"/>
  <c r="P110" i="8"/>
  <c r="P42" i="1"/>
  <c r="M42" i="1"/>
  <c r="L65" i="8"/>
  <c r="W67" i="9"/>
  <c r="T60" i="9"/>
  <c r="K108" i="10"/>
  <c r="O108" i="9"/>
  <c r="Y105" i="9"/>
  <c r="J95" i="9"/>
  <c r="Y108" i="9"/>
  <c r="K39" i="1"/>
  <c r="W39" i="1"/>
  <c r="X96" i="10"/>
  <c r="K60" i="10"/>
  <c r="R108" i="9"/>
  <c r="T86" i="9"/>
  <c r="V66" i="9"/>
  <c r="X58" i="9"/>
  <c r="Y76" i="8"/>
  <c r="U106" i="10"/>
  <c r="I67" i="10"/>
  <c r="R66" i="9"/>
  <c r="T95" i="9"/>
  <c r="S78" i="9"/>
  <c r="V101" i="9"/>
  <c r="U50" i="1"/>
  <c r="O75" i="8"/>
  <c r="I53" i="1"/>
  <c r="X36" i="1"/>
  <c r="W84" i="8"/>
  <c r="V75" i="8"/>
  <c r="Y74" i="8"/>
  <c r="K27" i="1"/>
  <c r="O92" i="8"/>
  <c r="L89" i="8"/>
  <c r="W38" i="1"/>
  <c r="J76" i="8"/>
  <c r="W19" i="1"/>
  <c r="X81" i="8"/>
  <c r="U13" i="1"/>
  <c r="W13" i="1"/>
  <c r="V76" i="8"/>
  <c r="N104" i="8"/>
  <c r="X45" i="1"/>
  <c r="O95" i="8"/>
  <c r="M55" i="1"/>
  <c r="S84" i="8"/>
  <c r="M38" i="1"/>
  <c r="U47" i="1"/>
  <c r="M108" i="8"/>
  <c r="N19" i="1"/>
  <c r="I40" i="1"/>
  <c r="O83" i="8"/>
  <c r="W25" i="1"/>
  <c r="T5" i="1"/>
  <c r="Y23" i="1"/>
  <c r="V112" i="8"/>
  <c r="J8" i="1"/>
  <c r="S36" i="1"/>
  <c r="K108" i="8"/>
  <c r="K77" i="8"/>
  <c r="N77" i="8"/>
  <c r="L23" i="1"/>
  <c r="W55" i="1"/>
  <c r="T69" i="8"/>
  <c r="I72" i="8"/>
  <c r="N55" i="1"/>
  <c r="K93" i="8"/>
  <c r="J30" i="1"/>
  <c r="J111" i="8"/>
  <c r="U94" i="8"/>
  <c r="Y12" i="1"/>
  <c r="V7" i="1"/>
  <c r="J27" i="1"/>
  <c r="L82" i="8"/>
  <c r="S33" i="1"/>
  <c r="S30" i="1"/>
  <c r="O36" i="1"/>
  <c r="I80" i="8"/>
  <c r="L56" i="1"/>
  <c r="R72" i="8"/>
  <c r="P22" i="1"/>
  <c r="U27" i="1"/>
  <c r="W51" i="1"/>
  <c r="P28" i="1"/>
  <c r="V64" i="8"/>
  <c r="S101" i="8"/>
  <c r="L18" i="1"/>
  <c r="U59" i="8"/>
  <c r="I91" i="8"/>
  <c r="K54" i="1"/>
  <c r="V101" i="8"/>
  <c r="R18" i="1"/>
  <c r="R86" i="8"/>
  <c r="V93" i="8"/>
  <c r="S110" i="8"/>
  <c r="N32" i="1"/>
  <c r="T55" i="1"/>
  <c r="N26" i="1"/>
  <c r="Q70" i="8"/>
  <c r="J42" i="1"/>
  <c r="J105" i="8"/>
  <c r="Q64" i="8"/>
  <c r="S18" i="1"/>
  <c r="X4" i="1"/>
  <c r="O44" i="1"/>
  <c r="K10" i="1"/>
  <c r="P66" i="8"/>
  <c r="P50" i="1"/>
  <c r="I69" i="8"/>
  <c r="L24" i="1"/>
  <c r="V49" i="1"/>
  <c r="K112" i="8"/>
  <c r="O112" i="8"/>
  <c r="M74" i="8"/>
  <c r="I41" i="1"/>
  <c r="N59" i="8"/>
  <c r="V107" i="8"/>
  <c r="Y92" i="8"/>
  <c r="R92" i="8"/>
  <c r="Y108" i="8"/>
  <c r="M67" i="8"/>
  <c r="R61" i="8"/>
  <c r="X14" i="1"/>
  <c r="W104" i="8"/>
  <c r="T12" i="1"/>
  <c r="Q94" i="8"/>
  <c r="W103" i="8"/>
  <c r="S68" i="8"/>
  <c r="L40" i="1"/>
  <c r="N76" i="8"/>
  <c r="I58" i="8"/>
  <c r="I67" i="8"/>
  <c r="K101" i="8"/>
  <c r="X73" i="8"/>
  <c r="O33" i="1"/>
  <c r="K2" i="1"/>
  <c r="Q96" i="8"/>
  <c r="J98" i="8"/>
  <c r="Q47" i="1"/>
  <c r="I102" i="8"/>
  <c r="V111" i="8"/>
  <c r="L77" i="8"/>
  <c r="Q9" i="1"/>
  <c r="I6" i="1"/>
  <c r="I11" i="1"/>
  <c r="R35" i="1"/>
  <c r="Q5" i="1"/>
  <c r="Q48" i="1"/>
  <c r="M10" i="1"/>
  <c r="M18" i="1"/>
  <c r="S34" i="1"/>
  <c r="R39" i="1"/>
  <c r="R98" i="8"/>
  <c r="Y50" i="1"/>
  <c r="Q83" i="8"/>
  <c r="Y39" i="1"/>
  <c r="W12" i="1"/>
  <c r="O70" i="8"/>
  <c r="U56" i="1"/>
  <c r="W16" i="1"/>
  <c r="O100" i="8"/>
  <c r="J83" i="8"/>
  <c r="W74" i="8"/>
  <c r="J89" i="8"/>
  <c r="L2" i="1"/>
  <c r="J37" i="1"/>
  <c r="O73" i="8"/>
  <c r="V70" i="8"/>
  <c r="I42" i="1"/>
  <c r="P36" i="1"/>
  <c r="Y93" i="8"/>
  <c r="T41" i="1"/>
  <c r="P111" i="8"/>
  <c r="P64" i="10"/>
  <c r="X47" i="1"/>
  <c r="T31" i="1"/>
  <c r="S92" i="8"/>
  <c r="J65" i="8"/>
  <c r="Y63" i="8"/>
  <c r="W70" i="8"/>
  <c r="N69" i="8"/>
  <c r="U104" i="8"/>
  <c r="I107" i="8"/>
  <c r="I108" i="8"/>
  <c r="X93" i="8"/>
  <c r="J22" i="1"/>
  <c r="U52" i="1"/>
  <c r="V53" i="1"/>
  <c r="T46" i="1"/>
  <c r="K7" i="1"/>
  <c r="K58" i="8"/>
  <c r="K5" i="1"/>
  <c r="I65" i="8"/>
  <c r="N50" i="1"/>
  <c r="X49" i="1"/>
  <c r="I100" i="11"/>
  <c r="T66" i="11"/>
  <c r="X59" i="10"/>
  <c r="M14" i="1"/>
  <c r="N80" i="9"/>
  <c r="Q75" i="9"/>
  <c r="S59" i="10"/>
  <c r="I105" i="11"/>
  <c r="T112" i="11"/>
  <c r="N106" i="10"/>
  <c r="S106" i="8"/>
  <c r="R87" i="9"/>
  <c r="Q65" i="9"/>
  <c r="T62" i="10"/>
  <c r="V102" i="9"/>
  <c r="I58" i="10"/>
  <c r="R61" i="9"/>
  <c r="I64" i="10"/>
  <c r="W73" i="9"/>
  <c r="R36" i="1"/>
  <c r="P47" i="1"/>
  <c r="S108" i="8"/>
  <c r="X69" i="8"/>
  <c r="O47" i="1"/>
  <c r="N44" i="1"/>
  <c r="K90" i="8"/>
  <c r="O53" i="1"/>
  <c r="W72" i="9"/>
  <c r="P63" i="10"/>
  <c r="V95" i="9"/>
  <c r="Y103" i="10"/>
  <c r="J98" i="9"/>
  <c r="X50" i="1"/>
  <c r="P103" i="9"/>
  <c r="V58" i="9"/>
  <c r="Q31" i="1"/>
  <c r="L73" i="8"/>
  <c r="R91" i="8"/>
  <c r="P19" i="1"/>
  <c r="T92" i="8"/>
  <c r="J87" i="8"/>
  <c r="V92" i="8"/>
  <c r="Y60" i="9"/>
  <c r="W63" i="10"/>
  <c r="T96" i="9"/>
  <c r="U80" i="9"/>
  <c r="J107" i="10"/>
  <c r="X66" i="9"/>
  <c r="O60" i="9"/>
  <c r="N111" i="9"/>
  <c r="S88" i="8"/>
  <c r="L104" i="10"/>
  <c r="X58" i="10"/>
  <c r="V80" i="9"/>
  <c r="K106" i="9"/>
  <c r="T82" i="9"/>
  <c r="I58" i="9"/>
  <c r="Q20" i="1"/>
  <c r="S48" i="1"/>
  <c r="K9" i="1"/>
  <c r="N6" i="1"/>
  <c r="Q55" i="1"/>
  <c r="Q102" i="8"/>
  <c r="P83" i="8"/>
  <c r="X3" i="1"/>
  <c r="P27" i="1"/>
  <c r="U54" i="1"/>
  <c r="S21" i="1"/>
  <c r="J112" i="8"/>
  <c r="P48" i="1"/>
  <c r="T76" i="8"/>
  <c r="M91" i="8"/>
  <c r="N94" i="8"/>
  <c r="R106" i="8"/>
  <c r="W68" i="8"/>
  <c r="X107" i="8"/>
  <c r="U58" i="10"/>
  <c r="T64" i="9"/>
  <c r="Y53" i="1"/>
  <c r="U107" i="10"/>
  <c r="Y80" i="9"/>
  <c r="P72" i="9"/>
  <c r="I109" i="9"/>
  <c r="L70" i="9"/>
  <c r="Q65" i="8"/>
  <c r="N12" i="1"/>
  <c r="W109" i="10"/>
  <c r="Q63" i="10"/>
  <c r="O86" i="9"/>
  <c r="M58" i="9"/>
  <c r="M101" i="9"/>
  <c r="K77" i="9"/>
  <c r="X58" i="8"/>
  <c r="Y72" i="10"/>
  <c r="P61" i="10"/>
  <c r="O92" i="9"/>
  <c r="M64" i="9"/>
  <c r="X62" i="9"/>
  <c r="T70" i="9"/>
  <c r="I75" i="8"/>
  <c r="T107" i="8"/>
  <c r="Q101" i="8"/>
  <c r="Y105" i="8"/>
  <c r="N5" i="1"/>
  <c r="U18" i="1"/>
  <c r="R27" i="1"/>
  <c r="Q53" i="1"/>
  <c r="O109" i="8"/>
  <c r="O106" i="8"/>
  <c r="R54" i="1"/>
  <c r="M40" i="1"/>
  <c r="U65" i="8"/>
  <c r="L68" i="8"/>
  <c r="K81" i="8"/>
  <c r="Q40" i="1"/>
  <c r="O74" i="8"/>
  <c r="I12" i="1"/>
  <c r="W96" i="8"/>
  <c r="S35" i="1"/>
  <c r="I14" i="1"/>
  <c r="I16" i="1"/>
  <c r="O101" i="9"/>
  <c r="U72" i="9"/>
  <c r="R83" i="10"/>
  <c r="T94" i="9"/>
  <c r="J89" i="9"/>
  <c r="K70" i="9"/>
  <c r="W111" i="9"/>
  <c r="Q79" i="8"/>
  <c r="N96" i="8"/>
  <c r="T79" i="10"/>
  <c r="S66" i="10"/>
  <c r="Y96" i="9"/>
  <c r="R69" i="9"/>
  <c r="O72" i="9"/>
  <c r="V64" i="9"/>
  <c r="M89" i="8"/>
  <c r="L90" i="10"/>
  <c r="Y63" i="10"/>
  <c r="Y103" i="9"/>
  <c r="V78" i="9"/>
  <c r="O93" i="9"/>
  <c r="P68" i="9"/>
  <c r="S31" i="1"/>
  <c r="K64" i="8"/>
  <c r="L36" i="1"/>
  <c r="Y16" i="1"/>
  <c r="V10" i="1"/>
  <c r="P3" i="1"/>
  <c r="M112" i="8"/>
  <c r="J49" i="1"/>
  <c r="X86" i="8"/>
  <c r="Q50" i="1"/>
  <c r="W65" i="8"/>
  <c r="P90" i="8"/>
  <c r="T70" i="8"/>
  <c r="J33" i="1"/>
  <c r="J91" i="8"/>
  <c r="S90" i="8"/>
  <c r="U22" i="1"/>
  <c r="Y22" i="1"/>
  <c r="N97" i="8"/>
  <c r="V34" i="1"/>
  <c r="W95" i="9"/>
  <c r="R55" i="1"/>
  <c r="U80" i="10"/>
  <c r="R92" i="9"/>
  <c r="X84" i="9"/>
  <c r="J67" i="9"/>
  <c r="N102" i="9"/>
  <c r="N24" i="1"/>
  <c r="W48" i="1"/>
  <c r="W76" i="10"/>
  <c r="X63" i="10"/>
  <c r="W94" i="9"/>
  <c r="I67" i="9"/>
  <c r="U66" i="9"/>
  <c r="T58" i="9"/>
  <c r="P65" i="8"/>
  <c r="T86" i="10"/>
  <c r="W61" i="10"/>
  <c r="W101" i="9"/>
  <c r="S75" i="9"/>
  <c r="M86" i="9"/>
  <c r="L100" i="9"/>
  <c r="R90" i="8"/>
  <c r="J45" i="1"/>
  <c r="K28" i="1"/>
  <c r="Q73" i="8"/>
  <c r="J35" i="1"/>
  <c r="X104" i="8"/>
  <c r="W61" i="8"/>
  <c r="T49" i="1"/>
  <c r="X5" i="1"/>
  <c r="P79" i="8"/>
  <c r="O28" i="1"/>
  <c r="X26" i="1"/>
  <c r="R34" i="1"/>
  <c r="M87" i="8"/>
  <c r="W64" i="8"/>
  <c r="Y78" i="8"/>
  <c r="I32" i="1"/>
  <c r="O58" i="8"/>
  <c r="W47" i="1"/>
  <c r="X75" i="8"/>
  <c r="X6" i="1"/>
  <c r="R112" i="8"/>
  <c r="R56" i="1"/>
  <c r="X62" i="8"/>
  <c r="K88" i="8"/>
  <c r="R77" i="8"/>
  <c r="W108" i="8"/>
  <c r="L58" i="8"/>
  <c r="J90" i="8"/>
  <c r="L9" i="1"/>
  <c r="X67" i="8"/>
  <c r="Q81" i="8"/>
  <c r="L102" i="8"/>
  <c r="Q6" i="1"/>
  <c r="I51" i="1"/>
  <c r="U30" i="1"/>
  <c r="R53" i="1"/>
  <c r="S38" i="1"/>
  <c r="L97" i="8"/>
  <c r="N110" i="8"/>
  <c r="J58" i="8"/>
  <c r="I82" i="8"/>
  <c r="R108" i="8"/>
  <c r="O84" i="8"/>
  <c r="M72" i="8"/>
  <c r="M32" i="1"/>
  <c r="M58" i="8"/>
  <c r="R22" i="1"/>
  <c r="I97" i="8"/>
  <c r="K70" i="8"/>
  <c r="Q77" i="8"/>
  <c r="M49" i="1"/>
  <c r="P109" i="8"/>
  <c r="U80" i="8"/>
  <c r="W52" i="1"/>
  <c r="V102" i="8"/>
  <c r="T42" i="1"/>
  <c r="P2" i="1"/>
  <c r="M56" i="1"/>
  <c r="P103" i="8"/>
  <c r="X92" i="8"/>
  <c r="M51" i="1"/>
  <c r="I31" i="1"/>
  <c r="O35" i="1"/>
  <c r="P53" i="1"/>
  <c r="N83" i="8"/>
  <c r="T78" i="8"/>
  <c r="L37" i="1"/>
  <c r="V23" i="1"/>
  <c r="V32" i="1"/>
  <c r="J47" i="1"/>
  <c r="K68" i="8"/>
  <c r="S53" i="1"/>
  <c r="R87" i="8"/>
  <c r="K35" i="1"/>
  <c r="K76" i="8"/>
  <c r="Q28" i="1"/>
  <c r="O7" i="1"/>
  <c r="W58" i="8"/>
  <c r="W24" i="1"/>
  <c r="W105" i="8"/>
  <c r="R69" i="8"/>
  <c r="T89" i="8"/>
  <c r="K66" i="8"/>
  <c r="Q22" i="1"/>
  <c r="T48" i="1"/>
  <c r="O90" i="8"/>
  <c r="N98" i="8"/>
  <c r="W109" i="8"/>
  <c r="N80" i="8"/>
  <c r="Q45" i="1"/>
  <c r="M24" i="1"/>
  <c r="K63" i="8"/>
  <c r="V16" i="1"/>
  <c r="Y7" i="1"/>
  <c r="X39" i="1"/>
  <c r="N109" i="8"/>
  <c r="Y3" i="1"/>
  <c r="X109" i="8"/>
  <c r="T39" i="1"/>
  <c r="N35" i="1"/>
  <c r="Y4" i="1"/>
  <c r="J53" i="1"/>
  <c r="X72" i="8"/>
  <c r="Y25" i="1"/>
  <c r="J5" i="1"/>
  <c r="L101" i="8"/>
  <c r="K53" i="1"/>
  <c r="N39" i="1"/>
  <c r="R79" i="8"/>
  <c r="K20" i="1"/>
  <c r="K45" i="1"/>
  <c r="M66" i="8"/>
  <c r="I81" i="8"/>
  <c r="I68" i="8"/>
  <c r="Y97" i="8"/>
  <c r="S64" i="8"/>
  <c r="X42" i="1"/>
  <c r="W81" i="8"/>
  <c r="S100" i="8"/>
  <c r="S111" i="8"/>
  <c r="P52" i="1"/>
  <c r="W30" i="1"/>
  <c r="J10" i="1"/>
  <c r="T36" i="1"/>
  <c r="I112" i="8"/>
  <c r="T105" i="8"/>
  <c r="T84" i="8"/>
  <c r="L50" i="1"/>
  <c r="U73" i="8"/>
  <c r="Q7" i="1"/>
  <c r="U96" i="8"/>
  <c r="Q103" i="8"/>
  <c r="Y27" i="1"/>
  <c r="J6" i="1"/>
  <c r="V73" i="8"/>
  <c r="P112" i="8"/>
  <c r="X8" i="1"/>
  <c r="S81" i="8"/>
  <c r="I17" i="1"/>
  <c r="I18" i="1"/>
  <c r="M73" i="8"/>
  <c r="K30" i="1"/>
  <c r="V5" i="1"/>
  <c r="J21" i="1"/>
  <c r="J109" i="8"/>
  <c r="S97" i="8"/>
  <c r="X20" i="1"/>
  <c r="O61" i="8"/>
  <c r="P9" i="1"/>
  <c r="U101" i="8"/>
  <c r="U95" i="8"/>
  <c r="V33" i="1"/>
  <c r="O77" i="8"/>
  <c r="V44" i="1"/>
  <c r="Q27" i="1"/>
  <c r="S103" i="8"/>
  <c r="L47" i="1"/>
  <c r="X56" i="1"/>
  <c r="P97" i="8"/>
  <c r="I95" i="8"/>
  <c r="N64" i="8"/>
  <c r="K59" i="11"/>
  <c r="U108" i="10"/>
  <c r="V77" i="9"/>
  <c r="M82" i="10"/>
  <c r="M84" i="9"/>
  <c r="L97" i="9"/>
  <c r="L93" i="11"/>
  <c r="W90" i="11"/>
  <c r="Y64" i="11"/>
  <c r="T60" i="10"/>
  <c r="O63" i="8"/>
  <c r="S111" i="9"/>
  <c r="J94" i="9"/>
  <c r="Q72" i="9"/>
  <c r="N90" i="9"/>
  <c r="P106" i="9"/>
  <c r="V94" i="8"/>
  <c r="K78" i="9"/>
  <c r="S68" i="9"/>
  <c r="Y58" i="8"/>
  <c r="J23" i="1"/>
  <c r="T66" i="8"/>
  <c r="U70" i="8"/>
  <c r="X24" i="1"/>
  <c r="P88" i="8"/>
  <c r="N17" i="1"/>
  <c r="M4" i="1"/>
  <c r="V86" i="9"/>
  <c r="O69" i="9"/>
  <c r="P108" i="9"/>
  <c r="S98" i="10"/>
  <c r="N100" i="9"/>
  <c r="X88" i="10"/>
  <c r="X82" i="9"/>
  <c r="O103" i="9"/>
  <c r="U12" i="1"/>
  <c r="Q17" i="1"/>
  <c r="V109" i="8"/>
  <c r="P37" i="1"/>
  <c r="S78" i="8"/>
  <c r="W94" i="8"/>
  <c r="Y28" i="1"/>
  <c r="U67" i="9"/>
  <c r="I102" i="9"/>
  <c r="V79" i="9"/>
  <c r="Y103" i="8"/>
  <c r="I87" i="10"/>
  <c r="L102" i="9"/>
  <c r="K96" i="9"/>
  <c r="U109" i="9"/>
  <c r="T83" i="10"/>
  <c r="I88" i="10"/>
  <c r="N101" i="9"/>
  <c r="X104" i="9"/>
  <c r="Q93" i="9"/>
  <c r="V105" i="9"/>
  <c r="T61" i="8"/>
  <c r="L51" i="1"/>
  <c r="M36" i="1"/>
  <c r="I78" i="8"/>
  <c r="O4" i="1"/>
  <c r="N102" i="8"/>
  <c r="P35" i="1"/>
  <c r="K26" i="1"/>
  <c r="L63" i="8"/>
  <c r="L76" i="8"/>
  <c r="T63" i="8"/>
  <c r="L60" i="8"/>
  <c r="Y110" i="8"/>
  <c r="J93" i="8"/>
  <c r="M63" i="8"/>
  <c r="M86" i="8"/>
  <c r="I10" i="1"/>
  <c r="O79" i="8"/>
  <c r="T8" i="1"/>
  <c r="T95" i="8"/>
  <c r="M100" i="9"/>
  <c r="X107" i="9"/>
  <c r="X112" i="8"/>
  <c r="N80" i="10"/>
  <c r="X112" i="9"/>
  <c r="R93" i="9"/>
  <c r="P75" i="9"/>
  <c r="K83" i="9"/>
  <c r="P78" i="8"/>
  <c r="N70" i="10"/>
  <c r="N93" i="10"/>
  <c r="X105" i="9"/>
  <c r="V111" i="9"/>
  <c r="P107" i="9"/>
  <c r="N62" i="9"/>
  <c r="I101" i="8"/>
  <c r="K80" i="10"/>
  <c r="U101" i="10"/>
  <c r="X111" i="9"/>
  <c r="T78" i="9"/>
  <c r="Y102" i="9"/>
  <c r="R75" i="9"/>
  <c r="M69" i="9"/>
  <c r="O103" i="8"/>
  <c r="I92" i="8"/>
  <c r="U38" i="1"/>
  <c r="S23" i="1"/>
  <c r="J84" i="8"/>
  <c r="V38" i="1"/>
  <c r="M82" i="8"/>
  <c r="W102" i="8"/>
  <c r="X98" i="8"/>
  <c r="X40" i="1"/>
  <c r="T40" i="1"/>
  <c r="O69" i="8"/>
  <c r="Q35" i="1"/>
  <c r="V36" i="1"/>
  <c r="L66" i="8"/>
  <c r="S28" i="1"/>
  <c r="O51" i="1"/>
  <c r="P101" i="8"/>
  <c r="P86" i="8"/>
  <c r="R83" i="8"/>
  <c r="K98" i="8"/>
  <c r="S64" i="10"/>
  <c r="J62" i="9"/>
  <c r="M76" i="8"/>
  <c r="Y98" i="10"/>
  <c r="W78" i="9"/>
  <c r="P110" i="9"/>
  <c r="T102" i="9"/>
  <c r="V65" i="9"/>
  <c r="S95" i="8"/>
  <c r="S89" i="10"/>
  <c r="I107" i="10"/>
  <c r="O61" i="10"/>
  <c r="M83" i="9"/>
  <c r="W109" i="9"/>
  <c r="J92" i="9"/>
  <c r="I59" i="9"/>
  <c r="W45" i="1"/>
  <c r="Q69" i="10"/>
  <c r="N59" i="10"/>
  <c r="M90" i="9"/>
  <c r="K62" i="9"/>
  <c r="W59" i="9"/>
  <c r="N96" i="9"/>
  <c r="I45" i="1"/>
  <c r="S61" i="8"/>
  <c r="K50" i="1"/>
  <c r="K94" i="8"/>
  <c r="K69" i="8"/>
  <c r="M97" i="8"/>
  <c r="T79" i="8"/>
  <c r="W66" i="8"/>
  <c r="M106" i="8"/>
  <c r="R100" i="8"/>
  <c r="T32" i="1"/>
  <c r="M78" i="8"/>
  <c r="O48" i="1"/>
  <c r="P81" i="8"/>
  <c r="W59" i="8"/>
  <c r="I26" i="1"/>
  <c r="K22" i="1"/>
  <c r="X30" i="1"/>
  <c r="U90" i="8"/>
  <c r="Q62" i="10"/>
  <c r="O96" i="9"/>
  <c r="M17" i="1"/>
  <c r="Q96" i="10"/>
  <c r="U76" i="9"/>
  <c r="M107" i="9"/>
  <c r="Q95" i="9"/>
  <c r="T62" i="9"/>
  <c r="V83" i="8"/>
  <c r="O84" i="10"/>
  <c r="R104" i="10"/>
  <c r="M59" i="10"/>
  <c r="K81" i="9"/>
  <c r="T106" i="9"/>
  <c r="X83" i="9"/>
  <c r="I61" i="9"/>
  <c r="S11" i="1"/>
  <c r="Y111" i="10"/>
  <c r="M65" i="10"/>
  <c r="K88" i="9"/>
  <c r="I60" i="9"/>
  <c r="L109" i="9"/>
  <c r="P62" i="9"/>
  <c r="P13" i="1"/>
  <c r="J79" i="8"/>
  <c r="U51" i="1"/>
  <c r="R59" i="8"/>
  <c r="W91" i="8"/>
  <c r="M16" i="1"/>
  <c r="K33" i="1"/>
  <c r="Y38" i="1"/>
  <c r="O40" i="1"/>
  <c r="T3" i="1"/>
  <c r="N111" i="8"/>
  <c r="I111" i="8"/>
  <c r="R28" i="1"/>
  <c r="V74" i="8"/>
  <c r="S72" i="8"/>
  <c r="P14" i="1"/>
  <c r="R93" i="8"/>
  <c r="R19" i="1"/>
  <c r="U44" i="1"/>
  <c r="U9" i="1"/>
  <c r="X22" i="1"/>
  <c r="S54" i="1"/>
  <c r="N37" i="1"/>
  <c r="N42" i="1"/>
  <c r="T87" i="8"/>
  <c r="Q44" i="1"/>
  <c r="Y83" i="8"/>
  <c r="L112" i="8"/>
  <c r="W22" i="1"/>
  <c r="M11" i="1"/>
  <c r="U100" i="8"/>
  <c r="V31" i="1"/>
  <c r="S82" i="8"/>
  <c r="L110" i="8"/>
  <c r="Y100" i="8"/>
  <c r="W42" i="1"/>
  <c r="Y9" i="1"/>
  <c r="T82" i="8"/>
  <c r="R89" i="8"/>
  <c r="J36" i="1"/>
  <c r="Q105" i="8"/>
  <c r="Y106" i="8"/>
  <c r="N22" i="1"/>
  <c r="Y62" i="8"/>
  <c r="P69" i="8"/>
  <c r="R84" i="8"/>
  <c r="U45" i="1"/>
  <c r="K55" i="1"/>
  <c r="Y33" i="1"/>
  <c r="V19" i="1"/>
  <c r="X33" i="1"/>
  <c r="O38" i="1"/>
  <c r="I100" i="8"/>
  <c r="O94" i="8"/>
  <c r="M60" i="8"/>
  <c r="U24" i="1"/>
  <c r="I38" i="1"/>
  <c r="Y30" i="1"/>
  <c r="V25" i="1"/>
  <c r="V59" i="8"/>
  <c r="X53" i="1"/>
  <c r="M105" i="8"/>
  <c r="J107" i="8"/>
  <c r="X55" i="1"/>
  <c r="L41" i="1"/>
  <c r="V35" i="1"/>
  <c r="Q10" i="1"/>
  <c r="K56" i="1"/>
  <c r="I83" i="8"/>
  <c r="I30" i="1"/>
  <c r="Y98" i="8"/>
  <c r="W36" i="1"/>
  <c r="S83" i="8"/>
  <c r="W5" i="1"/>
  <c r="S40" i="1"/>
  <c r="S107" i="8"/>
  <c r="I84" i="8"/>
  <c r="T62" i="8"/>
  <c r="J108" i="8"/>
  <c r="V48" i="1"/>
  <c r="U86" i="8"/>
  <c r="V103" i="8"/>
  <c r="Y24" i="1"/>
  <c r="O89" i="8"/>
  <c r="R51" i="1"/>
  <c r="L48" i="1"/>
  <c r="Y67" i="8"/>
  <c r="R21" i="1"/>
  <c r="Q66" i="8"/>
  <c r="L94" i="8"/>
  <c r="X35" i="1"/>
  <c r="Q110" i="8"/>
  <c r="R44" i="1"/>
  <c r="Y77" i="8"/>
  <c r="T50" i="1"/>
  <c r="L91" i="8"/>
  <c r="K104" i="8"/>
  <c r="V96" i="8"/>
  <c r="T98" i="8"/>
  <c r="T47" i="1"/>
  <c r="O110" i="8"/>
  <c r="O108" i="8"/>
  <c r="M22" i="1"/>
  <c r="S32" i="1"/>
  <c r="N56" i="1"/>
  <c r="I25" i="1"/>
  <c r="J70" i="8"/>
  <c r="Q63" i="8"/>
  <c r="Y86" i="8"/>
  <c r="P8" i="1"/>
  <c r="Y60" i="8"/>
  <c r="R68" i="8"/>
  <c r="S59" i="8"/>
  <c r="P104" i="8"/>
  <c r="X105" i="8"/>
  <c r="R8" i="1"/>
  <c r="P87" i="8"/>
  <c r="L33" i="1"/>
  <c r="P54" i="1"/>
  <c r="W37" i="1"/>
  <c r="X84" i="8"/>
  <c r="O80" i="8"/>
  <c r="M13" i="1"/>
  <c r="J51" i="1"/>
  <c r="Q111" i="8"/>
  <c r="W78" i="8"/>
  <c r="W101" i="8"/>
  <c r="Y94" i="8"/>
  <c r="Y104" i="8"/>
  <c r="L44" i="1"/>
  <c r="S9" i="1"/>
  <c r="L31" i="1"/>
  <c r="W92" i="8"/>
  <c r="P55" i="1"/>
  <c r="O52" i="1"/>
  <c r="M21" i="1"/>
  <c r="M23" i="1"/>
  <c r="S94" i="8"/>
  <c r="O19" i="1"/>
  <c r="W17" i="1"/>
  <c r="I54" i="1"/>
  <c r="P41" i="1"/>
  <c r="M46" i="1"/>
  <c r="Q16" i="1"/>
  <c r="V45" i="1"/>
  <c r="N65" i="8"/>
  <c r="T94" i="8"/>
  <c r="N75" i="8"/>
  <c r="Y80" i="8"/>
  <c r="L13" i="1"/>
  <c r="V105" i="8"/>
  <c r="R14" i="1"/>
  <c r="T60" i="8"/>
  <c r="W21" i="1"/>
  <c r="T24" i="1"/>
  <c r="M80" i="8"/>
  <c r="N36" i="1"/>
  <c r="L105" i="8"/>
  <c r="S105" i="8"/>
  <c r="L69" i="10"/>
  <c r="L62" i="9"/>
  <c r="N74" i="9"/>
  <c r="X64" i="8"/>
  <c r="Y37" i="1"/>
  <c r="X41" i="1"/>
  <c r="V95" i="8"/>
  <c r="P94" i="8"/>
  <c r="J66" i="8"/>
  <c r="J100" i="8"/>
  <c r="U67" i="8"/>
  <c r="P7" i="1"/>
  <c r="N86" i="8"/>
  <c r="X88" i="8"/>
  <c r="J82" i="8"/>
  <c r="T19" i="1"/>
  <c r="J39" i="1"/>
  <c r="W14" i="1"/>
  <c r="T30" i="1"/>
  <c r="T74" i="8"/>
  <c r="U68" i="8"/>
  <c r="J88" i="8"/>
  <c r="Q34" i="1"/>
  <c r="T111" i="8"/>
  <c r="T80" i="8"/>
  <c r="M12" i="1"/>
  <c r="R97" i="8"/>
  <c r="J62" i="8"/>
  <c r="V60" i="8"/>
  <c r="X106" i="8"/>
  <c r="I109" i="10"/>
  <c r="X74" i="10"/>
  <c r="I112" i="9"/>
  <c r="Q103" i="10"/>
  <c r="O9" i="1"/>
  <c r="T66" i="9"/>
  <c r="M97" i="11"/>
  <c r="J109" i="10"/>
  <c r="X112" i="10"/>
  <c r="R82" i="9"/>
  <c r="O112" i="10"/>
  <c r="S79" i="8"/>
  <c r="M76" i="9"/>
  <c r="N65" i="9"/>
  <c r="P98" i="9"/>
  <c r="Q82" i="9"/>
  <c r="V22" i="1"/>
  <c r="P112" i="9"/>
  <c r="Y75" i="9"/>
  <c r="Q74" i="8"/>
  <c r="M77" i="8"/>
  <c r="S3" i="1"/>
  <c r="R9" i="1"/>
  <c r="T52" i="1"/>
  <c r="N14" i="1"/>
  <c r="Q82" i="8"/>
  <c r="J52" i="1"/>
  <c r="O61" i="9"/>
  <c r="T104" i="9"/>
  <c r="W80" i="9"/>
  <c r="P82" i="10"/>
  <c r="U83" i="9"/>
  <c r="V112" i="10"/>
  <c r="J108" i="9"/>
  <c r="I109" i="8"/>
  <c r="N84" i="8"/>
  <c r="J54" i="1"/>
  <c r="J32" i="1"/>
  <c r="P16" i="1"/>
  <c r="I47" i="1"/>
  <c r="L5" i="1"/>
  <c r="O102" i="9"/>
  <c r="U37" i="1"/>
  <c r="M67" i="9"/>
  <c r="L80" i="9"/>
  <c r="X61" i="8"/>
  <c r="K96" i="10"/>
  <c r="Q88" i="9"/>
  <c r="P79" i="9"/>
  <c r="Q64" i="9"/>
  <c r="Y109" i="10"/>
  <c r="W70" i="10"/>
  <c r="S87" i="9"/>
  <c r="W83" i="9"/>
  <c r="I66" i="9"/>
  <c r="K98" i="9"/>
  <c r="R41" i="1"/>
  <c r="I59" i="8"/>
  <c r="P40" i="1"/>
  <c r="P4" i="1"/>
  <c r="L88" i="8"/>
  <c r="Y20" i="1"/>
  <c r="I13" i="1"/>
  <c r="W2" i="1"/>
  <c r="O54" i="1"/>
  <c r="N16" i="1"/>
  <c r="V26" i="1"/>
  <c r="X97" i="8"/>
  <c r="W32" i="1"/>
  <c r="U69" i="8"/>
  <c r="J81" i="8"/>
  <c r="P96" i="8"/>
  <c r="T102" i="8"/>
  <c r="J4" i="1"/>
  <c r="X80" i="8"/>
  <c r="T100" i="8"/>
  <c r="K107" i="9"/>
  <c r="K79" i="9"/>
  <c r="Y96" i="8"/>
  <c r="Q58" i="10"/>
  <c r="P100" i="9"/>
  <c r="Q73" i="9"/>
  <c r="Q80" i="9"/>
  <c r="J82" i="9"/>
  <c r="U10" i="1"/>
  <c r="S96" i="10"/>
  <c r="K77" i="10"/>
  <c r="L92" i="9"/>
  <c r="U91" i="9"/>
  <c r="L74" i="9"/>
  <c r="K74" i="9"/>
  <c r="T72" i="8"/>
  <c r="P106" i="10"/>
  <c r="R84" i="10"/>
  <c r="L98" i="9"/>
  <c r="U101" i="9"/>
  <c r="U88" i="9"/>
  <c r="N95" i="9"/>
  <c r="K97" i="8"/>
  <c r="Y5" i="1"/>
  <c r="I39" i="1"/>
  <c r="S20" i="1"/>
  <c r="T91" i="8"/>
  <c r="Q72" i="8"/>
  <c r="U81" i="8"/>
  <c r="J7" i="1"/>
  <c r="J97" i="8"/>
  <c r="Y21" i="1"/>
  <c r="R5" i="1"/>
  <c r="N112" i="8"/>
  <c r="X19" i="1"/>
  <c r="L61" i="8"/>
  <c r="X44" i="1"/>
  <c r="Q8" i="1"/>
  <c r="R96" i="8"/>
  <c r="O55" i="1"/>
  <c r="O111" i="8"/>
  <c r="Q56" i="1"/>
  <c r="R46" i="1"/>
  <c r="O59" i="8"/>
  <c r="T88" i="9"/>
  <c r="O97" i="9"/>
  <c r="W63" i="8"/>
  <c r="Q77" i="10"/>
  <c r="I111" i="9"/>
  <c r="O90" i="9"/>
  <c r="N70" i="9"/>
  <c r="M66" i="9"/>
  <c r="W67" i="8"/>
  <c r="V66" i="10"/>
  <c r="W90" i="10"/>
  <c r="V103" i="9"/>
  <c r="S108" i="9"/>
  <c r="J101" i="9"/>
  <c r="M59" i="9"/>
  <c r="O72" i="8"/>
  <c r="N77" i="10"/>
  <c r="M98" i="10"/>
  <c r="V109" i="9"/>
  <c r="R76" i="9"/>
  <c r="V98" i="9"/>
  <c r="X68" i="9"/>
  <c r="J60" i="9"/>
  <c r="R81" i="8"/>
  <c r="W8" i="1"/>
  <c r="R101" i="8"/>
  <c r="V80" i="8"/>
  <c r="K100" i="8"/>
  <c r="K37" i="1"/>
  <c r="S86" i="8"/>
  <c r="K11" i="1"/>
  <c r="Y6" i="1"/>
  <c r="U88" i="8"/>
  <c r="O5" i="1"/>
  <c r="T16" i="1"/>
  <c r="T93" i="8"/>
  <c r="J60" i="8"/>
  <c r="W86" i="8"/>
  <c r="R13" i="1"/>
  <c r="R30" i="1"/>
  <c r="O78" i="8"/>
  <c r="P46" i="1"/>
  <c r="R86" i="9"/>
  <c r="L68" i="9"/>
  <c r="X23" i="1"/>
  <c r="I75" i="10"/>
  <c r="X108" i="9"/>
  <c r="L87" i="9"/>
  <c r="N67" i="9"/>
  <c r="X59" i="9"/>
  <c r="V81" i="8"/>
  <c r="N110" i="10"/>
  <c r="O88" i="10"/>
  <c r="T101" i="9"/>
  <c r="P105" i="9"/>
  <c r="M94" i="9"/>
  <c r="O107" i="9"/>
  <c r="O14" i="1"/>
  <c r="V73" i="10"/>
  <c r="P95" i="10"/>
  <c r="T107" i="9"/>
  <c r="P74" i="9"/>
  <c r="U112" i="9"/>
  <c r="W64" i="9"/>
  <c r="M65" i="9"/>
  <c r="V106" i="8"/>
  <c r="O3" i="1"/>
  <c r="K16" i="1"/>
  <c r="Q86" i="8"/>
  <c r="R4" i="1"/>
  <c r="Q80" i="8"/>
  <c r="U26" i="1"/>
  <c r="N88" i="8"/>
  <c r="O32" i="1"/>
  <c r="O2" i="1"/>
  <c r="R17" i="1"/>
  <c r="W27" i="1"/>
  <c r="X31" i="1"/>
  <c r="I62" i="8"/>
  <c r="X60" i="8"/>
  <c r="P73" i="8"/>
  <c r="T2" i="1"/>
  <c r="N4" i="1"/>
  <c r="Q12" i="1"/>
  <c r="Q89" i="8"/>
  <c r="L12" i="1"/>
  <c r="O20" i="1"/>
  <c r="R42" i="1"/>
  <c r="O37" i="1"/>
  <c r="K73" i="8"/>
  <c r="V2" i="1"/>
  <c r="I103" i="8"/>
  <c r="U31" i="1"/>
  <c r="M39" i="1"/>
  <c r="T110" i="8"/>
  <c r="S87" i="8"/>
  <c r="S22" i="1"/>
  <c r="U23" i="1"/>
  <c r="T51" i="1"/>
  <c r="Q78" i="8"/>
  <c r="V20" i="1"/>
  <c r="N47" i="1"/>
  <c r="Y109" i="8"/>
  <c r="N49" i="1"/>
  <c r="V108" i="8"/>
  <c r="S76" i="8"/>
  <c r="K109" i="8"/>
  <c r="Y69" i="8"/>
  <c r="P6" i="1"/>
  <c r="Y79" i="8"/>
  <c r="P63" i="8"/>
  <c r="Y72" i="8"/>
  <c r="J48" i="1"/>
  <c r="O18" i="1"/>
  <c r="L90" i="8"/>
  <c r="S16" i="1"/>
  <c r="Q59" i="8"/>
  <c r="W31" i="1"/>
  <c r="R6" i="1"/>
  <c r="P72" i="8"/>
  <c r="R111" i="8"/>
  <c r="R80" i="8"/>
  <c r="U34" i="1"/>
  <c r="X76" i="8"/>
  <c r="K82" i="8"/>
  <c r="Y17" i="1"/>
  <c r="Y46" i="1"/>
  <c r="N106" i="8"/>
  <c r="R52" i="1"/>
  <c r="T14" i="1"/>
  <c r="J9" i="1"/>
  <c r="R103" i="8"/>
  <c r="T53" i="1"/>
  <c r="S6" i="1"/>
  <c r="X2" i="1"/>
  <c r="Y40" i="1"/>
  <c r="S66" i="8"/>
  <c r="X38" i="1"/>
  <c r="Q4" i="1"/>
  <c r="Y2" i="1"/>
  <c r="V68" i="8"/>
  <c r="R65" i="8"/>
  <c r="L27" i="1"/>
  <c r="P91" i="8"/>
  <c r="N8" i="1"/>
  <c r="Q52" i="1"/>
  <c r="O50" i="1"/>
  <c r="K107" i="8"/>
  <c r="V78" i="8"/>
  <c r="J34" i="1"/>
  <c r="K79" i="8"/>
  <c r="N48" i="1"/>
  <c r="W76" i="8"/>
  <c r="Y26" i="1"/>
  <c r="Q32" i="1"/>
  <c r="J92" i="8"/>
  <c r="W56" i="1"/>
  <c r="I35" i="1"/>
  <c r="L19" i="1"/>
  <c r="T11" i="1"/>
  <c r="K86" i="8"/>
  <c r="S109" i="8"/>
  <c r="R88" i="8"/>
  <c r="M31" i="1"/>
  <c r="V51" i="1"/>
  <c r="R107" i="8"/>
  <c r="K78" i="8"/>
  <c r="U42" i="1"/>
  <c r="W60" i="8"/>
  <c r="W54" i="1"/>
  <c r="K62" i="8"/>
  <c r="M6" i="1"/>
  <c r="S75" i="8"/>
  <c r="I88" i="8"/>
  <c r="L25" i="1"/>
  <c r="I34" i="1"/>
  <c r="L108" i="8"/>
  <c r="J61" i="8"/>
  <c r="Q38" i="1"/>
  <c r="I46" i="1"/>
  <c r="X9" i="1"/>
  <c r="N31" i="1"/>
  <c r="U103" i="8"/>
  <c r="I48" i="1"/>
  <c r="P75" i="8"/>
  <c r="V77" i="8"/>
  <c r="X25" i="1"/>
  <c r="Q106" i="8"/>
  <c r="Y66" i="8"/>
  <c r="Q69" i="8"/>
  <c r="N10" i="1"/>
  <c r="R58" i="8"/>
  <c r="J75" i="8"/>
  <c r="Q24" i="1"/>
  <c r="I89" i="8"/>
  <c r="M100" i="8"/>
  <c r="K89" i="8"/>
  <c r="T22" i="1"/>
  <c r="Q84" i="8"/>
  <c r="Q90" i="8"/>
  <c r="O76" i="8"/>
  <c r="Q97" i="8"/>
  <c r="N90" i="8"/>
  <c r="U55" i="1"/>
  <c r="X54" i="1"/>
  <c r="S45" i="1"/>
  <c r="U53" i="1"/>
  <c r="V41" i="1"/>
  <c r="X111" i="8"/>
  <c r="J50" i="1"/>
  <c r="I79" i="8"/>
  <c r="X102" i="8"/>
  <c r="R64" i="8"/>
  <c r="R102" i="8"/>
  <c r="V13" i="1"/>
  <c r="W75" i="8"/>
  <c r="T54" i="1"/>
  <c r="U40" i="1"/>
  <c r="R66" i="8"/>
  <c r="J64" i="8"/>
  <c r="M93" i="8"/>
  <c r="O88" i="8"/>
  <c r="O67" i="8"/>
  <c r="P92" i="8"/>
  <c r="R40" i="1"/>
  <c r="U89" i="8"/>
  <c r="U94" i="9"/>
  <c r="M80" i="9"/>
  <c r="I33" i="1"/>
  <c r="Y54" i="1"/>
  <c r="S56" i="1"/>
  <c r="L96" i="8"/>
  <c r="N87" i="8"/>
  <c r="V69" i="8"/>
  <c r="Y111" i="8"/>
  <c r="Q67" i="8"/>
  <c r="U16" i="1"/>
  <c r="Q11" i="1"/>
  <c r="O49" i="1"/>
  <c r="U35" i="1"/>
  <c r="J41" i="1"/>
  <c r="T103" i="8"/>
  <c r="U28" i="1"/>
  <c r="X28" i="1"/>
  <c r="T81" i="8"/>
  <c r="P12" i="1"/>
  <c r="L8" i="1"/>
  <c r="L11" i="1"/>
  <c r="R23" i="1"/>
  <c r="J28" i="1"/>
  <c r="P61" i="8"/>
  <c r="L103" i="8"/>
  <c r="Q13" i="1"/>
  <c r="K72" i="8"/>
  <c r="W107" i="8"/>
  <c r="R105" i="8"/>
  <c r="W61" i="12"/>
  <c r="P87" i="10"/>
  <c r="W105" i="9"/>
  <c r="L58" i="10"/>
  <c r="R75" i="10"/>
  <c r="P92" i="9"/>
  <c r="P60" i="11"/>
  <c r="W106" i="10"/>
  <c r="J79" i="10"/>
  <c r="V108" i="9"/>
  <c r="M61" i="10"/>
  <c r="V66" i="8"/>
  <c r="T87" i="9"/>
  <c r="Q86" i="9"/>
  <c r="P17" i="1"/>
  <c r="Y89" i="9"/>
  <c r="L76" i="10"/>
  <c r="R112" i="9"/>
  <c r="K75" i="8"/>
  <c r="R37" i="1"/>
  <c r="I44" i="1"/>
  <c r="I24" i="1"/>
  <c r="I73" i="8"/>
  <c r="V97" i="8"/>
  <c r="L64" i="8"/>
  <c r="J80" i="8"/>
  <c r="W9" i="1"/>
  <c r="Q108" i="8"/>
  <c r="X100" i="9"/>
  <c r="R75" i="8"/>
  <c r="K110" i="9"/>
  <c r="T69" i="9"/>
  <c r="T106" i="10"/>
  <c r="N109" i="9"/>
  <c r="N27" i="1"/>
  <c r="N41" i="1"/>
  <c r="V61" i="8"/>
  <c r="R50" i="1"/>
  <c r="W28" i="1"/>
  <c r="L28" i="1"/>
  <c r="L38" i="1"/>
  <c r="U87" i="9"/>
  <c r="X76" i="10"/>
  <c r="K75" i="9"/>
  <c r="Y65" i="9"/>
  <c r="N40" i="1"/>
  <c r="J58" i="10"/>
  <c r="V74" i="9"/>
  <c r="O87" i="9"/>
  <c r="X69" i="9"/>
  <c r="W68" i="10"/>
  <c r="J64" i="10"/>
  <c r="X73" i="9"/>
  <c r="L106" i="9"/>
  <c r="X93" i="9"/>
  <c r="S61" i="9"/>
  <c r="P107" i="8"/>
  <c r="M25" i="1"/>
  <c r="R32" i="1"/>
  <c r="U11" i="1"/>
  <c r="J44" i="1"/>
  <c r="R74" i="8"/>
  <c r="M19" i="1"/>
  <c r="T86" i="8"/>
  <c r="M68" i="8"/>
  <c r="W35" i="1"/>
  <c r="X70" i="8"/>
  <c r="U49" i="1"/>
  <c r="S47" i="1"/>
  <c r="S73" i="8"/>
  <c r="V63" i="8"/>
  <c r="J101" i="8"/>
  <c r="Y13" i="1"/>
  <c r="T112" i="8"/>
  <c r="R20" i="1"/>
  <c r="Q100" i="8"/>
  <c r="N103" i="9"/>
  <c r="I94" i="9"/>
  <c r="Q101" i="10"/>
  <c r="R62" i="10"/>
  <c r="U86" i="9"/>
  <c r="S58" i="9"/>
  <c r="W102" i="9"/>
  <c r="X88" i="9"/>
  <c r="Q39" i="1"/>
  <c r="R76" i="10"/>
  <c r="S60" i="10"/>
  <c r="Q78" i="9"/>
  <c r="I72" i="9"/>
  <c r="Y107" i="9"/>
  <c r="P69" i="9"/>
  <c r="Q23" i="1"/>
  <c r="O86" i="10"/>
  <c r="I68" i="10"/>
  <c r="Q84" i="9"/>
  <c r="T80" i="9"/>
  <c r="O63" i="9"/>
  <c r="Q90" i="9"/>
  <c r="W93" i="8"/>
  <c r="V27" i="1"/>
  <c r="W110" i="8"/>
  <c r="I22" i="1"/>
  <c r="R48" i="1"/>
  <c r="W50" i="1"/>
  <c r="I105" i="8"/>
  <c r="M44" i="1"/>
  <c r="X66" i="8"/>
  <c r="R12" i="1"/>
  <c r="S49" i="1"/>
  <c r="J78" i="8"/>
  <c r="N54" i="1"/>
  <c r="S5" i="1"/>
  <c r="Q18" i="1"/>
  <c r="Q58" i="8"/>
  <c r="Q46" i="1"/>
  <c r="P102" i="8"/>
  <c r="U77" i="8"/>
  <c r="P58" i="8"/>
  <c r="N92" i="8"/>
  <c r="P5" i="1"/>
  <c r="R95" i="9"/>
  <c r="N72" i="9"/>
  <c r="I91" i="10"/>
  <c r="R60" i="10"/>
  <c r="N97" i="9"/>
  <c r="Y69" i="9"/>
  <c r="O73" i="9"/>
  <c r="X65" i="9"/>
  <c r="Q60" i="8"/>
  <c r="J93" i="10"/>
  <c r="T74" i="10"/>
  <c r="J90" i="9"/>
  <c r="R88" i="9"/>
  <c r="S69" i="9"/>
  <c r="M110" i="9"/>
  <c r="T56" i="1"/>
  <c r="S103" i="10"/>
  <c r="U81" i="10"/>
  <c r="J96" i="9"/>
  <c r="R97" i="9"/>
  <c r="Y82" i="9"/>
  <c r="L88" i="9"/>
  <c r="Y52" i="1"/>
  <c r="X87" i="8"/>
  <c r="L16" i="1"/>
  <c r="U102" i="8"/>
  <c r="X46" i="1"/>
  <c r="S37" i="1"/>
  <c r="O87" i="8"/>
  <c r="L55" i="1"/>
  <c r="K32" i="1"/>
  <c r="X77" i="8"/>
  <c r="X7" i="1"/>
  <c r="W87" i="8"/>
  <c r="T7" i="1"/>
  <c r="W69" i="8"/>
  <c r="O60" i="8"/>
  <c r="Y91" i="8"/>
  <c r="P67" i="8"/>
  <c r="T64" i="8"/>
  <c r="U107" i="8"/>
  <c r="I8" i="1"/>
  <c r="P93" i="9"/>
  <c r="R110" i="9"/>
  <c r="L75" i="10"/>
  <c r="P58" i="10"/>
  <c r="L95" i="9"/>
  <c r="P67" i="9"/>
  <c r="Q67" i="9"/>
  <c r="U59" i="9"/>
  <c r="R109" i="8"/>
  <c r="M90" i="10"/>
  <c r="L72" i="10"/>
  <c r="Y87" i="9"/>
  <c r="O84" i="9"/>
  <c r="Q66" i="9"/>
  <c r="U100" i="9"/>
  <c r="Y112" i="8"/>
  <c r="J100" i="10"/>
  <c r="M79" i="10"/>
  <c r="Y93" i="9"/>
  <c r="O94" i="9"/>
  <c r="L78" i="9"/>
  <c r="I80" i="9"/>
  <c r="W26" i="1"/>
  <c r="K24" i="1"/>
  <c r="L21" i="1"/>
  <c r="X103" i="8"/>
  <c r="S70" i="8"/>
  <c r="N11" i="1"/>
  <c r="Y42" i="1"/>
  <c r="J69" i="8"/>
  <c r="P82" i="8"/>
  <c r="K21" i="1"/>
  <c r="N52" i="1"/>
  <c r="S91" i="8"/>
  <c r="S2" i="1"/>
  <c r="Y8" i="1"/>
  <c r="N73" i="8"/>
  <c r="R31" i="1"/>
  <c r="W111" i="8"/>
  <c r="O62" i="8"/>
  <c r="T44" i="1"/>
  <c r="J3" i="1"/>
  <c r="V14" i="1"/>
  <c r="Y59" i="8"/>
  <c r="S25" i="1"/>
  <c r="Y32" i="1"/>
  <c r="J56" i="1"/>
  <c r="J40" i="1"/>
  <c r="T45" i="1"/>
  <c r="X79" i="8"/>
  <c r="R95" i="8"/>
  <c r="J11" i="1"/>
  <c r="Y88" i="8"/>
  <c r="T13" i="1"/>
  <c r="U66" i="8"/>
  <c r="K34" i="1"/>
  <c r="V91" i="8"/>
  <c r="O81" i="8"/>
  <c r="I64" i="8"/>
  <c r="V8" i="1"/>
  <c r="S7" i="1"/>
  <c r="N103" i="8"/>
  <c r="S55" i="1"/>
  <c r="L86" i="8"/>
  <c r="N38" i="1"/>
  <c r="J59" i="8"/>
  <c r="S62" i="8"/>
  <c r="T6" i="1"/>
  <c r="W97" i="8"/>
  <c r="U93" i="8"/>
  <c r="L69" i="8"/>
  <c r="L80" i="8"/>
  <c r="M34" i="1"/>
  <c r="S80" i="8"/>
  <c r="N67" i="8"/>
  <c r="O98" i="8"/>
  <c r="P51" i="1"/>
  <c r="V89" i="8"/>
  <c r="V28" i="1"/>
  <c r="L87" i="8"/>
  <c r="U20" i="1"/>
  <c r="L14" i="1"/>
  <c r="R49" i="1"/>
  <c r="S10" i="1"/>
  <c r="L30" i="1"/>
  <c r="U87" i="8"/>
  <c r="V67" i="8"/>
  <c r="N61" i="8"/>
  <c r="O56" i="1"/>
  <c r="Q62" i="8"/>
  <c r="L39" i="1"/>
  <c r="I50" i="1"/>
  <c r="Y34" i="1"/>
  <c r="R10" i="1"/>
  <c r="P26" i="1"/>
  <c r="L100" i="8"/>
  <c r="R70" i="8"/>
  <c r="X101" i="8"/>
  <c r="O93" i="8"/>
  <c r="Q14" i="1"/>
  <c r="M53" i="1"/>
  <c r="L49" i="1"/>
  <c r="R3" i="1"/>
  <c r="U14" i="1"/>
  <c r="Y31" i="1"/>
  <c r="O107" i="8"/>
  <c r="Y65" i="8"/>
  <c r="M110" i="8"/>
  <c r="O8" i="1"/>
  <c r="Y18" i="1"/>
  <c r="J13" i="1"/>
  <c r="O91" i="8"/>
  <c r="K96" i="8"/>
  <c r="R110" i="8"/>
  <c r="L81" i="8"/>
  <c r="T27" i="1"/>
  <c r="S63" i="8"/>
  <c r="X12" i="1"/>
  <c r="O101" i="8"/>
  <c r="Y49" i="1"/>
  <c r="X11" i="1"/>
  <c r="W112" i="8"/>
  <c r="I37" i="1"/>
  <c r="N105" i="8"/>
  <c r="U8" i="1"/>
  <c r="M8" i="1"/>
  <c r="N68" i="8"/>
  <c r="M41" i="1"/>
  <c r="P23" i="1"/>
  <c r="M37" i="1"/>
  <c r="L3" i="1"/>
  <c r="X10" i="1"/>
  <c r="X68" i="8"/>
  <c r="T90" i="8"/>
  <c r="K42" i="1"/>
  <c r="M7" i="1"/>
  <c r="T17" i="1"/>
  <c r="K40" i="1"/>
  <c r="J2" i="1"/>
  <c r="J64" i="9"/>
  <c r="U106" i="9"/>
  <c r="U62" i="10"/>
  <c r="L75" i="9"/>
  <c r="W34" i="1"/>
  <c r="R94" i="8"/>
  <c r="K91" i="8"/>
  <c r="S27" i="1"/>
  <c r="I104" i="8"/>
  <c r="M83" i="8"/>
  <c r="J104" i="8"/>
  <c r="K36" i="1"/>
  <c r="K60" i="8"/>
  <c r="L4" i="1"/>
  <c r="S96" i="8"/>
  <c r="N28" i="1"/>
  <c r="Y84" i="8"/>
  <c r="J20" i="1"/>
  <c r="Q37" i="1"/>
  <c r="N20" i="1"/>
  <c r="V37" i="1"/>
  <c r="R24" i="1"/>
  <c r="T104" i="8"/>
  <c r="V12" i="1"/>
  <c r="I49" i="1"/>
  <c r="P18" i="1"/>
  <c r="U72" i="8"/>
  <c r="L92" i="8"/>
  <c r="U78" i="8"/>
  <c r="U110" i="11"/>
  <c r="X97" i="10"/>
  <c r="X67" i="9"/>
  <c r="J80" i="9"/>
  <c r="W96" i="10"/>
  <c r="U84" i="10"/>
  <c r="S75" i="10"/>
  <c r="L106" i="11"/>
  <c r="Y91" i="10"/>
  <c r="T89" i="9"/>
  <c r="J70" i="9"/>
  <c r="Y104" i="10"/>
  <c r="J14" i="1"/>
  <c r="S104" i="10"/>
  <c r="Y89" i="8"/>
  <c r="U104" i="9"/>
  <c r="X103" i="10"/>
  <c r="Q92" i="9"/>
  <c r="X21" i="1"/>
  <c r="S39" i="1"/>
  <c r="Y11" i="1"/>
  <c r="J73" i="8"/>
  <c r="Y44" i="1"/>
  <c r="K25" i="1"/>
  <c r="P100" i="8"/>
  <c r="N30" i="1"/>
  <c r="P11" i="1"/>
  <c r="K65" i="8"/>
  <c r="W79" i="9"/>
  <c r="S52" i="1"/>
  <c r="P96" i="9"/>
  <c r="P89" i="9"/>
  <c r="Q90" i="10"/>
  <c r="I100" i="9"/>
  <c r="J103" i="8"/>
  <c r="X48" i="1"/>
  <c r="M69" i="8"/>
  <c r="W23" i="1"/>
  <c r="L74" i="8"/>
  <c r="Q25" i="1"/>
  <c r="O45" i="1"/>
  <c r="U107" i="9"/>
  <c r="X90" i="10"/>
  <c r="P95" i="9"/>
  <c r="P82" i="9"/>
  <c r="Q61" i="8"/>
  <c r="L62" i="10"/>
  <c r="L96" i="9"/>
  <c r="V110" i="9"/>
  <c r="P98" i="8"/>
  <c r="R96" i="10"/>
  <c r="V59" i="10"/>
  <c r="L108" i="9"/>
  <c r="K86" i="9"/>
  <c r="T112" i="9"/>
  <c r="K108" i="9"/>
  <c r="O39" i="1"/>
  <c r="W100" i="8"/>
  <c r="J46" i="1"/>
  <c r="O6" i="1"/>
  <c r="L22" i="1"/>
  <c r="P30" i="1"/>
  <c r="N78" i="8"/>
  <c r="Q107" i="8"/>
  <c r="N34" i="1"/>
  <c r="P76" i="8"/>
  <c r="L107" i="8"/>
  <c r="N91" i="8"/>
  <c r="L67" i="8"/>
  <c r="I93" i="8"/>
  <c r="R63" i="8"/>
  <c r="K92" i="8"/>
  <c r="K4" i="1"/>
  <c r="Y35" i="1"/>
  <c r="K87" i="8"/>
  <c r="S74" i="8"/>
  <c r="R83" i="9"/>
  <c r="T65" i="9"/>
  <c r="J74" i="10"/>
  <c r="U61" i="10"/>
  <c r="N112" i="9"/>
  <c r="Q108" i="9"/>
  <c r="V62" i="9"/>
  <c r="K65" i="9"/>
  <c r="S104" i="8"/>
  <c r="M104" i="10"/>
  <c r="O64" i="10"/>
  <c r="V112" i="9"/>
  <c r="I93" i="9"/>
  <c r="T74" i="9"/>
  <c r="Q79" i="9"/>
  <c r="S41" i="1"/>
  <c r="N65" i="10"/>
  <c r="Y61" i="10"/>
  <c r="V70" i="9"/>
  <c r="I103" i="9"/>
  <c r="K89" i="9"/>
  <c r="R58" i="9"/>
  <c r="V98" i="8"/>
  <c r="W80" i="8"/>
  <c r="T108" i="8"/>
  <c r="T109" i="8"/>
  <c r="J31" i="1"/>
  <c r="L20" i="1"/>
  <c r="W11" i="1"/>
  <c r="N81" i="8"/>
  <c r="M65" i="8"/>
  <c r="I55" i="1"/>
  <c r="Q75" i="8"/>
  <c r="R7" i="1"/>
  <c r="R73" i="8"/>
  <c r="M92" i="8"/>
  <c r="L35" i="1"/>
  <c r="K14" i="1"/>
  <c r="O82" i="8"/>
  <c r="Y51" i="1"/>
  <c r="M101" i="8"/>
  <c r="M64" i="8"/>
  <c r="X74" i="8"/>
  <c r="K18" i="1"/>
  <c r="P86" i="9"/>
  <c r="W86" i="9"/>
  <c r="Y96" i="10"/>
  <c r="P60" i="10"/>
  <c r="S83" i="9"/>
  <c r="O110" i="9"/>
  <c r="L93" i="9"/>
  <c r="L60" i="9"/>
  <c r="O86" i="8"/>
  <c r="I73" i="10"/>
  <c r="K58" i="10"/>
  <c r="O76" i="9"/>
  <c r="X109" i="9"/>
  <c r="S101" i="9"/>
  <c r="L65" i="9"/>
  <c r="Y87" i="8"/>
  <c r="R82" i="10"/>
  <c r="L65" i="10"/>
  <c r="O82" i="9"/>
  <c r="Q77" i="9"/>
  <c r="W60" i="9"/>
  <c r="N82" i="9"/>
  <c r="O30" i="1"/>
  <c r="W18" i="1"/>
  <c r="I74" i="8"/>
  <c r="K51" i="1"/>
  <c r="W73" i="8"/>
  <c r="P24" i="1"/>
  <c r="J12" i="1"/>
  <c r="R25" i="1"/>
  <c r="J95" i="8"/>
  <c r="I9" i="1"/>
  <c r="M35" i="1"/>
  <c r="T20" i="1"/>
  <c r="P20" i="1"/>
  <c r="U106" i="8"/>
  <c r="Q112" i="8"/>
  <c r="P70" i="8"/>
  <c r="W82" i="8"/>
  <c r="M82" i="9"/>
  <c r="K63" i="9"/>
  <c r="K94" i="10"/>
  <c r="N58" i="10"/>
  <c r="Q81" i="9"/>
  <c r="L107" i="9"/>
  <c r="J86" i="9"/>
  <c r="M74" i="9"/>
  <c r="I79" i="10"/>
  <c r="N58" i="9"/>
  <c r="I70" i="8"/>
  <c r="Y47" i="1"/>
  <c r="U19" i="1"/>
  <c r="S12" i="1"/>
  <c r="Y10" i="1"/>
  <c r="M5" i="1"/>
  <c r="R38" i="1"/>
  <c r="K23" i="1"/>
  <c r="R2" i="1"/>
  <c r="J55" i="1"/>
  <c r="Y107" i="8"/>
  <c r="N53" i="1"/>
  <c r="V56" i="1"/>
  <c r="W7" i="1"/>
  <c r="P31" i="1"/>
  <c r="K49" i="1"/>
  <c r="T75" i="8"/>
  <c r="U5" i="1"/>
  <c r="N51" i="1"/>
  <c r="U4" i="1"/>
  <c r="N21" i="1"/>
  <c r="N66" i="8"/>
  <c r="T10" i="1"/>
  <c r="T10" i="18" l="1"/>
  <c r="T10" i="15"/>
  <c r="T10" i="12"/>
  <c r="T10" i="11"/>
  <c r="T10" i="19"/>
  <c r="T10" i="16"/>
  <c r="T10" i="10"/>
  <c r="T10" i="9"/>
  <c r="T10" i="17"/>
  <c r="T10" i="14"/>
  <c r="T10" i="13"/>
  <c r="T10" i="8"/>
  <c r="N21" i="17"/>
  <c r="N21" i="16"/>
  <c r="N21" i="13"/>
  <c r="N21" i="8"/>
  <c r="N21" i="19"/>
  <c r="N21" i="14"/>
  <c r="N21" i="11"/>
  <c r="N21" i="10"/>
  <c r="N21" i="18"/>
  <c r="N21" i="15"/>
  <c r="N21" i="12"/>
  <c r="N21" i="9"/>
  <c r="U4" i="15"/>
  <c r="U4" i="19"/>
  <c r="U4" i="10"/>
  <c r="U4" i="11"/>
  <c r="U4" i="14"/>
  <c r="U4" i="16"/>
  <c r="U4" i="9"/>
  <c r="U4" i="12"/>
  <c r="U4" i="17"/>
  <c r="U4" i="18"/>
  <c r="U4" i="13"/>
  <c r="U4" i="8"/>
  <c r="N51" i="19"/>
  <c r="N51" i="15"/>
  <c r="N51" i="13"/>
  <c r="N51" i="10"/>
  <c r="N51" i="18"/>
  <c r="N51" i="14"/>
  <c r="N51" i="11"/>
  <c r="N51" i="9"/>
  <c r="N51" i="17"/>
  <c r="N51" i="16"/>
  <c r="N51" i="12"/>
  <c r="N51" i="8"/>
  <c r="U5" i="19"/>
  <c r="U5" i="13"/>
  <c r="U5" i="14"/>
  <c r="U5" i="10"/>
  <c r="U5" i="18"/>
  <c r="U5" i="15"/>
  <c r="U5" i="12"/>
  <c r="U5" i="8"/>
  <c r="U5" i="17"/>
  <c r="U5" i="16"/>
  <c r="U5" i="11"/>
  <c r="U5" i="9"/>
  <c r="K49" i="17"/>
  <c r="K49" i="16"/>
  <c r="K49" i="13"/>
  <c r="K49" i="8"/>
  <c r="K49" i="19"/>
  <c r="K49" i="14"/>
  <c r="K49" i="11"/>
  <c r="K49" i="9"/>
  <c r="K49" i="18"/>
  <c r="K49" i="15"/>
  <c r="K49" i="12"/>
  <c r="K49" i="10"/>
  <c r="P31" i="15"/>
  <c r="P31" i="16"/>
  <c r="P31" i="9"/>
  <c r="P31" i="14"/>
  <c r="P31" i="18"/>
  <c r="P31" i="13"/>
  <c r="P31" i="11"/>
  <c r="P31" i="12"/>
  <c r="P31" i="17"/>
  <c r="P31" i="10"/>
  <c r="P31" i="8"/>
  <c r="P31" i="19"/>
  <c r="W7" i="19"/>
  <c r="W7" i="18"/>
  <c r="W7" i="13"/>
  <c r="W7" i="11"/>
  <c r="W7" i="17"/>
  <c r="W7" i="14"/>
  <c r="W7" i="10"/>
  <c r="W7" i="9"/>
  <c r="W7" i="15"/>
  <c r="W7" i="12"/>
  <c r="W7" i="16"/>
  <c r="W7" i="8"/>
  <c r="V56" i="12"/>
  <c r="V56" i="10"/>
  <c r="V56" i="16"/>
  <c r="V56" i="14"/>
  <c r="V56" i="13"/>
  <c r="V56" i="9"/>
  <c r="V56" i="18"/>
  <c r="V56" i="15"/>
  <c r="V56" i="11"/>
  <c r="V56" i="8"/>
  <c r="V56" i="17"/>
  <c r="V56" i="19"/>
  <c r="N53" i="12"/>
  <c r="N53" i="10"/>
  <c r="N53" i="19"/>
  <c r="N53" i="18"/>
  <c r="N53" i="13"/>
  <c r="N53" i="9"/>
  <c r="N53" i="16"/>
  <c r="N53" i="14"/>
  <c r="N53" i="11"/>
  <c r="N53" i="8"/>
  <c r="N53" i="17"/>
  <c r="N53" i="15"/>
  <c r="J55" i="9"/>
  <c r="J55" i="14"/>
  <c r="J55" i="18"/>
  <c r="J55" i="12"/>
  <c r="J55" i="11"/>
  <c r="J55" i="10"/>
  <c r="J55" i="17"/>
  <c r="J55" i="19"/>
  <c r="J55" i="8"/>
  <c r="J55" i="13"/>
  <c r="J55" i="15"/>
  <c r="J55" i="16"/>
  <c r="R2" i="12"/>
  <c r="R2" i="11"/>
  <c r="R2" i="19"/>
  <c r="R2" i="16"/>
  <c r="R2" i="10"/>
  <c r="R2" i="9"/>
  <c r="R2" i="15"/>
  <c r="R2" i="14"/>
  <c r="R2" i="13"/>
  <c r="R2" i="8"/>
  <c r="R2" i="18"/>
  <c r="R2" i="17"/>
  <c r="K23" i="13"/>
  <c r="K23" i="10"/>
  <c r="K23" i="17"/>
  <c r="K23" i="14"/>
  <c r="K23" i="11"/>
  <c r="K23" i="9"/>
  <c r="K23" i="12"/>
  <c r="K23" i="8"/>
  <c r="K23" i="16"/>
  <c r="K23" i="19"/>
  <c r="K23" i="18"/>
  <c r="K23" i="15"/>
  <c r="R38" i="19"/>
  <c r="R38" i="12"/>
  <c r="R38" i="14"/>
  <c r="R38" i="10"/>
  <c r="R38" i="16"/>
  <c r="R38" i="17"/>
  <c r="R38" i="9"/>
  <c r="R38" i="13"/>
  <c r="R38" i="15"/>
  <c r="R38" i="18"/>
  <c r="R38" i="8"/>
  <c r="R38" i="11"/>
  <c r="M5" i="15"/>
  <c r="M5" i="14"/>
  <c r="M5" i="12"/>
  <c r="M5" i="8"/>
  <c r="M5" i="19"/>
  <c r="M5" i="18"/>
  <c r="M5" i="10"/>
  <c r="M5" i="11"/>
  <c r="M5" i="17"/>
  <c r="M5" i="16"/>
  <c r="M5" i="13"/>
  <c r="M5" i="9"/>
  <c r="Y10" i="12"/>
  <c r="Y10" i="14"/>
  <c r="Y10" i="19"/>
  <c r="Y10" i="15"/>
  <c r="Y10" i="13"/>
  <c r="Y10" i="11"/>
  <c r="Y10" i="10"/>
  <c r="Y10" i="18"/>
  <c r="Y10" i="16"/>
  <c r="Y10" i="9"/>
  <c r="Y10" i="17"/>
  <c r="Y10" i="8"/>
  <c r="S12" i="15"/>
  <c r="S12" i="19"/>
  <c r="S12" i="18"/>
  <c r="S12" i="16"/>
  <c r="S12" i="13"/>
  <c r="S12" i="10"/>
  <c r="S12" i="11"/>
  <c r="S12" i="9"/>
  <c r="S12" i="17"/>
  <c r="S12" i="14"/>
  <c r="S12" i="12"/>
  <c r="S12" i="8"/>
  <c r="U19" i="15"/>
  <c r="U19" i="17"/>
  <c r="U19" i="12"/>
  <c r="U19" i="16"/>
  <c r="U19" i="10"/>
  <c r="U19" i="19"/>
  <c r="U19" i="18"/>
  <c r="U19" i="9"/>
  <c r="U19" i="11"/>
  <c r="U19" i="8"/>
  <c r="U19" i="13"/>
  <c r="U19" i="14"/>
  <c r="Y47" i="16"/>
  <c r="Y47" i="19"/>
  <c r="Y47" i="13"/>
  <c r="Y47" i="11"/>
  <c r="Y47" i="10"/>
  <c r="Y47" i="18"/>
  <c r="Y47" i="12"/>
  <c r="Y47" i="9"/>
  <c r="Y47" i="8"/>
  <c r="Y47" i="14"/>
  <c r="Y47" i="17"/>
  <c r="Y47" i="15"/>
  <c r="P20" i="13"/>
  <c r="P20" i="8"/>
  <c r="P20" i="15"/>
  <c r="P20" i="12"/>
  <c r="P20" i="11"/>
  <c r="P20" i="14"/>
  <c r="P20" i="16"/>
  <c r="P20" i="19"/>
  <c r="P20" i="9"/>
  <c r="P20" i="10"/>
  <c r="P20" i="17"/>
  <c r="P20" i="18"/>
  <c r="T20" i="12"/>
  <c r="T20" i="9"/>
  <c r="T20" i="19"/>
  <c r="T20" i="16"/>
  <c r="T20" i="10"/>
  <c r="T20" i="8"/>
  <c r="T20" i="17"/>
  <c r="T20" i="18"/>
  <c r="T20" i="13"/>
  <c r="T20" i="11"/>
  <c r="T20" i="15"/>
  <c r="T20" i="14"/>
  <c r="M35" i="10"/>
  <c r="M35" i="11"/>
  <c r="M35" i="16"/>
  <c r="M35" i="18"/>
  <c r="M35" i="9"/>
  <c r="M35" i="8"/>
  <c r="M35" i="17"/>
  <c r="M35" i="15"/>
  <c r="M35" i="12"/>
  <c r="M35" i="14"/>
  <c r="M35" i="13"/>
  <c r="M35" i="19"/>
  <c r="I9" i="10"/>
  <c r="I9" i="11"/>
  <c r="I9" i="19"/>
  <c r="I9" i="16"/>
  <c r="I9" i="12"/>
  <c r="I9" i="8"/>
  <c r="I9" i="18"/>
  <c r="I9" i="17"/>
  <c r="I9" i="13"/>
  <c r="I9" i="9"/>
  <c r="I9" i="15"/>
  <c r="I9" i="14"/>
  <c r="R25" i="10"/>
  <c r="R25" i="12"/>
  <c r="R25" i="14"/>
  <c r="R25" i="19"/>
  <c r="R25" i="9"/>
  <c r="R25" i="8"/>
  <c r="R25" i="18"/>
  <c r="R25" i="15"/>
  <c r="R25" i="11"/>
  <c r="R25" i="13"/>
  <c r="R25" i="16"/>
  <c r="R25" i="17"/>
  <c r="J12" i="12"/>
  <c r="J12" i="9"/>
  <c r="J12" i="18"/>
  <c r="J12" i="15"/>
  <c r="J12" i="8"/>
  <c r="J12" i="14"/>
  <c r="J12" i="17"/>
  <c r="J12" i="13"/>
  <c r="J12" i="11"/>
  <c r="J12" i="10"/>
  <c r="J12" i="16"/>
  <c r="J12" i="19"/>
  <c r="P24" i="11"/>
  <c r="P24" i="9"/>
  <c r="P24" i="16"/>
  <c r="P24" i="8"/>
  <c r="P24" i="13"/>
  <c r="P24" i="18"/>
  <c r="P24" i="17"/>
  <c r="P24" i="12"/>
  <c r="P24" i="10"/>
  <c r="P24" i="19"/>
  <c r="P24" i="15"/>
  <c r="P24" i="14"/>
  <c r="K51" i="13"/>
  <c r="K51" i="9"/>
  <c r="K51" i="15"/>
  <c r="K51" i="17"/>
  <c r="K51" i="8"/>
  <c r="K51" i="12"/>
  <c r="K51" i="16"/>
  <c r="K51" i="19"/>
  <c r="K51" i="18"/>
  <c r="K51" i="11"/>
  <c r="K51" i="14"/>
  <c r="K51" i="10"/>
  <c r="W18" i="8"/>
  <c r="W18" i="12"/>
  <c r="W18" i="15"/>
  <c r="W18" i="19"/>
  <c r="W18" i="11"/>
  <c r="W18" i="13"/>
  <c r="W18" i="9"/>
  <c r="W18" i="14"/>
  <c r="W18" i="16"/>
  <c r="W18" i="10"/>
  <c r="W18" i="18"/>
  <c r="W18" i="17"/>
  <c r="O30" i="18"/>
  <c r="O30" i="15"/>
  <c r="O30" i="16"/>
  <c r="O30" i="11"/>
  <c r="O30" i="9"/>
  <c r="O30" i="17"/>
  <c r="O30" i="14"/>
  <c r="O30" i="10"/>
  <c r="O30" i="8"/>
  <c r="O30" i="13"/>
  <c r="O30" i="12"/>
  <c r="O30" i="19"/>
  <c r="K18" i="12"/>
  <c r="K18" i="8"/>
  <c r="K18" i="14"/>
  <c r="K18" i="17"/>
  <c r="K18" i="9"/>
  <c r="K18" i="10"/>
  <c r="K18" i="13"/>
  <c r="K18" i="11"/>
  <c r="K18" i="16"/>
  <c r="K18" i="15"/>
  <c r="K18" i="19"/>
  <c r="K18" i="18"/>
  <c r="Y51" i="15"/>
  <c r="Y51" i="19"/>
  <c r="Y51" i="9"/>
  <c r="Y51" i="12"/>
  <c r="Y51" i="14"/>
  <c r="Y51" i="17"/>
  <c r="Y51" i="10"/>
  <c r="Y51" i="16"/>
  <c r="Y51" i="8"/>
  <c r="Y51" i="18"/>
  <c r="Y51" i="13"/>
  <c r="Y51" i="11"/>
  <c r="K14" i="17"/>
  <c r="K14" i="19"/>
  <c r="K14" i="8"/>
  <c r="K14" i="13"/>
  <c r="K14" i="15"/>
  <c r="K14" i="16"/>
  <c r="K14" i="9"/>
  <c r="K14" i="18"/>
  <c r="K14" i="11"/>
  <c r="K14" i="12"/>
  <c r="K14" i="10"/>
  <c r="K14" i="14"/>
  <c r="L35" i="13"/>
  <c r="L35" i="18"/>
  <c r="L35" i="8"/>
  <c r="L35" i="9"/>
  <c r="L35" i="17"/>
  <c r="L35" i="15"/>
  <c r="L35" i="11"/>
  <c r="L35" i="19"/>
  <c r="L35" i="10"/>
  <c r="L35" i="14"/>
  <c r="L35" i="16"/>
  <c r="L35" i="12"/>
  <c r="R7" i="11"/>
  <c r="R7" i="10"/>
  <c r="R7" i="8"/>
  <c r="R7" i="16"/>
  <c r="R7" i="17"/>
  <c r="R7" i="9"/>
  <c r="R7" i="19"/>
  <c r="R7" i="14"/>
  <c r="R7" i="12"/>
  <c r="R7" i="15"/>
  <c r="R7" i="18"/>
  <c r="R7" i="13"/>
  <c r="I55" i="18"/>
  <c r="I55" i="14"/>
  <c r="I55" i="9"/>
  <c r="I55" i="8"/>
  <c r="I55" i="13"/>
  <c r="I55" i="16"/>
  <c r="I55" i="19"/>
  <c r="I55" i="11"/>
  <c r="I55" i="12"/>
  <c r="I55" i="15"/>
  <c r="I55" i="17"/>
  <c r="I55" i="10"/>
  <c r="W11" i="17"/>
  <c r="W11" i="18"/>
  <c r="W11" i="12"/>
  <c r="W11" i="16"/>
  <c r="W11" i="15"/>
  <c r="W11" i="8"/>
  <c r="W11" i="14"/>
  <c r="W11" i="13"/>
  <c r="W11" i="19"/>
  <c r="W11" i="9"/>
  <c r="W11" i="11"/>
  <c r="W11" i="10"/>
  <c r="L20" i="18"/>
  <c r="L20" i="15"/>
  <c r="L20" i="12"/>
  <c r="L20" i="14"/>
  <c r="L20" i="19"/>
  <c r="L20" i="8"/>
  <c r="L20" i="10"/>
  <c r="L20" i="16"/>
  <c r="L20" i="17"/>
  <c r="L20" i="13"/>
  <c r="L20" i="11"/>
  <c r="L20" i="9"/>
  <c r="J31" i="14"/>
  <c r="J31" i="17"/>
  <c r="J31" i="8"/>
  <c r="J31" i="15"/>
  <c r="J31" i="18"/>
  <c r="J31" i="10"/>
  <c r="J31" i="12"/>
  <c r="J31" i="16"/>
  <c r="J31" i="19"/>
  <c r="J31" i="9"/>
  <c r="J31" i="13"/>
  <c r="J31" i="11"/>
  <c r="S41" i="15"/>
  <c r="S41" i="17"/>
  <c r="S41" i="10"/>
  <c r="S41" i="8"/>
  <c r="S41" i="9"/>
  <c r="S41" i="14"/>
  <c r="S41" i="16"/>
  <c r="S41" i="13"/>
  <c r="S41" i="12"/>
  <c r="S41" i="19"/>
  <c r="S41" i="18"/>
  <c r="S41" i="11"/>
  <c r="Y35" i="16"/>
  <c r="Y35" i="19"/>
  <c r="Y35" i="8"/>
  <c r="Y35" i="12"/>
  <c r="Y35" i="9"/>
  <c r="Y35" i="18"/>
  <c r="Y35" i="14"/>
  <c r="Y35" i="11"/>
  <c r="Y35" i="10"/>
  <c r="Y35" i="17"/>
  <c r="Y35" i="15"/>
  <c r="Y35" i="13"/>
  <c r="K4" i="16"/>
  <c r="K4" i="19"/>
  <c r="K4" i="8"/>
  <c r="K4" i="10"/>
  <c r="K4" i="11"/>
  <c r="K4" i="17"/>
  <c r="K4" i="14"/>
  <c r="K4" i="13"/>
  <c r="K4" i="9"/>
  <c r="K4" i="18"/>
  <c r="K4" i="15"/>
  <c r="K4" i="12"/>
  <c r="N34" i="15"/>
  <c r="N34" i="18"/>
  <c r="N34" i="17"/>
  <c r="N34" i="13"/>
  <c r="N34" i="12"/>
  <c r="N34" i="11"/>
  <c r="N34" i="9"/>
  <c r="N34" i="19"/>
  <c r="N34" i="14"/>
  <c r="N34" i="10"/>
  <c r="N34" i="8"/>
  <c r="N34" i="16"/>
  <c r="P30" i="13"/>
  <c r="P30" i="19"/>
  <c r="P30" i="17"/>
  <c r="P30" i="14"/>
  <c r="P30" i="12"/>
  <c r="P30" i="11"/>
  <c r="P30" i="8"/>
  <c r="P30" i="18"/>
  <c r="P30" i="15"/>
  <c r="P30" i="10"/>
  <c r="P30" i="9"/>
  <c r="P30" i="16"/>
  <c r="L22" i="19"/>
  <c r="L22" i="15"/>
  <c r="L22" i="14"/>
  <c r="L22" i="11"/>
  <c r="L22" i="9"/>
  <c r="L22" i="8"/>
  <c r="L22" i="16"/>
  <c r="L22" i="13"/>
  <c r="L22" i="18"/>
  <c r="L22" i="10"/>
  <c r="L22" i="12"/>
  <c r="L22" i="17"/>
  <c r="O6" i="19"/>
  <c r="O6" i="14"/>
  <c r="O6" i="10"/>
  <c r="O6" i="16"/>
  <c r="O6" i="18"/>
  <c r="O6" i="9"/>
  <c r="O6" i="13"/>
  <c r="O6" i="17"/>
  <c r="O6" i="15"/>
  <c r="O6" i="12"/>
  <c r="O6" i="8"/>
  <c r="O6" i="11"/>
  <c r="J46" i="14"/>
  <c r="J46" i="10"/>
  <c r="J46" i="19"/>
  <c r="J46" i="12"/>
  <c r="J46" i="15"/>
  <c r="J46" i="18"/>
  <c r="J46" i="8"/>
  <c r="J46" i="17"/>
  <c r="J46" i="9"/>
  <c r="J46" i="16"/>
  <c r="J46" i="11"/>
  <c r="J46" i="13"/>
  <c r="O39" i="18"/>
  <c r="O39" i="14"/>
  <c r="O39" i="9"/>
  <c r="O39" i="16"/>
  <c r="O39" i="15"/>
  <c r="O39" i="8"/>
  <c r="O39" i="10"/>
  <c r="O39" i="13"/>
  <c r="O39" i="11"/>
  <c r="O39" i="19"/>
  <c r="O39" i="17"/>
  <c r="O39" i="12"/>
  <c r="O45" i="14"/>
  <c r="O45" i="17"/>
  <c r="O45" i="12"/>
  <c r="O45" i="16"/>
  <c r="O45" i="18"/>
  <c r="O45" i="8"/>
  <c r="O45" i="11"/>
  <c r="O45" i="19"/>
  <c r="O45" i="15"/>
  <c r="O45" i="13"/>
  <c r="O45" i="10"/>
  <c r="O45" i="9"/>
  <c r="Q25" i="15"/>
  <c r="Q25" i="19"/>
  <c r="Q25" i="16"/>
  <c r="Q25" i="13"/>
  <c r="Q25" i="10"/>
  <c r="Q25" i="11"/>
  <c r="Q25" i="9"/>
  <c r="Q25" i="17"/>
  <c r="Q25" i="14"/>
  <c r="Q25" i="12"/>
  <c r="Q25" i="8"/>
  <c r="Q25" i="18"/>
  <c r="W23" i="15"/>
  <c r="W23" i="19"/>
  <c r="W23" i="17"/>
  <c r="W23" i="13"/>
  <c r="W23" i="12"/>
  <c r="W23" i="11"/>
  <c r="W23" i="9"/>
  <c r="W23" i="18"/>
  <c r="W23" i="14"/>
  <c r="W23" i="10"/>
  <c r="W23" i="8"/>
  <c r="W23" i="16"/>
  <c r="X48" i="19"/>
  <c r="X48" i="16"/>
  <c r="X48" i="15"/>
  <c r="X48" i="11"/>
  <c r="X48" i="10"/>
  <c r="X48" i="9"/>
  <c r="X48" i="12"/>
  <c r="X48" i="14"/>
  <c r="X48" i="18"/>
  <c r="X48" i="8"/>
  <c r="X48" i="13"/>
  <c r="X48" i="17"/>
  <c r="S52" i="19"/>
  <c r="S52" i="16"/>
  <c r="S52" i="12"/>
  <c r="S52" i="9"/>
  <c r="S52" i="17"/>
  <c r="S52" i="15"/>
  <c r="S52" i="8"/>
  <c r="S52" i="13"/>
  <c r="S52" i="14"/>
  <c r="S52" i="18"/>
  <c r="S52" i="11"/>
  <c r="S52" i="10"/>
  <c r="P11" i="12"/>
  <c r="P11" i="16"/>
  <c r="P11" i="10"/>
  <c r="P11" i="13"/>
  <c r="P11" i="18"/>
  <c r="P11" i="19"/>
  <c r="P11" i="8"/>
  <c r="P11" i="11"/>
  <c r="P11" i="14"/>
  <c r="P11" i="17"/>
  <c r="P11" i="9"/>
  <c r="P11" i="15"/>
  <c r="N30" i="17"/>
  <c r="N30" i="19"/>
  <c r="N30" i="10"/>
  <c r="N30" i="13"/>
  <c r="N30" i="15"/>
  <c r="N30" i="18"/>
  <c r="N30" i="8"/>
  <c r="N30" i="12"/>
  <c r="N30" i="16"/>
  <c r="N30" i="14"/>
  <c r="N30" i="9"/>
  <c r="N30" i="11"/>
  <c r="K25" i="14"/>
  <c r="K25" i="16"/>
  <c r="K25" i="9"/>
  <c r="K25" i="13"/>
  <c r="K25" i="15"/>
  <c r="K25" i="17"/>
  <c r="K25" i="8"/>
  <c r="K25" i="11"/>
  <c r="K25" i="18"/>
  <c r="K25" i="19"/>
  <c r="K25" i="12"/>
  <c r="K25" i="10"/>
  <c r="Y44" i="17"/>
  <c r="Y44" i="15"/>
  <c r="Y44" i="13"/>
  <c r="Y44" i="14"/>
  <c r="Y44" i="18"/>
  <c r="Y44" i="12"/>
  <c r="Y44" i="9"/>
  <c r="Y44" i="11"/>
  <c r="Y44" i="16"/>
  <c r="Y44" i="19"/>
  <c r="Y44" i="8"/>
  <c r="Y44" i="10"/>
  <c r="Y11" i="17"/>
  <c r="Y11" i="15"/>
  <c r="Y11" i="11"/>
  <c r="Y11" i="9"/>
  <c r="Y11" i="19"/>
  <c r="Y11" i="14"/>
  <c r="Y11" i="8"/>
  <c r="Y11" i="13"/>
  <c r="Y11" i="16"/>
  <c r="Y11" i="18"/>
  <c r="Y11" i="12"/>
  <c r="Y11" i="10"/>
  <c r="S39" i="18"/>
  <c r="S39" i="16"/>
  <c r="S39" i="12"/>
  <c r="S39" i="9"/>
  <c r="S39" i="19"/>
  <c r="S39" i="15"/>
  <c r="S39" i="11"/>
  <c r="S39" i="10"/>
  <c r="S39" i="14"/>
  <c r="S39" i="17"/>
  <c r="S39" i="8"/>
  <c r="S39" i="13"/>
  <c r="X21" i="15"/>
  <c r="X21" i="11"/>
  <c r="X21" i="9"/>
  <c r="X21" i="10"/>
  <c r="X21" i="12"/>
  <c r="X21" i="16"/>
  <c r="X21" i="19"/>
  <c r="X21" i="8"/>
  <c r="X21" i="13"/>
  <c r="X21" i="14"/>
  <c r="X21" i="18"/>
  <c r="X21" i="17"/>
  <c r="J14" i="15"/>
  <c r="J14" i="18"/>
  <c r="J14" i="13"/>
  <c r="J14" i="16"/>
  <c r="J14" i="19"/>
  <c r="J14" i="9"/>
  <c r="J14" i="12"/>
  <c r="J14" i="8"/>
  <c r="J14" i="10"/>
  <c r="J14" i="17"/>
  <c r="J14" i="14"/>
  <c r="J14" i="11"/>
  <c r="P18" i="15"/>
  <c r="P18" i="18"/>
  <c r="P18" i="9"/>
  <c r="P18" i="13"/>
  <c r="P18" i="14"/>
  <c r="P18" i="17"/>
  <c r="P18" i="8"/>
  <c r="P18" i="11"/>
  <c r="P18" i="19"/>
  <c r="P18" i="16"/>
  <c r="P18" i="12"/>
  <c r="P18" i="10"/>
  <c r="I49" i="18"/>
  <c r="I49" i="15"/>
  <c r="I49" i="12"/>
  <c r="I49" i="10"/>
  <c r="I49" i="19"/>
  <c r="I49" i="16"/>
  <c r="I49" i="13"/>
  <c r="I49" i="9"/>
  <c r="I49" i="17"/>
  <c r="I49" i="14"/>
  <c r="I49" i="11"/>
  <c r="I49" i="8"/>
  <c r="V12" i="19"/>
  <c r="V12" i="17"/>
  <c r="V12" i="13"/>
  <c r="V12" i="8"/>
  <c r="V12" i="16"/>
  <c r="V12" i="15"/>
  <c r="V12" i="11"/>
  <c r="V12" i="10"/>
  <c r="V12" i="18"/>
  <c r="V12" i="14"/>
  <c r="V12" i="12"/>
  <c r="V12" i="9"/>
  <c r="R24" i="19"/>
  <c r="R24" i="13"/>
  <c r="R24" i="15"/>
  <c r="R24" i="11"/>
  <c r="R24" i="18"/>
  <c r="R24" i="16"/>
  <c r="R24" i="9"/>
  <c r="R24" i="8"/>
  <c r="R24" i="17"/>
  <c r="R24" i="14"/>
  <c r="R24" i="12"/>
  <c r="R24" i="10"/>
  <c r="V37" i="16"/>
  <c r="V37" i="19"/>
  <c r="V37" i="9"/>
  <c r="V37" i="10"/>
  <c r="V37" i="14"/>
  <c r="V37" i="15"/>
  <c r="V37" i="8"/>
  <c r="V37" i="13"/>
  <c r="V37" i="18"/>
  <c r="V37" i="17"/>
  <c r="V37" i="12"/>
  <c r="V37" i="11"/>
  <c r="N20" i="19"/>
  <c r="N20" i="15"/>
  <c r="N20" i="10"/>
  <c r="N20" i="11"/>
  <c r="N20" i="18"/>
  <c r="N20" i="14"/>
  <c r="N20" i="13"/>
  <c r="N20" i="9"/>
  <c r="N20" i="17"/>
  <c r="N20" i="12"/>
  <c r="N20" i="16"/>
  <c r="N20" i="8"/>
  <c r="Q37" i="13"/>
  <c r="Q37" i="10"/>
  <c r="Q37" i="19"/>
  <c r="Q37" i="14"/>
  <c r="Q37" i="11"/>
  <c r="Q37" i="9"/>
  <c r="Q37" i="17"/>
  <c r="Q37" i="16"/>
  <c r="Q37" i="12"/>
  <c r="Q37" i="8"/>
  <c r="Q37" i="18"/>
  <c r="Q37" i="15"/>
  <c r="J20" i="9"/>
  <c r="J20" i="18"/>
  <c r="J20" i="16"/>
  <c r="J20" i="8"/>
  <c r="J20" i="10"/>
  <c r="J20" i="17"/>
  <c r="J20" i="11"/>
  <c r="J20" i="15"/>
  <c r="J20" i="19"/>
  <c r="J20" i="13"/>
  <c r="J20" i="14"/>
  <c r="J20" i="12"/>
  <c r="N28" i="16"/>
  <c r="N28" i="8"/>
  <c r="N28" i="18"/>
  <c r="N28" i="10"/>
  <c r="N28" i="13"/>
  <c r="N28" i="17"/>
  <c r="N28" i="15"/>
  <c r="N28" i="12"/>
  <c r="N28" i="9"/>
  <c r="N28" i="11"/>
  <c r="N28" i="19"/>
  <c r="N28" i="14"/>
  <c r="L4" i="15"/>
  <c r="L4" i="10"/>
  <c r="L4" i="18"/>
  <c r="L4" i="12"/>
  <c r="L4" i="13"/>
  <c r="L4" i="9"/>
  <c r="L4" i="11"/>
  <c r="L4" i="8"/>
  <c r="L4" i="17"/>
  <c r="L4" i="14"/>
  <c r="L4" i="16"/>
  <c r="L4" i="19"/>
  <c r="K36" i="19"/>
  <c r="K36" i="13"/>
  <c r="K36" i="16"/>
  <c r="K36" i="11"/>
  <c r="K36" i="15"/>
  <c r="K36" i="18"/>
  <c r="K36" i="8"/>
  <c r="K36" i="12"/>
  <c r="K36" i="14"/>
  <c r="K36" i="17"/>
  <c r="K36" i="9"/>
  <c r="K36" i="10"/>
  <c r="S27" i="14"/>
  <c r="S27" i="18"/>
  <c r="S27" i="16"/>
  <c r="S27" i="11"/>
  <c r="S27" i="10"/>
  <c r="S27" i="19"/>
  <c r="S27" i="15"/>
  <c r="S27" i="13"/>
  <c r="S27" i="8"/>
  <c r="S27" i="12"/>
  <c r="S27" i="9"/>
  <c r="S27" i="17"/>
  <c r="W34" i="14"/>
  <c r="W34" i="10"/>
  <c r="W34" i="11"/>
  <c r="W34" i="13"/>
  <c r="W34" i="19"/>
  <c r="W34" i="12"/>
  <c r="W34" i="15"/>
  <c r="W34" i="16"/>
  <c r="W34" i="8"/>
  <c r="W34" i="18"/>
  <c r="W34" i="9"/>
  <c r="W34" i="17"/>
  <c r="J2" i="9"/>
  <c r="J2" i="10"/>
  <c r="J2" i="16"/>
  <c r="J2" i="15"/>
  <c r="J2" i="8"/>
  <c r="J2" i="13"/>
  <c r="J2" i="18"/>
  <c r="J2" i="19"/>
  <c r="J2" i="11"/>
  <c r="J2" i="12"/>
  <c r="J2" i="14"/>
  <c r="J2" i="17"/>
  <c r="K40" i="18"/>
  <c r="K40" i="15"/>
  <c r="K40" i="13"/>
  <c r="K40" i="10"/>
  <c r="K40" i="19"/>
  <c r="K40" i="16"/>
  <c r="K40" i="12"/>
  <c r="K40" i="9"/>
  <c r="K40" i="17"/>
  <c r="K40" i="14"/>
  <c r="K40" i="11"/>
  <c r="K40" i="8"/>
  <c r="T17" i="19"/>
  <c r="T17" i="16"/>
  <c r="T17" i="12"/>
  <c r="T17" i="9"/>
  <c r="T17" i="18"/>
  <c r="T17" i="15"/>
  <c r="T17" i="13"/>
  <c r="T17" i="8"/>
  <c r="T17" i="17"/>
  <c r="T17" i="14"/>
  <c r="T17" i="11"/>
  <c r="T17" i="10"/>
  <c r="M7" i="19"/>
  <c r="M7" i="16"/>
  <c r="M7" i="12"/>
  <c r="M7" i="9"/>
  <c r="M7" i="18"/>
  <c r="M7" i="15"/>
  <c r="M7" i="13"/>
  <c r="M7" i="8"/>
  <c r="M7" i="17"/>
  <c r="M7" i="14"/>
  <c r="M7" i="11"/>
  <c r="M7" i="10"/>
  <c r="K42" i="19"/>
  <c r="K42" i="18"/>
  <c r="K42" i="13"/>
  <c r="K42" i="11"/>
  <c r="K42" i="17"/>
  <c r="K42" i="16"/>
  <c r="K42" i="10"/>
  <c r="K42" i="9"/>
  <c r="K42" i="15"/>
  <c r="K42" i="14"/>
  <c r="K42" i="12"/>
  <c r="K42" i="8"/>
  <c r="X10" i="16"/>
  <c r="X10" i="19"/>
  <c r="X10" i="8"/>
  <c r="X10" i="13"/>
  <c r="X10" i="14"/>
  <c r="X10" i="15"/>
  <c r="X10" i="9"/>
  <c r="X10" i="12"/>
  <c r="X10" i="18"/>
  <c r="X10" i="17"/>
  <c r="X10" i="10"/>
  <c r="X10" i="11"/>
  <c r="L3" i="15"/>
  <c r="L3" i="16"/>
  <c r="L3" i="10"/>
  <c r="L3" i="13"/>
  <c r="L3" i="17"/>
  <c r="L3" i="18"/>
  <c r="L3" i="9"/>
  <c r="L3" i="11"/>
  <c r="L3" i="14"/>
  <c r="L3" i="19"/>
  <c r="L3" i="8"/>
  <c r="L3" i="12"/>
  <c r="M37" i="19"/>
  <c r="M37" i="15"/>
  <c r="M37" i="14"/>
  <c r="M37" i="10"/>
  <c r="M37" i="18"/>
  <c r="M37" i="13"/>
  <c r="M37" i="12"/>
  <c r="M37" i="9"/>
  <c r="M37" i="17"/>
  <c r="M37" i="16"/>
  <c r="M37" i="11"/>
  <c r="M37" i="8"/>
  <c r="P23" i="18"/>
  <c r="P23" i="16"/>
  <c r="P23" i="12"/>
  <c r="P23" i="10"/>
  <c r="P23" i="19"/>
  <c r="P23" i="15"/>
  <c r="P23" i="11"/>
  <c r="P23" i="9"/>
  <c r="P23" i="17"/>
  <c r="P23" i="14"/>
  <c r="P23" i="13"/>
  <c r="P23" i="8"/>
  <c r="M41" i="19"/>
  <c r="M41" i="17"/>
  <c r="M41" i="13"/>
  <c r="M41" i="8"/>
  <c r="M41" i="18"/>
  <c r="M41" i="15"/>
  <c r="M41" i="11"/>
  <c r="M41" i="10"/>
  <c r="M41" i="16"/>
  <c r="M41" i="14"/>
  <c r="M41" i="12"/>
  <c r="M41" i="9"/>
  <c r="M8" i="13"/>
  <c r="M8" i="18"/>
  <c r="M8" i="8"/>
  <c r="M8" i="11"/>
  <c r="M8" i="15"/>
  <c r="M8" i="17"/>
  <c r="M8" i="14"/>
  <c r="M8" i="10"/>
  <c r="M8" i="19"/>
  <c r="M8" i="16"/>
  <c r="M8" i="12"/>
  <c r="M8" i="9"/>
  <c r="U8" i="17"/>
  <c r="U8" i="16"/>
  <c r="U8" i="13"/>
  <c r="U8" i="10"/>
  <c r="U8" i="19"/>
  <c r="U8" i="14"/>
  <c r="U8" i="12"/>
  <c r="U8" i="9"/>
  <c r="U8" i="18"/>
  <c r="U8" i="15"/>
  <c r="U8" i="11"/>
  <c r="U8" i="8"/>
  <c r="I37" i="19"/>
  <c r="I37" i="12"/>
  <c r="I37" i="14"/>
  <c r="I37" i="10"/>
  <c r="I37" i="18"/>
  <c r="I37" i="15"/>
  <c r="I37" i="11"/>
  <c r="I37" i="9"/>
  <c r="I37" i="17"/>
  <c r="I37" i="16"/>
  <c r="I37" i="13"/>
  <c r="I37" i="8"/>
  <c r="X11" i="19"/>
  <c r="X11" i="16"/>
  <c r="X11" i="14"/>
  <c r="X11" i="8"/>
  <c r="X11" i="18"/>
  <c r="X11" i="13"/>
  <c r="X11" i="12"/>
  <c r="X11" i="10"/>
  <c r="X11" i="17"/>
  <c r="X11" i="15"/>
  <c r="X11" i="11"/>
  <c r="X11" i="9"/>
  <c r="Y49" i="19"/>
  <c r="Y49" i="13"/>
  <c r="Y49" i="14"/>
  <c r="Y49" i="10"/>
  <c r="Y49" i="18"/>
  <c r="Y49" i="15"/>
  <c r="Y49" i="12"/>
  <c r="Y49" i="8"/>
  <c r="Y49" i="17"/>
  <c r="Y49" i="16"/>
  <c r="Y49" i="11"/>
  <c r="Y49" i="9"/>
  <c r="X12" i="18"/>
  <c r="X12" i="14"/>
  <c r="X12" i="13"/>
  <c r="X12" i="8"/>
  <c r="X12" i="19"/>
  <c r="X12" i="15"/>
  <c r="X12" i="11"/>
  <c r="X12" i="12"/>
  <c r="X12" i="16"/>
  <c r="X12" i="10"/>
  <c r="X12" i="9"/>
  <c r="X12" i="17"/>
  <c r="T27" i="15"/>
  <c r="T27" i="13"/>
  <c r="T27" i="9"/>
  <c r="T27" i="19"/>
  <c r="T27" i="16"/>
  <c r="T27" i="8"/>
  <c r="T27" i="10"/>
  <c r="T27" i="17"/>
  <c r="T27" i="11"/>
  <c r="T27" i="14"/>
  <c r="T27" i="18"/>
  <c r="T27" i="12"/>
  <c r="J13" i="19"/>
  <c r="J13" i="16"/>
  <c r="J13" i="15"/>
  <c r="J13" i="8"/>
  <c r="J13" i="18"/>
  <c r="J13" i="13"/>
  <c r="J13" i="12"/>
  <c r="J13" i="10"/>
  <c r="J13" i="11"/>
  <c r="J13" i="14"/>
  <c r="J13" i="9"/>
  <c r="J13" i="17"/>
  <c r="Y18" i="19"/>
  <c r="Y18" i="17"/>
  <c r="Y18" i="13"/>
  <c r="Y18" i="8"/>
  <c r="Y18" i="18"/>
  <c r="Y18" i="14"/>
  <c r="Y18" i="12"/>
  <c r="Y18" i="10"/>
  <c r="Y18" i="11"/>
  <c r="Y18" i="15"/>
  <c r="Y18" i="9"/>
  <c r="Y18" i="16"/>
  <c r="O8" i="16"/>
  <c r="O8" i="8"/>
  <c r="O8" i="18"/>
  <c r="O8" i="15"/>
  <c r="O8" i="11"/>
  <c r="O8" i="10"/>
  <c r="O8" i="17"/>
  <c r="O8" i="14"/>
  <c r="O8" i="12"/>
  <c r="O8" i="9"/>
  <c r="O8" i="13"/>
  <c r="O8" i="19"/>
  <c r="Y31" i="15"/>
  <c r="Y31" i="10"/>
  <c r="Y31" i="17"/>
  <c r="Y31" i="16"/>
  <c r="Y31" i="13"/>
  <c r="Y31" i="9"/>
  <c r="Y31" i="18"/>
  <c r="Y31" i="14"/>
  <c r="Y31" i="11"/>
  <c r="Y31" i="8"/>
  <c r="Y31" i="12"/>
  <c r="Y31" i="19"/>
  <c r="U14" i="12"/>
  <c r="U14" i="9"/>
  <c r="U14" i="18"/>
  <c r="U14" i="14"/>
  <c r="U14" i="13"/>
  <c r="U14" i="10"/>
  <c r="U14" i="17"/>
  <c r="U14" i="15"/>
  <c r="U14" i="11"/>
  <c r="U14" i="8"/>
  <c r="U14" i="16"/>
  <c r="U14" i="19"/>
  <c r="R3" i="13"/>
  <c r="R3" i="8"/>
  <c r="R3" i="16"/>
  <c r="R3" i="15"/>
  <c r="R3" i="11"/>
  <c r="R3" i="10"/>
  <c r="R3" i="18"/>
  <c r="R3" i="14"/>
  <c r="R3" i="12"/>
  <c r="R3" i="9"/>
  <c r="R3" i="19"/>
  <c r="R3" i="17"/>
  <c r="L49" i="11"/>
  <c r="L49" i="10"/>
  <c r="L49" i="18"/>
  <c r="L49" i="14"/>
  <c r="L49" i="13"/>
  <c r="L49" i="8"/>
  <c r="L49" i="16"/>
  <c r="L49" i="17"/>
  <c r="L49" i="9"/>
  <c r="L49" i="12"/>
  <c r="L49" i="15"/>
  <c r="L49" i="19"/>
  <c r="M53" i="12"/>
  <c r="M53" i="8"/>
  <c r="M53" i="19"/>
  <c r="M53" i="17"/>
  <c r="M53" i="10"/>
  <c r="M53" i="15"/>
  <c r="M53" i="16"/>
  <c r="M53" i="13"/>
  <c r="M53" i="9"/>
  <c r="M53" i="11"/>
  <c r="M53" i="18"/>
  <c r="M53" i="14"/>
  <c r="Q14" i="9"/>
  <c r="Q14" i="11"/>
  <c r="Q14" i="15"/>
  <c r="Q14" i="17"/>
  <c r="Q14" i="8"/>
  <c r="Q14" i="13"/>
  <c r="Q14" i="19"/>
  <c r="Q14" i="16"/>
  <c r="Q14" i="14"/>
  <c r="Q14" i="10"/>
  <c r="Q14" i="18"/>
  <c r="Q14" i="12"/>
  <c r="P26" i="14"/>
  <c r="P26" i="10"/>
  <c r="P26" i="18"/>
  <c r="P26" i="15"/>
  <c r="P26" i="11"/>
  <c r="P26" i="9"/>
  <c r="P26" i="17"/>
  <c r="P26" i="16"/>
  <c r="P26" i="13"/>
  <c r="P26" i="8"/>
  <c r="P26" i="12"/>
  <c r="P26" i="19"/>
  <c r="R10" i="12"/>
  <c r="R10" i="11"/>
  <c r="R10" i="19"/>
  <c r="R10" i="16"/>
  <c r="R10" i="10"/>
  <c r="R10" i="9"/>
  <c r="R10" i="15"/>
  <c r="R10" i="14"/>
  <c r="R10" i="13"/>
  <c r="R10" i="8"/>
  <c r="R10" i="18"/>
  <c r="R10" i="17"/>
  <c r="Y34" i="12"/>
  <c r="Y34" i="9"/>
  <c r="Y34" i="18"/>
  <c r="Y34" i="16"/>
  <c r="Y34" i="13"/>
  <c r="Y34" i="8"/>
  <c r="Y34" i="17"/>
  <c r="Y34" i="14"/>
  <c r="Y34" i="11"/>
  <c r="Y34" i="10"/>
  <c r="Y34" i="19"/>
  <c r="Y34" i="15"/>
  <c r="I50" i="14"/>
  <c r="I50" i="10"/>
  <c r="I50" i="18"/>
  <c r="I50" i="13"/>
  <c r="I50" i="11"/>
  <c r="I50" i="8"/>
  <c r="I50" i="16"/>
  <c r="I50" i="15"/>
  <c r="I50" i="12"/>
  <c r="I50" i="9"/>
  <c r="I50" i="17"/>
  <c r="I50" i="19"/>
  <c r="L39" i="12"/>
  <c r="L39" i="9"/>
  <c r="L39" i="18"/>
  <c r="L39" i="16"/>
  <c r="L39" i="13"/>
  <c r="L39" i="10"/>
  <c r="L39" i="17"/>
  <c r="L39" i="15"/>
  <c r="L39" i="11"/>
  <c r="L39" i="8"/>
  <c r="L39" i="14"/>
  <c r="L39" i="19"/>
  <c r="O56" i="14"/>
  <c r="O56" i="10"/>
  <c r="O56" i="18"/>
  <c r="O56" i="13"/>
  <c r="O56" i="11"/>
  <c r="O56" i="8"/>
  <c r="O56" i="17"/>
  <c r="O56" i="15"/>
  <c r="O56" i="12"/>
  <c r="O56" i="9"/>
  <c r="O56" i="19"/>
  <c r="O56" i="16"/>
  <c r="L30" i="12"/>
  <c r="L30" i="9"/>
  <c r="L30" i="19"/>
  <c r="L30" i="14"/>
  <c r="L30" i="13"/>
  <c r="L30" i="8"/>
  <c r="L30" i="15"/>
  <c r="L30" i="17"/>
  <c r="L30" i="10"/>
  <c r="L30" i="11"/>
  <c r="L30" i="18"/>
  <c r="L30" i="16"/>
  <c r="S10" i="15"/>
  <c r="S10" i="8"/>
  <c r="S10" i="18"/>
  <c r="S10" i="14"/>
  <c r="S10" i="13"/>
  <c r="S10" i="11"/>
  <c r="S10" i="12"/>
  <c r="S10" i="10"/>
  <c r="S10" i="9"/>
  <c r="S10" i="17"/>
  <c r="S10" i="16"/>
  <c r="S10" i="19"/>
  <c r="R49" i="9"/>
  <c r="R49" i="11"/>
  <c r="R49" i="16"/>
  <c r="R49" i="17"/>
  <c r="R49" i="8"/>
  <c r="R49" i="13"/>
  <c r="R49" i="18"/>
  <c r="R49" i="15"/>
  <c r="R49" i="12"/>
  <c r="R49" i="10"/>
  <c r="R49" i="14"/>
  <c r="R49" i="19"/>
  <c r="L14" i="9"/>
  <c r="L14" i="14"/>
  <c r="L14" i="17"/>
  <c r="L14" i="13"/>
  <c r="L14" i="8"/>
  <c r="L14" i="11"/>
  <c r="L14" i="16"/>
  <c r="L14" i="19"/>
  <c r="L14" i="10"/>
  <c r="L14" i="12"/>
  <c r="L14" i="15"/>
  <c r="L14" i="18"/>
  <c r="U20" i="8"/>
  <c r="U20" i="19"/>
  <c r="U20" i="16"/>
  <c r="U20" i="12"/>
  <c r="U20" i="10"/>
  <c r="U20" i="18"/>
  <c r="U20" i="15"/>
  <c r="U20" i="9"/>
  <c r="U20" i="14"/>
  <c r="U20" i="17"/>
  <c r="U20" i="13"/>
  <c r="U20" i="11"/>
  <c r="V28" i="11"/>
  <c r="V28" i="13"/>
  <c r="V28" i="14"/>
  <c r="V28" i="15"/>
  <c r="V28" i="12"/>
  <c r="V28" i="9"/>
  <c r="V28" i="19"/>
  <c r="V28" i="16"/>
  <c r="V28" i="10"/>
  <c r="V28" i="8"/>
  <c r="V28" i="17"/>
  <c r="V28" i="18"/>
  <c r="P51" i="10"/>
  <c r="P51" i="9"/>
  <c r="P51" i="16"/>
  <c r="P51" i="15"/>
  <c r="P51" i="12"/>
  <c r="P51" i="13"/>
  <c r="P51" i="18"/>
  <c r="P51" i="19"/>
  <c r="P51" i="8"/>
  <c r="P51" i="11"/>
  <c r="P51" i="14"/>
  <c r="P51" i="17"/>
  <c r="M34" i="13"/>
  <c r="M34" i="9"/>
  <c r="M34" i="19"/>
  <c r="M34" i="14"/>
  <c r="M34" i="11"/>
  <c r="M34" i="8"/>
  <c r="M34" i="18"/>
  <c r="M34" i="15"/>
  <c r="M34" i="12"/>
  <c r="M34" i="10"/>
  <c r="M34" i="17"/>
  <c r="M34" i="16"/>
  <c r="T6" i="13"/>
  <c r="T6" i="8"/>
  <c r="T6" i="16"/>
  <c r="T6" i="15"/>
  <c r="T6" i="12"/>
  <c r="T6" i="9"/>
  <c r="T6" i="11"/>
  <c r="T6" i="10"/>
  <c r="T6" i="18"/>
  <c r="T6" i="17"/>
  <c r="T6" i="14"/>
  <c r="T6" i="19"/>
  <c r="N38" i="15"/>
  <c r="N38" i="16"/>
  <c r="N38" i="12"/>
  <c r="N38" i="8"/>
  <c r="N38" i="18"/>
  <c r="N38" i="17"/>
  <c r="N38" i="10"/>
  <c r="N38" i="11"/>
  <c r="N38" i="19"/>
  <c r="N38" i="14"/>
  <c r="N38" i="9"/>
  <c r="N38" i="13"/>
  <c r="S55" i="15"/>
  <c r="S55" i="14"/>
  <c r="S55" i="12"/>
  <c r="S55" i="8"/>
  <c r="S55" i="19"/>
  <c r="S55" i="18"/>
  <c r="S55" i="13"/>
  <c r="S55" i="11"/>
  <c r="S55" i="17"/>
  <c r="S55" i="16"/>
  <c r="S55" i="9"/>
  <c r="S55" i="10"/>
  <c r="S7" i="15"/>
  <c r="S7" i="16"/>
  <c r="S7" i="10"/>
  <c r="S7" i="12"/>
  <c r="S7" i="19"/>
  <c r="S7" i="14"/>
  <c r="S7" i="11"/>
  <c r="S7" i="8"/>
  <c r="S7" i="18"/>
  <c r="S7" i="9"/>
  <c r="S7" i="17"/>
  <c r="S7" i="13"/>
  <c r="V8" i="19"/>
  <c r="V8" i="16"/>
  <c r="V8" i="14"/>
  <c r="V8" i="12"/>
  <c r="V8" i="13"/>
  <c r="V8" i="18"/>
  <c r="V8" i="10"/>
  <c r="V8" i="9"/>
  <c r="V8" i="15"/>
  <c r="V8" i="17"/>
  <c r="V8" i="8"/>
  <c r="V8" i="11"/>
  <c r="K34" i="19"/>
  <c r="K34" i="14"/>
  <c r="K34" i="11"/>
  <c r="K34" i="13"/>
  <c r="K34" i="16"/>
  <c r="K34" i="17"/>
  <c r="K34" i="10"/>
  <c r="K34" i="8"/>
  <c r="K34" i="18"/>
  <c r="K34" i="15"/>
  <c r="K34" i="9"/>
  <c r="K34" i="12"/>
  <c r="T13" i="18"/>
  <c r="T13" i="15"/>
  <c r="T13" i="11"/>
  <c r="T13" i="8"/>
  <c r="T13" i="19"/>
  <c r="T13" i="16"/>
  <c r="T13" i="12"/>
  <c r="T13" i="10"/>
  <c r="T13" i="17"/>
  <c r="T13" i="14"/>
  <c r="T13" i="13"/>
  <c r="T13" i="9"/>
  <c r="J11" i="17"/>
  <c r="J11" i="15"/>
  <c r="J11" i="13"/>
  <c r="J11" i="8"/>
  <c r="J11" i="19"/>
  <c r="J11" i="14"/>
  <c r="J11" i="12"/>
  <c r="J11" i="11"/>
  <c r="J11" i="18"/>
  <c r="J11" i="16"/>
  <c r="J11" i="9"/>
  <c r="J11" i="10"/>
  <c r="T45" i="19"/>
  <c r="T45" i="17"/>
  <c r="T45" i="14"/>
  <c r="T45" i="10"/>
  <c r="T45" i="13"/>
  <c r="T45" i="18"/>
  <c r="T45" i="8"/>
  <c r="T45" i="11"/>
  <c r="T45" i="15"/>
  <c r="T45" i="16"/>
  <c r="T45" i="9"/>
  <c r="T45" i="12"/>
  <c r="J40" i="12"/>
  <c r="J40" i="14"/>
  <c r="J40" i="19"/>
  <c r="J40" i="15"/>
  <c r="J40" i="16"/>
  <c r="J40" i="11"/>
  <c r="J40" i="10"/>
  <c r="J40" i="18"/>
  <c r="J40" i="13"/>
  <c r="J40" i="9"/>
  <c r="J40" i="8"/>
  <c r="J40" i="17"/>
  <c r="J56" i="19"/>
  <c r="J56" i="18"/>
  <c r="J56" i="8"/>
  <c r="J56" i="11"/>
  <c r="J56" i="16"/>
  <c r="J56" i="17"/>
  <c r="J56" i="9"/>
  <c r="J56" i="14"/>
  <c r="J56" i="15"/>
  <c r="J56" i="13"/>
  <c r="J56" i="10"/>
  <c r="J56" i="12"/>
  <c r="Y32" i="11"/>
  <c r="Y32" i="15"/>
  <c r="Y32" i="19"/>
  <c r="Y32" i="13"/>
  <c r="Y32" i="14"/>
  <c r="Y32" i="12"/>
  <c r="Y32" i="10"/>
  <c r="Y32" i="16"/>
  <c r="Y32" i="18"/>
  <c r="Y32" i="9"/>
  <c r="Y32" i="8"/>
  <c r="Y32" i="17"/>
  <c r="S25" i="16"/>
  <c r="S25" i="14"/>
  <c r="S25" i="12"/>
  <c r="S25" i="13"/>
  <c r="S25" i="17"/>
  <c r="S25" i="18"/>
  <c r="S25" i="8"/>
  <c r="S25" i="9"/>
  <c r="S25" i="19"/>
  <c r="S25" i="15"/>
  <c r="S25" i="11"/>
  <c r="S25" i="10"/>
  <c r="V14" i="17"/>
  <c r="V14" i="14"/>
  <c r="V14" i="19"/>
  <c r="V14" i="13"/>
  <c r="V14" i="12"/>
  <c r="V14" i="18"/>
  <c r="V14" i="16"/>
  <c r="V14" i="10"/>
  <c r="V14" i="8"/>
  <c r="V14" i="9"/>
  <c r="V14" i="11"/>
  <c r="V14" i="15"/>
  <c r="J3" i="14"/>
  <c r="J3" i="18"/>
  <c r="J3" i="8"/>
  <c r="J3" i="9"/>
  <c r="J3" i="13"/>
  <c r="J3" i="15"/>
  <c r="J3" i="19"/>
  <c r="J3" i="10"/>
  <c r="J3" i="11"/>
  <c r="J3" i="16"/>
  <c r="J3" i="17"/>
  <c r="J3" i="12"/>
  <c r="T44" i="16"/>
  <c r="T44" i="19"/>
  <c r="T44" i="18"/>
  <c r="T44" i="15"/>
  <c r="T44" i="13"/>
  <c r="T44" i="10"/>
  <c r="T44" i="11"/>
  <c r="T44" i="9"/>
  <c r="T44" i="17"/>
  <c r="T44" i="14"/>
  <c r="T44" i="12"/>
  <c r="T44" i="8"/>
  <c r="R31" i="16"/>
  <c r="R31" i="11"/>
  <c r="R31" i="12"/>
  <c r="R31" i="15"/>
  <c r="R31" i="19"/>
  <c r="R31" i="10"/>
  <c r="R31" i="17"/>
  <c r="R31" i="8"/>
  <c r="R31" i="13"/>
  <c r="R31" i="14"/>
  <c r="R31" i="9"/>
  <c r="R31" i="18"/>
  <c r="Y8" i="16"/>
  <c r="Y8" i="18"/>
  <c r="Y8" i="17"/>
  <c r="Y8" i="15"/>
  <c r="Y8" i="8"/>
  <c r="Y8" i="11"/>
  <c r="Y8" i="14"/>
  <c r="Y8" i="12"/>
  <c r="Y8" i="13"/>
  <c r="Y8" i="19"/>
  <c r="Y8" i="10"/>
  <c r="Y8" i="9"/>
  <c r="S2" i="19"/>
  <c r="S2" i="16"/>
  <c r="S2" i="18"/>
  <c r="S2" i="12"/>
  <c r="S2" i="9"/>
  <c r="S2" i="14"/>
  <c r="S2" i="17"/>
  <c r="S2" i="10"/>
  <c r="S2" i="11"/>
  <c r="S2" i="8"/>
  <c r="S2" i="13"/>
  <c r="S2" i="15"/>
  <c r="N52" i="14"/>
  <c r="N52" i="19"/>
  <c r="N52" i="15"/>
  <c r="N52" i="11"/>
  <c r="N52" i="8"/>
  <c r="N52" i="16"/>
  <c r="N52" i="17"/>
  <c r="N52" i="10"/>
  <c r="N52" i="12"/>
  <c r="N52" i="13"/>
  <c r="N52" i="9"/>
  <c r="N52" i="18"/>
  <c r="K21" i="16"/>
  <c r="K21" i="15"/>
  <c r="K21" i="19"/>
  <c r="K21" i="17"/>
  <c r="K21" i="10"/>
  <c r="K21" i="12"/>
  <c r="K21" i="9"/>
  <c r="K21" i="13"/>
  <c r="K21" i="14"/>
  <c r="K21" i="18"/>
  <c r="K21" i="8"/>
  <c r="K21" i="11"/>
  <c r="Y42" i="15"/>
  <c r="Y42" i="19"/>
  <c r="Y42" i="14"/>
  <c r="Y42" i="11"/>
  <c r="Y42" i="8"/>
  <c r="Y42" i="16"/>
  <c r="Y42" i="17"/>
  <c r="Y42" i="10"/>
  <c r="Y42" i="12"/>
  <c r="Y42" i="13"/>
  <c r="Y42" i="9"/>
  <c r="Y42" i="18"/>
  <c r="N11" i="19"/>
  <c r="N11" i="15"/>
  <c r="N11" i="18"/>
  <c r="N11" i="9"/>
  <c r="N11" i="13"/>
  <c r="N11" i="17"/>
  <c r="N11" i="16"/>
  <c r="N11" i="12"/>
  <c r="N11" i="8"/>
  <c r="N11" i="11"/>
  <c r="N11" i="10"/>
  <c r="N11" i="14"/>
  <c r="L21" i="13"/>
  <c r="L21" i="8"/>
  <c r="L21" i="12"/>
  <c r="L21" i="15"/>
  <c r="L21" i="18"/>
  <c r="L21" i="9"/>
  <c r="L21" i="17"/>
  <c r="L21" i="19"/>
  <c r="L21" i="10"/>
  <c r="L21" i="11"/>
  <c r="L21" i="14"/>
  <c r="L21" i="16"/>
  <c r="K24" i="14"/>
  <c r="K24" i="18"/>
  <c r="K24" i="19"/>
  <c r="K24" i="15"/>
  <c r="K24" i="13"/>
  <c r="K24" i="8"/>
  <c r="K24" i="12"/>
  <c r="K24" i="11"/>
  <c r="K24" i="17"/>
  <c r="K24" i="16"/>
  <c r="K24" i="9"/>
  <c r="K24" i="10"/>
  <c r="W26" i="18"/>
  <c r="W26" i="14"/>
  <c r="W26" i="10"/>
  <c r="W26" i="13"/>
  <c r="W26" i="8"/>
  <c r="W26" i="19"/>
  <c r="W26" i="17"/>
  <c r="W26" i="12"/>
  <c r="W26" i="11"/>
  <c r="W26" i="16"/>
  <c r="W26" i="9"/>
  <c r="W26" i="15"/>
  <c r="I8" i="13"/>
  <c r="I8" i="8"/>
  <c r="I8" i="16"/>
  <c r="I8" i="15"/>
  <c r="I8" i="11"/>
  <c r="I8" i="12"/>
  <c r="I8" i="18"/>
  <c r="I8" i="17"/>
  <c r="I8" i="10"/>
  <c r="I8" i="9"/>
  <c r="I8" i="19"/>
  <c r="I8" i="14"/>
  <c r="T7" i="9"/>
  <c r="T7" i="10"/>
  <c r="T7" i="16"/>
  <c r="T7" i="17"/>
  <c r="T7" i="8"/>
  <c r="T7" i="11"/>
  <c r="T7" i="15"/>
  <c r="T7" i="14"/>
  <c r="T7" i="13"/>
  <c r="T7" i="12"/>
  <c r="T7" i="18"/>
  <c r="T7" i="19"/>
  <c r="X7" i="13"/>
  <c r="X7" i="10"/>
  <c r="X7" i="19"/>
  <c r="X7" i="14"/>
  <c r="X7" i="11"/>
  <c r="X7" i="9"/>
  <c r="X7" i="17"/>
  <c r="X7" i="16"/>
  <c r="X7" i="12"/>
  <c r="X7" i="8"/>
  <c r="X7" i="15"/>
  <c r="X7" i="18"/>
  <c r="K32" i="11"/>
  <c r="K32" i="8"/>
  <c r="K32" i="18"/>
  <c r="K32" i="15"/>
  <c r="K32" i="10"/>
  <c r="K32" i="14"/>
  <c r="K32" i="17"/>
  <c r="K32" i="16"/>
  <c r="K32" i="13"/>
  <c r="K32" i="9"/>
  <c r="K32" i="12"/>
  <c r="K32" i="19"/>
  <c r="L55" i="16"/>
  <c r="L55" i="9"/>
  <c r="L55" i="19"/>
  <c r="L55" i="12"/>
  <c r="L55" i="13"/>
  <c r="L55" i="8"/>
  <c r="L55" i="17"/>
  <c r="L55" i="18"/>
  <c r="L55" i="11"/>
  <c r="L55" i="10"/>
  <c r="L55" i="15"/>
  <c r="L55" i="14"/>
  <c r="S37" i="12"/>
  <c r="S37" i="10"/>
  <c r="S37" i="11"/>
  <c r="S37" i="9"/>
  <c r="S37" i="14"/>
  <c r="S37" i="17"/>
  <c r="S37" i="8"/>
  <c r="S37" i="13"/>
  <c r="S37" i="16"/>
  <c r="S37" i="18"/>
  <c r="S37" i="19"/>
  <c r="S37" i="15"/>
  <c r="X46" i="12"/>
  <c r="X46" i="9"/>
  <c r="X46" i="14"/>
  <c r="X46" i="17"/>
  <c r="X46" i="8"/>
  <c r="X46" i="11"/>
  <c r="X46" i="10"/>
  <c r="X46" i="13"/>
  <c r="X46" i="16"/>
  <c r="X46" i="15"/>
  <c r="X46" i="19"/>
  <c r="X46" i="18"/>
  <c r="L16" i="11"/>
  <c r="L16" i="12"/>
  <c r="L16" i="15"/>
  <c r="L16" i="16"/>
  <c r="L16" i="9"/>
  <c r="L16" i="8"/>
  <c r="L16" i="13"/>
  <c r="L16" i="14"/>
  <c r="L16" i="19"/>
  <c r="L16" i="17"/>
  <c r="L16" i="18"/>
  <c r="L16" i="10"/>
  <c r="Y52" i="8"/>
  <c r="Y52" i="11"/>
  <c r="Y52" i="16"/>
  <c r="Y52" i="18"/>
  <c r="Y52" i="9"/>
  <c r="Y52" i="12"/>
  <c r="Y52" i="10"/>
  <c r="Y52" i="17"/>
  <c r="Y52" i="15"/>
  <c r="Y52" i="14"/>
  <c r="Y52" i="13"/>
  <c r="Y52" i="19"/>
  <c r="T56" i="17"/>
  <c r="T56" i="19"/>
  <c r="T56" i="14"/>
  <c r="T56" i="10"/>
  <c r="T56" i="9"/>
  <c r="T56" i="16"/>
  <c r="T56" i="11"/>
  <c r="T56" i="18"/>
  <c r="T56" i="8"/>
  <c r="T56" i="15"/>
  <c r="T56" i="13"/>
  <c r="T56" i="12"/>
  <c r="P5" i="13"/>
  <c r="P5" i="9"/>
  <c r="P5" i="16"/>
  <c r="P5" i="19"/>
  <c r="P5" i="10"/>
  <c r="P5" i="12"/>
  <c r="P5" i="8"/>
  <c r="P5" i="18"/>
  <c r="P5" i="14"/>
  <c r="P5" i="15"/>
  <c r="P5" i="17"/>
  <c r="P5" i="11"/>
  <c r="Q46" i="15"/>
  <c r="Q46" i="18"/>
  <c r="Q46" i="10"/>
  <c r="Q46" i="13"/>
  <c r="Q46" i="16"/>
  <c r="Q46" i="17"/>
  <c r="Q46" i="12"/>
  <c r="Q46" i="11"/>
  <c r="Q46" i="9"/>
  <c r="Q46" i="14"/>
  <c r="Q46" i="8"/>
  <c r="Q46" i="19"/>
  <c r="Q18" i="16"/>
  <c r="Q18" i="19"/>
  <c r="Q18" i="8"/>
  <c r="Q18" i="10"/>
  <c r="Q18" i="14"/>
  <c r="Q18" i="18"/>
  <c r="Q18" i="11"/>
  <c r="Q18" i="12"/>
  <c r="Q18" i="17"/>
  <c r="Q18" i="9"/>
  <c r="Q18" i="15"/>
  <c r="Q18" i="13"/>
  <c r="S5" i="16"/>
  <c r="S5" i="13"/>
  <c r="S5" i="10"/>
  <c r="S5" i="12"/>
  <c r="S5" i="18"/>
  <c r="S5" i="9"/>
  <c r="S5" i="19"/>
  <c r="S5" i="17"/>
  <c r="S5" i="8"/>
  <c r="S5" i="11"/>
  <c r="S5" i="15"/>
  <c r="S5" i="14"/>
  <c r="N54" i="14"/>
  <c r="N54" i="12"/>
  <c r="N54" i="10"/>
  <c r="N54" i="13"/>
  <c r="N54" i="18"/>
  <c r="N54" i="17"/>
  <c r="N54" i="15"/>
  <c r="N54" i="19"/>
  <c r="N54" i="9"/>
  <c r="N54" i="8"/>
  <c r="N54" i="11"/>
  <c r="N54" i="16"/>
  <c r="S49" i="17"/>
  <c r="S49" i="18"/>
  <c r="S49" i="12"/>
  <c r="S49" i="16"/>
  <c r="S49" i="19"/>
  <c r="S49" i="8"/>
  <c r="S49" i="11"/>
  <c r="S49" i="9"/>
  <c r="S49" i="13"/>
  <c r="S49" i="14"/>
  <c r="S49" i="15"/>
  <c r="S49" i="10"/>
  <c r="R12" i="16"/>
  <c r="R12" i="18"/>
  <c r="R12" i="12"/>
  <c r="R12" i="15"/>
  <c r="R12" i="19"/>
  <c r="R12" i="8"/>
  <c r="R12" i="13"/>
  <c r="R12" i="14"/>
  <c r="R12" i="17"/>
  <c r="R12" i="11"/>
  <c r="R12" i="10"/>
  <c r="R12" i="9"/>
  <c r="M44" i="17"/>
  <c r="M44" i="19"/>
  <c r="M44" i="11"/>
  <c r="M44" i="15"/>
  <c r="M44" i="14"/>
  <c r="M44" i="9"/>
  <c r="M44" i="13"/>
  <c r="M44" i="16"/>
  <c r="M44" i="18"/>
  <c r="M44" i="8"/>
  <c r="M44" i="12"/>
  <c r="M44" i="10"/>
  <c r="W50" i="16"/>
  <c r="W50" i="14"/>
  <c r="W50" i="9"/>
  <c r="W50" i="17"/>
  <c r="W50" i="18"/>
  <c r="W50" i="11"/>
  <c r="W50" i="8"/>
  <c r="W50" i="13"/>
  <c r="W50" i="12"/>
  <c r="W50" i="19"/>
  <c r="W50" i="15"/>
  <c r="W50" i="10"/>
  <c r="R48" i="14"/>
  <c r="R48" i="17"/>
  <c r="R48" i="13"/>
  <c r="R48" i="16"/>
  <c r="R48" i="19"/>
  <c r="R48" i="9"/>
  <c r="R48" i="12"/>
  <c r="R48" i="11"/>
  <c r="R48" i="8"/>
  <c r="R48" i="15"/>
  <c r="R48" i="18"/>
  <c r="R48" i="10"/>
  <c r="I22" i="16"/>
  <c r="I22" i="11"/>
  <c r="I22" i="9"/>
  <c r="I22" i="10"/>
  <c r="I22" i="19"/>
  <c r="I22" i="15"/>
  <c r="I22" i="18"/>
  <c r="I22" i="14"/>
  <c r="I22" i="12"/>
  <c r="I22" i="8"/>
  <c r="I22" i="17"/>
  <c r="I22" i="13"/>
  <c r="V27" i="16"/>
  <c r="V27" i="13"/>
  <c r="V27" i="19"/>
  <c r="V27" i="17"/>
  <c r="V27" i="9"/>
  <c r="V27" i="10"/>
  <c r="V27" i="12"/>
  <c r="V27" i="15"/>
  <c r="V27" i="18"/>
  <c r="V27" i="8"/>
  <c r="V27" i="11"/>
  <c r="V27" i="14"/>
  <c r="Q23" i="16"/>
  <c r="Q23" i="8"/>
  <c r="Q23" i="9"/>
  <c r="Q23" i="12"/>
  <c r="Q23" i="19"/>
  <c r="Q23" i="18"/>
  <c r="Q23" i="17"/>
  <c r="Q23" i="13"/>
  <c r="Q23" i="10"/>
  <c r="Q23" i="11"/>
  <c r="Q23" i="15"/>
  <c r="Q23" i="14"/>
  <c r="Q39" i="15"/>
  <c r="Q39" i="17"/>
  <c r="Q39" i="13"/>
  <c r="Q39" i="11"/>
  <c r="Q39" i="9"/>
  <c r="Q39" i="18"/>
  <c r="Q39" i="14"/>
  <c r="Q39" i="10"/>
  <c r="Q39" i="12"/>
  <c r="Q39" i="16"/>
  <c r="Q39" i="19"/>
  <c r="Q39" i="8"/>
  <c r="R20" i="15"/>
  <c r="R20" i="19"/>
  <c r="R20" i="8"/>
  <c r="R20" i="10"/>
  <c r="R20" i="11"/>
  <c r="R20" i="18"/>
  <c r="R20" i="14"/>
  <c r="R20" i="13"/>
  <c r="R20" i="9"/>
  <c r="R20" i="17"/>
  <c r="R20" i="16"/>
  <c r="R20" i="12"/>
  <c r="Y13" i="15"/>
  <c r="Y13" i="18"/>
  <c r="Y13" i="10"/>
  <c r="Y13" i="19"/>
  <c r="Y13" i="16"/>
  <c r="Y13" i="13"/>
  <c r="Y13" i="9"/>
  <c r="Y13" i="17"/>
  <c r="Y13" i="14"/>
  <c r="Y13" i="11"/>
  <c r="Y13" i="12"/>
  <c r="Y13" i="8"/>
  <c r="S47" i="15"/>
  <c r="S47" i="11"/>
  <c r="S47" i="9"/>
  <c r="S47" i="14"/>
  <c r="S47" i="8"/>
  <c r="S47" i="13"/>
  <c r="S47" i="17"/>
  <c r="S47" i="18"/>
  <c r="S47" i="12"/>
  <c r="S47" i="19"/>
  <c r="S47" i="10"/>
  <c r="S47" i="16"/>
  <c r="U49" i="10"/>
  <c r="U49" i="13"/>
  <c r="U49" i="8"/>
  <c r="U49" i="9"/>
  <c r="U49" i="17"/>
  <c r="U49" i="14"/>
  <c r="U49" i="16"/>
  <c r="U49" i="19"/>
  <c r="U49" i="11"/>
  <c r="U49" i="18"/>
  <c r="U49" i="12"/>
  <c r="U49" i="15"/>
  <c r="W35" i="9"/>
  <c r="W35" i="12"/>
  <c r="W35" i="8"/>
  <c r="W35" i="11"/>
  <c r="W35" i="16"/>
  <c r="W35" i="19"/>
  <c r="W35" i="14"/>
  <c r="W35" i="18"/>
  <c r="W35" i="17"/>
  <c r="W35" i="10"/>
  <c r="W35" i="13"/>
  <c r="W35" i="15"/>
  <c r="M19" i="19"/>
  <c r="M19" i="16"/>
  <c r="M19" i="18"/>
  <c r="M19" i="9"/>
  <c r="M19" i="11"/>
  <c r="M19" i="8"/>
  <c r="M19" i="13"/>
  <c r="M19" i="15"/>
  <c r="M19" i="17"/>
  <c r="M19" i="12"/>
  <c r="M19" i="10"/>
  <c r="M19" i="14"/>
  <c r="J44" i="19"/>
  <c r="J44" i="15"/>
  <c r="J44" i="12"/>
  <c r="J44" i="14"/>
  <c r="J44" i="17"/>
  <c r="J44" i="9"/>
  <c r="J44" i="13"/>
  <c r="J44" i="18"/>
  <c r="J44" i="16"/>
  <c r="J44" i="11"/>
  <c r="J44" i="8"/>
  <c r="J44" i="10"/>
  <c r="U11" i="19"/>
  <c r="U11" i="15"/>
  <c r="U11" i="12"/>
  <c r="U11" i="17"/>
  <c r="U11" i="14"/>
  <c r="U11" i="13"/>
  <c r="U11" i="8"/>
  <c r="U11" i="9"/>
  <c r="U11" i="11"/>
  <c r="U11" i="16"/>
  <c r="U11" i="18"/>
  <c r="U11" i="10"/>
  <c r="R32" i="14"/>
  <c r="R32" i="8"/>
  <c r="R32" i="15"/>
  <c r="R32" i="19"/>
  <c r="R32" i="9"/>
  <c r="R32" i="18"/>
  <c r="R32" i="11"/>
  <c r="R32" i="10"/>
  <c r="R32" i="16"/>
  <c r="R32" i="17"/>
  <c r="R32" i="13"/>
  <c r="R32" i="12"/>
  <c r="M25" i="13"/>
  <c r="M25" i="9"/>
  <c r="M25" i="17"/>
  <c r="M25" i="12"/>
  <c r="M25" i="14"/>
  <c r="M25" i="18"/>
  <c r="M25" i="11"/>
  <c r="M25" i="16"/>
  <c r="M25" i="19"/>
  <c r="M25" i="8"/>
  <c r="M25" i="10"/>
  <c r="M25" i="15"/>
  <c r="N40" i="8"/>
  <c r="N40" i="12"/>
  <c r="N40" i="16"/>
  <c r="N40" i="15"/>
  <c r="N40" i="11"/>
  <c r="N40" i="19"/>
  <c r="N40" i="13"/>
  <c r="N40" i="14"/>
  <c r="N40" i="10"/>
  <c r="N40" i="18"/>
  <c r="N40" i="17"/>
  <c r="N40" i="9"/>
  <c r="L38" i="13"/>
  <c r="L38" i="18"/>
  <c r="L38" i="9"/>
  <c r="L38" i="19"/>
  <c r="L38" i="16"/>
  <c r="L38" i="14"/>
  <c r="L38" i="10"/>
  <c r="L38" i="11"/>
  <c r="L38" i="8"/>
  <c r="L38" i="17"/>
  <c r="L38" i="15"/>
  <c r="L38" i="12"/>
  <c r="L28" i="14"/>
  <c r="L28" i="18"/>
  <c r="L28" i="10"/>
  <c r="L28" i="17"/>
  <c r="L28" i="15"/>
  <c r="L28" i="11"/>
  <c r="L28" i="8"/>
  <c r="L28" i="19"/>
  <c r="L28" i="16"/>
  <c r="L28" i="12"/>
  <c r="L28" i="9"/>
  <c r="L28" i="13"/>
  <c r="W28" i="18"/>
  <c r="W28" i="17"/>
  <c r="W28" i="12"/>
  <c r="W28" i="15"/>
  <c r="W28" i="13"/>
  <c r="W28" i="14"/>
  <c r="W28" i="10"/>
  <c r="W28" i="19"/>
  <c r="W28" i="16"/>
  <c r="W28" i="9"/>
  <c r="W28" i="11"/>
  <c r="W28" i="8"/>
  <c r="R50" i="15"/>
  <c r="R50" i="17"/>
  <c r="R50" i="13"/>
  <c r="R50" i="14"/>
  <c r="R50" i="19"/>
  <c r="R50" i="9"/>
  <c r="R50" i="12"/>
  <c r="R50" i="18"/>
  <c r="R50" i="16"/>
  <c r="R50" i="8"/>
  <c r="R50" i="11"/>
  <c r="R50" i="10"/>
  <c r="N41" i="19"/>
  <c r="N41" i="16"/>
  <c r="N41" i="12"/>
  <c r="N41" i="9"/>
  <c r="N41" i="18"/>
  <c r="N41" i="14"/>
  <c r="N41" i="13"/>
  <c r="N41" i="10"/>
  <c r="N41" i="15"/>
  <c r="N41" i="17"/>
  <c r="N41" i="8"/>
  <c r="N41" i="11"/>
  <c r="N27" i="18"/>
  <c r="N27" i="16"/>
  <c r="N27" i="10"/>
  <c r="N27" i="12"/>
  <c r="N27" i="17"/>
  <c r="N27" i="19"/>
  <c r="N27" i="11"/>
  <c r="N27" i="14"/>
  <c r="N27" i="15"/>
  <c r="N27" i="13"/>
  <c r="N27" i="9"/>
  <c r="N27" i="8"/>
  <c r="W9" i="15"/>
  <c r="W9" i="13"/>
  <c r="W9" i="10"/>
  <c r="W9" i="11"/>
  <c r="W9" i="19"/>
  <c r="W9" i="18"/>
  <c r="W9" i="8"/>
  <c r="W9" i="12"/>
  <c r="W9" i="16"/>
  <c r="W9" i="17"/>
  <c r="W9" i="9"/>
  <c r="W9" i="14"/>
  <c r="I24" i="19"/>
  <c r="I24" i="13"/>
  <c r="I24" i="12"/>
  <c r="I24" i="8"/>
  <c r="I24" i="18"/>
  <c r="I24" i="15"/>
  <c r="I24" i="11"/>
  <c r="I24" i="14"/>
  <c r="I24" i="17"/>
  <c r="I24" i="16"/>
  <c r="I24" i="10"/>
  <c r="I24" i="9"/>
  <c r="I44" i="15"/>
  <c r="I44" i="19"/>
  <c r="I44" i="9"/>
  <c r="I44" i="13"/>
  <c r="I44" i="14"/>
  <c r="I44" i="18"/>
  <c r="I44" i="8"/>
  <c r="I44" i="11"/>
  <c r="I44" i="17"/>
  <c r="I44" i="16"/>
  <c r="I44" i="10"/>
  <c r="I44" i="12"/>
  <c r="R37" i="19"/>
  <c r="R37" i="15"/>
  <c r="R37" i="13"/>
  <c r="R37" i="9"/>
  <c r="R37" i="16"/>
  <c r="R37" i="17"/>
  <c r="R37" i="12"/>
  <c r="R37" i="8"/>
  <c r="R37" i="14"/>
  <c r="R37" i="18"/>
  <c r="R37" i="11"/>
  <c r="R37" i="10"/>
  <c r="P17" i="14"/>
  <c r="P17" i="11"/>
  <c r="P17" i="10"/>
  <c r="P17" i="9"/>
  <c r="P17" i="13"/>
  <c r="P17" i="16"/>
  <c r="P17" i="19"/>
  <c r="P17" i="8"/>
  <c r="P17" i="12"/>
  <c r="P17" i="15"/>
  <c r="P17" i="18"/>
  <c r="P17" i="17"/>
  <c r="Q13" i="19"/>
  <c r="Q13" i="16"/>
  <c r="Q13" i="12"/>
  <c r="Q13" i="8"/>
  <c r="Q13" i="17"/>
  <c r="Q13" i="18"/>
  <c r="Q13" i="13"/>
  <c r="Q13" i="15"/>
  <c r="Q13" i="14"/>
  <c r="Q13" i="11"/>
  <c r="Q13" i="9"/>
  <c r="Q13" i="10"/>
  <c r="J28" i="15"/>
  <c r="J28" i="19"/>
  <c r="J28" i="9"/>
  <c r="J28" i="11"/>
  <c r="J28" i="14"/>
  <c r="J28" i="17"/>
  <c r="J28" i="8"/>
  <c r="J28" i="13"/>
  <c r="J28" i="18"/>
  <c r="J28" i="16"/>
  <c r="J28" i="12"/>
  <c r="J28" i="10"/>
  <c r="R23" i="19"/>
  <c r="R23" i="17"/>
  <c r="R23" i="10"/>
  <c r="R23" i="11"/>
  <c r="R23" i="18"/>
  <c r="R23" i="14"/>
  <c r="R23" i="13"/>
  <c r="R23" i="9"/>
  <c r="R23" i="15"/>
  <c r="R23" i="16"/>
  <c r="R23" i="12"/>
  <c r="R23" i="8"/>
  <c r="L11" i="19"/>
  <c r="L11" i="12"/>
  <c r="L11" i="14"/>
  <c r="L11" i="10"/>
  <c r="L11" i="17"/>
  <c r="L11" i="15"/>
  <c r="L11" i="11"/>
  <c r="L11" i="9"/>
  <c r="L11" i="18"/>
  <c r="L11" i="16"/>
  <c r="L11" i="13"/>
  <c r="L11" i="8"/>
  <c r="L8" i="15"/>
  <c r="L8" i="13"/>
  <c r="L8" i="9"/>
  <c r="L8" i="19"/>
  <c r="L8" i="14"/>
  <c r="L8" i="11"/>
  <c r="L8" i="10"/>
  <c r="L8" i="18"/>
  <c r="L8" i="16"/>
  <c r="L8" i="8"/>
  <c r="L8" i="12"/>
  <c r="L8" i="17"/>
  <c r="P12" i="11"/>
  <c r="P12" i="10"/>
  <c r="P12" i="18"/>
  <c r="P12" i="15"/>
  <c r="P12" i="13"/>
  <c r="P12" i="9"/>
  <c r="P12" i="17"/>
  <c r="P12" i="14"/>
  <c r="P12" i="12"/>
  <c r="P12" i="8"/>
  <c r="P12" i="19"/>
  <c r="P12" i="16"/>
  <c r="X28" i="10"/>
  <c r="X28" i="19"/>
  <c r="X28" i="12"/>
  <c r="X28" i="13"/>
  <c r="X28" i="9"/>
  <c r="X28" i="18"/>
  <c r="X28" i="16"/>
  <c r="X28" i="8"/>
  <c r="X28" i="15"/>
  <c r="X28" i="17"/>
  <c r="X28" i="14"/>
  <c r="X28" i="11"/>
  <c r="U28" i="12"/>
  <c r="U28" i="9"/>
  <c r="U28" i="18"/>
  <c r="U28" i="14"/>
  <c r="U28" i="13"/>
  <c r="U28" i="10"/>
  <c r="U28" i="17"/>
  <c r="U28" i="15"/>
  <c r="U28" i="11"/>
  <c r="U28" i="8"/>
  <c r="U28" i="19"/>
  <c r="U28" i="16"/>
  <c r="J41" i="10"/>
  <c r="J41" i="12"/>
  <c r="J41" i="15"/>
  <c r="J41" i="16"/>
  <c r="J41" i="11"/>
  <c r="J41" i="9"/>
  <c r="J41" i="19"/>
  <c r="J41" i="14"/>
  <c r="J41" i="13"/>
  <c r="J41" i="8"/>
  <c r="J41" i="18"/>
  <c r="J41" i="17"/>
  <c r="U35" i="14"/>
  <c r="U35" i="8"/>
  <c r="U35" i="18"/>
  <c r="U35" i="16"/>
  <c r="U35" i="12"/>
  <c r="U35" i="10"/>
  <c r="U35" i="17"/>
  <c r="U35" i="15"/>
  <c r="U35" i="11"/>
  <c r="U35" i="9"/>
  <c r="U35" i="13"/>
  <c r="U35" i="19"/>
  <c r="O49" i="9"/>
  <c r="O49" i="17"/>
  <c r="O49" i="13"/>
  <c r="O49" i="8"/>
  <c r="O49" i="19"/>
  <c r="O49" i="18"/>
  <c r="O49" i="16"/>
  <c r="O49" i="15"/>
  <c r="O49" i="10"/>
  <c r="O49" i="14"/>
  <c r="O49" i="11"/>
  <c r="O49" i="12"/>
  <c r="Q11" i="17"/>
  <c r="Q11" i="16"/>
  <c r="Q11" i="11"/>
  <c r="Q11" i="10"/>
  <c r="Q11" i="19"/>
  <c r="Q11" i="15"/>
  <c r="Q11" i="12"/>
  <c r="Q11" i="9"/>
  <c r="Q11" i="18"/>
  <c r="Q11" i="14"/>
  <c r="Q11" i="13"/>
  <c r="Q11" i="8"/>
  <c r="U16" i="14"/>
  <c r="U16" i="8"/>
  <c r="U16" i="12"/>
  <c r="U16" i="17"/>
  <c r="U16" i="16"/>
  <c r="U16" i="11"/>
  <c r="U16" i="9"/>
  <c r="U16" i="18"/>
  <c r="U16" i="15"/>
  <c r="U16" i="13"/>
  <c r="U16" i="10"/>
  <c r="U16" i="19"/>
  <c r="S56" i="14"/>
  <c r="S56" i="17"/>
  <c r="S56" i="12"/>
  <c r="S56" i="10"/>
  <c r="S56" i="13"/>
  <c r="S56" i="15"/>
  <c r="S56" i="19"/>
  <c r="S56" i="9"/>
  <c r="S56" i="11"/>
  <c r="S56" i="16"/>
  <c r="S56" i="18"/>
  <c r="S56" i="8"/>
  <c r="Y54" i="19"/>
  <c r="Y54" i="18"/>
  <c r="Y54" i="17"/>
  <c r="Y54" i="9"/>
  <c r="Y54" i="10"/>
  <c r="Y54" i="16"/>
  <c r="Y54" i="15"/>
  <c r="Y54" i="11"/>
  <c r="Y54" i="8"/>
  <c r="Y54" i="12"/>
  <c r="Y54" i="13"/>
  <c r="Y54" i="14"/>
  <c r="I33" i="16"/>
  <c r="I33" i="17"/>
  <c r="I33" i="19"/>
  <c r="I33" i="14"/>
  <c r="I33" i="13"/>
  <c r="I33" i="9"/>
  <c r="I33" i="11"/>
  <c r="I33" i="8"/>
  <c r="I33" i="18"/>
  <c r="I33" i="15"/>
  <c r="I33" i="10"/>
  <c r="I33" i="12"/>
  <c r="R40" i="10"/>
  <c r="R40" i="13"/>
  <c r="R40" i="15"/>
  <c r="R40" i="17"/>
  <c r="R40" i="8"/>
  <c r="R40" i="11"/>
  <c r="R40" i="14"/>
  <c r="R40" i="19"/>
  <c r="R40" i="9"/>
  <c r="R40" i="12"/>
  <c r="R40" i="18"/>
  <c r="R40" i="16"/>
  <c r="U40" i="19"/>
  <c r="U40" i="16"/>
  <c r="U40" i="12"/>
  <c r="U40" i="9"/>
  <c r="U40" i="18"/>
  <c r="U40" i="14"/>
  <c r="U40" i="13"/>
  <c r="U40" i="10"/>
  <c r="U40" i="17"/>
  <c r="U40" i="15"/>
  <c r="U40" i="11"/>
  <c r="U40" i="8"/>
  <c r="T54" i="12"/>
  <c r="T54" i="11"/>
  <c r="T54" i="9"/>
  <c r="T54" i="16"/>
  <c r="T54" i="15"/>
  <c r="T54" i="13"/>
  <c r="T54" i="8"/>
  <c r="T54" i="18"/>
  <c r="T54" i="19"/>
  <c r="T54" i="10"/>
  <c r="T54" i="17"/>
  <c r="T54" i="14"/>
  <c r="V13" i="18"/>
  <c r="V13" i="15"/>
  <c r="V13" i="13"/>
  <c r="V13" i="10"/>
  <c r="V13" i="19"/>
  <c r="V13" i="16"/>
  <c r="V13" i="12"/>
  <c r="V13" i="9"/>
  <c r="V13" i="17"/>
  <c r="V13" i="14"/>
  <c r="V13" i="11"/>
  <c r="V13" i="8"/>
  <c r="J50" i="19"/>
  <c r="J50" i="16"/>
  <c r="J50" i="13"/>
  <c r="J50" i="10"/>
  <c r="J50" i="18"/>
  <c r="J50" i="15"/>
  <c r="J50" i="11"/>
  <c r="J50" i="9"/>
  <c r="J50" i="17"/>
  <c r="J50" i="14"/>
  <c r="J50" i="12"/>
  <c r="J50" i="8"/>
  <c r="V41" i="19"/>
  <c r="V41" i="15"/>
  <c r="V41" i="10"/>
  <c r="V41" i="11"/>
  <c r="V41" i="18"/>
  <c r="V41" i="14"/>
  <c r="V41" i="13"/>
  <c r="V41" i="9"/>
  <c r="V41" i="17"/>
  <c r="V41" i="16"/>
  <c r="V41" i="12"/>
  <c r="V41" i="8"/>
  <c r="U53" i="19"/>
  <c r="U53" i="16"/>
  <c r="U53" i="15"/>
  <c r="U53" i="9"/>
  <c r="U53" i="18"/>
  <c r="U53" i="12"/>
  <c r="U53" i="11"/>
  <c r="U53" i="10"/>
  <c r="U53" i="17"/>
  <c r="U53" i="14"/>
  <c r="U53" i="13"/>
  <c r="U53" i="8"/>
  <c r="S45" i="19"/>
  <c r="S45" i="16"/>
  <c r="S45" i="15"/>
  <c r="S45" i="10"/>
  <c r="S45" i="18"/>
  <c r="S45" i="14"/>
  <c r="S45" i="12"/>
  <c r="S45" i="8"/>
  <c r="S45" i="17"/>
  <c r="S45" i="13"/>
  <c r="S45" i="11"/>
  <c r="S45" i="9"/>
  <c r="X54" i="19"/>
  <c r="X54" i="15"/>
  <c r="X54" i="10"/>
  <c r="X54" i="11"/>
  <c r="X54" i="18"/>
  <c r="X54" i="14"/>
  <c r="X54" i="13"/>
  <c r="X54" i="9"/>
  <c r="X54" i="17"/>
  <c r="X54" i="16"/>
  <c r="X54" i="12"/>
  <c r="X54" i="8"/>
  <c r="U55" i="17"/>
  <c r="U55" i="16"/>
  <c r="U55" i="13"/>
  <c r="U55" i="9"/>
  <c r="U55" i="19"/>
  <c r="U55" i="14"/>
  <c r="U55" i="11"/>
  <c r="U55" i="8"/>
  <c r="U55" i="18"/>
  <c r="U55" i="15"/>
  <c r="U55" i="12"/>
  <c r="U55" i="10"/>
  <c r="T22" i="19"/>
  <c r="T22" i="17"/>
  <c r="T22" i="13"/>
  <c r="T22" i="8"/>
  <c r="T22" i="16"/>
  <c r="T22" i="15"/>
  <c r="T22" i="12"/>
  <c r="T22" i="9"/>
  <c r="T22" i="18"/>
  <c r="T22" i="14"/>
  <c r="T22" i="11"/>
  <c r="T22" i="10"/>
  <c r="Q24" i="19"/>
  <c r="Q24" i="14"/>
  <c r="Q24" i="15"/>
  <c r="Q24" i="8"/>
  <c r="Q24" i="18"/>
  <c r="Q24" i="13"/>
  <c r="Q24" i="12"/>
  <c r="Q24" i="10"/>
  <c r="Q24" i="17"/>
  <c r="Q24" i="16"/>
  <c r="Q24" i="11"/>
  <c r="Q24" i="9"/>
  <c r="N10" i="19"/>
  <c r="N10" i="16"/>
  <c r="N10" i="14"/>
  <c r="N10" i="10"/>
  <c r="N10" i="18"/>
  <c r="N10" i="13"/>
  <c r="N10" i="11"/>
  <c r="N10" i="8"/>
  <c r="N10" i="17"/>
  <c r="N10" i="15"/>
  <c r="N10" i="12"/>
  <c r="N10" i="9"/>
  <c r="X25" i="14"/>
  <c r="X25" i="11"/>
  <c r="X25" i="9"/>
  <c r="X25" i="16"/>
  <c r="X25" i="18"/>
  <c r="X25" i="8"/>
  <c r="X25" i="10"/>
  <c r="X25" i="17"/>
  <c r="X25" i="13"/>
  <c r="X25" i="15"/>
  <c r="X25" i="19"/>
  <c r="X25" i="12"/>
  <c r="I48" i="19"/>
  <c r="I48" i="18"/>
  <c r="I48" i="12"/>
  <c r="I48" i="11"/>
  <c r="I48" i="17"/>
  <c r="I48" i="14"/>
  <c r="I48" i="10"/>
  <c r="I48" i="9"/>
  <c r="I48" i="15"/>
  <c r="I48" i="16"/>
  <c r="I48" i="13"/>
  <c r="I48" i="8"/>
  <c r="N31" i="18"/>
  <c r="N31" i="16"/>
  <c r="N31" i="13"/>
  <c r="N31" i="10"/>
  <c r="N31" i="19"/>
  <c r="N31" i="15"/>
  <c r="N31" i="11"/>
  <c r="N31" i="9"/>
  <c r="N31" i="17"/>
  <c r="N31" i="14"/>
  <c r="N31" i="12"/>
  <c r="N31" i="8"/>
  <c r="X9" i="19"/>
  <c r="X9" i="18"/>
  <c r="X9" i="13"/>
  <c r="X9" i="8"/>
  <c r="X9" i="16"/>
  <c r="X9" i="14"/>
  <c r="X9" i="11"/>
  <c r="X9" i="10"/>
  <c r="X9" i="17"/>
  <c r="X9" i="15"/>
  <c r="X9" i="12"/>
  <c r="X9" i="9"/>
  <c r="I46" i="17"/>
  <c r="I46" i="16"/>
  <c r="I46" i="13"/>
  <c r="I46" i="9"/>
  <c r="I46" i="19"/>
  <c r="I46" i="14"/>
  <c r="I46" i="11"/>
  <c r="I46" i="8"/>
  <c r="I46" i="18"/>
  <c r="I46" i="15"/>
  <c r="I46" i="12"/>
  <c r="I46" i="10"/>
  <c r="Q38" i="19"/>
  <c r="Q38" i="14"/>
  <c r="Q38" i="12"/>
  <c r="Q38" i="9"/>
  <c r="Q38" i="18"/>
  <c r="Q38" i="16"/>
  <c r="Q38" i="13"/>
  <c r="Q38" i="10"/>
  <c r="Q38" i="17"/>
  <c r="Q38" i="15"/>
  <c r="Q38" i="11"/>
  <c r="Q38" i="8"/>
  <c r="I34" i="18"/>
  <c r="I34" i="16"/>
  <c r="I34" i="13"/>
  <c r="I34" i="9"/>
  <c r="I34" i="19"/>
  <c r="I34" i="14"/>
  <c r="I34" i="12"/>
  <c r="I34" i="8"/>
  <c r="I34" i="15"/>
  <c r="I34" i="17"/>
  <c r="I34" i="10"/>
  <c r="I34" i="11"/>
  <c r="L25" i="18"/>
  <c r="L25" i="14"/>
  <c r="L25" i="13"/>
  <c r="L25" i="9"/>
  <c r="L25" i="19"/>
  <c r="L25" i="15"/>
  <c r="L25" i="10"/>
  <c r="L25" i="12"/>
  <c r="L25" i="16"/>
  <c r="L25" i="11"/>
  <c r="L25" i="8"/>
  <c r="L25" i="17"/>
  <c r="M6" i="16"/>
  <c r="M6" i="12"/>
  <c r="M6" i="9"/>
  <c r="M6" i="18"/>
  <c r="M6" i="14"/>
  <c r="M6" i="8"/>
  <c r="M6" i="10"/>
  <c r="M6" i="17"/>
  <c r="M6" i="11"/>
  <c r="M6" i="15"/>
  <c r="M6" i="19"/>
  <c r="M6" i="13"/>
  <c r="W54" i="15"/>
  <c r="W54" i="14"/>
  <c r="W54" i="11"/>
  <c r="W54" i="13"/>
  <c r="W54" i="17"/>
  <c r="W54" i="18"/>
  <c r="W54" i="9"/>
  <c r="W54" i="10"/>
  <c r="W54" i="16"/>
  <c r="W54" i="19"/>
  <c r="W54" i="8"/>
  <c r="W54" i="12"/>
  <c r="U42" i="18"/>
  <c r="U42" i="16"/>
  <c r="U42" i="13"/>
  <c r="U42" i="10"/>
  <c r="U42" i="19"/>
  <c r="U42" i="15"/>
  <c r="U42" i="11"/>
  <c r="U42" i="9"/>
  <c r="U42" i="17"/>
  <c r="U42" i="14"/>
  <c r="U42" i="12"/>
  <c r="U42" i="8"/>
  <c r="V51" i="19"/>
  <c r="V51" i="16"/>
  <c r="V51" i="14"/>
  <c r="V51" i="8"/>
  <c r="V51" i="18"/>
  <c r="V51" i="13"/>
  <c r="V51" i="12"/>
  <c r="V51" i="10"/>
  <c r="V51" i="17"/>
  <c r="V51" i="15"/>
  <c r="V51" i="11"/>
  <c r="V51" i="9"/>
  <c r="M31" i="19"/>
  <c r="M31" i="17"/>
  <c r="M31" i="12"/>
  <c r="M31" i="11"/>
  <c r="M31" i="15"/>
  <c r="M31" i="14"/>
  <c r="M31" i="10"/>
  <c r="M31" i="9"/>
  <c r="M31" i="18"/>
  <c r="M31" i="16"/>
  <c r="M31" i="13"/>
  <c r="M31" i="8"/>
  <c r="T11" i="19"/>
  <c r="T11" i="14"/>
  <c r="T11" i="15"/>
  <c r="T11" i="8"/>
  <c r="T11" i="18"/>
  <c r="T11" i="9"/>
  <c r="T11" i="11"/>
  <c r="T11" i="17"/>
  <c r="T11" i="12"/>
  <c r="T11" i="16"/>
  <c r="T11" i="10"/>
  <c r="T11" i="13"/>
  <c r="L19" i="14"/>
  <c r="L19" i="19"/>
  <c r="L19" i="9"/>
  <c r="L19" i="13"/>
  <c r="L19" i="16"/>
  <c r="L19" i="15"/>
  <c r="L19" i="8"/>
  <c r="L19" i="12"/>
  <c r="L19" i="18"/>
  <c r="L19" i="17"/>
  <c r="L19" i="10"/>
  <c r="L19" i="11"/>
  <c r="I35" i="16"/>
  <c r="I35" i="12"/>
  <c r="I35" i="9"/>
  <c r="I35" i="19"/>
  <c r="I35" i="15"/>
  <c r="I35" i="8"/>
  <c r="I35" i="10"/>
  <c r="I35" i="17"/>
  <c r="I35" i="11"/>
  <c r="I35" i="14"/>
  <c r="I35" i="18"/>
  <c r="I35" i="13"/>
  <c r="W56" i="16"/>
  <c r="W56" i="13"/>
  <c r="W56" i="9"/>
  <c r="W56" i="19"/>
  <c r="W56" i="14"/>
  <c r="W56" i="12"/>
  <c r="W56" i="11"/>
  <c r="W56" i="18"/>
  <c r="W56" i="15"/>
  <c r="W56" i="8"/>
  <c r="W56" i="10"/>
  <c r="W56" i="17"/>
  <c r="Q32" i="15"/>
  <c r="Q32" i="17"/>
  <c r="Q32" i="10"/>
  <c r="Q32" i="9"/>
  <c r="Q32" i="19"/>
  <c r="Q32" i="16"/>
  <c r="Q32" i="13"/>
  <c r="Q32" i="8"/>
  <c r="Q32" i="11"/>
  <c r="Q32" i="14"/>
  <c r="Q32" i="12"/>
  <c r="Q32" i="18"/>
  <c r="Y26" i="19"/>
  <c r="Y26" i="16"/>
  <c r="Y26" i="14"/>
  <c r="Y26" i="10"/>
  <c r="Y26" i="18"/>
  <c r="Y26" i="12"/>
  <c r="Y26" i="13"/>
  <c r="Y26" i="9"/>
  <c r="Y26" i="8"/>
  <c r="Y26" i="17"/>
  <c r="Y26" i="11"/>
  <c r="Y26" i="15"/>
  <c r="N48" i="16"/>
  <c r="N48" i="9"/>
  <c r="N48" i="13"/>
  <c r="N48" i="10"/>
  <c r="N48" i="12"/>
  <c r="N48" i="18"/>
  <c r="N48" i="11"/>
  <c r="N48" i="14"/>
  <c r="N48" i="17"/>
  <c r="N48" i="15"/>
  <c r="N48" i="8"/>
  <c r="N48" i="19"/>
  <c r="J34" i="13"/>
  <c r="J34" i="11"/>
  <c r="J34" i="17"/>
  <c r="J34" i="14"/>
  <c r="J34" i="10"/>
  <c r="J34" i="9"/>
  <c r="J34" i="18"/>
  <c r="J34" i="16"/>
  <c r="J34" i="12"/>
  <c r="J34" i="8"/>
  <c r="J34" i="19"/>
  <c r="J34" i="15"/>
  <c r="O50" i="16"/>
  <c r="O50" i="10"/>
  <c r="O50" i="17"/>
  <c r="O50" i="14"/>
  <c r="O50" i="13"/>
  <c r="O50" i="9"/>
  <c r="O50" i="18"/>
  <c r="O50" i="15"/>
  <c r="O50" i="11"/>
  <c r="O50" i="8"/>
  <c r="O50" i="19"/>
  <c r="O50" i="12"/>
  <c r="Q52" i="14"/>
  <c r="Q52" i="10"/>
  <c r="Q52" i="18"/>
  <c r="Q52" i="13"/>
  <c r="Q52" i="11"/>
  <c r="Q52" i="8"/>
  <c r="Q52" i="17"/>
  <c r="Q52" i="15"/>
  <c r="Q52" i="12"/>
  <c r="Q52" i="9"/>
  <c r="Q52" i="19"/>
  <c r="Q52" i="16"/>
  <c r="N8" i="11"/>
  <c r="N8" i="10"/>
  <c r="N8" i="17"/>
  <c r="N8" i="14"/>
  <c r="N8" i="13"/>
  <c r="N8" i="9"/>
  <c r="N8" i="16"/>
  <c r="N8" i="15"/>
  <c r="N8" i="12"/>
  <c r="N8" i="8"/>
  <c r="N8" i="19"/>
  <c r="N8" i="18"/>
  <c r="L27" i="10"/>
  <c r="L27" i="9"/>
  <c r="L27" i="16"/>
  <c r="L27" i="17"/>
  <c r="L27" i="8"/>
  <c r="L27" i="11"/>
  <c r="L27" i="19"/>
  <c r="L27" i="13"/>
  <c r="L27" i="14"/>
  <c r="L27" i="12"/>
  <c r="L27" i="18"/>
  <c r="L27" i="15"/>
  <c r="Y2" i="9"/>
  <c r="Y2" i="19"/>
  <c r="Y2" i="18"/>
  <c r="Y2" i="11"/>
  <c r="Y2" i="10"/>
  <c r="Y2" i="16"/>
  <c r="Y2" i="15"/>
  <c r="Y2" i="8"/>
  <c r="Y2" i="12"/>
  <c r="Y2" i="17"/>
  <c r="Y2" i="14"/>
  <c r="Y2" i="13"/>
  <c r="Q4" i="10"/>
  <c r="Q4" i="9"/>
  <c r="Q4" i="18"/>
  <c r="Q4" i="16"/>
  <c r="Q4" i="11"/>
  <c r="Q4" i="8"/>
  <c r="Q4" i="19"/>
  <c r="Q4" i="14"/>
  <c r="Q4" i="13"/>
  <c r="Q4" i="12"/>
  <c r="Q4" i="15"/>
  <c r="Q4" i="17"/>
  <c r="X38" i="14"/>
  <c r="X38" i="10"/>
  <c r="X38" i="19"/>
  <c r="X38" i="15"/>
  <c r="X38" i="12"/>
  <c r="X38" i="8"/>
  <c r="X38" i="16"/>
  <c r="X38" i="13"/>
  <c r="X38" i="11"/>
  <c r="X38" i="9"/>
  <c r="X38" i="18"/>
  <c r="X38" i="17"/>
  <c r="Y40" i="14"/>
  <c r="Y40" i="10"/>
  <c r="Y40" i="18"/>
  <c r="Y40" i="12"/>
  <c r="Y40" i="11"/>
  <c r="Y40" i="9"/>
  <c r="Y40" i="17"/>
  <c r="Y40" i="15"/>
  <c r="Y40" i="13"/>
  <c r="Y40" i="8"/>
  <c r="Y40" i="19"/>
  <c r="Y40" i="16"/>
  <c r="X2" i="14"/>
  <c r="X2" i="10"/>
  <c r="X2" i="19"/>
  <c r="X2" i="15"/>
  <c r="X2" i="11"/>
  <c r="X2" i="9"/>
  <c r="X2" i="17"/>
  <c r="X2" i="13"/>
  <c r="X2" i="12"/>
  <c r="X2" i="8"/>
  <c r="X2" i="16"/>
  <c r="X2" i="18"/>
  <c r="S6" i="14"/>
  <c r="S6" i="10"/>
  <c r="S6" i="18"/>
  <c r="S6" i="13"/>
  <c r="S6" i="11"/>
  <c r="S6" i="8"/>
  <c r="S6" i="17"/>
  <c r="S6" i="15"/>
  <c r="S6" i="12"/>
  <c r="S6" i="9"/>
  <c r="S6" i="19"/>
  <c r="S6" i="16"/>
  <c r="T53" i="11"/>
  <c r="T53" i="9"/>
  <c r="T53" i="18"/>
  <c r="T53" i="15"/>
  <c r="T53" i="13"/>
  <c r="T53" i="10"/>
  <c r="T53" i="17"/>
  <c r="T53" i="14"/>
  <c r="T53" i="12"/>
  <c r="T53" i="8"/>
  <c r="T53" i="19"/>
  <c r="T53" i="16"/>
  <c r="J9" i="13"/>
  <c r="J9" i="9"/>
  <c r="J9" i="19"/>
  <c r="J9" i="14"/>
  <c r="J9" i="12"/>
  <c r="J9" i="8"/>
  <c r="J9" i="18"/>
  <c r="J9" i="15"/>
  <c r="J9" i="11"/>
  <c r="J9" i="10"/>
  <c r="J9" i="16"/>
  <c r="J9" i="17"/>
  <c r="T14" i="12"/>
  <c r="T14" i="9"/>
  <c r="T14" i="18"/>
  <c r="T14" i="15"/>
  <c r="T14" i="13"/>
  <c r="T14" i="8"/>
  <c r="T14" i="17"/>
  <c r="T14" i="14"/>
  <c r="T14" i="11"/>
  <c r="T14" i="10"/>
  <c r="T14" i="16"/>
  <c r="T14" i="19"/>
  <c r="R52" i="13"/>
  <c r="R52" i="8"/>
  <c r="R52" i="18"/>
  <c r="R52" i="14"/>
  <c r="R52" i="12"/>
  <c r="R52" i="10"/>
  <c r="R52" i="16"/>
  <c r="R52" i="15"/>
  <c r="R52" i="11"/>
  <c r="R52" i="9"/>
  <c r="R52" i="17"/>
  <c r="R52" i="19"/>
  <c r="Y46" i="14"/>
  <c r="Y46" i="10"/>
  <c r="Y46" i="18"/>
  <c r="Y46" i="16"/>
  <c r="Y46" i="12"/>
  <c r="Y46" i="9"/>
  <c r="Y46" i="15"/>
  <c r="Y46" i="17"/>
  <c r="Y46" i="8"/>
  <c r="Y46" i="11"/>
  <c r="Y46" i="13"/>
  <c r="Y46" i="19"/>
  <c r="Y17" i="9"/>
  <c r="Y17" i="13"/>
  <c r="Y17" i="14"/>
  <c r="Y17" i="17"/>
  <c r="Y17" i="8"/>
  <c r="Y17" i="11"/>
  <c r="Y17" i="19"/>
  <c r="Y17" i="16"/>
  <c r="Y17" i="12"/>
  <c r="Y17" i="10"/>
  <c r="Y17" i="15"/>
  <c r="Y17" i="18"/>
  <c r="U34" i="10"/>
  <c r="U34" i="16"/>
  <c r="U34" i="15"/>
  <c r="U34" i="14"/>
  <c r="U34" i="8"/>
  <c r="U34" i="12"/>
  <c r="U34" i="18"/>
  <c r="U34" i="19"/>
  <c r="U34" i="9"/>
  <c r="U34" i="11"/>
  <c r="U34" i="17"/>
  <c r="U34" i="13"/>
  <c r="R6" i="15"/>
  <c r="R6" i="9"/>
  <c r="R6" i="18"/>
  <c r="R6" i="16"/>
  <c r="R6" i="11"/>
  <c r="R6" i="10"/>
  <c r="R6" i="17"/>
  <c r="R6" i="14"/>
  <c r="R6" i="13"/>
  <c r="R6" i="8"/>
  <c r="R6" i="19"/>
  <c r="R6" i="12"/>
  <c r="W31" i="12"/>
  <c r="W31" i="9"/>
  <c r="W31" i="18"/>
  <c r="W31" i="14"/>
  <c r="W31" i="13"/>
  <c r="W31" i="8"/>
  <c r="W31" i="17"/>
  <c r="W31" i="16"/>
  <c r="W31" i="11"/>
  <c r="W31" i="10"/>
  <c r="W31" i="15"/>
  <c r="W31" i="19"/>
  <c r="S16" i="14"/>
  <c r="S16" i="8"/>
  <c r="S16" i="18"/>
  <c r="S16" i="16"/>
  <c r="S16" i="11"/>
  <c r="S16" i="10"/>
  <c r="S16" i="17"/>
  <c r="S16" i="15"/>
  <c r="S16" i="12"/>
  <c r="S16" i="9"/>
  <c r="S16" i="19"/>
  <c r="S16" i="13"/>
  <c r="O18" i="12"/>
  <c r="O18" i="10"/>
  <c r="O18" i="18"/>
  <c r="O18" i="16"/>
  <c r="O18" i="13"/>
  <c r="O18" i="8"/>
  <c r="O18" i="17"/>
  <c r="O18" i="15"/>
  <c r="O18" i="11"/>
  <c r="O18" i="9"/>
  <c r="O18" i="14"/>
  <c r="O18" i="19"/>
  <c r="J48" i="13"/>
  <c r="J48" i="8"/>
  <c r="J48" i="19"/>
  <c r="J48" i="14"/>
  <c r="J48" i="12"/>
  <c r="J48" i="10"/>
  <c r="J48" i="11"/>
  <c r="J48" i="9"/>
  <c r="J48" i="15"/>
  <c r="J48" i="17"/>
  <c r="J48" i="18"/>
  <c r="J48" i="16"/>
  <c r="P6" i="13"/>
  <c r="P6" i="8"/>
  <c r="P6" i="18"/>
  <c r="P6" i="11"/>
  <c r="P6" i="12"/>
  <c r="P6" i="14"/>
  <c r="P6" i="19"/>
  <c r="P6" i="9"/>
  <c r="P6" i="16"/>
  <c r="P6" i="17"/>
  <c r="P6" i="15"/>
  <c r="P6" i="10"/>
  <c r="N49" i="17"/>
  <c r="N49" i="14"/>
  <c r="N49" i="12"/>
  <c r="N49" i="9"/>
  <c r="N49" i="19"/>
  <c r="N49" i="13"/>
  <c r="N49" i="16"/>
  <c r="N49" i="8"/>
  <c r="N49" i="18"/>
  <c r="N49" i="15"/>
  <c r="N49" i="10"/>
  <c r="N49" i="11"/>
  <c r="N47" i="17"/>
  <c r="N47" i="16"/>
  <c r="N47" i="13"/>
  <c r="N47" i="9"/>
  <c r="N47" i="14"/>
  <c r="N47" i="19"/>
  <c r="N47" i="8"/>
  <c r="N47" i="12"/>
  <c r="N47" i="15"/>
  <c r="N47" i="18"/>
  <c r="N47" i="10"/>
  <c r="N47" i="11"/>
  <c r="V20" i="19"/>
  <c r="V20" i="13"/>
  <c r="V20" i="15"/>
  <c r="V20" i="8"/>
  <c r="V20" i="14"/>
  <c r="V20" i="18"/>
  <c r="V20" i="10"/>
  <c r="V20" i="12"/>
  <c r="V20" i="16"/>
  <c r="V20" i="17"/>
  <c r="V20" i="11"/>
  <c r="V20" i="9"/>
  <c r="T51" i="19"/>
  <c r="T51" i="14"/>
  <c r="T51" i="11"/>
  <c r="T51" i="13"/>
  <c r="T51" i="15"/>
  <c r="T51" i="17"/>
  <c r="T51" i="10"/>
  <c r="T51" i="9"/>
  <c r="T51" i="18"/>
  <c r="T51" i="16"/>
  <c r="T51" i="12"/>
  <c r="T51" i="8"/>
  <c r="U23" i="19"/>
  <c r="U23" i="14"/>
  <c r="U23" i="13"/>
  <c r="U23" i="12"/>
  <c r="U23" i="16"/>
  <c r="U23" i="17"/>
  <c r="U23" i="10"/>
  <c r="U23" i="8"/>
  <c r="U23" i="18"/>
  <c r="U23" i="15"/>
  <c r="U23" i="11"/>
  <c r="U23" i="9"/>
  <c r="S22" i="18"/>
  <c r="S22" i="15"/>
  <c r="S22" i="11"/>
  <c r="S22" i="9"/>
  <c r="S22" i="17"/>
  <c r="S22" i="16"/>
  <c r="S22" i="13"/>
  <c r="S22" i="8"/>
  <c r="S22" i="19"/>
  <c r="S22" i="14"/>
  <c r="S22" i="10"/>
  <c r="S22" i="12"/>
  <c r="M39" i="17"/>
  <c r="M39" i="15"/>
  <c r="M39" i="11"/>
  <c r="M39" i="8"/>
  <c r="M39" i="19"/>
  <c r="M39" i="16"/>
  <c r="M39" i="12"/>
  <c r="M39" i="9"/>
  <c r="M39" i="18"/>
  <c r="M39" i="14"/>
  <c r="M39" i="13"/>
  <c r="M39" i="10"/>
  <c r="U31" i="16"/>
  <c r="U31" i="15"/>
  <c r="U31" i="9"/>
  <c r="U31" i="11"/>
  <c r="U31" i="18"/>
  <c r="U31" i="14"/>
  <c r="U31" i="13"/>
  <c r="U31" i="8"/>
  <c r="U31" i="19"/>
  <c r="U31" i="10"/>
  <c r="U31" i="12"/>
  <c r="U31" i="17"/>
  <c r="V2" i="19"/>
  <c r="V2" i="12"/>
  <c r="V2" i="15"/>
  <c r="V2" i="9"/>
  <c r="V2" i="14"/>
  <c r="V2" i="17"/>
  <c r="V2" i="10"/>
  <c r="V2" i="11"/>
  <c r="V2" i="16"/>
  <c r="V2" i="18"/>
  <c r="V2" i="8"/>
  <c r="V2" i="13"/>
  <c r="O37" i="12"/>
  <c r="O37" i="14"/>
  <c r="O37" i="19"/>
  <c r="O37" i="11"/>
  <c r="O37" i="16"/>
  <c r="O37" i="13"/>
  <c r="O37" i="9"/>
  <c r="O37" i="17"/>
  <c r="O37" i="15"/>
  <c r="O37" i="8"/>
  <c r="O37" i="10"/>
  <c r="O37" i="18"/>
  <c r="R42" i="16"/>
  <c r="R42" i="18"/>
  <c r="R42" i="8"/>
  <c r="R42" i="11"/>
  <c r="R42" i="14"/>
  <c r="R42" i="15"/>
  <c r="R42" i="9"/>
  <c r="R42" i="12"/>
  <c r="R42" i="17"/>
  <c r="R42" i="19"/>
  <c r="R42" i="13"/>
  <c r="R42" i="10"/>
  <c r="O20" i="16"/>
  <c r="O20" i="14"/>
  <c r="O20" i="11"/>
  <c r="O20" i="13"/>
  <c r="O20" i="17"/>
  <c r="O20" i="18"/>
  <c r="O20" i="8"/>
  <c r="O20" i="9"/>
  <c r="O20" i="19"/>
  <c r="O20" i="15"/>
  <c r="O20" i="12"/>
  <c r="O20" i="10"/>
  <c r="L12" i="13"/>
  <c r="L12" i="18"/>
  <c r="L12" i="10"/>
  <c r="L12" i="9"/>
  <c r="L12" i="14"/>
  <c r="L12" i="16"/>
  <c r="L12" i="11"/>
  <c r="L12" i="15"/>
  <c r="L12" i="17"/>
  <c r="L12" i="19"/>
  <c r="L12" i="8"/>
  <c r="L12" i="12"/>
  <c r="Q12" i="11"/>
  <c r="Q12" i="19"/>
  <c r="Q12" i="9"/>
  <c r="Q12" i="13"/>
  <c r="Q12" i="16"/>
  <c r="Q12" i="8"/>
  <c r="Q12" i="15"/>
  <c r="Q12" i="12"/>
  <c r="Q12" i="18"/>
  <c r="Q12" i="10"/>
  <c r="Q12" i="14"/>
  <c r="Q12" i="17"/>
  <c r="N4" i="15"/>
  <c r="N4" i="18"/>
  <c r="N4" i="10"/>
  <c r="N4" i="11"/>
  <c r="N4" i="9"/>
  <c r="N4" i="17"/>
  <c r="N4" i="16"/>
  <c r="N4" i="12"/>
  <c r="N4" i="8"/>
  <c r="N4" i="19"/>
  <c r="N4" i="14"/>
  <c r="N4" i="13"/>
  <c r="T2" i="15"/>
  <c r="T2" i="19"/>
  <c r="T2" i="10"/>
  <c r="T2" i="11"/>
  <c r="T2" i="9"/>
  <c r="T2" i="17"/>
  <c r="T2" i="14"/>
  <c r="T2" i="12"/>
  <c r="T2" i="8"/>
  <c r="T2" i="18"/>
  <c r="T2" i="16"/>
  <c r="T2" i="13"/>
  <c r="X31" i="17"/>
  <c r="X31" i="18"/>
  <c r="X31" i="9"/>
  <c r="X31" i="8"/>
  <c r="X31" i="13"/>
  <c r="X31" i="12"/>
  <c r="X31" i="15"/>
  <c r="X31" i="14"/>
  <c r="X31" i="11"/>
  <c r="X31" i="19"/>
  <c r="X31" i="16"/>
  <c r="X31" i="10"/>
  <c r="W27" i="16"/>
  <c r="W27" i="19"/>
  <c r="W27" i="15"/>
  <c r="W27" i="17"/>
  <c r="W27" i="14"/>
  <c r="W27" i="12"/>
  <c r="W27" i="11"/>
  <c r="W27" i="8"/>
  <c r="W27" i="18"/>
  <c r="W27" i="13"/>
  <c r="W27" i="10"/>
  <c r="W27" i="9"/>
  <c r="R17" i="14"/>
  <c r="R17" i="19"/>
  <c r="R17" i="16"/>
  <c r="R17" i="11"/>
  <c r="R17" i="8"/>
  <c r="R17" i="15"/>
  <c r="R17" i="18"/>
  <c r="R17" i="10"/>
  <c r="R17" i="13"/>
  <c r="R17" i="12"/>
  <c r="R17" i="9"/>
  <c r="R17" i="17"/>
  <c r="O2" i="14"/>
  <c r="O2" i="15"/>
  <c r="O2" i="17"/>
  <c r="O2" i="18"/>
  <c r="O2" i="10"/>
  <c r="O2" i="13"/>
  <c r="O2" i="9"/>
  <c r="O2" i="11"/>
  <c r="O2" i="16"/>
  <c r="O2" i="19"/>
  <c r="O2" i="8"/>
  <c r="O2" i="12"/>
  <c r="O32" i="18"/>
  <c r="O32" i="15"/>
  <c r="O32" i="12"/>
  <c r="O32" i="9"/>
  <c r="O32" i="13"/>
  <c r="O32" i="14"/>
  <c r="O32" i="19"/>
  <c r="O32" i="10"/>
  <c r="O32" i="11"/>
  <c r="O32" i="16"/>
  <c r="O32" i="17"/>
  <c r="O32" i="8"/>
  <c r="U26" i="17"/>
  <c r="U26" i="14"/>
  <c r="U26" i="19"/>
  <c r="U26" i="13"/>
  <c r="U26" i="8"/>
  <c r="U26" i="16"/>
  <c r="U26" i="18"/>
  <c r="U26" i="9"/>
  <c r="U26" i="12"/>
  <c r="U26" i="10"/>
  <c r="U26" i="11"/>
  <c r="U26" i="15"/>
  <c r="R4" i="19"/>
  <c r="R4" i="18"/>
  <c r="R4" i="17"/>
  <c r="R4" i="14"/>
  <c r="R4" i="12"/>
  <c r="R4" i="9"/>
  <c r="R4" i="8"/>
  <c r="R4" i="13"/>
  <c r="R4" i="15"/>
  <c r="R4" i="16"/>
  <c r="R4" i="10"/>
  <c r="R4" i="11"/>
  <c r="K16" i="18"/>
  <c r="K16" i="11"/>
  <c r="K16" i="8"/>
  <c r="K16" i="19"/>
  <c r="K16" i="12"/>
  <c r="K16" i="17"/>
  <c r="K16" i="14"/>
  <c r="K16" i="16"/>
  <c r="K16" i="9"/>
  <c r="K16" i="10"/>
  <c r="K16" i="15"/>
  <c r="K16" i="13"/>
  <c r="O3" i="14"/>
  <c r="O3" i="18"/>
  <c r="O3" i="9"/>
  <c r="O3" i="12"/>
  <c r="O3" i="8"/>
  <c r="O3" i="17"/>
  <c r="O3" i="15"/>
  <c r="O3" i="10"/>
  <c r="O3" i="13"/>
  <c r="O3" i="19"/>
  <c r="O3" i="16"/>
  <c r="O3" i="11"/>
  <c r="O14" i="19"/>
  <c r="O14" i="16"/>
  <c r="O14" i="10"/>
  <c r="O14" i="9"/>
  <c r="O14" i="12"/>
  <c r="O14" i="14"/>
  <c r="O14" i="17"/>
  <c r="O14" i="13"/>
  <c r="O14" i="11"/>
  <c r="O14" i="18"/>
  <c r="O14" i="15"/>
  <c r="O14" i="8"/>
  <c r="X23" i="18"/>
  <c r="X23" i="19"/>
  <c r="X23" i="9"/>
  <c r="X23" i="10"/>
  <c r="X23" i="14"/>
  <c r="X23" i="12"/>
  <c r="X23" i="16"/>
  <c r="X23" i="8"/>
  <c r="X23" i="11"/>
  <c r="X23" i="15"/>
  <c r="X23" i="17"/>
  <c r="X23" i="13"/>
  <c r="P46" i="10"/>
  <c r="P46" i="12"/>
  <c r="P46" i="14"/>
  <c r="P46" i="17"/>
  <c r="P46" i="9"/>
  <c r="P46" i="11"/>
  <c r="P46" i="16"/>
  <c r="P46" i="19"/>
  <c r="P46" i="8"/>
  <c r="P46" i="15"/>
  <c r="P46" i="18"/>
  <c r="P46" i="13"/>
  <c r="R30" i="10"/>
  <c r="R30" i="11"/>
  <c r="R30" i="16"/>
  <c r="R30" i="17"/>
  <c r="R30" i="9"/>
  <c r="R30" i="12"/>
  <c r="R30" i="13"/>
  <c r="R30" i="19"/>
  <c r="R30" i="8"/>
  <c r="R30" i="14"/>
  <c r="R30" i="18"/>
  <c r="R30" i="15"/>
  <c r="R13" i="10"/>
  <c r="R13" i="13"/>
  <c r="R13" i="15"/>
  <c r="R13" i="17"/>
  <c r="R13" i="8"/>
  <c r="R13" i="11"/>
  <c r="R13" i="14"/>
  <c r="R13" i="19"/>
  <c r="R13" i="9"/>
  <c r="R13" i="12"/>
  <c r="R13" i="16"/>
  <c r="R13" i="18"/>
  <c r="T16" i="13"/>
  <c r="T16" i="10"/>
  <c r="T16" i="19"/>
  <c r="T16" i="14"/>
  <c r="T16" i="11"/>
  <c r="T16" i="9"/>
  <c r="T16" i="16"/>
  <c r="T16" i="18"/>
  <c r="T16" i="12"/>
  <c r="T16" i="8"/>
  <c r="T16" i="17"/>
  <c r="T16" i="15"/>
  <c r="O5" i="12"/>
  <c r="O5" i="9"/>
  <c r="O5" i="19"/>
  <c r="O5" i="14"/>
  <c r="O5" i="10"/>
  <c r="O5" i="8"/>
  <c r="O5" i="17"/>
  <c r="O5" i="18"/>
  <c r="O5" i="13"/>
  <c r="O5" i="11"/>
  <c r="O5" i="15"/>
  <c r="O5" i="16"/>
  <c r="Y6" i="9"/>
  <c r="Y6" i="13"/>
  <c r="Y6" i="14"/>
  <c r="Y6" i="19"/>
  <c r="Y6" i="8"/>
  <c r="Y6" i="11"/>
  <c r="Y6" i="17"/>
  <c r="Y6" i="16"/>
  <c r="Y6" i="12"/>
  <c r="Y6" i="10"/>
  <c r="Y6" i="15"/>
  <c r="Y6" i="18"/>
  <c r="K11" i="8"/>
  <c r="K11" i="12"/>
  <c r="K11" i="14"/>
  <c r="K11" i="19"/>
  <c r="K11" i="10"/>
  <c r="K11" i="9"/>
  <c r="K11" i="18"/>
  <c r="K11" i="15"/>
  <c r="K11" i="11"/>
  <c r="K11" i="13"/>
  <c r="K11" i="16"/>
  <c r="K11" i="17"/>
  <c r="K37" i="12"/>
  <c r="K37" i="10"/>
  <c r="K37" i="19"/>
  <c r="K37" i="16"/>
  <c r="K37" i="13"/>
  <c r="K37" i="8"/>
  <c r="K37" i="17"/>
  <c r="K37" i="18"/>
  <c r="K37" i="11"/>
  <c r="K37" i="9"/>
  <c r="K37" i="15"/>
  <c r="K37" i="14"/>
  <c r="W8" i="19"/>
  <c r="W8" i="14"/>
  <c r="W8" i="16"/>
  <c r="W8" i="12"/>
  <c r="W8" i="9"/>
  <c r="W8" i="17"/>
  <c r="W8" i="15"/>
  <c r="W8" i="8"/>
  <c r="W8" i="10"/>
  <c r="W8" i="13"/>
  <c r="W8" i="18"/>
  <c r="W8" i="11"/>
  <c r="R46" i="13"/>
  <c r="R46" i="9"/>
  <c r="R46" i="15"/>
  <c r="R46" i="19"/>
  <c r="R46" i="10"/>
  <c r="R46" i="12"/>
  <c r="R46" i="8"/>
  <c r="R46" i="14"/>
  <c r="R46" i="18"/>
  <c r="R46" i="11"/>
  <c r="R46" i="17"/>
  <c r="R46" i="16"/>
  <c r="Q56" i="15"/>
  <c r="Q56" i="14"/>
  <c r="Q56" i="10"/>
  <c r="Q56" i="13"/>
  <c r="Q56" i="18"/>
  <c r="Q56" i="16"/>
  <c r="Q56" i="8"/>
  <c r="Q56" i="12"/>
  <c r="Q56" i="19"/>
  <c r="Q56" i="17"/>
  <c r="Q56" i="11"/>
  <c r="Q56" i="9"/>
  <c r="O55" i="13"/>
  <c r="O55" i="19"/>
  <c r="O55" i="8"/>
  <c r="O55" i="15"/>
  <c r="O55" i="18"/>
  <c r="O55" i="16"/>
  <c r="O55" i="11"/>
  <c r="O55" i="10"/>
  <c r="O55" i="14"/>
  <c r="O55" i="9"/>
  <c r="O55" i="12"/>
  <c r="O55" i="17"/>
  <c r="Q8" i="16"/>
  <c r="Q8" i="18"/>
  <c r="Q8" i="9"/>
  <c r="Q8" i="11"/>
  <c r="Q8" i="17"/>
  <c r="Q8" i="19"/>
  <c r="Q8" i="14"/>
  <c r="Q8" i="13"/>
  <c r="Q8" i="15"/>
  <c r="Q8" i="12"/>
  <c r="Q8" i="8"/>
  <c r="Q8" i="10"/>
  <c r="X44" i="14"/>
  <c r="X44" i="12"/>
  <c r="X44" i="9"/>
  <c r="X44" i="13"/>
  <c r="X44" i="16"/>
  <c r="X44" i="17"/>
  <c r="X44" i="18"/>
  <c r="X44" i="8"/>
  <c r="X44" i="11"/>
  <c r="X44" i="15"/>
  <c r="X44" i="19"/>
  <c r="X44" i="10"/>
  <c r="X19" i="16"/>
  <c r="X19" i="18"/>
  <c r="X19" i="11"/>
  <c r="X19" i="8"/>
  <c r="X19" i="17"/>
  <c r="X19" i="19"/>
  <c r="X19" i="12"/>
  <c r="X19" i="10"/>
  <c r="X19" i="14"/>
  <c r="X19" i="15"/>
  <c r="X19" i="9"/>
  <c r="X19" i="13"/>
  <c r="R5" i="17"/>
  <c r="R5" i="15"/>
  <c r="R5" i="10"/>
  <c r="R5" i="9"/>
  <c r="R5" i="13"/>
  <c r="R5" i="16"/>
  <c r="R5" i="18"/>
  <c r="R5" i="8"/>
  <c r="R5" i="11"/>
  <c r="R5" i="14"/>
  <c r="R5" i="19"/>
  <c r="R5" i="12"/>
  <c r="Y21" i="17"/>
  <c r="Y21" i="16"/>
  <c r="Y21" i="12"/>
  <c r="Y21" i="13"/>
  <c r="Y21" i="18"/>
  <c r="Y21" i="14"/>
  <c r="Y21" i="10"/>
  <c r="Y21" i="9"/>
  <c r="Y21" i="11"/>
  <c r="Y21" i="15"/>
  <c r="Y21" i="19"/>
  <c r="Y21" i="8"/>
  <c r="J7" i="18"/>
  <c r="J7" i="15"/>
  <c r="J7" i="13"/>
  <c r="J7" i="14"/>
  <c r="J7" i="17"/>
  <c r="J7" i="12"/>
  <c r="J7" i="9"/>
  <c r="J7" i="8"/>
  <c r="J7" i="11"/>
  <c r="J7" i="16"/>
  <c r="J7" i="19"/>
  <c r="J7" i="10"/>
  <c r="S20" i="15"/>
  <c r="S20" i="12"/>
  <c r="S20" i="13"/>
  <c r="S20" i="18"/>
  <c r="S20" i="14"/>
  <c r="S20" i="16"/>
  <c r="S20" i="9"/>
  <c r="S20" i="10"/>
  <c r="S20" i="8"/>
  <c r="S20" i="11"/>
  <c r="S20" i="17"/>
  <c r="S20" i="19"/>
  <c r="I39" i="15"/>
  <c r="I39" i="18"/>
  <c r="I39" i="9"/>
  <c r="I39" i="19"/>
  <c r="I39" i="16"/>
  <c r="I39" i="12"/>
  <c r="I39" i="8"/>
  <c r="I39" i="17"/>
  <c r="I39" i="14"/>
  <c r="I39" i="10"/>
  <c r="I39" i="13"/>
  <c r="I39" i="11"/>
  <c r="Y5" i="16"/>
  <c r="Y5" i="12"/>
  <c r="Y5" i="11"/>
  <c r="Y5" i="9"/>
  <c r="Y5" i="13"/>
  <c r="Y5" i="14"/>
  <c r="Y5" i="19"/>
  <c r="Y5" i="8"/>
  <c r="Y5" i="10"/>
  <c r="Y5" i="15"/>
  <c r="Y5" i="17"/>
  <c r="Y5" i="18"/>
  <c r="U10" i="17"/>
  <c r="U10" i="15"/>
  <c r="U10" i="9"/>
  <c r="U10" i="19"/>
  <c r="U10" i="16"/>
  <c r="U10" i="11"/>
  <c r="U10" i="10"/>
  <c r="U10" i="18"/>
  <c r="U10" i="14"/>
  <c r="U10" i="12"/>
  <c r="U10" i="8"/>
  <c r="U10" i="13"/>
  <c r="J4" i="14"/>
  <c r="J4" i="19"/>
  <c r="J4" i="9"/>
  <c r="J4" i="18"/>
  <c r="J4" i="16"/>
  <c r="J4" i="11"/>
  <c r="J4" i="10"/>
  <c r="J4" i="17"/>
  <c r="J4" i="15"/>
  <c r="J4" i="13"/>
  <c r="J4" i="8"/>
  <c r="J4" i="12"/>
  <c r="W32" i="11"/>
  <c r="W32" i="14"/>
  <c r="W32" i="9"/>
  <c r="W32" i="12"/>
  <c r="W32" i="16"/>
  <c r="W32" i="19"/>
  <c r="W32" i="17"/>
  <c r="W32" i="15"/>
  <c r="W32" i="10"/>
  <c r="W32" i="18"/>
  <c r="W32" i="8"/>
  <c r="W32" i="13"/>
  <c r="V26" i="13"/>
  <c r="V26" i="8"/>
  <c r="V26" i="11"/>
  <c r="V26" i="10"/>
  <c r="V26" i="19"/>
  <c r="V26" i="14"/>
  <c r="V26" i="9"/>
  <c r="V26" i="15"/>
  <c r="V26" i="18"/>
  <c r="V26" i="12"/>
  <c r="V26" i="17"/>
  <c r="V26" i="16"/>
  <c r="N16" i="9"/>
  <c r="N16" i="13"/>
  <c r="N16" i="8"/>
  <c r="N16" i="10"/>
  <c r="N16" i="16"/>
  <c r="N16" i="19"/>
  <c r="N16" i="12"/>
  <c r="N16" i="18"/>
  <c r="N16" i="17"/>
  <c r="N16" i="11"/>
  <c r="N16" i="14"/>
  <c r="N16" i="15"/>
  <c r="O54" i="16"/>
  <c r="O54" i="17"/>
  <c r="O54" i="10"/>
  <c r="O54" i="14"/>
  <c r="O54" i="18"/>
  <c r="O54" i="8"/>
  <c r="O54" i="13"/>
  <c r="O54" i="19"/>
  <c r="O54" i="15"/>
  <c r="O54" i="11"/>
  <c r="O54" i="12"/>
  <c r="O54" i="9"/>
  <c r="W2" i="19"/>
  <c r="W2" i="15"/>
  <c r="W2" i="13"/>
  <c r="W2" i="14"/>
  <c r="W2" i="18"/>
  <c r="W2" i="12"/>
  <c r="W2" i="9"/>
  <c r="W2" i="16"/>
  <c r="W2" i="17"/>
  <c r="W2" i="8"/>
  <c r="W2" i="11"/>
  <c r="W2" i="10"/>
  <c r="I13" i="14"/>
  <c r="I13" i="19"/>
  <c r="I13" i="10"/>
  <c r="I13" i="18"/>
  <c r="I13" i="16"/>
  <c r="I13" i="9"/>
  <c r="I13" i="8"/>
  <c r="I13" i="15"/>
  <c r="I13" i="17"/>
  <c r="I13" i="12"/>
  <c r="I13" i="11"/>
  <c r="I13" i="13"/>
  <c r="Y20" i="8"/>
  <c r="Y20" i="12"/>
  <c r="Y20" i="15"/>
  <c r="Y20" i="14"/>
  <c r="Y20" i="19"/>
  <c r="Y20" i="10"/>
  <c r="Y20" i="11"/>
  <c r="Y20" i="18"/>
  <c r="Y20" i="17"/>
  <c r="Y20" i="13"/>
  <c r="Y20" i="16"/>
  <c r="Y20" i="9"/>
  <c r="P4" i="18"/>
  <c r="P4" i="13"/>
  <c r="P4" i="15"/>
  <c r="P4" i="12"/>
  <c r="P4" i="8"/>
  <c r="P4" i="10"/>
  <c r="P4" i="17"/>
  <c r="P4" i="19"/>
  <c r="P4" i="11"/>
  <c r="P4" i="16"/>
  <c r="P4" i="14"/>
  <c r="P4" i="9"/>
  <c r="P40" i="14"/>
  <c r="P40" i="18"/>
  <c r="P40" i="8"/>
  <c r="P40" i="17"/>
  <c r="P40" i="16"/>
  <c r="P40" i="11"/>
  <c r="P40" i="10"/>
  <c r="P40" i="19"/>
  <c r="P40" i="15"/>
  <c r="P40" i="13"/>
  <c r="P40" i="9"/>
  <c r="P40" i="12"/>
  <c r="R41" i="18"/>
  <c r="R41" i="15"/>
  <c r="R41" i="17"/>
  <c r="R41" i="8"/>
  <c r="R41" i="9"/>
  <c r="R41" i="12"/>
  <c r="R41" i="10"/>
  <c r="R41" i="19"/>
  <c r="R41" i="13"/>
  <c r="R41" i="14"/>
  <c r="R41" i="11"/>
  <c r="R41" i="16"/>
  <c r="U37" i="12"/>
  <c r="U37" i="11"/>
  <c r="U37" i="15"/>
  <c r="U37" i="14"/>
  <c r="U37" i="10"/>
  <c r="U37" i="19"/>
  <c r="U37" i="16"/>
  <c r="U37" i="13"/>
  <c r="U37" i="9"/>
  <c r="U37" i="18"/>
  <c r="U37" i="17"/>
  <c r="U37" i="8"/>
  <c r="L5" i="14"/>
  <c r="L5" i="18"/>
  <c r="L5" i="10"/>
  <c r="L5" i="17"/>
  <c r="L5" i="15"/>
  <c r="L5" i="11"/>
  <c r="L5" i="8"/>
  <c r="L5" i="19"/>
  <c r="L5" i="16"/>
  <c r="L5" i="12"/>
  <c r="L5" i="9"/>
  <c r="L5" i="13"/>
  <c r="I47" i="12"/>
  <c r="I47" i="13"/>
  <c r="I47" i="9"/>
  <c r="I47" i="11"/>
  <c r="I47" i="19"/>
  <c r="I47" i="8"/>
  <c r="I47" i="16"/>
  <c r="I47" i="18"/>
  <c r="I47" i="14"/>
  <c r="I47" i="17"/>
  <c r="I47" i="10"/>
  <c r="I47" i="15"/>
  <c r="P16" i="19"/>
  <c r="P16" i="15"/>
  <c r="P16" i="8"/>
  <c r="P16" i="13"/>
  <c r="P16" i="17"/>
  <c r="P16" i="10"/>
  <c r="P16" i="11"/>
  <c r="P16" i="9"/>
  <c r="P16" i="12"/>
  <c r="P16" i="16"/>
  <c r="P16" i="18"/>
  <c r="P16" i="14"/>
  <c r="J32" i="16"/>
  <c r="J32" i="19"/>
  <c r="J32" i="17"/>
  <c r="J32" i="15"/>
  <c r="J32" i="11"/>
  <c r="J32" i="12"/>
  <c r="J32" i="8"/>
  <c r="J32" i="18"/>
  <c r="J32" i="14"/>
  <c r="J32" i="10"/>
  <c r="J32" i="9"/>
  <c r="J32" i="13"/>
  <c r="J54" i="19"/>
  <c r="J54" i="15"/>
  <c r="J54" i="17"/>
  <c r="J54" i="9"/>
  <c r="J54" i="11"/>
  <c r="J54" i="8"/>
  <c r="J54" i="13"/>
  <c r="J54" i="16"/>
  <c r="J54" i="18"/>
  <c r="J54" i="12"/>
  <c r="J54" i="10"/>
  <c r="J54" i="14"/>
  <c r="J52" i="18"/>
  <c r="J52" i="11"/>
  <c r="J52" i="10"/>
  <c r="J52" i="13"/>
  <c r="J52" i="17"/>
  <c r="J52" i="19"/>
  <c r="J52" i="8"/>
  <c r="J52" i="12"/>
  <c r="J52" i="14"/>
  <c r="J52" i="16"/>
  <c r="J52" i="15"/>
  <c r="J52" i="9"/>
  <c r="N14" i="14"/>
  <c r="N14" i="18"/>
  <c r="N14" i="10"/>
  <c r="N14" i="12"/>
  <c r="N14" i="15"/>
  <c r="N14" i="16"/>
  <c r="N14" i="9"/>
  <c r="N14" i="11"/>
  <c r="N14" i="17"/>
  <c r="N14" i="19"/>
  <c r="N14" i="13"/>
  <c r="N14" i="8"/>
  <c r="T52" i="17"/>
  <c r="T52" i="15"/>
  <c r="T52" i="11"/>
  <c r="T52" i="14"/>
  <c r="T52" i="19"/>
  <c r="T52" i="12"/>
  <c r="T52" i="8"/>
  <c r="T52" i="13"/>
  <c r="T52" i="16"/>
  <c r="T52" i="18"/>
  <c r="T52" i="9"/>
  <c r="T52" i="10"/>
  <c r="R9" i="15"/>
  <c r="R9" i="16"/>
  <c r="R9" i="10"/>
  <c r="R9" i="9"/>
  <c r="R9" i="19"/>
  <c r="R9" i="14"/>
  <c r="R9" i="13"/>
  <c r="R9" i="8"/>
  <c r="R9" i="18"/>
  <c r="R9" i="17"/>
  <c r="R9" i="12"/>
  <c r="R9" i="11"/>
  <c r="S3" i="19"/>
  <c r="S3" i="13"/>
  <c r="S3" i="9"/>
  <c r="S3" i="8"/>
  <c r="S3" i="18"/>
  <c r="S3" i="15"/>
  <c r="S3" i="12"/>
  <c r="S3" i="14"/>
  <c r="S3" i="16"/>
  <c r="S3" i="17"/>
  <c r="S3" i="11"/>
  <c r="S3" i="10"/>
  <c r="V22" i="16"/>
  <c r="V22" i="13"/>
  <c r="V22" i="9"/>
  <c r="V22" i="10"/>
  <c r="V22" i="12"/>
  <c r="V22" i="15"/>
  <c r="V22" i="18"/>
  <c r="V22" i="8"/>
  <c r="V22" i="11"/>
  <c r="V22" i="14"/>
  <c r="V22" i="19"/>
  <c r="V22" i="17"/>
  <c r="O9" i="16"/>
  <c r="O9" i="17"/>
  <c r="O9" i="9"/>
  <c r="O9" i="15"/>
  <c r="O9" i="18"/>
  <c r="O9" i="8"/>
  <c r="O9" i="11"/>
  <c r="O9" i="14"/>
  <c r="O9" i="19"/>
  <c r="O9" i="12"/>
  <c r="O9" i="13"/>
  <c r="O9" i="10"/>
  <c r="M12" i="19"/>
  <c r="M12" i="12"/>
  <c r="M12" i="16"/>
  <c r="M12" i="10"/>
  <c r="M12" i="17"/>
  <c r="M12" i="15"/>
  <c r="M12" i="11"/>
  <c r="M12" i="9"/>
  <c r="M12" i="18"/>
  <c r="M12" i="14"/>
  <c r="M12" i="13"/>
  <c r="M12" i="8"/>
  <c r="Q34" i="19"/>
  <c r="Q34" i="15"/>
  <c r="Q34" i="11"/>
  <c r="Q34" i="10"/>
  <c r="Q34" i="17"/>
  <c r="Q34" i="16"/>
  <c r="Q34" i="12"/>
  <c r="Q34" i="9"/>
  <c r="Q34" i="18"/>
  <c r="Q34" i="14"/>
  <c r="Q34" i="13"/>
  <c r="Q34" i="8"/>
  <c r="T30" i="8"/>
  <c r="T30" i="13"/>
  <c r="T30" i="16"/>
  <c r="T30" i="17"/>
  <c r="T30" i="10"/>
  <c r="T30" i="11"/>
  <c r="T30" i="19"/>
  <c r="T30" i="15"/>
  <c r="T30" i="12"/>
  <c r="T30" i="9"/>
  <c r="T30" i="14"/>
  <c r="T30" i="18"/>
  <c r="W14" i="14"/>
  <c r="W14" i="10"/>
  <c r="W14" i="18"/>
  <c r="W14" i="13"/>
  <c r="W14" i="11"/>
  <c r="W14" i="8"/>
  <c r="W14" i="17"/>
  <c r="W14" i="15"/>
  <c r="W14" i="12"/>
  <c r="W14" i="9"/>
  <c r="W14" i="19"/>
  <c r="W14" i="16"/>
  <c r="J39" i="13"/>
  <c r="J39" i="9"/>
  <c r="J39" i="19"/>
  <c r="J39" i="14"/>
  <c r="J39" i="11"/>
  <c r="J39" i="8"/>
  <c r="J39" i="18"/>
  <c r="J39" i="15"/>
  <c r="J39" i="12"/>
  <c r="J39" i="10"/>
  <c r="J39" i="17"/>
  <c r="J39" i="16"/>
  <c r="T19" i="10"/>
  <c r="T19" i="12"/>
  <c r="T19" i="16"/>
  <c r="T19" i="17"/>
  <c r="T19" i="9"/>
  <c r="T19" i="11"/>
  <c r="T19" i="19"/>
  <c r="T19" i="14"/>
  <c r="T19" i="15"/>
  <c r="T19" i="8"/>
  <c r="T19" i="18"/>
  <c r="T19" i="13"/>
  <c r="P7" i="16"/>
  <c r="P7" i="17"/>
  <c r="P7" i="10"/>
  <c r="P7" i="11"/>
  <c r="P7" i="19"/>
  <c r="P7" i="13"/>
  <c r="P7" i="15"/>
  <c r="P7" i="9"/>
  <c r="P7" i="18"/>
  <c r="P7" i="14"/>
  <c r="P7" i="12"/>
  <c r="P7" i="8"/>
  <c r="X41" i="16"/>
  <c r="X41" i="19"/>
  <c r="X41" i="14"/>
  <c r="X41" i="9"/>
  <c r="X41" i="8"/>
  <c r="X41" i="15"/>
  <c r="X41" i="17"/>
  <c r="X41" i="13"/>
  <c r="X41" i="11"/>
  <c r="X41" i="12"/>
  <c r="X41" i="10"/>
  <c r="X41" i="18"/>
  <c r="Y37" i="16"/>
  <c r="Y37" i="15"/>
  <c r="Y37" i="12"/>
  <c r="Y37" i="9"/>
  <c r="Y37" i="10"/>
  <c r="Y37" i="14"/>
  <c r="Y37" i="19"/>
  <c r="Y37" i="8"/>
  <c r="Y37" i="13"/>
  <c r="Y37" i="18"/>
  <c r="Y37" i="17"/>
  <c r="Y37" i="11"/>
  <c r="N36" i="17"/>
  <c r="N36" i="16"/>
  <c r="N36" i="13"/>
  <c r="N36" i="12"/>
  <c r="N36" i="19"/>
  <c r="N36" i="14"/>
  <c r="N36" i="11"/>
  <c r="N36" i="9"/>
  <c r="N36" i="18"/>
  <c r="N36" i="15"/>
  <c r="N36" i="10"/>
  <c r="N36" i="8"/>
  <c r="T24" i="19"/>
  <c r="T24" i="16"/>
  <c r="T24" i="11"/>
  <c r="T24" i="9"/>
  <c r="T24" i="18"/>
  <c r="T24" i="14"/>
  <c r="T24" i="13"/>
  <c r="T24" i="10"/>
  <c r="T24" i="17"/>
  <c r="T24" i="15"/>
  <c r="T24" i="12"/>
  <c r="T24" i="8"/>
  <c r="W21" i="17"/>
  <c r="W21" i="16"/>
  <c r="W21" i="13"/>
  <c r="W21" i="9"/>
  <c r="W21" i="19"/>
  <c r="W21" i="14"/>
  <c r="W21" i="11"/>
  <c r="W21" i="8"/>
  <c r="W21" i="18"/>
  <c r="W21" i="15"/>
  <c r="W21" i="12"/>
  <c r="W21" i="10"/>
  <c r="R14" i="19"/>
  <c r="R14" i="14"/>
  <c r="R14" i="11"/>
  <c r="R14" i="8"/>
  <c r="R14" i="17"/>
  <c r="R14" i="15"/>
  <c r="R14" i="13"/>
  <c r="R14" i="12"/>
  <c r="R14" i="16"/>
  <c r="R14" i="10"/>
  <c r="R14" i="9"/>
  <c r="R14" i="18"/>
  <c r="L13" i="19"/>
  <c r="L13" i="18"/>
  <c r="L13" i="12"/>
  <c r="L13" i="10"/>
  <c r="L13" i="16"/>
  <c r="L13" i="14"/>
  <c r="L13" i="13"/>
  <c r="L13" i="9"/>
  <c r="L13" i="17"/>
  <c r="L13" i="15"/>
  <c r="L13" i="11"/>
  <c r="L13" i="8"/>
  <c r="V45" i="19"/>
  <c r="V45" i="17"/>
  <c r="V45" i="13"/>
  <c r="V45" i="8"/>
  <c r="V45" i="18"/>
  <c r="V45" i="14"/>
  <c r="V45" i="12"/>
  <c r="V45" i="10"/>
  <c r="V45" i="16"/>
  <c r="V45" i="15"/>
  <c r="V45" i="11"/>
  <c r="V45" i="9"/>
  <c r="Q16" i="18"/>
  <c r="Q16" i="17"/>
  <c r="Q16" i="13"/>
  <c r="Q16" i="10"/>
  <c r="Q16" i="19"/>
  <c r="Q16" i="15"/>
  <c r="Q16" i="12"/>
  <c r="Q16" i="8"/>
  <c r="Q16" i="16"/>
  <c r="Q16" i="14"/>
  <c r="Q16" i="11"/>
  <c r="Q16" i="9"/>
  <c r="M46" i="19"/>
  <c r="M46" i="16"/>
  <c r="M46" i="15"/>
  <c r="M46" i="8"/>
  <c r="M46" i="18"/>
  <c r="M46" i="13"/>
  <c r="M46" i="11"/>
  <c r="M46" i="10"/>
  <c r="M46" i="17"/>
  <c r="M46" i="14"/>
  <c r="M46" i="12"/>
  <c r="M46" i="9"/>
  <c r="P41" i="19"/>
  <c r="P41" i="13"/>
  <c r="P41" i="14"/>
  <c r="P41" i="8"/>
  <c r="P41" i="18"/>
  <c r="P41" i="16"/>
  <c r="P41" i="12"/>
  <c r="P41" i="10"/>
  <c r="P41" i="17"/>
  <c r="P41" i="15"/>
  <c r="P41" i="11"/>
  <c r="P41" i="9"/>
  <c r="I54" i="19"/>
  <c r="I54" i="16"/>
  <c r="I54" i="14"/>
  <c r="I54" i="10"/>
  <c r="I54" i="18"/>
  <c r="I54" i="12"/>
  <c r="I54" i="11"/>
  <c r="I54" i="9"/>
  <c r="I54" i="17"/>
  <c r="I54" i="15"/>
  <c r="I54" i="13"/>
  <c r="I54" i="8"/>
  <c r="W17" i="19"/>
  <c r="W17" i="16"/>
  <c r="W17" i="12"/>
  <c r="W17" i="9"/>
  <c r="W17" i="18"/>
  <c r="W17" i="15"/>
  <c r="W17" i="13"/>
  <c r="W17" i="8"/>
  <c r="W17" i="17"/>
  <c r="W17" i="14"/>
  <c r="W17" i="11"/>
  <c r="W17" i="10"/>
  <c r="O19" i="19"/>
  <c r="O19" i="16"/>
  <c r="O19" i="15"/>
  <c r="O19" i="9"/>
  <c r="O19" i="18"/>
  <c r="O19" i="12"/>
  <c r="O19" i="11"/>
  <c r="O19" i="10"/>
  <c r="O19" i="17"/>
  <c r="O19" i="14"/>
  <c r="O19" i="13"/>
  <c r="O19" i="8"/>
  <c r="M23" i="19"/>
  <c r="M23" i="16"/>
  <c r="M23" i="14"/>
  <c r="M23" i="9"/>
  <c r="M23" i="18"/>
  <c r="M23" i="15"/>
  <c r="M23" i="12"/>
  <c r="M23" i="10"/>
  <c r="M23" i="17"/>
  <c r="M23" i="13"/>
  <c r="M23" i="11"/>
  <c r="M23" i="8"/>
  <c r="M21" i="19"/>
  <c r="M21" i="14"/>
  <c r="M21" i="15"/>
  <c r="M21" i="9"/>
  <c r="M21" i="18"/>
  <c r="M21" i="12"/>
  <c r="M21" i="13"/>
  <c r="M21" i="10"/>
  <c r="M21" i="17"/>
  <c r="M21" i="16"/>
  <c r="M21" i="11"/>
  <c r="M21" i="8"/>
  <c r="O52" i="19"/>
  <c r="O52" i="17"/>
  <c r="O52" i="10"/>
  <c r="O52" i="11"/>
  <c r="O52" i="18"/>
  <c r="O52" i="14"/>
  <c r="O52" i="13"/>
  <c r="O52" i="9"/>
  <c r="O52" i="15"/>
  <c r="O52" i="16"/>
  <c r="O52" i="12"/>
  <c r="O52" i="8"/>
  <c r="P55" i="19"/>
  <c r="P55" i="17"/>
  <c r="P55" i="13"/>
  <c r="P55" i="8"/>
  <c r="P55" i="16"/>
  <c r="P55" i="15"/>
  <c r="P55" i="11"/>
  <c r="P55" i="9"/>
  <c r="P55" i="18"/>
  <c r="P55" i="14"/>
  <c r="P55" i="12"/>
  <c r="P55" i="10"/>
  <c r="L31" i="19"/>
  <c r="L31" i="16"/>
  <c r="L31" i="12"/>
  <c r="L31" i="10"/>
  <c r="L31" i="17"/>
  <c r="L31" i="15"/>
  <c r="L31" i="13"/>
  <c r="L31" i="9"/>
  <c r="L31" i="18"/>
  <c r="L31" i="14"/>
  <c r="L31" i="11"/>
  <c r="L31" i="8"/>
  <c r="S9" i="19"/>
  <c r="S9" i="16"/>
  <c r="S9" i="12"/>
  <c r="S9" i="9"/>
  <c r="S9" i="18"/>
  <c r="S9" i="14"/>
  <c r="S9" i="13"/>
  <c r="S9" i="10"/>
  <c r="S9" i="17"/>
  <c r="S9" i="15"/>
  <c r="S9" i="11"/>
  <c r="S9" i="8"/>
  <c r="L44" i="18"/>
  <c r="L44" i="15"/>
  <c r="L44" i="13"/>
  <c r="L44" i="10"/>
  <c r="L44" i="19"/>
  <c r="L44" i="16"/>
  <c r="L44" i="12"/>
  <c r="L44" i="9"/>
  <c r="L44" i="17"/>
  <c r="L44" i="14"/>
  <c r="L44" i="11"/>
  <c r="L44" i="8"/>
  <c r="J51" i="15"/>
  <c r="J51" i="18"/>
  <c r="J51" i="9"/>
  <c r="J51" i="13"/>
  <c r="J51" i="14"/>
  <c r="J51" i="17"/>
  <c r="J51" i="8"/>
  <c r="J51" i="11"/>
  <c r="J51" i="19"/>
  <c r="J51" i="16"/>
  <c r="J51" i="12"/>
  <c r="J51" i="10"/>
  <c r="M13" i="15"/>
  <c r="M13" i="17"/>
  <c r="M13" i="10"/>
  <c r="M13" i="16"/>
  <c r="M13" i="13"/>
  <c r="M13" i="14"/>
  <c r="M13" i="8"/>
  <c r="M13" i="12"/>
  <c r="M13" i="18"/>
  <c r="M13" i="19"/>
  <c r="M13" i="9"/>
  <c r="M13" i="11"/>
  <c r="W37" i="13"/>
  <c r="W37" i="18"/>
  <c r="W37" i="8"/>
  <c r="W37" i="11"/>
  <c r="W37" i="14"/>
  <c r="W37" i="17"/>
  <c r="W37" i="15"/>
  <c r="W37" i="10"/>
  <c r="W37" i="19"/>
  <c r="W37" i="16"/>
  <c r="W37" i="12"/>
  <c r="W37" i="9"/>
  <c r="P54" i="14"/>
  <c r="P54" i="12"/>
  <c r="P54" i="8"/>
  <c r="P54" i="17"/>
  <c r="P54" i="13"/>
  <c r="P54" i="10"/>
  <c r="P54" i="18"/>
  <c r="P54" i="15"/>
  <c r="P54" i="11"/>
  <c r="P54" i="9"/>
  <c r="P54" i="19"/>
  <c r="P54" i="16"/>
  <c r="L33" i="18"/>
  <c r="L33" i="15"/>
  <c r="L33" i="13"/>
  <c r="L33" i="10"/>
  <c r="L33" i="19"/>
  <c r="L33" i="16"/>
  <c r="L33" i="12"/>
  <c r="L33" i="9"/>
  <c r="L33" i="17"/>
  <c r="L33" i="14"/>
  <c r="L33" i="11"/>
  <c r="L33" i="8"/>
  <c r="R8" i="19"/>
  <c r="R8" i="15"/>
  <c r="R8" i="14"/>
  <c r="R8" i="11"/>
  <c r="R8" i="18"/>
  <c r="R8" i="13"/>
  <c r="R8" i="12"/>
  <c r="R8" i="9"/>
  <c r="R8" i="17"/>
  <c r="R8" i="16"/>
  <c r="R8" i="10"/>
  <c r="R8" i="8"/>
  <c r="P8" i="15"/>
  <c r="P8" i="19"/>
  <c r="P8" i="8"/>
  <c r="P8" i="11"/>
  <c r="P8" i="14"/>
  <c r="P8" i="17"/>
  <c r="P8" i="9"/>
  <c r="P8" i="13"/>
  <c r="P8" i="18"/>
  <c r="P8" i="16"/>
  <c r="P8" i="12"/>
  <c r="P8" i="10"/>
  <c r="I25" i="15"/>
  <c r="I25" i="17"/>
  <c r="I25" i="10"/>
  <c r="I25" i="9"/>
  <c r="I25" i="18"/>
  <c r="I25" i="16"/>
  <c r="I25" i="12"/>
  <c r="I25" i="8"/>
  <c r="I25" i="19"/>
  <c r="I25" i="14"/>
  <c r="I25" i="11"/>
  <c r="I25" i="13"/>
  <c r="N56" i="18"/>
  <c r="N56" i="16"/>
  <c r="N56" i="13"/>
  <c r="N56" i="11"/>
  <c r="N56" i="19"/>
  <c r="N56" i="15"/>
  <c r="N56" i="10"/>
  <c r="N56" i="8"/>
  <c r="N56" i="17"/>
  <c r="N56" i="14"/>
  <c r="N56" i="12"/>
  <c r="N56" i="9"/>
  <c r="S32" i="17"/>
  <c r="S32" i="16"/>
  <c r="S32" i="13"/>
  <c r="S32" i="9"/>
  <c r="S32" i="19"/>
  <c r="S32" i="14"/>
  <c r="S32" i="12"/>
  <c r="S32" i="8"/>
  <c r="S32" i="18"/>
  <c r="S32" i="15"/>
  <c r="S32" i="11"/>
  <c r="S32" i="10"/>
  <c r="M22" i="19"/>
  <c r="M22" i="16"/>
  <c r="M22" i="12"/>
  <c r="M22" i="9"/>
  <c r="M22" i="18"/>
  <c r="M22" i="14"/>
  <c r="M22" i="13"/>
  <c r="M22" i="8"/>
  <c r="M22" i="17"/>
  <c r="M22" i="15"/>
  <c r="M22" i="11"/>
  <c r="M22" i="10"/>
  <c r="T47" i="19"/>
  <c r="T47" i="12"/>
  <c r="T47" i="15"/>
  <c r="T47" i="10"/>
  <c r="T47" i="18"/>
  <c r="T47" i="16"/>
  <c r="T47" i="11"/>
  <c r="T47" i="9"/>
  <c r="T47" i="17"/>
  <c r="T47" i="14"/>
  <c r="T47" i="13"/>
  <c r="T47" i="8"/>
  <c r="T50" i="14"/>
  <c r="T50" i="18"/>
  <c r="T50" i="8"/>
  <c r="T50" i="13"/>
  <c r="T50" i="15"/>
  <c r="T50" i="17"/>
  <c r="T50" i="9"/>
  <c r="T50" i="11"/>
  <c r="T50" i="19"/>
  <c r="T50" i="16"/>
  <c r="T50" i="12"/>
  <c r="T50" i="10"/>
  <c r="R44" i="14"/>
  <c r="R44" i="10"/>
  <c r="R44" i="9"/>
  <c r="R44" i="19"/>
  <c r="R44" i="18"/>
  <c r="R44" i="12"/>
  <c r="R44" i="11"/>
  <c r="R44" i="17"/>
  <c r="R44" i="16"/>
  <c r="R44" i="8"/>
  <c r="R44" i="13"/>
  <c r="R44" i="15"/>
  <c r="X35" i="18"/>
  <c r="X35" i="17"/>
  <c r="X35" i="10"/>
  <c r="X35" i="12"/>
  <c r="X35" i="15"/>
  <c r="X35" i="16"/>
  <c r="X35" i="11"/>
  <c r="X35" i="9"/>
  <c r="X35" i="19"/>
  <c r="X35" i="13"/>
  <c r="X35" i="14"/>
  <c r="X35" i="8"/>
  <c r="R21" i="19"/>
  <c r="R21" i="16"/>
  <c r="R21" i="14"/>
  <c r="R21" i="12"/>
  <c r="R21" i="18"/>
  <c r="R21" i="13"/>
  <c r="R21" i="9"/>
  <c r="R21" i="8"/>
  <c r="R21" i="10"/>
  <c r="R21" i="17"/>
  <c r="R21" i="11"/>
  <c r="R21" i="15"/>
  <c r="L48" i="11"/>
  <c r="L48" i="10"/>
  <c r="L48" i="19"/>
  <c r="L48" i="15"/>
  <c r="L48" i="12"/>
  <c r="L48" i="9"/>
  <c r="L48" i="17"/>
  <c r="L48" i="14"/>
  <c r="L48" i="13"/>
  <c r="L48" i="8"/>
  <c r="L48" i="18"/>
  <c r="L48" i="16"/>
  <c r="R51" i="14"/>
  <c r="R51" i="10"/>
  <c r="R51" i="18"/>
  <c r="R51" i="15"/>
  <c r="R51" i="12"/>
  <c r="R51" i="8"/>
  <c r="R51" i="17"/>
  <c r="R51" i="16"/>
  <c r="R51" i="11"/>
  <c r="R51" i="9"/>
  <c r="R51" i="13"/>
  <c r="R51" i="19"/>
  <c r="Y24" i="13"/>
  <c r="Y24" i="10"/>
  <c r="Y24" i="19"/>
  <c r="Y24" i="16"/>
  <c r="Y24" i="11"/>
  <c r="Y24" i="9"/>
  <c r="Y24" i="17"/>
  <c r="Y24" i="14"/>
  <c r="Y24" i="12"/>
  <c r="Y24" i="8"/>
  <c r="Y24" i="18"/>
  <c r="Y24" i="15"/>
  <c r="V48" i="14"/>
  <c r="V48" i="10"/>
  <c r="V48" i="18"/>
  <c r="V48" i="13"/>
  <c r="V48" i="12"/>
  <c r="V48" i="8"/>
  <c r="V48" i="17"/>
  <c r="V48" i="15"/>
  <c r="V48" i="11"/>
  <c r="V48" i="9"/>
  <c r="V48" i="16"/>
  <c r="V48" i="19"/>
  <c r="S40" i="10"/>
  <c r="S40" i="11"/>
  <c r="S40" i="14"/>
  <c r="S40" i="17"/>
  <c r="S40" i="13"/>
  <c r="S40" i="9"/>
  <c r="S40" i="18"/>
  <c r="S40" i="16"/>
  <c r="S40" i="12"/>
  <c r="S40" i="8"/>
  <c r="S40" i="19"/>
  <c r="S40" i="15"/>
  <c r="W5" i="9"/>
  <c r="W5" i="11"/>
  <c r="W5" i="14"/>
  <c r="W5" i="17"/>
  <c r="W5" i="13"/>
  <c r="W5" i="10"/>
  <c r="W5" i="19"/>
  <c r="W5" i="15"/>
  <c r="W5" i="12"/>
  <c r="W5" i="8"/>
  <c r="W5" i="18"/>
  <c r="W5" i="16"/>
  <c r="W36" i="14"/>
  <c r="W36" i="10"/>
  <c r="W36" i="18"/>
  <c r="W36" i="12"/>
  <c r="W36" i="11"/>
  <c r="W36" i="9"/>
  <c r="W36" i="17"/>
  <c r="W36" i="15"/>
  <c r="W36" i="13"/>
  <c r="W36" i="8"/>
  <c r="W36" i="19"/>
  <c r="W36" i="16"/>
  <c r="I30" i="13"/>
  <c r="I30" i="10"/>
  <c r="I30" i="19"/>
  <c r="I30" i="15"/>
  <c r="I30" i="12"/>
  <c r="I30" i="8"/>
  <c r="I30" i="16"/>
  <c r="I30" i="14"/>
  <c r="I30" i="11"/>
  <c r="I30" i="9"/>
  <c r="I30" i="18"/>
  <c r="I30" i="17"/>
  <c r="K56" i="13"/>
  <c r="K56" i="8"/>
  <c r="K56" i="16"/>
  <c r="K56" i="15"/>
  <c r="K56" i="12"/>
  <c r="K56" i="9"/>
  <c r="K56" i="18"/>
  <c r="K56" i="14"/>
  <c r="K56" i="11"/>
  <c r="K56" i="10"/>
  <c r="K56" i="19"/>
  <c r="K56" i="17"/>
  <c r="Q10" i="10"/>
  <c r="Q10" i="9"/>
  <c r="Q10" i="18"/>
  <c r="Q10" i="15"/>
  <c r="Q10" i="13"/>
  <c r="Q10" i="11"/>
  <c r="Q10" i="17"/>
  <c r="Q10" i="16"/>
  <c r="Q10" i="12"/>
  <c r="Q10" i="8"/>
  <c r="Q10" i="14"/>
  <c r="Q10" i="19"/>
  <c r="V35" i="13"/>
  <c r="V35" i="8"/>
  <c r="V35" i="19"/>
  <c r="V35" i="14"/>
  <c r="V35" i="12"/>
  <c r="V35" i="10"/>
  <c r="V35" i="18"/>
  <c r="V35" i="15"/>
  <c r="V35" i="11"/>
  <c r="V35" i="9"/>
  <c r="V35" i="17"/>
  <c r="V35" i="16"/>
  <c r="L41" i="14"/>
  <c r="L41" i="10"/>
  <c r="L41" i="18"/>
  <c r="L41" i="12"/>
  <c r="L41" i="11"/>
  <c r="L41" i="9"/>
  <c r="L41" i="17"/>
  <c r="L41" i="15"/>
  <c r="L41" i="13"/>
  <c r="L41" i="8"/>
  <c r="L41" i="19"/>
  <c r="L41" i="16"/>
  <c r="X55" i="14"/>
  <c r="X55" i="10"/>
  <c r="X55" i="17"/>
  <c r="X55" i="12"/>
  <c r="X55" i="11"/>
  <c r="X55" i="9"/>
  <c r="X55" i="16"/>
  <c r="X55" i="15"/>
  <c r="X55" i="13"/>
  <c r="X55" i="8"/>
  <c r="X55" i="19"/>
  <c r="X55" i="18"/>
  <c r="X53" i="8"/>
  <c r="X53" i="12"/>
  <c r="X53" i="16"/>
  <c r="X53" i="17"/>
  <c r="X53" i="10"/>
  <c r="X53" i="9"/>
  <c r="X53" i="19"/>
  <c r="X53" i="14"/>
  <c r="X53" i="15"/>
  <c r="X53" i="11"/>
  <c r="X53" i="13"/>
  <c r="X53" i="18"/>
  <c r="V25" i="10"/>
  <c r="V25" i="18"/>
  <c r="V25" i="13"/>
  <c r="V25" i="9"/>
  <c r="V25" i="8"/>
  <c r="V25" i="17"/>
  <c r="V25" i="12"/>
  <c r="V25" i="15"/>
  <c r="V25" i="19"/>
  <c r="V25" i="14"/>
  <c r="V25" i="16"/>
  <c r="V25" i="11"/>
  <c r="Y30" i="11"/>
  <c r="Y30" i="9"/>
  <c r="Y30" i="19"/>
  <c r="Y30" i="14"/>
  <c r="Y30" i="13"/>
  <c r="Y30" i="8"/>
  <c r="Y30" i="17"/>
  <c r="Y30" i="15"/>
  <c r="Y30" i="12"/>
  <c r="Y30" i="10"/>
  <c r="Y30" i="16"/>
  <c r="Y30" i="18"/>
  <c r="I38" i="10"/>
  <c r="I38" i="13"/>
  <c r="I38" i="18"/>
  <c r="I38" i="19"/>
  <c r="I38" i="11"/>
  <c r="I38" i="12"/>
  <c r="I38" i="14"/>
  <c r="I38" i="17"/>
  <c r="I38" i="9"/>
  <c r="I38" i="8"/>
  <c r="I38" i="16"/>
  <c r="I38" i="15"/>
  <c r="U24" i="14"/>
  <c r="U24" i="12"/>
  <c r="U24" i="18"/>
  <c r="U24" i="13"/>
  <c r="U24" i="9"/>
  <c r="U24" i="10"/>
  <c r="U24" i="16"/>
  <c r="U24" i="15"/>
  <c r="U24" i="11"/>
  <c r="U24" i="8"/>
  <c r="U24" i="19"/>
  <c r="U24" i="17"/>
  <c r="O38" i="12"/>
  <c r="O38" i="11"/>
  <c r="O38" i="19"/>
  <c r="O38" i="16"/>
  <c r="O38" i="10"/>
  <c r="O38" i="9"/>
  <c r="O38" i="15"/>
  <c r="O38" i="14"/>
  <c r="O38" i="13"/>
  <c r="O38" i="8"/>
  <c r="O38" i="17"/>
  <c r="O38" i="18"/>
  <c r="X33" i="13"/>
  <c r="X33" i="8"/>
  <c r="X33" i="16"/>
  <c r="X33" i="15"/>
  <c r="X33" i="11"/>
  <c r="X33" i="9"/>
  <c r="X33" i="18"/>
  <c r="X33" i="14"/>
  <c r="X33" i="12"/>
  <c r="X33" i="10"/>
  <c r="X33" i="19"/>
  <c r="X33" i="17"/>
  <c r="V19" i="12"/>
  <c r="V19" i="11"/>
  <c r="V19" i="19"/>
  <c r="V19" i="16"/>
  <c r="V19" i="10"/>
  <c r="V19" i="9"/>
  <c r="V19" i="15"/>
  <c r="V19" i="14"/>
  <c r="V19" i="13"/>
  <c r="V19" i="8"/>
  <c r="V19" i="18"/>
  <c r="V19" i="17"/>
  <c r="Y33" i="15"/>
  <c r="Y33" i="9"/>
  <c r="Y33" i="18"/>
  <c r="Y33" i="14"/>
  <c r="Y33" i="11"/>
  <c r="Y33" i="10"/>
  <c r="Y33" i="17"/>
  <c r="Y33" i="16"/>
  <c r="Y33" i="13"/>
  <c r="Y33" i="8"/>
  <c r="Y33" i="19"/>
  <c r="Y33" i="12"/>
  <c r="K55" i="12"/>
  <c r="K55" i="10"/>
  <c r="K55" i="18"/>
  <c r="K55" i="15"/>
  <c r="K55" i="13"/>
  <c r="K55" i="9"/>
  <c r="K55" i="11"/>
  <c r="K55" i="8"/>
  <c r="K55" i="19"/>
  <c r="K55" i="17"/>
  <c r="K55" i="16"/>
  <c r="K55" i="14"/>
  <c r="U45" i="15"/>
  <c r="U45" i="9"/>
  <c r="U45" i="18"/>
  <c r="U45" i="14"/>
  <c r="U45" i="11"/>
  <c r="U45" i="10"/>
  <c r="U45" i="13"/>
  <c r="U45" i="8"/>
  <c r="U45" i="19"/>
  <c r="U45" i="17"/>
  <c r="U45" i="12"/>
  <c r="U45" i="16"/>
  <c r="N22" i="18"/>
  <c r="N22" i="15"/>
  <c r="N22" i="12"/>
  <c r="N22" i="10"/>
  <c r="N22" i="17"/>
  <c r="N22" i="16"/>
  <c r="N22" i="13"/>
  <c r="N22" i="9"/>
  <c r="N22" i="19"/>
  <c r="N22" i="14"/>
  <c r="N22" i="11"/>
  <c r="N22" i="8"/>
  <c r="J36" i="17"/>
  <c r="J36" i="16"/>
  <c r="J36" i="13"/>
  <c r="J36" i="8"/>
  <c r="J36" i="19"/>
  <c r="J36" i="15"/>
  <c r="J36" i="12"/>
  <c r="J36" i="11"/>
  <c r="J36" i="18"/>
  <c r="J36" i="14"/>
  <c r="J36" i="10"/>
  <c r="J36" i="9"/>
  <c r="Y9" i="19"/>
  <c r="Y9" i="16"/>
  <c r="Y9" i="12"/>
  <c r="Y9" i="9"/>
  <c r="Y9" i="15"/>
  <c r="Y9" i="18"/>
  <c r="Y9" i="8"/>
  <c r="Y9" i="13"/>
  <c r="Y9" i="14"/>
  <c r="Y9" i="17"/>
  <c r="Y9" i="11"/>
  <c r="Y9" i="10"/>
  <c r="W42" i="18"/>
  <c r="W42" i="19"/>
  <c r="W42" i="9"/>
  <c r="W42" i="11"/>
  <c r="W42" i="13"/>
  <c r="W42" i="17"/>
  <c r="W42" i="10"/>
  <c r="W42" i="14"/>
  <c r="W42" i="16"/>
  <c r="W42" i="15"/>
  <c r="W42" i="8"/>
  <c r="W42" i="12"/>
  <c r="V31" i="18"/>
  <c r="V31" i="16"/>
  <c r="V31" i="11"/>
  <c r="V31" i="8"/>
  <c r="V31" i="19"/>
  <c r="V31" i="12"/>
  <c r="V31" i="15"/>
  <c r="V31" i="10"/>
  <c r="V31" i="17"/>
  <c r="V31" i="14"/>
  <c r="V31" i="13"/>
  <c r="V31" i="9"/>
  <c r="M11" i="16"/>
  <c r="M11" i="14"/>
  <c r="M11" i="12"/>
  <c r="M11" i="9"/>
  <c r="M11" i="19"/>
  <c r="M11" i="17"/>
  <c r="M11" i="13"/>
  <c r="M11" i="8"/>
  <c r="M11" i="18"/>
  <c r="M11" i="15"/>
  <c r="M11" i="11"/>
  <c r="M11" i="10"/>
  <c r="W22" i="18"/>
  <c r="W22" i="14"/>
  <c r="W22" i="12"/>
  <c r="W22" i="9"/>
  <c r="W22" i="19"/>
  <c r="W22" i="17"/>
  <c r="W22" i="13"/>
  <c r="W22" i="8"/>
  <c r="W22" i="16"/>
  <c r="W22" i="15"/>
  <c r="W22" i="11"/>
  <c r="W22" i="10"/>
  <c r="Q44" i="19"/>
  <c r="Q44" i="16"/>
  <c r="Q44" i="15"/>
  <c r="Q44" i="9"/>
  <c r="Q44" i="12"/>
  <c r="Q44" i="17"/>
  <c r="Q44" i="10"/>
  <c r="Q44" i="11"/>
  <c r="Q44" i="14"/>
  <c r="Q44" i="18"/>
  <c r="Q44" i="13"/>
  <c r="Q44" i="8"/>
  <c r="N42" i="18"/>
  <c r="N42" i="19"/>
  <c r="N42" i="9"/>
  <c r="N42" i="11"/>
  <c r="N42" i="13"/>
  <c r="N42" i="17"/>
  <c r="N42" i="10"/>
  <c r="N42" i="15"/>
  <c r="N42" i="16"/>
  <c r="N42" i="14"/>
  <c r="N42" i="12"/>
  <c r="N42" i="8"/>
  <c r="N37" i="19"/>
  <c r="N37" i="14"/>
  <c r="N37" i="13"/>
  <c r="N37" i="8"/>
  <c r="N37" i="15"/>
  <c r="N37" i="18"/>
  <c r="N37" i="9"/>
  <c r="N37" i="11"/>
  <c r="N37" i="16"/>
  <c r="N37" i="17"/>
  <c r="N37" i="12"/>
  <c r="N37" i="10"/>
  <c r="S54" i="19"/>
  <c r="S54" i="15"/>
  <c r="S54" i="12"/>
  <c r="S54" i="9"/>
  <c r="S54" i="13"/>
  <c r="S54" i="18"/>
  <c r="S54" i="10"/>
  <c r="S54" i="8"/>
  <c r="S54" i="14"/>
  <c r="S54" i="17"/>
  <c r="S54" i="11"/>
  <c r="S54" i="16"/>
  <c r="X22" i="19"/>
  <c r="X22" i="16"/>
  <c r="X22" i="17"/>
  <c r="X22" i="11"/>
  <c r="X22" i="9"/>
  <c r="X22" i="18"/>
  <c r="X22" i="14"/>
  <c r="X22" i="12"/>
  <c r="X22" i="15"/>
  <c r="X22" i="8"/>
  <c r="X22" i="10"/>
  <c r="X22" i="13"/>
  <c r="U9" i="18"/>
  <c r="U9" i="19"/>
  <c r="U9" i="15"/>
  <c r="U9" i="16"/>
  <c r="U9" i="14"/>
  <c r="U9" i="10"/>
  <c r="U9" i="11"/>
  <c r="U9" i="9"/>
  <c r="U9" i="17"/>
  <c r="U9" i="12"/>
  <c r="U9" i="13"/>
  <c r="U9" i="8"/>
  <c r="U44" i="14"/>
  <c r="U44" i="18"/>
  <c r="U44" i="19"/>
  <c r="U44" i="17"/>
  <c r="U44" i="13"/>
  <c r="U44" i="8"/>
  <c r="U44" i="12"/>
  <c r="U44" i="10"/>
  <c r="U44" i="16"/>
  <c r="U44" i="15"/>
  <c r="U44" i="11"/>
  <c r="U44" i="9"/>
  <c r="R19" i="14"/>
  <c r="R19" i="17"/>
  <c r="R19" i="15"/>
  <c r="R19" i="12"/>
  <c r="R19" i="8"/>
  <c r="R19" i="19"/>
  <c r="R19" i="16"/>
  <c r="R19" i="13"/>
  <c r="R19" i="10"/>
  <c r="R19" i="11"/>
  <c r="R19" i="9"/>
  <c r="R19" i="18"/>
  <c r="P14" i="13"/>
  <c r="P14" i="18"/>
  <c r="P14" i="19"/>
  <c r="P14" i="16"/>
  <c r="P14" i="14"/>
  <c r="P14" i="8"/>
  <c r="P14" i="12"/>
  <c r="P14" i="11"/>
  <c r="P14" i="17"/>
  <c r="P14" i="15"/>
  <c r="P14" i="10"/>
  <c r="P14" i="9"/>
  <c r="R28" i="15"/>
  <c r="R28" i="19"/>
  <c r="R28" i="16"/>
  <c r="R28" i="8"/>
  <c r="R28" i="14"/>
  <c r="R28" i="12"/>
  <c r="R28" i="18"/>
  <c r="R28" i="10"/>
  <c r="R28" i="11"/>
  <c r="R28" i="9"/>
  <c r="R28" i="13"/>
  <c r="R28" i="17"/>
  <c r="T3" i="15"/>
  <c r="T3" i="19"/>
  <c r="T3" i="12"/>
  <c r="T3" i="10"/>
  <c r="T3" i="9"/>
  <c r="T3" i="17"/>
  <c r="T3" i="14"/>
  <c r="T3" i="11"/>
  <c r="T3" i="8"/>
  <c r="T3" i="16"/>
  <c r="T3" i="18"/>
  <c r="T3" i="13"/>
  <c r="O40" i="19"/>
  <c r="O40" i="12"/>
  <c r="O40" i="18"/>
  <c r="O40" i="16"/>
  <c r="O40" i="10"/>
  <c r="O40" i="14"/>
  <c r="O40" i="17"/>
  <c r="O40" i="9"/>
  <c r="O40" i="11"/>
  <c r="O40" i="8"/>
  <c r="O40" i="13"/>
  <c r="O40" i="15"/>
  <c r="Y38" i="15"/>
  <c r="Y38" i="16"/>
  <c r="Y38" i="17"/>
  <c r="Y38" i="10"/>
  <c r="Y38" i="12"/>
  <c r="Y38" i="19"/>
  <c r="Y38" i="18"/>
  <c r="Y38" i="9"/>
  <c r="Y38" i="11"/>
  <c r="Y38" i="8"/>
  <c r="Y38" i="13"/>
  <c r="Y38" i="14"/>
  <c r="K33" i="16"/>
  <c r="K33" i="19"/>
  <c r="K33" i="15"/>
  <c r="K33" i="17"/>
  <c r="K33" i="14"/>
  <c r="K33" i="12"/>
  <c r="K33" i="11"/>
  <c r="K33" i="8"/>
  <c r="K33" i="18"/>
  <c r="K33" i="13"/>
  <c r="K33" i="10"/>
  <c r="K33" i="9"/>
  <c r="M16" i="19"/>
  <c r="M16" i="12"/>
  <c r="M16" i="16"/>
  <c r="M16" i="17"/>
  <c r="M16" i="9"/>
  <c r="M16" i="13"/>
  <c r="M16" i="8"/>
  <c r="M16" i="11"/>
  <c r="M16" i="15"/>
  <c r="M16" i="18"/>
  <c r="M16" i="14"/>
  <c r="M16" i="10"/>
  <c r="U51" i="16"/>
  <c r="U51" i="12"/>
  <c r="U51" i="14"/>
  <c r="U51" i="18"/>
  <c r="U51" i="9"/>
  <c r="U51" i="13"/>
  <c r="U51" i="15"/>
  <c r="U51" i="10"/>
  <c r="U51" i="8"/>
  <c r="U51" i="19"/>
  <c r="U51" i="11"/>
  <c r="U51" i="17"/>
  <c r="P13" i="13"/>
  <c r="P13" i="18"/>
  <c r="P13" i="10"/>
  <c r="P13" i="8"/>
  <c r="P13" i="9"/>
  <c r="P13" i="17"/>
  <c r="P13" i="15"/>
  <c r="P13" i="11"/>
  <c r="P13" i="12"/>
  <c r="P13" i="19"/>
  <c r="P13" i="16"/>
  <c r="P13" i="14"/>
  <c r="S11" i="11"/>
  <c r="S11" i="9"/>
  <c r="S11" i="13"/>
  <c r="S11" i="14"/>
  <c r="S11" i="18"/>
  <c r="S11" i="12"/>
  <c r="S11" i="15"/>
  <c r="S11" i="16"/>
  <c r="S11" i="10"/>
  <c r="S11" i="17"/>
  <c r="S11" i="19"/>
  <c r="S11" i="8"/>
  <c r="M17" i="15"/>
  <c r="M17" i="17"/>
  <c r="M17" i="13"/>
  <c r="M17" i="9"/>
  <c r="M17" i="19"/>
  <c r="M17" i="16"/>
  <c r="M17" i="14"/>
  <c r="M17" i="12"/>
  <c r="M17" i="10"/>
  <c r="M17" i="18"/>
  <c r="M17" i="8"/>
  <c r="M17" i="11"/>
  <c r="X30" i="9"/>
  <c r="X30" i="12"/>
  <c r="X30" i="14"/>
  <c r="X30" i="17"/>
  <c r="X30" i="8"/>
  <c r="X30" i="11"/>
  <c r="X30" i="15"/>
  <c r="X30" i="18"/>
  <c r="X30" i="10"/>
  <c r="X30" i="13"/>
  <c r="X30" i="19"/>
  <c r="X30" i="16"/>
  <c r="K22" i="10"/>
  <c r="K22" i="11"/>
  <c r="K22" i="15"/>
  <c r="K22" i="18"/>
  <c r="K22" i="9"/>
  <c r="K22" i="12"/>
  <c r="K22" i="17"/>
  <c r="K22" i="19"/>
  <c r="K22" i="8"/>
  <c r="K22" i="13"/>
  <c r="K22" i="14"/>
  <c r="K22" i="16"/>
  <c r="I26" i="10"/>
  <c r="I26" i="12"/>
  <c r="I26" i="15"/>
  <c r="I26" i="17"/>
  <c r="I26" i="9"/>
  <c r="I26" i="8"/>
  <c r="I26" i="16"/>
  <c r="I26" i="19"/>
  <c r="I26" i="11"/>
  <c r="I26" i="14"/>
  <c r="I26" i="13"/>
  <c r="I26" i="18"/>
  <c r="O48" i="11"/>
  <c r="O48" i="14"/>
  <c r="O48" i="19"/>
  <c r="O48" i="15"/>
  <c r="O48" i="10"/>
  <c r="O48" i="12"/>
  <c r="O48" i="13"/>
  <c r="O48" i="18"/>
  <c r="O48" i="8"/>
  <c r="O48" i="9"/>
  <c r="O48" i="16"/>
  <c r="O48" i="17"/>
  <c r="T32" i="10"/>
  <c r="T32" i="9"/>
  <c r="T32" i="19"/>
  <c r="T32" i="15"/>
  <c r="T32" i="13"/>
  <c r="T32" i="8"/>
  <c r="T32" i="17"/>
  <c r="T32" i="18"/>
  <c r="T32" i="12"/>
  <c r="T32" i="11"/>
  <c r="T32" i="16"/>
  <c r="T32" i="14"/>
  <c r="K50" i="12"/>
  <c r="K50" i="19"/>
  <c r="K50" i="15"/>
  <c r="K50" i="10"/>
  <c r="K50" i="8"/>
  <c r="K50" i="13"/>
  <c r="K50" i="16"/>
  <c r="K50" i="18"/>
  <c r="K50" i="14"/>
  <c r="K50" i="9"/>
  <c r="K50" i="11"/>
  <c r="K50" i="17"/>
  <c r="I45" i="19"/>
  <c r="I45" i="16"/>
  <c r="I45" i="15"/>
  <c r="I45" i="12"/>
  <c r="I45" i="9"/>
  <c r="I45" i="17"/>
  <c r="I45" i="14"/>
  <c r="I45" i="13"/>
  <c r="I45" i="18"/>
  <c r="I45" i="10"/>
  <c r="I45" i="8"/>
  <c r="I45" i="11"/>
  <c r="W45" i="11"/>
  <c r="W45" i="12"/>
  <c r="W45" i="16"/>
  <c r="W45" i="15"/>
  <c r="W45" i="9"/>
  <c r="W45" i="8"/>
  <c r="W45" i="13"/>
  <c r="W45" i="19"/>
  <c r="W45" i="17"/>
  <c r="W45" i="10"/>
  <c r="W45" i="14"/>
  <c r="W45" i="18"/>
  <c r="O51" i="14"/>
  <c r="O51" i="19"/>
  <c r="O51" i="9"/>
  <c r="O51" i="12"/>
  <c r="O51" i="15"/>
  <c r="O51" i="17"/>
  <c r="O51" i="16"/>
  <c r="O51" i="13"/>
  <c r="O51" i="10"/>
  <c r="O51" i="8"/>
  <c r="O51" i="18"/>
  <c r="O51" i="11"/>
  <c r="S28" i="16"/>
  <c r="S28" i="19"/>
  <c r="S28" i="10"/>
  <c r="S28" i="14"/>
  <c r="S28" i="18"/>
  <c r="S28" i="12"/>
  <c r="S28" i="17"/>
  <c r="S28" i="13"/>
  <c r="S28" i="11"/>
  <c r="S28" i="8"/>
  <c r="S28" i="15"/>
  <c r="S28" i="9"/>
  <c r="V36" i="16"/>
  <c r="V36" i="17"/>
  <c r="V36" i="11"/>
  <c r="V36" i="8"/>
  <c r="V36" i="18"/>
  <c r="V36" i="13"/>
  <c r="V36" i="14"/>
  <c r="V36" i="10"/>
  <c r="V36" i="12"/>
  <c r="V36" i="19"/>
  <c r="V36" i="9"/>
  <c r="V36" i="15"/>
  <c r="Q35" i="16"/>
  <c r="Q35" i="13"/>
  <c r="Q35" i="10"/>
  <c r="Q35" i="12"/>
  <c r="Q35" i="15"/>
  <c r="Q35" i="18"/>
  <c r="Q35" i="9"/>
  <c r="Q35" i="19"/>
  <c r="Q35" i="17"/>
  <c r="Q35" i="8"/>
  <c r="Q35" i="11"/>
  <c r="Q35" i="14"/>
  <c r="T40" i="17"/>
  <c r="T40" i="16"/>
  <c r="T40" i="12"/>
  <c r="T40" i="14"/>
  <c r="T40" i="19"/>
  <c r="T40" i="11"/>
  <c r="T40" i="10"/>
  <c r="T40" i="9"/>
  <c r="T40" i="13"/>
  <c r="T40" i="15"/>
  <c r="T40" i="18"/>
  <c r="T40" i="8"/>
  <c r="X40" i="17"/>
  <c r="X40" i="14"/>
  <c r="X40" i="13"/>
  <c r="X40" i="16"/>
  <c r="X40" i="19"/>
  <c r="X40" i="8"/>
  <c r="X40" i="11"/>
  <c r="X40" i="15"/>
  <c r="X40" i="18"/>
  <c r="X40" i="12"/>
  <c r="X40" i="9"/>
  <c r="X40" i="10"/>
  <c r="V38" i="17"/>
  <c r="V38" i="15"/>
  <c r="V38" i="11"/>
  <c r="V38" i="14"/>
  <c r="V38" i="19"/>
  <c r="V38" i="13"/>
  <c r="V38" i="10"/>
  <c r="V38" i="9"/>
  <c r="V38" i="12"/>
  <c r="V38" i="16"/>
  <c r="V38" i="18"/>
  <c r="V38" i="8"/>
  <c r="S23" i="15"/>
  <c r="S23" i="17"/>
  <c r="S23" i="13"/>
  <c r="S23" i="11"/>
  <c r="S23" i="8"/>
  <c r="S23" i="18"/>
  <c r="S23" i="19"/>
  <c r="S23" i="10"/>
  <c r="S23" i="12"/>
  <c r="S23" i="14"/>
  <c r="S23" i="16"/>
  <c r="S23" i="9"/>
  <c r="U38" i="15"/>
  <c r="U38" i="13"/>
  <c r="U38" i="10"/>
  <c r="U38" i="11"/>
  <c r="U38" i="9"/>
  <c r="U38" i="8"/>
  <c r="U38" i="18"/>
  <c r="U38" i="19"/>
  <c r="U38" i="12"/>
  <c r="U38" i="16"/>
  <c r="U38" i="14"/>
  <c r="U38" i="17"/>
  <c r="T8" i="18"/>
  <c r="T8" i="19"/>
  <c r="T8" i="8"/>
  <c r="T8" i="16"/>
  <c r="T8" i="15"/>
  <c r="T8" i="11"/>
  <c r="T8" i="10"/>
  <c r="T8" i="17"/>
  <c r="T8" i="14"/>
  <c r="T8" i="12"/>
  <c r="T8" i="9"/>
  <c r="T8" i="13"/>
  <c r="I10" i="15"/>
  <c r="I10" i="19"/>
  <c r="I10" i="9"/>
  <c r="I10" i="17"/>
  <c r="I10" i="16"/>
  <c r="I10" i="8"/>
  <c r="I10" i="12"/>
  <c r="I10" i="14"/>
  <c r="I10" i="13"/>
  <c r="I10" i="10"/>
  <c r="I10" i="18"/>
  <c r="I10" i="11"/>
  <c r="K26" i="12"/>
  <c r="K26" i="19"/>
  <c r="K26" i="8"/>
  <c r="K26" i="16"/>
  <c r="K26" i="17"/>
  <c r="K26" i="14"/>
  <c r="K26" i="13"/>
  <c r="K26" i="11"/>
  <c r="K26" i="9"/>
  <c r="K26" i="18"/>
  <c r="K26" i="15"/>
  <c r="K26" i="10"/>
  <c r="P35" i="14"/>
  <c r="P35" i="17"/>
  <c r="P35" i="11"/>
  <c r="P35" i="16"/>
  <c r="P35" i="18"/>
  <c r="P35" i="8"/>
  <c r="P35" i="12"/>
  <c r="P35" i="9"/>
  <c r="P35" i="13"/>
  <c r="P35" i="15"/>
  <c r="P35" i="19"/>
  <c r="P35" i="10"/>
  <c r="O4" i="19"/>
  <c r="O4" i="15"/>
  <c r="O4" i="13"/>
  <c r="O4" i="17"/>
  <c r="O4" i="16"/>
  <c r="O4" i="11"/>
  <c r="O4" i="8"/>
  <c r="O4" i="10"/>
  <c r="O4" i="12"/>
  <c r="O4" i="14"/>
  <c r="O4" i="18"/>
  <c r="O4" i="9"/>
  <c r="M36" i="13"/>
  <c r="M36" i="8"/>
  <c r="M36" i="16"/>
  <c r="M36" i="12"/>
  <c r="M36" i="15"/>
  <c r="M36" i="17"/>
  <c r="M36" i="10"/>
  <c r="M36" i="18"/>
  <c r="M36" i="19"/>
  <c r="M36" i="9"/>
  <c r="M36" i="11"/>
  <c r="M36" i="14"/>
  <c r="L51" i="18"/>
  <c r="L51" i="15"/>
  <c r="L51" i="14"/>
  <c r="L51" i="8"/>
  <c r="L51" i="10"/>
  <c r="L51" i="11"/>
  <c r="L51" i="12"/>
  <c r="L51" i="19"/>
  <c r="L51" i="16"/>
  <c r="L51" i="13"/>
  <c r="L51" i="9"/>
  <c r="L51" i="17"/>
  <c r="Y28" i="17"/>
  <c r="Y28" i="19"/>
  <c r="Y28" i="8"/>
  <c r="Y28" i="14"/>
  <c r="Y28" i="15"/>
  <c r="Y28" i="10"/>
  <c r="Y28" i="11"/>
  <c r="Y28" i="13"/>
  <c r="Y28" i="9"/>
  <c r="Y28" i="18"/>
  <c r="Y28" i="16"/>
  <c r="Y28" i="12"/>
  <c r="P37" i="19"/>
  <c r="P37" i="15"/>
  <c r="P37" i="18"/>
  <c r="P37" i="9"/>
  <c r="P37" i="11"/>
  <c r="P37" i="8"/>
  <c r="P37" i="10"/>
  <c r="P37" i="14"/>
  <c r="P37" i="17"/>
  <c r="P37" i="13"/>
  <c r="P37" i="12"/>
  <c r="P37" i="16"/>
  <c r="Q17" i="15"/>
  <c r="Q17" i="18"/>
  <c r="Q17" i="9"/>
  <c r="Q17" i="19"/>
  <c r="Q17" i="16"/>
  <c r="Q17" i="10"/>
  <c r="Q17" i="8"/>
  <c r="Q17" i="14"/>
  <c r="Q17" i="17"/>
  <c r="Q17" i="13"/>
  <c r="Q17" i="11"/>
  <c r="Q17" i="12"/>
  <c r="U12" i="17"/>
  <c r="U12" i="10"/>
  <c r="U12" i="11"/>
  <c r="U12" i="18"/>
  <c r="U12" i="16"/>
  <c r="U12" i="19"/>
  <c r="U12" i="9"/>
  <c r="U12" i="15"/>
  <c r="U12" i="14"/>
  <c r="U12" i="12"/>
  <c r="U12" i="8"/>
  <c r="U12" i="13"/>
  <c r="M4" i="13"/>
  <c r="M4" i="9"/>
  <c r="M4" i="8"/>
  <c r="M4" i="17"/>
  <c r="M4" i="11"/>
  <c r="M4" i="15"/>
  <c r="M4" i="19"/>
  <c r="M4" i="14"/>
  <c r="M4" i="16"/>
  <c r="M4" i="12"/>
  <c r="M4" i="10"/>
  <c r="M4" i="18"/>
  <c r="N17" i="19"/>
  <c r="N17" i="12"/>
  <c r="N17" i="11"/>
  <c r="N17" i="8"/>
  <c r="N17" i="18"/>
  <c r="N17" i="15"/>
  <c r="N17" i="13"/>
  <c r="N17" i="14"/>
  <c r="N17" i="16"/>
  <c r="N17" i="17"/>
  <c r="N17" i="10"/>
  <c r="N17" i="9"/>
  <c r="X24" i="17"/>
  <c r="X24" i="19"/>
  <c r="X24" i="11"/>
  <c r="X24" i="10"/>
  <c r="X24" i="13"/>
  <c r="X24" i="18"/>
  <c r="X24" i="14"/>
  <c r="X24" i="9"/>
  <c r="X24" i="16"/>
  <c r="X24" i="15"/>
  <c r="X24" i="8"/>
  <c r="X24" i="12"/>
  <c r="J23" i="12"/>
  <c r="J23" i="19"/>
  <c r="J23" i="9"/>
  <c r="J23" i="13"/>
  <c r="J23" i="14"/>
  <c r="J23" i="17"/>
  <c r="J23" i="8"/>
  <c r="J23" i="10"/>
  <c r="J23" i="18"/>
  <c r="J23" i="16"/>
  <c r="J23" i="11"/>
  <c r="J23" i="15"/>
  <c r="X56" i="15"/>
  <c r="X56" i="13"/>
  <c r="X56" i="10"/>
  <c r="X56" i="19"/>
  <c r="X56" i="14"/>
  <c r="X56" i="11"/>
  <c r="X56" i="9"/>
  <c r="X56" i="18"/>
  <c r="X56" i="16"/>
  <c r="X56" i="8"/>
  <c r="X56" i="12"/>
  <c r="X56" i="17"/>
  <c r="L47" i="19"/>
  <c r="L47" i="18"/>
  <c r="L47" i="13"/>
  <c r="L47" i="8"/>
  <c r="L47" i="16"/>
  <c r="L47" i="15"/>
  <c r="L47" i="11"/>
  <c r="L47" i="10"/>
  <c r="L47" i="17"/>
  <c r="L47" i="14"/>
  <c r="L47" i="12"/>
  <c r="L47" i="9"/>
  <c r="Q27" i="15"/>
  <c r="Q27" i="17"/>
  <c r="Q27" i="8"/>
  <c r="Q27" i="9"/>
  <c r="Q27" i="16"/>
  <c r="Q27" i="14"/>
  <c r="Q27" i="11"/>
  <c r="Q27" i="12"/>
  <c r="Q27" i="18"/>
  <c r="Q27" i="19"/>
  <c r="Q27" i="10"/>
  <c r="Q27" i="13"/>
  <c r="V44" i="19"/>
  <c r="V44" i="14"/>
  <c r="V44" i="12"/>
  <c r="V44" i="9"/>
  <c r="V44" i="18"/>
  <c r="V44" i="16"/>
  <c r="V44" i="13"/>
  <c r="V44" i="10"/>
  <c r="V44" i="17"/>
  <c r="V44" i="15"/>
  <c r="V44" i="11"/>
  <c r="V44" i="8"/>
  <c r="V33" i="12"/>
  <c r="V33" i="10"/>
  <c r="V33" i="19"/>
  <c r="V33" i="16"/>
  <c r="V33" i="11"/>
  <c r="V33" i="9"/>
  <c r="V33" i="17"/>
  <c r="V33" i="14"/>
  <c r="V33" i="13"/>
  <c r="V33" i="8"/>
  <c r="V33" i="18"/>
  <c r="V33" i="15"/>
  <c r="P9" i="13"/>
  <c r="P9" i="8"/>
  <c r="P9" i="16"/>
  <c r="P9" i="15"/>
  <c r="P9" i="12"/>
  <c r="P9" i="9"/>
  <c r="P9" i="18"/>
  <c r="P9" i="14"/>
  <c r="P9" i="11"/>
  <c r="P9" i="10"/>
  <c r="P9" i="19"/>
  <c r="P9" i="17"/>
  <c r="X20" i="9"/>
  <c r="X20" i="15"/>
  <c r="X20" i="17"/>
  <c r="X20" i="19"/>
  <c r="X20" i="10"/>
  <c r="X20" i="11"/>
  <c r="X20" i="16"/>
  <c r="X20" i="18"/>
  <c r="X20" i="8"/>
  <c r="X20" i="13"/>
  <c r="X20" i="12"/>
  <c r="X20" i="14"/>
  <c r="J21" i="17"/>
  <c r="J21" i="14"/>
  <c r="J21" i="12"/>
  <c r="J21" i="8"/>
  <c r="J21" i="19"/>
  <c r="J21" i="16"/>
  <c r="J21" i="11"/>
  <c r="J21" i="9"/>
  <c r="J21" i="18"/>
  <c r="J21" i="15"/>
  <c r="J21" i="13"/>
  <c r="J21" i="10"/>
  <c r="V5" i="19"/>
  <c r="V5" i="15"/>
  <c r="V5" i="12"/>
  <c r="V5" i="10"/>
  <c r="V5" i="17"/>
  <c r="V5" i="16"/>
  <c r="V5" i="8"/>
  <c r="V5" i="11"/>
  <c r="V5" i="14"/>
  <c r="V5" i="18"/>
  <c r="V5" i="13"/>
  <c r="V5" i="9"/>
  <c r="K30" i="18"/>
  <c r="K30" i="15"/>
  <c r="K30" i="13"/>
  <c r="K30" i="10"/>
  <c r="K30" i="14"/>
  <c r="K30" i="19"/>
  <c r="K30" i="9"/>
  <c r="K30" i="11"/>
  <c r="K30" i="16"/>
  <c r="K30" i="17"/>
  <c r="K30" i="12"/>
  <c r="K30" i="8"/>
  <c r="I18" i="13"/>
  <c r="I18" i="9"/>
  <c r="I18" i="12"/>
  <c r="I18" i="16"/>
  <c r="I18" i="18"/>
  <c r="I18" i="11"/>
  <c r="I18" i="14"/>
  <c r="I18" i="19"/>
  <c r="I18" i="8"/>
  <c r="I18" i="10"/>
  <c r="I18" i="15"/>
  <c r="I18" i="17"/>
  <c r="I17" i="17"/>
  <c r="I17" i="16"/>
  <c r="I17" i="13"/>
  <c r="I17" i="9"/>
  <c r="I17" i="19"/>
  <c r="I17" i="14"/>
  <c r="I17" i="12"/>
  <c r="I17" i="8"/>
  <c r="I17" i="18"/>
  <c r="I17" i="15"/>
  <c r="I17" i="11"/>
  <c r="I17" i="10"/>
  <c r="X8" i="19"/>
  <c r="X8" i="15"/>
  <c r="X8" i="13"/>
  <c r="X8" i="12"/>
  <c r="X8" i="17"/>
  <c r="X8" i="18"/>
  <c r="X8" i="10"/>
  <c r="X8" i="9"/>
  <c r="X8" i="16"/>
  <c r="X8" i="14"/>
  <c r="X8" i="11"/>
  <c r="X8" i="8"/>
  <c r="J6" i="19"/>
  <c r="J6" i="18"/>
  <c r="J6" i="12"/>
  <c r="J6" i="10"/>
  <c r="J6" i="17"/>
  <c r="J6" i="14"/>
  <c r="J6" i="13"/>
  <c r="J6" i="9"/>
  <c r="J6" i="16"/>
  <c r="J6" i="15"/>
  <c r="J6" i="11"/>
  <c r="J6" i="8"/>
  <c r="Y27" i="19"/>
  <c r="Y27" i="9"/>
  <c r="Y27" i="17"/>
  <c r="Y27" i="18"/>
  <c r="Y27" i="15"/>
  <c r="Y27" i="13"/>
  <c r="Y27" i="14"/>
  <c r="Y27" i="10"/>
  <c r="Y27" i="8"/>
  <c r="Y27" i="12"/>
  <c r="Y27" i="16"/>
  <c r="Y27" i="11"/>
  <c r="Q7" i="19"/>
  <c r="Q7" i="14"/>
  <c r="Q7" i="12"/>
  <c r="Q7" i="9"/>
  <c r="Q7" i="18"/>
  <c r="Q7" i="16"/>
  <c r="Q7" i="11"/>
  <c r="Q7" i="10"/>
  <c r="Q7" i="17"/>
  <c r="Q7" i="15"/>
  <c r="Q7" i="13"/>
  <c r="Q7" i="8"/>
  <c r="L50" i="19"/>
  <c r="L50" i="12"/>
  <c r="L50" i="15"/>
  <c r="L50" i="9"/>
  <c r="L50" i="17"/>
  <c r="L50" i="16"/>
  <c r="L50" i="11"/>
  <c r="L50" i="10"/>
  <c r="L50" i="18"/>
  <c r="L50" i="14"/>
  <c r="L50" i="13"/>
  <c r="L50" i="8"/>
  <c r="T36" i="14"/>
  <c r="T36" i="19"/>
  <c r="T36" i="8"/>
  <c r="T36" i="11"/>
  <c r="T36" i="15"/>
  <c r="T36" i="18"/>
  <c r="T36" i="10"/>
  <c r="T36" i="12"/>
  <c r="T36" i="17"/>
  <c r="T36" i="16"/>
  <c r="T36" i="13"/>
  <c r="T36" i="9"/>
  <c r="J10" i="15"/>
  <c r="J10" i="19"/>
  <c r="J10" i="9"/>
  <c r="J10" i="12"/>
  <c r="J10" i="14"/>
  <c r="J10" i="16"/>
  <c r="J10" i="8"/>
  <c r="J10" i="11"/>
  <c r="J10" i="18"/>
  <c r="J10" i="17"/>
  <c r="J10" i="13"/>
  <c r="J10" i="10"/>
  <c r="W30" i="16"/>
  <c r="W30" i="11"/>
  <c r="W30" i="9"/>
  <c r="W30" i="17"/>
  <c r="W30" i="12"/>
  <c r="W30" i="8"/>
  <c r="W30" i="10"/>
  <c r="W30" i="18"/>
  <c r="W30" i="13"/>
  <c r="W30" i="14"/>
  <c r="W30" i="19"/>
  <c r="W30" i="15"/>
  <c r="P52" i="13"/>
  <c r="P52" i="17"/>
  <c r="P52" i="10"/>
  <c r="P52" i="15"/>
  <c r="P52" i="16"/>
  <c r="P52" i="14"/>
  <c r="P52" i="8"/>
  <c r="P52" i="11"/>
  <c r="P52" i="18"/>
  <c r="P52" i="19"/>
  <c r="P52" i="9"/>
  <c r="P52" i="12"/>
  <c r="X42" i="19"/>
  <c r="X42" i="15"/>
  <c r="X42" i="13"/>
  <c r="X42" i="10"/>
  <c r="X42" i="17"/>
  <c r="X42" i="14"/>
  <c r="X42" i="11"/>
  <c r="X42" i="9"/>
  <c r="X42" i="18"/>
  <c r="X42" i="16"/>
  <c r="X42" i="12"/>
  <c r="X42" i="8"/>
  <c r="K45" i="19"/>
  <c r="K45" i="18"/>
  <c r="K45" i="13"/>
  <c r="K45" i="8"/>
  <c r="K45" i="16"/>
  <c r="K45" i="15"/>
  <c r="K45" i="11"/>
  <c r="K45" i="10"/>
  <c r="K45" i="17"/>
  <c r="K45" i="14"/>
  <c r="K45" i="12"/>
  <c r="K45" i="9"/>
  <c r="K20" i="19"/>
  <c r="K20" i="14"/>
  <c r="K20" i="11"/>
  <c r="K20" i="9"/>
  <c r="K20" i="17"/>
  <c r="K20" i="16"/>
  <c r="K20" i="12"/>
  <c r="K20" i="8"/>
  <c r="K20" i="15"/>
  <c r="K20" i="18"/>
  <c r="K20" i="10"/>
  <c r="K20" i="13"/>
  <c r="N39" i="15"/>
  <c r="N39" i="18"/>
  <c r="N39" i="8"/>
  <c r="N39" i="13"/>
  <c r="N39" i="14"/>
  <c r="N39" i="17"/>
  <c r="N39" i="10"/>
  <c r="N39" i="11"/>
  <c r="N39" i="19"/>
  <c r="N39" i="16"/>
  <c r="N39" i="12"/>
  <c r="N39" i="9"/>
  <c r="K53" i="16"/>
  <c r="K53" i="11"/>
  <c r="K53" i="10"/>
  <c r="K53" i="19"/>
  <c r="K53" i="12"/>
  <c r="K53" i="13"/>
  <c r="K53" i="9"/>
  <c r="K53" i="18"/>
  <c r="K53" i="14"/>
  <c r="K53" i="8"/>
  <c r="K53" i="15"/>
  <c r="K53" i="17"/>
  <c r="J5" i="18"/>
  <c r="J5" i="16"/>
  <c r="J5" i="8"/>
  <c r="J5" i="12"/>
  <c r="J5" i="14"/>
  <c r="J5" i="17"/>
  <c r="J5" i="13"/>
  <c r="J5" i="10"/>
  <c r="J5" i="19"/>
  <c r="J5" i="15"/>
  <c r="J5" i="11"/>
  <c r="J5" i="9"/>
  <c r="Y25" i="17"/>
  <c r="Y25" i="16"/>
  <c r="Y25" i="13"/>
  <c r="Y25" i="9"/>
  <c r="Y25" i="19"/>
  <c r="Y25" i="14"/>
  <c r="Y25" i="11"/>
  <c r="Y25" i="8"/>
  <c r="Y25" i="18"/>
  <c r="Y25" i="15"/>
  <c r="Y25" i="12"/>
  <c r="Y25" i="10"/>
  <c r="J53" i="19"/>
  <c r="J53" i="16"/>
  <c r="J53" i="11"/>
  <c r="J53" i="10"/>
  <c r="J53" i="18"/>
  <c r="J53" i="15"/>
  <c r="J53" i="12"/>
  <c r="J53" i="9"/>
  <c r="J53" i="17"/>
  <c r="J53" i="14"/>
  <c r="J53" i="13"/>
  <c r="J53" i="8"/>
  <c r="Y4" i="18"/>
  <c r="Y4" i="16"/>
  <c r="Y4" i="11"/>
  <c r="Y4" i="10"/>
  <c r="Y4" i="19"/>
  <c r="Y4" i="15"/>
  <c r="Y4" i="12"/>
  <c r="Y4" i="9"/>
  <c r="Y4" i="17"/>
  <c r="Y4" i="14"/>
  <c r="Y4" i="13"/>
  <c r="Y4" i="8"/>
  <c r="N35" i="19"/>
  <c r="N35" i="13"/>
  <c r="N35" i="14"/>
  <c r="N35" i="11"/>
  <c r="N35" i="18"/>
  <c r="N35" i="16"/>
  <c r="N35" i="12"/>
  <c r="N35" i="10"/>
  <c r="N35" i="17"/>
  <c r="N35" i="15"/>
  <c r="N35" i="8"/>
  <c r="N35" i="9"/>
  <c r="T39" i="18"/>
  <c r="T39" i="15"/>
  <c r="T39" i="13"/>
  <c r="T39" i="11"/>
  <c r="T39" i="19"/>
  <c r="T39" i="16"/>
  <c r="T39" i="10"/>
  <c r="T39" i="9"/>
  <c r="T39" i="17"/>
  <c r="T39" i="14"/>
  <c r="T39" i="12"/>
  <c r="T39" i="8"/>
  <c r="Y3" i="19"/>
  <c r="Y3" i="16"/>
  <c r="Y3" i="15"/>
  <c r="Y3" i="10"/>
  <c r="Y3" i="18"/>
  <c r="Y3" i="12"/>
  <c r="Y3" i="13"/>
  <c r="Y3" i="9"/>
  <c r="Y3" i="17"/>
  <c r="Y3" i="14"/>
  <c r="Y3" i="11"/>
  <c r="Y3" i="8"/>
  <c r="X39" i="19"/>
  <c r="X39" i="9"/>
  <c r="X39" i="14"/>
  <c r="X39" i="16"/>
  <c r="X39" i="18"/>
  <c r="X39" i="8"/>
  <c r="X39" i="12"/>
  <c r="X39" i="17"/>
  <c r="X39" i="13"/>
  <c r="X39" i="10"/>
  <c r="X39" i="15"/>
  <c r="X39" i="11"/>
  <c r="Y7" i="16"/>
  <c r="Y7" i="18"/>
  <c r="Y7" i="9"/>
  <c r="Y7" i="13"/>
  <c r="Y7" i="14"/>
  <c r="Y7" i="17"/>
  <c r="Y7" i="8"/>
  <c r="Y7" i="11"/>
  <c r="Y7" i="19"/>
  <c r="Y7" i="15"/>
  <c r="Y7" i="12"/>
  <c r="Y7" i="10"/>
  <c r="V16" i="13"/>
  <c r="V16" i="18"/>
  <c r="V16" i="10"/>
  <c r="V16" i="12"/>
  <c r="V16" i="15"/>
  <c r="V16" i="17"/>
  <c r="V16" i="9"/>
  <c r="V16" i="11"/>
  <c r="V16" i="19"/>
  <c r="V16" i="16"/>
  <c r="V16" i="14"/>
  <c r="V16" i="8"/>
  <c r="M24" i="13"/>
  <c r="M24" i="18"/>
  <c r="M24" i="16"/>
  <c r="M24" i="10"/>
  <c r="M24" i="8"/>
  <c r="M24" i="17"/>
  <c r="M24" i="11"/>
  <c r="M24" i="9"/>
  <c r="M24" i="19"/>
  <c r="M24" i="14"/>
  <c r="M24" i="12"/>
  <c r="M24" i="15"/>
  <c r="Q45" i="15"/>
  <c r="Q45" i="16"/>
  <c r="Q45" i="8"/>
  <c r="Q45" i="14"/>
  <c r="Q45" i="17"/>
  <c r="Q45" i="19"/>
  <c r="Q45" i="10"/>
  <c r="Q45" i="12"/>
  <c r="Q45" i="9"/>
  <c r="Q45" i="18"/>
  <c r="Q45" i="11"/>
  <c r="Q45" i="13"/>
  <c r="T48" i="12"/>
  <c r="T48" i="9"/>
  <c r="T48" i="18"/>
  <c r="T48" i="14"/>
  <c r="T48" i="13"/>
  <c r="T48" i="8"/>
  <c r="T48" i="17"/>
  <c r="T48" i="15"/>
  <c r="T48" i="11"/>
  <c r="T48" i="10"/>
  <c r="T48" i="19"/>
  <c r="T48" i="16"/>
  <c r="Q22" i="12"/>
  <c r="Q22" i="9"/>
  <c r="Q22" i="18"/>
  <c r="Q22" i="15"/>
  <c r="Q22" i="13"/>
  <c r="Q22" i="10"/>
  <c r="Q22" i="17"/>
  <c r="Q22" i="14"/>
  <c r="Q22" i="11"/>
  <c r="Q22" i="8"/>
  <c r="Q22" i="19"/>
  <c r="Q22" i="16"/>
  <c r="W24" i="14"/>
  <c r="W24" i="10"/>
  <c r="W24" i="18"/>
  <c r="W24" i="13"/>
  <c r="W24" i="11"/>
  <c r="W24" i="8"/>
  <c r="W24" i="17"/>
  <c r="W24" i="15"/>
  <c r="W24" i="12"/>
  <c r="W24" i="9"/>
  <c r="W24" i="19"/>
  <c r="W24" i="16"/>
  <c r="O7" i="9"/>
  <c r="O7" i="10"/>
  <c r="O7" i="14"/>
  <c r="O7" i="17"/>
  <c r="O7" i="8"/>
  <c r="O7" i="12"/>
  <c r="O7" i="18"/>
  <c r="O7" i="15"/>
  <c r="O7" i="13"/>
  <c r="O7" i="11"/>
  <c r="O7" i="16"/>
  <c r="O7" i="19"/>
  <c r="Q28" i="9"/>
  <c r="Q28" i="11"/>
  <c r="Q28" i="14"/>
  <c r="Q28" i="17"/>
  <c r="Q28" i="8"/>
  <c r="Q28" i="12"/>
  <c r="Q28" i="18"/>
  <c r="Q28" i="15"/>
  <c r="Q28" i="13"/>
  <c r="Q28" i="10"/>
  <c r="Q28" i="16"/>
  <c r="Q28" i="19"/>
  <c r="K35" i="8"/>
  <c r="K35" i="10"/>
  <c r="K35" i="19"/>
  <c r="K35" i="15"/>
  <c r="K35" i="11"/>
  <c r="K35" i="9"/>
  <c r="K35" i="18"/>
  <c r="K35" i="14"/>
  <c r="K35" i="12"/>
  <c r="K35" i="13"/>
  <c r="K35" i="17"/>
  <c r="K35" i="16"/>
  <c r="S53" i="13"/>
  <c r="S53" i="10"/>
  <c r="S53" i="19"/>
  <c r="S53" i="15"/>
  <c r="S53" i="12"/>
  <c r="S53" i="8"/>
  <c r="S53" i="16"/>
  <c r="S53" i="14"/>
  <c r="S53" i="11"/>
  <c r="S53" i="9"/>
  <c r="S53" i="17"/>
  <c r="S53" i="18"/>
  <c r="J47" i="12"/>
  <c r="J47" i="9"/>
  <c r="J47" i="18"/>
  <c r="J47" i="16"/>
  <c r="J47" i="13"/>
  <c r="J47" i="8"/>
  <c r="J47" i="17"/>
  <c r="J47" i="14"/>
  <c r="J47" i="11"/>
  <c r="J47" i="10"/>
  <c r="J47" i="15"/>
  <c r="J47" i="19"/>
  <c r="V32" i="12"/>
  <c r="V32" i="11"/>
  <c r="V32" i="19"/>
  <c r="V32" i="16"/>
  <c r="V32" i="10"/>
  <c r="V32" i="9"/>
  <c r="V32" i="17"/>
  <c r="V32" i="14"/>
  <c r="V32" i="13"/>
  <c r="V32" i="8"/>
  <c r="V32" i="18"/>
  <c r="V32" i="15"/>
  <c r="V23" i="13"/>
  <c r="V23" i="8"/>
  <c r="V23" i="16"/>
  <c r="V23" i="15"/>
  <c r="V23" i="11"/>
  <c r="V23" i="10"/>
  <c r="V23" i="18"/>
  <c r="V23" i="14"/>
  <c r="V23" i="12"/>
  <c r="V23" i="9"/>
  <c r="V23" i="19"/>
  <c r="V23" i="17"/>
  <c r="L37" i="12"/>
  <c r="L37" i="10"/>
  <c r="L37" i="16"/>
  <c r="L37" i="14"/>
  <c r="L37" i="13"/>
  <c r="L37" i="9"/>
  <c r="L37" i="17"/>
  <c r="L37" i="15"/>
  <c r="L37" i="11"/>
  <c r="L37" i="8"/>
  <c r="L37" i="18"/>
  <c r="L37" i="19"/>
  <c r="P53" i="14"/>
  <c r="P53" i="10"/>
  <c r="P53" i="17"/>
  <c r="P53" i="12"/>
  <c r="P53" i="11"/>
  <c r="P53" i="9"/>
  <c r="P53" i="16"/>
  <c r="P53" i="15"/>
  <c r="P53" i="13"/>
  <c r="P53" i="8"/>
  <c r="P53" i="19"/>
  <c r="P53" i="18"/>
  <c r="O35" i="12"/>
  <c r="O35" i="9"/>
  <c r="O35" i="18"/>
  <c r="O35" i="16"/>
  <c r="O35" i="13"/>
  <c r="O35" i="10"/>
  <c r="O35" i="17"/>
  <c r="O35" i="15"/>
  <c r="O35" i="11"/>
  <c r="O35" i="8"/>
  <c r="O35" i="19"/>
  <c r="O35" i="14"/>
  <c r="I31" i="13"/>
  <c r="I31" i="10"/>
  <c r="I31" i="18"/>
  <c r="I31" i="15"/>
  <c r="I31" i="11"/>
  <c r="I31" i="9"/>
  <c r="I31" i="17"/>
  <c r="I31" i="14"/>
  <c r="I31" i="12"/>
  <c r="I31" i="8"/>
  <c r="I31" i="16"/>
  <c r="I31" i="19"/>
  <c r="M51" i="13"/>
  <c r="M51" i="8"/>
  <c r="M51" i="18"/>
  <c r="M51" i="17"/>
  <c r="M51" i="12"/>
  <c r="M51" i="16"/>
  <c r="M51" i="15"/>
  <c r="M51" i="11"/>
  <c r="M51" i="10"/>
  <c r="M51" i="9"/>
  <c r="M51" i="19"/>
  <c r="M51" i="14"/>
  <c r="M56" i="8"/>
  <c r="M56" i="19"/>
  <c r="M56" i="13"/>
  <c r="M56" i="12"/>
  <c r="M56" i="10"/>
  <c r="M56" i="18"/>
  <c r="M56" i="16"/>
  <c r="M56" i="9"/>
  <c r="M56" i="14"/>
  <c r="M56" i="17"/>
  <c r="M56" i="11"/>
  <c r="M56" i="15"/>
  <c r="P2" i="9"/>
  <c r="P2" i="12"/>
  <c r="P2" i="17"/>
  <c r="P2" i="19"/>
  <c r="P2" i="10"/>
  <c r="P2" i="13"/>
  <c r="P2" i="16"/>
  <c r="P2" i="18"/>
  <c r="P2" i="8"/>
  <c r="P2" i="11"/>
  <c r="P2" i="14"/>
  <c r="P2" i="15"/>
  <c r="T42" i="10"/>
  <c r="T42" i="11"/>
  <c r="T42" i="14"/>
  <c r="T42" i="17"/>
  <c r="T42" i="13"/>
  <c r="T42" i="8"/>
  <c r="T42" i="18"/>
  <c r="T42" i="16"/>
  <c r="T42" i="12"/>
  <c r="T42" i="9"/>
  <c r="T42" i="19"/>
  <c r="T42" i="15"/>
  <c r="W52" i="16"/>
  <c r="W52" i="9"/>
  <c r="W52" i="18"/>
  <c r="W52" i="13"/>
  <c r="W52" i="12"/>
  <c r="W52" i="8"/>
  <c r="W52" i="17"/>
  <c r="W52" i="15"/>
  <c r="W52" i="11"/>
  <c r="W52" i="10"/>
  <c r="W52" i="19"/>
  <c r="W52" i="14"/>
  <c r="M49" i="13"/>
  <c r="M49" i="10"/>
  <c r="M49" i="19"/>
  <c r="M49" i="16"/>
  <c r="M49" i="11"/>
  <c r="M49" i="9"/>
  <c r="M49" i="17"/>
  <c r="M49" i="14"/>
  <c r="M49" i="12"/>
  <c r="M49" i="8"/>
  <c r="M49" i="18"/>
  <c r="M49" i="15"/>
  <c r="R22" i="12"/>
  <c r="R22" i="10"/>
  <c r="R22" i="17"/>
  <c r="R22" i="14"/>
  <c r="R22" i="13"/>
  <c r="R22" i="9"/>
  <c r="R22" i="11"/>
  <c r="R22" i="8"/>
  <c r="R22" i="18"/>
  <c r="R22" i="16"/>
  <c r="R22" i="15"/>
  <c r="R22" i="19"/>
  <c r="M32" i="13"/>
  <c r="M32" i="8"/>
  <c r="M32" i="16"/>
  <c r="M32" i="15"/>
  <c r="M32" i="11"/>
  <c r="M32" i="9"/>
  <c r="M32" i="12"/>
  <c r="M32" i="10"/>
  <c r="M32" i="19"/>
  <c r="M32" i="18"/>
  <c r="M32" i="17"/>
  <c r="M32" i="14"/>
  <c r="S38" i="15"/>
  <c r="S38" i="11"/>
  <c r="S38" i="8"/>
  <c r="S38" i="10"/>
  <c r="S38" i="18"/>
  <c r="S38" i="14"/>
  <c r="S38" i="13"/>
  <c r="S38" i="9"/>
  <c r="S38" i="19"/>
  <c r="S38" i="16"/>
  <c r="S38" i="12"/>
  <c r="S38" i="17"/>
  <c r="R53" i="19"/>
  <c r="R53" i="16"/>
  <c r="R53" i="12"/>
  <c r="R53" i="9"/>
  <c r="R53" i="14"/>
  <c r="R53" i="18"/>
  <c r="R53" i="10"/>
  <c r="R53" i="13"/>
  <c r="R53" i="15"/>
  <c r="R53" i="17"/>
  <c r="R53" i="8"/>
  <c r="R53" i="11"/>
  <c r="U30" i="14"/>
  <c r="U30" i="9"/>
  <c r="U30" i="13"/>
  <c r="U30" i="17"/>
  <c r="U30" i="15"/>
  <c r="U30" i="11"/>
  <c r="U30" i="10"/>
  <c r="U30" i="19"/>
  <c r="U30" i="18"/>
  <c r="U30" i="12"/>
  <c r="U30" i="8"/>
  <c r="U30" i="16"/>
  <c r="I51" i="18"/>
  <c r="I51" i="19"/>
  <c r="I51" i="8"/>
  <c r="I51" i="11"/>
  <c r="I51" i="14"/>
  <c r="I51" i="17"/>
  <c r="I51" i="10"/>
  <c r="I51" i="15"/>
  <c r="I51" i="16"/>
  <c r="I51" i="12"/>
  <c r="I51" i="13"/>
  <c r="I51" i="9"/>
  <c r="Q6" i="16"/>
  <c r="Q6" i="17"/>
  <c r="Q6" i="8"/>
  <c r="Q6" i="13"/>
  <c r="Q6" i="14"/>
  <c r="Q6" i="15"/>
  <c r="Q6" i="11"/>
  <c r="Q6" i="10"/>
  <c r="Q6" i="18"/>
  <c r="Q6" i="19"/>
  <c r="Q6" i="12"/>
  <c r="Q6" i="9"/>
  <c r="L9" i="16"/>
  <c r="L9" i="15"/>
  <c r="L9" i="11"/>
  <c r="L9" i="9"/>
  <c r="L9" i="19"/>
  <c r="L9" i="17"/>
  <c r="L9" i="13"/>
  <c r="L9" i="8"/>
  <c r="L9" i="18"/>
  <c r="L9" i="14"/>
  <c r="L9" i="10"/>
  <c r="L9" i="12"/>
  <c r="R56" i="19"/>
  <c r="R56" i="14"/>
  <c r="R56" i="11"/>
  <c r="R56" i="8"/>
  <c r="R56" i="16"/>
  <c r="R56" i="18"/>
  <c r="R56" i="9"/>
  <c r="R56" i="13"/>
  <c r="R56" i="15"/>
  <c r="R56" i="17"/>
  <c r="R56" i="12"/>
  <c r="R56" i="10"/>
  <c r="X6" i="16"/>
  <c r="X6" i="18"/>
  <c r="X6" i="17"/>
  <c r="X6" i="19"/>
  <c r="X6" i="10"/>
  <c r="X6" i="9"/>
  <c r="X6" i="14"/>
  <c r="X6" i="12"/>
  <c r="X6" i="15"/>
  <c r="X6" i="13"/>
  <c r="X6" i="8"/>
  <c r="X6" i="11"/>
  <c r="W47" i="16"/>
  <c r="W47" i="18"/>
  <c r="W47" i="10"/>
  <c r="W47" i="13"/>
  <c r="W47" i="9"/>
  <c r="W47" i="17"/>
  <c r="W47" i="14"/>
  <c r="W47" i="11"/>
  <c r="W47" i="8"/>
  <c r="W47" i="19"/>
  <c r="W47" i="12"/>
  <c r="W47" i="15"/>
  <c r="I32" i="14"/>
  <c r="I32" i="17"/>
  <c r="I32" i="16"/>
  <c r="I32" i="13"/>
  <c r="I32" i="8"/>
  <c r="I32" i="19"/>
  <c r="I32" i="15"/>
  <c r="I32" i="11"/>
  <c r="I32" i="10"/>
  <c r="I32" i="12"/>
  <c r="I32" i="9"/>
  <c r="I32" i="18"/>
  <c r="R34" i="17"/>
  <c r="R34" i="18"/>
  <c r="R34" i="13"/>
  <c r="R34" i="15"/>
  <c r="R34" i="11"/>
  <c r="R34" i="10"/>
  <c r="R34" i="9"/>
  <c r="R34" i="12"/>
  <c r="R34" i="19"/>
  <c r="R34" i="16"/>
  <c r="R34" i="8"/>
  <c r="R34" i="14"/>
  <c r="X26" i="17"/>
  <c r="X26" i="19"/>
  <c r="X26" i="12"/>
  <c r="X26" i="11"/>
  <c r="X26" i="10"/>
  <c r="X26" i="18"/>
  <c r="X26" i="14"/>
  <c r="X26" i="8"/>
  <c r="X26" i="9"/>
  <c r="X26" i="15"/>
  <c r="X26" i="16"/>
  <c r="X26" i="13"/>
  <c r="O28" i="15"/>
  <c r="O28" i="16"/>
  <c r="O28" i="18"/>
  <c r="O28" i="17"/>
  <c r="O28" i="8"/>
  <c r="O28" i="12"/>
  <c r="O28" i="10"/>
  <c r="O28" i="14"/>
  <c r="O28" i="13"/>
  <c r="O28" i="19"/>
  <c r="O28" i="9"/>
  <c r="O28" i="11"/>
  <c r="X5" i="19"/>
  <c r="X5" i="15"/>
  <c r="X5" i="14"/>
  <c r="X5" i="17"/>
  <c r="X5" i="8"/>
  <c r="X5" i="11"/>
  <c r="X5" i="9"/>
  <c r="X5" i="13"/>
  <c r="X5" i="16"/>
  <c r="X5" i="18"/>
  <c r="X5" i="12"/>
  <c r="X5" i="10"/>
  <c r="T49" i="19"/>
  <c r="T49" i="15"/>
  <c r="T49" i="13"/>
  <c r="T49" i="17"/>
  <c r="T49" i="9"/>
  <c r="T49" i="12"/>
  <c r="T49" i="8"/>
  <c r="T49" i="11"/>
  <c r="T49" i="16"/>
  <c r="T49" i="18"/>
  <c r="T49" i="14"/>
  <c r="T49" i="10"/>
  <c r="J35" i="18"/>
  <c r="J35" i="16"/>
  <c r="J35" i="8"/>
  <c r="J35" i="10"/>
  <c r="J35" i="11"/>
  <c r="J35" i="15"/>
  <c r="J35" i="19"/>
  <c r="J35" i="9"/>
  <c r="J35" i="12"/>
  <c r="J35" i="17"/>
  <c r="J35" i="14"/>
  <c r="J35" i="13"/>
  <c r="K28" i="15"/>
  <c r="K28" i="12"/>
  <c r="K28" i="11"/>
  <c r="K28" i="14"/>
  <c r="K28" i="19"/>
  <c r="K28" i="9"/>
  <c r="K28" i="18"/>
  <c r="K28" i="10"/>
  <c r="K28" i="8"/>
  <c r="K28" i="17"/>
  <c r="K28" i="16"/>
  <c r="K28" i="13"/>
  <c r="J45" i="17"/>
  <c r="J45" i="15"/>
  <c r="J45" i="18"/>
  <c r="J45" i="13"/>
  <c r="J45" i="11"/>
  <c r="J45" i="16"/>
  <c r="J45" i="14"/>
  <c r="J45" i="8"/>
  <c r="J45" i="9"/>
  <c r="J45" i="10"/>
  <c r="J45" i="12"/>
  <c r="J45" i="19"/>
  <c r="W48" i="16"/>
  <c r="W48" i="19"/>
  <c r="W48" i="9"/>
  <c r="W48" i="13"/>
  <c r="W48" i="17"/>
  <c r="W48" i="12"/>
  <c r="W48" i="15"/>
  <c r="W48" i="8"/>
  <c r="W48" i="10"/>
  <c r="W48" i="14"/>
  <c r="W48" i="11"/>
  <c r="W48" i="18"/>
  <c r="N24" i="12"/>
  <c r="N24" i="10"/>
  <c r="N24" i="18"/>
  <c r="N24" i="15"/>
  <c r="N24" i="11"/>
  <c r="N24" i="8"/>
  <c r="N24" i="16"/>
  <c r="N24" i="19"/>
  <c r="N24" i="9"/>
  <c r="N24" i="13"/>
  <c r="N24" i="14"/>
  <c r="N24" i="17"/>
  <c r="R55" i="12"/>
  <c r="R55" i="10"/>
  <c r="R55" i="18"/>
  <c r="R55" i="15"/>
  <c r="R55" i="11"/>
  <c r="R55" i="8"/>
  <c r="R55" i="16"/>
  <c r="R55" i="19"/>
  <c r="R55" i="9"/>
  <c r="R55" i="13"/>
  <c r="R55" i="17"/>
  <c r="R55" i="14"/>
  <c r="V34" i="10"/>
  <c r="V34" i="8"/>
  <c r="V34" i="17"/>
  <c r="V34" i="14"/>
  <c r="V34" i="12"/>
  <c r="V34" i="13"/>
  <c r="V34" i="15"/>
  <c r="V34" i="16"/>
  <c r="V34" i="11"/>
  <c r="V34" i="9"/>
  <c r="V34" i="19"/>
  <c r="V34" i="18"/>
  <c r="Y22" i="9"/>
  <c r="Y22" i="12"/>
  <c r="Y22" i="16"/>
  <c r="Y22" i="18"/>
  <c r="Y22" i="8"/>
  <c r="Y22" i="13"/>
  <c r="Y22" i="15"/>
  <c r="Y22" i="19"/>
  <c r="Y22" i="10"/>
  <c r="Y22" i="11"/>
  <c r="Y22" i="14"/>
  <c r="Y22" i="17"/>
  <c r="U22" i="9"/>
  <c r="U22" i="12"/>
  <c r="U22" i="14"/>
  <c r="U22" i="17"/>
  <c r="U22" i="8"/>
  <c r="U22" i="13"/>
  <c r="U22" i="16"/>
  <c r="U22" i="18"/>
  <c r="U22" i="10"/>
  <c r="U22" i="11"/>
  <c r="U22" i="15"/>
  <c r="U22" i="19"/>
  <c r="J33" i="11"/>
  <c r="J33" i="14"/>
  <c r="J33" i="19"/>
  <c r="J33" i="16"/>
  <c r="J33" i="10"/>
  <c r="J33" i="12"/>
  <c r="J33" i="13"/>
  <c r="J33" i="18"/>
  <c r="J33" i="8"/>
  <c r="J33" i="9"/>
  <c r="J33" i="17"/>
  <c r="J33" i="15"/>
  <c r="Q50" i="10"/>
  <c r="Q50" i="8"/>
  <c r="Q50" i="17"/>
  <c r="Q50" i="16"/>
  <c r="Q50" i="11"/>
  <c r="Q50" i="13"/>
  <c r="Q50" i="18"/>
  <c r="Q50" i="15"/>
  <c r="Q50" i="12"/>
  <c r="Q50" i="9"/>
  <c r="Q50" i="19"/>
  <c r="Q50" i="14"/>
  <c r="J49" i="9"/>
  <c r="J49" i="13"/>
  <c r="J49" i="15"/>
  <c r="J49" i="18"/>
  <c r="J49" i="8"/>
  <c r="J49" i="10"/>
  <c r="J49" i="17"/>
  <c r="J49" i="14"/>
  <c r="J49" i="11"/>
  <c r="J49" i="12"/>
  <c r="J49" i="16"/>
  <c r="J49" i="19"/>
  <c r="P3" i="13"/>
  <c r="P3" i="10"/>
  <c r="P3" i="18"/>
  <c r="P3" i="16"/>
  <c r="P3" i="9"/>
  <c r="P3" i="12"/>
  <c r="P3" i="17"/>
  <c r="P3" i="15"/>
  <c r="P3" i="11"/>
  <c r="P3" i="8"/>
  <c r="P3" i="19"/>
  <c r="P3" i="14"/>
  <c r="V10" i="13"/>
  <c r="V10" i="8"/>
  <c r="V10" i="14"/>
  <c r="V10" i="18"/>
  <c r="V10" i="10"/>
  <c r="V10" i="11"/>
  <c r="V10" i="9"/>
  <c r="V10" i="16"/>
  <c r="V10" i="12"/>
  <c r="V10" i="17"/>
  <c r="V10" i="15"/>
  <c r="V10" i="19"/>
  <c r="Y16" i="12"/>
  <c r="Y16" i="10"/>
  <c r="Y16" i="15"/>
  <c r="Y16" i="18"/>
  <c r="Y16" i="8"/>
  <c r="Y16" i="11"/>
  <c r="Y16" i="9"/>
  <c r="Y16" i="17"/>
  <c r="Y16" i="14"/>
  <c r="Y16" i="19"/>
  <c r="Y16" i="16"/>
  <c r="Y16" i="13"/>
  <c r="L36" i="9"/>
  <c r="L36" i="10"/>
  <c r="L36" i="15"/>
  <c r="L36" i="17"/>
  <c r="L36" i="8"/>
  <c r="L36" i="14"/>
  <c r="L36" i="13"/>
  <c r="L36" i="18"/>
  <c r="L36" i="11"/>
  <c r="L36" i="12"/>
  <c r="L36" i="19"/>
  <c r="L36" i="16"/>
  <c r="S31" i="12"/>
  <c r="S31" i="8"/>
  <c r="S31" i="14"/>
  <c r="S31" i="17"/>
  <c r="S31" i="10"/>
  <c r="S31" i="9"/>
  <c r="S31" i="13"/>
  <c r="S31" i="11"/>
  <c r="S31" i="16"/>
  <c r="S31" i="15"/>
  <c r="S31" i="19"/>
  <c r="S31" i="18"/>
  <c r="I16" i="10"/>
  <c r="I16" i="12"/>
  <c r="I16" i="17"/>
  <c r="I16" i="15"/>
  <c r="I16" i="8"/>
  <c r="I16" i="13"/>
  <c r="I16" i="11"/>
  <c r="I16" i="14"/>
  <c r="I16" i="9"/>
  <c r="I16" i="19"/>
  <c r="I16" i="18"/>
  <c r="I16" i="16"/>
  <c r="I14" i="8"/>
  <c r="I14" i="11"/>
  <c r="I14" i="15"/>
  <c r="I14" i="14"/>
  <c r="I14" i="10"/>
  <c r="I14" i="12"/>
  <c r="I14" i="13"/>
  <c r="I14" i="19"/>
  <c r="I14" i="17"/>
  <c r="I14" i="16"/>
  <c r="I14" i="9"/>
  <c r="I14" i="18"/>
  <c r="S35" i="11"/>
  <c r="S35" i="10"/>
  <c r="S35" i="16"/>
  <c r="S35" i="18"/>
  <c r="S35" i="8"/>
  <c r="S35" i="9"/>
  <c r="S35" i="13"/>
  <c r="S35" i="19"/>
  <c r="S35" i="12"/>
  <c r="S35" i="15"/>
  <c r="S35" i="14"/>
  <c r="S35" i="17"/>
  <c r="I12" i="15"/>
  <c r="I12" i="18"/>
  <c r="I12" i="10"/>
  <c r="I12" i="12"/>
  <c r="I12" i="14"/>
  <c r="I12" i="9"/>
  <c r="I12" i="8"/>
  <c r="I12" i="19"/>
  <c r="I12" i="11"/>
  <c r="I12" i="17"/>
  <c r="I12" i="16"/>
  <c r="I12" i="13"/>
  <c r="Q40" i="16"/>
  <c r="Q40" i="18"/>
  <c r="Q40" i="10"/>
  <c r="Q40" i="11"/>
  <c r="Q40" i="14"/>
  <c r="Q40" i="19"/>
  <c r="Q40" i="12"/>
  <c r="Q40" i="17"/>
  <c r="Q40" i="15"/>
  <c r="Q40" i="13"/>
  <c r="Q40" i="9"/>
  <c r="Q40" i="8"/>
  <c r="M40" i="12"/>
  <c r="M40" i="10"/>
  <c r="M40" i="9"/>
  <c r="M40" i="18"/>
  <c r="M40" i="15"/>
  <c r="M40" i="11"/>
  <c r="M40" i="14"/>
  <c r="M40" i="8"/>
  <c r="M40" i="16"/>
  <c r="M40" i="19"/>
  <c r="M40" i="17"/>
  <c r="M40" i="13"/>
  <c r="R54" i="17"/>
  <c r="R54" i="16"/>
  <c r="R54" i="8"/>
  <c r="R54" i="10"/>
  <c r="R54" i="11"/>
  <c r="R54" i="13"/>
  <c r="R54" i="19"/>
  <c r="R54" i="9"/>
  <c r="R54" i="12"/>
  <c r="R54" i="14"/>
  <c r="R54" i="18"/>
  <c r="R54" i="15"/>
  <c r="Q53" i="18"/>
  <c r="Q53" i="16"/>
  <c r="Q53" i="9"/>
  <c r="Q53" i="8"/>
  <c r="Q53" i="12"/>
  <c r="Q53" i="14"/>
  <c r="Q53" i="17"/>
  <c r="Q53" i="10"/>
  <c r="Q53" i="11"/>
  <c r="Q53" i="15"/>
  <c r="Q53" i="19"/>
  <c r="Q53" i="13"/>
  <c r="R27" i="16"/>
  <c r="R27" i="19"/>
  <c r="R27" i="12"/>
  <c r="R27" i="10"/>
  <c r="R27" i="11"/>
  <c r="R27" i="17"/>
  <c r="R27" i="14"/>
  <c r="R27" i="9"/>
  <c r="R27" i="13"/>
  <c r="R27" i="15"/>
  <c r="R27" i="18"/>
  <c r="R27" i="8"/>
  <c r="U18" i="17"/>
  <c r="U18" i="14"/>
  <c r="U18" i="8"/>
  <c r="U18" i="15"/>
  <c r="U18" i="13"/>
  <c r="U18" i="19"/>
  <c r="U18" i="16"/>
  <c r="U18" i="11"/>
  <c r="U18" i="10"/>
  <c r="U18" i="18"/>
  <c r="U18" i="12"/>
  <c r="U18" i="9"/>
  <c r="N5" i="15"/>
  <c r="N5" i="18"/>
  <c r="N5" i="13"/>
  <c r="N5" i="11"/>
  <c r="N5" i="8"/>
  <c r="N5" i="16"/>
  <c r="N5" i="19"/>
  <c r="N5" i="10"/>
  <c r="N5" i="12"/>
  <c r="N5" i="14"/>
  <c r="N5" i="17"/>
  <c r="N5" i="9"/>
  <c r="N12" i="14"/>
  <c r="N12" i="8"/>
  <c r="N12" i="18"/>
  <c r="N12" i="11"/>
  <c r="N12" i="10"/>
  <c r="N12" i="12"/>
  <c r="N12" i="16"/>
  <c r="N12" i="15"/>
  <c r="N12" i="9"/>
  <c r="N12" i="13"/>
  <c r="N12" i="17"/>
  <c r="N12" i="19"/>
  <c r="Y53" i="14"/>
  <c r="Y53" i="18"/>
  <c r="Y53" i="13"/>
  <c r="Y53" i="16"/>
  <c r="Y53" i="19"/>
  <c r="Y53" i="9"/>
  <c r="Y53" i="12"/>
  <c r="Y53" i="8"/>
  <c r="Y53" i="11"/>
  <c r="Y53" i="17"/>
  <c r="Y53" i="15"/>
  <c r="Y53" i="10"/>
  <c r="P48" i="18"/>
  <c r="P48" i="16"/>
  <c r="P48" i="8"/>
  <c r="P48" i="15"/>
  <c r="P48" i="12"/>
  <c r="P48" i="13"/>
  <c r="P48" i="19"/>
  <c r="P48" i="11"/>
  <c r="P48" i="9"/>
  <c r="P48" i="17"/>
  <c r="P48" i="10"/>
  <c r="P48" i="14"/>
  <c r="S21" i="9"/>
  <c r="S21" i="12"/>
  <c r="S21" i="10"/>
  <c r="S21" i="8"/>
  <c r="S21" i="17"/>
  <c r="S21" i="19"/>
  <c r="S21" i="13"/>
  <c r="S21" i="16"/>
  <c r="S21" i="18"/>
  <c r="S21" i="11"/>
  <c r="S21" i="15"/>
  <c r="S21" i="14"/>
  <c r="U54" i="9"/>
  <c r="U54" i="12"/>
  <c r="U54" i="8"/>
  <c r="U54" i="10"/>
  <c r="U54" i="15"/>
  <c r="U54" i="18"/>
  <c r="U54" i="13"/>
  <c r="U54" i="19"/>
  <c r="U54" i="17"/>
  <c r="U54" i="11"/>
  <c r="U54" i="16"/>
  <c r="U54" i="14"/>
  <c r="P27" i="16"/>
  <c r="P27" i="15"/>
  <c r="P27" i="13"/>
  <c r="P27" i="18"/>
  <c r="P27" i="17"/>
  <c r="P27" i="9"/>
  <c r="P27" i="11"/>
  <c r="P27" i="8"/>
  <c r="P27" i="12"/>
  <c r="P27" i="14"/>
  <c r="P27" i="19"/>
  <c r="P27" i="10"/>
  <c r="X3" i="14"/>
  <c r="X3" i="15"/>
  <c r="X3" i="11"/>
  <c r="X3" i="19"/>
  <c r="X3" i="17"/>
  <c r="X3" i="10"/>
  <c r="X3" i="12"/>
  <c r="X3" i="9"/>
  <c r="X3" i="13"/>
  <c r="X3" i="16"/>
  <c r="X3" i="18"/>
  <c r="X3" i="8"/>
  <c r="Q55" i="19"/>
  <c r="Q55" i="16"/>
  <c r="Q55" i="12"/>
  <c r="Q55" i="17"/>
  <c r="Q55" i="15"/>
  <c r="Q55" i="11"/>
  <c r="Q55" i="9"/>
  <c r="Q55" i="10"/>
  <c r="Q55" i="14"/>
  <c r="Q55" i="13"/>
  <c r="Q55" i="18"/>
  <c r="Q55" i="8"/>
  <c r="N6" i="19"/>
  <c r="N6" i="17"/>
  <c r="N6" i="15"/>
  <c r="N6" i="11"/>
  <c r="N6" i="9"/>
  <c r="N6" i="8"/>
  <c r="N6" i="13"/>
  <c r="N6" i="14"/>
  <c r="N6" i="18"/>
  <c r="N6" i="10"/>
  <c r="N6" i="12"/>
  <c r="N6" i="16"/>
  <c r="K9" i="17"/>
  <c r="K9" i="9"/>
  <c r="K9" i="11"/>
  <c r="K9" i="18"/>
  <c r="K9" i="14"/>
  <c r="K9" i="15"/>
  <c r="K9" i="10"/>
  <c r="K9" i="12"/>
  <c r="K9" i="16"/>
  <c r="K9" i="13"/>
  <c r="K9" i="8"/>
  <c r="K9" i="19"/>
  <c r="S48" i="18"/>
  <c r="S48" i="14"/>
  <c r="S48" i="16"/>
  <c r="S48" i="9"/>
  <c r="S48" i="10"/>
  <c r="S48" i="15"/>
  <c r="S48" i="11"/>
  <c r="S48" i="19"/>
  <c r="S48" i="17"/>
  <c r="S48" i="12"/>
  <c r="S48" i="8"/>
  <c r="S48" i="13"/>
  <c r="Q20" i="13"/>
  <c r="Q20" i="9"/>
  <c r="Q20" i="19"/>
  <c r="Q20" i="8"/>
  <c r="Q20" i="12"/>
  <c r="Q20" i="14"/>
  <c r="Q20" i="18"/>
  <c r="Q20" i="11"/>
  <c r="Q20" i="15"/>
  <c r="Q20" i="17"/>
  <c r="Q20" i="10"/>
  <c r="Q20" i="16"/>
  <c r="P19" i="19"/>
  <c r="P19" i="15"/>
  <c r="P19" i="10"/>
  <c r="P19" i="14"/>
  <c r="P19" i="17"/>
  <c r="P19" i="13"/>
  <c r="P19" i="11"/>
  <c r="P19" i="16"/>
  <c r="P19" i="18"/>
  <c r="P19" i="9"/>
  <c r="P19" i="12"/>
  <c r="P19" i="8"/>
  <c r="Q31" i="18"/>
  <c r="Q31" i="15"/>
  <c r="Q31" i="13"/>
  <c r="Q31" i="12"/>
  <c r="Q31" i="17"/>
  <c r="Q31" i="19"/>
  <c r="Q31" i="9"/>
  <c r="Q31" i="11"/>
  <c r="Q31" i="14"/>
  <c r="Q31" i="16"/>
  <c r="Q31" i="10"/>
  <c r="Q31" i="8"/>
  <c r="X50" i="14"/>
  <c r="X50" i="12"/>
  <c r="X50" i="16"/>
  <c r="X50" i="17"/>
  <c r="X50" i="10"/>
  <c r="X50" i="9"/>
  <c r="X50" i="19"/>
  <c r="X50" i="11"/>
  <c r="X50" i="15"/>
  <c r="X50" i="13"/>
  <c r="X50" i="8"/>
  <c r="X50" i="18"/>
  <c r="O53" i="17"/>
  <c r="O53" i="19"/>
  <c r="O53" i="10"/>
  <c r="O53" i="12"/>
  <c r="O53" i="16"/>
  <c r="O53" i="18"/>
  <c r="O53" i="9"/>
  <c r="O53" i="11"/>
  <c r="O53" i="13"/>
  <c r="O53" i="14"/>
  <c r="O53" i="15"/>
  <c r="O53" i="8"/>
  <c r="N44" i="13"/>
  <c r="N44" i="18"/>
  <c r="N44" i="10"/>
  <c r="N44" i="12"/>
  <c r="N44" i="14"/>
  <c r="N44" i="17"/>
  <c r="N44" i="9"/>
  <c r="N44" i="11"/>
  <c r="N44" i="15"/>
  <c r="N44" i="19"/>
  <c r="N44" i="8"/>
  <c r="N44" i="16"/>
  <c r="O47" i="18"/>
  <c r="O47" i="15"/>
  <c r="O47" i="13"/>
  <c r="O47" i="8"/>
  <c r="O47" i="12"/>
  <c r="O47" i="16"/>
  <c r="O47" i="10"/>
  <c r="O47" i="14"/>
  <c r="O47" i="17"/>
  <c r="O47" i="19"/>
  <c r="O47" i="11"/>
  <c r="O47" i="9"/>
  <c r="P47" i="18"/>
  <c r="P47" i="15"/>
  <c r="P47" i="12"/>
  <c r="P47" i="10"/>
  <c r="P47" i="19"/>
  <c r="P47" i="16"/>
  <c r="P47" i="11"/>
  <c r="P47" i="9"/>
  <c r="P47" i="14"/>
  <c r="P47" i="17"/>
  <c r="P47" i="13"/>
  <c r="P47" i="8"/>
  <c r="R36" i="18"/>
  <c r="R36" i="16"/>
  <c r="R36" i="14"/>
  <c r="R36" i="15"/>
  <c r="R36" i="9"/>
  <c r="R36" i="19"/>
  <c r="R36" i="11"/>
  <c r="R36" i="13"/>
  <c r="R36" i="17"/>
  <c r="R36" i="10"/>
  <c r="R36" i="8"/>
  <c r="R36" i="12"/>
  <c r="M14" i="17"/>
  <c r="M14" i="14"/>
  <c r="M14" i="8"/>
  <c r="M14" i="12"/>
  <c r="M14" i="15"/>
  <c r="M14" i="18"/>
  <c r="M14" i="11"/>
  <c r="M14" i="13"/>
  <c r="M14" i="19"/>
  <c r="M14" i="16"/>
  <c r="M14" i="10"/>
  <c r="M14" i="9"/>
  <c r="X49" i="19"/>
  <c r="X49" i="16"/>
  <c r="X49" i="14"/>
  <c r="X49" i="10"/>
  <c r="X49" i="18"/>
  <c r="X49" i="13"/>
  <c r="X49" i="11"/>
  <c r="X49" i="8"/>
  <c r="X49" i="17"/>
  <c r="X49" i="15"/>
  <c r="X49" i="12"/>
  <c r="X49" i="9"/>
  <c r="N50" i="19"/>
  <c r="N50" i="16"/>
  <c r="N50" i="10"/>
  <c r="N50" i="11"/>
  <c r="N50" i="17"/>
  <c r="N50" i="14"/>
  <c r="N50" i="13"/>
  <c r="N50" i="9"/>
  <c r="N50" i="18"/>
  <c r="N50" i="15"/>
  <c r="N50" i="12"/>
  <c r="N50" i="8"/>
  <c r="K5" i="16"/>
  <c r="K5" i="15"/>
  <c r="K5" i="12"/>
  <c r="K5" i="13"/>
  <c r="K5" i="18"/>
  <c r="K5" i="17"/>
  <c r="K5" i="9"/>
  <c r="K5" i="11"/>
  <c r="K5" i="14"/>
  <c r="K5" i="19"/>
  <c r="K5" i="8"/>
  <c r="K5" i="10"/>
  <c r="K7" i="15"/>
  <c r="K7" i="12"/>
  <c r="K7" i="9"/>
  <c r="K7" i="16"/>
  <c r="K7" i="17"/>
  <c r="K7" i="10"/>
  <c r="K7" i="8"/>
  <c r="K7" i="18"/>
  <c r="K7" i="11"/>
  <c r="K7" i="14"/>
  <c r="K7" i="19"/>
  <c r="K7" i="13"/>
  <c r="T46" i="18"/>
  <c r="T46" i="16"/>
  <c r="T46" i="11"/>
  <c r="T46" i="10"/>
  <c r="T46" i="19"/>
  <c r="T46" i="15"/>
  <c r="T46" i="12"/>
  <c r="T46" i="9"/>
  <c r="T46" i="17"/>
  <c r="T46" i="14"/>
  <c r="T46" i="13"/>
  <c r="T46" i="8"/>
  <c r="V53" i="19"/>
  <c r="V53" i="15"/>
  <c r="V53" i="13"/>
  <c r="V53" i="9"/>
  <c r="V53" i="18"/>
  <c r="V53" i="8"/>
  <c r="V53" i="12"/>
  <c r="V53" i="16"/>
  <c r="V53" i="14"/>
  <c r="V53" i="17"/>
  <c r="V53" i="10"/>
  <c r="V53" i="11"/>
  <c r="U52" i="14"/>
  <c r="U52" i="18"/>
  <c r="U52" i="9"/>
  <c r="U52" i="11"/>
  <c r="U52" i="15"/>
  <c r="U52" i="17"/>
  <c r="U52" i="12"/>
  <c r="U52" i="10"/>
  <c r="U52" i="19"/>
  <c r="U52" i="13"/>
  <c r="U52" i="16"/>
  <c r="U52" i="8"/>
  <c r="J22" i="12"/>
  <c r="J22" i="9"/>
  <c r="J22" i="18"/>
  <c r="J22" i="16"/>
  <c r="J22" i="13"/>
  <c r="J22" i="10"/>
  <c r="J22" i="17"/>
  <c r="J22" i="15"/>
  <c r="J22" i="11"/>
  <c r="J22" i="8"/>
  <c r="J22" i="19"/>
  <c r="J22" i="14"/>
  <c r="T31" i="17"/>
  <c r="T31" i="14"/>
  <c r="T31" i="11"/>
  <c r="T31" i="8"/>
  <c r="T31" i="18"/>
  <c r="T31" i="15"/>
  <c r="T31" i="13"/>
  <c r="T31" i="10"/>
  <c r="T31" i="19"/>
  <c r="T31" i="16"/>
  <c r="T31" i="12"/>
  <c r="T31" i="9"/>
  <c r="X47" i="18"/>
  <c r="X47" i="16"/>
  <c r="X47" i="8"/>
  <c r="X47" i="13"/>
  <c r="X47" i="15"/>
  <c r="X47" i="17"/>
  <c r="X47" i="11"/>
  <c r="X47" i="9"/>
  <c r="X47" i="19"/>
  <c r="X47" i="14"/>
  <c r="X47" i="12"/>
  <c r="X47" i="10"/>
  <c r="T41" i="18"/>
  <c r="T41" i="15"/>
  <c r="T41" i="13"/>
  <c r="T41" i="10"/>
  <c r="T41" i="19"/>
  <c r="T41" i="14"/>
  <c r="T41" i="11"/>
  <c r="T41" i="9"/>
  <c r="T41" i="17"/>
  <c r="T41" i="16"/>
  <c r="T41" i="12"/>
  <c r="T41" i="8"/>
  <c r="P36" i="19"/>
  <c r="P36" i="16"/>
  <c r="P36" i="12"/>
  <c r="P36" i="10"/>
  <c r="P36" i="18"/>
  <c r="P36" i="15"/>
  <c r="P36" i="13"/>
  <c r="P36" i="9"/>
  <c r="P36" i="17"/>
  <c r="P36" i="14"/>
  <c r="P36" i="11"/>
  <c r="P36" i="8"/>
  <c r="I42" i="19"/>
  <c r="I42" i="16"/>
  <c r="I42" i="15"/>
  <c r="I42" i="9"/>
  <c r="I42" i="18"/>
  <c r="I42" i="12"/>
  <c r="I42" i="11"/>
  <c r="I42" i="10"/>
  <c r="I42" i="17"/>
  <c r="I42" i="14"/>
  <c r="I42" i="13"/>
  <c r="I42" i="8"/>
  <c r="J37" i="18"/>
  <c r="J37" i="15"/>
  <c r="J37" i="12"/>
  <c r="J37" i="10"/>
  <c r="J37" i="19"/>
  <c r="J37" i="14"/>
  <c r="J37" i="11"/>
  <c r="J37" i="8"/>
  <c r="J37" i="17"/>
  <c r="J37" i="16"/>
  <c r="J37" i="13"/>
  <c r="J37" i="9"/>
  <c r="L2" i="19"/>
  <c r="L2" i="17"/>
  <c r="L2" i="12"/>
  <c r="L2" i="11"/>
  <c r="L2" i="18"/>
  <c r="L2" i="16"/>
  <c r="L2" i="10"/>
  <c r="L2" i="9"/>
  <c r="L2" i="15"/>
  <c r="L2" i="14"/>
  <c r="L2" i="13"/>
  <c r="L2" i="8"/>
  <c r="W16" i="18"/>
  <c r="W16" i="17"/>
  <c r="W16" i="13"/>
  <c r="W16" i="10"/>
  <c r="W16" i="19"/>
  <c r="W16" i="15"/>
  <c r="W16" i="12"/>
  <c r="W16" i="9"/>
  <c r="W16" i="16"/>
  <c r="W16" i="14"/>
  <c r="W16" i="11"/>
  <c r="W16" i="8"/>
  <c r="U56" i="18"/>
  <c r="U56" i="15"/>
  <c r="U56" i="13"/>
  <c r="U56" i="10"/>
  <c r="U56" i="19"/>
  <c r="U56" i="16"/>
  <c r="U56" i="11"/>
  <c r="U56" i="9"/>
  <c r="U56" i="17"/>
  <c r="U56" i="14"/>
  <c r="U56" i="12"/>
  <c r="U56" i="8"/>
  <c r="W12" i="19"/>
  <c r="W12" i="14"/>
  <c r="W12" i="10"/>
  <c r="W12" i="11"/>
  <c r="W12" i="17"/>
  <c r="W12" i="16"/>
  <c r="W12" i="12"/>
  <c r="W12" i="9"/>
  <c r="W12" i="18"/>
  <c r="W12" i="15"/>
  <c r="W12" i="13"/>
  <c r="W12" i="8"/>
  <c r="Y39" i="19"/>
  <c r="Y39" i="14"/>
  <c r="Y39" i="12"/>
  <c r="Y39" i="9"/>
  <c r="Y39" i="18"/>
  <c r="Y39" i="16"/>
  <c r="Y39" i="13"/>
  <c r="Y39" i="10"/>
  <c r="Y39" i="17"/>
  <c r="Y39" i="15"/>
  <c r="Y39" i="11"/>
  <c r="Y39" i="8"/>
  <c r="Y50" i="18"/>
  <c r="Y50" i="15"/>
  <c r="Y50" i="10"/>
  <c r="Y50" i="11"/>
  <c r="Y50" i="19"/>
  <c r="Y50" i="14"/>
  <c r="Y50" i="13"/>
  <c r="Y50" i="9"/>
  <c r="Y50" i="17"/>
  <c r="Y50" i="16"/>
  <c r="Y50" i="12"/>
  <c r="Y50" i="8"/>
  <c r="R39" i="19"/>
  <c r="R39" i="13"/>
  <c r="R39" i="14"/>
  <c r="R39" i="8"/>
  <c r="R39" i="18"/>
  <c r="R39" i="16"/>
  <c r="R39" i="12"/>
  <c r="R39" i="10"/>
  <c r="R39" i="17"/>
  <c r="R39" i="15"/>
  <c r="R39" i="11"/>
  <c r="R39" i="9"/>
  <c r="S34" i="19"/>
  <c r="S34" i="16"/>
  <c r="S34" i="14"/>
  <c r="S34" i="10"/>
  <c r="S34" i="18"/>
  <c r="S34" i="13"/>
  <c r="S34" i="11"/>
  <c r="S34" i="8"/>
  <c r="S34" i="17"/>
  <c r="S34" i="15"/>
  <c r="S34" i="12"/>
  <c r="S34" i="9"/>
  <c r="M18" i="19"/>
  <c r="M18" i="15"/>
  <c r="M18" i="13"/>
  <c r="M18" i="10"/>
  <c r="M18" i="18"/>
  <c r="M18" i="14"/>
  <c r="M18" i="11"/>
  <c r="M18" i="9"/>
  <c r="M18" i="17"/>
  <c r="M18" i="16"/>
  <c r="M18" i="8"/>
  <c r="M18" i="12"/>
  <c r="M10" i="12"/>
  <c r="M10" i="18"/>
  <c r="M10" i="10"/>
  <c r="M10" i="11"/>
  <c r="M10" i="14"/>
  <c r="M10" i="17"/>
  <c r="M10" i="8"/>
  <c r="M10" i="13"/>
  <c r="M10" i="19"/>
  <c r="M10" i="16"/>
  <c r="M10" i="15"/>
  <c r="M10" i="9"/>
  <c r="Q48" i="16"/>
  <c r="Q48" i="18"/>
  <c r="Q48" i="10"/>
  <c r="Q48" i="12"/>
  <c r="Q48" i="14"/>
  <c r="Q48" i="17"/>
  <c r="Q48" i="9"/>
  <c r="Q48" i="11"/>
  <c r="Q48" i="19"/>
  <c r="Q48" i="13"/>
  <c r="Q48" i="15"/>
  <c r="Q48" i="8"/>
  <c r="Q5" i="15"/>
  <c r="Q5" i="12"/>
  <c r="Q5" i="10"/>
  <c r="Q5" i="16"/>
  <c r="Q5" i="18"/>
  <c r="Q5" i="9"/>
  <c r="Q5" i="8"/>
  <c r="Q5" i="17"/>
  <c r="Q5" i="11"/>
  <c r="Q5" i="14"/>
  <c r="Q5" i="19"/>
  <c r="Q5" i="13"/>
  <c r="R35" i="15"/>
  <c r="R35" i="18"/>
  <c r="R35" i="9"/>
  <c r="R35" i="14"/>
  <c r="R35" i="17"/>
  <c r="R35" i="13"/>
  <c r="R35" i="8"/>
  <c r="R35" i="11"/>
  <c r="R35" i="16"/>
  <c r="R35" i="19"/>
  <c r="R35" i="10"/>
  <c r="R35" i="12"/>
  <c r="I11" i="14"/>
  <c r="I11" i="17"/>
  <c r="I11" i="11"/>
  <c r="I11" i="9"/>
  <c r="I11" i="19"/>
  <c r="I11" i="15"/>
  <c r="I11" i="13"/>
  <c r="I11" i="8"/>
  <c r="I11" i="18"/>
  <c r="I11" i="16"/>
  <c r="I11" i="12"/>
  <c r="I11" i="10"/>
  <c r="I6" i="18"/>
  <c r="I6" i="17"/>
  <c r="I6" i="12"/>
  <c r="I6" i="11"/>
  <c r="I6" i="19"/>
  <c r="I6" i="16"/>
  <c r="I6" i="10"/>
  <c r="I6" i="9"/>
  <c r="I6" i="15"/>
  <c r="I6" i="14"/>
  <c r="I6" i="13"/>
  <c r="I6" i="8"/>
  <c r="Q9" i="14"/>
  <c r="Q9" i="19"/>
  <c r="Q9" i="10"/>
  <c r="Q9" i="11"/>
  <c r="Q9" i="17"/>
  <c r="Q9" i="16"/>
  <c r="Q9" i="9"/>
  <c r="Q9" i="12"/>
  <c r="Q9" i="15"/>
  <c r="Q9" i="18"/>
  <c r="Q9" i="13"/>
  <c r="Q9" i="8"/>
  <c r="Q47" i="18"/>
  <c r="Q47" i="16"/>
  <c r="Q47" i="13"/>
  <c r="Q47" i="11"/>
  <c r="Q47" i="19"/>
  <c r="Q47" i="15"/>
  <c r="Q47" i="10"/>
  <c r="Q47" i="9"/>
  <c r="Q47" i="17"/>
  <c r="Q47" i="14"/>
  <c r="Q47" i="12"/>
  <c r="Q47" i="8"/>
  <c r="K2" i="19"/>
  <c r="K2" i="15"/>
  <c r="K2" i="13"/>
  <c r="K2" i="11"/>
  <c r="K2" i="17"/>
  <c r="K2" i="14"/>
  <c r="K2" i="10"/>
  <c r="K2" i="9"/>
  <c r="K2" i="18"/>
  <c r="K2" i="16"/>
  <c r="K2" i="12"/>
  <c r="K2" i="8"/>
  <c r="O33" i="18"/>
  <c r="O33" i="14"/>
  <c r="O33" i="13"/>
  <c r="O33" i="8"/>
  <c r="O33" i="19"/>
  <c r="O33" i="16"/>
  <c r="O33" i="11"/>
  <c r="O33" i="12"/>
  <c r="O33" i="15"/>
  <c r="O33" i="10"/>
  <c r="O33" i="9"/>
  <c r="O33" i="17"/>
  <c r="L40" i="19"/>
  <c r="L40" i="13"/>
  <c r="L40" i="15"/>
  <c r="L40" i="8"/>
  <c r="L40" i="18"/>
  <c r="L40" i="16"/>
  <c r="L40" i="12"/>
  <c r="L40" i="10"/>
  <c r="L40" i="17"/>
  <c r="L40" i="14"/>
  <c r="L40" i="11"/>
  <c r="L40" i="9"/>
  <c r="T12" i="18"/>
  <c r="T12" i="17"/>
  <c r="T12" i="10"/>
  <c r="T12" i="11"/>
  <c r="T12" i="19"/>
  <c r="T12" i="14"/>
  <c r="T12" i="13"/>
  <c r="T12" i="9"/>
  <c r="T12" i="15"/>
  <c r="T12" i="16"/>
  <c r="T12" i="12"/>
  <c r="T12" i="8"/>
  <c r="X14" i="18"/>
  <c r="X14" i="15"/>
  <c r="X14" i="13"/>
  <c r="X14" i="10"/>
  <c r="X14" i="19"/>
  <c r="X14" i="16"/>
  <c r="X14" i="11"/>
  <c r="X14" i="9"/>
  <c r="X14" i="17"/>
  <c r="X14" i="14"/>
  <c r="X14" i="12"/>
  <c r="X14" i="8"/>
  <c r="I41" i="12"/>
  <c r="I41" i="17"/>
  <c r="I41" i="9"/>
  <c r="I41" i="10"/>
  <c r="I41" i="19"/>
  <c r="I41" i="16"/>
  <c r="I41" i="11"/>
  <c r="I41" i="8"/>
  <c r="I41" i="15"/>
  <c r="I41" i="18"/>
  <c r="I41" i="13"/>
  <c r="I41" i="14"/>
  <c r="V49" i="12"/>
  <c r="V49" i="9"/>
  <c r="V49" i="18"/>
  <c r="V49" i="16"/>
  <c r="V49" i="13"/>
  <c r="V49" i="8"/>
  <c r="V49" i="17"/>
  <c r="V49" i="14"/>
  <c r="V49" i="11"/>
  <c r="V49" i="10"/>
  <c r="V49" i="19"/>
  <c r="V49" i="15"/>
  <c r="L24" i="13"/>
  <c r="L24" i="12"/>
  <c r="L24" i="17"/>
  <c r="L24" i="14"/>
  <c r="L24" i="10"/>
  <c r="L24" i="9"/>
  <c r="L24" i="18"/>
  <c r="L24" i="15"/>
  <c r="L24" i="11"/>
  <c r="L24" i="8"/>
  <c r="L24" i="16"/>
  <c r="L24" i="19"/>
  <c r="P50" i="13"/>
  <c r="P50" i="9"/>
  <c r="P50" i="19"/>
  <c r="P50" i="14"/>
  <c r="P50" i="11"/>
  <c r="P50" i="8"/>
  <c r="P50" i="18"/>
  <c r="P50" i="15"/>
  <c r="P50" i="12"/>
  <c r="P50" i="10"/>
  <c r="P50" i="16"/>
  <c r="P50" i="17"/>
  <c r="K10" i="12"/>
  <c r="K10" i="10"/>
  <c r="K10" i="19"/>
  <c r="K10" i="15"/>
  <c r="K10" i="11"/>
  <c r="K10" i="9"/>
  <c r="K10" i="17"/>
  <c r="K10" i="14"/>
  <c r="K10" i="13"/>
  <c r="K10" i="8"/>
  <c r="K10" i="18"/>
  <c r="K10" i="16"/>
  <c r="O44" i="14"/>
  <c r="O44" i="10"/>
  <c r="O44" i="18"/>
  <c r="O44" i="13"/>
  <c r="O44" i="11"/>
  <c r="O44" i="8"/>
  <c r="O44" i="17"/>
  <c r="O44" i="15"/>
  <c r="O44" i="12"/>
  <c r="O44" i="9"/>
  <c r="O44" i="19"/>
  <c r="O44" i="16"/>
  <c r="X4" i="13"/>
  <c r="X4" i="8"/>
  <c r="X4" i="18"/>
  <c r="X4" i="14"/>
  <c r="X4" i="12"/>
  <c r="X4" i="10"/>
  <c r="X4" i="16"/>
  <c r="X4" i="15"/>
  <c r="X4" i="11"/>
  <c r="X4" i="9"/>
  <c r="X4" i="19"/>
  <c r="X4" i="17"/>
  <c r="S18" i="13"/>
  <c r="S18" i="8"/>
  <c r="S18" i="19"/>
  <c r="S18" i="17"/>
  <c r="S18" i="12"/>
  <c r="S18" i="15"/>
  <c r="S18" i="16"/>
  <c r="S18" i="11"/>
  <c r="S18" i="9"/>
  <c r="S18" i="10"/>
  <c r="S18" i="18"/>
  <c r="S18" i="14"/>
  <c r="J42" i="9"/>
  <c r="J42" i="18"/>
  <c r="J42" i="16"/>
  <c r="J42" i="13"/>
  <c r="J42" i="10"/>
  <c r="J42" i="19"/>
  <c r="J42" i="14"/>
  <c r="J42" i="8"/>
  <c r="J42" i="11"/>
  <c r="J42" i="17"/>
  <c r="J42" i="12"/>
  <c r="J42" i="15"/>
  <c r="N26" i="10"/>
  <c r="N26" i="8"/>
  <c r="N26" i="18"/>
  <c r="N26" i="14"/>
  <c r="N26" i="11"/>
  <c r="N26" i="9"/>
  <c r="N26" i="19"/>
  <c r="N26" i="16"/>
  <c r="N26" i="12"/>
  <c r="N26" i="13"/>
  <c r="N26" i="15"/>
  <c r="N26" i="17"/>
  <c r="T55" i="13"/>
  <c r="T55" i="8"/>
  <c r="T55" i="19"/>
  <c r="T55" i="14"/>
  <c r="T55" i="11"/>
  <c r="T55" i="10"/>
  <c r="T55" i="18"/>
  <c r="T55" i="15"/>
  <c r="T55" i="12"/>
  <c r="T55" i="9"/>
  <c r="T55" i="17"/>
  <c r="T55" i="16"/>
  <c r="N32" i="16"/>
  <c r="N32" i="10"/>
  <c r="N32" i="18"/>
  <c r="N32" i="14"/>
  <c r="N32" i="13"/>
  <c r="N32" i="9"/>
  <c r="N32" i="17"/>
  <c r="N32" i="15"/>
  <c r="N32" i="11"/>
  <c r="N32" i="8"/>
  <c r="N32" i="19"/>
  <c r="N32" i="12"/>
  <c r="R18" i="12"/>
  <c r="R18" i="10"/>
  <c r="R18" i="16"/>
  <c r="R18" i="14"/>
  <c r="R18" i="13"/>
  <c r="R18" i="9"/>
  <c r="R18" i="17"/>
  <c r="R18" i="15"/>
  <c r="R18" i="11"/>
  <c r="R18" i="8"/>
  <c r="R18" i="19"/>
  <c r="R18" i="18"/>
  <c r="K54" i="15"/>
  <c r="K54" i="8"/>
  <c r="K54" i="18"/>
  <c r="K54" i="13"/>
  <c r="K54" i="12"/>
  <c r="K54" i="10"/>
  <c r="K54" i="17"/>
  <c r="K54" i="14"/>
  <c r="K54" i="11"/>
  <c r="K54" i="9"/>
  <c r="K54" i="19"/>
  <c r="K54" i="16"/>
  <c r="L18" i="13"/>
  <c r="L18" i="8"/>
  <c r="L18" i="16"/>
  <c r="L18" i="14"/>
  <c r="L18" i="11"/>
  <c r="L18" i="10"/>
  <c r="L18" i="17"/>
  <c r="L18" i="15"/>
  <c r="L18" i="12"/>
  <c r="L18" i="9"/>
  <c r="L18" i="19"/>
  <c r="L18" i="18"/>
  <c r="P28" i="10"/>
  <c r="P28" i="15"/>
  <c r="P28" i="18"/>
  <c r="P28" i="13"/>
  <c r="P28" i="12"/>
  <c r="P28" i="11"/>
  <c r="P28" i="17"/>
  <c r="P28" i="9"/>
  <c r="P28" i="8"/>
  <c r="P28" i="19"/>
  <c r="P28" i="14"/>
  <c r="P28" i="16"/>
  <c r="W51" i="10"/>
  <c r="W51" i="15"/>
  <c r="W51" i="14"/>
  <c r="W51" i="12"/>
  <c r="W51" i="9"/>
  <c r="W51" i="11"/>
  <c r="W51" i="18"/>
  <c r="W51" i="19"/>
  <c r="W51" i="8"/>
  <c r="W51" i="13"/>
  <c r="W51" i="16"/>
  <c r="W51" i="17"/>
  <c r="U27" i="8"/>
  <c r="U27" i="10"/>
  <c r="U27" i="19"/>
  <c r="U27" i="13"/>
  <c r="U27" i="11"/>
  <c r="U27" i="9"/>
  <c r="U27" i="18"/>
  <c r="U27" i="15"/>
  <c r="U27" i="12"/>
  <c r="U27" i="14"/>
  <c r="U27" i="17"/>
  <c r="U27" i="16"/>
  <c r="P22" i="11"/>
  <c r="P22" i="12"/>
  <c r="P22" i="14"/>
  <c r="P22" i="17"/>
  <c r="P22" i="13"/>
  <c r="P22" i="9"/>
  <c r="P22" i="18"/>
  <c r="P22" i="15"/>
  <c r="P22" i="10"/>
  <c r="P22" i="8"/>
  <c r="P22" i="16"/>
  <c r="P22" i="19"/>
  <c r="L56" i="13"/>
  <c r="L56" i="8"/>
  <c r="L56" i="19"/>
  <c r="L56" i="15"/>
  <c r="L56" i="11"/>
  <c r="L56" i="10"/>
  <c r="L56" i="18"/>
  <c r="L56" i="14"/>
  <c r="L56" i="12"/>
  <c r="L56" i="9"/>
  <c r="L56" i="16"/>
  <c r="L56" i="17"/>
  <c r="O36" i="15"/>
  <c r="O36" i="11"/>
  <c r="O36" i="18"/>
  <c r="O36" i="13"/>
  <c r="O36" i="9"/>
  <c r="O36" i="8"/>
  <c r="O36" i="17"/>
  <c r="O36" i="14"/>
  <c r="O36" i="12"/>
  <c r="O36" i="10"/>
  <c r="O36" i="19"/>
  <c r="O36" i="16"/>
  <c r="S30" i="13"/>
  <c r="S30" i="11"/>
  <c r="S30" i="17"/>
  <c r="S30" i="14"/>
  <c r="S30" i="10"/>
  <c r="S30" i="9"/>
  <c r="S30" i="15"/>
  <c r="S30" i="16"/>
  <c r="S30" i="12"/>
  <c r="S30" i="8"/>
  <c r="S30" i="19"/>
  <c r="S30" i="18"/>
  <c r="S33" i="13"/>
  <c r="S33" i="8"/>
  <c r="S33" i="16"/>
  <c r="S33" i="15"/>
  <c r="S33" i="11"/>
  <c r="S33" i="9"/>
  <c r="S33" i="18"/>
  <c r="S33" i="14"/>
  <c r="S33" i="12"/>
  <c r="S33" i="10"/>
  <c r="S33" i="17"/>
  <c r="S33" i="19"/>
  <c r="J27" i="16"/>
  <c r="J27" i="10"/>
  <c r="J27" i="18"/>
  <c r="J27" i="15"/>
  <c r="J27" i="13"/>
  <c r="J27" i="9"/>
  <c r="J27" i="17"/>
  <c r="J27" i="14"/>
  <c r="J27" i="11"/>
  <c r="J27" i="8"/>
  <c r="J27" i="19"/>
  <c r="J27" i="12"/>
  <c r="V7" i="14"/>
  <c r="V7" i="10"/>
  <c r="V7" i="18"/>
  <c r="V7" i="15"/>
  <c r="V7" i="11"/>
  <c r="V7" i="8"/>
  <c r="V7" i="12"/>
  <c r="V7" i="9"/>
  <c r="V7" i="16"/>
  <c r="V7" i="19"/>
  <c r="V7" i="17"/>
  <c r="V7" i="13"/>
  <c r="Y12" i="16"/>
  <c r="Y12" i="10"/>
  <c r="Y12" i="17"/>
  <c r="Y12" i="15"/>
  <c r="Y12" i="11"/>
  <c r="Y12" i="9"/>
  <c r="Y12" i="13"/>
  <c r="Y12" i="8"/>
  <c r="Y12" i="18"/>
  <c r="Y12" i="12"/>
  <c r="Y12" i="14"/>
  <c r="Y12" i="19"/>
  <c r="J30" i="17"/>
  <c r="J30" i="15"/>
  <c r="J30" i="8"/>
  <c r="J30" i="9"/>
  <c r="J30" i="19"/>
  <c r="J30" i="13"/>
  <c r="J30" i="14"/>
  <c r="J30" i="10"/>
  <c r="J30" i="18"/>
  <c r="J30" i="16"/>
  <c r="J30" i="12"/>
  <c r="J30" i="11"/>
  <c r="N55" i="17"/>
  <c r="N55" i="14"/>
  <c r="N55" i="13"/>
  <c r="N55" i="8"/>
  <c r="N55" i="18"/>
  <c r="N55" i="16"/>
  <c r="N55" i="12"/>
  <c r="N55" i="10"/>
  <c r="N55" i="19"/>
  <c r="N55" i="15"/>
  <c r="N55" i="11"/>
  <c r="N55" i="9"/>
  <c r="W55" i="16"/>
  <c r="W55" i="17"/>
  <c r="W55" i="8"/>
  <c r="W55" i="12"/>
  <c r="W55" i="19"/>
  <c r="W55" i="13"/>
  <c r="W55" i="14"/>
  <c r="W55" i="10"/>
  <c r="W55" i="18"/>
  <c r="W55" i="15"/>
  <c r="W55" i="11"/>
  <c r="W55" i="9"/>
  <c r="L23" i="13"/>
  <c r="L23" i="16"/>
  <c r="L23" i="14"/>
  <c r="L23" i="12"/>
  <c r="L23" i="19"/>
  <c r="L23" i="10"/>
  <c r="L23" i="15"/>
  <c r="L23" i="11"/>
  <c r="L23" i="18"/>
  <c r="L23" i="8"/>
  <c r="L23" i="9"/>
  <c r="L23" i="17"/>
  <c r="S36" i="16"/>
  <c r="S36" i="19"/>
  <c r="S36" i="8"/>
  <c r="S36" i="13"/>
  <c r="S36" i="15"/>
  <c r="S36" i="14"/>
  <c r="S36" i="10"/>
  <c r="S36" i="12"/>
  <c r="S36" i="17"/>
  <c r="S36" i="18"/>
  <c r="S36" i="9"/>
  <c r="S36" i="11"/>
  <c r="J8" i="18"/>
  <c r="J8" i="16"/>
  <c r="J8" i="11"/>
  <c r="J8" i="8"/>
  <c r="J8" i="15"/>
  <c r="J8" i="19"/>
  <c r="J8" i="10"/>
  <c r="J8" i="13"/>
  <c r="J8" i="14"/>
  <c r="J8" i="17"/>
  <c r="J8" i="12"/>
  <c r="J8" i="9"/>
  <c r="Y23" i="18"/>
  <c r="Y23" i="16"/>
  <c r="Y23" i="13"/>
  <c r="Y23" i="8"/>
  <c r="Y23" i="19"/>
  <c r="Y23" i="15"/>
  <c r="Y23" i="10"/>
  <c r="Y23" i="11"/>
  <c r="Y23" i="17"/>
  <c r="Y23" i="14"/>
  <c r="Y23" i="9"/>
  <c r="Y23" i="12"/>
  <c r="T5" i="16"/>
  <c r="T5" i="14"/>
  <c r="T5" i="12"/>
  <c r="T5" i="9"/>
  <c r="T5" i="19"/>
  <c r="T5" i="17"/>
  <c r="T5" i="13"/>
  <c r="T5" i="8"/>
  <c r="T5" i="18"/>
  <c r="T5" i="15"/>
  <c r="T5" i="11"/>
  <c r="T5" i="10"/>
  <c r="W25" i="13"/>
  <c r="W25" i="17"/>
  <c r="W25" i="8"/>
  <c r="W25" i="12"/>
  <c r="W25" i="19"/>
  <c r="W25" i="15"/>
  <c r="W25" i="14"/>
  <c r="W25" i="10"/>
  <c r="W25" i="18"/>
  <c r="W25" i="16"/>
  <c r="W25" i="9"/>
  <c r="W25" i="11"/>
  <c r="I40" i="19"/>
  <c r="I40" i="14"/>
  <c r="I40" i="12"/>
  <c r="I40" i="9"/>
  <c r="I40" i="15"/>
  <c r="I40" i="18"/>
  <c r="I40" i="10"/>
  <c r="I40" i="13"/>
  <c r="I40" i="16"/>
  <c r="I40" i="17"/>
  <c r="I40" i="8"/>
  <c r="I40" i="11"/>
  <c r="N19" i="19"/>
  <c r="N19" i="12"/>
  <c r="N19" i="11"/>
  <c r="N19" i="13"/>
  <c r="N19" i="16"/>
  <c r="N19" i="15"/>
  <c r="N19" i="9"/>
  <c r="N19" i="10"/>
  <c r="N19" i="14"/>
  <c r="N19" i="18"/>
  <c r="N19" i="8"/>
  <c r="N19" i="17"/>
  <c r="U47" i="10"/>
  <c r="U47" i="16"/>
  <c r="U47" i="19"/>
  <c r="U47" i="13"/>
  <c r="U47" i="14"/>
  <c r="U47" i="12"/>
  <c r="U47" i="9"/>
  <c r="U47" i="17"/>
  <c r="U47" i="15"/>
  <c r="U47" i="8"/>
  <c r="U47" i="11"/>
  <c r="U47" i="18"/>
  <c r="M38" i="19"/>
  <c r="M38" i="14"/>
  <c r="M38" i="13"/>
  <c r="M38" i="8"/>
  <c r="M38" i="15"/>
  <c r="M38" i="18"/>
  <c r="M38" i="9"/>
  <c r="M38" i="11"/>
  <c r="M38" i="16"/>
  <c r="M38" i="17"/>
  <c r="M38" i="10"/>
  <c r="M38" i="12"/>
  <c r="M55" i="12"/>
  <c r="M55" i="17"/>
  <c r="M55" i="19"/>
  <c r="M55" i="16"/>
  <c r="M55" i="11"/>
  <c r="M55" i="10"/>
  <c r="M55" i="18"/>
  <c r="M55" i="9"/>
  <c r="M55" i="13"/>
  <c r="M55" i="8"/>
  <c r="M55" i="15"/>
  <c r="M55" i="14"/>
  <c r="X45" i="16"/>
  <c r="X45" i="17"/>
  <c r="X45" i="14"/>
  <c r="X45" i="13"/>
  <c r="X45" i="8"/>
  <c r="X45" i="19"/>
  <c r="X45" i="15"/>
  <c r="X45" i="12"/>
  <c r="X45" i="11"/>
  <c r="X45" i="10"/>
  <c r="X45" i="9"/>
  <c r="X45" i="18"/>
  <c r="W13" i="14"/>
  <c r="W13" i="16"/>
  <c r="W13" i="8"/>
  <c r="W13" i="11"/>
  <c r="W13" i="10"/>
  <c r="W13" i="17"/>
  <c r="W13" i="15"/>
  <c r="W13" i="12"/>
  <c r="W13" i="9"/>
  <c r="W13" i="19"/>
  <c r="W13" i="18"/>
  <c r="W13" i="13"/>
  <c r="U13" i="15"/>
  <c r="U13" i="19"/>
  <c r="U13" i="11"/>
  <c r="U13" i="9"/>
  <c r="U13" i="13"/>
  <c r="U13" i="14"/>
  <c r="U13" i="12"/>
  <c r="U13" i="16"/>
  <c r="U13" i="10"/>
  <c r="U13" i="18"/>
  <c r="U13" i="17"/>
  <c r="U13" i="8"/>
  <c r="W19" i="18"/>
  <c r="W19" i="16"/>
  <c r="W19" i="8"/>
  <c r="W19" i="10"/>
  <c r="W19" i="12"/>
  <c r="W19" i="15"/>
  <c r="W19" i="13"/>
  <c r="W19" i="14"/>
  <c r="W19" i="11"/>
  <c r="W19" i="19"/>
  <c r="W19" i="17"/>
  <c r="W19" i="9"/>
  <c r="W38" i="15"/>
  <c r="W38" i="18"/>
  <c r="W38" i="11"/>
  <c r="W38" i="12"/>
  <c r="W38" i="9"/>
  <c r="W38" i="19"/>
  <c r="W38" i="16"/>
  <c r="W38" i="10"/>
  <c r="W38" i="8"/>
  <c r="W38" i="14"/>
  <c r="W38" i="17"/>
  <c r="W38" i="13"/>
  <c r="K27" i="17"/>
  <c r="K27" i="14"/>
  <c r="K27" i="12"/>
  <c r="K27" i="10"/>
  <c r="K27" i="11"/>
  <c r="K27" i="15"/>
  <c r="K27" i="19"/>
  <c r="K27" i="13"/>
  <c r="K27" i="8"/>
  <c r="K27" i="16"/>
  <c r="K27" i="18"/>
  <c r="K27" i="9"/>
  <c r="X36" i="19"/>
  <c r="X36" i="15"/>
  <c r="X36" i="17"/>
  <c r="X36" i="14"/>
  <c r="X36" i="12"/>
  <c r="X36" i="8"/>
  <c r="X36" i="10"/>
  <c r="X36" i="11"/>
  <c r="X36" i="16"/>
  <c r="X36" i="18"/>
  <c r="X36" i="9"/>
  <c r="X36" i="13"/>
  <c r="I53" i="15"/>
  <c r="I53" i="13"/>
  <c r="I53" i="8"/>
  <c r="I53" i="12"/>
  <c r="I53" i="9"/>
  <c r="I53" i="18"/>
  <c r="I53" i="19"/>
  <c r="I53" i="11"/>
  <c r="I53" i="10"/>
  <c r="I53" i="17"/>
  <c r="I53" i="14"/>
  <c r="I53" i="16"/>
  <c r="U50" i="18"/>
  <c r="U50" i="15"/>
  <c r="U50" i="17"/>
  <c r="U50" i="14"/>
  <c r="U50" i="10"/>
  <c r="U50" i="13"/>
  <c r="U50" i="16"/>
  <c r="U50" i="8"/>
  <c r="U50" i="9"/>
  <c r="U50" i="12"/>
  <c r="U50" i="11"/>
  <c r="U50" i="19"/>
  <c r="W39" i="12"/>
  <c r="W39" i="8"/>
  <c r="W39" i="18"/>
  <c r="W39" i="14"/>
  <c r="W39" i="10"/>
  <c r="W39" i="16"/>
  <c r="W39" i="15"/>
  <c r="W39" i="17"/>
  <c r="W39" i="9"/>
  <c r="W39" i="11"/>
  <c r="W39" i="19"/>
  <c r="W39" i="13"/>
  <c r="K39" i="10"/>
  <c r="K39" i="14"/>
  <c r="K39" i="17"/>
  <c r="K39" i="18"/>
  <c r="K39" i="8"/>
  <c r="K39" i="11"/>
  <c r="K39" i="16"/>
  <c r="K39" i="15"/>
  <c r="K39" i="9"/>
  <c r="K39" i="12"/>
  <c r="K39" i="19"/>
  <c r="K39" i="13"/>
  <c r="M42" i="10"/>
  <c r="M42" i="12"/>
  <c r="M42" i="15"/>
  <c r="M42" i="16"/>
  <c r="M42" i="9"/>
  <c r="M42" i="11"/>
  <c r="M42" i="17"/>
  <c r="M42" i="19"/>
  <c r="M42" i="8"/>
  <c r="M42" i="13"/>
  <c r="M42" i="14"/>
  <c r="M42" i="18"/>
  <c r="P42" i="10"/>
  <c r="P42" i="11"/>
  <c r="P42" i="15"/>
  <c r="P42" i="17"/>
  <c r="P42" i="9"/>
  <c r="P42" i="12"/>
  <c r="P42" i="18"/>
  <c r="P42" i="19"/>
  <c r="P42" i="8"/>
  <c r="P42" i="13"/>
  <c r="P42" i="14"/>
  <c r="P42" i="16"/>
  <c r="O26" i="11"/>
  <c r="O26" i="9"/>
  <c r="O26" i="14"/>
  <c r="O26" i="18"/>
  <c r="O26" i="15"/>
  <c r="O26" i="8"/>
  <c r="O26" i="16"/>
  <c r="O26" i="12"/>
  <c r="O26" i="10"/>
  <c r="O26" i="13"/>
  <c r="O26" i="19"/>
  <c r="O26" i="17"/>
  <c r="K52" i="11"/>
  <c r="K52" i="9"/>
  <c r="K52" i="16"/>
  <c r="K52" i="19"/>
  <c r="K52" i="14"/>
  <c r="K52" i="8"/>
  <c r="K52" i="15"/>
  <c r="K52" i="13"/>
  <c r="K52" i="10"/>
  <c r="K52" i="12"/>
  <c r="K52" i="17"/>
  <c r="K52" i="18"/>
  <c r="U2" i="15"/>
  <c r="U2" i="10"/>
  <c r="U2" i="19"/>
  <c r="U2" i="16"/>
  <c r="U2" i="12"/>
  <c r="U2" i="9"/>
  <c r="U2" i="17"/>
  <c r="U2" i="18"/>
  <c r="U2" i="8"/>
  <c r="U2" i="11"/>
  <c r="U2" i="14"/>
  <c r="U2" i="13"/>
  <c r="W44" i="9"/>
  <c r="W44" i="13"/>
  <c r="W44" i="15"/>
  <c r="W44" i="18"/>
  <c r="W44" i="8"/>
  <c r="W44" i="10"/>
  <c r="W44" i="17"/>
  <c r="W44" i="14"/>
  <c r="W44" i="11"/>
  <c r="W44" i="12"/>
  <c r="W44" i="16"/>
  <c r="W44" i="19"/>
  <c r="L53" i="10"/>
  <c r="L53" i="11"/>
  <c r="L53" i="12"/>
  <c r="L53" i="18"/>
  <c r="L53" i="8"/>
  <c r="L53" i="9"/>
  <c r="L53" i="17"/>
  <c r="L53" i="14"/>
  <c r="L53" i="13"/>
  <c r="L53" i="15"/>
  <c r="L53" i="16"/>
  <c r="L53" i="19"/>
  <c r="P49" i="14"/>
  <c r="P49" i="9"/>
  <c r="P49" i="19"/>
  <c r="P49" i="12"/>
  <c r="P49" i="11"/>
  <c r="P49" i="8"/>
  <c r="P49" i="16"/>
  <c r="P49" i="17"/>
  <c r="P49" i="13"/>
  <c r="P49" i="10"/>
  <c r="P49" i="15"/>
  <c r="P49" i="18"/>
  <c r="O42" i="12"/>
  <c r="O42" i="9"/>
  <c r="O42" i="16"/>
  <c r="O42" i="18"/>
  <c r="O42" i="8"/>
  <c r="O42" i="11"/>
  <c r="O42" i="15"/>
  <c r="O42" i="10"/>
  <c r="O42" i="19"/>
  <c r="O42" i="17"/>
  <c r="O42" i="13"/>
  <c r="O42" i="14"/>
  <c r="O17" i="9"/>
  <c r="O17" i="17"/>
  <c r="O17" i="14"/>
  <c r="O17" i="13"/>
  <c r="O17" i="8"/>
  <c r="O17" i="19"/>
  <c r="O17" i="12"/>
  <c r="O17" i="18"/>
  <c r="O17" i="10"/>
  <c r="O17" i="16"/>
  <c r="O17" i="15"/>
  <c r="O17" i="11"/>
  <c r="T34" i="8"/>
  <c r="T34" i="11"/>
  <c r="T34" i="14"/>
  <c r="T34" i="19"/>
  <c r="T34" i="10"/>
  <c r="T34" i="12"/>
  <c r="T34" i="9"/>
  <c r="T34" i="16"/>
  <c r="T34" i="15"/>
  <c r="T34" i="13"/>
  <c r="T34" i="18"/>
  <c r="T34" i="17"/>
  <c r="K48" i="11"/>
  <c r="K48" i="10"/>
  <c r="K48" i="16"/>
  <c r="K48" i="18"/>
  <c r="K48" i="9"/>
  <c r="K48" i="8"/>
  <c r="K48" i="13"/>
  <c r="K48" i="17"/>
  <c r="K48" i="19"/>
  <c r="K48" i="12"/>
  <c r="K48" i="14"/>
  <c r="K48" i="15"/>
  <c r="P32" i="9"/>
  <c r="P32" i="16"/>
  <c r="P32" i="14"/>
  <c r="P32" i="8"/>
  <c r="P32" i="13"/>
  <c r="P32" i="19"/>
  <c r="P32" i="10"/>
  <c r="P32" i="17"/>
  <c r="P32" i="11"/>
  <c r="P32" i="12"/>
  <c r="P32" i="18"/>
  <c r="P32" i="15"/>
  <c r="O22" i="15"/>
  <c r="O22" i="10"/>
  <c r="O22" i="11"/>
  <c r="O22" i="8"/>
  <c r="O22" i="12"/>
  <c r="O22" i="17"/>
  <c r="O22" i="13"/>
  <c r="O22" i="19"/>
  <c r="O22" i="9"/>
  <c r="O22" i="16"/>
  <c r="O22" i="18"/>
  <c r="O22" i="14"/>
  <c r="S46" i="16"/>
  <c r="S46" i="18"/>
  <c r="S46" i="11"/>
  <c r="S46" i="14"/>
  <c r="S46" i="19"/>
  <c r="S46" i="8"/>
  <c r="S46" i="10"/>
  <c r="S46" i="15"/>
  <c r="S46" i="17"/>
  <c r="S46" i="13"/>
  <c r="S46" i="12"/>
  <c r="S46" i="9"/>
  <c r="L6" i="18"/>
  <c r="L6" i="15"/>
  <c r="L6" i="9"/>
  <c r="L6" i="17"/>
  <c r="L6" i="16"/>
  <c r="L6" i="11"/>
  <c r="L6" i="8"/>
  <c r="L6" i="10"/>
  <c r="L6" i="13"/>
  <c r="L6" i="19"/>
  <c r="L6" i="14"/>
  <c r="L6" i="12"/>
  <c r="W40" i="14"/>
  <c r="W40" i="19"/>
  <c r="W40" i="8"/>
  <c r="W40" i="16"/>
  <c r="W40" i="15"/>
  <c r="W40" i="10"/>
  <c r="W40" i="11"/>
  <c r="W40" i="13"/>
  <c r="W40" i="9"/>
  <c r="W40" i="17"/>
  <c r="W40" i="18"/>
  <c r="W40" i="12"/>
  <c r="M52" i="14"/>
  <c r="M52" i="11"/>
  <c r="M52" i="19"/>
  <c r="M52" i="8"/>
  <c r="M52" i="13"/>
  <c r="M52" i="15"/>
  <c r="M52" i="17"/>
  <c r="M52" i="18"/>
  <c r="M52" i="9"/>
  <c r="M52" i="10"/>
  <c r="M52" i="12"/>
  <c r="M52" i="16"/>
  <c r="V24" i="16"/>
  <c r="V24" i="19"/>
  <c r="V24" i="10"/>
  <c r="V24" i="17"/>
  <c r="V24" i="15"/>
  <c r="V24" i="12"/>
  <c r="V24" i="8"/>
  <c r="V24" i="11"/>
  <c r="V24" i="9"/>
  <c r="V24" i="18"/>
  <c r="V24" i="14"/>
  <c r="V24" i="13"/>
  <c r="V39" i="17"/>
  <c r="V39" i="19"/>
  <c r="V39" i="9"/>
  <c r="V39" i="18"/>
  <c r="V39" i="14"/>
  <c r="V39" i="12"/>
  <c r="V39" i="10"/>
  <c r="V39" i="13"/>
  <c r="V39" i="8"/>
  <c r="V39" i="16"/>
  <c r="V39" i="15"/>
  <c r="V39" i="11"/>
  <c r="J17" i="16"/>
  <c r="J17" i="18"/>
  <c r="J17" i="13"/>
  <c r="J17" i="10"/>
  <c r="J17" i="19"/>
  <c r="J17" i="14"/>
  <c r="J17" i="15"/>
  <c r="J17" i="17"/>
  <c r="J17" i="8"/>
  <c r="J17" i="12"/>
  <c r="J17" i="9"/>
  <c r="J17" i="11"/>
  <c r="P56" i="13"/>
  <c r="P56" i="9"/>
  <c r="P56" i="10"/>
  <c r="P56" i="8"/>
  <c r="P56" i="15"/>
  <c r="P56" i="17"/>
  <c r="P56" i="16"/>
  <c r="P56" i="18"/>
  <c r="P56" i="12"/>
  <c r="P56" i="19"/>
  <c r="P56" i="11"/>
  <c r="P56" i="14"/>
  <c r="P33" i="16"/>
  <c r="P33" i="19"/>
  <c r="P33" i="17"/>
  <c r="P33" i="12"/>
  <c r="P33" i="11"/>
  <c r="P33" i="13"/>
  <c r="P33" i="10"/>
  <c r="P33" i="18"/>
  <c r="P33" i="15"/>
  <c r="P33" i="9"/>
  <c r="P33" i="8"/>
  <c r="P33" i="14"/>
  <c r="R16" i="13"/>
  <c r="R16" i="8"/>
  <c r="R16" i="19"/>
  <c r="R16" i="9"/>
  <c r="R16" i="11"/>
  <c r="R16" i="14"/>
  <c r="R16" i="16"/>
  <c r="R16" i="12"/>
  <c r="R16" i="15"/>
  <c r="R16" i="18"/>
  <c r="R16" i="10"/>
  <c r="R16" i="17"/>
  <c r="X52" i="18"/>
  <c r="X52" i="16"/>
  <c r="X52" i="11"/>
  <c r="X52" i="19"/>
  <c r="X52" i="17"/>
  <c r="X52" i="12"/>
  <c r="X52" i="10"/>
  <c r="X52" i="15"/>
  <c r="X52" i="13"/>
  <c r="X52" i="8"/>
  <c r="X52" i="9"/>
  <c r="X52" i="14"/>
  <c r="I56" i="18"/>
  <c r="I56" i="16"/>
  <c r="I56" i="17"/>
  <c r="I56" i="9"/>
  <c r="I56" i="12"/>
  <c r="I56" i="8"/>
  <c r="I56" i="13"/>
  <c r="I56" i="14"/>
  <c r="I56" i="19"/>
  <c r="I56" i="10"/>
  <c r="I56" i="11"/>
  <c r="I56" i="15"/>
  <c r="V17" i="16"/>
  <c r="V17" i="19"/>
  <c r="V17" i="9"/>
  <c r="V17" i="10"/>
  <c r="V17" i="14"/>
  <c r="V17" i="17"/>
  <c r="V17" i="8"/>
  <c r="V17" i="11"/>
  <c r="V17" i="18"/>
  <c r="V17" i="15"/>
  <c r="V17" i="12"/>
  <c r="V17" i="13"/>
  <c r="Q42" i="19"/>
  <c r="Q42" i="16"/>
  <c r="Q42" i="10"/>
  <c r="Q42" i="8"/>
  <c r="Q42" i="18"/>
  <c r="Q42" i="15"/>
  <c r="Q42" i="11"/>
  <c r="Q42" i="12"/>
  <c r="Q42" i="17"/>
  <c r="Q42" i="14"/>
  <c r="Q42" i="13"/>
  <c r="Q42" i="9"/>
  <c r="L52" i="19"/>
  <c r="L52" i="15"/>
  <c r="L52" i="11"/>
  <c r="L52" i="9"/>
  <c r="L52" i="18"/>
  <c r="L52" i="16"/>
  <c r="L52" i="10"/>
  <c r="L52" i="14"/>
  <c r="L52" i="17"/>
  <c r="L52" i="13"/>
  <c r="L52" i="8"/>
  <c r="L52" i="12"/>
  <c r="M27" i="16"/>
  <c r="M27" i="15"/>
  <c r="M27" i="14"/>
  <c r="M27" i="18"/>
  <c r="M27" i="8"/>
  <c r="M27" i="12"/>
  <c r="M27" i="9"/>
  <c r="M27" i="19"/>
  <c r="M27" i="11"/>
  <c r="M27" i="13"/>
  <c r="M27" i="17"/>
  <c r="M27" i="10"/>
  <c r="I20" i="17"/>
  <c r="I20" i="12"/>
  <c r="I20" i="15"/>
  <c r="I20" i="18"/>
  <c r="I20" i="10"/>
  <c r="I20" i="11"/>
  <c r="I20" i="16"/>
  <c r="I20" i="8"/>
  <c r="I20" i="14"/>
  <c r="I20" i="13"/>
  <c r="I20" i="9"/>
  <c r="I20" i="19"/>
  <c r="P45" i="15"/>
  <c r="P45" i="19"/>
  <c r="P45" i="11"/>
  <c r="P45" i="8"/>
  <c r="P45" i="14"/>
  <c r="P45" i="17"/>
  <c r="P45" i="16"/>
  <c r="P45" i="12"/>
  <c r="P45" i="9"/>
  <c r="P45" i="18"/>
  <c r="P45" i="10"/>
  <c r="P45" i="13"/>
  <c r="X32" i="11"/>
  <c r="X32" i="13"/>
  <c r="X32" i="10"/>
  <c r="X32" i="17"/>
  <c r="X32" i="18"/>
  <c r="X32" i="12"/>
  <c r="X32" i="9"/>
  <c r="X32" i="14"/>
  <c r="X32" i="19"/>
  <c r="X32" i="8"/>
  <c r="X32" i="16"/>
  <c r="X32" i="15"/>
  <c r="W46" i="16"/>
  <c r="W46" i="17"/>
  <c r="W46" i="8"/>
  <c r="W46" i="10"/>
  <c r="W46" i="13"/>
  <c r="W46" i="11"/>
  <c r="W46" i="19"/>
  <c r="W46" i="9"/>
  <c r="W46" i="12"/>
  <c r="W46" i="14"/>
  <c r="W46" i="18"/>
  <c r="W46" i="15"/>
  <c r="T33" i="18"/>
  <c r="T33" i="15"/>
  <c r="T33" i="17"/>
  <c r="T33" i="13"/>
  <c r="T33" i="9"/>
  <c r="T33" i="10"/>
  <c r="T33" i="14"/>
  <c r="T33" i="8"/>
  <c r="T33" i="16"/>
  <c r="T33" i="19"/>
  <c r="T33" i="12"/>
  <c r="T33" i="11"/>
  <c r="J19" i="15"/>
  <c r="J19" i="18"/>
  <c r="J19" i="13"/>
  <c r="J19" i="12"/>
  <c r="J19" i="8"/>
  <c r="J19" i="17"/>
  <c r="J19" i="16"/>
  <c r="J19" i="9"/>
  <c r="J19" i="10"/>
  <c r="J19" i="14"/>
  <c r="J19" i="19"/>
  <c r="J19" i="11"/>
  <c r="T28" i="16"/>
  <c r="T28" i="15"/>
  <c r="T28" i="8"/>
  <c r="T28" i="12"/>
  <c r="T28" i="10"/>
  <c r="T28" i="19"/>
  <c r="T28" i="17"/>
  <c r="T28" i="13"/>
  <c r="T28" i="9"/>
  <c r="T28" i="18"/>
  <c r="T28" i="14"/>
  <c r="T28" i="11"/>
  <c r="K46" i="13"/>
  <c r="K46" i="15"/>
  <c r="K46" i="11"/>
  <c r="K46" i="14"/>
  <c r="K46" i="16"/>
  <c r="K46" i="8"/>
  <c r="K46" i="12"/>
  <c r="K46" i="19"/>
  <c r="K46" i="17"/>
  <c r="K46" i="18"/>
  <c r="K46" i="10"/>
  <c r="K46" i="9"/>
  <c r="T9" i="11"/>
  <c r="T9" i="10"/>
  <c r="T9" i="18"/>
  <c r="T9" i="12"/>
  <c r="T9" i="14"/>
  <c r="T9" i="13"/>
  <c r="T9" i="9"/>
  <c r="T9" i="16"/>
  <c r="T9" i="19"/>
  <c r="T9" i="15"/>
  <c r="T9" i="17"/>
  <c r="T9" i="8"/>
  <c r="Q19" i="12"/>
  <c r="Q19" i="16"/>
  <c r="Q19" i="19"/>
  <c r="Q19" i="8"/>
  <c r="Q19" i="18"/>
  <c r="Q19" i="15"/>
  <c r="Q19" i="11"/>
  <c r="Q19" i="13"/>
  <c r="Q19" i="14"/>
  <c r="Q19" i="17"/>
  <c r="Q19" i="10"/>
  <c r="Q19" i="9"/>
  <c r="X13" i="17"/>
  <c r="X13" i="11"/>
  <c r="X13" i="9"/>
  <c r="X13" i="16"/>
  <c r="X13" i="19"/>
  <c r="X13" i="13"/>
  <c r="X13" i="8"/>
  <c r="X13" i="15"/>
  <c r="X13" i="18"/>
  <c r="X13" i="10"/>
  <c r="X13" i="12"/>
  <c r="X13" i="14"/>
  <c r="K19" i="12"/>
  <c r="K19" i="8"/>
  <c r="K19" i="17"/>
  <c r="K19" i="19"/>
  <c r="K19" i="15"/>
  <c r="K19" i="11"/>
  <c r="K19" i="18"/>
  <c r="K19" i="10"/>
  <c r="K19" i="16"/>
  <c r="K19" i="9"/>
  <c r="K19" i="14"/>
  <c r="K19" i="13"/>
  <c r="P44" i="18"/>
  <c r="P44" i="15"/>
  <c r="P44" i="11"/>
  <c r="P44" i="14"/>
  <c r="P44" i="17"/>
  <c r="P44" i="19"/>
  <c r="P44" i="13"/>
  <c r="P44" i="10"/>
  <c r="P44" i="9"/>
  <c r="P44" i="16"/>
  <c r="P44" i="12"/>
  <c r="P44" i="8"/>
  <c r="V21" i="16"/>
  <c r="V21" i="17"/>
  <c r="V21" i="19"/>
  <c r="V21" i="18"/>
  <c r="V21" i="15"/>
  <c r="V21" i="13"/>
  <c r="V21" i="8"/>
  <c r="V21" i="12"/>
  <c r="V21" i="14"/>
  <c r="V21" i="10"/>
  <c r="V21" i="9"/>
  <c r="V21" i="11"/>
  <c r="M3" i="17"/>
  <c r="M3" i="16"/>
  <c r="M3" i="11"/>
  <c r="M3" i="19"/>
  <c r="M3" i="15"/>
  <c r="M3" i="14"/>
  <c r="M3" i="9"/>
  <c r="M3" i="12"/>
  <c r="M3" i="8"/>
  <c r="M3" i="18"/>
  <c r="M3" i="13"/>
  <c r="M3" i="10"/>
  <c r="V6" i="18"/>
  <c r="V6" i="15"/>
  <c r="V6" i="12"/>
  <c r="V6" i="14"/>
  <c r="V6" i="19"/>
  <c r="V6" i="13"/>
  <c r="V6" i="11"/>
  <c r="V6" i="17"/>
  <c r="V6" i="16"/>
  <c r="V6" i="10"/>
  <c r="V6" i="9"/>
  <c r="V6" i="8"/>
  <c r="O11" i="18"/>
  <c r="O11" i="17"/>
  <c r="O11" i="16"/>
  <c r="O11" i="13"/>
  <c r="O11" i="8"/>
  <c r="O11" i="12"/>
  <c r="O11" i="10"/>
  <c r="O11" i="19"/>
  <c r="O11" i="14"/>
  <c r="O11" i="11"/>
  <c r="O11" i="9"/>
  <c r="O11" i="15"/>
  <c r="T21" i="16"/>
  <c r="T21" i="18"/>
  <c r="T21" i="14"/>
  <c r="T21" i="12"/>
  <c r="T21" i="9"/>
  <c r="T21" i="13"/>
  <c r="T21" i="10"/>
  <c r="T21" i="17"/>
  <c r="T21" i="15"/>
  <c r="T21" i="11"/>
  <c r="T21" i="8"/>
  <c r="T21" i="19"/>
  <c r="S50" i="16"/>
  <c r="S50" i="19"/>
  <c r="S50" i="8"/>
  <c r="S50" i="18"/>
  <c r="S50" i="15"/>
  <c r="S50" i="12"/>
  <c r="S50" i="10"/>
  <c r="S50" i="13"/>
  <c r="S50" i="9"/>
  <c r="S50" i="17"/>
  <c r="S50" i="14"/>
  <c r="S50" i="11"/>
  <c r="O10" i="16"/>
  <c r="O10" i="19"/>
  <c r="O10" i="8"/>
  <c r="O10" i="18"/>
  <c r="O10" i="15"/>
  <c r="O10" i="12"/>
  <c r="O10" i="10"/>
  <c r="O10" i="13"/>
  <c r="O10" i="9"/>
  <c r="O10" i="17"/>
  <c r="O10" i="14"/>
  <c r="O10" i="11"/>
  <c r="V40" i="16"/>
  <c r="V40" i="18"/>
  <c r="V40" i="14"/>
  <c r="V40" i="17"/>
  <c r="V40" i="13"/>
  <c r="V40" i="9"/>
  <c r="V40" i="11"/>
  <c r="V40" i="15"/>
  <c r="V40" i="8"/>
  <c r="V40" i="12"/>
  <c r="V40" i="19"/>
  <c r="V40" i="10"/>
  <c r="V4" i="17"/>
  <c r="V4" i="19"/>
  <c r="V4" i="11"/>
  <c r="V4" i="18"/>
  <c r="V4" i="15"/>
  <c r="V4" i="9"/>
  <c r="V4" i="10"/>
  <c r="V4" i="8"/>
  <c r="V4" i="13"/>
  <c r="V4" i="16"/>
  <c r="V4" i="12"/>
  <c r="V4" i="14"/>
  <c r="L42" i="16"/>
  <c r="L42" i="17"/>
  <c r="L42" i="9"/>
  <c r="L42" i="19"/>
  <c r="L42" i="14"/>
  <c r="L42" i="10"/>
  <c r="L42" i="8"/>
  <c r="L42" i="15"/>
  <c r="L42" i="18"/>
  <c r="L42" i="13"/>
  <c r="L42" i="12"/>
  <c r="L42" i="11"/>
  <c r="K31" i="14"/>
  <c r="K31" i="16"/>
  <c r="K31" i="15"/>
  <c r="K31" i="13"/>
  <c r="K31" i="19"/>
  <c r="K31" i="10"/>
  <c r="K31" i="12"/>
  <c r="K31" i="18"/>
  <c r="K31" i="17"/>
  <c r="K31" i="8"/>
  <c r="K31" i="11"/>
  <c r="K31" i="9"/>
  <c r="R33" i="15"/>
  <c r="R33" i="17"/>
  <c r="R33" i="12"/>
  <c r="R33" i="18"/>
  <c r="R33" i="16"/>
  <c r="R33" i="8"/>
  <c r="R33" i="11"/>
  <c r="R33" i="10"/>
  <c r="R33" i="13"/>
  <c r="R33" i="14"/>
  <c r="R33" i="19"/>
  <c r="R33" i="9"/>
  <c r="Y48" i="19"/>
  <c r="Y48" i="16"/>
  <c r="Y48" i="14"/>
  <c r="Y48" i="12"/>
  <c r="Y48" i="9"/>
  <c r="Y48" i="8"/>
  <c r="Y48" i="15"/>
  <c r="Y48" i="13"/>
  <c r="Y48" i="18"/>
  <c r="Y48" i="10"/>
  <c r="Y48" i="11"/>
  <c r="Y48" i="17"/>
  <c r="N13" i="19"/>
  <c r="N13" i="18"/>
  <c r="N13" i="13"/>
  <c r="N13" i="8"/>
  <c r="N13" i="16"/>
  <c r="N13" i="15"/>
  <c r="N13" i="11"/>
  <c r="N13" i="10"/>
  <c r="N13" i="14"/>
  <c r="N13" i="17"/>
  <c r="N13" i="9"/>
  <c r="N13" i="12"/>
  <c r="Q3" i="17"/>
  <c r="Q3" i="9"/>
  <c r="Q3" i="11"/>
  <c r="Q3" i="19"/>
  <c r="Q3" i="14"/>
  <c r="Q3" i="18"/>
  <c r="Q3" i="10"/>
  <c r="Q3" i="15"/>
  <c r="Q3" i="16"/>
  <c r="Q3" i="12"/>
  <c r="Q3" i="8"/>
  <c r="Q3" i="13"/>
  <c r="Y56" i="18"/>
  <c r="Y56" i="16"/>
  <c r="Y56" i="8"/>
  <c r="Y56" i="13"/>
  <c r="Y56" i="17"/>
  <c r="Y56" i="19"/>
  <c r="Y56" i="11"/>
  <c r="Y56" i="12"/>
  <c r="Y56" i="14"/>
  <c r="Y56" i="15"/>
  <c r="Y56" i="9"/>
  <c r="Y56" i="10"/>
  <c r="I2" i="15"/>
  <c r="I2" i="17"/>
  <c r="I2" i="11"/>
  <c r="I2" i="10"/>
  <c r="I2" i="19"/>
  <c r="I2" i="16"/>
  <c r="I2" i="13"/>
  <c r="I2" i="8"/>
  <c r="I2" i="14"/>
  <c r="I2" i="18"/>
  <c r="I2" i="9"/>
  <c r="I2" i="12"/>
  <c r="U48" i="17"/>
  <c r="U48" i="19"/>
  <c r="U48" i="9"/>
  <c r="U48" i="13"/>
  <c r="U48" i="14"/>
  <c r="U48" i="18"/>
  <c r="U48" i="8"/>
  <c r="U48" i="12"/>
  <c r="U48" i="15"/>
  <c r="U48" i="16"/>
  <c r="U48" i="11"/>
  <c r="U48" i="10"/>
  <c r="S14" i="15"/>
  <c r="S14" i="16"/>
  <c r="S14" i="14"/>
  <c r="S14" i="8"/>
  <c r="S14" i="19"/>
  <c r="S14" i="13"/>
  <c r="S14" i="9"/>
  <c r="S14" i="10"/>
  <c r="S14" i="17"/>
  <c r="S14" i="18"/>
  <c r="S14" i="12"/>
  <c r="S14" i="11"/>
  <c r="L17" i="14"/>
  <c r="L17" i="18"/>
  <c r="L17" i="9"/>
  <c r="L17" i="11"/>
  <c r="L17" i="15"/>
  <c r="L17" i="17"/>
  <c r="L17" i="8"/>
  <c r="L17" i="12"/>
  <c r="L17" i="16"/>
  <c r="L17" i="19"/>
  <c r="L17" i="10"/>
  <c r="L17" i="13"/>
  <c r="Q51" i="19"/>
  <c r="Q51" i="12"/>
  <c r="Q51" i="13"/>
  <c r="Q51" i="8"/>
  <c r="Q51" i="18"/>
  <c r="Q51" i="14"/>
  <c r="Q51" i="10"/>
  <c r="Q51" i="15"/>
  <c r="Q51" i="17"/>
  <c r="Q51" i="16"/>
  <c r="Q51" i="11"/>
  <c r="Q51" i="9"/>
  <c r="U17" i="19"/>
  <c r="U17" i="13"/>
  <c r="U17" i="15"/>
  <c r="U17" i="8"/>
  <c r="U17" i="18"/>
  <c r="U17" i="16"/>
  <c r="U17" i="12"/>
  <c r="U17" i="10"/>
  <c r="U17" i="14"/>
  <c r="U17" i="17"/>
  <c r="U17" i="9"/>
  <c r="U17" i="11"/>
  <c r="N7" i="19"/>
  <c r="N7" i="14"/>
  <c r="N7" i="10"/>
  <c r="N7" i="11"/>
  <c r="N7" i="18"/>
  <c r="N7" i="15"/>
  <c r="N7" i="13"/>
  <c r="N7" i="9"/>
  <c r="N7" i="16"/>
  <c r="N7" i="17"/>
  <c r="N7" i="8"/>
  <c r="N7" i="12"/>
  <c r="X34" i="18"/>
  <c r="X34" i="11"/>
  <c r="X34" i="12"/>
  <c r="X34" i="19"/>
  <c r="X34" i="15"/>
  <c r="X34" i="17"/>
  <c r="X34" i="9"/>
  <c r="X34" i="14"/>
  <c r="X34" i="13"/>
  <c r="X34" i="8"/>
  <c r="X34" i="10"/>
  <c r="X34" i="16"/>
  <c r="P34" i="18"/>
  <c r="P34" i="14"/>
  <c r="P34" i="15"/>
  <c r="P34" i="16"/>
  <c r="P34" i="17"/>
  <c r="P34" i="11"/>
  <c r="P34" i="9"/>
  <c r="P34" i="13"/>
  <c r="P34" i="10"/>
  <c r="P34" i="19"/>
  <c r="P34" i="8"/>
  <c r="P34" i="12"/>
  <c r="J18" i="15"/>
  <c r="J18" i="11"/>
  <c r="J18" i="19"/>
  <c r="J18" i="8"/>
  <c r="J18" i="13"/>
  <c r="J18" i="14"/>
  <c r="J18" i="17"/>
  <c r="J18" i="18"/>
  <c r="J18" i="9"/>
  <c r="J18" i="10"/>
  <c r="J18" i="12"/>
  <c r="J18" i="16"/>
  <c r="M9" i="15"/>
  <c r="M9" i="12"/>
  <c r="M9" i="19"/>
  <c r="M9" i="8"/>
  <c r="M9" i="13"/>
  <c r="M9" i="11"/>
  <c r="M9" i="18"/>
  <c r="M9" i="17"/>
  <c r="M9" i="9"/>
  <c r="M9" i="10"/>
  <c r="M9" i="14"/>
  <c r="M9" i="16"/>
  <c r="R26" i="16"/>
  <c r="R26" i="18"/>
  <c r="R26" i="10"/>
  <c r="R26" i="17"/>
  <c r="R26" i="15"/>
  <c r="R26" i="11"/>
  <c r="R26" i="14"/>
  <c r="R26" i="13"/>
  <c r="R26" i="19"/>
  <c r="R26" i="9"/>
  <c r="R26" i="12"/>
  <c r="R26" i="8"/>
  <c r="Q2" i="18"/>
  <c r="Q2" i="11"/>
  <c r="Q2" i="17"/>
  <c r="Q2" i="9"/>
  <c r="Q2" i="10"/>
  <c r="Q2" i="19"/>
  <c r="Q2" i="16"/>
  <c r="Q2" i="14"/>
  <c r="Q2" i="8"/>
  <c r="Q2" i="12"/>
  <c r="Q2" i="13"/>
  <c r="Q2" i="15"/>
  <c r="P21" i="14"/>
  <c r="P21" i="18"/>
  <c r="P21" i="10"/>
  <c r="P21" i="16"/>
  <c r="P21" i="17"/>
  <c r="P21" i="19"/>
  <c r="P21" i="12"/>
  <c r="P21" i="9"/>
  <c r="P21" i="8"/>
  <c r="P21" i="15"/>
  <c r="P21" i="13"/>
  <c r="P21" i="11"/>
  <c r="W53" i="12"/>
  <c r="W53" i="15"/>
  <c r="W53" i="13"/>
  <c r="W53" i="19"/>
  <c r="W53" i="17"/>
  <c r="W53" i="14"/>
  <c r="W53" i="11"/>
  <c r="W53" i="8"/>
  <c r="W53" i="10"/>
  <c r="W53" i="16"/>
  <c r="W53" i="18"/>
  <c r="W53" i="9"/>
  <c r="O21" i="16"/>
  <c r="O21" i="8"/>
  <c r="O21" i="12"/>
  <c r="O21" i="11"/>
  <c r="O21" i="17"/>
  <c r="O21" i="18"/>
  <c r="O21" i="9"/>
  <c r="O21" i="10"/>
  <c r="O21" i="19"/>
  <c r="O21" i="15"/>
  <c r="O21" i="13"/>
  <c r="O21" i="14"/>
  <c r="I28" i="18"/>
  <c r="I28" i="19"/>
  <c r="I28" i="8"/>
  <c r="I28" i="11"/>
  <c r="I28" i="16"/>
  <c r="I28" i="17"/>
  <c r="I28" i="10"/>
  <c r="I28" i="12"/>
  <c r="I28" i="15"/>
  <c r="I28" i="14"/>
  <c r="I28" i="9"/>
  <c r="I28" i="13"/>
  <c r="V9" i="17"/>
  <c r="V9" i="12"/>
  <c r="V9" i="15"/>
  <c r="V9" i="18"/>
  <c r="V9" i="10"/>
  <c r="V9" i="11"/>
  <c r="V9" i="16"/>
  <c r="V9" i="8"/>
  <c r="V9" i="14"/>
  <c r="V9" i="13"/>
  <c r="V9" i="9"/>
  <c r="V9" i="19"/>
  <c r="W10" i="15"/>
  <c r="W10" i="18"/>
  <c r="W10" i="12"/>
  <c r="W10" i="10"/>
  <c r="W10" i="19"/>
  <c r="W10" i="17"/>
  <c r="W10" i="13"/>
  <c r="W10" i="8"/>
  <c r="W10" i="14"/>
  <c r="W10" i="16"/>
  <c r="W10" i="9"/>
  <c r="W10" i="11"/>
  <c r="U36" i="8"/>
  <c r="U36" i="12"/>
  <c r="U36" i="11"/>
  <c r="U36" i="17"/>
  <c r="U36" i="18"/>
  <c r="U36" i="10"/>
  <c r="U36" i="14"/>
  <c r="U36" i="19"/>
  <c r="U36" i="9"/>
  <c r="U36" i="13"/>
  <c r="U36" i="15"/>
  <c r="U36" i="16"/>
  <c r="V46" i="17"/>
  <c r="V46" i="10"/>
  <c r="V46" i="8"/>
  <c r="V46" i="11"/>
  <c r="V46" i="19"/>
  <c r="V46" i="16"/>
  <c r="V46" i="13"/>
  <c r="V46" i="12"/>
  <c r="V46" i="9"/>
  <c r="V46" i="18"/>
  <c r="V46" i="14"/>
  <c r="V46" i="15"/>
  <c r="R45" i="15"/>
  <c r="R45" i="13"/>
  <c r="R45" i="12"/>
  <c r="R45" i="8"/>
  <c r="R45" i="11"/>
  <c r="R45" i="14"/>
  <c r="R45" i="17"/>
  <c r="R45" i="10"/>
  <c r="R45" i="9"/>
  <c r="R45" i="19"/>
  <c r="R45" i="16"/>
  <c r="R45" i="18"/>
  <c r="V52" i="15"/>
  <c r="V52" i="11"/>
  <c r="V52" i="18"/>
  <c r="V52" i="12"/>
  <c r="V52" i="16"/>
  <c r="V52" i="19"/>
  <c r="V52" i="9"/>
  <c r="V52" i="17"/>
  <c r="V52" i="14"/>
  <c r="V52" i="10"/>
  <c r="V52" i="13"/>
  <c r="V52" i="8"/>
  <c r="I5" i="15"/>
  <c r="I5" i="18"/>
  <c r="I5" i="10"/>
  <c r="I5" i="17"/>
  <c r="I5" i="14"/>
  <c r="I5" i="11"/>
  <c r="I5" i="9"/>
  <c r="I5" i="19"/>
  <c r="I5" i="13"/>
  <c r="I5" i="16"/>
  <c r="I5" i="8"/>
  <c r="I5" i="12"/>
  <c r="J24" i="16"/>
  <c r="J24" i="19"/>
  <c r="J24" i="15"/>
  <c r="J24" i="13"/>
  <c r="J24" i="10"/>
  <c r="J24" i="12"/>
  <c r="J24" i="9"/>
  <c r="J24" i="17"/>
  <c r="J24" i="14"/>
  <c r="J24" i="11"/>
  <c r="J24" i="8"/>
  <c r="J24" i="18"/>
  <c r="K6" i="16"/>
  <c r="K6" i="18"/>
  <c r="K6" i="14"/>
  <c r="K6" i="13"/>
  <c r="K6" i="10"/>
  <c r="K6" i="11"/>
  <c r="K6" i="9"/>
  <c r="K6" i="17"/>
  <c r="K6" i="15"/>
  <c r="K6" i="12"/>
  <c r="K6" i="8"/>
  <c r="K6" i="19"/>
  <c r="V30" i="15"/>
  <c r="V30" i="19"/>
  <c r="V30" i="8"/>
  <c r="V30" i="18"/>
  <c r="V30" i="16"/>
  <c r="V30" i="11"/>
  <c r="V30" i="10"/>
  <c r="V30" i="12"/>
  <c r="V30" i="9"/>
  <c r="V30" i="17"/>
  <c r="V30" i="14"/>
  <c r="V30" i="13"/>
  <c r="K38" i="17"/>
  <c r="K38" i="18"/>
  <c r="K38" i="16"/>
  <c r="K38" i="10"/>
  <c r="K38" i="11"/>
  <c r="K38" i="8"/>
  <c r="K38" i="12"/>
  <c r="K38" i="19"/>
  <c r="K38" i="15"/>
  <c r="K38" i="9"/>
  <c r="K38" i="14"/>
  <c r="K38" i="13"/>
  <c r="W4" i="16"/>
  <c r="W4" i="17"/>
  <c r="W4" i="13"/>
  <c r="W4" i="19"/>
  <c r="W4" i="15"/>
  <c r="W4" i="11"/>
  <c r="W4" i="12"/>
  <c r="W4" i="9"/>
  <c r="W4" i="10"/>
  <c r="W4" i="14"/>
  <c r="W4" i="18"/>
  <c r="W4" i="8"/>
  <c r="N3" i="15"/>
  <c r="N3" i="16"/>
  <c r="N3" i="11"/>
  <c r="N3" i="19"/>
  <c r="N3" i="18"/>
  <c r="N3" i="8"/>
  <c r="N3" i="12"/>
  <c r="N3" i="10"/>
  <c r="N3" i="13"/>
  <c r="N3" i="14"/>
  <c r="N3" i="17"/>
  <c r="N3" i="9"/>
  <c r="P25" i="19"/>
  <c r="P25" i="18"/>
  <c r="P25" i="11"/>
  <c r="P25" i="14"/>
  <c r="P25" i="17"/>
  <c r="P25" i="9"/>
  <c r="P25" i="13"/>
  <c r="P25" i="10"/>
  <c r="P25" i="15"/>
  <c r="P25" i="16"/>
  <c r="P25" i="8"/>
  <c r="P25" i="12"/>
  <c r="V18" i="16"/>
  <c r="V18" i="13"/>
  <c r="V18" i="9"/>
  <c r="V18" i="19"/>
  <c r="V18" i="15"/>
  <c r="V18" i="10"/>
  <c r="V18" i="12"/>
  <c r="V18" i="17"/>
  <c r="V18" i="14"/>
  <c r="V18" i="11"/>
  <c r="V18" i="8"/>
  <c r="V18" i="18"/>
  <c r="I4" i="12"/>
  <c r="I4" i="10"/>
  <c r="I4" i="18"/>
  <c r="I4" i="15"/>
  <c r="I4" i="13"/>
  <c r="I4" i="8"/>
  <c r="I4" i="19"/>
  <c r="I4" i="14"/>
  <c r="I4" i="16"/>
  <c r="I4" i="11"/>
  <c r="I4" i="9"/>
  <c r="I4" i="17"/>
  <c r="V42" i="13"/>
  <c r="V42" i="18"/>
  <c r="V42" i="9"/>
  <c r="V42" i="10"/>
  <c r="V42" i="16"/>
  <c r="V42" i="17"/>
  <c r="V42" i="12"/>
  <c r="V42" i="11"/>
  <c r="V42" i="15"/>
  <c r="V42" i="19"/>
  <c r="V42" i="8"/>
  <c r="V42" i="14"/>
  <c r="K8" i="18"/>
  <c r="K8" i="17"/>
  <c r="K8" i="8"/>
  <c r="K8" i="12"/>
  <c r="K8" i="15"/>
  <c r="K8" i="16"/>
  <c r="K8" i="11"/>
  <c r="K8" i="10"/>
  <c r="K8" i="14"/>
  <c r="K8" i="19"/>
  <c r="K8" i="9"/>
  <c r="K8" i="13"/>
  <c r="W20" i="14"/>
  <c r="W20" i="18"/>
  <c r="W20" i="13"/>
  <c r="W20" i="8"/>
  <c r="W20" i="19"/>
  <c r="W20" i="16"/>
  <c r="W20" i="12"/>
  <c r="W20" i="9"/>
  <c r="W20" i="15"/>
  <c r="W20" i="17"/>
  <c r="W20" i="10"/>
  <c r="W20" i="11"/>
  <c r="S26" i="17"/>
  <c r="S26" i="11"/>
  <c r="S26" i="8"/>
  <c r="S26" i="18"/>
  <c r="S26" i="15"/>
  <c r="S26" i="9"/>
  <c r="S26" i="13"/>
  <c r="S26" i="16"/>
  <c r="S26" i="14"/>
  <c r="S26" i="12"/>
  <c r="S26" i="10"/>
  <c r="S26" i="19"/>
  <c r="K17" i="16"/>
  <c r="K17" i="13"/>
  <c r="K17" i="10"/>
  <c r="K17" i="11"/>
  <c r="K17" i="19"/>
  <c r="K17" i="18"/>
  <c r="K17" i="8"/>
  <c r="K17" i="12"/>
  <c r="K17" i="15"/>
  <c r="K17" i="17"/>
  <c r="K17" i="9"/>
  <c r="K17" i="14"/>
  <c r="Q33" i="15"/>
  <c r="Q33" i="18"/>
  <c r="Q33" i="13"/>
  <c r="Q33" i="9"/>
  <c r="Q33" i="19"/>
  <c r="Q33" i="14"/>
  <c r="Q33" i="10"/>
  <c r="Q33" i="8"/>
  <c r="Q33" i="16"/>
  <c r="Q33" i="17"/>
  <c r="Q33" i="12"/>
  <c r="Q33" i="11"/>
  <c r="K47" i="19"/>
  <c r="K47" i="14"/>
  <c r="K47" i="13"/>
  <c r="K47" i="8"/>
  <c r="K47" i="18"/>
  <c r="K47" i="15"/>
  <c r="K47" i="11"/>
  <c r="K47" i="12"/>
  <c r="K47" i="16"/>
  <c r="K47" i="17"/>
  <c r="K47" i="9"/>
  <c r="K47" i="10"/>
  <c r="I19" i="16"/>
  <c r="I19" i="19"/>
  <c r="I19" i="9"/>
  <c r="I19" i="13"/>
  <c r="I19" i="14"/>
  <c r="I19" i="17"/>
  <c r="I19" i="8"/>
  <c r="I19" i="11"/>
  <c r="I19" i="15"/>
  <c r="I19" i="18"/>
  <c r="I19" i="10"/>
  <c r="I19" i="12"/>
  <c r="O24" i="14"/>
  <c r="O24" i="18"/>
  <c r="O24" i="10"/>
  <c r="O24" i="13"/>
  <c r="O24" i="15"/>
  <c r="O24" i="17"/>
  <c r="O24" i="8"/>
  <c r="O24" i="11"/>
  <c r="O24" i="16"/>
  <c r="O24" i="19"/>
  <c r="O24" i="9"/>
  <c r="O24" i="12"/>
  <c r="N46" i="13"/>
  <c r="N46" i="18"/>
  <c r="N46" i="8"/>
  <c r="N46" i="16"/>
  <c r="N46" i="19"/>
  <c r="N46" i="12"/>
  <c r="N46" i="15"/>
  <c r="N46" i="10"/>
  <c r="N46" i="14"/>
  <c r="N46" i="17"/>
  <c r="N46" i="11"/>
  <c r="N46" i="9"/>
  <c r="M33" i="14"/>
  <c r="M33" i="16"/>
  <c r="M33" i="15"/>
  <c r="M33" i="8"/>
  <c r="M33" i="19"/>
  <c r="M33" i="13"/>
  <c r="M33" i="9"/>
  <c r="M33" i="10"/>
  <c r="M33" i="17"/>
  <c r="M33" i="18"/>
  <c r="M33" i="12"/>
  <c r="M33" i="11"/>
  <c r="S13" i="15"/>
  <c r="S13" i="14"/>
  <c r="S13" i="12"/>
  <c r="S13" i="10"/>
  <c r="S13" i="19"/>
  <c r="S13" i="16"/>
  <c r="S13" i="13"/>
  <c r="S13" i="8"/>
  <c r="S13" i="17"/>
  <c r="S13" i="18"/>
  <c r="S13" i="11"/>
  <c r="S13" i="9"/>
  <c r="N23" i="15"/>
  <c r="N23" i="19"/>
  <c r="N23" i="9"/>
  <c r="N23" i="13"/>
  <c r="N23" i="16"/>
  <c r="N23" i="18"/>
  <c r="N23" i="8"/>
  <c r="N23" i="11"/>
  <c r="N23" i="17"/>
  <c r="N23" i="14"/>
  <c r="N23" i="12"/>
  <c r="N23" i="10"/>
  <c r="L45" i="19"/>
  <c r="L45" i="15"/>
  <c r="L45" i="12"/>
  <c r="L45" i="11"/>
  <c r="L45" i="18"/>
  <c r="L45" i="16"/>
  <c r="L45" i="10"/>
  <c r="L45" i="9"/>
  <c r="L45" i="14"/>
  <c r="L45" i="17"/>
  <c r="L45" i="13"/>
  <c r="L45" i="8"/>
  <c r="S51" i="15"/>
  <c r="S51" i="19"/>
  <c r="S51" i="16"/>
  <c r="S51" i="18"/>
  <c r="S51" i="9"/>
  <c r="S51" i="17"/>
  <c r="S51" i="8"/>
  <c r="S51" i="10"/>
  <c r="S51" i="14"/>
  <c r="S51" i="13"/>
  <c r="S51" i="12"/>
  <c r="S51" i="11"/>
  <c r="I3" i="16"/>
  <c r="I3" i="17"/>
  <c r="I3" i="11"/>
  <c r="I3" i="14"/>
  <c r="I3" i="19"/>
  <c r="I3" i="12"/>
  <c r="I3" i="13"/>
  <c r="I3" i="10"/>
  <c r="I3" i="9"/>
  <c r="I3" i="15"/>
  <c r="I3" i="18"/>
  <c r="I3" i="8"/>
  <c r="Q41" i="19"/>
  <c r="Q41" i="16"/>
  <c r="Q41" i="12"/>
  <c r="Q41" i="11"/>
  <c r="Q41" i="14"/>
  <c r="Q41" i="13"/>
  <c r="Q41" i="9"/>
  <c r="Q41" i="10"/>
  <c r="Q41" i="18"/>
  <c r="Q41" i="15"/>
  <c r="Q41" i="17"/>
  <c r="Q41" i="8"/>
  <c r="P39" i="18"/>
  <c r="P39" i="9"/>
  <c r="P39" i="17"/>
  <c r="P39" i="10"/>
  <c r="P39" i="13"/>
  <c r="P39" i="14"/>
  <c r="P39" i="12"/>
  <c r="P39" i="8"/>
  <c r="P39" i="16"/>
  <c r="P39" i="19"/>
  <c r="P39" i="15"/>
  <c r="P39" i="11"/>
  <c r="X16" i="16"/>
  <c r="X16" i="17"/>
  <c r="X16" i="9"/>
  <c r="X16" i="15"/>
  <c r="X16" i="18"/>
  <c r="X16" i="8"/>
  <c r="X16" i="12"/>
  <c r="X16" i="14"/>
  <c r="X16" i="19"/>
  <c r="X16" i="13"/>
  <c r="X16" i="11"/>
  <c r="X16" i="10"/>
  <c r="O41" i="16"/>
  <c r="O41" i="15"/>
  <c r="O41" i="9"/>
  <c r="O41" i="12"/>
  <c r="O41" i="10"/>
  <c r="O41" i="19"/>
  <c r="O41" i="8"/>
  <c r="O41" i="14"/>
  <c r="O41" i="13"/>
  <c r="O41" i="18"/>
  <c r="O41" i="17"/>
  <c r="O41" i="11"/>
  <c r="T26" i="13"/>
  <c r="T26" i="14"/>
  <c r="T26" i="8"/>
  <c r="T26" i="12"/>
  <c r="T26" i="17"/>
  <c r="T26" i="18"/>
  <c r="T26" i="16"/>
  <c r="T26" i="10"/>
  <c r="T26" i="9"/>
  <c r="T26" i="11"/>
  <c r="T26" i="15"/>
  <c r="T26" i="19"/>
  <c r="R47" i="10"/>
  <c r="R47" i="15"/>
  <c r="R47" i="9"/>
  <c r="R47" i="8"/>
  <c r="R47" i="17"/>
  <c r="R47" i="19"/>
  <c r="R47" i="18"/>
  <c r="R47" i="12"/>
  <c r="R47" i="16"/>
  <c r="R47" i="13"/>
  <c r="R47" i="14"/>
  <c r="R47" i="11"/>
  <c r="X18" i="12"/>
  <c r="X18" i="16"/>
  <c r="X18" i="18"/>
  <c r="X18" i="10"/>
  <c r="X18" i="13"/>
  <c r="X18" i="19"/>
  <c r="X18" i="8"/>
  <c r="X18" i="14"/>
  <c r="X18" i="11"/>
  <c r="X18" i="9"/>
  <c r="X18" i="17"/>
  <c r="X18" i="15"/>
  <c r="I36" i="9"/>
  <c r="I36" i="17"/>
  <c r="I36" i="19"/>
  <c r="I36" i="16"/>
  <c r="I36" i="13"/>
  <c r="I36" i="11"/>
  <c r="I36" i="12"/>
  <c r="I36" i="18"/>
  <c r="I36" i="10"/>
  <c r="I36" i="8"/>
  <c r="I36" i="14"/>
  <c r="I36" i="15"/>
  <c r="O12" i="17"/>
  <c r="O12" i="10"/>
  <c r="O12" i="13"/>
  <c r="O12" i="15"/>
  <c r="O12" i="19"/>
  <c r="O12" i="8"/>
  <c r="O12" i="11"/>
  <c r="O12" i="16"/>
  <c r="O12" i="14"/>
  <c r="O12" i="9"/>
  <c r="O12" i="12"/>
  <c r="O12" i="18"/>
  <c r="Y55" i="16"/>
  <c r="Y55" i="19"/>
  <c r="Y55" i="8"/>
  <c r="Y55" i="18"/>
  <c r="Y55" i="15"/>
  <c r="Y55" i="12"/>
  <c r="Y55" i="10"/>
  <c r="Y55" i="11"/>
  <c r="Y55" i="9"/>
  <c r="Y55" i="17"/>
  <c r="Y55" i="14"/>
  <c r="Y55" i="13"/>
  <c r="S19" i="15"/>
  <c r="S19" i="19"/>
  <c r="S19" i="9"/>
  <c r="S19" i="17"/>
  <c r="S19" i="14"/>
  <c r="S19" i="12"/>
  <c r="S19" i="8"/>
  <c r="S19" i="18"/>
  <c r="S19" i="16"/>
  <c r="S19" i="13"/>
  <c r="S19" i="10"/>
  <c r="S19" i="11"/>
  <c r="M26" i="15"/>
  <c r="M26" i="16"/>
  <c r="M26" i="17"/>
  <c r="M26" i="13"/>
  <c r="M26" i="11"/>
  <c r="M26" i="12"/>
  <c r="M26" i="9"/>
  <c r="M26" i="18"/>
  <c r="M26" i="14"/>
  <c r="M26" i="8"/>
  <c r="M26" i="10"/>
  <c r="M26" i="19"/>
  <c r="M45" i="17"/>
  <c r="M45" i="19"/>
  <c r="M45" i="13"/>
  <c r="M45" i="16"/>
  <c r="M45" i="12"/>
  <c r="M45" i="14"/>
  <c r="M45" i="11"/>
  <c r="M45" i="18"/>
  <c r="M45" i="15"/>
  <c r="M45" i="9"/>
  <c r="M45" i="10"/>
  <c r="M45" i="8"/>
  <c r="Q36" i="17"/>
  <c r="Q36" i="15"/>
  <c r="Q36" i="14"/>
  <c r="Q36" i="8"/>
  <c r="Q36" i="9"/>
  <c r="Q36" i="16"/>
  <c r="Q36" i="11"/>
  <c r="Q36" i="12"/>
  <c r="Q36" i="19"/>
  <c r="Q36" i="13"/>
  <c r="Q36" i="10"/>
  <c r="Q36" i="18"/>
  <c r="I7" i="17"/>
  <c r="I7" i="15"/>
  <c r="I7" i="16"/>
  <c r="I7" i="10"/>
  <c r="I7" i="9"/>
  <c r="I7" i="14"/>
  <c r="I7" i="11"/>
  <c r="I7" i="12"/>
  <c r="I7" i="19"/>
  <c r="I7" i="13"/>
  <c r="I7" i="8"/>
  <c r="I7" i="18"/>
  <c r="J25" i="15"/>
  <c r="J25" i="14"/>
  <c r="J25" i="12"/>
  <c r="J25" i="17"/>
  <c r="J25" i="18"/>
  <c r="J25" i="11"/>
  <c r="J25" i="13"/>
  <c r="J25" i="9"/>
  <c r="J25" i="10"/>
  <c r="J25" i="16"/>
  <c r="J25" i="19"/>
  <c r="J25" i="8"/>
  <c r="S8" i="16"/>
  <c r="S8" i="13"/>
  <c r="S8" i="12"/>
  <c r="S8" i="18"/>
  <c r="S8" i="17"/>
  <c r="S8" i="11"/>
  <c r="S8" i="8"/>
  <c r="S8" i="10"/>
  <c r="S8" i="14"/>
  <c r="S8" i="15"/>
  <c r="S8" i="19"/>
  <c r="S8" i="9"/>
  <c r="W33" i="14"/>
  <c r="W33" i="16"/>
  <c r="W33" i="17"/>
  <c r="W33" i="10"/>
  <c r="W33" i="13"/>
  <c r="W33" i="9"/>
  <c r="W33" i="12"/>
  <c r="W33" i="15"/>
  <c r="W33" i="18"/>
  <c r="W33" i="8"/>
  <c r="W33" i="11"/>
  <c r="W33" i="19"/>
  <c r="M28" i="19"/>
  <c r="M28" i="14"/>
  <c r="M28" i="12"/>
  <c r="M28" i="16"/>
  <c r="M28" i="18"/>
  <c r="M28" i="8"/>
  <c r="M28" i="13"/>
  <c r="M28" i="17"/>
  <c r="M28" i="15"/>
  <c r="M28" i="11"/>
  <c r="M28" i="10"/>
  <c r="M28" i="9"/>
  <c r="T25" i="15"/>
  <c r="T25" i="12"/>
  <c r="T25" i="9"/>
  <c r="T25" i="13"/>
  <c r="T25" i="17"/>
  <c r="T25" i="19"/>
  <c r="T25" i="10"/>
  <c r="T25" i="11"/>
  <c r="T25" i="14"/>
  <c r="T25" i="18"/>
  <c r="T25" i="8"/>
  <c r="T25" i="16"/>
  <c r="U46" i="16"/>
  <c r="U46" i="18"/>
  <c r="U46" i="8"/>
  <c r="U46" i="11"/>
  <c r="U46" i="15"/>
  <c r="U46" i="17"/>
  <c r="U46" i="13"/>
  <c r="U46" i="9"/>
  <c r="U46" i="14"/>
  <c r="U46" i="19"/>
  <c r="U46" i="10"/>
  <c r="U46" i="12"/>
  <c r="Q30" i="13"/>
  <c r="Q30" i="11"/>
  <c r="Q30" i="8"/>
  <c r="Q30" i="18"/>
  <c r="Q30" i="14"/>
  <c r="Q30" i="9"/>
  <c r="Q30" i="15"/>
  <c r="Q30" i="17"/>
  <c r="Q30" i="16"/>
  <c r="Q30" i="12"/>
  <c r="Q30" i="10"/>
  <c r="Q30" i="19"/>
  <c r="O27" i="17"/>
  <c r="O27" i="19"/>
  <c r="O27" i="9"/>
  <c r="O27" i="13"/>
  <c r="O27" i="14"/>
  <c r="O27" i="18"/>
  <c r="O27" i="8"/>
  <c r="O27" i="12"/>
  <c r="O27" i="16"/>
  <c r="O27" i="15"/>
  <c r="O27" i="10"/>
  <c r="O27" i="11"/>
  <c r="P10" i="15"/>
  <c r="P10" i="17"/>
  <c r="P10" i="14"/>
  <c r="P10" i="9"/>
  <c r="P10" i="19"/>
  <c r="P10" i="16"/>
  <c r="P10" i="13"/>
  <c r="P10" i="8"/>
  <c r="P10" i="12"/>
  <c r="P10" i="18"/>
  <c r="P10" i="11"/>
  <c r="P10" i="10"/>
  <c r="U25" i="18"/>
  <c r="U25" i="16"/>
  <c r="U25" i="12"/>
  <c r="U25" i="8"/>
  <c r="U25" i="19"/>
  <c r="U25" i="14"/>
  <c r="U25" i="11"/>
  <c r="U25" i="13"/>
  <c r="U25" i="15"/>
  <c r="U25" i="17"/>
  <c r="U25" i="10"/>
  <c r="U25" i="9"/>
  <c r="S42" i="14"/>
  <c r="S42" i="17"/>
  <c r="S42" i="9"/>
  <c r="S42" i="11"/>
  <c r="S42" i="15"/>
  <c r="S42" i="18"/>
  <c r="S42" i="8"/>
  <c r="S42" i="12"/>
  <c r="S42" i="16"/>
  <c r="S42" i="19"/>
  <c r="S42" i="13"/>
  <c r="S42" i="10"/>
  <c r="Y14" i="13"/>
  <c r="Y14" i="9"/>
  <c r="Y14" i="8"/>
  <c r="Y14" i="10"/>
  <c r="Y14" i="19"/>
  <c r="Y14" i="18"/>
  <c r="Y14" i="15"/>
  <c r="Y14" i="14"/>
  <c r="Y14" i="16"/>
  <c r="Y14" i="17"/>
  <c r="Y14" i="11"/>
  <c r="Y14" i="12"/>
  <c r="O31" i="18"/>
  <c r="O31" i="19"/>
  <c r="O31" i="11"/>
  <c r="O31" i="9"/>
  <c r="O31" i="13"/>
  <c r="O31" i="14"/>
  <c r="O31" i="12"/>
  <c r="O31" i="15"/>
  <c r="O31" i="16"/>
  <c r="O31" i="17"/>
  <c r="O31" i="10"/>
  <c r="O31" i="8"/>
  <c r="M20" i="19"/>
  <c r="M20" i="14"/>
  <c r="M20" i="13"/>
  <c r="M20" i="8"/>
  <c r="M20" i="18"/>
  <c r="M20" i="15"/>
  <c r="M20" i="10"/>
  <c r="M20" i="11"/>
  <c r="M20" i="17"/>
  <c r="M20" i="16"/>
  <c r="M20" i="12"/>
  <c r="M20" i="9"/>
  <c r="S44" i="14"/>
  <c r="S44" i="19"/>
  <c r="S44" i="8"/>
  <c r="S44" i="13"/>
  <c r="S44" i="16"/>
  <c r="S44" i="18"/>
  <c r="S44" i="9"/>
  <c r="S44" i="10"/>
  <c r="S44" i="17"/>
  <c r="S44" i="15"/>
  <c r="S44" i="11"/>
  <c r="S44" i="12"/>
  <c r="T38" i="14"/>
  <c r="T38" i="16"/>
  <c r="T38" i="12"/>
  <c r="T38" i="8"/>
  <c r="T38" i="19"/>
  <c r="T38" i="15"/>
  <c r="T38" i="13"/>
  <c r="T38" i="10"/>
  <c r="T38" i="17"/>
  <c r="T38" i="18"/>
  <c r="T38" i="9"/>
  <c r="T38" i="11"/>
  <c r="S24" i="19"/>
  <c r="S24" i="16"/>
  <c r="S24" i="12"/>
  <c r="S24" i="9"/>
  <c r="S24" i="18"/>
  <c r="S24" i="15"/>
  <c r="S24" i="13"/>
  <c r="S24" i="8"/>
  <c r="S24" i="14"/>
  <c r="S24" i="17"/>
  <c r="S24" i="10"/>
  <c r="S24" i="11"/>
  <c r="I21" i="17"/>
  <c r="I21" i="11"/>
  <c r="I21" i="13"/>
  <c r="I21" i="19"/>
  <c r="I21" i="16"/>
  <c r="I21" i="18"/>
  <c r="I21" i="15"/>
  <c r="I21" i="12"/>
  <c r="I21" i="10"/>
  <c r="I21" i="14"/>
  <c r="I21" i="8"/>
  <c r="I21" i="9"/>
  <c r="X37" i="15"/>
  <c r="X37" i="19"/>
  <c r="X37" i="8"/>
  <c r="X37" i="11"/>
  <c r="X37" i="14"/>
  <c r="X37" i="17"/>
  <c r="X37" i="16"/>
  <c r="X37" i="18"/>
  <c r="X37" i="9"/>
  <c r="X37" i="12"/>
  <c r="X37" i="13"/>
  <c r="X37" i="10"/>
  <c r="U21" i="15"/>
  <c r="U21" i="14"/>
  <c r="U21" i="9"/>
  <c r="U21" i="13"/>
  <c r="U21" i="10"/>
  <c r="U21" i="19"/>
  <c r="U21" i="18"/>
  <c r="U21" i="12"/>
  <c r="U21" i="8"/>
  <c r="U21" i="17"/>
  <c r="U21" i="16"/>
  <c r="U21" i="11"/>
  <c r="U7" i="13"/>
  <c r="U7" i="9"/>
  <c r="U7" i="16"/>
  <c r="U7" i="14"/>
  <c r="U7" i="17"/>
  <c r="U7" i="8"/>
  <c r="U7" i="11"/>
  <c r="U7" i="18"/>
  <c r="U7" i="15"/>
  <c r="U7" i="12"/>
  <c r="U7" i="10"/>
  <c r="U7" i="19"/>
  <c r="K3" i="11"/>
  <c r="K3" i="10"/>
  <c r="K3" i="12"/>
  <c r="K3" i="8"/>
  <c r="K3" i="17"/>
  <c r="K3" i="19"/>
  <c r="K3" i="15"/>
  <c r="K3" i="13"/>
  <c r="K3" i="16"/>
  <c r="K3" i="18"/>
  <c r="K3" i="9"/>
  <c r="K3" i="14"/>
  <c r="P38" i="14"/>
  <c r="P38" i="15"/>
  <c r="P38" i="8"/>
  <c r="P38" i="18"/>
  <c r="P38" i="16"/>
  <c r="P38" i="11"/>
  <c r="P38" i="9"/>
  <c r="P38" i="13"/>
  <c r="P38" i="10"/>
  <c r="P38" i="19"/>
  <c r="P38" i="17"/>
  <c r="P38" i="12"/>
  <c r="O46" i="16"/>
  <c r="O46" i="18"/>
  <c r="O46" i="12"/>
  <c r="O46" i="14"/>
  <c r="O46" i="19"/>
  <c r="O46" i="8"/>
  <c r="O46" i="13"/>
  <c r="O46" i="11"/>
  <c r="O46" i="10"/>
  <c r="O46" i="17"/>
  <c r="O46" i="15"/>
  <c r="O46" i="9"/>
  <c r="L46" i="17"/>
  <c r="L46" i="19"/>
  <c r="L46" i="11"/>
  <c r="L46" i="12"/>
  <c r="L46" i="13"/>
  <c r="L46" i="18"/>
  <c r="L46" i="8"/>
  <c r="L46" i="10"/>
  <c r="L46" i="15"/>
  <c r="L46" i="14"/>
  <c r="L46" i="9"/>
  <c r="L46" i="16"/>
  <c r="J38" i="8"/>
  <c r="J38" i="19"/>
  <c r="J38" i="14"/>
  <c r="J38" i="13"/>
  <c r="J38" i="11"/>
  <c r="J38" i="17"/>
  <c r="J38" i="18"/>
  <c r="J38" i="16"/>
  <c r="J38" i="10"/>
  <c r="J38" i="9"/>
  <c r="J38" i="15"/>
  <c r="J38" i="12"/>
  <c r="U6" i="19"/>
  <c r="U6" i="15"/>
  <c r="U6" i="10"/>
  <c r="U6" i="16"/>
  <c r="U6" i="17"/>
  <c r="U6" i="13"/>
  <c r="U6" i="12"/>
  <c r="U6" i="18"/>
  <c r="U6" i="14"/>
  <c r="U6" i="9"/>
  <c r="U6" i="8"/>
  <c r="U6" i="11"/>
  <c r="U3" i="15"/>
  <c r="U3" i="19"/>
  <c r="U3" i="16"/>
  <c r="U3" i="12"/>
  <c r="U3" i="10"/>
  <c r="U3" i="11"/>
  <c r="U3" i="9"/>
  <c r="U3" i="17"/>
  <c r="U3" i="14"/>
  <c r="U3" i="13"/>
  <c r="U3" i="8"/>
  <c r="U3" i="18"/>
  <c r="O25" i="15"/>
  <c r="O25" i="18"/>
  <c r="O25" i="8"/>
  <c r="O25" i="17"/>
  <c r="O25" i="16"/>
  <c r="O25" i="11"/>
  <c r="O25" i="9"/>
  <c r="O25" i="19"/>
  <c r="O25" i="13"/>
  <c r="O25" i="14"/>
  <c r="O25" i="10"/>
  <c r="O25" i="12"/>
  <c r="Y45" i="14"/>
  <c r="Y45" i="18"/>
  <c r="Y45" i="9"/>
  <c r="Y45" i="19"/>
  <c r="Y45" i="17"/>
  <c r="Y45" i="13"/>
  <c r="Y45" i="8"/>
  <c r="Y45" i="12"/>
  <c r="Y45" i="10"/>
  <c r="Y45" i="16"/>
  <c r="Y45" i="15"/>
  <c r="Y45" i="11"/>
  <c r="O34" i="17"/>
  <c r="O34" i="18"/>
  <c r="O34" i="13"/>
  <c r="O34" i="19"/>
  <c r="O34" i="16"/>
  <c r="O34" i="9"/>
  <c r="O34" i="10"/>
  <c r="O34" i="8"/>
  <c r="O34" i="11"/>
  <c r="O34" i="12"/>
  <c r="O34" i="14"/>
  <c r="O34" i="15"/>
  <c r="U32" i="15"/>
  <c r="U32" i="16"/>
  <c r="U32" i="14"/>
  <c r="U32" i="12"/>
  <c r="U32" i="19"/>
  <c r="U32" i="8"/>
  <c r="U32" i="11"/>
  <c r="U32" i="18"/>
  <c r="U32" i="17"/>
  <c r="U32" i="10"/>
  <c r="U32" i="13"/>
  <c r="U32" i="9"/>
  <c r="L34" i="13"/>
  <c r="L34" i="19"/>
  <c r="L34" i="10"/>
  <c r="L34" i="18"/>
  <c r="L34" i="15"/>
  <c r="L34" i="8"/>
  <c r="L34" i="9"/>
  <c r="L34" i="14"/>
  <c r="L34" i="17"/>
  <c r="L34" i="16"/>
  <c r="L34" i="11"/>
  <c r="L34" i="12"/>
  <c r="O23" i="16"/>
  <c r="O23" i="13"/>
  <c r="O23" i="11"/>
  <c r="O23" i="18"/>
  <c r="O23" i="17"/>
  <c r="O23" i="10"/>
  <c r="O23" i="12"/>
  <c r="O23" i="8"/>
  <c r="O23" i="14"/>
  <c r="O23" i="15"/>
  <c r="O23" i="19"/>
  <c r="O23" i="9"/>
  <c r="V50" i="18"/>
  <c r="V50" i="15"/>
  <c r="V50" i="12"/>
  <c r="V50" i="17"/>
  <c r="V50" i="14"/>
  <c r="V50" i="11"/>
  <c r="V50" i="8"/>
  <c r="V50" i="10"/>
  <c r="V50" i="13"/>
  <c r="V50" i="16"/>
  <c r="V50" i="19"/>
  <c r="V50" i="9"/>
  <c r="M30" i="17"/>
  <c r="M30" i="8"/>
  <c r="M30" i="11"/>
  <c r="M30" i="19"/>
  <c r="M30" i="16"/>
  <c r="M30" i="18"/>
  <c r="M30" i="10"/>
  <c r="M30" i="13"/>
  <c r="M30" i="14"/>
  <c r="M30" i="15"/>
  <c r="M30" i="9"/>
  <c r="M30" i="12"/>
  <c r="K41" i="15"/>
  <c r="K41" i="18"/>
  <c r="K41" i="8"/>
  <c r="K41" i="12"/>
  <c r="K41" i="14"/>
  <c r="K41" i="16"/>
  <c r="K41" i="11"/>
  <c r="K41" i="9"/>
  <c r="K41" i="17"/>
  <c r="K41" i="19"/>
  <c r="K41" i="10"/>
  <c r="K41" i="13"/>
  <c r="X27" i="16"/>
  <c r="X27" i="13"/>
  <c r="X27" i="10"/>
  <c r="X27" i="12"/>
  <c r="X27" i="19"/>
  <c r="X27" i="18"/>
  <c r="X27" i="8"/>
  <c r="X27" i="11"/>
  <c r="X27" i="15"/>
  <c r="X27" i="17"/>
  <c r="X27" i="9"/>
  <c r="X27" i="14"/>
  <c r="T37" i="15"/>
  <c r="T37" i="11"/>
  <c r="T37" i="9"/>
  <c r="T37" i="18"/>
  <c r="T37" i="16"/>
  <c r="T37" i="10"/>
  <c r="T37" i="12"/>
  <c r="T37" i="17"/>
  <c r="T37" i="14"/>
  <c r="T37" i="13"/>
  <c r="T37" i="8"/>
  <c r="T37" i="19"/>
  <c r="N33" i="18"/>
  <c r="N33" i="19"/>
  <c r="N33" i="9"/>
  <c r="N33" i="11"/>
  <c r="N33" i="15"/>
  <c r="N33" i="16"/>
  <c r="N33" i="10"/>
  <c r="N33" i="12"/>
  <c r="N33" i="17"/>
  <c r="N33" i="14"/>
  <c r="N33" i="13"/>
  <c r="N33" i="8"/>
  <c r="Q54" i="16"/>
  <c r="Q54" i="17"/>
  <c r="Q54" i="12"/>
  <c r="Q54" i="8"/>
  <c r="Q54" i="19"/>
  <c r="Q54" i="14"/>
  <c r="Q54" i="13"/>
  <c r="Q54" i="10"/>
  <c r="Q54" i="15"/>
  <c r="Q54" i="18"/>
  <c r="Q54" i="11"/>
  <c r="Q54" i="9"/>
  <c r="Q26" i="13"/>
  <c r="Q26" i="18"/>
  <c r="Q26" i="8"/>
  <c r="Q26" i="11"/>
  <c r="Q26" i="15"/>
  <c r="Q26" i="17"/>
  <c r="Q26" i="9"/>
  <c r="Q26" i="12"/>
  <c r="Q26" i="16"/>
  <c r="Q26" i="19"/>
  <c r="Q26" i="10"/>
  <c r="Q26" i="14"/>
  <c r="Y41" i="15"/>
  <c r="Y41" i="9"/>
  <c r="Y41" i="19"/>
  <c r="Y41" i="8"/>
  <c r="Y41" i="12"/>
  <c r="Y41" i="18"/>
  <c r="Y41" i="17"/>
  <c r="Y41" i="14"/>
  <c r="Y41" i="16"/>
  <c r="Y41" i="11"/>
  <c r="Y41" i="13"/>
  <c r="Y41" i="10"/>
  <c r="U39" i="17"/>
  <c r="U39" i="19"/>
  <c r="U39" i="11"/>
  <c r="U39" i="10"/>
  <c r="U39" i="13"/>
  <c r="U39" i="18"/>
  <c r="U39" i="14"/>
  <c r="U39" i="9"/>
  <c r="U39" i="16"/>
  <c r="U39" i="15"/>
  <c r="U39" i="8"/>
  <c r="U39" i="12"/>
  <c r="M50" i="19"/>
  <c r="M50" i="14"/>
  <c r="M50" i="12"/>
  <c r="M50" i="8"/>
  <c r="M50" i="17"/>
  <c r="M50" i="16"/>
  <c r="M50" i="11"/>
  <c r="M50" i="10"/>
  <c r="M50" i="15"/>
  <c r="M50" i="18"/>
  <c r="M50" i="13"/>
  <c r="M50" i="9"/>
  <c r="I52" i="14"/>
  <c r="I52" i="19"/>
  <c r="I52" i="9"/>
  <c r="I52" i="12"/>
  <c r="I52" i="16"/>
  <c r="I52" i="17"/>
  <c r="I52" i="8"/>
  <c r="I52" i="11"/>
  <c r="I52" i="18"/>
  <c r="I52" i="15"/>
  <c r="I52" i="10"/>
  <c r="I52" i="13"/>
  <c r="L32" i="14"/>
  <c r="L32" i="15"/>
  <c r="L32" i="16"/>
  <c r="L32" i="11"/>
  <c r="L32" i="19"/>
  <c r="L32" i="13"/>
  <c r="L32" i="12"/>
  <c r="L32" i="9"/>
  <c r="L32" i="17"/>
  <c r="L32" i="18"/>
  <c r="L32" i="10"/>
  <c r="L32" i="8"/>
  <c r="X51" i="14"/>
  <c r="X51" i="16"/>
  <c r="X51" i="12"/>
  <c r="X51" i="9"/>
  <c r="X51" i="19"/>
  <c r="X51" i="15"/>
  <c r="X51" i="13"/>
  <c r="X51" i="8"/>
  <c r="X51" i="17"/>
  <c r="X51" i="18"/>
  <c r="X51" i="10"/>
  <c r="X51" i="11"/>
  <c r="O13" i="19"/>
  <c r="O13" i="18"/>
  <c r="O13" i="13"/>
  <c r="O13" i="8"/>
  <c r="O13" i="16"/>
  <c r="O13" i="15"/>
  <c r="O13" i="11"/>
  <c r="O13" i="10"/>
  <c r="O13" i="14"/>
  <c r="O13" i="17"/>
  <c r="O13" i="9"/>
  <c r="O13" i="12"/>
  <c r="L7" i="16"/>
  <c r="L7" i="19"/>
  <c r="L7" i="10"/>
  <c r="L7" i="12"/>
  <c r="L7" i="8"/>
  <c r="L7" i="17"/>
  <c r="L7" i="14"/>
  <c r="L7" i="13"/>
  <c r="L7" i="11"/>
  <c r="L7" i="18"/>
  <c r="L7" i="15"/>
  <c r="L7" i="9"/>
  <c r="K12" i="15"/>
  <c r="K12" i="19"/>
  <c r="K12" i="12"/>
  <c r="K12" i="14"/>
  <c r="K12" i="10"/>
  <c r="K12" i="18"/>
  <c r="K12" i="16"/>
  <c r="K12" i="8"/>
  <c r="K12" i="9"/>
  <c r="K12" i="13"/>
  <c r="K12" i="17"/>
  <c r="K12" i="11"/>
  <c r="J16" i="14"/>
  <c r="J16" i="18"/>
  <c r="J16" i="12"/>
  <c r="J16" i="9"/>
  <c r="J16" i="8"/>
  <c r="J16" i="15"/>
  <c r="J16" i="19"/>
  <c r="J16" i="11"/>
  <c r="J16" i="10"/>
  <c r="J16" i="16"/>
  <c r="J16" i="17"/>
  <c r="J16" i="13"/>
  <c r="W3" i="14"/>
  <c r="W3" i="17"/>
  <c r="W3" i="10"/>
  <c r="W3" i="16"/>
  <c r="W3" i="19"/>
  <c r="W3" i="9"/>
  <c r="W3" i="12"/>
  <c r="W3" i="15"/>
  <c r="W3" i="18"/>
  <c r="W3" i="13"/>
  <c r="W3" i="11"/>
  <c r="W3" i="8"/>
  <c r="N45" i="17"/>
  <c r="N45" i="18"/>
  <c r="N45" i="12"/>
  <c r="N45" i="16"/>
  <c r="N45" i="19"/>
  <c r="N45" i="9"/>
  <c r="N45" i="14"/>
  <c r="N45" i="8"/>
  <c r="N45" i="11"/>
  <c r="N45" i="13"/>
  <c r="N45" i="15"/>
  <c r="N45" i="10"/>
  <c r="V54" i="14"/>
  <c r="V54" i="15"/>
  <c r="V54" i="8"/>
  <c r="V54" i="12"/>
  <c r="V54" i="10"/>
  <c r="V54" i="19"/>
  <c r="V54" i="18"/>
  <c r="V54" i="13"/>
  <c r="V54" i="9"/>
  <c r="V54" i="11"/>
  <c r="V54" i="16"/>
  <c r="V54" i="17"/>
  <c r="I23" i="12"/>
  <c r="I23" i="8"/>
  <c r="I23" i="18"/>
  <c r="I23" i="11"/>
  <c r="I23" i="13"/>
  <c r="I23" i="19"/>
  <c r="I23" i="14"/>
  <c r="I23" i="10"/>
  <c r="I23" i="9"/>
  <c r="I23" i="17"/>
  <c r="I23" i="16"/>
  <c r="I23" i="15"/>
  <c r="N2" i="17"/>
  <c r="N2" i="9"/>
  <c r="N2" i="18"/>
  <c r="N2" i="13"/>
  <c r="N2" i="11"/>
  <c r="N2" i="12"/>
  <c r="N2" i="14"/>
  <c r="N2" i="15"/>
  <c r="N2" i="16"/>
  <c r="N2" i="8"/>
  <c r="N2" i="10"/>
  <c r="N2" i="19"/>
  <c r="W49" i="19"/>
  <c r="W49" i="14"/>
  <c r="W49" i="12"/>
  <c r="W49" i="11"/>
  <c r="W49" i="17"/>
  <c r="W49" i="15"/>
  <c r="W49" i="18"/>
  <c r="W49" i="8"/>
  <c r="W49" i="13"/>
  <c r="W49" i="10"/>
  <c r="W49" i="16"/>
  <c r="W49" i="9"/>
  <c r="K44" i="12"/>
  <c r="K44" i="15"/>
  <c r="K44" i="18"/>
  <c r="K44" i="8"/>
  <c r="K44" i="19"/>
  <c r="K44" i="14"/>
  <c r="K44" i="11"/>
  <c r="K44" i="13"/>
  <c r="K44" i="16"/>
  <c r="K44" i="17"/>
  <c r="K44" i="9"/>
  <c r="K44" i="10"/>
  <c r="J26" i="17"/>
  <c r="J26" i="12"/>
  <c r="J26" i="8"/>
  <c r="J26" i="19"/>
  <c r="J26" i="13"/>
  <c r="J26" i="14"/>
  <c r="J26" i="9"/>
  <c r="J26" i="15"/>
  <c r="J26" i="18"/>
  <c r="J26" i="11"/>
  <c r="J26" i="10"/>
  <c r="J26" i="16"/>
  <c r="U33" i="12"/>
  <c r="U33" i="18"/>
  <c r="U33" i="17"/>
  <c r="U33" i="15"/>
  <c r="U33" i="13"/>
  <c r="U33" i="10"/>
  <c r="U33" i="19"/>
  <c r="U33" i="16"/>
  <c r="U33" i="9"/>
  <c r="U33" i="8"/>
  <c r="U33" i="14"/>
  <c r="U33" i="11"/>
  <c r="T4" i="15"/>
  <c r="T4" i="14"/>
  <c r="T4" i="11"/>
  <c r="T4" i="13"/>
  <c r="T4" i="8"/>
  <c r="T4" i="16"/>
  <c r="T4" i="10"/>
  <c r="T4" i="9"/>
  <c r="T4" i="18"/>
  <c r="T4" i="19"/>
  <c r="T4" i="17"/>
  <c r="T4" i="12"/>
  <c r="K13" i="13"/>
  <c r="K13" i="14"/>
  <c r="K13" i="18"/>
  <c r="K13" i="10"/>
  <c r="K13" i="19"/>
  <c r="K13" i="17"/>
  <c r="K13" i="11"/>
  <c r="K13" i="9"/>
  <c r="K13" i="16"/>
  <c r="K13" i="15"/>
  <c r="K13" i="12"/>
  <c r="K13" i="8"/>
  <c r="L26" i="11"/>
  <c r="L26" i="19"/>
  <c r="L26" i="8"/>
  <c r="L26" i="17"/>
  <c r="L26" i="15"/>
  <c r="L26" i="12"/>
  <c r="L26" i="14"/>
  <c r="L26" i="18"/>
  <c r="L26" i="9"/>
  <c r="L26" i="10"/>
  <c r="L26" i="16"/>
  <c r="L26" i="13"/>
  <c r="W6" i="10"/>
  <c r="W6" i="13"/>
  <c r="W6" i="17"/>
  <c r="W6" i="15"/>
  <c r="W6" i="11"/>
  <c r="W6" i="14"/>
  <c r="W6" i="19"/>
  <c r="W6" i="16"/>
  <c r="W6" i="18"/>
  <c r="W6" i="9"/>
  <c r="W6" i="12"/>
  <c r="W6" i="8"/>
  <c r="N9" i="19"/>
  <c r="N9" i="13"/>
  <c r="N9" i="8"/>
  <c r="N9" i="15"/>
  <c r="N9" i="10"/>
  <c r="N9" i="14"/>
  <c r="N9" i="17"/>
  <c r="N9" i="9"/>
  <c r="N9" i="11"/>
  <c r="N9" i="16"/>
  <c r="N9" i="18"/>
  <c r="N9" i="12"/>
  <c r="V55" i="11"/>
  <c r="V55" i="10"/>
  <c r="V55" i="18"/>
  <c r="V55" i="16"/>
  <c r="V55" i="19"/>
  <c r="V55" i="15"/>
  <c r="V55" i="12"/>
  <c r="V55" i="9"/>
  <c r="V55" i="8"/>
  <c r="V55" i="14"/>
  <c r="V55" i="13"/>
  <c r="V55" i="17"/>
  <c r="V47" i="11"/>
  <c r="V47" i="13"/>
  <c r="V47" i="14"/>
  <c r="V47" i="15"/>
  <c r="V47" i="19"/>
  <c r="V47" i="9"/>
  <c r="V47" i="10"/>
  <c r="V47" i="17"/>
  <c r="V47" i="18"/>
  <c r="V47" i="16"/>
  <c r="V47" i="12"/>
  <c r="V47" i="8"/>
  <c r="L54" i="15"/>
  <c r="L54" i="13"/>
  <c r="L54" i="12"/>
  <c r="L54" i="18"/>
  <c r="L54" i="19"/>
  <c r="L54" i="10"/>
  <c r="L54" i="8"/>
  <c r="L54" i="14"/>
  <c r="L54" i="17"/>
  <c r="L54" i="9"/>
  <c r="L54" i="11"/>
  <c r="L54" i="16"/>
  <c r="L10" i="15"/>
  <c r="L10" i="19"/>
  <c r="L10" i="11"/>
  <c r="L10" i="8"/>
  <c r="L10" i="14"/>
  <c r="L10" i="17"/>
  <c r="L10" i="16"/>
  <c r="L10" i="12"/>
  <c r="L10" i="9"/>
  <c r="L10" i="18"/>
  <c r="L10" i="10"/>
  <c r="L10" i="13"/>
  <c r="M54" i="12"/>
  <c r="M54" i="17"/>
  <c r="M54" i="15"/>
  <c r="M54" i="13"/>
  <c r="M54" i="10"/>
  <c r="M54" i="18"/>
  <c r="M54" i="19"/>
  <c r="M54" i="16"/>
  <c r="M54" i="11"/>
  <c r="M54" i="9"/>
  <c r="M54" i="14"/>
  <c r="M54" i="8"/>
  <c r="I27" i="16"/>
  <c r="I27" i="19"/>
  <c r="I27" i="9"/>
  <c r="I27" i="13"/>
  <c r="I27" i="10"/>
  <c r="I27" i="12"/>
  <c r="I27" i="18"/>
  <c r="I27" i="14"/>
  <c r="I27" i="17"/>
  <c r="I27" i="15"/>
  <c r="I27" i="11"/>
  <c r="I27" i="8"/>
  <c r="Q21" i="14"/>
  <c r="Q21" i="19"/>
  <c r="Q21" i="13"/>
  <c r="Q21" i="12"/>
  <c r="Q21" i="9"/>
  <c r="Q21" i="18"/>
  <c r="Q21" i="16"/>
  <c r="Q21" i="15"/>
  <c r="Q21" i="10"/>
  <c r="Q21" i="11"/>
  <c r="Q21" i="17"/>
  <c r="Q21" i="8"/>
  <c r="R11" i="8"/>
  <c r="R11" i="10"/>
  <c r="R11" i="15"/>
  <c r="R11" i="18"/>
  <c r="R11" i="12"/>
  <c r="R11" i="16"/>
  <c r="R11" i="19"/>
  <c r="R11" i="9"/>
  <c r="R11" i="17"/>
  <c r="R11" i="14"/>
  <c r="R11" i="13"/>
  <c r="R11" i="11"/>
  <c r="M48" i="12"/>
  <c r="M48" i="8"/>
  <c r="M48" i="17"/>
  <c r="M48" i="18"/>
  <c r="M48" i="16"/>
  <c r="M48" i="19"/>
  <c r="M48" i="14"/>
  <c r="M48" i="11"/>
  <c r="M48" i="9"/>
  <c r="M48" i="15"/>
  <c r="M48" i="10"/>
  <c r="M48" i="13"/>
  <c r="T35" i="15"/>
  <c r="T35" i="13"/>
  <c r="T35" i="8"/>
  <c r="T35" i="14"/>
  <c r="T35" i="17"/>
  <c r="T35" i="18"/>
  <c r="T35" i="16"/>
  <c r="T35" i="9"/>
  <c r="T35" i="19"/>
  <c r="T35" i="11"/>
  <c r="T35" i="10"/>
  <c r="T35" i="12"/>
  <c r="X17" i="14"/>
  <c r="X17" i="16"/>
  <c r="X17" i="18"/>
  <c r="X17" i="13"/>
  <c r="X17" i="10"/>
  <c r="X17" i="11"/>
  <c r="X17" i="9"/>
  <c r="X17" i="19"/>
  <c r="X17" i="17"/>
  <c r="X17" i="12"/>
  <c r="X17" i="8"/>
  <c r="X17" i="15"/>
  <c r="O16" i="14"/>
  <c r="O16" i="12"/>
  <c r="O16" i="10"/>
  <c r="O16" i="18"/>
  <c r="O16" i="15"/>
  <c r="O16" i="13"/>
  <c r="O16" i="8"/>
  <c r="O16" i="16"/>
  <c r="O16" i="19"/>
  <c r="O16" i="9"/>
  <c r="O16" i="11"/>
  <c r="O16" i="17"/>
  <c r="N18" i="8"/>
  <c r="N18" i="19"/>
  <c r="N18" i="14"/>
  <c r="N18" i="11"/>
  <c r="N18" i="13"/>
  <c r="N18" i="17"/>
  <c r="N18" i="18"/>
  <c r="N18" i="16"/>
  <c r="N18" i="10"/>
  <c r="N18" i="9"/>
  <c r="N18" i="15"/>
  <c r="N18" i="12"/>
  <c r="Y36" i="17"/>
  <c r="Y36" i="13"/>
  <c r="Y36" i="10"/>
  <c r="Y36" i="15"/>
  <c r="Y36" i="19"/>
  <c r="Y36" i="11"/>
  <c r="Y36" i="8"/>
  <c r="Y36" i="14"/>
  <c r="Y36" i="18"/>
  <c r="Y36" i="9"/>
  <c r="Y36" i="12"/>
  <c r="Y36" i="16"/>
  <c r="W41" i="12"/>
  <c r="W41" i="11"/>
  <c r="W41" i="17"/>
  <c r="W41" i="19"/>
  <c r="W41" i="14"/>
  <c r="W41" i="10"/>
  <c r="W41" i="15"/>
  <c r="W41" i="9"/>
  <c r="W41" i="8"/>
  <c r="W41" i="16"/>
  <c r="W41" i="18"/>
  <c r="W41" i="13"/>
  <c r="S17" i="14"/>
  <c r="S17" i="16"/>
  <c r="S17" i="12"/>
  <c r="S17" i="11"/>
  <c r="S17" i="19"/>
  <c r="S17" i="18"/>
  <c r="S17" i="15"/>
  <c r="S17" i="10"/>
  <c r="S17" i="8"/>
  <c r="S17" i="9"/>
  <c r="S17" i="17"/>
  <c r="S17" i="13"/>
  <c r="M47" i="17"/>
  <c r="M47" i="18"/>
  <c r="M47" i="19"/>
  <c r="M47" i="16"/>
  <c r="M47" i="12"/>
  <c r="M47" i="8"/>
  <c r="M47" i="15"/>
  <c r="M47" i="9"/>
  <c r="M47" i="10"/>
  <c r="M47" i="11"/>
  <c r="M47" i="14"/>
  <c r="M47" i="13"/>
  <c r="U41" i="18"/>
  <c r="U41" i="16"/>
  <c r="U41" i="12"/>
  <c r="U41" i="11"/>
  <c r="U41" i="17"/>
  <c r="U41" i="9"/>
  <c r="U41" i="8"/>
  <c r="U41" i="14"/>
  <c r="U41" i="15"/>
  <c r="U41" i="10"/>
  <c r="U41" i="13"/>
  <c r="U41" i="19"/>
  <c r="Q49" i="19"/>
  <c r="Q49" i="12"/>
  <c r="Q49" i="14"/>
  <c r="Q49" i="10"/>
  <c r="Q49" i="13"/>
  <c r="Q49" i="9"/>
  <c r="Q49" i="18"/>
  <c r="Q49" i="16"/>
  <c r="Q49" i="17"/>
  <c r="Q49" i="8"/>
  <c r="Q49" i="15"/>
  <c r="Q49" i="11"/>
  <c r="S4" i="17"/>
  <c r="S4" i="13"/>
  <c r="S4" i="12"/>
  <c r="S4" i="9"/>
  <c r="S4" i="16"/>
  <c r="S4" i="19"/>
  <c r="S4" i="8"/>
  <c r="S4" i="14"/>
  <c r="S4" i="18"/>
  <c r="S4" i="10"/>
  <c r="S4" i="11"/>
  <c r="S4" i="15"/>
  <c r="Y19" i="10"/>
  <c r="Y19" i="8"/>
  <c r="Y19" i="11"/>
  <c r="Y19" i="16"/>
  <c r="Y19" i="15"/>
  <c r="Y19" i="19"/>
  <c r="Y19" i="14"/>
  <c r="Y19" i="13"/>
  <c r="Y19" i="9"/>
  <c r="Y19" i="18"/>
  <c r="Y19" i="12"/>
  <c r="Y19" i="17"/>
  <c r="T23" i="19"/>
  <c r="T23" i="8"/>
  <c r="T23" i="12"/>
  <c r="T23" i="16"/>
  <c r="T23" i="18"/>
  <c r="T23" i="9"/>
  <c r="T23" i="11"/>
  <c r="T23" i="14"/>
  <c r="T23" i="15"/>
  <c r="T23" i="10"/>
  <c r="T23" i="13"/>
  <c r="T23" i="17"/>
  <c r="V11" i="17"/>
  <c r="V11" i="13"/>
  <c r="V11" i="9"/>
  <c r="V11" i="16"/>
  <c r="V11" i="12"/>
  <c r="V11" i="8"/>
  <c r="V11" i="14"/>
  <c r="V11" i="18"/>
  <c r="V11" i="10"/>
  <c r="V11" i="11"/>
  <c r="V11" i="15"/>
  <c r="V11" i="19"/>
  <c r="N25" i="15"/>
  <c r="N25" i="18"/>
  <c r="N25" i="17"/>
  <c r="N25" i="12"/>
  <c r="N25" i="14"/>
  <c r="N25" i="9"/>
  <c r="N25" i="10"/>
  <c r="N25" i="13"/>
  <c r="N25" i="11"/>
  <c r="N25" i="16"/>
  <c r="N25" i="8"/>
  <c r="N25" i="19"/>
  <c r="T18" i="19"/>
  <c r="T18" i="12"/>
  <c r="T18" i="8"/>
  <c r="T18" i="13"/>
  <c r="T18" i="9"/>
  <c r="T18" i="15"/>
  <c r="T18" i="18"/>
  <c r="T18" i="11"/>
  <c r="T18" i="10"/>
  <c r="T18" i="16"/>
  <c r="T18" i="17"/>
  <c r="T18" i="14"/>
  <c r="M2" i="18"/>
  <c r="M2" i="11"/>
  <c r="M2" i="13"/>
  <c r="M2" i="17"/>
  <c r="M2" i="15"/>
  <c r="M2" i="19"/>
  <c r="M2" i="9"/>
  <c r="M2" i="12"/>
  <c r="M2" i="14"/>
  <c r="M2" i="10"/>
  <c r="M2" i="8"/>
  <c r="M2" i="16"/>
  <c r="V3" i="12"/>
  <c r="V3" i="9"/>
  <c r="V3" i="17"/>
  <c r="V3" i="16"/>
  <c r="V3" i="10"/>
  <c r="V3" i="19"/>
  <c r="V3" i="15"/>
  <c r="V3" i="11"/>
  <c r="V3" i="13"/>
  <c r="V3" i="8"/>
  <c r="V3" i="14"/>
  <c r="V3" i="18"/>
</calcChain>
</file>

<file path=xl/sharedStrings.xml><?xml version="1.0" encoding="utf-8"?>
<sst xmlns="http://schemas.openxmlformats.org/spreadsheetml/2006/main" count="213" uniqueCount="7">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</sst>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239</c:v>
                </c:pt>
                <c:pt idx="1">
                  <c:v>270</c:v>
                </c:pt>
                <c:pt idx="2">
                  <c:v>317</c:v>
                </c:pt>
                <c:pt idx="3">
                  <c:v>361</c:v>
                </c:pt>
                <c:pt idx="4">
                  <c:v>408</c:v>
                </c:pt>
                <c:pt idx="5">
                  <c:v>435</c:v>
                </c:pt>
                <c:pt idx="6">
                  <c:v>470</c:v>
                </c:pt>
                <c:pt idx="7">
                  <c:v>506</c:v>
                </c:pt>
                <c:pt idx="8">
                  <c:v>502</c:v>
                </c:pt>
                <c:pt idx="9">
                  <c:v>506</c:v>
                </c:pt>
                <c:pt idx="10">
                  <c:v>482</c:v>
                </c:pt>
                <c:pt idx="11">
                  <c:v>451</c:v>
                </c:pt>
                <c:pt idx="12">
                  <c:v>408</c:v>
                </c:pt>
                <c:pt idx="13">
                  <c:v>361</c:v>
                </c:pt>
                <c:pt idx="14">
                  <c:v>317</c:v>
                </c:pt>
                <c:pt idx="15">
                  <c:v>270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270</c:v>
                </c:pt>
                <c:pt idx="1">
                  <c:v>317</c:v>
                </c:pt>
                <c:pt idx="2">
                  <c:v>365</c:v>
                </c:pt>
                <c:pt idx="3">
                  <c:v>423</c:v>
                </c:pt>
                <c:pt idx="4">
                  <c:v>470</c:v>
                </c:pt>
                <c:pt idx="5">
                  <c:v>529</c:v>
                </c:pt>
                <c:pt idx="6">
                  <c:v>564</c:v>
                </c:pt>
                <c:pt idx="7">
                  <c:v>600</c:v>
                </c:pt>
                <c:pt idx="8">
                  <c:v>611</c:v>
                </c:pt>
                <c:pt idx="9">
                  <c:v>600</c:v>
                </c:pt>
                <c:pt idx="10">
                  <c:v>576</c:v>
                </c:pt>
                <c:pt idx="11">
                  <c:v>529</c:v>
                </c:pt>
                <c:pt idx="12">
                  <c:v>470</c:v>
                </c:pt>
                <c:pt idx="13">
                  <c:v>423</c:v>
                </c:pt>
                <c:pt idx="14">
                  <c:v>365</c:v>
                </c:pt>
                <c:pt idx="15">
                  <c:v>317</c:v>
                </c:pt>
                <c:pt idx="16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290</c:v>
                </c:pt>
                <c:pt idx="1">
                  <c:v>353</c:v>
                </c:pt>
                <c:pt idx="2">
                  <c:v>412</c:v>
                </c:pt>
                <c:pt idx="3">
                  <c:v>470</c:v>
                </c:pt>
                <c:pt idx="4">
                  <c:v>541</c:v>
                </c:pt>
                <c:pt idx="5">
                  <c:v>611</c:v>
                </c:pt>
                <c:pt idx="6">
                  <c:v>670</c:v>
                </c:pt>
                <c:pt idx="7">
                  <c:v>706</c:v>
                </c:pt>
                <c:pt idx="8">
                  <c:v>717</c:v>
                </c:pt>
                <c:pt idx="9">
                  <c:v>706</c:v>
                </c:pt>
                <c:pt idx="10">
                  <c:v>670</c:v>
                </c:pt>
                <c:pt idx="11">
                  <c:v>611</c:v>
                </c:pt>
                <c:pt idx="12">
                  <c:v>541</c:v>
                </c:pt>
                <c:pt idx="13">
                  <c:v>470</c:v>
                </c:pt>
                <c:pt idx="14">
                  <c:v>412</c:v>
                </c:pt>
                <c:pt idx="15">
                  <c:v>353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314</c:v>
                </c:pt>
                <c:pt idx="1">
                  <c:v>376</c:v>
                </c:pt>
                <c:pt idx="2">
                  <c:v>447</c:v>
                </c:pt>
                <c:pt idx="3">
                  <c:v>529</c:v>
                </c:pt>
                <c:pt idx="4">
                  <c:v>611</c:v>
                </c:pt>
                <c:pt idx="5">
                  <c:v>694</c:v>
                </c:pt>
                <c:pt idx="6">
                  <c:v>764</c:v>
                </c:pt>
                <c:pt idx="7">
                  <c:v>811</c:v>
                </c:pt>
                <c:pt idx="8">
                  <c:v>835</c:v>
                </c:pt>
                <c:pt idx="9">
                  <c:v>811</c:v>
                </c:pt>
                <c:pt idx="10">
                  <c:v>764</c:v>
                </c:pt>
                <c:pt idx="11">
                  <c:v>694</c:v>
                </c:pt>
                <c:pt idx="12">
                  <c:v>611</c:v>
                </c:pt>
                <c:pt idx="13">
                  <c:v>529</c:v>
                </c:pt>
                <c:pt idx="14">
                  <c:v>447</c:v>
                </c:pt>
                <c:pt idx="15">
                  <c:v>376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333</c:v>
                </c:pt>
                <c:pt idx="1">
                  <c:v>412</c:v>
                </c:pt>
                <c:pt idx="2">
                  <c:v>482</c:v>
                </c:pt>
                <c:pt idx="3">
                  <c:v>576</c:v>
                </c:pt>
                <c:pt idx="4">
                  <c:v>670</c:v>
                </c:pt>
                <c:pt idx="5">
                  <c:v>764</c:v>
                </c:pt>
                <c:pt idx="6">
                  <c:v>847</c:v>
                </c:pt>
                <c:pt idx="7">
                  <c:v>905</c:v>
                </c:pt>
                <c:pt idx="8">
                  <c:v>929</c:v>
                </c:pt>
                <c:pt idx="9">
                  <c:v>905</c:v>
                </c:pt>
                <c:pt idx="10">
                  <c:v>847</c:v>
                </c:pt>
                <c:pt idx="11">
                  <c:v>764</c:v>
                </c:pt>
                <c:pt idx="12">
                  <c:v>670</c:v>
                </c:pt>
                <c:pt idx="13">
                  <c:v>576</c:v>
                </c:pt>
                <c:pt idx="14">
                  <c:v>482</c:v>
                </c:pt>
                <c:pt idx="15">
                  <c:v>400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345</c:v>
                </c:pt>
                <c:pt idx="1">
                  <c:v>423</c:v>
                </c:pt>
                <c:pt idx="2">
                  <c:v>506</c:v>
                </c:pt>
                <c:pt idx="3">
                  <c:v>600</c:v>
                </c:pt>
                <c:pt idx="4">
                  <c:v>706</c:v>
                </c:pt>
                <c:pt idx="5">
                  <c:v>811</c:v>
                </c:pt>
                <c:pt idx="6">
                  <c:v>905</c:v>
                </c:pt>
                <c:pt idx="7">
                  <c:v>964</c:v>
                </c:pt>
                <c:pt idx="8">
                  <c:v>988</c:v>
                </c:pt>
                <c:pt idx="9">
                  <c:v>976</c:v>
                </c:pt>
                <c:pt idx="10">
                  <c:v>905</c:v>
                </c:pt>
                <c:pt idx="11">
                  <c:v>811</c:v>
                </c:pt>
                <c:pt idx="12">
                  <c:v>706</c:v>
                </c:pt>
                <c:pt idx="13">
                  <c:v>600</c:v>
                </c:pt>
                <c:pt idx="14">
                  <c:v>506</c:v>
                </c:pt>
                <c:pt idx="15">
                  <c:v>423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357</c:v>
                </c:pt>
                <c:pt idx="1">
                  <c:v>435</c:v>
                </c:pt>
                <c:pt idx="2">
                  <c:v>517</c:v>
                </c:pt>
                <c:pt idx="3">
                  <c:v>611</c:v>
                </c:pt>
                <c:pt idx="4">
                  <c:v>729</c:v>
                </c:pt>
                <c:pt idx="5">
                  <c:v>835</c:v>
                </c:pt>
                <c:pt idx="6">
                  <c:v>929</c:v>
                </c:pt>
                <c:pt idx="7">
                  <c:v>999</c:v>
                </c:pt>
                <c:pt idx="8">
                  <c:v>1023</c:v>
                </c:pt>
                <c:pt idx="9">
                  <c:v>999</c:v>
                </c:pt>
                <c:pt idx="10">
                  <c:v>941</c:v>
                </c:pt>
                <c:pt idx="11">
                  <c:v>835</c:v>
                </c:pt>
                <c:pt idx="12">
                  <c:v>729</c:v>
                </c:pt>
                <c:pt idx="13">
                  <c:v>611</c:v>
                </c:pt>
                <c:pt idx="14">
                  <c:v>517</c:v>
                </c:pt>
                <c:pt idx="15">
                  <c:v>423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345</c:v>
                </c:pt>
                <c:pt idx="1">
                  <c:v>423</c:v>
                </c:pt>
                <c:pt idx="2">
                  <c:v>506</c:v>
                </c:pt>
                <c:pt idx="3">
                  <c:v>611</c:v>
                </c:pt>
                <c:pt idx="4">
                  <c:v>717</c:v>
                </c:pt>
                <c:pt idx="5">
                  <c:v>823</c:v>
                </c:pt>
                <c:pt idx="6">
                  <c:v>917</c:v>
                </c:pt>
                <c:pt idx="7">
                  <c:v>976</c:v>
                </c:pt>
                <c:pt idx="8">
                  <c:v>999</c:v>
                </c:pt>
                <c:pt idx="9">
                  <c:v>976</c:v>
                </c:pt>
                <c:pt idx="10">
                  <c:v>917</c:v>
                </c:pt>
                <c:pt idx="11">
                  <c:v>823</c:v>
                </c:pt>
                <c:pt idx="12">
                  <c:v>717</c:v>
                </c:pt>
                <c:pt idx="13">
                  <c:v>600</c:v>
                </c:pt>
                <c:pt idx="14">
                  <c:v>506</c:v>
                </c:pt>
                <c:pt idx="15">
                  <c:v>423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333</c:v>
                </c:pt>
                <c:pt idx="1">
                  <c:v>412</c:v>
                </c:pt>
                <c:pt idx="2">
                  <c:v>482</c:v>
                </c:pt>
                <c:pt idx="3">
                  <c:v>576</c:v>
                </c:pt>
                <c:pt idx="4">
                  <c:v>670</c:v>
                </c:pt>
                <c:pt idx="5">
                  <c:v>776</c:v>
                </c:pt>
                <c:pt idx="6">
                  <c:v>858</c:v>
                </c:pt>
                <c:pt idx="7">
                  <c:v>917</c:v>
                </c:pt>
                <c:pt idx="8">
                  <c:v>941</c:v>
                </c:pt>
                <c:pt idx="9">
                  <c:v>917</c:v>
                </c:pt>
                <c:pt idx="10">
                  <c:v>858</c:v>
                </c:pt>
                <c:pt idx="11">
                  <c:v>776</c:v>
                </c:pt>
                <c:pt idx="12">
                  <c:v>670</c:v>
                </c:pt>
                <c:pt idx="13">
                  <c:v>576</c:v>
                </c:pt>
                <c:pt idx="14">
                  <c:v>482</c:v>
                </c:pt>
                <c:pt idx="15">
                  <c:v>412</c:v>
                </c:pt>
                <c:pt idx="16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325</c:v>
                </c:pt>
                <c:pt idx="1">
                  <c:v>388</c:v>
                </c:pt>
                <c:pt idx="2">
                  <c:v>447</c:v>
                </c:pt>
                <c:pt idx="3">
                  <c:v>529</c:v>
                </c:pt>
                <c:pt idx="4">
                  <c:v>611</c:v>
                </c:pt>
                <c:pt idx="5">
                  <c:v>694</c:v>
                </c:pt>
                <c:pt idx="6">
                  <c:v>776</c:v>
                </c:pt>
                <c:pt idx="7">
                  <c:v>823</c:v>
                </c:pt>
                <c:pt idx="8">
                  <c:v>835</c:v>
                </c:pt>
                <c:pt idx="9">
                  <c:v>823</c:v>
                </c:pt>
                <c:pt idx="10">
                  <c:v>764</c:v>
                </c:pt>
                <c:pt idx="11">
                  <c:v>694</c:v>
                </c:pt>
                <c:pt idx="12">
                  <c:v>611</c:v>
                </c:pt>
                <c:pt idx="13">
                  <c:v>529</c:v>
                </c:pt>
                <c:pt idx="14">
                  <c:v>447</c:v>
                </c:pt>
                <c:pt idx="15">
                  <c:v>388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290</c:v>
                </c:pt>
                <c:pt idx="1">
                  <c:v>353</c:v>
                </c:pt>
                <c:pt idx="2">
                  <c:v>412</c:v>
                </c:pt>
                <c:pt idx="3">
                  <c:v>482</c:v>
                </c:pt>
                <c:pt idx="4">
                  <c:v>541</c:v>
                </c:pt>
                <c:pt idx="5">
                  <c:v>611</c:v>
                </c:pt>
                <c:pt idx="6">
                  <c:v>670</c:v>
                </c:pt>
                <c:pt idx="7">
                  <c:v>717</c:v>
                </c:pt>
                <c:pt idx="8">
                  <c:v>729</c:v>
                </c:pt>
                <c:pt idx="9">
                  <c:v>717</c:v>
                </c:pt>
                <c:pt idx="10">
                  <c:v>670</c:v>
                </c:pt>
                <c:pt idx="11">
                  <c:v>611</c:v>
                </c:pt>
                <c:pt idx="12">
                  <c:v>541</c:v>
                </c:pt>
                <c:pt idx="13">
                  <c:v>470</c:v>
                </c:pt>
                <c:pt idx="14">
                  <c:v>412</c:v>
                </c:pt>
                <c:pt idx="15">
                  <c:v>353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270</c:v>
                </c:pt>
                <c:pt idx="1">
                  <c:v>317</c:v>
                </c:pt>
                <c:pt idx="2">
                  <c:v>365</c:v>
                </c:pt>
                <c:pt idx="3">
                  <c:v>423</c:v>
                </c:pt>
                <c:pt idx="4">
                  <c:v>482</c:v>
                </c:pt>
                <c:pt idx="5">
                  <c:v>529</c:v>
                </c:pt>
                <c:pt idx="6">
                  <c:v>576</c:v>
                </c:pt>
                <c:pt idx="7">
                  <c:v>611</c:v>
                </c:pt>
                <c:pt idx="8">
                  <c:v>611</c:v>
                </c:pt>
                <c:pt idx="9">
                  <c:v>611</c:v>
                </c:pt>
                <c:pt idx="10">
                  <c:v>576</c:v>
                </c:pt>
                <c:pt idx="11">
                  <c:v>529</c:v>
                </c:pt>
                <c:pt idx="12">
                  <c:v>482</c:v>
                </c:pt>
                <c:pt idx="13">
                  <c:v>423</c:v>
                </c:pt>
                <c:pt idx="14">
                  <c:v>365</c:v>
                </c:pt>
                <c:pt idx="15">
                  <c:v>317</c:v>
                </c:pt>
                <c:pt idx="16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255</c:v>
                </c:pt>
                <c:pt idx="1">
                  <c:v>286</c:v>
                </c:pt>
                <c:pt idx="2">
                  <c:v>317</c:v>
                </c:pt>
                <c:pt idx="3">
                  <c:v>361</c:v>
                </c:pt>
                <c:pt idx="4">
                  <c:v>404</c:v>
                </c:pt>
                <c:pt idx="5">
                  <c:v>451</c:v>
                </c:pt>
                <c:pt idx="6">
                  <c:v>482</c:v>
                </c:pt>
                <c:pt idx="7">
                  <c:v>502</c:v>
                </c:pt>
                <c:pt idx="8">
                  <c:v>517</c:v>
                </c:pt>
                <c:pt idx="9">
                  <c:v>502</c:v>
                </c:pt>
                <c:pt idx="10">
                  <c:v>482</c:v>
                </c:pt>
                <c:pt idx="11">
                  <c:v>451</c:v>
                </c:pt>
                <c:pt idx="12">
                  <c:v>404</c:v>
                </c:pt>
                <c:pt idx="13">
                  <c:v>361</c:v>
                </c:pt>
                <c:pt idx="14">
                  <c:v>317</c:v>
                </c:pt>
                <c:pt idx="15">
                  <c:v>286</c:v>
                </c:pt>
                <c:pt idx="16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264</c:v>
                </c:pt>
                <c:pt idx="1">
                  <c:v>300</c:v>
                </c:pt>
                <c:pt idx="2">
                  <c:v>348</c:v>
                </c:pt>
                <c:pt idx="3">
                  <c:v>396</c:v>
                </c:pt>
                <c:pt idx="4">
                  <c:v>437</c:v>
                </c:pt>
                <c:pt idx="5">
                  <c:v>477</c:v>
                </c:pt>
                <c:pt idx="6">
                  <c:v>507</c:v>
                </c:pt>
                <c:pt idx="7">
                  <c:v>535</c:v>
                </c:pt>
                <c:pt idx="8">
                  <c:v>538</c:v>
                </c:pt>
                <c:pt idx="9">
                  <c:v>535</c:v>
                </c:pt>
                <c:pt idx="10">
                  <c:v>514</c:v>
                </c:pt>
                <c:pt idx="11">
                  <c:v>477</c:v>
                </c:pt>
                <c:pt idx="12">
                  <c:v>437</c:v>
                </c:pt>
                <c:pt idx="13">
                  <c:v>396</c:v>
                </c:pt>
                <c:pt idx="14">
                  <c:v>348</c:v>
                </c:pt>
                <c:pt idx="15">
                  <c:v>300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286</c:v>
                </c:pt>
                <c:pt idx="1">
                  <c:v>337</c:v>
                </c:pt>
                <c:pt idx="2">
                  <c:v>393</c:v>
                </c:pt>
                <c:pt idx="3">
                  <c:v>448</c:v>
                </c:pt>
                <c:pt idx="4">
                  <c:v>503</c:v>
                </c:pt>
                <c:pt idx="5">
                  <c:v>559</c:v>
                </c:pt>
                <c:pt idx="6">
                  <c:v>603</c:v>
                </c:pt>
                <c:pt idx="7">
                  <c:v>630</c:v>
                </c:pt>
                <c:pt idx="8">
                  <c:v>641</c:v>
                </c:pt>
                <c:pt idx="9">
                  <c:v>630</c:v>
                </c:pt>
                <c:pt idx="10">
                  <c:v>603</c:v>
                </c:pt>
                <c:pt idx="11">
                  <c:v>559</c:v>
                </c:pt>
                <c:pt idx="12">
                  <c:v>503</c:v>
                </c:pt>
                <c:pt idx="13">
                  <c:v>448</c:v>
                </c:pt>
                <c:pt idx="14">
                  <c:v>393</c:v>
                </c:pt>
                <c:pt idx="15">
                  <c:v>337</c:v>
                </c:pt>
                <c:pt idx="1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442</c:v>
                </c:pt>
                <c:pt idx="3">
                  <c:v>509</c:v>
                </c:pt>
                <c:pt idx="4">
                  <c:v>575</c:v>
                </c:pt>
                <c:pt idx="5">
                  <c:v>641</c:v>
                </c:pt>
                <c:pt idx="6">
                  <c:v>697</c:v>
                </c:pt>
                <c:pt idx="7">
                  <c:v>735</c:v>
                </c:pt>
                <c:pt idx="8">
                  <c:v>752</c:v>
                </c:pt>
                <c:pt idx="9">
                  <c:v>735</c:v>
                </c:pt>
                <c:pt idx="10">
                  <c:v>697</c:v>
                </c:pt>
                <c:pt idx="11">
                  <c:v>641</c:v>
                </c:pt>
                <c:pt idx="12">
                  <c:v>575</c:v>
                </c:pt>
                <c:pt idx="13">
                  <c:v>503</c:v>
                </c:pt>
                <c:pt idx="14">
                  <c:v>437</c:v>
                </c:pt>
                <c:pt idx="15">
                  <c:v>376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559</c:v>
                </c:pt>
                <c:pt idx="4">
                  <c:v>641</c:v>
                </c:pt>
                <c:pt idx="5">
                  <c:v>724</c:v>
                </c:pt>
                <c:pt idx="6">
                  <c:v>796</c:v>
                </c:pt>
                <c:pt idx="7">
                  <c:v>841</c:v>
                </c:pt>
                <c:pt idx="8">
                  <c:v>857</c:v>
                </c:pt>
                <c:pt idx="9">
                  <c:v>841</c:v>
                </c:pt>
                <c:pt idx="10">
                  <c:v>796</c:v>
                </c:pt>
                <c:pt idx="11">
                  <c:v>724</c:v>
                </c:pt>
                <c:pt idx="12">
                  <c:v>641</c:v>
                </c:pt>
                <c:pt idx="13">
                  <c:v>559</c:v>
                </c:pt>
                <c:pt idx="14">
                  <c:v>481</c:v>
                </c:pt>
                <c:pt idx="15">
                  <c:v>409</c:v>
                </c:pt>
                <c:pt idx="16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608</c:v>
                </c:pt>
                <c:pt idx="4">
                  <c:v>702</c:v>
                </c:pt>
                <c:pt idx="5">
                  <c:v>796</c:v>
                </c:pt>
                <c:pt idx="6">
                  <c:v>874</c:v>
                </c:pt>
                <c:pt idx="7">
                  <c:v>923</c:v>
                </c:pt>
                <c:pt idx="8">
                  <c:v>940</c:v>
                </c:pt>
                <c:pt idx="9">
                  <c:v>923</c:v>
                </c:pt>
                <c:pt idx="10">
                  <c:v>874</c:v>
                </c:pt>
                <c:pt idx="11">
                  <c:v>796</c:v>
                </c:pt>
                <c:pt idx="12">
                  <c:v>702</c:v>
                </c:pt>
                <c:pt idx="13">
                  <c:v>603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747</c:v>
                </c:pt>
                <c:pt idx="5">
                  <c:v>846</c:v>
                </c:pt>
                <c:pt idx="6">
                  <c:v>929</c:v>
                </c:pt>
                <c:pt idx="7">
                  <c:v>979</c:v>
                </c:pt>
                <c:pt idx="8">
                  <c:v>995</c:v>
                </c:pt>
                <c:pt idx="9">
                  <c:v>979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378</c:v>
                </c:pt>
                <c:pt idx="1">
                  <c:v>459</c:v>
                </c:pt>
                <c:pt idx="2">
                  <c:v>547</c:v>
                </c:pt>
                <c:pt idx="3">
                  <c:v>653</c:v>
                </c:pt>
                <c:pt idx="4">
                  <c:v>758</c:v>
                </c:pt>
                <c:pt idx="5">
                  <c:v>863</c:v>
                </c:pt>
                <c:pt idx="6">
                  <c:v>951</c:v>
                </c:pt>
                <c:pt idx="7">
                  <c:v>1001</c:v>
                </c:pt>
                <c:pt idx="8">
                  <c:v>1023</c:v>
                </c:pt>
                <c:pt idx="9">
                  <c:v>1001</c:v>
                </c:pt>
                <c:pt idx="10">
                  <c:v>951</c:v>
                </c:pt>
                <c:pt idx="11">
                  <c:v>863</c:v>
                </c:pt>
                <c:pt idx="12">
                  <c:v>758</c:v>
                </c:pt>
                <c:pt idx="13">
                  <c:v>647</c:v>
                </c:pt>
                <c:pt idx="14">
                  <c:v>547</c:v>
                </c:pt>
                <c:pt idx="15">
                  <c:v>459</c:v>
                </c:pt>
                <c:pt idx="16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542</c:v>
                </c:pt>
                <c:pt idx="3">
                  <c:v>641</c:v>
                </c:pt>
                <c:pt idx="4">
                  <c:v>747</c:v>
                </c:pt>
                <c:pt idx="5">
                  <c:v>852</c:v>
                </c:pt>
                <c:pt idx="6">
                  <c:v>935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608</c:v>
                </c:pt>
                <c:pt idx="4">
                  <c:v>708</c:v>
                </c:pt>
                <c:pt idx="5">
                  <c:v>802</c:v>
                </c:pt>
                <c:pt idx="6">
                  <c:v>879</c:v>
                </c:pt>
                <c:pt idx="7">
                  <c:v>929</c:v>
                </c:pt>
                <c:pt idx="8">
                  <c:v>951</c:v>
                </c:pt>
                <c:pt idx="9">
                  <c:v>929</c:v>
                </c:pt>
                <c:pt idx="10">
                  <c:v>879</c:v>
                </c:pt>
                <c:pt idx="11">
                  <c:v>796</c:v>
                </c:pt>
                <c:pt idx="12">
                  <c:v>702</c:v>
                </c:pt>
                <c:pt idx="13">
                  <c:v>608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564</c:v>
                </c:pt>
                <c:pt idx="4">
                  <c:v>647</c:v>
                </c:pt>
                <c:pt idx="5">
                  <c:v>730</c:v>
                </c:pt>
                <c:pt idx="6">
                  <c:v>796</c:v>
                </c:pt>
                <c:pt idx="7">
                  <c:v>846</c:v>
                </c:pt>
                <c:pt idx="8">
                  <c:v>863</c:v>
                </c:pt>
                <c:pt idx="9">
                  <c:v>846</c:v>
                </c:pt>
                <c:pt idx="10">
                  <c:v>796</c:v>
                </c:pt>
                <c:pt idx="11">
                  <c:v>730</c:v>
                </c:pt>
                <c:pt idx="12">
                  <c:v>647</c:v>
                </c:pt>
                <c:pt idx="13">
                  <c:v>559</c:v>
                </c:pt>
                <c:pt idx="14">
                  <c:v>481</c:v>
                </c:pt>
                <c:pt idx="15">
                  <c:v>409</c:v>
                </c:pt>
                <c:pt idx="16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437</c:v>
                </c:pt>
                <c:pt idx="3">
                  <c:v>509</c:v>
                </c:pt>
                <c:pt idx="4">
                  <c:v>575</c:v>
                </c:pt>
                <c:pt idx="5">
                  <c:v>647</c:v>
                </c:pt>
                <c:pt idx="6">
                  <c:v>702</c:v>
                </c:pt>
                <c:pt idx="7">
                  <c:v>741</c:v>
                </c:pt>
                <c:pt idx="8">
                  <c:v>752</c:v>
                </c:pt>
                <c:pt idx="9">
                  <c:v>741</c:v>
                </c:pt>
                <c:pt idx="10">
                  <c:v>702</c:v>
                </c:pt>
                <c:pt idx="11">
                  <c:v>641</c:v>
                </c:pt>
                <c:pt idx="12">
                  <c:v>575</c:v>
                </c:pt>
                <c:pt idx="13">
                  <c:v>503</c:v>
                </c:pt>
                <c:pt idx="14">
                  <c:v>437</c:v>
                </c:pt>
                <c:pt idx="15">
                  <c:v>376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291</c:v>
                </c:pt>
                <c:pt idx="1">
                  <c:v>343</c:v>
                </c:pt>
                <c:pt idx="2">
                  <c:v>393</c:v>
                </c:pt>
                <c:pt idx="3">
                  <c:v>448</c:v>
                </c:pt>
                <c:pt idx="4">
                  <c:v>503</c:v>
                </c:pt>
                <c:pt idx="5">
                  <c:v>559</c:v>
                </c:pt>
                <c:pt idx="6">
                  <c:v>603</c:v>
                </c:pt>
                <c:pt idx="7">
                  <c:v>636</c:v>
                </c:pt>
                <c:pt idx="8">
                  <c:v>641</c:v>
                </c:pt>
                <c:pt idx="9">
                  <c:v>636</c:v>
                </c:pt>
                <c:pt idx="10">
                  <c:v>603</c:v>
                </c:pt>
                <c:pt idx="11">
                  <c:v>559</c:v>
                </c:pt>
                <c:pt idx="12">
                  <c:v>503</c:v>
                </c:pt>
                <c:pt idx="13">
                  <c:v>448</c:v>
                </c:pt>
                <c:pt idx="14">
                  <c:v>393</c:v>
                </c:pt>
                <c:pt idx="15">
                  <c:v>343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269</c:v>
                </c:pt>
                <c:pt idx="1">
                  <c:v>299</c:v>
                </c:pt>
                <c:pt idx="2">
                  <c:v>341</c:v>
                </c:pt>
                <c:pt idx="3">
                  <c:v>389</c:v>
                </c:pt>
                <c:pt idx="4">
                  <c:v>429</c:v>
                </c:pt>
                <c:pt idx="5">
                  <c:v>470</c:v>
                </c:pt>
                <c:pt idx="6">
                  <c:v>507</c:v>
                </c:pt>
                <c:pt idx="7">
                  <c:v>525</c:v>
                </c:pt>
                <c:pt idx="8">
                  <c:v>538</c:v>
                </c:pt>
                <c:pt idx="9">
                  <c:v>525</c:v>
                </c:pt>
                <c:pt idx="10">
                  <c:v>507</c:v>
                </c:pt>
                <c:pt idx="11">
                  <c:v>470</c:v>
                </c:pt>
                <c:pt idx="12">
                  <c:v>429</c:v>
                </c:pt>
                <c:pt idx="13">
                  <c:v>389</c:v>
                </c:pt>
                <c:pt idx="14">
                  <c:v>341</c:v>
                </c:pt>
                <c:pt idx="15">
                  <c:v>299</c:v>
                </c:pt>
                <c:pt idx="16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262</c:v>
                </c:pt>
                <c:pt idx="1">
                  <c:v>306</c:v>
                </c:pt>
                <c:pt idx="2">
                  <c:v>354</c:v>
                </c:pt>
                <c:pt idx="3">
                  <c:v>402</c:v>
                </c:pt>
                <c:pt idx="4">
                  <c:v>441</c:v>
                </c:pt>
                <c:pt idx="5">
                  <c:v>483</c:v>
                </c:pt>
                <c:pt idx="6">
                  <c:v>518</c:v>
                </c:pt>
                <c:pt idx="7">
                  <c:v>546</c:v>
                </c:pt>
                <c:pt idx="8">
                  <c:v>549</c:v>
                </c:pt>
                <c:pt idx="9">
                  <c:v>546</c:v>
                </c:pt>
                <c:pt idx="10">
                  <c:v>518</c:v>
                </c:pt>
                <c:pt idx="11">
                  <c:v>483</c:v>
                </c:pt>
                <c:pt idx="12">
                  <c:v>441</c:v>
                </c:pt>
                <c:pt idx="13">
                  <c:v>402</c:v>
                </c:pt>
                <c:pt idx="14">
                  <c:v>354</c:v>
                </c:pt>
                <c:pt idx="15">
                  <c:v>306</c:v>
                </c:pt>
                <c:pt idx="16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291</c:v>
                </c:pt>
                <c:pt idx="1">
                  <c:v>343</c:v>
                </c:pt>
                <c:pt idx="2">
                  <c:v>398</c:v>
                </c:pt>
                <c:pt idx="3">
                  <c:v>453</c:v>
                </c:pt>
                <c:pt idx="4">
                  <c:v>514</c:v>
                </c:pt>
                <c:pt idx="5">
                  <c:v>564</c:v>
                </c:pt>
                <c:pt idx="6">
                  <c:v>614</c:v>
                </c:pt>
                <c:pt idx="7">
                  <c:v>641</c:v>
                </c:pt>
                <c:pt idx="8">
                  <c:v>653</c:v>
                </c:pt>
                <c:pt idx="9">
                  <c:v>641</c:v>
                </c:pt>
                <c:pt idx="10">
                  <c:v>614</c:v>
                </c:pt>
                <c:pt idx="11">
                  <c:v>564</c:v>
                </c:pt>
                <c:pt idx="12">
                  <c:v>514</c:v>
                </c:pt>
                <c:pt idx="13">
                  <c:v>453</c:v>
                </c:pt>
                <c:pt idx="14">
                  <c:v>398</c:v>
                </c:pt>
                <c:pt idx="15">
                  <c:v>343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315</c:v>
                </c:pt>
                <c:pt idx="1">
                  <c:v>382</c:v>
                </c:pt>
                <c:pt idx="2">
                  <c:v>442</c:v>
                </c:pt>
                <c:pt idx="3">
                  <c:v>509</c:v>
                </c:pt>
                <c:pt idx="4">
                  <c:v>581</c:v>
                </c:pt>
                <c:pt idx="5">
                  <c:v>653</c:v>
                </c:pt>
                <c:pt idx="6">
                  <c:v>708</c:v>
                </c:pt>
                <c:pt idx="7">
                  <c:v>747</c:v>
                </c:pt>
                <c:pt idx="8">
                  <c:v>763</c:v>
                </c:pt>
                <c:pt idx="9">
                  <c:v>747</c:v>
                </c:pt>
                <c:pt idx="10">
                  <c:v>708</c:v>
                </c:pt>
                <c:pt idx="11">
                  <c:v>653</c:v>
                </c:pt>
                <c:pt idx="12">
                  <c:v>581</c:v>
                </c:pt>
                <c:pt idx="13">
                  <c:v>509</c:v>
                </c:pt>
                <c:pt idx="14">
                  <c:v>442</c:v>
                </c:pt>
                <c:pt idx="15">
                  <c:v>382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564</c:v>
                </c:pt>
                <c:pt idx="4">
                  <c:v>647</c:v>
                </c:pt>
                <c:pt idx="5">
                  <c:v>735</c:v>
                </c:pt>
                <c:pt idx="6">
                  <c:v>802</c:v>
                </c:pt>
                <c:pt idx="7">
                  <c:v>852</c:v>
                </c:pt>
                <c:pt idx="8">
                  <c:v>868</c:v>
                </c:pt>
                <c:pt idx="9">
                  <c:v>852</c:v>
                </c:pt>
                <c:pt idx="10">
                  <c:v>802</c:v>
                </c:pt>
                <c:pt idx="11">
                  <c:v>730</c:v>
                </c:pt>
                <c:pt idx="12">
                  <c:v>647</c:v>
                </c:pt>
                <c:pt idx="13">
                  <c:v>564</c:v>
                </c:pt>
                <c:pt idx="14">
                  <c:v>481</c:v>
                </c:pt>
                <c:pt idx="15">
                  <c:v>409</c:v>
                </c:pt>
                <c:pt idx="16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520</c:v>
                </c:pt>
                <c:pt idx="3">
                  <c:v>608</c:v>
                </c:pt>
                <c:pt idx="4">
                  <c:v>708</c:v>
                </c:pt>
                <c:pt idx="5">
                  <c:v>802</c:v>
                </c:pt>
                <c:pt idx="6">
                  <c:v>879</c:v>
                </c:pt>
                <c:pt idx="7">
                  <c:v>935</c:v>
                </c:pt>
                <c:pt idx="8">
                  <c:v>951</c:v>
                </c:pt>
                <c:pt idx="9">
                  <c:v>935</c:v>
                </c:pt>
                <c:pt idx="10">
                  <c:v>879</c:v>
                </c:pt>
                <c:pt idx="11">
                  <c:v>802</c:v>
                </c:pt>
                <c:pt idx="12">
                  <c:v>702</c:v>
                </c:pt>
                <c:pt idx="13">
                  <c:v>608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380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747</c:v>
                </c:pt>
                <c:pt idx="5">
                  <c:v>846</c:v>
                </c:pt>
                <c:pt idx="6">
                  <c:v>929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378</c:v>
                </c:pt>
                <c:pt idx="1">
                  <c:v>459</c:v>
                </c:pt>
                <c:pt idx="2">
                  <c:v>547</c:v>
                </c:pt>
                <c:pt idx="3">
                  <c:v>647</c:v>
                </c:pt>
                <c:pt idx="4">
                  <c:v>758</c:v>
                </c:pt>
                <c:pt idx="5">
                  <c:v>863</c:v>
                </c:pt>
                <c:pt idx="6">
                  <c:v>946</c:v>
                </c:pt>
                <c:pt idx="7">
                  <c:v>1001</c:v>
                </c:pt>
                <c:pt idx="8">
                  <c:v>1023</c:v>
                </c:pt>
                <c:pt idx="9">
                  <c:v>1001</c:v>
                </c:pt>
                <c:pt idx="10">
                  <c:v>946</c:v>
                </c:pt>
                <c:pt idx="11">
                  <c:v>857</c:v>
                </c:pt>
                <c:pt idx="12">
                  <c:v>752</c:v>
                </c:pt>
                <c:pt idx="13">
                  <c:v>647</c:v>
                </c:pt>
                <c:pt idx="14">
                  <c:v>542</c:v>
                </c:pt>
                <c:pt idx="15">
                  <c:v>459</c:v>
                </c:pt>
                <c:pt idx="16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741</c:v>
                </c:pt>
                <c:pt idx="5">
                  <c:v>846</c:v>
                </c:pt>
                <c:pt idx="6">
                  <c:v>929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923</c:v>
                </c:pt>
                <c:pt idx="11">
                  <c:v>841</c:v>
                </c:pt>
                <c:pt idx="12">
                  <c:v>741</c:v>
                </c:pt>
                <c:pt idx="13">
                  <c:v>630</c:v>
                </c:pt>
                <c:pt idx="14">
                  <c:v>536</c:v>
                </c:pt>
                <c:pt idx="15">
                  <c:v>448</c:v>
                </c:pt>
                <c:pt idx="16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603</c:v>
                </c:pt>
                <c:pt idx="4">
                  <c:v>702</c:v>
                </c:pt>
                <c:pt idx="5">
                  <c:v>796</c:v>
                </c:pt>
                <c:pt idx="6">
                  <c:v>874</c:v>
                </c:pt>
                <c:pt idx="7">
                  <c:v>923</c:v>
                </c:pt>
                <c:pt idx="8">
                  <c:v>946</c:v>
                </c:pt>
                <c:pt idx="9">
                  <c:v>923</c:v>
                </c:pt>
                <c:pt idx="10">
                  <c:v>874</c:v>
                </c:pt>
                <c:pt idx="11">
                  <c:v>791</c:v>
                </c:pt>
                <c:pt idx="12">
                  <c:v>697</c:v>
                </c:pt>
                <c:pt idx="13">
                  <c:v>603</c:v>
                </c:pt>
                <c:pt idx="14">
                  <c:v>509</c:v>
                </c:pt>
                <c:pt idx="15">
                  <c:v>431</c:v>
                </c:pt>
                <c:pt idx="16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335</c:v>
                </c:pt>
                <c:pt idx="1">
                  <c:v>409</c:v>
                </c:pt>
                <c:pt idx="2">
                  <c:v>476</c:v>
                </c:pt>
                <c:pt idx="3">
                  <c:v>559</c:v>
                </c:pt>
                <c:pt idx="4">
                  <c:v>641</c:v>
                </c:pt>
                <c:pt idx="5">
                  <c:v>724</c:v>
                </c:pt>
                <c:pt idx="6">
                  <c:v>796</c:v>
                </c:pt>
                <c:pt idx="7">
                  <c:v>841</c:v>
                </c:pt>
                <c:pt idx="8">
                  <c:v>857</c:v>
                </c:pt>
                <c:pt idx="9">
                  <c:v>841</c:v>
                </c:pt>
                <c:pt idx="10">
                  <c:v>791</c:v>
                </c:pt>
                <c:pt idx="11">
                  <c:v>719</c:v>
                </c:pt>
                <c:pt idx="12">
                  <c:v>636</c:v>
                </c:pt>
                <c:pt idx="13">
                  <c:v>553</c:v>
                </c:pt>
                <c:pt idx="14">
                  <c:v>476</c:v>
                </c:pt>
                <c:pt idx="15">
                  <c:v>404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437</c:v>
                </c:pt>
                <c:pt idx="3">
                  <c:v>503</c:v>
                </c:pt>
                <c:pt idx="4">
                  <c:v>570</c:v>
                </c:pt>
                <c:pt idx="5">
                  <c:v>641</c:v>
                </c:pt>
                <c:pt idx="6">
                  <c:v>697</c:v>
                </c:pt>
                <c:pt idx="7">
                  <c:v>735</c:v>
                </c:pt>
                <c:pt idx="8">
                  <c:v>747</c:v>
                </c:pt>
                <c:pt idx="9">
                  <c:v>735</c:v>
                </c:pt>
                <c:pt idx="10">
                  <c:v>697</c:v>
                </c:pt>
                <c:pt idx="11">
                  <c:v>636</c:v>
                </c:pt>
                <c:pt idx="12">
                  <c:v>570</c:v>
                </c:pt>
                <c:pt idx="13">
                  <c:v>498</c:v>
                </c:pt>
                <c:pt idx="14">
                  <c:v>431</c:v>
                </c:pt>
                <c:pt idx="15">
                  <c:v>370</c:v>
                </c:pt>
                <c:pt idx="16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293</c:v>
                </c:pt>
                <c:pt idx="1">
                  <c:v>337</c:v>
                </c:pt>
                <c:pt idx="2">
                  <c:v>393</c:v>
                </c:pt>
                <c:pt idx="3">
                  <c:v>442</c:v>
                </c:pt>
                <c:pt idx="4">
                  <c:v>498</c:v>
                </c:pt>
                <c:pt idx="5">
                  <c:v>553</c:v>
                </c:pt>
                <c:pt idx="6">
                  <c:v>597</c:v>
                </c:pt>
                <c:pt idx="7">
                  <c:v>630</c:v>
                </c:pt>
                <c:pt idx="8">
                  <c:v>636</c:v>
                </c:pt>
                <c:pt idx="9">
                  <c:v>630</c:v>
                </c:pt>
                <c:pt idx="10">
                  <c:v>597</c:v>
                </c:pt>
                <c:pt idx="11">
                  <c:v>553</c:v>
                </c:pt>
                <c:pt idx="12">
                  <c:v>498</c:v>
                </c:pt>
                <c:pt idx="13">
                  <c:v>442</c:v>
                </c:pt>
                <c:pt idx="14">
                  <c:v>387</c:v>
                </c:pt>
                <c:pt idx="15">
                  <c:v>337</c:v>
                </c:pt>
                <c:pt idx="16">
                  <c:v>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271</c:v>
                </c:pt>
                <c:pt idx="1">
                  <c:v>300</c:v>
                </c:pt>
                <c:pt idx="2">
                  <c:v>341</c:v>
                </c:pt>
                <c:pt idx="3">
                  <c:v>383</c:v>
                </c:pt>
                <c:pt idx="4">
                  <c:v>431</c:v>
                </c:pt>
                <c:pt idx="5">
                  <c:v>464</c:v>
                </c:pt>
                <c:pt idx="6">
                  <c:v>501</c:v>
                </c:pt>
                <c:pt idx="7">
                  <c:v>520</c:v>
                </c:pt>
                <c:pt idx="8">
                  <c:v>533</c:v>
                </c:pt>
                <c:pt idx="9">
                  <c:v>520</c:v>
                </c:pt>
                <c:pt idx="10">
                  <c:v>501</c:v>
                </c:pt>
                <c:pt idx="11">
                  <c:v>464</c:v>
                </c:pt>
                <c:pt idx="12">
                  <c:v>424</c:v>
                </c:pt>
                <c:pt idx="13">
                  <c:v>383</c:v>
                </c:pt>
                <c:pt idx="14">
                  <c:v>343</c:v>
                </c:pt>
                <c:pt idx="15">
                  <c:v>300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265</c:v>
                </c:pt>
                <c:pt idx="1">
                  <c:v>311</c:v>
                </c:pt>
                <c:pt idx="2">
                  <c:v>352</c:v>
                </c:pt>
                <c:pt idx="3">
                  <c:v>409</c:v>
                </c:pt>
                <c:pt idx="4">
                  <c:v>451</c:v>
                </c:pt>
                <c:pt idx="5">
                  <c:v>477</c:v>
                </c:pt>
                <c:pt idx="6">
                  <c:v>523</c:v>
                </c:pt>
                <c:pt idx="7">
                  <c:v>546</c:v>
                </c:pt>
                <c:pt idx="8">
                  <c:v>557</c:v>
                </c:pt>
                <c:pt idx="9">
                  <c:v>546</c:v>
                </c:pt>
                <c:pt idx="10">
                  <c:v>523</c:v>
                </c:pt>
                <c:pt idx="11">
                  <c:v>477</c:v>
                </c:pt>
                <c:pt idx="12">
                  <c:v>451</c:v>
                </c:pt>
                <c:pt idx="13">
                  <c:v>394</c:v>
                </c:pt>
                <c:pt idx="14">
                  <c:v>352</c:v>
                </c:pt>
                <c:pt idx="15">
                  <c:v>311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296</c:v>
                </c:pt>
                <c:pt idx="1">
                  <c:v>341</c:v>
                </c:pt>
                <c:pt idx="2">
                  <c:v>398</c:v>
                </c:pt>
                <c:pt idx="3">
                  <c:v>455</c:v>
                </c:pt>
                <c:pt idx="4">
                  <c:v>512</c:v>
                </c:pt>
                <c:pt idx="5">
                  <c:v>568</c:v>
                </c:pt>
                <c:pt idx="6">
                  <c:v>614</c:v>
                </c:pt>
                <c:pt idx="7">
                  <c:v>637</c:v>
                </c:pt>
                <c:pt idx="8">
                  <c:v>648</c:v>
                </c:pt>
                <c:pt idx="9">
                  <c:v>637</c:v>
                </c:pt>
                <c:pt idx="10">
                  <c:v>614</c:v>
                </c:pt>
                <c:pt idx="11">
                  <c:v>568</c:v>
                </c:pt>
                <c:pt idx="12">
                  <c:v>512</c:v>
                </c:pt>
                <c:pt idx="13">
                  <c:v>455</c:v>
                </c:pt>
                <c:pt idx="14">
                  <c:v>398</c:v>
                </c:pt>
                <c:pt idx="15">
                  <c:v>341</c:v>
                </c:pt>
                <c:pt idx="16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314</c:v>
                </c:pt>
                <c:pt idx="1">
                  <c:v>375</c:v>
                </c:pt>
                <c:pt idx="2">
                  <c:v>443</c:v>
                </c:pt>
                <c:pt idx="3">
                  <c:v>512</c:v>
                </c:pt>
                <c:pt idx="4">
                  <c:v>580</c:v>
                </c:pt>
                <c:pt idx="5">
                  <c:v>648</c:v>
                </c:pt>
                <c:pt idx="6">
                  <c:v>705</c:v>
                </c:pt>
                <c:pt idx="7">
                  <c:v>750</c:v>
                </c:pt>
                <c:pt idx="8">
                  <c:v>762</c:v>
                </c:pt>
                <c:pt idx="9">
                  <c:v>750</c:v>
                </c:pt>
                <c:pt idx="10">
                  <c:v>705</c:v>
                </c:pt>
                <c:pt idx="11">
                  <c:v>648</c:v>
                </c:pt>
                <c:pt idx="12">
                  <c:v>580</c:v>
                </c:pt>
                <c:pt idx="13">
                  <c:v>512</c:v>
                </c:pt>
                <c:pt idx="14">
                  <c:v>443</c:v>
                </c:pt>
                <c:pt idx="15">
                  <c:v>375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349</c:v>
                </c:pt>
                <c:pt idx="1">
                  <c:v>409</c:v>
                </c:pt>
                <c:pt idx="2">
                  <c:v>489</c:v>
                </c:pt>
                <c:pt idx="3">
                  <c:v>568</c:v>
                </c:pt>
                <c:pt idx="4">
                  <c:v>648</c:v>
                </c:pt>
                <c:pt idx="5">
                  <c:v>739</c:v>
                </c:pt>
                <c:pt idx="6">
                  <c:v>807</c:v>
                </c:pt>
                <c:pt idx="7">
                  <c:v>853</c:v>
                </c:pt>
                <c:pt idx="8">
                  <c:v>864</c:v>
                </c:pt>
                <c:pt idx="9">
                  <c:v>853</c:v>
                </c:pt>
                <c:pt idx="10">
                  <c:v>807</c:v>
                </c:pt>
                <c:pt idx="11">
                  <c:v>727</c:v>
                </c:pt>
                <c:pt idx="12">
                  <c:v>648</c:v>
                </c:pt>
                <c:pt idx="13">
                  <c:v>557</c:v>
                </c:pt>
                <c:pt idx="14">
                  <c:v>477</c:v>
                </c:pt>
                <c:pt idx="15">
                  <c:v>409</c:v>
                </c:pt>
                <c:pt idx="16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371</c:v>
                </c:pt>
                <c:pt idx="1">
                  <c:v>432</c:v>
                </c:pt>
                <c:pt idx="2">
                  <c:v>512</c:v>
                </c:pt>
                <c:pt idx="3">
                  <c:v>614</c:v>
                </c:pt>
                <c:pt idx="4">
                  <c:v>705</c:v>
                </c:pt>
                <c:pt idx="5">
                  <c:v>807</c:v>
                </c:pt>
                <c:pt idx="6">
                  <c:v>887</c:v>
                </c:pt>
                <c:pt idx="7">
                  <c:v>932</c:v>
                </c:pt>
                <c:pt idx="8">
                  <c:v>955</c:v>
                </c:pt>
                <c:pt idx="9">
                  <c:v>932</c:v>
                </c:pt>
                <c:pt idx="10">
                  <c:v>887</c:v>
                </c:pt>
                <c:pt idx="11">
                  <c:v>807</c:v>
                </c:pt>
                <c:pt idx="12">
                  <c:v>705</c:v>
                </c:pt>
                <c:pt idx="13">
                  <c:v>602</c:v>
                </c:pt>
                <c:pt idx="14">
                  <c:v>512</c:v>
                </c:pt>
                <c:pt idx="15">
                  <c:v>432</c:v>
                </c:pt>
                <c:pt idx="16">
                  <c:v>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379</c:v>
                </c:pt>
                <c:pt idx="1">
                  <c:v>455</c:v>
                </c:pt>
                <c:pt idx="2">
                  <c:v>534</c:v>
                </c:pt>
                <c:pt idx="3">
                  <c:v>637</c:v>
                </c:pt>
                <c:pt idx="4">
                  <c:v>750</c:v>
                </c:pt>
                <c:pt idx="5">
                  <c:v>853</c:v>
                </c:pt>
                <c:pt idx="6">
                  <c:v>932</c:v>
                </c:pt>
                <c:pt idx="7">
                  <c:v>989</c:v>
                </c:pt>
                <c:pt idx="8">
                  <c:v>1000</c:v>
                </c:pt>
                <c:pt idx="9">
                  <c:v>989</c:v>
                </c:pt>
                <c:pt idx="10">
                  <c:v>932</c:v>
                </c:pt>
                <c:pt idx="11">
                  <c:v>841</c:v>
                </c:pt>
                <c:pt idx="12">
                  <c:v>739</c:v>
                </c:pt>
                <c:pt idx="13">
                  <c:v>637</c:v>
                </c:pt>
                <c:pt idx="14">
                  <c:v>534</c:v>
                </c:pt>
                <c:pt idx="15">
                  <c:v>443</c:v>
                </c:pt>
                <c:pt idx="16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379</c:v>
                </c:pt>
                <c:pt idx="1">
                  <c:v>455</c:v>
                </c:pt>
                <c:pt idx="2">
                  <c:v>546</c:v>
                </c:pt>
                <c:pt idx="3">
                  <c:v>648</c:v>
                </c:pt>
                <c:pt idx="4">
                  <c:v>762</c:v>
                </c:pt>
                <c:pt idx="5">
                  <c:v>864</c:v>
                </c:pt>
                <c:pt idx="6">
                  <c:v>943</c:v>
                </c:pt>
                <c:pt idx="7">
                  <c:v>1000</c:v>
                </c:pt>
                <c:pt idx="8">
                  <c:v>1023</c:v>
                </c:pt>
                <c:pt idx="9">
                  <c:v>1000</c:v>
                </c:pt>
                <c:pt idx="10">
                  <c:v>943</c:v>
                </c:pt>
                <c:pt idx="11">
                  <c:v>864</c:v>
                </c:pt>
                <c:pt idx="12">
                  <c:v>750</c:v>
                </c:pt>
                <c:pt idx="13">
                  <c:v>648</c:v>
                </c:pt>
                <c:pt idx="14">
                  <c:v>546</c:v>
                </c:pt>
                <c:pt idx="15">
                  <c:v>455</c:v>
                </c:pt>
                <c:pt idx="16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383</c:v>
                </c:pt>
                <c:pt idx="1">
                  <c:v>443</c:v>
                </c:pt>
                <c:pt idx="2">
                  <c:v>534</c:v>
                </c:pt>
                <c:pt idx="3">
                  <c:v>637</c:v>
                </c:pt>
                <c:pt idx="4">
                  <c:v>739</c:v>
                </c:pt>
                <c:pt idx="5">
                  <c:v>841</c:v>
                </c:pt>
                <c:pt idx="6">
                  <c:v>932</c:v>
                </c:pt>
                <c:pt idx="7">
                  <c:v>978</c:v>
                </c:pt>
                <c:pt idx="8">
                  <c:v>1000</c:v>
                </c:pt>
                <c:pt idx="9">
                  <c:v>978</c:v>
                </c:pt>
                <c:pt idx="10">
                  <c:v>932</c:v>
                </c:pt>
                <c:pt idx="11">
                  <c:v>841</c:v>
                </c:pt>
                <c:pt idx="12">
                  <c:v>739</c:v>
                </c:pt>
                <c:pt idx="13">
                  <c:v>637</c:v>
                </c:pt>
                <c:pt idx="14">
                  <c:v>534</c:v>
                </c:pt>
                <c:pt idx="15">
                  <c:v>443</c:v>
                </c:pt>
                <c:pt idx="16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356</c:v>
                </c:pt>
                <c:pt idx="1">
                  <c:v>432</c:v>
                </c:pt>
                <c:pt idx="2">
                  <c:v>512</c:v>
                </c:pt>
                <c:pt idx="3">
                  <c:v>602</c:v>
                </c:pt>
                <c:pt idx="4">
                  <c:v>705</c:v>
                </c:pt>
                <c:pt idx="5">
                  <c:v>796</c:v>
                </c:pt>
                <c:pt idx="6">
                  <c:v>875</c:v>
                </c:pt>
                <c:pt idx="7">
                  <c:v>932</c:v>
                </c:pt>
                <c:pt idx="8">
                  <c:v>943</c:v>
                </c:pt>
                <c:pt idx="9">
                  <c:v>921</c:v>
                </c:pt>
                <c:pt idx="10">
                  <c:v>875</c:v>
                </c:pt>
                <c:pt idx="11">
                  <c:v>796</c:v>
                </c:pt>
                <c:pt idx="12">
                  <c:v>705</c:v>
                </c:pt>
                <c:pt idx="13">
                  <c:v>602</c:v>
                </c:pt>
                <c:pt idx="14">
                  <c:v>512</c:v>
                </c:pt>
                <c:pt idx="15">
                  <c:v>432</c:v>
                </c:pt>
                <c:pt idx="16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333</c:v>
                </c:pt>
                <c:pt idx="1">
                  <c:v>409</c:v>
                </c:pt>
                <c:pt idx="2">
                  <c:v>477</c:v>
                </c:pt>
                <c:pt idx="3">
                  <c:v>557</c:v>
                </c:pt>
                <c:pt idx="4">
                  <c:v>648</c:v>
                </c:pt>
                <c:pt idx="5">
                  <c:v>727</c:v>
                </c:pt>
                <c:pt idx="6">
                  <c:v>796</c:v>
                </c:pt>
                <c:pt idx="7">
                  <c:v>841</c:v>
                </c:pt>
                <c:pt idx="8">
                  <c:v>853</c:v>
                </c:pt>
                <c:pt idx="9">
                  <c:v>841</c:v>
                </c:pt>
                <c:pt idx="10">
                  <c:v>796</c:v>
                </c:pt>
                <c:pt idx="11">
                  <c:v>727</c:v>
                </c:pt>
                <c:pt idx="12">
                  <c:v>637</c:v>
                </c:pt>
                <c:pt idx="13">
                  <c:v>557</c:v>
                </c:pt>
                <c:pt idx="14">
                  <c:v>477</c:v>
                </c:pt>
                <c:pt idx="15">
                  <c:v>409</c:v>
                </c:pt>
                <c:pt idx="16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314</c:v>
                </c:pt>
                <c:pt idx="1">
                  <c:v>375</c:v>
                </c:pt>
                <c:pt idx="2">
                  <c:v>432</c:v>
                </c:pt>
                <c:pt idx="3">
                  <c:v>500</c:v>
                </c:pt>
                <c:pt idx="4">
                  <c:v>568</c:v>
                </c:pt>
                <c:pt idx="5">
                  <c:v>637</c:v>
                </c:pt>
                <c:pt idx="6">
                  <c:v>693</c:v>
                </c:pt>
                <c:pt idx="7">
                  <c:v>739</c:v>
                </c:pt>
                <c:pt idx="8">
                  <c:v>750</c:v>
                </c:pt>
                <c:pt idx="9">
                  <c:v>739</c:v>
                </c:pt>
                <c:pt idx="10">
                  <c:v>693</c:v>
                </c:pt>
                <c:pt idx="11">
                  <c:v>637</c:v>
                </c:pt>
                <c:pt idx="12">
                  <c:v>568</c:v>
                </c:pt>
                <c:pt idx="13">
                  <c:v>500</c:v>
                </c:pt>
                <c:pt idx="14">
                  <c:v>432</c:v>
                </c:pt>
                <c:pt idx="15">
                  <c:v>375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296</c:v>
                </c:pt>
                <c:pt idx="1">
                  <c:v>341</c:v>
                </c:pt>
                <c:pt idx="2">
                  <c:v>386</c:v>
                </c:pt>
                <c:pt idx="3">
                  <c:v>443</c:v>
                </c:pt>
                <c:pt idx="4">
                  <c:v>500</c:v>
                </c:pt>
                <c:pt idx="5">
                  <c:v>557</c:v>
                </c:pt>
                <c:pt idx="6">
                  <c:v>602</c:v>
                </c:pt>
                <c:pt idx="7">
                  <c:v>625</c:v>
                </c:pt>
                <c:pt idx="8">
                  <c:v>637</c:v>
                </c:pt>
                <c:pt idx="9">
                  <c:v>625</c:v>
                </c:pt>
                <c:pt idx="10">
                  <c:v>602</c:v>
                </c:pt>
                <c:pt idx="11">
                  <c:v>557</c:v>
                </c:pt>
                <c:pt idx="12">
                  <c:v>500</c:v>
                </c:pt>
                <c:pt idx="13">
                  <c:v>443</c:v>
                </c:pt>
                <c:pt idx="14">
                  <c:v>386</c:v>
                </c:pt>
                <c:pt idx="15">
                  <c:v>341</c:v>
                </c:pt>
                <c:pt idx="16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265</c:v>
                </c:pt>
                <c:pt idx="1">
                  <c:v>296</c:v>
                </c:pt>
                <c:pt idx="2">
                  <c:v>341</c:v>
                </c:pt>
                <c:pt idx="3">
                  <c:v>398</c:v>
                </c:pt>
                <c:pt idx="4">
                  <c:v>440</c:v>
                </c:pt>
                <c:pt idx="5">
                  <c:v>466</c:v>
                </c:pt>
                <c:pt idx="6">
                  <c:v>512</c:v>
                </c:pt>
                <c:pt idx="7">
                  <c:v>534</c:v>
                </c:pt>
                <c:pt idx="8">
                  <c:v>530</c:v>
                </c:pt>
                <c:pt idx="9">
                  <c:v>534</c:v>
                </c:pt>
                <c:pt idx="10">
                  <c:v>496</c:v>
                </c:pt>
                <c:pt idx="11">
                  <c:v>466</c:v>
                </c:pt>
                <c:pt idx="12">
                  <c:v>424</c:v>
                </c:pt>
                <c:pt idx="13">
                  <c:v>383</c:v>
                </c:pt>
                <c:pt idx="14">
                  <c:v>341</c:v>
                </c:pt>
                <c:pt idx="15">
                  <c:v>296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1107.95859</c:v>
                </c:pt>
                <c:pt idx="1">
                  <c:v>1079.89011</c:v>
                </c:pt>
                <c:pt idx="2">
                  <c:v>1115.5404349999999</c:v>
                </c:pt>
                <c:pt idx="3">
                  <c:v>1119.2335699999999</c:v>
                </c:pt>
                <c:pt idx="4">
                  <c:v>1126.4822879999999</c:v>
                </c:pt>
                <c:pt idx="5">
                  <c:v>1091.43849</c:v>
                </c:pt>
                <c:pt idx="6">
                  <c:v>1102.85688</c:v>
                </c:pt>
                <c:pt idx="7">
                  <c:v>1136.265504</c:v>
                </c:pt>
                <c:pt idx="8">
                  <c:v>1107.38941</c:v>
                </c:pt>
                <c:pt idx="9">
                  <c:v>1132.3763879999999</c:v>
                </c:pt>
                <c:pt idx="10">
                  <c:v>1121.983694</c:v>
                </c:pt>
                <c:pt idx="11">
                  <c:v>1120.8648880000001</c:v>
                </c:pt>
                <c:pt idx="12">
                  <c:v>1106.676336</c:v>
                </c:pt>
                <c:pt idx="13">
                  <c:v>1095.057761</c:v>
                </c:pt>
                <c:pt idx="14">
                  <c:v>1089.780381</c:v>
                </c:pt>
                <c:pt idx="15">
                  <c:v>1049.06502</c:v>
                </c:pt>
                <c:pt idx="16">
                  <c:v>1050.8285080000001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1127.1787200000001</c:v>
                </c:pt>
                <c:pt idx="1">
                  <c:v>1146.107794</c:v>
                </c:pt>
                <c:pt idx="2">
                  <c:v>1141.9360799999999</c:v>
                </c:pt>
                <c:pt idx="3">
                  <c:v>1149.9339599999998</c:v>
                </c:pt>
                <c:pt idx="4">
                  <c:v>1131.1184499999999</c:v>
                </c:pt>
                <c:pt idx="5">
                  <c:v>1148.4997329999999</c:v>
                </c:pt>
                <c:pt idx="6">
                  <c:v>1128.3575759999999</c:v>
                </c:pt>
                <c:pt idx="7">
                  <c:v>1134.5346</c:v>
                </c:pt>
                <c:pt idx="8">
                  <c:v>1129.9161900000001</c:v>
                </c:pt>
                <c:pt idx="9">
                  <c:v>1128.1596</c:v>
                </c:pt>
                <c:pt idx="10">
                  <c:v>1140.545664</c:v>
                </c:pt>
                <c:pt idx="11">
                  <c:v>1132.5837099999999</c:v>
                </c:pt>
                <c:pt idx="12">
                  <c:v>1109.64086</c:v>
                </c:pt>
                <c:pt idx="13">
                  <c:v>1123.0556939999999</c:v>
                </c:pt>
                <c:pt idx="14">
                  <c:v>1111.9947649999999</c:v>
                </c:pt>
                <c:pt idx="15">
                  <c:v>1113.1077769999999</c:v>
                </c:pt>
                <c:pt idx="16">
                  <c:v>1026.98037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1118.7599700000001</c:v>
                </c:pt>
                <c:pt idx="1">
                  <c:v>1162.5476080000001</c:v>
                </c:pt>
                <c:pt idx="2">
                  <c:v>1153.9333080000001</c:v>
                </c:pt>
                <c:pt idx="3">
                  <c:v>1133.65833</c:v>
                </c:pt>
                <c:pt idx="4">
                  <c:v>1143.0275049999998</c:v>
                </c:pt>
                <c:pt idx="5">
                  <c:v>1140.91419</c:v>
                </c:pt>
                <c:pt idx="6">
                  <c:v>1126.0676599999999</c:v>
                </c:pt>
                <c:pt idx="7">
                  <c:v>1102.979564</c:v>
                </c:pt>
                <c:pt idx="8">
                  <c:v>1089.486519</c:v>
                </c:pt>
                <c:pt idx="9">
                  <c:v>1094.62123</c:v>
                </c:pt>
                <c:pt idx="10">
                  <c:v>1108.53979</c:v>
                </c:pt>
                <c:pt idx="11">
                  <c:v>1119.4717559999999</c:v>
                </c:pt>
                <c:pt idx="12">
                  <c:v>1117.570209</c:v>
                </c:pt>
                <c:pt idx="13">
                  <c:v>1106.47776</c:v>
                </c:pt>
                <c:pt idx="14">
                  <c:v>1119.6322479999999</c:v>
                </c:pt>
                <c:pt idx="15">
                  <c:v>1124.1475619999999</c:v>
                </c:pt>
                <c:pt idx="16">
                  <c:v>1076.97155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1131.4767060000001</c:v>
                </c:pt>
                <c:pt idx="1">
                  <c:v>1139.0893679999999</c:v>
                </c:pt>
                <c:pt idx="2">
                  <c:v>1142.0519220000001</c:v>
                </c:pt>
                <c:pt idx="3">
                  <c:v>1154.6086249999998</c:v>
                </c:pt>
                <c:pt idx="4">
                  <c:v>1145.0751</c:v>
                </c:pt>
                <c:pt idx="5">
                  <c:v>1117.272682</c:v>
                </c:pt>
                <c:pt idx="6">
                  <c:v>1087.5494160000001</c:v>
                </c:pt>
                <c:pt idx="7">
                  <c:v>1066.589894</c:v>
                </c:pt>
                <c:pt idx="8">
                  <c:v>1064.69514</c:v>
                </c:pt>
                <c:pt idx="9">
                  <c:v>1056.561068</c:v>
                </c:pt>
                <c:pt idx="10">
                  <c:v>1069.349408</c:v>
                </c:pt>
                <c:pt idx="11">
                  <c:v>1089.467572</c:v>
                </c:pt>
                <c:pt idx="12">
                  <c:v>1113.158293</c:v>
                </c:pt>
                <c:pt idx="13">
                  <c:v>1123.390748</c:v>
                </c:pt>
                <c:pt idx="14">
                  <c:v>1106.0912189999999</c:v>
                </c:pt>
                <c:pt idx="15">
                  <c:v>1097.5394880000001</c:v>
                </c:pt>
                <c:pt idx="16">
                  <c:v>1083.9267439999999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1135.7904060000001</c:v>
                </c:pt>
                <c:pt idx="1">
                  <c:v>1171.7263520000001</c:v>
                </c:pt>
                <c:pt idx="2">
                  <c:v>1151.2348279999999</c:v>
                </c:pt>
                <c:pt idx="3">
                  <c:v>1163.7665279999999</c:v>
                </c:pt>
                <c:pt idx="4">
                  <c:v>1135.0295800000001</c:v>
                </c:pt>
                <c:pt idx="5">
                  <c:v>1093.96396</c:v>
                </c:pt>
                <c:pt idx="6">
                  <c:v>1065.245643</c:v>
                </c:pt>
                <c:pt idx="7">
                  <c:v>1048.202675</c:v>
                </c:pt>
                <c:pt idx="8">
                  <c:v>1041.0569090000001</c:v>
                </c:pt>
                <c:pt idx="9">
                  <c:v>1036.3290750000001</c:v>
                </c:pt>
                <c:pt idx="10">
                  <c:v>1044.0969</c:v>
                </c:pt>
                <c:pt idx="11">
                  <c:v>1062.465768</c:v>
                </c:pt>
                <c:pt idx="12">
                  <c:v>1096.6305400000001</c:v>
                </c:pt>
                <c:pt idx="13">
                  <c:v>1127.0522880000001</c:v>
                </c:pt>
                <c:pt idx="14">
                  <c:v>1111.4968200000001</c:v>
                </c:pt>
                <c:pt idx="15">
                  <c:v>1092.21</c:v>
                </c:pt>
                <c:pt idx="16">
                  <c:v>1098.093269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1135.1131350000001</c:v>
                </c:pt>
                <c:pt idx="1">
                  <c:v>1155.6964890000002</c:v>
                </c:pt>
                <c:pt idx="2">
                  <c:v>1158.3478500000001</c:v>
                </c:pt>
                <c:pt idx="3">
                  <c:v>1151.0442</c:v>
                </c:pt>
                <c:pt idx="4">
                  <c:v>1118.4331979999999</c:v>
                </c:pt>
                <c:pt idx="5">
                  <c:v>1079.31935</c:v>
                </c:pt>
                <c:pt idx="6">
                  <c:v>1055.7730000000001</c:v>
                </c:pt>
                <c:pt idx="7">
                  <c:v>1031.534948</c:v>
                </c:pt>
                <c:pt idx="8">
                  <c:v>1021.719452</c:v>
                </c:pt>
                <c:pt idx="9">
                  <c:v>1031.9931199999999</c:v>
                </c:pt>
                <c:pt idx="10">
                  <c:v>1031.1931999999999</c:v>
                </c:pt>
                <c:pt idx="11">
                  <c:v>1045.489296</c:v>
                </c:pt>
                <c:pt idx="12">
                  <c:v>1077.1787939999999</c:v>
                </c:pt>
                <c:pt idx="13">
                  <c:v>1108.2</c:v>
                </c:pt>
                <c:pt idx="14">
                  <c:v>1115.8104539999999</c:v>
                </c:pt>
                <c:pt idx="15">
                  <c:v>1108.601784</c:v>
                </c:pt>
                <c:pt idx="16">
                  <c:v>1079.448075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1157.831682</c:v>
                </c:pt>
                <c:pt idx="1">
                  <c:v>1170.867315</c:v>
                </c:pt>
                <c:pt idx="2">
                  <c:v>1165.0295140000001</c:v>
                </c:pt>
                <c:pt idx="3">
                  <c:v>1148.5394699999999</c:v>
                </c:pt>
                <c:pt idx="4">
                  <c:v>1126.923192</c:v>
                </c:pt>
                <c:pt idx="5">
                  <c:v>1081.7283049999999</c:v>
                </c:pt>
                <c:pt idx="6">
                  <c:v>1053.066092</c:v>
                </c:pt>
                <c:pt idx="7">
                  <c:v>1037.5544070000001</c:v>
                </c:pt>
                <c:pt idx="8">
                  <c:v>1027.410153</c:v>
                </c:pt>
                <c:pt idx="9">
                  <c:v>1027.9630079999999</c:v>
                </c:pt>
                <c:pt idx="10">
                  <c:v>1043.0693289999999</c:v>
                </c:pt>
                <c:pt idx="11">
                  <c:v>1046.89795</c:v>
                </c:pt>
                <c:pt idx="12">
                  <c:v>1081.666872</c:v>
                </c:pt>
                <c:pt idx="13">
                  <c:v>1102.8171179999999</c:v>
                </c:pt>
                <c:pt idx="14">
                  <c:v>1120.439815</c:v>
                </c:pt>
                <c:pt idx="15">
                  <c:v>1090.320993</c:v>
                </c:pt>
                <c:pt idx="16">
                  <c:v>1112.980689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1130.4721950000001</c:v>
                </c:pt>
                <c:pt idx="1">
                  <c:v>1151.4191129999999</c:v>
                </c:pt>
                <c:pt idx="2">
                  <c:v>1154.652026</c:v>
                </c:pt>
                <c:pt idx="3">
                  <c:v>1170.145041</c:v>
                </c:pt>
                <c:pt idx="4">
                  <c:v>1133.3274839999999</c:v>
                </c:pt>
                <c:pt idx="5">
                  <c:v>1092.7588249999999</c:v>
                </c:pt>
                <c:pt idx="6">
                  <c:v>1067.3036359999999</c:v>
                </c:pt>
                <c:pt idx="7">
                  <c:v>1044.1267519999999</c:v>
                </c:pt>
                <c:pt idx="8">
                  <c:v>1034.820144</c:v>
                </c:pt>
                <c:pt idx="9">
                  <c:v>1035.2392960000002</c:v>
                </c:pt>
                <c:pt idx="10">
                  <c:v>1044.662906</c:v>
                </c:pt>
                <c:pt idx="11">
                  <c:v>1058.166489</c:v>
                </c:pt>
                <c:pt idx="12">
                  <c:v>1090.164084</c:v>
                </c:pt>
                <c:pt idx="13">
                  <c:v>1104.4374</c:v>
                </c:pt>
                <c:pt idx="14">
                  <c:v>1111.7730799999999</c:v>
                </c:pt>
                <c:pt idx="15">
                  <c:v>1102.857444</c:v>
                </c:pt>
                <c:pt idx="16">
                  <c:v>1074.2944649999999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1125.140733</c:v>
                </c:pt>
                <c:pt idx="1">
                  <c:v>1163.885168</c:v>
                </c:pt>
                <c:pt idx="2">
                  <c:v>1145.4532380000001</c:v>
                </c:pt>
                <c:pt idx="3">
                  <c:v>1159.9660799999999</c:v>
                </c:pt>
                <c:pt idx="4">
                  <c:v>1131.5281599999998</c:v>
                </c:pt>
                <c:pt idx="5">
                  <c:v>1107.4559839999999</c:v>
                </c:pt>
                <c:pt idx="6">
                  <c:v>1077.315096</c:v>
                </c:pt>
                <c:pt idx="7">
                  <c:v>1059.8640149999999</c:v>
                </c:pt>
                <c:pt idx="8">
                  <c:v>1055.272217</c:v>
                </c:pt>
                <c:pt idx="9">
                  <c:v>1050.6720070000001</c:v>
                </c:pt>
                <c:pt idx="10">
                  <c:v>1054.1396580000001</c:v>
                </c:pt>
                <c:pt idx="11">
                  <c:v>1074.8841600000001</c:v>
                </c:pt>
                <c:pt idx="12">
                  <c:v>1091.1961699999999</c:v>
                </c:pt>
                <c:pt idx="13">
                  <c:v>1120.2128640000001</c:v>
                </c:pt>
                <c:pt idx="14">
                  <c:v>1104.0638980000001</c:v>
                </c:pt>
                <c:pt idx="15">
                  <c:v>1115.4030679999998</c:v>
                </c:pt>
                <c:pt idx="16">
                  <c:v>1073.7634949999999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1153.9700249999999</c:v>
                </c:pt>
                <c:pt idx="1">
                  <c:v>1163.4711560000001</c:v>
                </c:pt>
                <c:pt idx="2">
                  <c:v>1133.0238629999999</c:v>
                </c:pt>
                <c:pt idx="3">
                  <c:v>1148.5494590000001</c:v>
                </c:pt>
                <c:pt idx="4">
                  <c:v>1138.990151</c:v>
                </c:pt>
                <c:pt idx="5">
                  <c:v>1112.087808</c:v>
                </c:pt>
                <c:pt idx="6">
                  <c:v>1101.2099599999999</c:v>
                </c:pt>
                <c:pt idx="7">
                  <c:v>1079.169449</c:v>
                </c:pt>
                <c:pt idx="8">
                  <c:v>1062.0248100000001</c:v>
                </c:pt>
                <c:pt idx="9">
                  <c:v>1068.628465</c:v>
                </c:pt>
                <c:pt idx="10">
                  <c:v>1062.091408</c:v>
                </c:pt>
                <c:pt idx="11">
                  <c:v>1080.073588</c:v>
                </c:pt>
                <c:pt idx="12">
                  <c:v>1103.6749619999998</c:v>
                </c:pt>
                <c:pt idx="13">
                  <c:v>1113.7402010000001</c:v>
                </c:pt>
                <c:pt idx="14">
                  <c:v>1092.8846040000001</c:v>
                </c:pt>
                <c:pt idx="15">
                  <c:v>1117.294112</c:v>
                </c:pt>
                <c:pt idx="16">
                  <c:v>1055.67028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1093.6813500000001</c:v>
                </c:pt>
                <c:pt idx="1">
                  <c:v>1145.5061800000001</c:v>
                </c:pt>
                <c:pt idx="2">
                  <c:v>1140.443192</c:v>
                </c:pt>
                <c:pt idx="3">
                  <c:v>1153.21874</c:v>
                </c:pt>
                <c:pt idx="4">
                  <c:v>1134.426146</c:v>
                </c:pt>
                <c:pt idx="5">
                  <c:v>1135.663867</c:v>
                </c:pt>
                <c:pt idx="6">
                  <c:v>1119.52243</c:v>
                </c:pt>
                <c:pt idx="7">
                  <c:v>1114.4503079999999</c:v>
                </c:pt>
                <c:pt idx="8">
                  <c:v>1102.1102189999999</c:v>
                </c:pt>
                <c:pt idx="9">
                  <c:v>1103.944107</c:v>
                </c:pt>
                <c:pt idx="10">
                  <c:v>1097.84123</c:v>
                </c:pt>
                <c:pt idx="11">
                  <c:v>1108.2318</c:v>
                </c:pt>
                <c:pt idx="12">
                  <c:v>1104.7896249999999</c:v>
                </c:pt>
                <c:pt idx="13">
                  <c:v>1091.19289</c:v>
                </c:pt>
                <c:pt idx="14">
                  <c:v>1102.070336</c:v>
                </c:pt>
                <c:pt idx="15">
                  <c:v>1104.414156</c:v>
                </c:pt>
                <c:pt idx="16">
                  <c:v>1057.1848500000001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1093.5027</c:v>
                </c:pt>
                <c:pt idx="1">
                  <c:v>1125.327493</c:v>
                </c:pt>
                <c:pt idx="2">
                  <c:v>1125.3709200000001</c:v>
                </c:pt>
                <c:pt idx="3">
                  <c:v>1135.6864740000001</c:v>
                </c:pt>
                <c:pt idx="4">
                  <c:v>1148.011694</c:v>
                </c:pt>
                <c:pt idx="5">
                  <c:v>1139.384534</c:v>
                </c:pt>
                <c:pt idx="6">
                  <c:v>1145.9232</c:v>
                </c:pt>
                <c:pt idx="7">
                  <c:v>1147.662685</c:v>
                </c:pt>
                <c:pt idx="8">
                  <c:v>1122.674618</c:v>
                </c:pt>
                <c:pt idx="9">
                  <c:v>1139.921926</c:v>
                </c:pt>
                <c:pt idx="10">
                  <c:v>1129.4277119999999</c:v>
                </c:pt>
                <c:pt idx="11">
                  <c:v>1119.5967599999999</c:v>
                </c:pt>
                <c:pt idx="12">
                  <c:v>1121.7889660000001</c:v>
                </c:pt>
                <c:pt idx="13">
                  <c:v>1105.423785</c:v>
                </c:pt>
                <c:pt idx="14">
                  <c:v>1092.0478800000001</c:v>
                </c:pt>
                <c:pt idx="15">
                  <c:v>1090.861034</c:v>
                </c:pt>
                <c:pt idx="16">
                  <c:v>1058.5849500000002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1132.52232</c:v>
                </c:pt>
                <c:pt idx="1">
                  <c:v>1118.95355</c:v>
                </c:pt>
                <c:pt idx="2">
                  <c:v>1099.0285389999999</c:v>
                </c:pt>
                <c:pt idx="3">
                  <c:v>1108.242203</c:v>
                </c:pt>
                <c:pt idx="4">
                  <c:v>1104.81476</c:v>
                </c:pt>
                <c:pt idx="5">
                  <c:v>1126.7102990000001</c:v>
                </c:pt>
                <c:pt idx="6">
                  <c:v>1124.5469700000001</c:v>
                </c:pt>
                <c:pt idx="7">
                  <c:v>1122.113572</c:v>
                </c:pt>
                <c:pt idx="8">
                  <c:v>1137.9966179999999</c:v>
                </c:pt>
                <c:pt idx="9">
                  <c:v>1118.024782</c:v>
                </c:pt>
                <c:pt idx="10">
                  <c:v>1113.7892120000001</c:v>
                </c:pt>
                <c:pt idx="11">
                  <c:v>1107.1801949999999</c:v>
                </c:pt>
                <c:pt idx="12">
                  <c:v>1082.8585720000001</c:v>
                </c:pt>
                <c:pt idx="13">
                  <c:v>1080.279865</c:v>
                </c:pt>
                <c:pt idx="14">
                  <c:v>1072.5339960000001</c:v>
                </c:pt>
                <c:pt idx="15">
                  <c:v>1087.2061200000001</c:v>
                </c:pt>
                <c:pt idx="16">
                  <c:v>1084.9910849999999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1097.257392</c:v>
                </c:pt>
                <c:pt idx="1">
                  <c:v>1062.8868</c:v>
                </c:pt>
                <c:pt idx="2">
                  <c:v>1084.434816</c:v>
                </c:pt>
                <c:pt idx="3">
                  <c:v>1089.830412</c:v>
                </c:pt>
                <c:pt idx="4">
                  <c:v>1073.4271349999999</c:v>
                </c:pt>
                <c:pt idx="5">
                  <c:v>1066.138884</c:v>
                </c:pt>
                <c:pt idx="6">
                  <c:v>1065.3677189999999</c:v>
                </c:pt>
                <c:pt idx="7">
                  <c:v>1082.2498949999999</c:v>
                </c:pt>
                <c:pt idx="8">
                  <c:v>1073.31538</c:v>
                </c:pt>
                <c:pt idx="9">
                  <c:v>1080.47423</c:v>
                </c:pt>
                <c:pt idx="10">
                  <c:v>1074.5036359999999</c:v>
                </c:pt>
                <c:pt idx="11">
                  <c:v>1055.932992</c:v>
                </c:pt>
                <c:pt idx="12">
                  <c:v>1055.6993560000001</c:v>
                </c:pt>
                <c:pt idx="13">
                  <c:v>1071.1748520000001</c:v>
                </c:pt>
                <c:pt idx="14">
                  <c:v>1064.194788</c:v>
                </c:pt>
                <c:pt idx="15">
                  <c:v>1037.5857000000001</c:v>
                </c:pt>
                <c:pt idx="16">
                  <c:v>1032.011904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1066.4828459999999</c:v>
                </c:pt>
                <c:pt idx="1">
                  <c:v>1081.3720029999999</c:v>
                </c:pt>
                <c:pt idx="2">
                  <c:v>1093.4022420000001</c:v>
                </c:pt>
                <c:pt idx="3">
                  <c:v>1087.554496</c:v>
                </c:pt>
                <c:pt idx="4">
                  <c:v>1089.274165</c:v>
                </c:pt>
                <c:pt idx="5">
                  <c:v>1103.793574</c:v>
                </c:pt>
                <c:pt idx="6">
                  <c:v>1109.7250200000001</c:v>
                </c:pt>
                <c:pt idx="7">
                  <c:v>1104.2192700000001</c:v>
                </c:pt>
                <c:pt idx="8">
                  <c:v>1102.4084660000001</c:v>
                </c:pt>
                <c:pt idx="9">
                  <c:v>1099.6454699999999</c:v>
                </c:pt>
                <c:pt idx="10">
                  <c:v>1099.5698970000001</c:v>
                </c:pt>
                <c:pt idx="11">
                  <c:v>1092.5934500000001</c:v>
                </c:pt>
                <c:pt idx="12">
                  <c:v>1073.255124</c:v>
                </c:pt>
                <c:pt idx="13">
                  <c:v>1067.826816</c:v>
                </c:pt>
                <c:pt idx="14">
                  <c:v>1070.108739</c:v>
                </c:pt>
                <c:pt idx="15">
                  <c:v>1055.1015050000001</c:v>
                </c:pt>
                <c:pt idx="16">
                  <c:v>1021.66779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1086.080357</c:v>
                </c:pt>
                <c:pt idx="1">
                  <c:v>1096.3344079999999</c:v>
                </c:pt>
                <c:pt idx="2">
                  <c:v>1100.086728</c:v>
                </c:pt>
                <c:pt idx="3">
                  <c:v>1100.7766340000001</c:v>
                </c:pt>
                <c:pt idx="4">
                  <c:v>1108.25845</c:v>
                </c:pt>
                <c:pt idx="5">
                  <c:v>1111.9209060000001</c:v>
                </c:pt>
                <c:pt idx="6">
                  <c:v>1105.7863179999999</c:v>
                </c:pt>
                <c:pt idx="7">
                  <c:v>1094.23125</c:v>
                </c:pt>
                <c:pt idx="8">
                  <c:v>1093.952448</c:v>
                </c:pt>
                <c:pt idx="9">
                  <c:v>1088.156475</c:v>
                </c:pt>
                <c:pt idx="10">
                  <c:v>1091.42533</c:v>
                </c:pt>
                <c:pt idx="11">
                  <c:v>1096.2907620000001</c:v>
                </c:pt>
                <c:pt idx="12">
                  <c:v>1089.5330000000001</c:v>
                </c:pt>
                <c:pt idx="13">
                  <c:v>1067.754316</c:v>
                </c:pt>
                <c:pt idx="14">
                  <c:v>1061.3593799999999</c:v>
                </c:pt>
                <c:pt idx="15">
                  <c:v>1065.445256</c:v>
                </c:pt>
                <c:pt idx="16">
                  <c:v>1041.6436140000001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1096.0290600000001</c:v>
                </c:pt>
                <c:pt idx="1">
                  <c:v>1096.1200000000001</c:v>
                </c:pt>
                <c:pt idx="2">
                  <c:v>1093.5828409999999</c:v>
                </c:pt>
                <c:pt idx="3">
                  <c:v>1103.0132100000001</c:v>
                </c:pt>
                <c:pt idx="4">
                  <c:v>1111.102349</c:v>
                </c:pt>
                <c:pt idx="5">
                  <c:v>1105.3344199999999</c:v>
                </c:pt>
                <c:pt idx="6">
                  <c:v>1094.39652</c:v>
                </c:pt>
                <c:pt idx="7">
                  <c:v>1078.217506</c:v>
                </c:pt>
                <c:pt idx="8">
                  <c:v>1071.41283</c:v>
                </c:pt>
                <c:pt idx="9">
                  <c:v>1070.3692940000001</c:v>
                </c:pt>
                <c:pt idx="10">
                  <c:v>1079.04566</c:v>
                </c:pt>
                <c:pt idx="11">
                  <c:v>1084.30222</c:v>
                </c:pt>
                <c:pt idx="12">
                  <c:v>1089.203225</c:v>
                </c:pt>
                <c:pt idx="13">
                  <c:v>1082.4073519999999</c:v>
                </c:pt>
                <c:pt idx="14">
                  <c:v>1067.739673</c:v>
                </c:pt>
                <c:pt idx="15">
                  <c:v>1063.276482</c:v>
                </c:pt>
                <c:pt idx="16">
                  <c:v>1047.9997989999999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1096.0857599999999</c:v>
                </c:pt>
                <c:pt idx="1">
                  <c:v>1098.7818749999999</c:v>
                </c:pt>
                <c:pt idx="2">
                  <c:v>1095.0764859999999</c:v>
                </c:pt>
                <c:pt idx="3">
                  <c:v>1118.27008</c:v>
                </c:pt>
                <c:pt idx="4">
                  <c:v>1113.336198</c:v>
                </c:pt>
                <c:pt idx="5">
                  <c:v>1096.6109920000001</c:v>
                </c:pt>
                <c:pt idx="6">
                  <c:v>1078.4338439999999</c:v>
                </c:pt>
                <c:pt idx="7">
                  <c:v>1057.7579999999998</c:v>
                </c:pt>
                <c:pt idx="8">
                  <c:v>1047.2728</c:v>
                </c:pt>
                <c:pt idx="9">
                  <c:v>1048.563997</c:v>
                </c:pt>
                <c:pt idx="10">
                  <c:v>1060.0981980000001</c:v>
                </c:pt>
                <c:pt idx="11">
                  <c:v>1071.7256440000001</c:v>
                </c:pt>
                <c:pt idx="12">
                  <c:v>1085.136156</c:v>
                </c:pt>
                <c:pt idx="13">
                  <c:v>1085.071968</c:v>
                </c:pt>
                <c:pt idx="14">
                  <c:v>1068.4518</c:v>
                </c:pt>
                <c:pt idx="15">
                  <c:v>1064.1679789999998</c:v>
                </c:pt>
                <c:pt idx="16">
                  <c:v>1046.1071939999999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1080.368352</c:v>
                </c:pt>
                <c:pt idx="1">
                  <c:v>1094.2264829999999</c:v>
                </c:pt>
                <c:pt idx="2">
                  <c:v>1097.8191199999999</c:v>
                </c:pt>
                <c:pt idx="3">
                  <c:v>1116.0375359999998</c:v>
                </c:pt>
                <c:pt idx="4">
                  <c:v>1115.3673629999998</c:v>
                </c:pt>
                <c:pt idx="5">
                  <c:v>1091.4322139999999</c:v>
                </c:pt>
                <c:pt idx="6">
                  <c:v>1070.205213</c:v>
                </c:pt>
                <c:pt idx="7">
                  <c:v>1042.072075</c:v>
                </c:pt>
                <c:pt idx="8">
                  <c:v>1027.867835</c:v>
                </c:pt>
                <c:pt idx="9">
                  <c:v>1033.0417790000001</c:v>
                </c:pt>
                <c:pt idx="10">
                  <c:v>1048.963628</c:v>
                </c:pt>
                <c:pt idx="11">
                  <c:v>1064.564946</c:v>
                </c:pt>
                <c:pt idx="12">
                  <c:v>1077.433266</c:v>
                </c:pt>
                <c:pt idx="13">
                  <c:v>1088.2570559999999</c:v>
                </c:pt>
                <c:pt idx="14">
                  <c:v>1069.2637200000001</c:v>
                </c:pt>
                <c:pt idx="15">
                  <c:v>1060.0349490000001</c:v>
                </c:pt>
                <c:pt idx="16">
                  <c:v>1051.7746400000001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1083.033126</c:v>
                </c:pt>
                <c:pt idx="1">
                  <c:v>1093.1644980000001</c:v>
                </c:pt>
                <c:pt idx="2">
                  <c:v>1104.041279</c:v>
                </c:pt>
                <c:pt idx="3">
                  <c:v>1125.526472</c:v>
                </c:pt>
                <c:pt idx="4">
                  <c:v>1107.667674</c:v>
                </c:pt>
                <c:pt idx="5">
                  <c:v>1085.8801060000001</c:v>
                </c:pt>
                <c:pt idx="6">
                  <c:v>1066.3439369999999</c:v>
                </c:pt>
                <c:pt idx="7">
                  <c:v>1036.0349999999999</c:v>
                </c:pt>
                <c:pt idx="8">
                  <c:v>1029.1165169999999</c:v>
                </c:pt>
                <c:pt idx="9">
                  <c:v>1028.3132859999998</c:v>
                </c:pt>
                <c:pt idx="10">
                  <c:v>1046.4651840000001</c:v>
                </c:pt>
                <c:pt idx="11">
                  <c:v>1058.548033</c:v>
                </c:pt>
                <c:pt idx="12">
                  <c:v>1073.77522</c:v>
                </c:pt>
                <c:pt idx="13">
                  <c:v>1083.7146480000001</c:v>
                </c:pt>
                <c:pt idx="14">
                  <c:v>1073.1073349999999</c:v>
                </c:pt>
                <c:pt idx="15">
                  <c:v>1056.0795929999999</c:v>
                </c:pt>
                <c:pt idx="16">
                  <c:v>1031.170014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1075.0201079999999</c:v>
                </c:pt>
                <c:pt idx="1">
                  <c:v>1091.3023680000001</c:v>
                </c:pt>
                <c:pt idx="2">
                  <c:v>1107.0387940000001</c:v>
                </c:pt>
                <c:pt idx="3">
                  <c:v>1123.0287949999999</c:v>
                </c:pt>
                <c:pt idx="4">
                  <c:v>1112.8275630000001</c:v>
                </c:pt>
                <c:pt idx="5">
                  <c:v>1095.747828</c:v>
                </c:pt>
                <c:pt idx="6">
                  <c:v>1073.607205</c:v>
                </c:pt>
                <c:pt idx="7">
                  <c:v>1045.6840079999999</c:v>
                </c:pt>
                <c:pt idx="8">
                  <c:v>1033.5024699999999</c:v>
                </c:pt>
                <c:pt idx="9">
                  <c:v>1038.0629280000001</c:v>
                </c:pt>
                <c:pt idx="10">
                  <c:v>1046.943053</c:v>
                </c:pt>
                <c:pt idx="11">
                  <c:v>1059.806196</c:v>
                </c:pt>
                <c:pt idx="12">
                  <c:v>1070.645706</c:v>
                </c:pt>
                <c:pt idx="13">
                  <c:v>1082.2125120000001</c:v>
                </c:pt>
                <c:pt idx="14">
                  <c:v>1063.4609840000001</c:v>
                </c:pt>
                <c:pt idx="15">
                  <c:v>1052.8295309999999</c:v>
                </c:pt>
                <c:pt idx="16">
                  <c:v>1046.5789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1082.101911</c:v>
                </c:pt>
                <c:pt idx="1">
                  <c:v>1091.7828830000001</c:v>
                </c:pt>
                <c:pt idx="2">
                  <c:v>1088.6494299999999</c:v>
                </c:pt>
                <c:pt idx="3">
                  <c:v>1112.5488</c:v>
                </c:pt>
                <c:pt idx="4">
                  <c:v>1118.208828</c:v>
                </c:pt>
                <c:pt idx="5">
                  <c:v>1098.851478</c:v>
                </c:pt>
                <c:pt idx="6">
                  <c:v>1079.3126729999999</c:v>
                </c:pt>
                <c:pt idx="7">
                  <c:v>1058.903928</c:v>
                </c:pt>
                <c:pt idx="8">
                  <c:v>1055.0517629999999</c:v>
                </c:pt>
                <c:pt idx="9">
                  <c:v>1051.2303879999999</c:v>
                </c:pt>
                <c:pt idx="10">
                  <c:v>1058.9822819999999</c:v>
                </c:pt>
                <c:pt idx="11">
                  <c:v>1064.158868</c:v>
                </c:pt>
                <c:pt idx="12">
                  <c:v>1076.615982</c:v>
                </c:pt>
                <c:pt idx="13">
                  <c:v>1083.5636159999999</c:v>
                </c:pt>
                <c:pt idx="14">
                  <c:v>1057.101138</c:v>
                </c:pt>
                <c:pt idx="15">
                  <c:v>1052.667013</c:v>
                </c:pt>
                <c:pt idx="16">
                  <c:v>1033.8334379999999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1074.2969230000001</c:v>
                </c:pt>
                <c:pt idx="1">
                  <c:v>1085.8770039999999</c:v>
                </c:pt>
                <c:pt idx="2">
                  <c:v>1082.7420629999999</c:v>
                </c:pt>
                <c:pt idx="3">
                  <c:v>1104.8128320000001</c:v>
                </c:pt>
                <c:pt idx="4">
                  <c:v>1113.820205</c:v>
                </c:pt>
                <c:pt idx="5">
                  <c:v>1106.63255</c:v>
                </c:pt>
                <c:pt idx="6">
                  <c:v>1086.179412</c:v>
                </c:pt>
                <c:pt idx="7">
                  <c:v>1075.7786759999999</c:v>
                </c:pt>
                <c:pt idx="8">
                  <c:v>1069.614282</c:v>
                </c:pt>
                <c:pt idx="9">
                  <c:v>1066.6334160000001</c:v>
                </c:pt>
                <c:pt idx="10">
                  <c:v>1067.211528</c:v>
                </c:pt>
                <c:pt idx="11">
                  <c:v>1080.60148</c:v>
                </c:pt>
                <c:pt idx="12">
                  <c:v>1086.8066609999998</c:v>
                </c:pt>
                <c:pt idx="13">
                  <c:v>1067.4132950000001</c:v>
                </c:pt>
                <c:pt idx="14">
                  <c:v>1050.2649429999999</c:v>
                </c:pt>
                <c:pt idx="15">
                  <c:v>1045.365554</c:v>
                </c:pt>
                <c:pt idx="16">
                  <c:v>1030.489992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1060.178287</c:v>
                </c:pt>
                <c:pt idx="1">
                  <c:v>1082.067088</c:v>
                </c:pt>
                <c:pt idx="2">
                  <c:v>1073.1124950000001</c:v>
                </c:pt>
                <c:pt idx="3">
                  <c:v>1089.186195</c:v>
                </c:pt>
                <c:pt idx="4">
                  <c:v>1097.4990499999999</c:v>
                </c:pt>
                <c:pt idx="5">
                  <c:v>1113.4520620000001</c:v>
                </c:pt>
                <c:pt idx="6">
                  <c:v>1101.145266</c:v>
                </c:pt>
                <c:pt idx="7">
                  <c:v>1090.8246179999999</c:v>
                </c:pt>
                <c:pt idx="8">
                  <c:v>1080.592416</c:v>
                </c:pt>
                <c:pt idx="9">
                  <c:v>1081.160496</c:v>
                </c:pt>
                <c:pt idx="10">
                  <c:v>1082.9178360000001</c:v>
                </c:pt>
                <c:pt idx="11">
                  <c:v>1080.0247460000001</c:v>
                </c:pt>
                <c:pt idx="12">
                  <c:v>1074.0902249999999</c:v>
                </c:pt>
                <c:pt idx="13">
                  <c:v>1048.579956</c:v>
                </c:pt>
                <c:pt idx="14">
                  <c:v>1041.32293</c:v>
                </c:pt>
                <c:pt idx="15">
                  <c:v>1044.4170799999999</c:v>
                </c:pt>
                <c:pt idx="16">
                  <c:v>1020.3906659999999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1049.3326139999999</c:v>
                </c:pt>
                <c:pt idx="1">
                  <c:v>1083.70507</c:v>
                </c:pt>
                <c:pt idx="2">
                  <c:v>1076.682843</c:v>
                </c:pt>
                <c:pt idx="3">
                  <c:v>1072.654016</c:v>
                </c:pt>
                <c:pt idx="4">
                  <c:v>1075.6564460000002</c:v>
                </c:pt>
                <c:pt idx="5">
                  <c:v>1091.9567489999999</c:v>
                </c:pt>
                <c:pt idx="6">
                  <c:v>1097.8447140000001</c:v>
                </c:pt>
                <c:pt idx="7">
                  <c:v>1101.4082639999999</c:v>
                </c:pt>
                <c:pt idx="8">
                  <c:v>1089.4589840000001</c:v>
                </c:pt>
                <c:pt idx="9">
                  <c:v>1093.666236</c:v>
                </c:pt>
                <c:pt idx="10">
                  <c:v>1084.517208</c:v>
                </c:pt>
                <c:pt idx="11">
                  <c:v>1076.254439</c:v>
                </c:pt>
                <c:pt idx="12">
                  <c:v>1053.910247</c:v>
                </c:pt>
                <c:pt idx="13">
                  <c:v>1046.494848</c:v>
                </c:pt>
                <c:pt idx="14">
                  <c:v>1047.5222430000001</c:v>
                </c:pt>
                <c:pt idx="15">
                  <c:v>1049.8955599999999</c:v>
                </c:pt>
                <c:pt idx="16">
                  <c:v>1012.537992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1074.6211060000001</c:v>
                </c:pt>
                <c:pt idx="1">
                  <c:v>1048.6130330000001</c:v>
                </c:pt>
                <c:pt idx="2">
                  <c:v>1057.4116739999999</c:v>
                </c:pt>
                <c:pt idx="3">
                  <c:v>1066.582762</c:v>
                </c:pt>
                <c:pt idx="4">
                  <c:v>1050.1765559999999</c:v>
                </c:pt>
                <c:pt idx="5">
                  <c:v>1051.2414799999999</c:v>
                </c:pt>
                <c:pt idx="6">
                  <c:v>1065.2658120000001</c:v>
                </c:pt>
                <c:pt idx="7">
                  <c:v>1061.1137249999999</c:v>
                </c:pt>
                <c:pt idx="8">
                  <c:v>1072.7004460000001</c:v>
                </c:pt>
                <c:pt idx="9">
                  <c:v>1055.2825499999999</c:v>
                </c:pt>
                <c:pt idx="10">
                  <c:v>1054.953432</c:v>
                </c:pt>
                <c:pt idx="11">
                  <c:v>1034.5169999999998</c:v>
                </c:pt>
                <c:pt idx="12">
                  <c:v>1028.3614769999999</c:v>
                </c:pt>
                <c:pt idx="13">
                  <c:v>1041.7085460000001</c:v>
                </c:pt>
                <c:pt idx="14">
                  <c:v>1030.818448</c:v>
                </c:pt>
                <c:pt idx="15">
                  <c:v>1017.491319</c:v>
                </c:pt>
                <c:pt idx="16">
                  <c:v>1024.769219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1093.7090439999999</c:v>
                </c:pt>
                <c:pt idx="1">
                  <c:v>1091.320236</c:v>
                </c:pt>
                <c:pt idx="2">
                  <c:v>1107.150576</c:v>
                </c:pt>
                <c:pt idx="3">
                  <c:v>1108.441836</c:v>
                </c:pt>
                <c:pt idx="4">
                  <c:v>1082.312784</c:v>
                </c:pt>
                <c:pt idx="5">
                  <c:v>1079.8474469999999</c:v>
                </c:pt>
                <c:pt idx="6">
                  <c:v>1088.7142699999999</c:v>
                </c:pt>
                <c:pt idx="7">
                  <c:v>1105.5713760000001</c:v>
                </c:pt>
                <c:pt idx="8">
                  <c:v>1095.74361</c:v>
                </c:pt>
                <c:pt idx="9">
                  <c:v>1105.8411000000001</c:v>
                </c:pt>
                <c:pt idx="10">
                  <c:v>1084.9898499999999</c:v>
                </c:pt>
                <c:pt idx="11">
                  <c:v>1072.0788750000002</c:v>
                </c:pt>
                <c:pt idx="12">
                  <c:v>1070.241732</c:v>
                </c:pt>
                <c:pt idx="13">
                  <c:v>1090.8760440000001</c:v>
                </c:pt>
                <c:pt idx="14">
                  <c:v>1089.1868459999998</c:v>
                </c:pt>
                <c:pt idx="15">
                  <c:v>1065.301056</c:v>
                </c:pt>
                <c:pt idx="16">
                  <c:v>1033.585808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1093.0675859999999</c:v>
                </c:pt>
                <c:pt idx="1">
                  <c:v>1108.035089</c:v>
                </c:pt>
                <c:pt idx="2">
                  <c:v>1113.2537600000001</c:v>
                </c:pt>
                <c:pt idx="3">
                  <c:v>1104.3877259999999</c:v>
                </c:pt>
                <c:pt idx="4">
                  <c:v>1114.4018579999999</c:v>
                </c:pt>
                <c:pt idx="5">
                  <c:v>1114.2857759999999</c:v>
                </c:pt>
                <c:pt idx="6">
                  <c:v>1129.8692920000001</c:v>
                </c:pt>
                <c:pt idx="7">
                  <c:v>1123.5249289999999</c:v>
                </c:pt>
                <c:pt idx="8">
                  <c:v>1122.8831279999999</c:v>
                </c:pt>
                <c:pt idx="9">
                  <c:v>1120.3840289999998</c:v>
                </c:pt>
                <c:pt idx="10">
                  <c:v>1122.1071039999999</c:v>
                </c:pt>
                <c:pt idx="11">
                  <c:v>1104.1016279999999</c:v>
                </c:pt>
                <c:pt idx="12">
                  <c:v>1099.8710779999999</c:v>
                </c:pt>
                <c:pt idx="13">
                  <c:v>1084.454367</c:v>
                </c:pt>
                <c:pt idx="14">
                  <c:v>1090.5072640000001</c:v>
                </c:pt>
                <c:pt idx="15">
                  <c:v>1081.1984259999999</c:v>
                </c:pt>
                <c:pt idx="16">
                  <c:v>1047.972771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1087.7888700000001</c:v>
                </c:pt>
                <c:pt idx="1">
                  <c:v>1122.21668</c:v>
                </c:pt>
                <c:pt idx="2">
                  <c:v>1107.3713299999999</c:v>
                </c:pt>
                <c:pt idx="3">
                  <c:v>1107.1269179999999</c:v>
                </c:pt>
                <c:pt idx="4">
                  <c:v>1123.7434739999999</c:v>
                </c:pt>
                <c:pt idx="5">
                  <c:v>1134.8447820000001</c:v>
                </c:pt>
                <c:pt idx="6">
                  <c:v>1123.9266359999999</c:v>
                </c:pt>
                <c:pt idx="7">
                  <c:v>1113.0785550000001</c:v>
                </c:pt>
                <c:pt idx="8">
                  <c:v>1111.360621</c:v>
                </c:pt>
                <c:pt idx="9">
                  <c:v>1108.118475</c:v>
                </c:pt>
                <c:pt idx="10">
                  <c:v>1111.4757480000001</c:v>
                </c:pt>
                <c:pt idx="11">
                  <c:v>1120.062821</c:v>
                </c:pt>
                <c:pt idx="12">
                  <c:v>1106.3895849999999</c:v>
                </c:pt>
                <c:pt idx="13">
                  <c:v>1087.209748</c:v>
                </c:pt>
                <c:pt idx="14">
                  <c:v>1081.1607300000001</c:v>
                </c:pt>
                <c:pt idx="15">
                  <c:v>1089.394094</c:v>
                </c:pt>
                <c:pt idx="16">
                  <c:v>1068.213972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1103.6518920000001</c:v>
                </c:pt>
                <c:pt idx="1">
                  <c:v>1102.8836330000001</c:v>
                </c:pt>
                <c:pt idx="2">
                  <c:v>1100.5140510000001</c:v>
                </c:pt>
                <c:pt idx="3">
                  <c:v>1119.793236</c:v>
                </c:pt>
                <c:pt idx="4">
                  <c:v>1127.958449</c:v>
                </c:pt>
                <c:pt idx="5">
                  <c:v>1126.408815</c:v>
                </c:pt>
                <c:pt idx="6">
                  <c:v>1105.4367</c:v>
                </c:pt>
                <c:pt idx="7">
                  <c:v>1095.9991680000001</c:v>
                </c:pt>
                <c:pt idx="8">
                  <c:v>1088.9146800000001</c:v>
                </c:pt>
                <c:pt idx="9">
                  <c:v>1089.364644</c:v>
                </c:pt>
                <c:pt idx="10">
                  <c:v>1091.2220519999998</c:v>
                </c:pt>
                <c:pt idx="11">
                  <c:v>1098.4076399999999</c:v>
                </c:pt>
                <c:pt idx="12">
                  <c:v>1105.6835329999999</c:v>
                </c:pt>
                <c:pt idx="13">
                  <c:v>1098.472344</c:v>
                </c:pt>
                <c:pt idx="14">
                  <c:v>1072.849336</c:v>
                </c:pt>
                <c:pt idx="15">
                  <c:v>1067.7039070000001</c:v>
                </c:pt>
                <c:pt idx="16">
                  <c:v>1073.492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1101.0791879999999</c:v>
                </c:pt>
                <c:pt idx="1">
                  <c:v>1103.1064270000002</c:v>
                </c:pt>
                <c:pt idx="2">
                  <c:v>1112.9580799999999</c:v>
                </c:pt>
                <c:pt idx="3">
                  <c:v>1123.8095679999999</c:v>
                </c:pt>
                <c:pt idx="4">
                  <c:v>1128.287916</c:v>
                </c:pt>
                <c:pt idx="5">
                  <c:v>1108.0528240000001</c:v>
                </c:pt>
                <c:pt idx="6">
                  <c:v>1087.449576</c:v>
                </c:pt>
                <c:pt idx="7">
                  <c:v>1075.6829050000001</c:v>
                </c:pt>
                <c:pt idx="8">
                  <c:v>1064.5294289999999</c:v>
                </c:pt>
                <c:pt idx="9">
                  <c:v>1067.4988499999999</c:v>
                </c:pt>
                <c:pt idx="10">
                  <c:v>1070.113059</c:v>
                </c:pt>
                <c:pt idx="11">
                  <c:v>1083.0857619999999</c:v>
                </c:pt>
                <c:pt idx="12">
                  <c:v>1090.2839219999998</c:v>
                </c:pt>
                <c:pt idx="13">
                  <c:v>1098.7897600000001</c:v>
                </c:pt>
                <c:pt idx="14">
                  <c:v>1071.454074</c:v>
                </c:pt>
                <c:pt idx="15">
                  <c:v>1066.72137</c:v>
                </c:pt>
                <c:pt idx="16">
                  <c:v>1047.2858550000001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1108.34448</c:v>
                </c:pt>
                <c:pt idx="1">
                  <c:v>1097.5868370000001</c:v>
                </c:pt>
                <c:pt idx="2">
                  <c:v>1100.8448400000002</c:v>
                </c:pt>
                <c:pt idx="3">
                  <c:v>1119.6042239999999</c:v>
                </c:pt>
                <c:pt idx="4">
                  <c:v>1119.168099</c:v>
                </c:pt>
                <c:pt idx="5">
                  <c:v>1092.6377640000001</c:v>
                </c:pt>
                <c:pt idx="6">
                  <c:v>1070.850868</c:v>
                </c:pt>
                <c:pt idx="7">
                  <c:v>1048.4323199999999</c:v>
                </c:pt>
                <c:pt idx="8">
                  <c:v>1036.4384030000001</c:v>
                </c:pt>
                <c:pt idx="9">
                  <c:v>1040.356632</c:v>
                </c:pt>
                <c:pt idx="10">
                  <c:v>1049.6910350000001</c:v>
                </c:pt>
                <c:pt idx="11">
                  <c:v>1065.4202520000001</c:v>
                </c:pt>
                <c:pt idx="12">
                  <c:v>1079.6362589999999</c:v>
                </c:pt>
                <c:pt idx="13">
                  <c:v>1090.567644</c:v>
                </c:pt>
                <c:pt idx="14">
                  <c:v>1070.2531760000002</c:v>
                </c:pt>
                <c:pt idx="15">
                  <c:v>1060.6492169999999</c:v>
                </c:pt>
                <c:pt idx="16">
                  <c:v>1053.0073600000001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1083.1994459999999</c:v>
                </c:pt>
                <c:pt idx="1">
                  <c:v>1094.5428750000001</c:v>
                </c:pt>
                <c:pt idx="2">
                  <c:v>1105.9054549999998</c:v>
                </c:pt>
                <c:pt idx="3">
                  <c:v>1117.8646019999999</c:v>
                </c:pt>
                <c:pt idx="4">
                  <c:v>1108.797094</c:v>
                </c:pt>
                <c:pt idx="5">
                  <c:v>1085.915489</c:v>
                </c:pt>
                <c:pt idx="6">
                  <c:v>1058.447236</c:v>
                </c:pt>
                <c:pt idx="7">
                  <c:v>1035.082048</c:v>
                </c:pt>
                <c:pt idx="8">
                  <c:v>1028.725731</c:v>
                </c:pt>
                <c:pt idx="9">
                  <c:v>1028.6125850000001</c:v>
                </c:pt>
                <c:pt idx="10">
                  <c:v>1039.7372480000001</c:v>
                </c:pt>
                <c:pt idx="11">
                  <c:v>1050.8011230000002</c:v>
                </c:pt>
                <c:pt idx="12">
                  <c:v>1066.5480640000001</c:v>
                </c:pt>
                <c:pt idx="13">
                  <c:v>1085.0487620000001</c:v>
                </c:pt>
                <c:pt idx="14">
                  <c:v>1063.85115</c:v>
                </c:pt>
                <c:pt idx="15">
                  <c:v>1056.21408</c:v>
                </c:pt>
                <c:pt idx="16">
                  <c:v>1030.4847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1076.0844</c:v>
                </c:pt>
                <c:pt idx="1">
                  <c:v>1091.2828889999998</c:v>
                </c:pt>
                <c:pt idx="2">
                  <c:v>1094.403192</c:v>
                </c:pt>
                <c:pt idx="3">
                  <c:v>1113.470004</c:v>
                </c:pt>
                <c:pt idx="4">
                  <c:v>1103.6372490000001</c:v>
                </c:pt>
                <c:pt idx="5">
                  <c:v>1085.21073</c:v>
                </c:pt>
                <c:pt idx="6">
                  <c:v>1062.1675050000001</c:v>
                </c:pt>
                <c:pt idx="7">
                  <c:v>1042.7831759999999</c:v>
                </c:pt>
                <c:pt idx="8">
                  <c:v>1030.855826</c:v>
                </c:pt>
                <c:pt idx="9">
                  <c:v>1035.53208</c:v>
                </c:pt>
                <c:pt idx="10">
                  <c:v>1037.077262</c:v>
                </c:pt>
                <c:pt idx="11">
                  <c:v>1050.7891320000001</c:v>
                </c:pt>
                <c:pt idx="12">
                  <c:v>1069.6875930000001</c:v>
                </c:pt>
                <c:pt idx="13">
                  <c:v>1071.2356199999999</c:v>
                </c:pt>
                <c:pt idx="14">
                  <c:v>1061.63644</c:v>
                </c:pt>
                <c:pt idx="15">
                  <c:v>1040.0965120000001</c:v>
                </c:pt>
                <c:pt idx="16">
                  <c:v>1027.3514460000001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1080.5791260000001</c:v>
                </c:pt>
                <c:pt idx="1">
                  <c:v>1089.3116479999999</c:v>
                </c:pt>
                <c:pt idx="2">
                  <c:v>1085.761778</c:v>
                </c:pt>
                <c:pt idx="3">
                  <c:v>1100.4297749999998</c:v>
                </c:pt>
                <c:pt idx="4">
                  <c:v>1104.6061259999999</c:v>
                </c:pt>
                <c:pt idx="5">
                  <c:v>1084.047724</c:v>
                </c:pt>
                <c:pt idx="6">
                  <c:v>1066.0073120000002</c:v>
                </c:pt>
                <c:pt idx="7">
                  <c:v>1044.9855259999999</c:v>
                </c:pt>
                <c:pt idx="8">
                  <c:v>1043.815454</c:v>
                </c:pt>
                <c:pt idx="9">
                  <c:v>1038.0316439999999</c:v>
                </c:pt>
                <c:pt idx="10">
                  <c:v>1046.3589179999999</c:v>
                </c:pt>
                <c:pt idx="11">
                  <c:v>1051.13617</c:v>
                </c:pt>
                <c:pt idx="12">
                  <c:v>1065.011121</c:v>
                </c:pt>
                <c:pt idx="13">
                  <c:v>1071.2029680000001</c:v>
                </c:pt>
                <c:pt idx="14">
                  <c:v>1043.4153880000001</c:v>
                </c:pt>
                <c:pt idx="15">
                  <c:v>1034.7314389999999</c:v>
                </c:pt>
                <c:pt idx="16">
                  <c:v>1037.1551650000001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1044.7149200000001</c:v>
                </c:pt>
                <c:pt idx="1">
                  <c:v>1081.3289239999999</c:v>
                </c:pt>
                <c:pt idx="2">
                  <c:v>1065.5126719999998</c:v>
                </c:pt>
                <c:pt idx="3">
                  <c:v>1087.6345610000001</c:v>
                </c:pt>
                <c:pt idx="4">
                  <c:v>1094.6978770000001</c:v>
                </c:pt>
                <c:pt idx="5">
                  <c:v>1085.2361799999999</c:v>
                </c:pt>
                <c:pt idx="6">
                  <c:v>1073.1664039999998</c:v>
                </c:pt>
                <c:pt idx="7">
                  <c:v>1057.2463300000002</c:v>
                </c:pt>
                <c:pt idx="8">
                  <c:v>1050.0083979999999</c:v>
                </c:pt>
                <c:pt idx="9">
                  <c:v>1048.298931</c:v>
                </c:pt>
                <c:pt idx="10">
                  <c:v>1048.148563</c:v>
                </c:pt>
                <c:pt idx="11">
                  <c:v>1053.5219400000001</c:v>
                </c:pt>
                <c:pt idx="12">
                  <c:v>1059.339408</c:v>
                </c:pt>
                <c:pt idx="13">
                  <c:v>1049.887643</c:v>
                </c:pt>
                <c:pt idx="14">
                  <c:v>1034.33134</c:v>
                </c:pt>
                <c:pt idx="15">
                  <c:v>1028.657528</c:v>
                </c:pt>
                <c:pt idx="16">
                  <c:v>1033.138725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1054.012637</c:v>
                </c:pt>
                <c:pt idx="1">
                  <c:v>1074.9159440000001</c:v>
                </c:pt>
                <c:pt idx="2">
                  <c:v>1065.6419800000001</c:v>
                </c:pt>
                <c:pt idx="3">
                  <c:v>1065.395749</c:v>
                </c:pt>
                <c:pt idx="4">
                  <c:v>1073.8988100000001</c:v>
                </c:pt>
                <c:pt idx="5">
                  <c:v>1085.7507990000001</c:v>
                </c:pt>
                <c:pt idx="6">
                  <c:v>1074.8764590000001</c:v>
                </c:pt>
                <c:pt idx="7">
                  <c:v>1064.783475</c:v>
                </c:pt>
                <c:pt idx="8">
                  <c:v>1055.6514360000001</c:v>
                </c:pt>
                <c:pt idx="9">
                  <c:v>1054.6559099999999</c:v>
                </c:pt>
                <c:pt idx="10">
                  <c:v>1058.064122</c:v>
                </c:pt>
                <c:pt idx="11">
                  <c:v>1055.542488</c:v>
                </c:pt>
                <c:pt idx="12">
                  <c:v>1050.63654</c:v>
                </c:pt>
                <c:pt idx="13">
                  <c:v>1028.117514</c:v>
                </c:pt>
                <c:pt idx="14">
                  <c:v>1018.7934899999999</c:v>
                </c:pt>
                <c:pt idx="15">
                  <c:v>1021.45345</c:v>
                </c:pt>
                <c:pt idx="16">
                  <c:v>1021.39972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1050.337317</c:v>
                </c:pt>
                <c:pt idx="1">
                  <c:v>1055.199235</c:v>
                </c:pt>
                <c:pt idx="2">
                  <c:v>1064.3913750000002</c:v>
                </c:pt>
                <c:pt idx="3">
                  <c:v>1043.3569120000002</c:v>
                </c:pt>
                <c:pt idx="4">
                  <c:v>1046.8522740000001</c:v>
                </c:pt>
                <c:pt idx="5">
                  <c:v>1060.198881</c:v>
                </c:pt>
                <c:pt idx="6">
                  <c:v>1066.107078</c:v>
                </c:pt>
                <c:pt idx="7">
                  <c:v>1070.46639</c:v>
                </c:pt>
                <c:pt idx="8">
                  <c:v>1060.080348</c:v>
                </c:pt>
                <c:pt idx="9">
                  <c:v>1062.9454499999999</c:v>
                </c:pt>
                <c:pt idx="10">
                  <c:v>1053.583212</c:v>
                </c:pt>
                <c:pt idx="11">
                  <c:v>1045.1285250000001</c:v>
                </c:pt>
                <c:pt idx="12">
                  <c:v>1025.7614760000001</c:v>
                </c:pt>
                <c:pt idx="13">
                  <c:v>1018.41883</c:v>
                </c:pt>
                <c:pt idx="14">
                  <c:v>1019.844459</c:v>
                </c:pt>
                <c:pt idx="15">
                  <c:v>1022.9142979999999</c:v>
                </c:pt>
                <c:pt idx="16">
                  <c:v>1013.4146290000001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1075.9529259999999</c:v>
                </c:pt>
                <c:pt idx="1">
                  <c:v>1040.5808999999999</c:v>
                </c:pt>
                <c:pt idx="2">
                  <c:v>1041.9432320000001</c:v>
                </c:pt>
                <c:pt idx="3">
                  <c:v>1032.1114640000001</c:v>
                </c:pt>
                <c:pt idx="4">
                  <c:v>1034.613345</c:v>
                </c:pt>
                <c:pt idx="5">
                  <c:v>1017.1251199999999</c:v>
                </c:pt>
                <c:pt idx="6">
                  <c:v>1032.1346490000001</c:v>
                </c:pt>
                <c:pt idx="7">
                  <c:v>1031.09032</c:v>
                </c:pt>
                <c:pt idx="8">
                  <c:v>1039.6809929999999</c:v>
                </c:pt>
                <c:pt idx="9">
                  <c:v>1025.4987599999999</c:v>
                </c:pt>
                <c:pt idx="10">
                  <c:v>1020.9453150000001</c:v>
                </c:pt>
                <c:pt idx="11">
                  <c:v>999.89819199999999</c:v>
                </c:pt>
                <c:pt idx="12">
                  <c:v>997.37774400000001</c:v>
                </c:pt>
                <c:pt idx="13">
                  <c:v>1008.0226789999999</c:v>
                </c:pt>
                <c:pt idx="14">
                  <c:v>1022.6527849999999</c:v>
                </c:pt>
                <c:pt idx="15">
                  <c:v>1010.5068</c:v>
                </c:pt>
                <c:pt idx="16">
                  <c:v>999.486312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1161.5872199999999</c:v>
                </c:pt>
                <c:pt idx="1">
                  <c:v>1151.239274</c:v>
                </c:pt>
                <c:pt idx="2">
                  <c:v>1138.1472959999999</c:v>
                </c:pt>
                <c:pt idx="3">
                  <c:v>1170.8553429999999</c:v>
                </c:pt>
                <c:pt idx="4">
                  <c:v>1153.8523810000002</c:v>
                </c:pt>
                <c:pt idx="5">
                  <c:v>1110.3176700000001</c:v>
                </c:pt>
                <c:pt idx="6">
                  <c:v>1142.573519</c:v>
                </c:pt>
                <c:pt idx="7">
                  <c:v>1148.231994</c:v>
                </c:pt>
                <c:pt idx="8">
                  <c:v>1153.1554290000001</c:v>
                </c:pt>
                <c:pt idx="9">
                  <c:v>1144.7163</c:v>
                </c:pt>
                <c:pt idx="10">
                  <c:v>1135.2551799999999</c:v>
                </c:pt>
                <c:pt idx="11">
                  <c:v>1097.0833049999999</c:v>
                </c:pt>
                <c:pt idx="12">
                  <c:v>1131.305989</c:v>
                </c:pt>
                <c:pt idx="13">
                  <c:v>1104.0809840000002</c:v>
                </c:pt>
                <c:pt idx="14">
                  <c:v>1113.780096</c:v>
                </c:pt>
                <c:pt idx="15">
                  <c:v>1111.3006539999999</c:v>
                </c:pt>
                <c:pt idx="16">
                  <c:v>1056.1415999999999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1171.8912319999999</c:v>
                </c:pt>
                <c:pt idx="1">
                  <c:v>1148.531307</c:v>
                </c:pt>
                <c:pt idx="2">
                  <c:v>1157.267386</c:v>
                </c:pt>
                <c:pt idx="3">
                  <c:v>1152.23927</c:v>
                </c:pt>
                <c:pt idx="4">
                  <c:v>1153.156608</c:v>
                </c:pt>
                <c:pt idx="5">
                  <c:v>1167.280896</c:v>
                </c:pt>
                <c:pt idx="6">
                  <c:v>1174.8853160000001</c:v>
                </c:pt>
                <c:pt idx="7">
                  <c:v>1159.770612</c:v>
                </c:pt>
                <c:pt idx="8">
                  <c:v>1157.9986799999999</c:v>
                </c:pt>
                <c:pt idx="9">
                  <c:v>1154.620467</c:v>
                </c:pt>
                <c:pt idx="10">
                  <c:v>1163.4814940000001</c:v>
                </c:pt>
                <c:pt idx="11">
                  <c:v>1152.9809279999999</c:v>
                </c:pt>
                <c:pt idx="12">
                  <c:v>1133.454336</c:v>
                </c:pt>
                <c:pt idx="13">
                  <c:v>1126.82843</c:v>
                </c:pt>
                <c:pt idx="14">
                  <c:v>1128.4211419999999</c:v>
                </c:pt>
                <c:pt idx="15">
                  <c:v>1109.8990759999999</c:v>
                </c:pt>
                <c:pt idx="16">
                  <c:v>1085.9778240000001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1142.8658</c:v>
                </c:pt>
                <c:pt idx="1">
                  <c:v>1149.6757500000001</c:v>
                </c:pt>
                <c:pt idx="2">
                  <c:v>1157.6777240000001</c:v>
                </c:pt>
                <c:pt idx="3">
                  <c:v>1155.5374079999999</c:v>
                </c:pt>
                <c:pt idx="4">
                  <c:v>1161.9575</c:v>
                </c:pt>
                <c:pt idx="5">
                  <c:v>1168.3368719999999</c:v>
                </c:pt>
                <c:pt idx="6">
                  <c:v>1159.8067800000001</c:v>
                </c:pt>
                <c:pt idx="7">
                  <c:v>1156.0665000000001</c:v>
                </c:pt>
                <c:pt idx="8">
                  <c:v>1145.9565600000001</c:v>
                </c:pt>
                <c:pt idx="9">
                  <c:v>1148.4555</c:v>
                </c:pt>
                <c:pt idx="10">
                  <c:v>1142.322075</c:v>
                </c:pt>
                <c:pt idx="11">
                  <c:v>1147.6747440000001</c:v>
                </c:pt>
                <c:pt idx="12">
                  <c:v>1139.6228599999999</c:v>
                </c:pt>
                <c:pt idx="13">
                  <c:v>1129.438208</c:v>
                </c:pt>
                <c:pt idx="14">
                  <c:v>1123.6907639999999</c:v>
                </c:pt>
                <c:pt idx="15">
                  <c:v>1108.514625</c:v>
                </c:pt>
                <c:pt idx="16">
                  <c:v>1063.480634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1183.01926</c:v>
                </c:pt>
                <c:pt idx="1">
                  <c:v>1153.3914520000001</c:v>
                </c:pt>
                <c:pt idx="2">
                  <c:v>1167.1848089999999</c:v>
                </c:pt>
                <c:pt idx="3">
                  <c:v>1172.5956720000001</c:v>
                </c:pt>
                <c:pt idx="4">
                  <c:v>1171.2412080000001</c:v>
                </c:pt>
                <c:pt idx="5">
                  <c:v>1174.3456390000001</c:v>
                </c:pt>
                <c:pt idx="6">
                  <c:v>1153.5524310000001</c:v>
                </c:pt>
                <c:pt idx="7">
                  <c:v>1136.2514450000001</c:v>
                </c:pt>
                <c:pt idx="8">
                  <c:v>1121.4728640000001</c:v>
                </c:pt>
                <c:pt idx="9">
                  <c:v>1126.3012000000001</c:v>
                </c:pt>
                <c:pt idx="10">
                  <c:v>1133.1708390000001</c:v>
                </c:pt>
                <c:pt idx="11">
                  <c:v>1127.490487</c:v>
                </c:pt>
                <c:pt idx="12">
                  <c:v>1143.2210399999999</c:v>
                </c:pt>
                <c:pt idx="13">
                  <c:v>1122.4313090000001</c:v>
                </c:pt>
                <c:pt idx="14">
                  <c:v>1105.4470230000002</c:v>
                </c:pt>
                <c:pt idx="15">
                  <c:v>1109.94829</c:v>
                </c:pt>
                <c:pt idx="16">
                  <c:v>1098.4209619999999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1187.1376719999998</c:v>
                </c:pt>
                <c:pt idx="1">
                  <c:v>1142.9290079999998</c:v>
                </c:pt>
                <c:pt idx="2">
                  <c:v>1145.0439679999999</c:v>
                </c:pt>
                <c:pt idx="3">
                  <c:v>1182.258842</c:v>
                </c:pt>
                <c:pt idx="4">
                  <c:v>1165.9713000000002</c:v>
                </c:pt>
                <c:pt idx="5">
                  <c:v>1158.565515</c:v>
                </c:pt>
                <c:pt idx="6">
                  <c:v>1142.058624</c:v>
                </c:pt>
                <c:pt idx="7">
                  <c:v>1113.0848039999998</c:v>
                </c:pt>
                <c:pt idx="8">
                  <c:v>1109.544785</c:v>
                </c:pt>
                <c:pt idx="9">
                  <c:v>1100.2483679999998</c:v>
                </c:pt>
                <c:pt idx="10">
                  <c:v>1114.0090230000001</c:v>
                </c:pt>
                <c:pt idx="11">
                  <c:v>1125.0282090000001</c:v>
                </c:pt>
                <c:pt idx="12">
                  <c:v>1128.4822200000001</c:v>
                </c:pt>
                <c:pt idx="13">
                  <c:v>1127.2510199999999</c:v>
                </c:pt>
                <c:pt idx="14">
                  <c:v>1109.948416</c:v>
                </c:pt>
                <c:pt idx="15">
                  <c:v>1097.073504</c:v>
                </c:pt>
                <c:pt idx="16">
                  <c:v>1102.912139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1168.6859159999999</c:v>
                </c:pt>
                <c:pt idx="1">
                  <c:v>1156.7815350000001</c:v>
                </c:pt>
                <c:pt idx="2">
                  <c:v>1148.103738</c:v>
                </c:pt>
                <c:pt idx="3">
                  <c:v>1170.1677259999999</c:v>
                </c:pt>
                <c:pt idx="4">
                  <c:v>1167.729</c:v>
                </c:pt>
                <c:pt idx="5">
                  <c:v>1148.484318</c:v>
                </c:pt>
                <c:pt idx="6">
                  <c:v>1121.8847479999999</c:v>
                </c:pt>
                <c:pt idx="7">
                  <c:v>1102.290939</c:v>
                </c:pt>
                <c:pt idx="8">
                  <c:v>1083.356</c:v>
                </c:pt>
                <c:pt idx="9">
                  <c:v>1089.7860229999999</c:v>
                </c:pt>
                <c:pt idx="10">
                  <c:v>1090.7596759999999</c:v>
                </c:pt>
                <c:pt idx="11">
                  <c:v>1094.841553</c:v>
                </c:pt>
                <c:pt idx="12">
                  <c:v>1111.637794</c:v>
                </c:pt>
                <c:pt idx="13">
                  <c:v>1133.1930609999999</c:v>
                </c:pt>
                <c:pt idx="14">
                  <c:v>1111.642752</c:v>
                </c:pt>
                <c:pt idx="15">
                  <c:v>1081.975226</c:v>
                </c:pt>
                <c:pt idx="16">
                  <c:v>1096.330606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1153.7248909999998</c:v>
                </c:pt>
                <c:pt idx="1">
                  <c:v>1141.47579</c:v>
                </c:pt>
                <c:pt idx="2">
                  <c:v>1158.9849179999999</c:v>
                </c:pt>
                <c:pt idx="3">
                  <c:v>1172.0214000000001</c:v>
                </c:pt>
                <c:pt idx="4">
                  <c:v>1161.0258719999999</c:v>
                </c:pt>
                <c:pt idx="5">
                  <c:v>1136.0502719999999</c:v>
                </c:pt>
                <c:pt idx="6">
                  <c:v>1105.3261339999999</c:v>
                </c:pt>
                <c:pt idx="7">
                  <c:v>1086.663</c:v>
                </c:pt>
                <c:pt idx="8">
                  <c:v>1082.5846350000002</c:v>
                </c:pt>
                <c:pt idx="9">
                  <c:v>1077.539</c:v>
                </c:pt>
                <c:pt idx="10">
                  <c:v>1078.8617819999999</c:v>
                </c:pt>
                <c:pt idx="11">
                  <c:v>1099.7769600000001</c:v>
                </c:pt>
                <c:pt idx="12">
                  <c:v>1103.2155</c:v>
                </c:pt>
                <c:pt idx="13">
                  <c:v>1132.2575280000001</c:v>
                </c:pt>
                <c:pt idx="14">
                  <c:v>1121.2044480000002</c:v>
                </c:pt>
                <c:pt idx="15">
                  <c:v>1095.8402000000001</c:v>
                </c:pt>
                <c:pt idx="16">
                  <c:v>1070.9907069999999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1172.9417130000002</c:v>
                </c:pt>
                <c:pt idx="1">
                  <c:v>1122.033058</c:v>
                </c:pt>
                <c:pt idx="2">
                  <c:v>1144.9857120000001</c:v>
                </c:pt>
                <c:pt idx="3">
                  <c:v>1168.3841259999999</c:v>
                </c:pt>
                <c:pt idx="4">
                  <c:v>1147.0994479999999</c:v>
                </c:pt>
                <c:pt idx="5">
                  <c:v>1127.314245</c:v>
                </c:pt>
                <c:pt idx="6">
                  <c:v>1114.650564</c:v>
                </c:pt>
                <c:pt idx="7">
                  <c:v>1085.9760900000001</c:v>
                </c:pt>
                <c:pt idx="8">
                  <c:v>1083.732</c:v>
                </c:pt>
                <c:pt idx="9">
                  <c:v>1078.6088160000002</c:v>
                </c:pt>
                <c:pt idx="10">
                  <c:v>1091.594748</c:v>
                </c:pt>
                <c:pt idx="11">
                  <c:v>1093.3092510000001</c:v>
                </c:pt>
                <c:pt idx="12">
                  <c:v>1108.5369500000002</c:v>
                </c:pt>
                <c:pt idx="13">
                  <c:v>1129.818235</c:v>
                </c:pt>
                <c:pt idx="14">
                  <c:v>1107.9773759999998</c:v>
                </c:pt>
                <c:pt idx="15">
                  <c:v>1077.406567</c:v>
                </c:pt>
                <c:pt idx="16">
                  <c:v>1094.763753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1120.4121</c:v>
                </c:pt>
                <c:pt idx="1">
                  <c:v>1132.625808</c:v>
                </c:pt>
                <c:pt idx="2">
                  <c:v>1136.6676480000001</c:v>
                </c:pt>
                <c:pt idx="3">
                  <c:v>1150.412368</c:v>
                </c:pt>
                <c:pt idx="4">
                  <c:v>1157.5387949999999</c:v>
                </c:pt>
                <c:pt idx="5">
                  <c:v>1132.4524839999999</c:v>
                </c:pt>
                <c:pt idx="6">
                  <c:v>1113.6291249999999</c:v>
                </c:pt>
                <c:pt idx="7">
                  <c:v>1101.6547559999999</c:v>
                </c:pt>
                <c:pt idx="8">
                  <c:v>1089.959006</c:v>
                </c:pt>
                <c:pt idx="9">
                  <c:v>1082.3251229999998</c:v>
                </c:pt>
                <c:pt idx="10">
                  <c:v>1093.0114999999998</c:v>
                </c:pt>
                <c:pt idx="11">
                  <c:v>1103.83708</c:v>
                </c:pt>
                <c:pt idx="12">
                  <c:v>1123.6163100000001</c:v>
                </c:pt>
                <c:pt idx="13">
                  <c:v>1119.860868</c:v>
                </c:pt>
                <c:pt idx="14">
                  <c:v>1101.976064</c:v>
                </c:pt>
                <c:pt idx="15">
                  <c:v>1089.837072</c:v>
                </c:pt>
                <c:pt idx="16">
                  <c:v>1048.433528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1099.6229430000001</c:v>
                </c:pt>
                <c:pt idx="1">
                  <c:v>1138.8073300000001</c:v>
                </c:pt>
                <c:pt idx="2">
                  <c:v>1124.1244349999999</c:v>
                </c:pt>
                <c:pt idx="3">
                  <c:v>1136.582451</c:v>
                </c:pt>
                <c:pt idx="4">
                  <c:v>1156.2685200000001</c:v>
                </c:pt>
                <c:pt idx="5">
                  <c:v>1137.7877149999999</c:v>
                </c:pt>
                <c:pt idx="6">
                  <c:v>1116.984612</c:v>
                </c:pt>
                <c:pt idx="7">
                  <c:v>1101.1070030000001</c:v>
                </c:pt>
                <c:pt idx="8">
                  <c:v>1091.885209</c:v>
                </c:pt>
                <c:pt idx="9">
                  <c:v>1094.5572950000001</c:v>
                </c:pt>
                <c:pt idx="10">
                  <c:v>1101.4005240000001</c:v>
                </c:pt>
                <c:pt idx="11">
                  <c:v>1113.2674589999999</c:v>
                </c:pt>
                <c:pt idx="12">
                  <c:v>1109.998617</c:v>
                </c:pt>
                <c:pt idx="13">
                  <c:v>1108.7614149999999</c:v>
                </c:pt>
                <c:pt idx="14">
                  <c:v>1089.994608</c:v>
                </c:pt>
                <c:pt idx="15">
                  <c:v>1095.0876840000001</c:v>
                </c:pt>
                <c:pt idx="16">
                  <c:v>1035.4631670000001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1107.36653</c:v>
                </c:pt>
                <c:pt idx="1">
                  <c:v>1128.86625</c:v>
                </c:pt>
                <c:pt idx="2">
                  <c:v>1109.6395199999999</c:v>
                </c:pt>
                <c:pt idx="3">
                  <c:v>1109.413</c:v>
                </c:pt>
                <c:pt idx="4">
                  <c:v>1118.6839520000001</c:v>
                </c:pt>
                <c:pt idx="5">
                  <c:v>1126.9536459999999</c:v>
                </c:pt>
                <c:pt idx="6">
                  <c:v>1111.5193319999998</c:v>
                </c:pt>
                <c:pt idx="7">
                  <c:v>1113.79863</c:v>
                </c:pt>
                <c:pt idx="8">
                  <c:v>1105.8892499999999</c:v>
                </c:pt>
                <c:pt idx="9">
                  <c:v>1106.469967</c:v>
                </c:pt>
                <c:pt idx="10">
                  <c:v>1099.499247</c:v>
                </c:pt>
                <c:pt idx="11">
                  <c:v>1109.6546369999999</c:v>
                </c:pt>
                <c:pt idx="12">
                  <c:v>1098.790888</c:v>
                </c:pt>
                <c:pt idx="13">
                  <c:v>1083.9605000000001</c:v>
                </c:pt>
                <c:pt idx="14">
                  <c:v>1076.0912640000001</c:v>
                </c:pt>
                <c:pt idx="15">
                  <c:v>1089.4526249999999</c:v>
                </c:pt>
                <c:pt idx="16">
                  <c:v>1047.0279759999999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1126.021</c:v>
                </c:pt>
                <c:pt idx="1">
                  <c:v>1124.3850970000001</c:v>
                </c:pt>
                <c:pt idx="2">
                  <c:v>1102.0492999999999</c:v>
                </c:pt>
                <c:pt idx="3">
                  <c:v>1097.717674</c:v>
                </c:pt>
                <c:pt idx="4">
                  <c:v>1102.0709999999999</c:v>
                </c:pt>
                <c:pt idx="5">
                  <c:v>1119.9693690000001</c:v>
                </c:pt>
                <c:pt idx="6">
                  <c:v>1123.598084</c:v>
                </c:pt>
                <c:pt idx="7">
                  <c:v>1110.5406249999999</c:v>
                </c:pt>
                <c:pt idx="8">
                  <c:v>1112.764471</c:v>
                </c:pt>
                <c:pt idx="9">
                  <c:v>1105.850625</c:v>
                </c:pt>
                <c:pt idx="10">
                  <c:v>1115.865996</c:v>
                </c:pt>
                <c:pt idx="11">
                  <c:v>1109.195318</c:v>
                </c:pt>
                <c:pt idx="12">
                  <c:v>1085.107</c:v>
                </c:pt>
                <c:pt idx="13">
                  <c:v>1075.1964400000002</c:v>
                </c:pt>
                <c:pt idx="14">
                  <c:v>1072.8642259999999</c:v>
                </c:pt>
                <c:pt idx="15">
                  <c:v>1090.76352</c:v>
                </c:pt>
                <c:pt idx="16">
                  <c:v>1072.265328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1120.7011649999999</c:v>
                </c:pt>
                <c:pt idx="1">
                  <c:v>1091.5444</c:v>
                </c:pt>
                <c:pt idx="2">
                  <c:v>1108.7400170000001</c:v>
                </c:pt>
                <c:pt idx="3">
                  <c:v>1139.2292300000001</c:v>
                </c:pt>
                <c:pt idx="4">
                  <c:v>1122.2248400000001</c:v>
                </c:pt>
                <c:pt idx="5">
                  <c:v>1085.1741999999999</c:v>
                </c:pt>
                <c:pt idx="6">
                  <c:v>1117.3688320000001</c:v>
                </c:pt>
                <c:pt idx="7">
                  <c:v>1121.767392</c:v>
                </c:pt>
                <c:pt idx="8">
                  <c:v>1101.2801099999999</c:v>
                </c:pt>
                <c:pt idx="9">
                  <c:v>1118.2889160000002</c:v>
                </c:pt>
                <c:pt idx="10">
                  <c:v>1075.6955359999999</c:v>
                </c:pt>
                <c:pt idx="11">
                  <c:v>1073.7963440000001</c:v>
                </c:pt>
                <c:pt idx="12">
                  <c:v>1064.725056</c:v>
                </c:pt>
                <c:pt idx="13">
                  <c:v>1075.4498289999999</c:v>
                </c:pt>
                <c:pt idx="14">
                  <c:v>1082.472446</c:v>
                </c:pt>
                <c:pt idx="15">
                  <c:v>1059.95084</c:v>
                </c:pt>
                <c:pt idx="16">
                  <c:v>1060.6272549999999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lux_1_245_cct_2200_2400!$I$2:$Y$2</c:f>
              <c:numCache>
                <c:formatCode>General</c:formatCode>
                <c:ptCount val="17"/>
                <c:pt idx="0">
                  <c:v>920.38900000000001</c:v>
                </c:pt>
                <c:pt idx="1">
                  <c:v>942.84</c:v>
                </c:pt>
                <c:pt idx="2">
                  <c:v>978.57900000000006</c:v>
                </c:pt>
                <c:pt idx="3">
                  <c:v>996.721</c:v>
                </c:pt>
                <c:pt idx="4">
                  <c:v>1037.5440000000001</c:v>
                </c:pt>
                <c:pt idx="5">
                  <c:v>1025.2950000000001</c:v>
                </c:pt>
                <c:pt idx="6">
                  <c:v>1039.6400000000001</c:v>
                </c:pt>
                <c:pt idx="7">
                  <c:v>1075.25</c:v>
                </c:pt>
                <c:pt idx="8">
                  <c:v>1052.192</c:v>
                </c:pt>
                <c:pt idx="9">
                  <c:v>1074.7440000000001</c:v>
                </c:pt>
                <c:pt idx="10">
                  <c:v>1066.1840000000002</c:v>
                </c:pt>
                <c:pt idx="11">
                  <c:v>1061.2030000000002</c:v>
                </c:pt>
                <c:pt idx="12">
                  <c:v>1034.28</c:v>
                </c:pt>
                <c:pt idx="13">
                  <c:v>997.08199999999999</c:v>
                </c:pt>
                <c:pt idx="14">
                  <c:v>984.9190000000001</c:v>
                </c:pt>
                <c:pt idx="15">
                  <c:v>943.11</c:v>
                </c:pt>
                <c:pt idx="16">
                  <c:v>912.50200000000007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5-4061-83AC-141D3AF6D0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lux_1_245_cct_2200_2400!$I$3:$Y$3</c:f>
              <c:numCache>
                <c:formatCode>General</c:formatCode>
                <c:ptCount val="17"/>
                <c:pt idx="0">
                  <c:v>990.9</c:v>
                </c:pt>
                <c:pt idx="1">
                  <c:v>1008.3770000000001</c:v>
                </c:pt>
                <c:pt idx="2">
                  <c:v>1009.59</c:v>
                </c:pt>
                <c:pt idx="3">
                  <c:v>1054.116</c:v>
                </c:pt>
                <c:pt idx="4">
                  <c:v>1063.6099999999999</c:v>
                </c:pt>
                <c:pt idx="5">
                  <c:v>1095.5590000000002</c:v>
                </c:pt>
                <c:pt idx="6">
                  <c:v>1084.5720000000001</c:v>
                </c:pt>
                <c:pt idx="7">
                  <c:v>1099.2</c:v>
                </c:pt>
                <c:pt idx="8">
                  <c:v>1101.633</c:v>
                </c:pt>
                <c:pt idx="9">
                  <c:v>1098</c:v>
                </c:pt>
                <c:pt idx="10">
                  <c:v>1107.0719999999999</c:v>
                </c:pt>
                <c:pt idx="11">
                  <c:v>1094.501</c:v>
                </c:pt>
                <c:pt idx="12">
                  <c:v>1065.49</c:v>
                </c:pt>
                <c:pt idx="13">
                  <c:v>1057.077</c:v>
                </c:pt>
                <c:pt idx="14">
                  <c:v>1016.89</c:v>
                </c:pt>
                <c:pt idx="15">
                  <c:v>1010.596</c:v>
                </c:pt>
                <c:pt idx="16">
                  <c:v>923.1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5-4061-83AC-141D3AF6D0F6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lux_1_245_cct_2200_2400!$I$4:$Y$4</c:f>
              <c:numCache>
                <c:formatCode>General</c:formatCode>
                <c:ptCount val="17"/>
                <c:pt idx="0">
                  <c:v>983.96999999999991</c:v>
                </c:pt>
                <c:pt idx="1">
                  <c:v>1019.4639999999999</c:v>
                </c:pt>
                <c:pt idx="2">
                  <c:v>1041.124</c:v>
                </c:pt>
                <c:pt idx="3">
                  <c:v>1057.5</c:v>
                </c:pt>
                <c:pt idx="4">
                  <c:v>1083.623</c:v>
                </c:pt>
                <c:pt idx="5">
                  <c:v>1099.8</c:v>
                </c:pt>
                <c:pt idx="6">
                  <c:v>1101.48</c:v>
                </c:pt>
                <c:pt idx="7">
                  <c:v>1092.8879999999999</c:v>
                </c:pt>
                <c:pt idx="8">
                  <c:v>1089.1229999999998</c:v>
                </c:pt>
                <c:pt idx="9">
                  <c:v>1095.712</c:v>
                </c:pt>
                <c:pt idx="10">
                  <c:v>1108.1799999999998</c:v>
                </c:pt>
                <c:pt idx="11">
                  <c:v>1105.9100000000001</c:v>
                </c:pt>
                <c:pt idx="12">
                  <c:v>1089.5739999999998</c:v>
                </c:pt>
                <c:pt idx="13">
                  <c:v>1064.55</c:v>
                </c:pt>
                <c:pt idx="14">
                  <c:v>1046.8920000000001</c:v>
                </c:pt>
                <c:pt idx="15">
                  <c:v>1018.758</c:v>
                </c:pt>
                <c:pt idx="16">
                  <c:v>971.21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95-4061-83AC-141D3AF6D0F6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lux_1_245_cct_2200_2400!$I$5:$Y$5</c:f>
              <c:numCache>
                <c:formatCode>General</c:formatCode>
                <c:ptCount val="17"/>
                <c:pt idx="0">
                  <c:v>980.93600000000004</c:v>
                </c:pt>
                <c:pt idx="1">
                  <c:v>1013.3199999999999</c:v>
                </c:pt>
                <c:pt idx="2">
                  <c:v>1053.1319999999998</c:v>
                </c:pt>
                <c:pt idx="3">
                  <c:v>1087.624</c:v>
                </c:pt>
                <c:pt idx="4">
                  <c:v>1096.7449999999999</c:v>
                </c:pt>
                <c:pt idx="5">
                  <c:v>1095.1320000000001</c:v>
                </c:pt>
                <c:pt idx="6">
                  <c:v>1083.3519999999999</c:v>
                </c:pt>
                <c:pt idx="7">
                  <c:v>1074.575</c:v>
                </c:pt>
                <c:pt idx="8">
                  <c:v>1083.83</c:v>
                </c:pt>
                <c:pt idx="9">
                  <c:v>1080.252</c:v>
                </c:pt>
                <c:pt idx="10">
                  <c:v>1093.2840000000001</c:v>
                </c:pt>
                <c:pt idx="11">
                  <c:v>1105.5419999999999</c:v>
                </c:pt>
                <c:pt idx="12">
                  <c:v>1105.9100000000001</c:v>
                </c:pt>
                <c:pt idx="13">
                  <c:v>1095.5590000000002</c:v>
                </c:pt>
                <c:pt idx="14">
                  <c:v>1057.1550000000002</c:v>
                </c:pt>
                <c:pt idx="15">
                  <c:v>1010.3119999999999</c:v>
                </c:pt>
                <c:pt idx="16">
                  <c:v>965.86400000000003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95-4061-83AC-141D3AF6D0F6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lux_1_245_cct_2200_2400!$I$6:$Y$6</c:f>
              <c:numCache>
                <c:formatCode>General</c:formatCode>
                <c:ptCount val="17"/>
                <c:pt idx="0">
                  <c:v>975.35699999999997</c:v>
                </c:pt>
                <c:pt idx="1">
                  <c:v>1051.0120000000002</c:v>
                </c:pt>
                <c:pt idx="2">
                  <c:v>1067.1479999999999</c:v>
                </c:pt>
                <c:pt idx="3">
                  <c:v>1099.5840000000001</c:v>
                </c:pt>
                <c:pt idx="4">
                  <c:v>1096.79</c:v>
                </c:pt>
                <c:pt idx="5">
                  <c:v>1081.06</c:v>
                </c:pt>
                <c:pt idx="6">
                  <c:v>1069.761</c:v>
                </c:pt>
                <c:pt idx="7">
                  <c:v>1062.47</c:v>
                </c:pt>
                <c:pt idx="8">
                  <c:v>1062.7759999999998</c:v>
                </c:pt>
                <c:pt idx="9">
                  <c:v>1065.1849999999999</c:v>
                </c:pt>
                <c:pt idx="10">
                  <c:v>1074.8429999999998</c:v>
                </c:pt>
                <c:pt idx="11">
                  <c:v>1085.644</c:v>
                </c:pt>
                <c:pt idx="12">
                  <c:v>1100.81</c:v>
                </c:pt>
                <c:pt idx="13">
                  <c:v>1104.768</c:v>
                </c:pt>
                <c:pt idx="14">
                  <c:v>1073.414</c:v>
                </c:pt>
                <c:pt idx="15">
                  <c:v>1023.1999999999999</c:v>
                </c:pt>
                <c:pt idx="16">
                  <c:v>981.68099999999993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95-4061-83AC-141D3AF6D0F6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lux_1_245_cct_2200_2400!$I$7:$Y$7</c:f>
              <c:numCache>
                <c:formatCode>General</c:formatCode>
                <c:ptCount val="17"/>
                <c:pt idx="0">
                  <c:v>980.1450000000001</c:v>
                </c:pt>
                <c:pt idx="1">
                  <c:v>1041.8489999999999</c:v>
                </c:pt>
                <c:pt idx="2">
                  <c:v>1070.19</c:v>
                </c:pt>
                <c:pt idx="3">
                  <c:v>1083</c:v>
                </c:pt>
                <c:pt idx="4">
                  <c:v>1080.18</c:v>
                </c:pt>
                <c:pt idx="5">
                  <c:v>1068.087</c:v>
                </c:pt>
                <c:pt idx="6">
                  <c:v>1058.8499999999999</c:v>
                </c:pt>
                <c:pt idx="7">
                  <c:v>1037.2640000000001</c:v>
                </c:pt>
                <c:pt idx="8">
                  <c:v>1029.4960000000001</c:v>
                </c:pt>
                <c:pt idx="9">
                  <c:v>1052.1280000000002</c:v>
                </c:pt>
                <c:pt idx="10">
                  <c:v>1061.5650000000001</c:v>
                </c:pt>
                <c:pt idx="11">
                  <c:v>1068.087</c:v>
                </c:pt>
                <c:pt idx="12">
                  <c:v>1080.886</c:v>
                </c:pt>
                <c:pt idx="13">
                  <c:v>1087.2</c:v>
                </c:pt>
                <c:pt idx="14">
                  <c:v>1078.2859999999998</c:v>
                </c:pt>
                <c:pt idx="15">
                  <c:v>1047.771</c:v>
                </c:pt>
                <c:pt idx="16">
                  <c:v>977.3850000000001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95-4061-83AC-141D3AF6D0F6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lux_1_245_cct_2200_2400!$I$8:$Y$8</c:f>
              <c:numCache>
                <c:formatCode>General</c:formatCode>
                <c:ptCount val="17"/>
                <c:pt idx="0">
                  <c:v>1006.383</c:v>
                </c:pt>
                <c:pt idx="1">
                  <c:v>1059.6600000000001</c:v>
                </c:pt>
                <c:pt idx="2">
                  <c:v>1075.877</c:v>
                </c:pt>
                <c:pt idx="3">
                  <c:v>1077.8040000000001</c:v>
                </c:pt>
                <c:pt idx="4">
                  <c:v>1081.836</c:v>
                </c:pt>
                <c:pt idx="5">
                  <c:v>1062.9549999999999</c:v>
                </c:pt>
                <c:pt idx="6">
                  <c:v>1046.9829999999999</c:v>
                </c:pt>
                <c:pt idx="7">
                  <c:v>1031.9669999999999</c:v>
                </c:pt>
                <c:pt idx="8">
                  <c:v>1027.0920000000001</c:v>
                </c:pt>
                <c:pt idx="9">
                  <c:v>1035.963</c:v>
                </c:pt>
                <c:pt idx="10">
                  <c:v>1068.0350000000001</c:v>
                </c:pt>
                <c:pt idx="11">
                  <c:v>1068.8</c:v>
                </c:pt>
                <c:pt idx="12">
                  <c:v>1087.6679999999999</c:v>
                </c:pt>
                <c:pt idx="13">
                  <c:v>1084.5249999999999</c:v>
                </c:pt>
                <c:pt idx="14">
                  <c:v>1081.047</c:v>
                </c:pt>
                <c:pt idx="15">
                  <c:v>1031.2740000000001</c:v>
                </c:pt>
                <c:pt idx="16">
                  <c:v>1008.273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95-4061-83AC-141D3AF6D0F6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lux_1_245_cct_2200_2400!$I$9:$Y$9</c:f>
              <c:numCache>
                <c:formatCode>General</c:formatCode>
                <c:ptCount val="17"/>
                <c:pt idx="0">
                  <c:v>982.21500000000003</c:v>
                </c:pt>
                <c:pt idx="1">
                  <c:v>1041.4260000000002</c:v>
                </c:pt>
                <c:pt idx="2">
                  <c:v>1065.1299999999999</c:v>
                </c:pt>
                <c:pt idx="3">
                  <c:v>1093.079</c:v>
                </c:pt>
                <c:pt idx="4">
                  <c:v>1082.67</c:v>
                </c:pt>
                <c:pt idx="5">
                  <c:v>1068.2540000000001</c:v>
                </c:pt>
                <c:pt idx="6">
                  <c:v>1055.4670000000001</c:v>
                </c:pt>
                <c:pt idx="7">
                  <c:v>1032.6079999999999</c:v>
                </c:pt>
                <c:pt idx="8">
                  <c:v>1027.971</c:v>
                </c:pt>
                <c:pt idx="9">
                  <c:v>1041.3920000000001</c:v>
                </c:pt>
                <c:pt idx="10">
                  <c:v>1067.3879999999999</c:v>
                </c:pt>
                <c:pt idx="11">
                  <c:v>1078.1300000000001</c:v>
                </c:pt>
                <c:pt idx="12">
                  <c:v>1094.1420000000001</c:v>
                </c:pt>
                <c:pt idx="13">
                  <c:v>1083</c:v>
                </c:pt>
                <c:pt idx="14">
                  <c:v>1071.7079999999999</c:v>
                </c:pt>
                <c:pt idx="15">
                  <c:v>1038.8879999999999</c:v>
                </c:pt>
                <c:pt idx="16">
                  <c:v>967.38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95-4061-83AC-141D3AF6D0F6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lux_1_245_cct_2200_2400!$I$10:$Y$10</c:f>
              <c:numCache>
                <c:formatCode>General</c:formatCode>
                <c:ptCount val="17"/>
                <c:pt idx="0">
                  <c:v>976.35599999999999</c:v>
                </c:pt>
                <c:pt idx="1">
                  <c:v>1049.7760000000001</c:v>
                </c:pt>
                <c:pt idx="2">
                  <c:v>1061.846</c:v>
                </c:pt>
                <c:pt idx="3">
                  <c:v>1089.2159999999999</c:v>
                </c:pt>
                <c:pt idx="4">
                  <c:v>1082.05</c:v>
                </c:pt>
                <c:pt idx="5">
                  <c:v>1080.9680000000001</c:v>
                </c:pt>
                <c:pt idx="6">
                  <c:v>1067.3520000000001</c:v>
                </c:pt>
                <c:pt idx="7">
                  <c:v>1057.3009999999999</c:v>
                </c:pt>
                <c:pt idx="8">
                  <c:v>1055.8020000000001</c:v>
                </c:pt>
                <c:pt idx="9">
                  <c:v>1060.0519999999999</c:v>
                </c:pt>
                <c:pt idx="10">
                  <c:v>1072.5</c:v>
                </c:pt>
                <c:pt idx="11">
                  <c:v>1087.952</c:v>
                </c:pt>
                <c:pt idx="12">
                  <c:v>1090.0899999999999</c:v>
                </c:pt>
                <c:pt idx="13">
                  <c:v>1097.28</c:v>
                </c:pt>
                <c:pt idx="14">
                  <c:v>1067.1479999999999</c:v>
                </c:pt>
                <c:pt idx="15">
                  <c:v>1048.952</c:v>
                </c:pt>
                <c:pt idx="16">
                  <c:v>966.0329999999999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95-4061-83AC-141D3AF6D0F6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lux_1_245_cct_2200_2400!$I$11:$Y$11</c:f>
              <c:numCache>
                <c:formatCode>General</c:formatCode>
                <c:ptCount val="17"/>
                <c:pt idx="0">
                  <c:v>1001.3249999999999</c:v>
                </c:pt>
                <c:pt idx="1">
                  <c:v>1035.96</c:v>
                </c:pt>
                <c:pt idx="2">
                  <c:v>1043.298</c:v>
                </c:pt>
                <c:pt idx="3">
                  <c:v>1077.5729999999999</c:v>
                </c:pt>
                <c:pt idx="4">
                  <c:v>1083.914</c:v>
                </c:pt>
                <c:pt idx="5">
                  <c:v>1078.4760000000001</c:v>
                </c:pt>
                <c:pt idx="6">
                  <c:v>1080.192</c:v>
                </c:pt>
                <c:pt idx="7">
                  <c:v>1066.6079999999999</c:v>
                </c:pt>
                <c:pt idx="8">
                  <c:v>1055.44</c:v>
                </c:pt>
                <c:pt idx="9">
                  <c:v>1066.6079999999999</c:v>
                </c:pt>
                <c:pt idx="10">
                  <c:v>1061.1959999999999</c:v>
                </c:pt>
                <c:pt idx="11">
                  <c:v>1075.7</c:v>
                </c:pt>
                <c:pt idx="12">
                  <c:v>1082.692</c:v>
                </c:pt>
                <c:pt idx="13">
                  <c:v>1080.2179999999998</c:v>
                </c:pt>
                <c:pt idx="14">
                  <c:v>1048.662</c:v>
                </c:pt>
                <c:pt idx="15">
                  <c:v>1039.0640000000001</c:v>
                </c:pt>
                <c:pt idx="16">
                  <c:v>953.56000000000006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995-4061-83AC-141D3AF6D0F6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lux_1_245_cct_2200_2400!$I$12:$Y$12</c:f>
              <c:numCache>
                <c:formatCode>General</c:formatCode>
                <c:ptCount val="17"/>
                <c:pt idx="0">
                  <c:v>972.66000000000008</c:v>
                </c:pt>
                <c:pt idx="1">
                  <c:v>1011.6980000000001</c:v>
                </c:pt>
                <c:pt idx="2">
                  <c:v>1035.356</c:v>
                </c:pt>
                <c:pt idx="3">
                  <c:v>1074.3780000000002</c:v>
                </c:pt>
                <c:pt idx="4">
                  <c:v>1070.098</c:v>
                </c:pt>
                <c:pt idx="5">
                  <c:v>1082.0809999999999</c:v>
                </c:pt>
                <c:pt idx="6">
                  <c:v>1079.3699999999999</c:v>
                </c:pt>
                <c:pt idx="7">
                  <c:v>1084.104</c:v>
                </c:pt>
                <c:pt idx="8">
                  <c:v>1077.462</c:v>
                </c:pt>
                <c:pt idx="9">
                  <c:v>1081.953</c:v>
                </c:pt>
                <c:pt idx="10">
                  <c:v>1078.7</c:v>
                </c:pt>
                <c:pt idx="11">
                  <c:v>1080.8589999999999</c:v>
                </c:pt>
                <c:pt idx="12">
                  <c:v>1068.4750000000001</c:v>
                </c:pt>
                <c:pt idx="13">
                  <c:v>1049.51</c:v>
                </c:pt>
                <c:pt idx="14">
                  <c:v>1037.0039999999999</c:v>
                </c:pt>
                <c:pt idx="15">
                  <c:v>1012.404</c:v>
                </c:pt>
                <c:pt idx="16">
                  <c:v>965.99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95-4061-83AC-141D3AF6D0F6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lux_1_245_cct_2200_2400!$I$13:$Y$13</c:f>
              <c:numCache>
                <c:formatCode>General</c:formatCode>
                <c:ptCount val="17"/>
                <c:pt idx="0">
                  <c:v>987.93</c:v>
                </c:pt>
                <c:pt idx="1">
                  <c:v>1001.72</c:v>
                </c:pt>
                <c:pt idx="2">
                  <c:v>1003.0200000000001</c:v>
                </c:pt>
                <c:pt idx="3">
                  <c:v>1044.8100000000002</c:v>
                </c:pt>
                <c:pt idx="4">
                  <c:v>1074.3780000000002</c:v>
                </c:pt>
                <c:pt idx="5">
                  <c:v>1073.3409999999999</c:v>
                </c:pt>
                <c:pt idx="6">
                  <c:v>1083.4559999999999</c:v>
                </c:pt>
                <c:pt idx="7">
                  <c:v>1093.69</c:v>
                </c:pt>
                <c:pt idx="8">
                  <c:v>1077.193</c:v>
                </c:pt>
                <c:pt idx="9">
                  <c:v>1097.356</c:v>
                </c:pt>
                <c:pt idx="10">
                  <c:v>1090.3679999999999</c:v>
                </c:pt>
                <c:pt idx="11">
                  <c:v>1079.6889999999999</c:v>
                </c:pt>
                <c:pt idx="12">
                  <c:v>1078.2340000000002</c:v>
                </c:pt>
                <c:pt idx="13">
                  <c:v>1045.2329999999999</c:v>
                </c:pt>
                <c:pt idx="14">
                  <c:v>1002.29</c:v>
                </c:pt>
                <c:pt idx="15">
                  <c:v>996.3309999999999</c:v>
                </c:pt>
                <c:pt idx="16">
                  <c:v>969.84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995-4061-83AC-141D3AF6D0F6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lux_1_245_cct_2200_2400!$I$14:$Y$14</c:f>
              <c:numCache>
                <c:formatCode>General</c:formatCode>
                <c:ptCount val="17"/>
                <c:pt idx="0">
                  <c:v>995.26499999999999</c:v>
                </c:pt>
                <c:pt idx="1">
                  <c:v>1004.718</c:v>
                </c:pt>
                <c:pt idx="2">
                  <c:v>976.36</c:v>
                </c:pt>
                <c:pt idx="3">
                  <c:v>992.75</c:v>
                </c:pt>
                <c:pt idx="4">
                  <c:v>1020.908</c:v>
                </c:pt>
                <c:pt idx="5">
                  <c:v>1052.183</c:v>
                </c:pt>
                <c:pt idx="6">
                  <c:v>1054.134</c:v>
                </c:pt>
                <c:pt idx="7">
                  <c:v>1055.7060000000001</c:v>
                </c:pt>
                <c:pt idx="8">
                  <c:v>1075.877</c:v>
                </c:pt>
                <c:pt idx="9">
                  <c:v>1061.2279999999998</c:v>
                </c:pt>
                <c:pt idx="10">
                  <c:v>1067.6299999999999</c:v>
                </c:pt>
                <c:pt idx="11">
                  <c:v>1064.8110000000001</c:v>
                </c:pt>
                <c:pt idx="12">
                  <c:v>1026.5640000000001</c:v>
                </c:pt>
                <c:pt idx="13">
                  <c:v>995.99899999999991</c:v>
                </c:pt>
                <c:pt idx="14">
                  <c:v>973.82400000000007</c:v>
                </c:pt>
                <c:pt idx="15">
                  <c:v>988.41599999999994</c:v>
                </c:pt>
                <c:pt idx="16">
                  <c:v>965.17500000000007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995-4061-83AC-141D3AF6D0F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lux_1_245_cct_2200_2400!$I$16:$Y$16</c:f>
              <c:numCache>
                <c:formatCode>General</c:formatCode>
                <c:ptCount val="17"/>
                <c:pt idx="0">
                  <c:v>912.91200000000003</c:v>
                </c:pt>
                <c:pt idx="1">
                  <c:v>930.59999999999991</c:v>
                </c:pt>
                <c:pt idx="2">
                  <c:v>951.78</c:v>
                </c:pt>
                <c:pt idx="3">
                  <c:v>968.6160000000001</c:v>
                </c:pt>
                <c:pt idx="4">
                  <c:v>985.87199999999996</c:v>
                </c:pt>
                <c:pt idx="5">
                  <c:v>1001.7</c:v>
                </c:pt>
                <c:pt idx="6">
                  <c:v>1004.874</c:v>
                </c:pt>
                <c:pt idx="7">
                  <c:v>1022.92</c:v>
                </c:pt>
                <c:pt idx="8">
                  <c:v>1016.8199999999999</c:v>
                </c:pt>
                <c:pt idx="9">
                  <c:v>1023.455</c:v>
                </c:pt>
                <c:pt idx="10">
                  <c:v>1021.3180000000001</c:v>
                </c:pt>
                <c:pt idx="11">
                  <c:v>1005.0390000000001</c:v>
                </c:pt>
                <c:pt idx="12">
                  <c:v>988.93099999999993</c:v>
                </c:pt>
                <c:pt idx="13">
                  <c:v>974.16</c:v>
                </c:pt>
                <c:pt idx="14">
                  <c:v>962.91599999999994</c:v>
                </c:pt>
                <c:pt idx="15">
                  <c:v>939.3</c:v>
                </c:pt>
                <c:pt idx="16">
                  <c:v>915.81599999999992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E-438C-AA90-D5AD2EEB66F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lux_1_245_cct_2200_2400!$I$17:$Y$17</c:f>
              <c:numCache>
                <c:formatCode>General</c:formatCode>
                <c:ptCount val="17"/>
                <c:pt idx="0">
                  <c:v>935.22</c:v>
                </c:pt>
                <c:pt idx="1">
                  <c:v>952.02500000000009</c:v>
                </c:pt>
                <c:pt idx="2">
                  <c:v>967.56600000000003</c:v>
                </c:pt>
                <c:pt idx="3">
                  <c:v>995.904</c:v>
                </c:pt>
                <c:pt idx="4">
                  <c:v>1021.5930000000001</c:v>
                </c:pt>
                <c:pt idx="5">
                  <c:v>1048.125</c:v>
                </c:pt>
                <c:pt idx="6">
                  <c:v>1060.0740000000001</c:v>
                </c:pt>
                <c:pt idx="7">
                  <c:v>1062.81</c:v>
                </c:pt>
                <c:pt idx="8">
                  <c:v>1065.9829999999999</c:v>
                </c:pt>
                <c:pt idx="9">
                  <c:v>1062.81</c:v>
                </c:pt>
                <c:pt idx="10">
                  <c:v>1063.0889999999999</c:v>
                </c:pt>
                <c:pt idx="11">
                  <c:v>1053.1559999999999</c:v>
                </c:pt>
                <c:pt idx="12">
                  <c:v>1029.6410000000001</c:v>
                </c:pt>
                <c:pt idx="13">
                  <c:v>1005.3120000000001</c:v>
                </c:pt>
                <c:pt idx="14">
                  <c:v>980.53500000000008</c:v>
                </c:pt>
                <c:pt idx="15">
                  <c:v>963.48299999999995</c:v>
                </c:pt>
                <c:pt idx="16">
                  <c:v>936.65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2E-438C-AA90-D5AD2EEB66F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lux_1_245_cct_2200_2400!$I$18:$Y$18</c:f>
              <c:numCache>
                <c:formatCode>General</c:formatCode>
                <c:ptCount val="17"/>
                <c:pt idx="0">
                  <c:v>955.755</c:v>
                </c:pt>
                <c:pt idx="1">
                  <c:v>965.94399999999996</c:v>
                </c:pt>
                <c:pt idx="2">
                  <c:v>997.59400000000005</c:v>
                </c:pt>
                <c:pt idx="3">
                  <c:v>1030.2160000000001</c:v>
                </c:pt>
                <c:pt idx="4">
                  <c:v>1047.6500000000001</c:v>
                </c:pt>
                <c:pt idx="5">
                  <c:v>1063.4190000000001</c:v>
                </c:pt>
                <c:pt idx="6">
                  <c:v>1069.1980000000001</c:v>
                </c:pt>
                <c:pt idx="7">
                  <c:v>1073.0999999999999</c:v>
                </c:pt>
                <c:pt idx="8">
                  <c:v>1081.376</c:v>
                </c:pt>
                <c:pt idx="9">
                  <c:v>1078.2450000000001</c:v>
                </c:pt>
                <c:pt idx="10">
                  <c:v>1080.3500000000001</c:v>
                </c:pt>
                <c:pt idx="11">
                  <c:v>1074.9570000000001</c:v>
                </c:pt>
                <c:pt idx="12">
                  <c:v>1060.3</c:v>
                </c:pt>
                <c:pt idx="13">
                  <c:v>1031.1499999999999</c:v>
                </c:pt>
                <c:pt idx="14">
                  <c:v>998.98199999999997</c:v>
                </c:pt>
                <c:pt idx="15">
                  <c:v>975.72</c:v>
                </c:pt>
                <c:pt idx="16">
                  <c:v>958.29100000000005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2E-438C-AA90-D5AD2EEB66F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lux_1_245_cct_2200_2400!$I$19:$Y$19</c:f>
              <c:numCache>
                <c:formatCode>General</c:formatCode>
                <c:ptCount val="17"/>
                <c:pt idx="0">
                  <c:v>951.82499999999993</c:v>
                </c:pt>
                <c:pt idx="1">
                  <c:v>981.19100000000003</c:v>
                </c:pt>
                <c:pt idx="2">
                  <c:v>1014.91</c:v>
                </c:pt>
                <c:pt idx="3">
                  <c:v>1042.5350000000001</c:v>
                </c:pt>
                <c:pt idx="4">
                  <c:v>1060.855</c:v>
                </c:pt>
                <c:pt idx="5">
                  <c:v>1070.0719999999999</c:v>
                </c:pt>
                <c:pt idx="6">
                  <c:v>1073.8040000000001</c:v>
                </c:pt>
                <c:pt idx="7">
                  <c:v>1073.9569999999999</c:v>
                </c:pt>
                <c:pt idx="8">
                  <c:v>1078.106</c:v>
                </c:pt>
                <c:pt idx="9">
                  <c:v>1081.5260000000001</c:v>
                </c:pt>
                <c:pt idx="10">
                  <c:v>1088.9280000000001</c:v>
                </c:pt>
                <c:pt idx="11">
                  <c:v>1086.7239999999999</c:v>
                </c:pt>
                <c:pt idx="12">
                  <c:v>1076.239</c:v>
                </c:pt>
                <c:pt idx="13">
                  <c:v>1057.069</c:v>
                </c:pt>
                <c:pt idx="14">
                  <c:v>1026.9349999999999</c:v>
                </c:pt>
                <c:pt idx="15">
                  <c:v>988.55299999999988</c:v>
                </c:pt>
                <c:pt idx="16">
                  <c:v>953.197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2E-438C-AA90-D5AD2EEB66F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lux_1_245_cct_2200_2400!$I$20:$Y$20</c:f>
              <c:numCache>
                <c:formatCode>General</c:formatCode>
                <c:ptCount val="17"/>
                <c:pt idx="0">
                  <c:v>944.16300000000001</c:v>
                </c:pt>
                <c:pt idx="1">
                  <c:v>992.86399999999992</c:v>
                </c:pt>
                <c:pt idx="2">
                  <c:v>1023.888</c:v>
                </c:pt>
                <c:pt idx="3">
                  <c:v>1061.568</c:v>
                </c:pt>
                <c:pt idx="4">
                  <c:v>1071.252</c:v>
                </c:pt>
                <c:pt idx="5">
                  <c:v>1070.6199999999999</c:v>
                </c:pt>
                <c:pt idx="6">
                  <c:v>1066.28</c:v>
                </c:pt>
                <c:pt idx="7">
                  <c:v>1060.527</c:v>
                </c:pt>
                <c:pt idx="8">
                  <c:v>1060.32</c:v>
                </c:pt>
                <c:pt idx="9">
                  <c:v>1066.0650000000001</c:v>
                </c:pt>
                <c:pt idx="10">
                  <c:v>1075.894</c:v>
                </c:pt>
                <c:pt idx="11">
                  <c:v>1080.9680000000001</c:v>
                </c:pt>
                <c:pt idx="12">
                  <c:v>1083.1859999999999</c:v>
                </c:pt>
                <c:pt idx="13">
                  <c:v>1064.8979999999999</c:v>
                </c:pt>
                <c:pt idx="14">
                  <c:v>1038.28</c:v>
                </c:pt>
                <c:pt idx="15">
                  <c:v>1006.4109999999999</c:v>
                </c:pt>
                <c:pt idx="16">
                  <c:v>953.23799999999994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2E-438C-AA90-D5AD2EEB66F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lux_1_245_cct_2200_2400!$I$21:$Y$21</c:f>
              <c:numCache>
                <c:formatCode>General</c:formatCode>
                <c:ptCount val="17"/>
                <c:pt idx="0">
                  <c:v>937.81200000000001</c:v>
                </c:pt>
                <c:pt idx="1">
                  <c:v>995.24099999999999</c:v>
                </c:pt>
                <c:pt idx="2">
                  <c:v>1024.296</c:v>
                </c:pt>
                <c:pt idx="3">
                  <c:v>1057.0319999999999</c:v>
                </c:pt>
                <c:pt idx="4">
                  <c:v>1075.68</c:v>
                </c:pt>
                <c:pt idx="5">
                  <c:v>1071.0360000000001</c:v>
                </c:pt>
                <c:pt idx="6">
                  <c:v>1062.7759999999998</c:v>
                </c:pt>
                <c:pt idx="7">
                  <c:v>1041.6559999999999</c:v>
                </c:pt>
                <c:pt idx="8">
                  <c:v>1030.82</c:v>
                </c:pt>
                <c:pt idx="9">
                  <c:v>1045.5720000000001</c:v>
                </c:pt>
                <c:pt idx="10">
                  <c:v>1069.279</c:v>
                </c:pt>
                <c:pt idx="11">
                  <c:v>1077.8040000000001</c:v>
                </c:pt>
                <c:pt idx="12">
                  <c:v>1075.191</c:v>
                </c:pt>
                <c:pt idx="13">
                  <c:v>1068.48</c:v>
                </c:pt>
                <c:pt idx="14">
                  <c:v>1039.3040000000001</c:v>
                </c:pt>
                <c:pt idx="15">
                  <c:v>1010.6429999999999</c:v>
                </c:pt>
                <c:pt idx="16">
                  <c:v>969.38000000000011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2E-438C-AA90-D5AD2EEB66F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lux_1_245_cct_2200_2400!$I$22:$Y$22</c:f>
              <c:numCache>
                <c:formatCode>General</c:formatCode>
                <c:ptCount val="17"/>
                <c:pt idx="0">
                  <c:v>945</c:v>
                </c:pt>
                <c:pt idx="1">
                  <c:v>997.86599999999999</c:v>
                </c:pt>
                <c:pt idx="2">
                  <c:v>1030.548</c:v>
                </c:pt>
                <c:pt idx="3">
                  <c:v>1063.7370000000001</c:v>
                </c:pt>
                <c:pt idx="4">
                  <c:v>1063.4739999999999</c:v>
                </c:pt>
                <c:pt idx="5">
                  <c:v>1061.49</c:v>
                </c:pt>
                <c:pt idx="6">
                  <c:v>1053.7080000000001</c:v>
                </c:pt>
                <c:pt idx="7">
                  <c:v>1028.0269999999998</c:v>
                </c:pt>
                <c:pt idx="8">
                  <c:v>1027.0920000000001</c:v>
                </c:pt>
                <c:pt idx="9">
                  <c:v>1034.0329999999999</c:v>
                </c:pt>
                <c:pt idx="10">
                  <c:v>1065.1200000000001</c:v>
                </c:pt>
                <c:pt idx="11">
                  <c:v>1073.5719999999999</c:v>
                </c:pt>
                <c:pt idx="12">
                  <c:v>1076.3599999999999</c:v>
                </c:pt>
                <c:pt idx="13">
                  <c:v>1067.55</c:v>
                </c:pt>
                <c:pt idx="14">
                  <c:v>1043.1289999999999</c:v>
                </c:pt>
                <c:pt idx="15">
                  <c:v>1009.3409999999999</c:v>
                </c:pt>
                <c:pt idx="16">
                  <c:v>950.29199999999992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2E-438C-AA90-D5AD2EEB66F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lux_1_245_cct_2200_2400!$I$23:$Y$23</c:f>
              <c:numCache>
                <c:formatCode>General</c:formatCode>
                <c:ptCount val="17"/>
                <c:pt idx="0">
                  <c:v>941.53200000000004</c:v>
                </c:pt>
                <c:pt idx="1">
                  <c:v>996.14699999999993</c:v>
                </c:pt>
                <c:pt idx="2">
                  <c:v>1033.0519999999999</c:v>
                </c:pt>
                <c:pt idx="3">
                  <c:v>1058.2909999999999</c:v>
                </c:pt>
                <c:pt idx="4">
                  <c:v>1064.4750000000001</c:v>
                </c:pt>
                <c:pt idx="5">
                  <c:v>1065</c:v>
                </c:pt>
                <c:pt idx="6">
                  <c:v>1053.7449999999999</c:v>
                </c:pt>
                <c:pt idx="7">
                  <c:v>1030.2479999999998</c:v>
                </c:pt>
                <c:pt idx="8">
                  <c:v>1025.0240000000001</c:v>
                </c:pt>
                <c:pt idx="9">
                  <c:v>1040.088</c:v>
                </c:pt>
                <c:pt idx="10">
                  <c:v>1062.7759999999998</c:v>
                </c:pt>
                <c:pt idx="11">
                  <c:v>1074.42</c:v>
                </c:pt>
                <c:pt idx="12">
                  <c:v>1073.7090000000001</c:v>
                </c:pt>
                <c:pt idx="13">
                  <c:v>1066.5720000000001</c:v>
                </c:pt>
                <c:pt idx="14">
                  <c:v>1035.5519999999999</c:v>
                </c:pt>
                <c:pt idx="15">
                  <c:v>1004.754</c:v>
                </c:pt>
                <c:pt idx="16">
                  <c:v>961.4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2E-438C-AA90-D5AD2EEB66F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lux_1_245_cct_2200_2400!$I$24:$Y$24</c:f>
              <c:numCache>
                <c:formatCode>General</c:formatCode>
                <c:ptCount val="17"/>
                <c:pt idx="0">
                  <c:v>947.06700000000001</c:v>
                </c:pt>
                <c:pt idx="1">
                  <c:v>995.48599999999999</c:v>
                </c:pt>
                <c:pt idx="2">
                  <c:v>1022.86</c:v>
                </c:pt>
                <c:pt idx="3">
                  <c:v>1054.8800000000001</c:v>
                </c:pt>
                <c:pt idx="4">
                  <c:v>1070.4960000000001</c:v>
                </c:pt>
                <c:pt idx="5">
                  <c:v>1065.8579999999999</c:v>
                </c:pt>
                <c:pt idx="6">
                  <c:v>1059.1950000000002</c:v>
                </c:pt>
                <c:pt idx="7">
                  <c:v>1049.77</c:v>
                </c:pt>
                <c:pt idx="8">
                  <c:v>1052.7570000000001</c:v>
                </c:pt>
                <c:pt idx="9">
                  <c:v>1055.3439999999998</c:v>
                </c:pt>
                <c:pt idx="10">
                  <c:v>1067.9850000000001</c:v>
                </c:pt>
                <c:pt idx="11">
                  <c:v>1069.8240000000001</c:v>
                </c:pt>
                <c:pt idx="12">
                  <c:v>1076.1659999999999</c:v>
                </c:pt>
                <c:pt idx="13">
                  <c:v>1069.472</c:v>
                </c:pt>
                <c:pt idx="14">
                  <c:v>1034.682</c:v>
                </c:pt>
                <c:pt idx="15">
                  <c:v>1004.663</c:v>
                </c:pt>
                <c:pt idx="16">
                  <c:v>952.51200000000006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2E-438C-AA90-D5AD2EEB66F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lux_1_245_cct_2200_2400!$I$25:$Y$25</c:f>
              <c:numCache>
                <c:formatCode>General</c:formatCode>
                <c:ptCount val="17"/>
                <c:pt idx="0">
                  <c:v>943.93599999999992</c:v>
                </c:pt>
                <c:pt idx="1">
                  <c:v>976.28300000000002</c:v>
                </c:pt>
                <c:pt idx="2">
                  <c:v>1011.0619999999999</c:v>
                </c:pt>
                <c:pt idx="3">
                  <c:v>1047.348</c:v>
                </c:pt>
                <c:pt idx="4">
                  <c:v>1063.6679999999999</c:v>
                </c:pt>
                <c:pt idx="5">
                  <c:v>1068.72</c:v>
                </c:pt>
                <c:pt idx="6">
                  <c:v>1059.4759999999999</c:v>
                </c:pt>
                <c:pt idx="7">
                  <c:v>1061.73</c:v>
                </c:pt>
                <c:pt idx="8">
                  <c:v>1061.49</c:v>
                </c:pt>
                <c:pt idx="9">
                  <c:v>1062.576</c:v>
                </c:pt>
                <c:pt idx="10">
                  <c:v>1061.864</c:v>
                </c:pt>
                <c:pt idx="11">
                  <c:v>1070.9100000000001</c:v>
                </c:pt>
                <c:pt idx="12">
                  <c:v>1068.8440000000001</c:v>
                </c:pt>
                <c:pt idx="13">
                  <c:v>1047.0070000000001</c:v>
                </c:pt>
                <c:pt idx="14">
                  <c:v>1023.0869999999999</c:v>
                </c:pt>
                <c:pt idx="15">
                  <c:v>988.55299999999988</c:v>
                </c:pt>
                <c:pt idx="16">
                  <c:v>955.94099999999992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2E-438C-AA90-D5AD2EEB66F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lux_1_245_cct_2200_2400!$I$26:$Y$26</c:f>
              <c:numCache>
                <c:formatCode>General</c:formatCode>
                <c:ptCount val="17"/>
                <c:pt idx="0">
                  <c:v>950.68299999999999</c:v>
                </c:pt>
                <c:pt idx="1">
                  <c:v>964.81599999999992</c:v>
                </c:pt>
                <c:pt idx="2">
                  <c:v>987.18299999999999</c:v>
                </c:pt>
                <c:pt idx="3">
                  <c:v>1027.1619999999998</c:v>
                </c:pt>
                <c:pt idx="4">
                  <c:v>1041.9000000000001</c:v>
                </c:pt>
                <c:pt idx="5">
                  <c:v>1064.3150000000001</c:v>
                </c:pt>
                <c:pt idx="6">
                  <c:v>1064.934</c:v>
                </c:pt>
                <c:pt idx="7">
                  <c:v>1064.817</c:v>
                </c:pt>
                <c:pt idx="8">
                  <c:v>1060.32</c:v>
                </c:pt>
                <c:pt idx="9">
                  <c:v>1064.817</c:v>
                </c:pt>
                <c:pt idx="10">
                  <c:v>1067.04</c:v>
                </c:pt>
                <c:pt idx="11">
                  <c:v>1058.2909999999999</c:v>
                </c:pt>
                <c:pt idx="12">
                  <c:v>1047.075</c:v>
                </c:pt>
                <c:pt idx="13">
                  <c:v>1022.5989999999999</c:v>
                </c:pt>
                <c:pt idx="14">
                  <c:v>995.48599999999999</c:v>
                </c:pt>
                <c:pt idx="15">
                  <c:v>974.59199999999998</c:v>
                </c:pt>
                <c:pt idx="16">
                  <c:v>959.24199999999996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2E-438C-AA90-D5AD2EEB66F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lux_1_245_cct_2200_2400!$I$27:$Y$27</c:f>
              <c:numCache>
                <c:formatCode>General</c:formatCode>
                <c:ptCount val="17"/>
                <c:pt idx="0">
                  <c:v>957.68099999999993</c:v>
                </c:pt>
                <c:pt idx="1">
                  <c:v>972.40499999999997</c:v>
                </c:pt>
                <c:pt idx="2">
                  <c:v>971.10300000000007</c:v>
                </c:pt>
                <c:pt idx="3">
                  <c:v>997.69599999999991</c:v>
                </c:pt>
                <c:pt idx="4">
                  <c:v>1018.5749999999999</c:v>
                </c:pt>
                <c:pt idx="5">
                  <c:v>1039.74</c:v>
                </c:pt>
                <c:pt idx="6">
                  <c:v>1049.8230000000001</c:v>
                </c:pt>
                <c:pt idx="7">
                  <c:v>1060.848</c:v>
                </c:pt>
                <c:pt idx="8">
                  <c:v>1055.7270000000001</c:v>
                </c:pt>
                <c:pt idx="9">
                  <c:v>1065.3</c:v>
                </c:pt>
                <c:pt idx="10">
                  <c:v>1059.471</c:v>
                </c:pt>
                <c:pt idx="11">
                  <c:v>1049.8019999999999</c:v>
                </c:pt>
                <c:pt idx="12">
                  <c:v>1026.623</c:v>
                </c:pt>
                <c:pt idx="13">
                  <c:v>1003.9680000000001</c:v>
                </c:pt>
                <c:pt idx="14">
                  <c:v>974.64</c:v>
                </c:pt>
                <c:pt idx="15">
                  <c:v>974.80600000000004</c:v>
                </c:pt>
                <c:pt idx="16">
                  <c:v>952.44299999999998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2E-438C-AA90-D5AD2EEB66F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lux_1_245_cct_2200_2400!$I$28:$Y$28</c:f>
              <c:numCache>
                <c:formatCode>General</c:formatCode>
                <c:ptCount val="17"/>
                <c:pt idx="0">
                  <c:v>957.37100000000009</c:v>
                </c:pt>
                <c:pt idx="1">
                  <c:v>951.71699999999998</c:v>
                </c:pt>
                <c:pt idx="2">
                  <c:v>951.04900000000009</c:v>
                </c:pt>
                <c:pt idx="3">
                  <c:v>968.61000000000013</c:v>
                </c:pt>
                <c:pt idx="4">
                  <c:v>984.12599999999998</c:v>
                </c:pt>
                <c:pt idx="5">
                  <c:v>1000.1600000000001</c:v>
                </c:pt>
                <c:pt idx="6">
                  <c:v>1016.535</c:v>
                </c:pt>
                <c:pt idx="7">
                  <c:v>1015.875</c:v>
                </c:pt>
                <c:pt idx="8">
                  <c:v>1031.346</c:v>
                </c:pt>
                <c:pt idx="9">
                  <c:v>1022.6999999999999</c:v>
                </c:pt>
                <c:pt idx="10">
                  <c:v>1029.7170000000001</c:v>
                </c:pt>
                <c:pt idx="11">
                  <c:v>1014.26</c:v>
                </c:pt>
                <c:pt idx="12">
                  <c:v>994.851</c:v>
                </c:pt>
                <c:pt idx="13">
                  <c:v>976.00099999999998</c:v>
                </c:pt>
                <c:pt idx="14">
                  <c:v>952.41300000000001</c:v>
                </c:pt>
                <c:pt idx="15">
                  <c:v>940.05600000000004</c:v>
                </c:pt>
                <c:pt idx="16">
                  <c:v>929.66399999999999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2E-438C-AA90-D5AD2EEB66F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lux_1_245_cct_2200_2400!$I$30:$Y$30</c:f>
              <c:numCache>
                <c:formatCode>General</c:formatCode>
                <c:ptCount val="17"/>
                <c:pt idx="0">
                  <c:v>905.73399999999992</c:v>
                </c:pt>
                <c:pt idx="1">
                  <c:v>950.13</c:v>
                </c:pt>
                <c:pt idx="2">
                  <c:v>969.60599999999999</c:v>
                </c:pt>
                <c:pt idx="3">
                  <c:v>984.90000000000009</c:v>
                </c:pt>
                <c:pt idx="4">
                  <c:v>996.65999999999985</c:v>
                </c:pt>
                <c:pt idx="5">
                  <c:v>1016.715</c:v>
                </c:pt>
                <c:pt idx="6">
                  <c:v>1028.23</c:v>
                </c:pt>
                <c:pt idx="7">
                  <c:v>1045.0439999999999</c:v>
                </c:pt>
                <c:pt idx="8">
                  <c:v>1039.2570000000001</c:v>
                </c:pt>
                <c:pt idx="9">
                  <c:v>1046.136</c:v>
                </c:pt>
                <c:pt idx="10">
                  <c:v>1031.338</c:v>
                </c:pt>
                <c:pt idx="11">
                  <c:v>1019.13</c:v>
                </c:pt>
                <c:pt idx="12">
                  <c:v>999.30600000000004</c:v>
                </c:pt>
                <c:pt idx="13">
                  <c:v>989.72400000000005</c:v>
                </c:pt>
                <c:pt idx="14">
                  <c:v>980.226</c:v>
                </c:pt>
                <c:pt idx="15">
                  <c:v>958.39200000000005</c:v>
                </c:pt>
                <c:pt idx="16">
                  <c:v>908.61599999999999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6-433C-9B4D-2F95858AF33F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lux_1_245_cct_2200_2400!$I$31:$Y$31</c:f>
              <c:numCache>
                <c:formatCode>General</c:formatCode>
                <c:ptCount val="17"/>
                <c:pt idx="0">
                  <c:v>952.15199999999993</c:v>
                </c:pt>
                <c:pt idx="1">
                  <c:v>970.00399999999991</c:v>
                </c:pt>
                <c:pt idx="2">
                  <c:v>981.06999999999994</c:v>
                </c:pt>
                <c:pt idx="3">
                  <c:v>1008.8309999999999</c:v>
                </c:pt>
                <c:pt idx="4">
                  <c:v>1045.4759999999999</c:v>
                </c:pt>
                <c:pt idx="5">
                  <c:v>1059.192</c:v>
                </c:pt>
                <c:pt idx="6">
                  <c:v>1080.6400000000001</c:v>
                </c:pt>
                <c:pt idx="7">
                  <c:v>1082.008</c:v>
                </c:pt>
                <c:pt idx="8">
                  <c:v>1086.5919999999999</c:v>
                </c:pt>
                <c:pt idx="9">
                  <c:v>1082.6490000000001</c:v>
                </c:pt>
                <c:pt idx="10">
                  <c:v>1083.71</c:v>
                </c:pt>
                <c:pt idx="11">
                  <c:v>1063.704</c:v>
                </c:pt>
                <c:pt idx="12">
                  <c:v>1052.672</c:v>
                </c:pt>
                <c:pt idx="13">
                  <c:v>1016.985</c:v>
                </c:pt>
                <c:pt idx="14">
                  <c:v>993.01</c:v>
                </c:pt>
                <c:pt idx="15">
                  <c:v>980.29399999999998</c:v>
                </c:pt>
                <c:pt idx="16">
                  <c:v>952.44299999999998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6-433C-9B4D-2F95858AF33F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lux_1_245_cct_2200_2400!$I$32:$Y$32</c:f>
              <c:numCache>
                <c:formatCode>General</c:formatCode>
                <c:ptCount val="17"/>
                <c:pt idx="0">
                  <c:v>950.67</c:v>
                </c:pt>
                <c:pt idx="1">
                  <c:v>982.12200000000007</c:v>
                </c:pt>
                <c:pt idx="2">
                  <c:v>998.47799999999995</c:v>
                </c:pt>
                <c:pt idx="3">
                  <c:v>1031.2339999999999</c:v>
                </c:pt>
                <c:pt idx="4">
                  <c:v>1060.325</c:v>
                </c:pt>
                <c:pt idx="5">
                  <c:v>1085.2860000000001</c:v>
                </c:pt>
                <c:pt idx="6">
                  <c:v>1087.4880000000001</c:v>
                </c:pt>
                <c:pt idx="7">
                  <c:v>1091.367</c:v>
                </c:pt>
                <c:pt idx="8">
                  <c:v>1097.9570000000001</c:v>
                </c:pt>
                <c:pt idx="9">
                  <c:v>1095.8490000000002</c:v>
                </c:pt>
                <c:pt idx="10">
                  <c:v>1098.1079999999999</c:v>
                </c:pt>
                <c:pt idx="11">
                  <c:v>1095.7339999999999</c:v>
                </c:pt>
                <c:pt idx="12">
                  <c:v>1071.364</c:v>
                </c:pt>
                <c:pt idx="13">
                  <c:v>1043.4499999999998</c:v>
                </c:pt>
                <c:pt idx="14">
                  <c:v>1009.97</c:v>
                </c:pt>
                <c:pt idx="15">
                  <c:v>990.9079999999999</c:v>
                </c:pt>
                <c:pt idx="16">
                  <c:v>975.78300000000002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E6-433C-9B4D-2F95858AF33F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lux_1_245_cct_2200_2400!$I$33:$Y$33</c:f>
              <c:numCache>
                <c:formatCode>General</c:formatCode>
                <c:ptCount val="17"/>
                <c:pt idx="0">
                  <c:v>952.51100000000008</c:v>
                </c:pt>
                <c:pt idx="1">
                  <c:v>982.0089999999999</c:v>
                </c:pt>
                <c:pt idx="2">
                  <c:v>1015.8720000000001</c:v>
                </c:pt>
                <c:pt idx="3">
                  <c:v>1052.9880000000001</c:v>
                </c:pt>
                <c:pt idx="4">
                  <c:v>1072.079</c:v>
                </c:pt>
                <c:pt idx="5">
                  <c:v>1087.8</c:v>
                </c:pt>
                <c:pt idx="6">
                  <c:v>1082.7</c:v>
                </c:pt>
                <c:pt idx="7">
                  <c:v>1088.856</c:v>
                </c:pt>
                <c:pt idx="8">
                  <c:v>1091.944</c:v>
                </c:pt>
                <c:pt idx="9">
                  <c:v>1094.82</c:v>
                </c:pt>
                <c:pt idx="10">
                  <c:v>1097.1360000000002</c:v>
                </c:pt>
                <c:pt idx="11">
                  <c:v>1095.73</c:v>
                </c:pt>
                <c:pt idx="12">
                  <c:v>1085.6659999999999</c:v>
                </c:pt>
                <c:pt idx="13">
                  <c:v>1066.5240000000001</c:v>
                </c:pt>
                <c:pt idx="14">
                  <c:v>1026.454</c:v>
                </c:pt>
                <c:pt idx="15">
                  <c:v>987.73500000000001</c:v>
                </c:pt>
                <c:pt idx="16">
                  <c:v>971.95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E6-433C-9B4D-2F95858AF33F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lux_1_245_cct_2200_2400!$I$34:$Y$34</c:f>
              <c:numCache>
                <c:formatCode>General</c:formatCode>
                <c:ptCount val="17"/>
                <c:pt idx="0">
                  <c:v>944.88900000000012</c:v>
                </c:pt>
                <c:pt idx="1">
                  <c:v>993.73800000000006</c:v>
                </c:pt>
                <c:pt idx="2">
                  <c:v>1036.8800000000001</c:v>
                </c:pt>
                <c:pt idx="3">
                  <c:v>1062.7840000000001</c:v>
                </c:pt>
                <c:pt idx="4">
                  <c:v>1081.8240000000001</c:v>
                </c:pt>
                <c:pt idx="5">
                  <c:v>1079.492</c:v>
                </c:pt>
                <c:pt idx="6">
                  <c:v>1074.1379999999999</c:v>
                </c:pt>
                <c:pt idx="7">
                  <c:v>1074.3150000000001</c:v>
                </c:pt>
                <c:pt idx="8">
                  <c:v>1072.7279999999998</c:v>
                </c:pt>
                <c:pt idx="9">
                  <c:v>1079.925</c:v>
                </c:pt>
                <c:pt idx="10">
                  <c:v>1082.049</c:v>
                </c:pt>
                <c:pt idx="11">
                  <c:v>1089.116</c:v>
                </c:pt>
                <c:pt idx="12">
                  <c:v>1083.1859999999999</c:v>
                </c:pt>
                <c:pt idx="13">
                  <c:v>1073.7280000000001</c:v>
                </c:pt>
                <c:pt idx="14">
                  <c:v>1037.7660000000001</c:v>
                </c:pt>
                <c:pt idx="15">
                  <c:v>1005.974</c:v>
                </c:pt>
                <c:pt idx="16">
                  <c:v>952.51200000000006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6-433C-9B4D-2F95858AF33F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lux_1_245_cct_2200_2400!$I$35:$Y$35</c:f>
              <c:numCache>
                <c:formatCode>General</c:formatCode>
                <c:ptCount val="17"/>
                <c:pt idx="0">
                  <c:v>958.74</c:v>
                </c:pt>
                <c:pt idx="1">
                  <c:v>996.60000000000014</c:v>
                </c:pt>
                <c:pt idx="2">
                  <c:v>1025.904</c:v>
                </c:pt>
                <c:pt idx="3">
                  <c:v>1058.94</c:v>
                </c:pt>
                <c:pt idx="4">
                  <c:v>1077.921</c:v>
                </c:pt>
                <c:pt idx="5">
                  <c:v>1072.7280000000001</c:v>
                </c:pt>
                <c:pt idx="6">
                  <c:v>1063.7049999999999</c:v>
                </c:pt>
                <c:pt idx="7">
                  <c:v>1046.9760000000001</c:v>
                </c:pt>
                <c:pt idx="8">
                  <c:v>1037.0360000000001</c:v>
                </c:pt>
                <c:pt idx="9">
                  <c:v>1050.912</c:v>
                </c:pt>
                <c:pt idx="10">
                  <c:v>1070.2079999999999</c:v>
                </c:pt>
                <c:pt idx="11">
                  <c:v>1078.6499999999999</c:v>
                </c:pt>
                <c:pt idx="12">
                  <c:v>1075.932</c:v>
                </c:pt>
                <c:pt idx="13">
                  <c:v>1068.48</c:v>
                </c:pt>
                <c:pt idx="14">
                  <c:v>1039.3040000000001</c:v>
                </c:pt>
                <c:pt idx="15">
                  <c:v>1010.6429999999999</c:v>
                </c:pt>
                <c:pt idx="16">
                  <c:v>968.62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E6-433C-9B4D-2F95858AF33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lux_1_245_cct_2200_2400!$I$36:$Y$36</c:f>
              <c:numCache>
                <c:formatCode>General</c:formatCode>
                <c:ptCount val="17"/>
                <c:pt idx="0">
                  <c:v>945.75599999999997</c:v>
                </c:pt>
                <c:pt idx="1">
                  <c:v>998.78400000000011</c:v>
                </c:pt>
                <c:pt idx="2">
                  <c:v>1031.6420000000001</c:v>
                </c:pt>
                <c:pt idx="3">
                  <c:v>1055.2570000000001</c:v>
                </c:pt>
                <c:pt idx="4">
                  <c:v>1064.99</c:v>
                </c:pt>
                <c:pt idx="5">
                  <c:v>1064.0790000000002</c:v>
                </c:pt>
                <c:pt idx="6">
                  <c:v>1050.0600000000002</c:v>
                </c:pt>
                <c:pt idx="7">
                  <c:v>1029.028</c:v>
                </c:pt>
                <c:pt idx="8">
                  <c:v>1028.1149999999998</c:v>
                </c:pt>
                <c:pt idx="9">
                  <c:v>1034.0329999999999</c:v>
                </c:pt>
                <c:pt idx="10">
                  <c:v>1060.4659999999999</c:v>
                </c:pt>
                <c:pt idx="11">
                  <c:v>1066.9650000000001</c:v>
                </c:pt>
                <c:pt idx="12">
                  <c:v>1068.5920000000001</c:v>
                </c:pt>
                <c:pt idx="13">
                  <c:v>1067.55</c:v>
                </c:pt>
                <c:pt idx="14">
                  <c:v>1033.5940000000001</c:v>
                </c:pt>
                <c:pt idx="15">
                  <c:v>1008.8819999999999</c:v>
                </c:pt>
                <c:pt idx="16">
                  <c:v>949.53600000000006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E6-433C-9B4D-2F95858AF33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lux_1_245_cct_2200_2400!$I$37:$Y$37</c:f>
              <c:numCache>
                <c:formatCode>General</c:formatCode>
                <c:ptCount val="17"/>
                <c:pt idx="0">
                  <c:v>941.53200000000004</c:v>
                </c:pt>
                <c:pt idx="1">
                  <c:v>996.60000000000014</c:v>
                </c:pt>
                <c:pt idx="2">
                  <c:v>1022.688</c:v>
                </c:pt>
                <c:pt idx="3">
                  <c:v>1051.308</c:v>
                </c:pt>
                <c:pt idx="4">
                  <c:v>1057.4069999999999</c:v>
                </c:pt>
                <c:pt idx="5">
                  <c:v>1059.192</c:v>
                </c:pt>
                <c:pt idx="6">
                  <c:v>1047.9119999999998</c:v>
                </c:pt>
                <c:pt idx="7">
                  <c:v>1030.2479999999998</c:v>
                </c:pt>
                <c:pt idx="8">
                  <c:v>1024.0229999999999</c:v>
                </c:pt>
                <c:pt idx="9">
                  <c:v>1039.104</c:v>
                </c:pt>
                <c:pt idx="10">
                  <c:v>1056.835</c:v>
                </c:pt>
                <c:pt idx="11">
                  <c:v>1068.07</c:v>
                </c:pt>
                <c:pt idx="12">
                  <c:v>1073.7090000000001</c:v>
                </c:pt>
                <c:pt idx="13">
                  <c:v>1056.51</c:v>
                </c:pt>
                <c:pt idx="14">
                  <c:v>1035.0160000000001</c:v>
                </c:pt>
                <c:pt idx="15">
                  <c:v>992.76800000000003</c:v>
                </c:pt>
                <c:pt idx="16">
                  <c:v>945.09800000000007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E6-433C-9B4D-2F95858AF33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lux_1_245_cct_2200_2400!$I$38:$Y$38</c:f>
              <c:numCache>
                <c:formatCode>General</c:formatCode>
                <c:ptCount val="17"/>
                <c:pt idx="0">
                  <c:v>947.06700000000001</c:v>
                </c:pt>
                <c:pt idx="1">
                  <c:v>995.48599999999999</c:v>
                </c:pt>
                <c:pt idx="2">
                  <c:v>1023.374</c:v>
                </c:pt>
                <c:pt idx="3">
                  <c:v>1046.808</c:v>
                </c:pt>
                <c:pt idx="4">
                  <c:v>1062.126</c:v>
                </c:pt>
                <c:pt idx="5">
                  <c:v>1058.68</c:v>
                </c:pt>
                <c:pt idx="6">
                  <c:v>1053.17</c:v>
                </c:pt>
                <c:pt idx="7">
                  <c:v>1042.067</c:v>
                </c:pt>
                <c:pt idx="8">
                  <c:v>1045.33</c:v>
                </c:pt>
                <c:pt idx="9">
                  <c:v>1046.682</c:v>
                </c:pt>
                <c:pt idx="10">
                  <c:v>1061.0360000000001</c:v>
                </c:pt>
                <c:pt idx="11">
                  <c:v>1062.3129999999999</c:v>
                </c:pt>
                <c:pt idx="12">
                  <c:v>1067.107</c:v>
                </c:pt>
                <c:pt idx="13">
                  <c:v>1059.471</c:v>
                </c:pt>
                <c:pt idx="14">
                  <c:v>1023.599</c:v>
                </c:pt>
                <c:pt idx="15">
                  <c:v>989.57599999999991</c:v>
                </c:pt>
                <c:pt idx="16">
                  <c:v>956.30000000000007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E6-433C-9B4D-2F95858AF33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lux_1_245_cct_2200_2400!$I$39:$Y$39</c:f>
              <c:numCache>
                <c:formatCode>General</c:formatCode>
                <c:ptCount val="17"/>
                <c:pt idx="0">
                  <c:v>921.58499999999992</c:v>
                </c:pt>
                <c:pt idx="1">
                  <c:v>975.46499999999992</c:v>
                </c:pt>
                <c:pt idx="2">
                  <c:v>1000.076</c:v>
                </c:pt>
                <c:pt idx="3">
                  <c:v>1037.5040000000001</c:v>
                </c:pt>
                <c:pt idx="4">
                  <c:v>1053.8039999999999</c:v>
                </c:pt>
                <c:pt idx="5">
                  <c:v>1059.212</c:v>
                </c:pt>
                <c:pt idx="6">
                  <c:v>1058.68</c:v>
                </c:pt>
                <c:pt idx="7">
                  <c:v>1054.614</c:v>
                </c:pt>
                <c:pt idx="8">
                  <c:v>1052.396</c:v>
                </c:pt>
                <c:pt idx="9">
                  <c:v>1054.614</c:v>
                </c:pt>
                <c:pt idx="10">
                  <c:v>1053.6120000000001</c:v>
                </c:pt>
                <c:pt idx="11">
                  <c:v>1053.335</c:v>
                </c:pt>
                <c:pt idx="12">
                  <c:v>1048.7640000000001</c:v>
                </c:pt>
                <c:pt idx="13">
                  <c:v>1034.1100000000001</c:v>
                </c:pt>
                <c:pt idx="14">
                  <c:v>1010.5480000000001</c:v>
                </c:pt>
                <c:pt idx="15">
                  <c:v>974.85199999999998</c:v>
                </c:pt>
                <c:pt idx="16">
                  <c:v>959.09999999999991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E6-433C-9B4D-2F95858AF33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lux_1_245_cct_2200_2400!$I$40:$Y$40</c:f>
              <c:numCache>
                <c:formatCode>General</c:formatCode>
                <c:ptCount val="17"/>
                <c:pt idx="0">
                  <c:v>950.04899999999998</c:v>
                </c:pt>
                <c:pt idx="1">
                  <c:v>964.06400000000008</c:v>
                </c:pt>
                <c:pt idx="2">
                  <c:v>986.30900000000008</c:v>
                </c:pt>
                <c:pt idx="3">
                  <c:v>1014.5509999999999</c:v>
                </c:pt>
                <c:pt idx="4">
                  <c:v>1032.27</c:v>
                </c:pt>
                <c:pt idx="5">
                  <c:v>1053.8039999999999</c:v>
                </c:pt>
                <c:pt idx="6">
                  <c:v>1055.9549999999999</c:v>
                </c:pt>
                <c:pt idx="7">
                  <c:v>1054.7250000000001</c:v>
                </c:pt>
                <c:pt idx="8">
                  <c:v>1051.029</c:v>
                </c:pt>
                <c:pt idx="9">
                  <c:v>1053.99</c:v>
                </c:pt>
                <c:pt idx="10">
                  <c:v>1057.3489999999999</c:v>
                </c:pt>
                <c:pt idx="11">
                  <c:v>1048.7640000000001</c:v>
                </c:pt>
                <c:pt idx="12">
                  <c:v>1036.26</c:v>
                </c:pt>
                <c:pt idx="13">
                  <c:v>1010.9399999999999</c:v>
                </c:pt>
                <c:pt idx="14">
                  <c:v>980.09400000000005</c:v>
                </c:pt>
                <c:pt idx="15">
                  <c:v>957.19</c:v>
                </c:pt>
                <c:pt idx="16">
                  <c:v>963.38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E6-433C-9B4D-2F95858AF33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lux_1_245_cct_2200_2400!$I$41:$Y$41</c:f>
              <c:numCache>
                <c:formatCode>General</c:formatCode>
                <c:ptCount val="17"/>
                <c:pt idx="0">
                  <c:v>963.3839999999999</c:v>
                </c:pt>
                <c:pt idx="1">
                  <c:v>954.3839999999999</c:v>
                </c:pt>
                <c:pt idx="2">
                  <c:v>970.31699999999989</c:v>
                </c:pt>
                <c:pt idx="3">
                  <c:v>983.45</c:v>
                </c:pt>
                <c:pt idx="4">
                  <c:v>1007.952</c:v>
                </c:pt>
                <c:pt idx="5">
                  <c:v>1028.027</c:v>
                </c:pt>
                <c:pt idx="6">
                  <c:v>1038.183</c:v>
                </c:pt>
                <c:pt idx="7">
                  <c:v>1048.95</c:v>
                </c:pt>
                <c:pt idx="8">
                  <c:v>1045.5839999999998</c:v>
                </c:pt>
                <c:pt idx="9">
                  <c:v>1053.3599999999999</c:v>
                </c:pt>
                <c:pt idx="10">
                  <c:v>1047.1379999999999</c:v>
                </c:pt>
                <c:pt idx="11">
                  <c:v>1037.4279999999999</c:v>
                </c:pt>
                <c:pt idx="12">
                  <c:v>1014.9239999999999</c:v>
                </c:pt>
                <c:pt idx="13">
                  <c:v>988.75400000000002</c:v>
                </c:pt>
                <c:pt idx="14">
                  <c:v>957.82500000000005</c:v>
                </c:pt>
                <c:pt idx="15">
                  <c:v>955.73199999999997</c:v>
                </c:pt>
                <c:pt idx="16">
                  <c:v>956.64499999999998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E6-433C-9B4D-2F95858AF33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lux_1_245_cct_2200_2400!$I$42:$Y$42</c:f>
              <c:numCache>
                <c:formatCode>General</c:formatCode>
                <c:ptCount val="17"/>
                <c:pt idx="0">
                  <c:v>963.40500000000009</c:v>
                </c:pt>
                <c:pt idx="1">
                  <c:v>953.4</c:v>
                </c:pt>
                <c:pt idx="2">
                  <c:v>950.02600000000007</c:v>
                </c:pt>
                <c:pt idx="3">
                  <c:v>953.28699999999992</c:v>
                </c:pt>
                <c:pt idx="4">
                  <c:v>987.85199999999998</c:v>
                </c:pt>
                <c:pt idx="5">
                  <c:v>986.46399999999994</c:v>
                </c:pt>
                <c:pt idx="6">
                  <c:v>1003.503</c:v>
                </c:pt>
                <c:pt idx="7">
                  <c:v>1004.64</c:v>
                </c:pt>
                <c:pt idx="8">
                  <c:v>1020.1619999999999</c:v>
                </c:pt>
                <c:pt idx="9">
                  <c:v>1010.88</c:v>
                </c:pt>
                <c:pt idx="10">
                  <c:v>1016.028</c:v>
                </c:pt>
                <c:pt idx="11">
                  <c:v>999.92</c:v>
                </c:pt>
                <c:pt idx="12">
                  <c:v>981.98399999999992</c:v>
                </c:pt>
                <c:pt idx="13">
                  <c:v>959.41499999999996</c:v>
                </c:pt>
                <c:pt idx="14">
                  <c:v>955.94099999999992</c:v>
                </c:pt>
                <c:pt idx="15">
                  <c:v>941.1</c:v>
                </c:pt>
                <c:pt idx="16">
                  <c:v>910.53599999999994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E6-433C-9B4D-2F95858AF33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lux_1_245_cct_2200_2400!$I$44:$Y$44</c:f>
              <c:numCache>
                <c:formatCode>General</c:formatCode>
                <c:ptCount val="17"/>
                <c:pt idx="0">
                  <c:v>867.07999999999993</c:v>
                </c:pt>
                <c:pt idx="1">
                  <c:v>917.76099999999997</c:v>
                </c:pt>
                <c:pt idx="2">
                  <c:v>919.07200000000012</c:v>
                </c:pt>
                <c:pt idx="3">
                  <c:v>958.28700000000003</c:v>
                </c:pt>
                <c:pt idx="4">
                  <c:v>975.51299999999992</c:v>
                </c:pt>
                <c:pt idx="5">
                  <c:v>962.10899999999992</c:v>
                </c:pt>
                <c:pt idx="6">
                  <c:v>995.79199999999992</c:v>
                </c:pt>
                <c:pt idx="7">
                  <c:v>1003.548</c:v>
                </c:pt>
                <c:pt idx="8">
                  <c:v>1013.74</c:v>
                </c:pt>
                <c:pt idx="9">
                  <c:v>1006.8240000000001</c:v>
                </c:pt>
                <c:pt idx="10">
                  <c:v>1000.499</c:v>
                </c:pt>
                <c:pt idx="11">
                  <c:v>965.92499999999995</c:v>
                </c:pt>
                <c:pt idx="12">
                  <c:v>980.92499999999995</c:v>
                </c:pt>
                <c:pt idx="13">
                  <c:v>930.23400000000004</c:v>
                </c:pt>
                <c:pt idx="14">
                  <c:v>934.56</c:v>
                </c:pt>
                <c:pt idx="15">
                  <c:v>932.06700000000001</c:v>
                </c:pt>
                <c:pt idx="16">
                  <c:v>876.88499999999999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F-4900-8068-27F080A017B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lux_1_245_cct_2200_2400!$I$45:$Y$45</c:f>
              <c:numCache>
                <c:formatCode>General</c:formatCode>
                <c:ptCount val="17"/>
                <c:pt idx="0">
                  <c:v>929.14399999999989</c:v>
                </c:pt>
                <c:pt idx="1">
                  <c:v>926.49700000000007</c:v>
                </c:pt>
                <c:pt idx="2">
                  <c:v>945.25</c:v>
                </c:pt>
                <c:pt idx="3">
                  <c:v>978.25</c:v>
                </c:pt>
                <c:pt idx="4">
                  <c:v>1006.592</c:v>
                </c:pt>
                <c:pt idx="5">
                  <c:v>1030.92</c:v>
                </c:pt>
                <c:pt idx="6">
                  <c:v>1046.2560000000001</c:v>
                </c:pt>
                <c:pt idx="7">
                  <c:v>1044.6799999999998</c:v>
                </c:pt>
                <c:pt idx="8">
                  <c:v>1049.76</c:v>
                </c:pt>
                <c:pt idx="9">
                  <c:v>1045.317</c:v>
                </c:pt>
                <c:pt idx="10">
                  <c:v>1051.1679999999999</c:v>
                </c:pt>
                <c:pt idx="11">
                  <c:v>1037.7359999999999</c:v>
                </c:pt>
                <c:pt idx="12">
                  <c:v>1017.3440000000001</c:v>
                </c:pt>
                <c:pt idx="13">
                  <c:v>991.44499999999994</c:v>
                </c:pt>
                <c:pt idx="14">
                  <c:v>962.76200000000006</c:v>
                </c:pt>
                <c:pt idx="15">
                  <c:v>942.52399999999989</c:v>
                </c:pt>
                <c:pt idx="16">
                  <c:v>932.10400000000004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F-4900-8068-27F080A017B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lux_1_245_cct_2200_2400!$I$46:$Y$46</c:f>
              <c:numCache>
                <c:formatCode>General</c:formatCode>
                <c:ptCount val="17"/>
                <c:pt idx="0">
                  <c:v>914.6819999999999</c:v>
                </c:pt>
                <c:pt idx="1">
                  <c:v>932.25000000000011</c:v>
                </c:pt>
                <c:pt idx="2">
                  <c:v>970.61299999999994</c:v>
                </c:pt>
                <c:pt idx="3">
                  <c:v>1006.08</c:v>
                </c:pt>
                <c:pt idx="4">
                  <c:v>1025.44</c:v>
                </c:pt>
                <c:pt idx="5">
                  <c:v>1041.9840000000002</c:v>
                </c:pt>
                <c:pt idx="6">
                  <c:v>1051.8599999999999</c:v>
                </c:pt>
                <c:pt idx="7">
                  <c:v>1069.5</c:v>
                </c:pt>
                <c:pt idx="8">
                  <c:v>1074.4199999999998</c:v>
                </c:pt>
                <c:pt idx="9">
                  <c:v>1076.25</c:v>
                </c:pt>
                <c:pt idx="10">
                  <c:v>1066.665</c:v>
                </c:pt>
                <c:pt idx="11">
                  <c:v>1058.184</c:v>
                </c:pt>
                <c:pt idx="12">
                  <c:v>1043.42</c:v>
                </c:pt>
                <c:pt idx="13">
                  <c:v>1025.5360000000001</c:v>
                </c:pt>
                <c:pt idx="14">
                  <c:v>988.77600000000007</c:v>
                </c:pt>
                <c:pt idx="15">
                  <c:v>946.5</c:v>
                </c:pt>
                <c:pt idx="16">
                  <c:v>917.19399999999996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FF-4900-8068-27F080A017B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lux_1_245_cct_2200_2400!$I$47:$Y$47</c:f>
              <c:numCache>
                <c:formatCode>General</c:formatCode>
                <c:ptCount val="17"/>
                <c:pt idx="0">
                  <c:v>939.50800000000004</c:v>
                </c:pt>
                <c:pt idx="1">
                  <c:v>953.7879999999999</c:v>
                </c:pt>
                <c:pt idx="2">
                  <c:v>1003.9169999999999</c:v>
                </c:pt>
                <c:pt idx="3">
                  <c:v>1029.7839999999999</c:v>
                </c:pt>
                <c:pt idx="4">
                  <c:v>1040.6880000000001</c:v>
                </c:pt>
                <c:pt idx="5">
                  <c:v>1060.4650000000001</c:v>
                </c:pt>
                <c:pt idx="6">
                  <c:v>1059.5909999999999</c:v>
                </c:pt>
                <c:pt idx="7">
                  <c:v>1066.25</c:v>
                </c:pt>
                <c:pt idx="8">
                  <c:v>1068.768</c:v>
                </c:pt>
                <c:pt idx="9">
                  <c:v>1075.6329999999998</c:v>
                </c:pt>
                <c:pt idx="10">
                  <c:v>1078.9590000000001</c:v>
                </c:pt>
                <c:pt idx="11">
                  <c:v>1064.328</c:v>
                </c:pt>
                <c:pt idx="12">
                  <c:v>1063.3679999999999</c:v>
                </c:pt>
                <c:pt idx="13">
                  <c:v>1031.5640000000001</c:v>
                </c:pt>
                <c:pt idx="14">
                  <c:v>997.40700000000004</c:v>
                </c:pt>
                <c:pt idx="15">
                  <c:v>965.64900000000011</c:v>
                </c:pt>
                <c:pt idx="16">
                  <c:v>941.95099999999991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FF-4900-8068-27F080A017B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lux_1_245_cct_2200_2400!$I$48:$Y$48</c:f>
              <c:numCache>
                <c:formatCode>General</c:formatCode>
                <c:ptCount val="17"/>
                <c:pt idx="0">
                  <c:v>937.88800000000003</c:v>
                </c:pt>
                <c:pt idx="1">
                  <c:v>956.44799999999998</c:v>
                </c:pt>
                <c:pt idx="2">
                  <c:v>995.32799999999997</c:v>
                </c:pt>
                <c:pt idx="3">
                  <c:v>1045.6420000000001</c:v>
                </c:pt>
                <c:pt idx="4">
                  <c:v>1048.335</c:v>
                </c:pt>
                <c:pt idx="5">
                  <c:v>1057.9769999999999</c:v>
                </c:pt>
                <c:pt idx="6">
                  <c:v>1058.191</c:v>
                </c:pt>
                <c:pt idx="7">
                  <c:v>1054.0920000000001</c:v>
                </c:pt>
                <c:pt idx="8">
                  <c:v>1062.915</c:v>
                </c:pt>
                <c:pt idx="9">
                  <c:v>1058.752</c:v>
                </c:pt>
                <c:pt idx="10">
                  <c:v>1069.722</c:v>
                </c:pt>
                <c:pt idx="11">
                  <c:v>1072.5029999999999</c:v>
                </c:pt>
                <c:pt idx="12">
                  <c:v>1065.96</c:v>
                </c:pt>
                <c:pt idx="13">
                  <c:v>1043.8679999999999</c:v>
                </c:pt>
                <c:pt idx="14">
                  <c:v>1015.808</c:v>
                </c:pt>
                <c:pt idx="15">
                  <c:v>974.59199999999987</c:v>
                </c:pt>
                <c:pt idx="16">
                  <c:v>949.76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F-4900-8068-27F080A017B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lux_1_245_cct_2200_2400!$I$49:$Y$49</c:f>
              <c:numCache>
                <c:formatCode>General</c:formatCode>
                <c:ptCount val="17"/>
                <c:pt idx="0">
                  <c:v>928.55000000000007</c:v>
                </c:pt>
                <c:pt idx="1">
                  <c:v>973.24499999999989</c:v>
                </c:pt>
                <c:pt idx="2">
                  <c:v>996.97799999999995</c:v>
                </c:pt>
                <c:pt idx="3">
                  <c:v>1035.125</c:v>
                </c:pt>
                <c:pt idx="4">
                  <c:v>1057.5</c:v>
                </c:pt>
                <c:pt idx="5">
                  <c:v>1060.279</c:v>
                </c:pt>
                <c:pt idx="6">
                  <c:v>1052.2280000000001</c:v>
                </c:pt>
                <c:pt idx="7">
                  <c:v>1043.395</c:v>
                </c:pt>
                <c:pt idx="8">
                  <c:v>1032</c:v>
                </c:pt>
                <c:pt idx="9">
                  <c:v>1048.3400000000001</c:v>
                </c:pt>
                <c:pt idx="10">
                  <c:v>1058.752</c:v>
                </c:pt>
                <c:pt idx="11">
                  <c:v>1053.7729999999999</c:v>
                </c:pt>
                <c:pt idx="12">
                  <c:v>1054.5530000000001</c:v>
                </c:pt>
                <c:pt idx="13">
                  <c:v>1052.961</c:v>
                </c:pt>
                <c:pt idx="14">
                  <c:v>1019.4060000000001</c:v>
                </c:pt>
                <c:pt idx="15">
                  <c:v>970.17</c:v>
                </c:pt>
                <c:pt idx="16">
                  <c:v>955.58500000000004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FF-4900-8068-27F080A017B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lux_1_245_cct_2200_2400!$I$50:$Y$50</c:f>
              <c:numCache>
                <c:formatCode>General</c:formatCode>
                <c:ptCount val="17"/>
                <c:pt idx="0">
                  <c:v>921.34900000000005</c:v>
                </c:pt>
                <c:pt idx="1">
                  <c:v>963.23500000000001</c:v>
                </c:pt>
                <c:pt idx="2">
                  <c:v>1004.6400000000001</c:v>
                </c:pt>
                <c:pt idx="3">
                  <c:v>1032.912</c:v>
                </c:pt>
                <c:pt idx="4">
                  <c:v>1048.5119999999999</c:v>
                </c:pt>
                <c:pt idx="5">
                  <c:v>1047.1679999999999</c:v>
                </c:pt>
                <c:pt idx="6">
                  <c:v>1034.471</c:v>
                </c:pt>
                <c:pt idx="7">
                  <c:v>1026</c:v>
                </c:pt>
                <c:pt idx="8">
                  <c:v>1031.184</c:v>
                </c:pt>
                <c:pt idx="9">
                  <c:v>1031</c:v>
                </c:pt>
                <c:pt idx="10">
                  <c:v>1047.673</c:v>
                </c:pt>
                <c:pt idx="11">
                  <c:v>1062.72</c:v>
                </c:pt>
                <c:pt idx="12">
                  <c:v>1050.75</c:v>
                </c:pt>
                <c:pt idx="13">
                  <c:v>1053.6479999999999</c:v>
                </c:pt>
                <c:pt idx="14">
                  <c:v>1023.75</c:v>
                </c:pt>
                <c:pt idx="15">
                  <c:v>980.52499999999986</c:v>
                </c:pt>
                <c:pt idx="16">
                  <c:v>930.06600000000003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FF-4900-8068-27F080A017B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lux_1_245_cct_2200_2400!$I$51:$Y$51</c:f>
              <c:numCache>
                <c:formatCode>General</c:formatCode>
                <c:ptCount val="17"/>
                <c:pt idx="0">
                  <c:v>942.94600000000003</c:v>
                </c:pt>
                <c:pt idx="1">
                  <c:v>949.34899999999993</c:v>
                </c:pt>
                <c:pt idx="2">
                  <c:v>993.774</c:v>
                </c:pt>
                <c:pt idx="3">
                  <c:v>1028.1180000000002</c:v>
                </c:pt>
                <c:pt idx="4">
                  <c:v>1030.905</c:v>
                </c:pt>
                <c:pt idx="5">
                  <c:v>1031.9070000000002</c:v>
                </c:pt>
                <c:pt idx="6">
                  <c:v>1036.384</c:v>
                </c:pt>
                <c:pt idx="7">
                  <c:v>1017.12</c:v>
                </c:pt>
                <c:pt idx="8">
                  <c:v>1022</c:v>
                </c:pt>
                <c:pt idx="9">
                  <c:v>1028.856</c:v>
                </c:pt>
                <c:pt idx="10">
                  <c:v>1054.0920000000001</c:v>
                </c:pt>
                <c:pt idx="11">
                  <c:v>1052.932</c:v>
                </c:pt>
                <c:pt idx="12">
                  <c:v>1053.8139999999999</c:v>
                </c:pt>
                <c:pt idx="13">
                  <c:v>1050.413</c:v>
                </c:pt>
                <c:pt idx="14">
                  <c:v>1014.066</c:v>
                </c:pt>
                <c:pt idx="15">
                  <c:v>962.63900000000001</c:v>
                </c:pt>
                <c:pt idx="16">
                  <c:v>943.32900000000006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FF-4900-8068-27F080A017B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lux_1_245_cct_2200_2400!$I$52:$Y$52</c:f>
              <c:numCache>
                <c:formatCode>General</c:formatCode>
                <c:ptCount val="17"/>
                <c:pt idx="0">
                  <c:v>904.24</c:v>
                </c:pt>
                <c:pt idx="1">
                  <c:v>959.04000000000008</c:v>
                </c:pt>
                <c:pt idx="2">
                  <c:v>993.79200000000003</c:v>
                </c:pt>
                <c:pt idx="3">
                  <c:v>1018.5839999999999</c:v>
                </c:pt>
                <c:pt idx="4">
                  <c:v>1037.76</c:v>
                </c:pt>
                <c:pt idx="5">
                  <c:v>1030.82</c:v>
                </c:pt>
                <c:pt idx="6">
                  <c:v>1032.5</c:v>
                </c:pt>
                <c:pt idx="7">
                  <c:v>1037.316</c:v>
                </c:pt>
                <c:pt idx="8">
                  <c:v>1031.6420000000001</c:v>
                </c:pt>
                <c:pt idx="9">
                  <c:v>1031.5200000000002</c:v>
                </c:pt>
                <c:pt idx="10">
                  <c:v>1043</c:v>
                </c:pt>
                <c:pt idx="11">
                  <c:v>1047.5360000000001</c:v>
                </c:pt>
                <c:pt idx="12">
                  <c:v>1058.2049999999999</c:v>
                </c:pt>
                <c:pt idx="13">
                  <c:v>1040.2560000000001</c:v>
                </c:pt>
                <c:pt idx="14">
                  <c:v>1012.736</c:v>
                </c:pt>
                <c:pt idx="15">
                  <c:v>972</c:v>
                </c:pt>
                <c:pt idx="16">
                  <c:v>908.15600000000006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FF-4900-8068-27F080A017B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lux_1_245_cct_2200_2400!$I$53:$Y$53</c:f>
              <c:numCache>
                <c:formatCode>General</c:formatCode>
                <c:ptCount val="17"/>
                <c:pt idx="0">
                  <c:v>888.11099999999999</c:v>
                </c:pt>
                <c:pt idx="1">
                  <c:v>948.06200000000001</c:v>
                </c:pt>
                <c:pt idx="2">
                  <c:v>974.98800000000006</c:v>
                </c:pt>
                <c:pt idx="3">
                  <c:v>1004.828</c:v>
                </c:pt>
                <c:pt idx="4">
                  <c:v>1034.2080000000001</c:v>
                </c:pt>
                <c:pt idx="5">
                  <c:v>1033.7939999999999</c:v>
                </c:pt>
                <c:pt idx="6">
                  <c:v>1031.616</c:v>
                </c:pt>
                <c:pt idx="7">
                  <c:v>1032.748</c:v>
                </c:pt>
                <c:pt idx="8">
                  <c:v>1030.424</c:v>
                </c:pt>
                <c:pt idx="9">
                  <c:v>1033.5890000000002</c:v>
                </c:pt>
                <c:pt idx="10">
                  <c:v>1034.8</c:v>
                </c:pt>
                <c:pt idx="11">
                  <c:v>1038.883</c:v>
                </c:pt>
                <c:pt idx="12">
                  <c:v>1025.5700000000002</c:v>
                </c:pt>
                <c:pt idx="13">
                  <c:v>1020.4240000000001</c:v>
                </c:pt>
                <c:pt idx="14">
                  <c:v>993.11399999999992</c:v>
                </c:pt>
                <c:pt idx="15">
                  <c:v>964.83100000000002</c:v>
                </c:pt>
                <c:pt idx="16">
                  <c:v>901.76400000000001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FF-4900-8068-27F080A017B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lux_1_245_cct_2200_2400!$I$54:$Y$54</c:f>
              <c:numCache>
                <c:formatCode>General</c:formatCode>
                <c:ptCount val="17"/>
                <c:pt idx="0">
                  <c:v>910.91399999999999</c:v>
                </c:pt>
                <c:pt idx="1">
                  <c:v>931.875</c:v>
                </c:pt>
                <c:pt idx="2">
                  <c:v>946.07999999999993</c:v>
                </c:pt>
                <c:pt idx="3">
                  <c:v>978</c:v>
                </c:pt>
                <c:pt idx="4">
                  <c:v>996.83999999999992</c:v>
                </c:pt>
                <c:pt idx="5">
                  <c:v>1016.015</c:v>
                </c:pt>
                <c:pt idx="6">
                  <c:v>1021.482</c:v>
                </c:pt>
                <c:pt idx="7">
                  <c:v>1035.3389999999999</c:v>
                </c:pt>
                <c:pt idx="8">
                  <c:v>1034.25</c:v>
                </c:pt>
                <c:pt idx="9">
                  <c:v>1036.078</c:v>
                </c:pt>
                <c:pt idx="10">
                  <c:v>1024.2539999999999</c:v>
                </c:pt>
                <c:pt idx="11">
                  <c:v>1022.385</c:v>
                </c:pt>
                <c:pt idx="12">
                  <c:v>1007.6320000000001</c:v>
                </c:pt>
                <c:pt idx="13">
                  <c:v>993</c:v>
                </c:pt>
                <c:pt idx="14">
                  <c:v>959.47199999999998</c:v>
                </c:pt>
                <c:pt idx="15">
                  <c:v>945</c:v>
                </c:pt>
                <c:pt idx="16">
                  <c:v>918.44999999999993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FF-4900-8068-27F080A017B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lux_1_245_cct_2200_2400!$I$55:$Y$55</c:f>
              <c:numCache>
                <c:formatCode>General</c:formatCode>
                <c:ptCount val="17"/>
                <c:pt idx="0">
                  <c:v>937.72800000000007</c:v>
                </c:pt>
                <c:pt idx="1">
                  <c:v>933.99899999999991</c:v>
                </c:pt>
                <c:pt idx="2">
                  <c:v>923.31200000000001</c:v>
                </c:pt>
                <c:pt idx="3">
                  <c:v>954.22199999999998</c:v>
                </c:pt>
                <c:pt idx="4">
                  <c:v>979</c:v>
                </c:pt>
                <c:pt idx="5">
                  <c:v>1002.6</c:v>
                </c:pt>
                <c:pt idx="6">
                  <c:v>1015.5740000000001</c:v>
                </c:pt>
                <c:pt idx="7">
                  <c:v>1014.375</c:v>
                </c:pt>
                <c:pt idx="8">
                  <c:v>1022.385</c:v>
                </c:pt>
                <c:pt idx="9">
                  <c:v>1019.9999999999999</c:v>
                </c:pt>
                <c:pt idx="10">
                  <c:v>1028.2159999999999</c:v>
                </c:pt>
                <c:pt idx="11">
                  <c:v>1017.082</c:v>
                </c:pt>
                <c:pt idx="12">
                  <c:v>993.5</c:v>
                </c:pt>
                <c:pt idx="13">
                  <c:v>965.74000000000012</c:v>
                </c:pt>
                <c:pt idx="14">
                  <c:v>931.41799999999989</c:v>
                </c:pt>
                <c:pt idx="15">
                  <c:v>937.75</c:v>
                </c:pt>
                <c:pt idx="16">
                  <c:v>929.73599999999999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FF-4900-8068-27F080A017B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lux_1_245_cct_2200_2400!$I$56:$Y$56</c:f>
              <c:numCache>
                <c:formatCode>General</c:formatCode>
                <c:ptCount val="17"/>
                <c:pt idx="0">
                  <c:v>904.18</c:v>
                </c:pt>
                <c:pt idx="1">
                  <c:v>906.64800000000002</c:v>
                </c:pt>
                <c:pt idx="2">
                  <c:v>918.31299999999999</c:v>
                </c:pt>
                <c:pt idx="3">
                  <c:v>957.98599999999999</c:v>
                </c:pt>
                <c:pt idx="4">
                  <c:v>975.04000000000008</c:v>
                </c:pt>
                <c:pt idx="5">
                  <c:v>957.16399999999987</c:v>
                </c:pt>
                <c:pt idx="6">
                  <c:v>992.25599999999997</c:v>
                </c:pt>
                <c:pt idx="7">
                  <c:v>999.64800000000002</c:v>
                </c:pt>
                <c:pt idx="8">
                  <c:v>983.68000000000006</c:v>
                </c:pt>
                <c:pt idx="9">
                  <c:v>1009.26</c:v>
                </c:pt>
                <c:pt idx="10">
                  <c:v>979.6</c:v>
                </c:pt>
                <c:pt idx="11">
                  <c:v>977.202</c:v>
                </c:pt>
                <c:pt idx="12">
                  <c:v>954.84799999999996</c:v>
                </c:pt>
                <c:pt idx="13">
                  <c:v>931.07299999999998</c:v>
                </c:pt>
                <c:pt idx="14">
                  <c:v>921.72299999999996</c:v>
                </c:pt>
                <c:pt idx="15">
                  <c:v>896.58399999999995</c:v>
                </c:pt>
                <c:pt idx="16">
                  <c:v>874.5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FF-4900-8068-27F080A017B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lux_1_245_cct_2700_3100!$I$2:$Y$2</c:f>
              <c:numCache>
                <c:formatCode>General</c:formatCode>
                <c:ptCount val="17"/>
                <c:pt idx="0">
                  <c:v>918.47699999999998</c:v>
                </c:pt>
                <c:pt idx="1">
                  <c:v>941.22</c:v>
                </c:pt>
                <c:pt idx="2">
                  <c:v>977.31100000000004</c:v>
                </c:pt>
                <c:pt idx="3">
                  <c:v>995.27700000000004</c:v>
                </c:pt>
                <c:pt idx="4">
                  <c:v>1036.32</c:v>
                </c:pt>
                <c:pt idx="5">
                  <c:v>1023.99</c:v>
                </c:pt>
                <c:pt idx="6">
                  <c:v>1038.23</c:v>
                </c:pt>
                <c:pt idx="7">
                  <c:v>1073.732</c:v>
                </c:pt>
                <c:pt idx="8">
                  <c:v>1050.6859999999999</c:v>
                </c:pt>
                <c:pt idx="9">
                  <c:v>1073.2259999999999</c:v>
                </c:pt>
                <c:pt idx="10">
                  <c:v>1064.2560000000001</c:v>
                </c:pt>
                <c:pt idx="11">
                  <c:v>1058.4970000000001</c:v>
                </c:pt>
                <c:pt idx="12">
                  <c:v>1031.0160000000001</c:v>
                </c:pt>
                <c:pt idx="13">
                  <c:v>993.47199999999987</c:v>
                </c:pt>
                <c:pt idx="14">
                  <c:v>980.48099999999999</c:v>
                </c:pt>
                <c:pt idx="15">
                  <c:v>937.98</c:v>
                </c:pt>
                <c:pt idx="16">
                  <c:v>906.52700000000004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85-4FF6-A5D3-2AAB0FF01B6A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lux_1_245_cct_2700_3100!$I$3:$Y$3</c:f>
              <c:numCache>
                <c:formatCode>General</c:formatCode>
                <c:ptCount val="17"/>
                <c:pt idx="0">
                  <c:v>989.28000000000009</c:v>
                </c:pt>
                <c:pt idx="1">
                  <c:v>1007.109</c:v>
                </c:pt>
                <c:pt idx="2">
                  <c:v>1008.8599999999999</c:v>
                </c:pt>
                <c:pt idx="3">
                  <c:v>1053.27</c:v>
                </c:pt>
                <c:pt idx="4">
                  <c:v>1062.67</c:v>
                </c:pt>
                <c:pt idx="5">
                  <c:v>1094.501</c:v>
                </c:pt>
                <c:pt idx="6">
                  <c:v>1084.008</c:v>
                </c:pt>
                <c:pt idx="7">
                  <c:v>1098.5999999999999</c:v>
                </c:pt>
                <c:pt idx="8">
                  <c:v>1100.4110000000001</c:v>
                </c:pt>
                <c:pt idx="9">
                  <c:v>1096.2</c:v>
                </c:pt>
                <c:pt idx="10">
                  <c:v>1105.3440000000001</c:v>
                </c:pt>
                <c:pt idx="11">
                  <c:v>1092.385</c:v>
                </c:pt>
                <c:pt idx="12">
                  <c:v>1062.67</c:v>
                </c:pt>
                <c:pt idx="13">
                  <c:v>1053.693</c:v>
                </c:pt>
                <c:pt idx="14">
                  <c:v>1012.875</c:v>
                </c:pt>
                <c:pt idx="15">
                  <c:v>1005.524</c:v>
                </c:pt>
                <c:pt idx="16">
                  <c:v>917.745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85-4FF6-A5D3-2AAB0FF01B6A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lux_1_245_cct_2700_3100!$I$4:$Y$4</c:f>
              <c:numCache>
                <c:formatCode>General</c:formatCode>
                <c:ptCount val="17"/>
                <c:pt idx="0">
                  <c:v>982.81</c:v>
                </c:pt>
                <c:pt idx="1">
                  <c:v>1018.405</c:v>
                </c:pt>
                <c:pt idx="2">
                  <c:v>1040.712</c:v>
                </c:pt>
                <c:pt idx="3">
                  <c:v>1057.03</c:v>
                </c:pt>
                <c:pt idx="4">
                  <c:v>1083.0819999999999</c:v>
                </c:pt>
                <c:pt idx="5">
                  <c:v>1099.1889999999999</c:v>
                </c:pt>
                <c:pt idx="6">
                  <c:v>1100.81</c:v>
                </c:pt>
                <c:pt idx="7">
                  <c:v>1092.182</c:v>
                </c:pt>
                <c:pt idx="8">
                  <c:v>1088.4059999999999</c:v>
                </c:pt>
                <c:pt idx="9">
                  <c:v>1095.0059999999999</c:v>
                </c:pt>
                <c:pt idx="10">
                  <c:v>1106.8399999999999</c:v>
                </c:pt>
                <c:pt idx="11">
                  <c:v>1103.4660000000001</c:v>
                </c:pt>
                <c:pt idx="12">
                  <c:v>1086.8689999999999</c:v>
                </c:pt>
                <c:pt idx="13">
                  <c:v>1061.26</c:v>
                </c:pt>
                <c:pt idx="14">
                  <c:v>1043.184</c:v>
                </c:pt>
                <c:pt idx="15">
                  <c:v>1014.522</c:v>
                </c:pt>
                <c:pt idx="16">
                  <c:v>965.99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85-4FF6-A5D3-2AAB0FF01B6A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lux_1_245_cct_2700_3100!$I$5:$Y$5</c:f>
              <c:numCache>
                <c:formatCode>General</c:formatCode>
                <c:ptCount val="17"/>
                <c:pt idx="0">
                  <c:v>979.99400000000003</c:v>
                </c:pt>
                <c:pt idx="1">
                  <c:v>1012.944</c:v>
                </c:pt>
                <c:pt idx="2">
                  <c:v>1052.6849999999999</c:v>
                </c:pt>
                <c:pt idx="3">
                  <c:v>1087.624</c:v>
                </c:pt>
                <c:pt idx="4">
                  <c:v>1096.7449999999999</c:v>
                </c:pt>
                <c:pt idx="5">
                  <c:v>1095.1320000000001</c:v>
                </c:pt>
                <c:pt idx="6">
                  <c:v>1083.3519999999999</c:v>
                </c:pt>
                <c:pt idx="7">
                  <c:v>1074.575</c:v>
                </c:pt>
                <c:pt idx="8">
                  <c:v>1082.9949999999999</c:v>
                </c:pt>
                <c:pt idx="9">
                  <c:v>1079.441</c:v>
                </c:pt>
                <c:pt idx="10">
                  <c:v>1092.52</c:v>
                </c:pt>
                <c:pt idx="11">
                  <c:v>1104.154</c:v>
                </c:pt>
                <c:pt idx="12">
                  <c:v>1104.077</c:v>
                </c:pt>
                <c:pt idx="13">
                  <c:v>1092.385</c:v>
                </c:pt>
                <c:pt idx="14">
                  <c:v>1053.5790000000002</c:v>
                </c:pt>
                <c:pt idx="15">
                  <c:v>1006.176</c:v>
                </c:pt>
                <c:pt idx="16">
                  <c:v>961.154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85-4FF6-A5D3-2AAB0FF01B6A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lux_1_245_cct_2700_3100!$I$6:$Y$6</c:f>
              <c:numCache>
                <c:formatCode>General</c:formatCode>
                <c:ptCount val="17"/>
                <c:pt idx="0">
                  <c:v>974.69100000000003</c:v>
                </c:pt>
                <c:pt idx="1">
                  <c:v>1050.5999999999999</c:v>
                </c:pt>
                <c:pt idx="2">
                  <c:v>1066.6659999999999</c:v>
                </c:pt>
                <c:pt idx="3">
                  <c:v>1099.5840000000001</c:v>
                </c:pt>
                <c:pt idx="4">
                  <c:v>1096.79</c:v>
                </c:pt>
                <c:pt idx="5">
                  <c:v>1081.06</c:v>
                </c:pt>
                <c:pt idx="6">
                  <c:v>1069.761</c:v>
                </c:pt>
                <c:pt idx="7">
                  <c:v>1062.47</c:v>
                </c:pt>
                <c:pt idx="8">
                  <c:v>1062.7759999999998</c:v>
                </c:pt>
                <c:pt idx="9">
                  <c:v>1065.1849999999999</c:v>
                </c:pt>
                <c:pt idx="10">
                  <c:v>1073.9960000000001</c:v>
                </c:pt>
                <c:pt idx="11">
                  <c:v>1084.116</c:v>
                </c:pt>
                <c:pt idx="12">
                  <c:v>1098.8</c:v>
                </c:pt>
                <c:pt idx="13">
                  <c:v>1101.8879999999999</c:v>
                </c:pt>
                <c:pt idx="14">
                  <c:v>1070.5219999999999</c:v>
                </c:pt>
                <c:pt idx="15">
                  <c:v>1019.6</c:v>
                </c:pt>
                <c:pt idx="16">
                  <c:v>977.3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85-4FF6-A5D3-2AAB0FF01B6A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lux_1_245_cct_2700_3100!$I$7:$Y$7</c:f>
              <c:numCache>
                <c:formatCode>General</c:formatCode>
                <c:ptCount val="17"/>
                <c:pt idx="0">
                  <c:v>979.8</c:v>
                </c:pt>
                <c:pt idx="1">
                  <c:v>1041.4260000000002</c:v>
                </c:pt>
                <c:pt idx="2">
                  <c:v>1070.19</c:v>
                </c:pt>
                <c:pt idx="3">
                  <c:v>1083</c:v>
                </c:pt>
                <c:pt idx="4">
                  <c:v>1080.18</c:v>
                </c:pt>
                <c:pt idx="5">
                  <c:v>1068.087</c:v>
                </c:pt>
                <c:pt idx="6">
                  <c:v>1058.8499999999999</c:v>
                </c:pt>
                <c:pt idx="7">
                  <c:v>1037.2640000000001</c:v>
                </c:pt>
                <c:pt idx="8">
                  <c:v>1029.4960000000001</c:v>
                </c:pt>
                <c:pt idx="9">
                  <c:v>1052.1280000000002</c:v>
                </c:pt>
                <c:pt idx="10">
                  <c:v>1060.6599999999999</c:v>
                </c:pt>
                <c:pt idx="11">
                  <c:v>1067.2760000000001</c:v>
                </c:pt>
                <c:pt idx="12">
                  <c:v>1079.4739999999999</c:v>
                </c:pt>
                <c:pt idx="13">
                  <c:v>1084.8</c:v>
                </c:pt>
                <c:pt idx="14">
                  <c:v>1075.25</c:v>
                </c:pt>
                <c:pt idx="15">
                  <c:v>1043.9639999999999</c:v>
                </c:pt>
                <c:pt idx="16">
                  <c:v>973.245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85-4FF6-A5D3-2AAB0FF01B6A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lux_1_245_cct_2700_3100!$I$8:$Y$8</c:f>
              <c:numCache>
                <c:formatCode>General</c:formatCode>
                <c:ptCount val="17"/>
                <c:pt idx="0">
                  <c:v>1006.0260000000001</c:v>
                </c:pt>
                <c:pt idx="1">
                  <c:v>1059.2250000000001</c:v>
                </c:pt>
                <c:pt idx="2">
                  <c:v>1075.877</c:v>
                </c:pt>
                <c:pt idx="3">
                  <c:v>1077.8040000000001</c:v>
                </c:pt>
                <c:pt idx="4">
                  <c:v>1082.5650000000001</c:v>
                </c:pt>
                <c:pt idx="5">
                  <c:v>1062.9549999999999</c:v>
                </c:pt>
                <c:pt idx="6">
                  <c:v>1046.9829999999999</c:v>
                </c:pt>
                <c:pt idx="7">
                  <c:v>1032.9660000000001</c:v>
                </c:pt>
                <c:pt idx="8">
                  <c:v>1027.0920000000001</c:v>
                </c:pt>
                <c:pt idx="9">
                  <c:v>1035.963</c:v>
                </c:pt>
                <c:pt idx="10">
                  <c:v>1067.0939999999998</c:v>
                </c:pt>
                <c:pt idx="11">
                  <c:v>1067.1300000000001</c:v>
                </c:pt>
                <c:pt idx="12">
                  <c:v>1086.21</c:v>
                </c:pt>
                <c:pt idx="13">
                  <c:v>1082.0809999999999</c:v>
                </c:pt>
                <c:pt idx="14">
                  <c:v>1078.462</c:v>
                </c:pt>
                <c:pt idx="15">
                  <c:v>1027.4669999999999</c:v>
                </c:pt>
                <c:pt idx="16">
                  <c:v>1003.941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85-4FF6-A5D3-2AAB0FF01B6A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lux_1_245_cct_2700_3100!$I$9:$Y$9</c:f>
              <c:numCache>
                <c:formatCode>General</c:formatCode>
                <c:ptCount val="17"/>
                <c:pt idx="0">
                  <c:v>981.87</c:v>
                </c:pt>
                <c:pt idx="1">
                  <c:v>1041.0029999999999</c:v>
                </c:pt>
                <c:pt idx="2">
                  <c:v>1065.1299999999999</c:v>
                </c:pt>
                <c:pt idx="3">
                  <c:v>1093.69</c:v>
                </c:pt>
                <c:pt idx="4">
                  <c:v>1083.3869999999999</c:v>
                </c:pt>
                <c:pt idx="5">
                  <c:v>1068.2540000000001</c:v>
                </c:pt>
                <c:pt idx="6">
                  <c:v>1056.384</c:v>
                </c:pt>
                <c:pt idx="7">
                  <c:v>1032.6079999999999</c:v>
                </c:pt>
                <c:pt idx="8">
                  <c:v>1027.971</c:v>
                </c:pt>
                <c:pt idx="9">
                  <c:v>1040.4160000000002</c:v>
                </c:pt>
                <c:pt idx="10">
                  <c:v>1067.3879999999999</c:v>
                </c:pt>
                <c:pt idx="11">
                  <c:v>1077.307</c:v>
                </c:pt>
                <c:pt idx="12">
                  <c:v>1091.991</c:v>
                </c:pt>
                <c:pt idx="13">
                  <c:v>1080.5999999999999</c:v>
                </c:pt>
                <c:pt idx="14">
                  <c:v>1068.672</c:v>
                </c:pt>
                <c:pt idx="15">
                  <c:v>1035.5039999999999</c:v>
                </c:pt>
                <c:pt idx="16">
                  <c:v>963.2399999999999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85-4FF6-A5D3-2AAB0FF01B6A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lux_1_245_cct_2700_3100!$I$10:$Y$10</c:f>
              <c:numCache>
                <c:formatCode>General</c:formatCode>
                <c:ptCount val="17"/>
                <c:pt idx="0">
                  <c:v>976.02300000000002</c:v>
                </c:pt>
                <c:pt idx="1">
                  <c:v>1049.364</c:v>
                </c:pt>
                <c:pt idx="2">
                  <c:v>1061.846</c:v>
                </c:pt>
                <c:pt idx="3">
                  <c:v>1089.2159999999999</c:v>
                </c:pt>
                <c:pt idx="4">
                  <c:v>1082.05</c:v>
                </c:pt>
                <c:pt idx="5">
                  <c:v>1081.7439999999999</c:v>
                </c:pt>
                <c:pt idx="6">
                  <c:v>1067.3520000000001</c:v>
                </c:pt>
                <c:pt idx="7">
                  <c:v>1057.3009999999999</c:v>
                </c:pt>
                <c:pt idx="8">
                  <c:v>1055.8020000000001</c:v>
                </c:pt>
                <c:pt idx="9">
                  <c:v>1060.0519999999999</c:v>
                </c:pt>
                <c:pt idx="10">
                  <c:v>1071.6420000000001</c:v>
                </c:pt>
                <c:pt idx="11">
                  <c:v>1086.3999999999999</c:v>
                </c:pt>
                <c:pt idx="12">
                  <c:v>1088.0800000000002</c:v>
                </c:pt>
                <c:pt idx="13">
                  <c:v>1094.9760000000001</c:v>
                </c:pt>
                <c:pt idx="14">
                  <c:v>1064.2560000000001</c:v>
                </c:pt>
                <c:pt idx="15">
                  <c:v>1045.2439999999999</c:v>
                </c:pt>
                <c:pt idx="16">
                  <c:v>961.70399999999995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85-4FF6-A5D3-2AAB0FF01B6A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lux_1_245_cct_2700_3100!$I$11:$Y$11</c:f>
              <c:numCache>
                <c:formatCode>General</c:formatCode>
                <c:ptCount val="17"/>
                <c:pt idx="0">
                  <c:v>1000.6750000000001</c:v>
                </c:pt>
                <c:pt idx="1">
                  <c:v>1035.5720000000001</c:v>
                </c:pt>
                <c:pt idx="2">
                  <c:v>1042.8510000000001</c:v>
                </c:pt>
                <c:pt idx="3">
                  <c:v>1077.5729999999999</c:v>
                </c:pt>
                <c:pt idx="4">
                  <c:v>1083.914</c:v>
                </c:pt>
                <c:pt idx="5">
                  <c:v>1078.4760000000001</c:v>
                </c:pt>
                <c:pt idx="6">
                  <c:v>1080.192</c:v>
                </c:pt>
                <c:pt idx="7">
                  <c:v>1066.6079999999999</c:v>
                </c:pt>
                <c:pt idx="8">
                  <c:v>1055.44</c:v>
                </c:pt>
                <c:pt idx="9">
                  <c:v>1065.7849999999999</c:v>
                </c:pt>
                <c:pt idx="10">
                  <c:v>1060.432</c:v>
                </c:pt>
                <c:pt idx="11">
                  <c:v>1074.3120000000001</c:v>
                </c:pt>
                <c:pt idx="12">
                  <c:v>1080.8589999999999</c:v>
                </c:pt>
                <c:pt idx="13">
                  <c:v>1077.5729999999999</c:v>
                </c:pt>
                <c:pt idx="14">
                  <c:v>1045.5329999999999</c:v>
                </c:pt>
                <c:pt idx="15">
                  <c:v>1035.184</c:v>
                </c:pt>
                <c:pt idx="16">
                  <c:v>949.21999999999991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85-4FF6-A5D3-2AAB0FF01B6A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lux_1_245_cct_2700_3100!$I$12:$Y$12</c:f>
              <c:numCache>
                <c:formatCode>General</c:formatCode>
                <c:ptCount val="17"/>
                <c:pt idx="0">
                  <c:v>971.79</c:v>
                </c:pt>
                <c:pt idx="1">
                  <c:v>1010.992</c:v>
                </c:pt>
                <c:pt idx="2">
                  <c:v>1034.944</c:v>
                </c:pt>
                <c:pt idx="3">
                  <c:v>1074.3780000000002</c:v>
                </c:pt>
                <c:pt idx="4">
                  <c:v>1069.557</c:v>
                </c:pt>
                <c:pt idx="5">
                  <c:v>1082.0809999999999</c:v>
                </c:pt>
                <c:pt idx="6">
                  <c:v>1079.3699999999999</c:v>
                </c:pt>
                <c:pt idx="7">
                  <c:v>1083.3869999999999</c:v>
                </c:pt>
                <c:pt idx="8">
                  <c:v>1076.7330000000002</c:v>
                </c:pt>
                <c:pt idx="9">
                  <c:v>1081.2360000000001</c:v>
                </c:pt>
                <c:pt idx="10">
                  <c:v>1077.3600000000001</c:v>
                </c:pt>
                <c:pt idx="11">
                  <c:v>1079.0260000000001</c:v>
                </c:pt>
                <c:pt idx="12">
                  <c:v>1066.3110000000001</c:v>
                </c:pt>
                <c:pt idx="13">
                  <c:v>1046.6899999999998</c:v>
                </c:pt>
                <c:pt idx="14">
                  <c:v>1033.7079999999999</c:v>
                </c:pt>
                <c:pt idx="15">
                  <c:v>1008.168</c:v>
                </c:pt>
                <c:pt idx="16">
                  <c:v>961.06000000000006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85-4FF6-A5D3-2AAB0FF01B6A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lux_1_245_cct_2700_3100!$I$13:$Y$13</c:f>
              <c:numCache>
                <c:formatCode>General</c:formatCode>
                <c:ptCount val="17"/>
                <c:pt idx="0">
                  <c:v>986.57999999999993</c:v>
                </c:pt>
                <c:pt idx="1">
                  <c:v>1000.769</c:v>
                </c:pt>
                <c:pt idx="2">
                  <c:v>1002.29</c:v>
                </c:pt>
                <c:pt idx="3">
                  <c:v>1043.9639999999999</c:v>
                </c:pt>
                <c:pt idx="4">
                  <c:v>1073.8960000000002</c:v>
                </c:pt>
                <c:pt idx="5">
                  <c:v>1073.3409999999999</c:v>
                </c:pt>
                <c:pt idx="6">
                  <c:v>1082.8799999999999</c:v>
                </c:pt>
                <c:pt idx="7">
                  <c:v>1093.079</c:v>
                </c:pt>
                <c:pt idx="8">
                  <c:v>1076.5820000000001</c:v>
                </c:pt>
                <c:pt idx="9">
                  <c:v>1096.7449999999999</c:v>
                </c:pt>
                <c:pt idx="10">
                  <c:v>1088.6399999999999</c:v>
                </c:pt>
                <c:pt idx="11">
                  <c:v>1077.5729999999999</c:v>
                </c:pt>
                <c:pt idx="12">
                  <c:v>1075.8240000000001</c:v>
                </c:pt>
                <c:pt idx="13">
                  <c:v>1042.2719999999999</c:v>
                </c:pt>
                <c:pt idx="14">
                  <c:v>998.6400000000001</c:v>
                </c:pt>
                <c:pt idx="15">
                  <c:v>991.89300000000003</c:v>
                </c:pt>
                <c:pt idx="16">
                  <c:v>964.71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85-4FF6-A5D3-2AAB0FF01B6A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lux_1_245_cct_2700_3100!$I$14:$Y$14</c:f>
              <c:numCache>
                <c:formatCode>General</c:formatCode>
                <c:ptCount val="17"/>
                <c:pt idx="0">
                  <c:v>993.48</c:v>
                </c:pt>
                <c:pt idx="1">
                  <c:v>1003.288</c:v>
                </c:pt>
                <c:pt idx="2">
                  <c:v>975.40899999999999</c:v>
                </c:pt>
                <c:pt idx="3">
                  <c:v>992.02800000000013</c:v>
                </c:pt>
                <c:pt idx="4">
                  <c:v>1020.0999999999999</c:v>
                </c:pt>
                <c:pt idx="5">
                  <c:v>1051.732</c:v>
                </c:pt>
                <c:pt idx="6">
                  <c:v>1053.17</c:v>
                </c:pt>
                <c:pt idx="7">
                  <c:v>1054.702</c:v>
                </c:pt>
                <c:pt idx="8">
                  <c:v>1074.8430000000001</c:v>
                </c:pt>
                <c:pt idx="9">
                  <c:v>1059.7220000000002</c:v>
                </c:pt>
                <c:pt idx="10">
                  <c:v>1065.702</c:v>
                </c:pt>
                <c:pt idx="11">
                  <c:v>1062.556</c:v>
                </c:pt>
                <c:pt idx="12">
                  <c:v>1023.7359999999999</c:v>
                </c:pt>
                <c:pt idx="13">
                  <c:v>992.75</c:v>
                </c:pt>
                <c:pt idx="14">
                  <c:v>969.70300000000009</c:v>
                </c:pt>
                <c:pt idx="15">
                  <c:v>983.26800000000003</c:v>
                </c:pt>
                <c:pt idx="16">
                  <c:v>959.31000000000006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85-4FF6-A5D3-2AAB0FF01B6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lux_1_245_cct_2700_3100!$I$16:$Y$16</c:f>
              <c:numCache>
                <c:formatCode>General</c:formatCode>
                <c:ptCount val="17"/>
                <c:pt idx="0">
                  <c:v>911.59199999999998</c:v>
                </c:pt>
                <c:pt idx="1">
                  <c:v>929.4</c:v>
                </c:pt>
                <c:pt idx="2">
                  <c:v>951.08400000000006</c:v>
                </c:pt>
                <c:pt idx="3">
                  <c:v>967.82399999999996</c:v>
                </c:pt>
                <c:pt idx="4">
                  <c:v>984.99800000000005</c:v>
                </c:pt>
                <c:pt idx="5">
                  <c:v>1001.2230000000001</c:v>
                </c:pt>
                <c:pt idx="6">
                  <c:v>1003.86</c:v>
                </c:pt>
                <c:pt idx="7">
                  <c:v>1021.8499999999999</c:v>
                </c:pt>
                <c:pt idx="8">
                  <c:v>1015.7439999999999</c:v>
                </c:pt>
                <c:pt idx="9">
                  <c:v>1021.8499999999999</c:v>
                </c:pt>
                <c:pt idx="10">
                  <c:v>1019.776</c:v>
                </c:pt>
                <c:pt idx="11">
                  <c:v>1002.6539999999999</c:v>
                </c:pt>
                <c:pt idx="12">
                  <c:v>986.30900000000008</c:v>
                </c:pt>
                <c:pt idx="13">
                  <c:v>970.99199999999996</c:v>
                </c:pt>
                <c:pt idx="14">
                  <c:v>959.08799999999997</c:v>
                </c:pt>
                <c:pt idx="15">
                  <c:v>934.80000000000007</c:v>
                </c:pt>
                <c:pt idx="16">
                  <c:v>910.27199999999993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5-4FC3-AD61-0C8F48790BD8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lux_1_245_cct_2700_3100!$I$17:$Y$17</c:f>
              <c:numCache>
                <c:formatCode>General</c:formatCode>
                <c:ptCount val="17"/>
                <c:pt idx="0">
                  <c:v>934.07600000000002</c:v>
                </c:pt>
                <c:pt idx="1">
                  <c:v>951.01400000000001</c:v>
                </c:pt>
                <c:pt idx="2">
                  <c:v>966.78</c:v>
                </c:pt>
                <c:pt idx="3">
                  <c:v>995.45600000000002</c:v>
                </c:pt>
                <c:pt idx="4">
                  <c:v>1021.0899999999999</c:v>
                </c:pt>
                <c:pt idx="5">
                  <c:v>1047.566</c:v>
                </c:pt>
                <c:pt idx="6">
                  <c:v>1058.8679999999999</c:v>
                </c:pt>
                <c:pt idx="7">
                  <c:v>1061.55</c:v>
                </c:pt>
                <c:pt idx="8">
                  <c:v>1065.3419999999999</c:v>
                </c:pt>
                <c:pt idx="9">
                  <c:v>1061.55</c:v>
                </c:pt>
                <c:pt idx="10">
                  <c:v>1061.883</c:v>
                </c:pt>
                <c:pt idx="11">
                  <c:v>1050.9199999999998</c:v>
                </c:pt>
                <c:pt idx="12">
                  <c:v>1027.126</c:v>
                </c:pt>
                <c:pt idx="13">
                  <c:v>1002.624</c:v>
                </c:pt>
                <c:pt idx="14">
                  <c:v>976.99800000000005</c:v>
                </c:pt>
                <c:pt idx="15">
                  <c:v>959.10199999999998</c:v>
                </c:pt>
                <c:pt idx="16">
                  <c:v>931.50200000000007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25-4FC3-AD61-0C8F48790BD8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lux_1_245_cct_2700_3100!$I$18:$Y$18</c:f>
              <c:numCache>
                <c:formatCode>General</c:formatCode>
                <c:ptCount val="17"/>
                <c:pt idx="0">
                  <c:v>955.12099999999998</c:v>
                </c:pt>
                <c:pt idx="1">
                  <c:v>965.19200000000001</c:v>
                </c:pt>
                <c:pt idx="2">
                  <c:v>997.15199999999993</c:v>
                </c:pt>
                <c:pt idx="3">
                  <c:v>1029.7070000000001</c:v>
                </c:pt>
                <c:pt idx="4">
                  <c:v>1047.6500000000001</c:v>
                </c:pt>
                <c:pt idx="5">
                  <c:v>1063.4190000000001</c:v>
                </c:pt>
                <c:pt idx="6">
                  <c:v>1068.501</c:v>
                </c:pt>
                <c:pt idx="7">
                  <c:v>1072.365</c:v>
                </c:pt>
                <c:pt idx="8">
                  <c:v>1081.376</c:v>
                </c:pt>
                <c:pt idx="9">
                  <c:v>1076.7750000000001</c:v>
                </c:pt>
                <c:pt idx="10">
                  <c:v>1078.9560000000001</c:v>
                </c:pt>
                <c:pt idx="11">
                  <c:v>1073.675</c:v>
                </c:pt>
                <c:pt idx="12">
                  <c:v>1058</c:v>
                </c:pt>
                <c:pt idx="13">
                  <c:v>1028.635</c:v>
                </c:pt>
                <c:pt idx="14">
                  <c:v>995.48599999999999</c:v>
                </c:pt>
                <c:pt idx="15">
                  <c:v>971.96</c:v>
                </c:pt>
                <c:pt idx="16">
                  <c:v>953.53600000000006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25-4FC3-AD61-0C8F48790BD8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lux_1_245_cct_2700_3100!$I$19:$Y$19</c:f>
              <c:numCache>
                <c:formatCode>General</c:formatCode>
                <c:ptCount val="17"/>
                <c:pt idx="0">
                  <c:v>951.13900000000001</c:v>
                </c:pt>
                <c:pt idx="1">
                  <c:v>980.78200000000004</c:v>
                </c:pt>
                <c:pt idx="2">
                  <c:v>1014.91</c:v>
                </c:pt>
                <c:pt idx="3">
                  <c:v>1042.5350000000001</c:v>
                </c:pt>
                <c:pt idx="4">
                  <c:v>1060.855</c:v>
                </c:pt>
                <c:pt idx="5">
                  <c:v>1070.0719999999999</c:v>
                </c:pt>
                <c:pt idx="6">
                  <c:v>1073.8040000000001</c:v>
                </c:pt>
                <c:pt idx="7">
                  <c:v>1073.9569999999999</c:v>
                </c:pt>
                <c:pt idx="8">
                  <c:v>1078.106</c:v>
                </c:pt>
                <c:pt idx="9">
                  <c:v>1080.6849999999999</c:v>
                </c:pt>
                <c:pt idx="10">
                  <c:v>1087.336</c:v>
                </c:pt>
                <c:pt idx="11">
                  <c:v>1085.2760000000001</c:v>
                </c:pt>
                <c:pt idx="12">
                  <c:v>1074.316</c:v>
                </c:pt>
                <c:pt idx="13">
                  <c:v>1054.8330000000001</c:v>
                </c:pt>
                <c:pt idx="14">
                  <c:v>1024.049</c:v>
                </c:pt>
                <c:pt idx="15">
                  <c:v>985.28099999999995</c:v>
                </c:pt>
                <c:pt idx="16">
                  <c:v>949.08100000000002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25-4FC3-AD61-0C8F48790BD8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lux_1_245_cct_2700_3100!$I$20:$Y$20</c:f>
              <c:numCache>
                <c:formatCode>General</c:formatCode>
                <c:ptCount val="17"/>
                <c:pt idx="0">
                  <c:v>944.16300000000001</c:v>
                </c:pt>
                <c:pt idx="1">
                  <c:v>992.86399999999992</c:v>
                </c:pt>
                <c:pt idx="2">
                  <c:v>1023.888</c:v>
                </c:pt>
                <c:pt idx="3">
                  <c:v>1061.568</c:v>
                </c:pt>
                <c:pt idx="4">
                  <c:v>1071.954</c:v>
                </c:pt>
                <c:pt idx="5">
                  <c:v>1070.6199999999999</c:v>
                </c:pt>
                <c:pt idx="6">
                  <c:v>1067.154</c:v>
                </c:pt>
                <c:pt idx="7">
                  <c:v>1060.527</c:v>
                </c:pt>
                <c:pt idx="8">
                  <c:v>1060.32</c:v>
                </c:pt>
                <c:pt idx="9">
                  <c:v>1065.1419999999998</c:v>
                </c:pt>
                <c:pt idx="10">
                  <c:v>1075.02</c:v>
                </c:pt>
                <c:pt idx="11">
                  <c:v>1080.172</c:v>
                </c:pt>
                <c:pt idx="12">
                  <c:v>1081.7819999999999</c:v>
                </c:pt>
                <c:pt idx="13">
                  <c:v>1063.0889999999999</c:v>
                </c:pt>
                <c:pt idx="14">
                  <c:v>1035.71</c:v>
                </c:pt>
                <c:pt idx="15">
                  <c:v>1002.915</c:v>
                </c:pt>
                <c:pt idx="16">
                  <c:v>949.24500000000012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25-4FC3-AD61-0C8F48790BD8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lux_1_245_cct_2700_3100!$I$21:$Y$21</c:f>
              <c:numCache>
                <c:formatCode>General</c:formatCode>
                <c:ptCount val="17"/>
                <c:pt idx="0">
                  <c:v>937.81200000000001</c:v>
                </c:pt>
                <c:pt idx="1">
                  <c:v>995.69399999999996</c:v>
                </c:pt>
                <c:pt idx="2">
                  <c:v>1024.8319999999999</c:v>
                </c:pt>
                <c:pt idx="3">
                  <c:v>1057.6680000000001</c:v>
                </c:pt>
                <c:pt idx="4">
                  <c:v>1076.4270000000001</c:v>
                </c:pt>
                <c:pt idx="5">
                  <c:v>1071.8819999999998</c:v>
                </c:pt>
                <c:pt idx="6">
                  <c:v>1062.7759999999998</c:v>
                </c:pt>
                <c:pt idx="7">
                  <c:v>1041.6559999999999</c:v>
                </c:pt>
                <c:pt idx="8">
                  <c:v>1030.82</c:v>
                </c:pt>
                <c:pt idx="9">
                  <c:v>1044.5929999999998</c:v>
                </c:pt>
                <c:pt idx="10">
                  <c:v>1068.3499999999999</c:v>
                </c:pt>
                <c:pt idx="11">
                  <c:v>1076.9579999999999</c:v>
                </c:pt>
                <c:pt idx="12">
                  <c:v>1073.7090000000001</c:v>
                </c:pt>
                <c:pt idx="13">
                  <c:v>1066.5720000000001</c:v>
                </c:pt>
                <c:pt idx="14">
                  <c:v>1036.624</c:v>
                </c:pt>
                <c:pt idx="15">
                  <c:v>1007.4720000000001</c:v>
                </c:pt>
                <c:pt idx="16">
                  <c:v>965.57999999999993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25-4FC3-AD61-0C8F48790BD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lux_1_245_cct_2700_3100!$I$22:$Y$22</c:f>
              <c:numCache>
                <c:formatCode>General</c:formatCode>
                <c:ptCount val="17"/>
                <c:pt idx="0">
                  <c:v>945</c:v>
                </c:pt>
                <c:pt idx="1">
                  <c:v>997.86599999999999</c:v>
                </c:pt>
                <c:pt idx="2">
                  <c:v>1030.548</c:v>
                </c:pt>
                <c:pt idx="3">
                  <c:v>1063.7370000000001</c:v>
                </c:pt>
                <c:pt idx="4">
                  <c:v>1063.4739999999999</c:v>
                </c:pt>
                <c:pt idx="5">
                  <c:v>1062.3530000000001</c:v>
                </c:pt>
                <c:pt idx="6">
                  <c:v>1053.7080000000001</c:v>
                </c:pt>
                <c:pt idx="7">
                  <c:v>1028.0269999999998</c:v>
                </c:pt>
                <c:pt idx="8">
                  <c:v>1027.0920000000001</c:v>
                </c:pt>
                <c:pt idx="9">
                  <c:v>1033.0319999999999</c:v>
                </c:pt>
                <c:pt idx="10">
                  <c:v>1065.1200000000001</c:v>
                </c:pt>
                <c:pt idx="11">
                  <c:v>1072.7090000000001</c:v>
                </c:pt>
                <c:pt idx="12">
                  <c:v>1074.8440000000001</c:v>
                </c:pt>
                <c:pt idx="13">
                  <c:v>1065.6089999999999</c:v>
                </c:pt>
                <c:pt idx="14">
                  <c:v>1040.941</c:v>
                </c:pt>
                <c:pt idx="15">
                  <c:v>1006.128</c:v>
                </c:pt>
                <c:pt idx="16">
                  <c:v>946.89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25-4FC3-AD61-0C8F48790BD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lux_1_245_cct_2700_3100!$I$23:$Y$23</c:f>
              <c:numCache>
                <c:formatCode>General</c:formatCode>
                <c:ptCount val="17"/>
                <c:pt idx="0">
                  <c:v>941.53200000000004</c:v>
                </c:pt>
                <c:pt idx="1">
                  <c:v>996.60000000000014</c:v>
                </c:pt>
                <c:pt idx="2">
                  <c:v>1033.5940000000001</c:v>
                </c:pt>
                <c:pt idx="3">
                  <c:v>1058.2909999999999</c:v>
                </c:pt>
                <c:pt idx="4">
                  <c:v>1065.222</c:v>
                </c:pt>
                <c:pt idx="5">
                  <c:v>1065.8519999999999</c:v>
                </c:pt>
                <c:pt idx="6">
                  <c:v>1053.7449999999999</c:v>
                </c:pt>
                <c:pt idx="7">
                  <c:v>1030.2479999999998</c:v>
                </c:pt>
                <c:pt idx="8">
                  <c:v>1025.0240000000001</c:v>
                </c:pt>
                <c:pt idx="9">
                  <c:v>1040.088</c:v>
                </c:pt>
                <c:pt idx="10">
                  <c:v>1062.7759999999998</c:v>
                </c:pt>
                <c:pt idx="11">
                  <c:v>1073.5739999999998</c:v>
                </c:pt>
                <c:pt idx="12">
                  <c:v>1072.2270000000001</c:v>
                </c:pt>
                <c:pt idx="13">
                  <c:v>1064.664</c:v>
                </c:pt>
                <c:pt idx="14">
                  <c:v>1033.4079999999999</c:v>
                </c:pt>
                <c:pt idx="15">
                  <c:v>1001.583</c:v>
                </c:pt>
                <c:pt idx="16">
                  <c:v>957.6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25-4FC3-AD61-0C8F48790BD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lux_1_245_cct_2700_3100!$I$24:$Y$24</c:f>
              <c:numCache>
                <c:formatCode>General</c:formatCode>
                <c:ptCount val="17"/>
                <c:pt idx="0">
                  <c:v>947.06700000000001</c:v>
                </c:pt>
                <c:pt idx="1">
                  <c:v>995.48599999999999</c:v>
                </c:pt>
                <c:pt idx="2">
                  <c:v>1022.86</c:v>
                </c:pt>
                <c:pt idx="3">
                  <c:v>1055.4880000000001</c:v>
                </c:pt>
                <c:pt idx="4">
                  <c:v>1070.4960000000001</c:v>
                </c:pt>
                <c:pt idx="5">
                  <c:v>1066.6600000000001</c:v>
                </c:pt>
                <c:pt idx="6">
                  <c:v>1060.0740000000001</c:v>
                </c:pt>
                <c:pt idx="7">
                  <c:v>1049.77</c:v>
                </c:pt>
                <c:pt idx="8">
                  <c:v>1052.7570000000001</c:v>
                </c:pt>
                <c:pt idx="9">
                  <c:v>1054.415</c:v>
                </c:pt>
                <c:pt idx="10">
                  <c:v>1067.106</c:v>
                </c:pt>
                <c:pt idx="11">
                  <c:v>1069.028</c:v>
                </c:pt>
                <c:pt idx="12">
                  <c:v>1074.06</c:v>
                </c:pt>
                <c:pt idx="13">
                  <c:v>1067.6479999999999</c:v>
                </c:pt>
                <c:pt idx="14">
                  <c:v>1032.1120000000001</c:v>
                </c:pt>
                <c:pt idx="15">
                  <c:v>1001.1669999999999</c:v>
                </c:pt>
                <c:pt idx="16">
                  <c:v>948.51900000000001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25-4FC3-AD61-0C8F48790BD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lux_1_245_cct_2700_3100!$I$25:$Y$25</c:f>
              <c:numCache>
                <c:formatCode>General</c:formatCode>
                <c:ptCount val="17"/>
                <c:pt idx="0">
                  <c:v>943.59299999999996</c:v>
                </c:pt>
                <c:pt idx="1">
                  <c:v>976.28300000000002</c:v>
                </c:pt>
                <c:pt idx="2">
                  <c:v>1011.0619999999999</c:v>
                </c:pt>
                <c:pt idx="3">
                  <c:v>1047.348</c:v>
                </c:pt>
                <c:pt idx="4">
                  <c:v>1064.3150000000001</c:v>
                </c:pt>
                <c:pt idx="5">
                  <c:v>1068.72</c:v>
                </c:pt>
                <c:pt idx="6">
                  <c:v>1059.4759999999999</c:v>
                </c:pt>
                <c:pt idx="7">
                  <c:v>1061.73</c:v>
                </c:pt>
                <c:pt idx="8">
                  <c:v>1061.49</c:v>
                </c:pt>
                <c:pt idx="9">
                  <c:v>1061.73</c:v>
                </c:pt>
                <c:pt idx="10">
                  <c:v>1061.068</c:v>
                </c:pt>
                <c:pt idx="11">
                  <c:v>1069.45</c:v>
                </c:pt>
                <c:pt idx="12">
                  <c:v>1066.903</c:v>
                </c:pt>
                <c:pt idx="13">
                  <c:v>1044.771</c:v>
                </c:pt>
                <c:pt idx="14">
                  <c:v>1020.201</c:v>
                </c:pt>
                <c:pt idx="15">
                  <c:v>984.87199999999996</c:v>
                </c:pt>
                <c:pt idx="16">
                  <c:v>951.82499999999993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25-4FC3-AD61-0C8F48790BD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lux_1_245_cct_2700_3100!$I$26:$Y$26</c:f>
              <c:numCache>
                <c:formatCode>General</c:formatCode>
                <c:ptCount val="17"/>
                <c:pt idx="0">
                  <c:v>950.3660000000001</c:v>
                </c:pt>
                <c:pt idx="1">
                  <c:v>964.43999999999994</c:v>
                </c:pt>
                <c:pt idx="2">
                  <c:v>986.74599999999998</c:v>
                </c:pt>
                <c:pt idx="3">
                  <c:v>1027.1619999999998</c:v>
                </c:pt>
                <c:pt idx="4">
                  <c:v>1041.9000000000001</c:v>
                </c:pt>
                <c:pt idx="5">
                  <c:v>1064.3150000000001</c:v>
                </c:pt>
                <c:pt idx="6">
                  <c:v>1064.934</c:v>
                </c:pt>
                <c:pt idx="7">
                  <c:v>1064.817</c:v>
                </c:pt>
                <c:pt idx="8">
                  <c:v>1059.568</c:v>
                </c:pt>
                <c:pt idx="9">
                  <c:v>1064.076</c:v>
                </c:pt>
                <c:pt idx="10">
                  <c:v>1065.636</c:v>
                </c:pt>
                <c:pt idx="11">
                  <c:v>1057.009</c:v>
                </c:pt>
                <c:pt idx="12">
                  <c:v>1045.3500000000001</c:v>
                </c:pt>
                <c:pt idx="13">
                  <c:v>1020.587</c:v>
                </c:pt>
                <c:pt idx="14">
                  <c:v>992.42699999999991</c:v>
                </c:pt>
                <c:pt idx="15">
                  <c:v>970.83199999999999</c:v>
                </c:pt>
                <c:pt idx="16">
                  <c:v>955.12099999999998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25-4FC3-AD61-0C8F48790BD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lux_1_245_cct_2700_3100!$I$27:$Y$27</c:f>
              <c:numCache>
                <c:formatCode>General</c:formatCode>
                <c:ptCount val="17"/>
                <c:pt idx="0">
                  <c:v>956.80799999999999</c:v>
                </c:pt>
                <c:pt idx="1">
                  <c:v>971.71900000000005</c:v>
                </c:pt>
                <c:pt idx="2">
                  <c:v>970.71</c:v>
                </c:pt>
                <c:pt idx="3">
                  <c:v>997.24800000000005</c:v>
                </c:pt>
                <c:pt idx="4">
                  <c:v>1018.072</c:v>
                </c:pt>
                <c:pt idx="5">
                  <c:v>1039.74</c:v>
                </c:pt>
                <c:pt idx="6">
                  <c:v>1049.22</c:v>
                </c:pt>
                <c:pt idx="7">
                  <c:v>1060.212</c:v>
                </c:pt>
                <c:pt idx="8">
                  <c:v>1055.086</c:v>
                </c:pt>
                <c:pt idx="9">
                  <c:v>1064.664</c:v>
                </c:pt>
                <c:pt idx="10">
                  <c:v>1058.2649999999999</c:v>
                </c:pt>
                <c:pt idx="11">
                  <c:v>1048.125</c:v>
                </c:pt>
                <c:pt idx="12">
                  <c:v>1024.6109999999999</c:v>
                </c:pt>
                <c:pt idx="13">
                  <c:v>1001.28</c:v>
                </c:pt>
                <c:pt idx="14">
                  <c:v>971.49599999999998</c:v>
                </c:pt>
                <c:pt idx="15">
                  <c:v>970.69</c:v>
                </c:pt>
                <c:pt idx="16">
                  <c:v>947.49599999999998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25-4FC3-AD61-0C8F48790BD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lux_1_245_cct_2700_3100!$I$28:$Y$28</c:f>
              <c:numCache>
                <c:formatCode>General</c:formatCode>
                <c:ptCount val="17"/>
                <c:pt idx="0">
                  <c:v>956.02599999999995</c:v>
                </c:pt>
                <c:pt idx="1">
                  <c:v>950.82</c:v>
                </c:pt>
                <c:pt idx="2">
                  <c:v>950.36699999999996</c:v>
                </c:pt>
                <c:pt idx="3">
                  <c:v>968.221</c:v>
                </c:pt>
                <c:pt idx="4">
                  <c:v>983.26799999999992</c:v>
                </c:pt>
                <c:pt idx="5">
                  <c:v>999.68999999999994</c:v>
                </c:pt>
                <c:pt idx="6">
                  <c:v>1016.028</c:v>
                </c:pt>
                <c:pt idx="7">
                  <c:v>1014.825</c:v>
                </c:pt>
                <c:pt idx="8">
                  <c:v>1030.27</c:v>
                </c:pt>
                <c:pt idx="9">
                  <c:v>1021.65</c:v>
                </c:pt>
                <c:pt idx="10">
                  <c:v>1028.1959999999999</c:v>
                </c:pt>
                <c:pt idx="11">
                  <c:v>1012.38</c:v>
                </c:pt>
                <c:pt idx="12">
                  <c:v>992.27700000000004</c:v>
                </c:pt>
                <c:pt idx="13">
                  <c:v>972.88900000000001</c:v>
                </c:pt>
                <c:pt idx="14">
                  <c:v>949.00299999999993</c:v>
                </c:pt>
                <c:pt idx="15">
                  <c:v>935.57100000000003</c:v>
                </c:pt>
                <c:pt idx="16">
                  <c:v>924.822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25-4FC3-AD61-0C8F48790BD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lux_1_245_cct_2700_3100!$I$30:$Y$30</c:f>
              <c:numCache>
                <c:formatCode>General</c:formatCode>
                <c:ptCount val="17"/>
                <c:pt idx="0">
                  <c:v>904.42399999999998</c:v>
                </c:pt>
                <c:pt idx="1">
                  <c:v>948.90599999999995</c:v>
                </c:pt>
                <c:pt idx="2">
                  <c:v>968.89800000000002</c:v>
                </c:pt>
                <c:pt idx="3">
                  <c:v>984.096</c:v>
                </c:pt>
                <c:pt idx="4">
                  <c:v>995.77800000000002</c:v>
                </c:pt>
                <c:pt idx="5">
                  <c:v>1015.7490000000001</c:v>
                </c:pt>
                <c:pt idx="6">
                  <c:v>1027.194</c:v>
                </c:pt>
                <c:pt idx="7">
                  <c:v>1043.952</c:v>
                </c:pt>
                <c:pt idx="8">
                  <c:v>1038.1590000000001</c:v>
                </c:pt>
                <c:pt idx="9">
                  <c:v>1044.498</c:v>
                </c:pt>
                <c:pt idx="10">
                  <c:v>1029.2660000000001</c:v>
                </c:pt>
                <c:pt idx="11">
                  <c:v>1016.715</c:v>
                </c:pt>
                <c:pt idx="12">
                  <c:v>996.65999999999985</c:v>
                </c:pt>
                <c:pt idx="13">
                  <c:v>986.50800000000004</c:v>
                </c:pt>
                <c:pt idx="14">
                  <c:v>975.97800000000007</c:v>
                </c:pt>
                <c:pt idx="15">
                  <c:v>953.80200000000002</c:v>
                </c:pt>
                <c:pt idx="16">
                  <c:v>903.37599999999998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B-4A65-AE8C-4D012139616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lux_1_245_cct_2700_3100!$I$31:$Y$31</c:f>
              <c:numCache>
                <c:formatCode>General</c:formatCode>
                <c:ptCount val="17"/>
                <c:pt idx="0">
                  <c:v>950.98799999999994</c:v>
                </c:pt>
                <c:pt idx="1">
                  <c:v>968.97500000000002</c:v>
                </c:pt>
                <c:pt idx="2">
                  <c:v>980.274</c:v>
                </c:pt>
                <c:pt idx="3">
                  <c:v>1007.9250000000001</c:v>
                </c:pt>
                <c:pt idx="4">
                  <c:v>1044.962</c:v>
                </c:pt>
                <c:pt idx="5">
                  <c:v>1058.6279999999999</c:v>
                </c:pt>
                <c:pt idx="6">
                  <c:v>1080.0259999999998</c:v>
                </c:pt>
                <c:pt idx="7">
                  <c:v>1081.367</c:v>
                </c:pt>
                <c:pt idx="8">
                  <c:v>1085.9390000000001</c:v>
                </c:pt>
                <c:pt idx="9">
                  <c:v>1081.367</c:v>
                </c:pt>
                <c:pt idx="10">
                  <c:v>1082.482</c:v>
                </c:pt>
                <c:pt idx="11">
                  <c:v>1061.4479999999999</c:v>
                </c:pt>
                <c:pt idx="12">
                  <c:v>1050.616</c:v>
                </c:pt>
                <c:pt idx="13">
                  <c:v>1013.814</c:v>
                </c:pt>
                <c:pt idx="14">
                  <c:v>989.42800000000011</c:v>
                </c:pt>
                <c:pt idx="15">
                  <c:v>976.178</c:v>
                </c:pt>
                <c:pt idx="16">
                  <c:v>947.20499999999993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B-4A65-AE8C-4D012139616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lux_1_245_cct_2700_3100!$I$32:$Y$32</c:f>
              <c:numCache>
                <c:formatCode>General</c:formatCode>
                <c:ptCount val="17"/>
                <c:pt idx="0">
                  <c:v>950.04</c:v>
                </c:pt>
                <c:pt idx="1">
                  <c:v>981.7399999999999</c:v>
                </c:pt>
                <c:pt idx="2">
                  <c:v>998.03600000000006</c:v>
                </c:pt>
                <c:pt idx="3">
                  <c:v>1030.7249999999999</c:v>
                </c:pt>
                <c:pt idx="4">
                  <c:v>1059.7440000000001</c:v>
                </c:pt>
                <c:pt idx="5">
                  <c:v>1084.633</c:v>
                </c:pt>
                <c:pt idx="6">
                  <c:v>1086.78</c:v>
                </c:pt>
                <c:pt idx="7">
                  <c:v>1090.6199999999999</c:v>
                </c:pt>
                <c:pt idx="8">
                  <c:v>1097.194</c:v>
                </c:pt>
                <c:pt idx="9">
                  <c:v>1095.1020000000001</c:v>
                </c:pt>
                <c:pt idx="10">
                  <c:v>1096.692</c:v>
                </c:pt>
                <c:pt idx="11">
                  <c:v>1094.4279999999999</c:v>
                </c:pt>
                <c:pt idx="12">
                  <c:v>1069.04</c:v>
                </c:pt>
                <c:pt idx="13">
                  <c:v>1040.905</c:v>
                </c:pt>
                <c:pt idx="14">
                  <c:v>1006.876</c:v>
                </c:pt>
                <c:pt idx="15">
                  <c:v>987.08800000000008</c:v>
                </c:pt>
                <c:pt idx="16">
                  <c:v>970.93799999999987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B-4A65-AE8C-4D012139616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lux_1_245_cct_2700_3100!$I$33:$Y$33</c:f>
              <c:numCache>
                <c:formatCode>General</c:formatCode>
                <c:ptCount val="17"/>
                <c:pt idx="0">
                  <c:v>952.16799999999989</c:v>
                </c:pt>
                <c:pt idx="1">
                  <c:v>981.59999999999991</c:v>
                </c:pt>
                <c:pt idx="2">
                  <c:v>1015.8720000000001</c:v>
                </c:pt>
                <c:pt idx="3">
                  <c:v>1052.9880000000001</c:v>
                </c:pt>
                <c:pt idx="4">
                  <c:v>1072.079</c:v>
                </c:pt>
                <c:pt idx="5">
                  <c:v>1087.8</c:v>
                </c:pt>
                <c:pt idx="6">
                  <c:v>1082.7</c:v>
                </c:pt>
                <c:pt idx="7">
                  <c:v>1088.0039999999999</c:v>
                </c:pt>
                <c:pt idx="8">
                  <c:v>1091.944</c:v>
                </c:pt>
                <c:pt idx="9">
                  <c:v>1094.82</c:v>
                </c:pt>
                <c:pt idx="10">
                  <c:v>1096.3340000000001</c:v>
                </c:pt>
                <c:pt idx="11">
                  <c:v>1094.27</c:v>
                </c:pt>
                <c:pt idx="12">
                  <c:v>1084.3720000000001</c:v>
                </c:pt>
                <c:pt idx="13">
                  <c:v>1063.704</c:v>
                </c:pt>
                <c:pt idx="14">
                  <c:v>1023.5680000000001</c:v>
                </c:pt>
                <c:pt idx="15">
                  <c:v>984.46299999999997</c:v>
                </c:pt>
                <c:pt idx="16">
                  <c:v>967.4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AB-4A65-AE8C-4D012139616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lux_1_245_cct_2700_3100!$I$34:$Y$34</c:f>
              <c:numCache>
                <c:formatCode>General</c:formatCode>
                <c:ptCount val="17"/>
                <c:pt idx="0">
                  <c:v>944.88900000000012</c:v>
                </c:pt>
                <c:pt idx="1">
                  <c:v>993.73800000000006</c:v>
                </c:pt>
                <c:pt idx="2">
                  <c:v>1036.8800000000001</c:v>
                </c:pt>
                <c:pt idx="3">
                  <c:v>1062.7840000000001</c:v>
                </c:pt>
                <c:pt idx="4">
                  <c:v>1082.5319999999999</c:v>
                </c:pt>
                <c:pt idx="5">
                  <c:v>1079.492</c:v>
                </c:pt>
                <c:pt idx="6">
                  <c:v>1074.1379999999999</c:v>
                </c:pt>
                <c:pt idx="7">
                  <c:v>1074.3150000000001</c:v>
                </c:pt>
                <c:pt idx="8">
                  <c:v>1072.7279999999998</c:v>
                </c:pt>
                <c:pt idx="9">
                  <c:v>1078.99</c:v>
                </c:pt>
                <c:pt idx="10">
                  <c:v>1081.17</c:v>
                </c:pt>
                <c:pt idx="11">
                  <c:v>1088.3140000000001</c:v>
                </c:pt>
                <c:pt idx="12">
                  <c:v>1081.08</c:v>
                </c:pt>
                <c:pt idx="13">
                  <c:v>1071.296</c:v>
                </c:pt>
                <c:pt idx="14">
                  <c:v>1035.1959999999999</c:v>
                </c:pt>
                <c:pt idx="15">
                  <c:v>1002.4780000000001</c:v>
                </c:pt>
                <c:pt idx="16">
                  <c:v>948.51900000000001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AB-4A65-AE8C-4D012139616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lux_1_245_cct_2700_3100!$I$35:$Y$35</c:f>
              <c:numCache>
                <c:formatCode>General</c:formatCode>
                <c:ptCount val="17"/>
                <c:pt idx="0">
                  <c:v>958.3599999999999</c:v>
                </c:pt>
                <c:pt idx="1">
                  <c:v>996.60000000000014</c:v>
                </c:pt>
                <c:pt idx="2">
                  <c:v>1025.904</c:v>
                </c:pt>
                <c:pt idx="3">
                  <c:v>1058.94</c:v>
                </c:pt>
                <c:pt idx="4">
                  <c:v>1077.921</c:v>
                </c:pt>
                <c:pt idx="5">
                  <c:v>1073.5739999999998</c:v>
                </c:pt>
                <c:pt idx="6">
                  <c:v>1063.7049999999999</c:v>
                </c:pt>
                <c:pt idx="7">
                  <c:v>1047.96</c:v>
                </c:pt>
                <c:pt idx="8">
                  <c:v>1037.0360000000001</c:v>
                </c:pt>
                <c:pt idx="9">
                  <c:v>1049.9279999999999</c:v>
                </c:pt>
                <c:pt idx="10">
                  <c:v>1069.279</c:v>
                </c:pt>
                <c:pt idx="11">
                  <c:v>1077.8040000000001</c:v>
                </c:pt>
                <c:pt idx="12">
                  <c:v>1074.45</c:v>
                </c:pt>
                <c:pt idx="13">
                  <c:v>1066.5720000000001</c:v>
                </c:pt>
                <c:pt idx="14">
                  <c:v>1036.624</c:v>
                </c:pt>
                <c:pt idx="15">
                  <c:v>1007.0189999999999</c:v>
                </c:pt>
                <c:pt idx="16">
                  <c:v>964.82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AB-4A65-AE8C-4D012139616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lux_1_245_cct_2700_3100!$I$36:$Y$36</c:f>
              <c:numCache>
                <c:formatCode>General</c:formatCode>
                <c:ptCount val="17"/>
                <c:pt idx="0">
                  <c:v>945.37799999999993</c:v>
                </c:pt>
                <c:pt idx="1">
                  <c:v>998.78400000000011</c:v>
                </c:pt>
                <c:pt idx="2">
                  <c:v>1031.6420000000001</c:v>
                </c:pt>
                <c:pt idx="3">
                  <c:v>1055.904</c:v>
                </c:pt>
                <c:pt idx="4">
                  <c:v>1065.748</c:v>
                </c:pt>
                <c:pt idx="5">
                  <c:v>1064.0790000000002</c:v>
                </c:pt>
                <c:pt idx="6">
                  <c:v>1050.0600000000002</c:v>
                </c:pt>
                <c:pt idx="7">
                  <c:v>1029.028</c:v>
                </c:pt>
                <c:pt idx="8">
                  <c:v>1028.1149999999998</c:v>
                </c:pt>
                <c:pt idx="9">
                  <c:v>1034.0329999999999</c:v>
                </c:pt>
                <c:pt idx="10">
                  <c:v>1060.4659999999999</c:v>
                </c:pt>
                <c:pt idx="11">
                  <c:v>1066.1079999999999</c:v>
                </c:pt>
                <c:pt idx="12">
                  <c:v>1067.088</c:v>
                </c:pt>
                <c:pt idx="13">
                  <c:v>1065.6089999999999</c:v>
                </c:pt>
                <c:pt idx="14">
                  <c:v>1030.884</c:v>
                </c:pt>
                <c:pt idx="15">
                  <c:v>1005.6689999999999</c:v>
                </c:pt>
                <c:pt idx="16">
                  <c:v>945.75599999999997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AB-4A65-AE8C-4D012139616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lux_1_245_cct_2700_3100!$I$37:$Y$37</c:f>
              <c:numCache>
                <c:formatCode>General</c:formatCode>
                <c:ptCount val="17"/>
                <c:pt idx="0">
                  <c:v>941.53200000000004</c:v>
                </c:pt>
                <c:pt idx="1">
                  <c:v>996.60000000000014</c:v>
                </c:pt>
                <c:pt idx="2">
                  <c:v>1022.688</c:v>
                </c:pt>
                <c:pt idx="3">
                  <c:v>1051.308</c:v>
                </c:pt>
                <c:pt idx="4">
                  <c:v>1058.1479999999999</c:v>
                </c:pt>
                <c:pt idx="5">
                  <c:v>1059.192</c:v>
                </c:pt>
                <c:pt idx="6">
                  <c:v>1047.9119999999998</c:v>
                </c:pt>
                <c:pt idx="7">
                  <c:v>1030.2479999999998</c:v>
                </c:pt>
                <c:pt idx="8">
                  <c:v>1024.0229999999999</c:v>
                </c:pt>
                <c:pt idx="9">
                  <c:v>1039.104</c:v>
                </c:pt>
                <c:pt idx="10">
                  <c:v>1055.9119999999998</c:v>
                </c:pt>
                <c:pt idx="11">
                  <c:v>1067.2289999999998</c:v>
                </c:pt>
                <c:pt idx="12">
                  <c:v>1072.2270000000001</c:v>
                </c:pt>
                <c:pt idx="13">
                  <c:v>1054.6199999999999</c:v>
                </c:pt>
                <c:pt idx="14">
                  <c:v>1032.336</c:v>
                </c:pt>
                <c:pt idx="15">
                  <c:v>989.63200000000006</c:v>
                </c:pt>
                <c:pt idx="16">
                  <c:v>941.35799999999995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AB-4A65-AE8C-4D012139616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lux_1_245_cct_2700_3100!$I$38:$Y$38</c:f>
              <c:numCache>
                <c:formatCode>General</c:formatCode>
                <c:ptCount val="17"/>
                <c:pt idx="0">
                  <c:v>946.70400000000006</c:v>
                </c:pt>
                <c:pt idx="1">
                  <c:v>995.48599999999999</c:v>
                </c:pt>
                <c:pt idx="2">
                  <c:v>1023.374</c:v>
                </c:pt>
                <c:pt idx="3">
                  <c:v>1046.808</c:v>
                </c:pt>
                <c:pt idx="4">
                  <c:v>1062.126</c:v>
                </c:pt>
                <c:pt idx="5">
                  <c:v>1058.68</c:v>
                </c:pt>
                <c:pt idx="6">
                  <c:v>1054.0439999999999</c:v>
                </c:pt>
                <c:pt idx="7">
                  <c:v>1042.067</c:v>
                </c:pt>
                <c:pt idx="8">
                  <c:v>1045.33</c:v>
                </c:pt>
                <c:pt idx="9">
                  <c:v>1046.682</c:v>
                </c:pt>
                <c:pt idx="10">
                  <c:v>1060.162</c:v>
                </c:pt>
                <c:pt idx="11">
                  <c:v>1061.5220000000002</c:v>
                </c:pt>
                <c:pt idx="12">
                  <c:v>1065.713</c:v>
                </c:pt>
                <c:pt idx="13">
                  <c:v>1057.662</c:v>
                </c:pt>
                <c:pt idx="14">
                  <c:v>1021.0539999999999</c:v>
                </c:pt>
                <c:pt idx="15">
                  <c:v>986.12799999999993</c:v>
                </c:pt>
                <c:pt idx="16">
                  <c:v>952.28499999999997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AB-4A65-AE8C-4D012139616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lux_1_245_cct_2700_3100!$I$39:$Y$39</c:f>
              <c:numCache>
                <c:formatCode>General</c:formatCode>
                <c:ptCount val="17"/>
                <c:pt idx="0">
                  <c:v>921.25</c:v>
                </c:pt>
                <c:pt idx="1">
                  <c:v>975.46499999999992</c:v>
                </c:pt>
                <c:pt idx="2">
                  <c:v>1000.076</c:v>
                </c:pt>
                <c:pt idx="3">
                  <c:v>1038.0630000000001</c:v>
                </c:pt>
                <c:pt idx="4">
                  <c:v>1053.8039999999999</c:v>
                </c:pt>
                <c:pt idx="5">
                  <c:v>1059.9359999999999</c:v>
                </c:pt>
                <c:pt idx="6">
                  <c:v>1059.4759999999999</c:v>
                </c:pt>
                <c:pt idx="7">
                  <c:v>1054.614</c:v>
                </c:pt>
                <c:pt idx="8">
                  <c:v>1052.396</c:v>
                </c:pt>
                <c:pt idx="9">
                  <c:v>1053.7729999999999</c:v>
                </c:pt>
                <c:pt idx="10">
                  <c:v>1052.8209999999999</c:v>
                </c:pt>
                <c:pt idx="11">
                  <c:v>1051.8970000000002</c:v>
                </c:pt>
                <c:pt idx="12">
                  <c:v>1047.492</c:v>
                </c:pt>
                <c:pt idx="13">
                  <c:v>1031.8980000000001</c:v>
                </c:pt>
                <c:pt idx="14">
                  <c:v>1007.692</c:v>
                </c:pt>
                <c:pt idx="15">
                  <c:v>971.21600000000001</c:v>
                </c:pt>
                <c:pt idx="16">
                  <c:v>954.95999999999992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AB-4A65-AE8C-4D012139616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lux_1_245_cct_2700_3100!$I$40:$Y$40</c:f>
              <c:numCache>
                <c:formatCode>General</c:formatCode>
                <c:ptCount val="17"/>
                <c:pt idx="0">
                  <c:v>949.41500000000008</c:v>
                </c:pt>
                <c:pt idx="1">
                  <c:v>963.6880000000001</c:v>
                </c:pt>
                <c:pt idx="2">
                  <c:v>986.30900000000008</c:v>
                </c:pt>
                <c:pt idx="3">
                  <c:v>1014.5509999999999</c:v>
                </c:pt>
                <c:pt idx="4">
                  <c:v>1032.27</c:v>
                </c:pt>
                <c:pt idx="5">
                  <c:v>1053.8039999999999</c:v>
                </c:pt>
                <c:pt idx="6">
                  <c:v>1055.9549999999999</c:v>
                </c:pt>
                <c:pt idx="7">
                  <c:v>1053.99</c:v>
                </c:pt>
                <c:pt idx="8">
                  <c:v>1050.2819999999999</c:v>
                </c:pt>
                <c:pt idx="9">
                  <c:v>1053.2550000000001</c:v>
                </c:pt>
                <c:pt idx="10">
                  <c:v>1056.652</c:v>
                </c:pt>
                <c:pt idx="11">
                  <c:v>1047.492</c:v>
                </c:pt>
                <c:pt idx="12">
                  <c:v>1034.55</c:v>
                </c:pt>
                <c:pt idx="13">
                  <c:v>1008.4499999999999</c:v>
                </c:pt>
                <c:pt idx="14">
                  <c:v>977.077</c:v>
                </c:pt>
                <c:pt idx="15">
                  <c:v>953.49</c:v>
                </c:pt>
                <c:pt idx="16">
                  <c:v>958.91399999999999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AB-4A65-AE8C-4D012139616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lux_1_245_cct_2700_3100!$I$41:$Y$41</c:f>
              <c:numCache>
                <c:formatCode>General</c:formatCode>
                <c:ptCount val="17"/>
                <c:pt idx="0">
                  <c:v>962.505</c:v>
                </c:pt>
                <c:pt idx="1">
                  <c:v>953.71</c:v>
                </c:pt>
                <c:pt idx="2">
                  <c:v>969.92399999999998</c:v>
                </c:pt>
                <c:pt idx="3">
                  <c:v>983.00800000000004</c:v>
                </c:pt>
                <c:pt idx="4">
                  <c:v>1007.4540000000001</c:v>
                </c:pt>
                <c:pt idx="5">
                  <c:v>1027.4740000000002</c:v>
                </c:pt>
                <c:pt idx="6">
                  <c:v>1038.183</c:v>
                </c:pt>
                <c:pt idx="7">
                  <c:v>1048.95</c:v>
                </c:pt>
                <c:pt idx="8">
                  <c:v>1044.9480000000001</c:v>
                </c:pt>
                <c:pt idx="9">
                  <c:v>1052.73</c:v>
                </c:pt>
                <c:pt idx="10">
                  <c:v>1045.944</c:v>
                </c:pt>
                <c:pt idx="11">
                  <c:v>1035.769</c:v>
                </c:pt>
                <c:pt idx="12">
                  <c:v>1012.9319999999999</c:v>
                </c:pt>
                <c:pt idx="13">
                  <c:v>986.10199999999998</c:v>
                </c:pt>
                <c:pt idx="14">
                  <c:v>954.72900000000004</c:v>
                </c:pt>
                <c:pt idx="15">
                  <c:v>951.68799999999999</c:v>
                </c:pt>
                <c:pt idx="16">
                  <c:v>951.95699999999999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AB-4A65-AE8C-4D012139616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lux_1_245_cct_2700_3100!$I$42:$Y$42</c:f>
              <c:numCache>
                <c:formatCode>General</c:formatCode>
                <c:ptCount val="17"/>
                <c:pt idx="0">
                  <c:v>962.05</c:v>
                </c:pt>
                <c:pt idx="1">
                  <c:v>952.5</c:v>
                </c:pt>
                <c:pt idx="2">
                  <c:v>949.34399999999994</c:v>
                </c:pt>
                <c:pt idx="3">
                  <c:v>952.52100000000007</c:v>
                </c:pt>
                <c:pt idx="4">
                  <c:v>987.42099999999994</c:v>
                </c:pt>
                <c:pt idx="5">
                  <c:v>986</c:v>
                </c:pt>
                <c:pt idx="6">
                  <c:v>1003.0019999999998</c:v>
                </c:pt>
                <c:pt idx="7">
                  <c:v>1004.12</c:v>
                </c:pt>
                <c:pt idx="8">
                  <c:v>1019.096</c:v>
                </c:pt>
                <c:pt idx="9">
                  <c:v>1009.8399999999999</c:v>
                </c:pt>
                <c:pt idx="10">
                  <c:v>1014.525</c:v>
                </c:pt>
                <c:pt idx="11">
                  <c:v>998.06399999999985</c:v>
                </c:pt>
                <c:pt idx="12">
                  <c:v>979.44</c:v>
                </c:pt>
                <c:pt idx="13">
                  <c:v>956.351</c:v>
                </c:pt>
                <c:pt idx="14">
                  <c:v>952.51100000000008</c:v>
                </c:pt>
                <c:pt idx="15">
                  <c:v>936.59999999999991</c:v>
                </c:pt>
                <c:pt idx="16">
                  <c:v>905.5200000000001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AB-4A65-AE8C-4D012139616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lux_1_245_cct_2700_3100!$I$44:$Y$44</c:f>
              <c:numCache>
                <c:formatCode>General</c:formatCode>
                <c:ptCount val="17"/>
                <c:pt idx="0">
                  <c:v>863.9</c:v>
                </c:pt>
                <c:pt idx="1">
                  <c:v>914.9620000000001</c:v>
                </c:pt>
                <c:pt idx="2">
                  <c:v>916.60800000000006</c:v>
                </c:pt>
                <c:pt idx="3">
                  <c:v>956.24200000000008</c:v>
                </c:pt>
                <c:pt idx="4">
                  <c:v>973.70899999999995</c:v>
                </c:pt>
                <c:pt idx="5">
                  <c:v>960.20099999999991</c:v>
                </c:pt>
                <c:pt idx="6">
                  <c:v>994.22299999999996</c:v>
                </c:pt>
                <c:pt idx="7">
                  <c:v>1001.91</c:v>
                </c:pt>
                <c:pt idx="8">
                  <c:v>1012.069</c:v>
                </c:pt>
                <c:pt idx="9">
                  <c:v>1004.0939999999999</c:v>
                </c:pt>
                <c:pt idx="10">
                  <c:v>997.8839999999999</c:v>
                </c:pt>
                <c:pt idx="11">
                  <c:v>963.0630000000001</c:v>
                </c:pt>
                <c:pt idx="12">
                  <c:v>976.86599999999999</c:v>
                </c:pt>
                <c:pt idx="13">
                  <c:v>925.90000000000009</c:v>
                </c:pt>
                <c:pt idx="14">
                  <c:v>929.28000000000009</c:v>
                </c:pt>
                <c:pt idx="15">
                  <c:v>925.53599999999994</c:v>
                </c:pt>
                <c:pt idx="16">
                  <c:v>869.995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3-41BF-8FAB-A400B8252A5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lux_1_245_cct_2700_3100!$I$45:$Y$45</c:f>
              <c:numCache>
                <c:formatCode>General</c:formatCode>
                <c:ptCount val="17"/>
                <c:pt idx="0">
                  <c:v>926.18399999999997</c:v>
                </c:pt>
                <c:pt idx="1">
                  <c:v>924.11</c:v>
                </c:pt>
                <c:pt idx="2">
                  <c:v>943.26</c:v>
                </c:pt>
                <c:pt idx="3">
                  <c:v>976.88499999999988</c:v>
                </c:pt>
                <c:pt idx="4">
                  <c:v>1005.056</c:v>
                </c:pt>
                <c:pt idx="5">
                  <c:v>1029.2160000000001</c:v>
                </c:pt>
                <c:pt idx="6">
                  <c:v>1045.028</c:v>
                </c:pt>
                <c:pt idx="7">
                  <c:v>1043.4059999999999</c:v>
                </c:pt>
                <c:pt idx="8">
                  <c:v>1048.4640000000002</c:v>
                </c:pt>
                <c:pt idx="9">
                  <c:v>1043.4059999999999</c:v>
                </c:pt>
                <c:pt idx="10">
                  <c:v>1048.712</c:v>
                </c:pt>
                <c:pt idx="11">
                  <c:v>1034.896</c:v>
                </c:pt>
                <c:pt idx="12">
                  <c:v>1013.76</c:v>
                </c:pt>
                <c:pt idx="13">
                  <c:v>987.35</c:v>
                </c:pt>
                <c:pt idx="14">
                  <c:v>957.98599999999999</c:v>
                </c:pt>
                <c:pt idx="15">
                  <c:v>936.72699999999998</c:v>
                </c:pt>
                <c:pt idx="16">
                  <c:v>925.29599999999994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3-41BF-8FAB-A400B8252A5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lux_1_245_cct_2700_3100!$I$46:$Y$46</c:f>
              <c:numCache>
                <c:formatCode>General</c:formatCode>
                <c:ptCount val="17"/>
                <c:pt idx="0">
                  <c:v>912.17</c:v>
                </c:pt>
                <c:pt idx="1">
                  <c:v>930.375</c:v>
                </c:pt>
                <c:pt idx="2">
                  <c:v>968.84099999999989</c:v>
                </c:pt>
                <c:pt idx="3">
                  <c:v>1005.056</c:v>
                </c:pt>
                <c:pt idx="4">
                  <c:v>1024.8599999999999</c:v>
                </c:pt>
                <c:pt idx="5">
                  <c:v>1041.336</c:v>
                </c:pt>
                <c:pt idx="6">
                  <c:v>1051.155</c:v>
                </c:pt>
                <c:pt idx="7">
                  <c:v>1068.75</c:v>
                </c:pt>
                <c:pt idx="8">
                  <c:v>1073.6580000000001</c:v>
                </c:pt>
                <c:pt idx="9">
                  <c:v>1074.75</c:v>
                </c:pt>
                <c:pt idx="10">
                  <c:v>1064.55</c:v>
                </c:pt>
                <c:pt idx="11">
                  <c:v>1056.24</c:v>
                </c:pt>
                <c:pt idx="12">
                  <c:v>1040.52</c:v>
                </c:pt>
                <c:pt idx="13">
                  <c:v>1021.952</c:v>
                </c:pt>
                <c:pt idx="14">
                  <c:v>984.346</c:v>
                </c:pt>
                <c:pt idx="15">
                  <c:v>941.625</c:v>
                </c:pt>
                <c:pt idx="16">
                  <c:v>910.91399999999999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B3-41BF-8FAB-A400B8252A5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lux_1_245_cct_2700_3100!$I$47:$Y$47</c:f>
              <c:numCache>
                <c:formatCode>General</c:formatCode>
                <c:ptCount val="17"/>
                <c:pt idx="0">
                  <c:v>937.76299999999992</c:v>
                </c:pt>
                <c:pt idx="1">
                  <c:v>952.15199999999993</c:v>
                </c:pt>
                <c:pt idx="2">
                  <c:v>1002.4499999999999</c:v>
                </c:pt>
                <c:pt idx="3">
                  <c:v>1029.2160000000001</c:v>
                </c:pt>
                <c:pt idx="4">
                  <c:v>1040.04</c:v>
                </c:pt>
                <c:pt idx="5">
                  <c:v>1059.7259999999999</c:v>
                </c:pt>
                <c:pt idx="6">
                  <c:v>1059.5909999999999</c:v>
                </c:pt>
                <c:pt idx="7">
                  <c:v>1066.25</c:v>
                </c:pt>
                <c:pt idx="8">
                  <c:v>1067.904</c:v>
                </c:pt>
                <c:pt idx="9">
                  <c:v>1074.78</c:v>
                </c:pt>
                <c:pt idx="10">
                  <c:v>1077.345</c:v>
                </c:pt>
                <c:pt idx="11">
                  <c:v>1062.874</c:v>
                </c:pt>
                <c:pt idx="12">
                  <c:v>1060.7760000000001</c:v>
                </c:pt>
                <c:pt idx="13">
                  <c:v>1028.222</c:v>
                </c:pt>
                <c:pt idx="14">
                  <c:v>993.59100000000012</c:v>
                </c:pt>
                <c:pt idx="15">
                  <c:v>961.15000000000009</c:v>
                </c:pt>
                <c:pt idx="16">
                  <c:v>936.01800000000003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B3-41BF-8FAB-A400B8252A5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lux_1_245_cct_2700_3100!$I$48:$Y$48</c:f>
              <c:numCache>
                <c:formatCode>General</c:formatCode>
                <c:ptCount val="17"/>
                <c:pt idx="0">
                  <c:v>936.404</c:v>
                </c:pt>
                <c:pt idx="1">
                  <c:v>955.15199999999993</c:v>
                </c:pt>
                <c:pt idx="2">
                  <c:v>994.30399999999997</c:v>
                </c:pt>
                <c:pt idx="3">
                  <c:v>1045.6420000000001</c:v>
                </c:pt>
                <c:pt idx="4">
                  <c:v>1047.6299999999999</c:v>
                </c:pt>
                <c:pt idx="5">
                  <c:v>1057.9769999999999</c:v>
                </c:pt>
                <c:pt idx="6">
                  <c:v>1058.191</c:v>
                </c:pt>
                <c:pt idx="7">
                  <c:v>1054.0920000000001</c:v>
                </c:pt>
                <c:pt idx="8">
                  <c:v>1062.915</c:v>
                </c:pt>
                <c:pt idx="9">
                  <c:v>1058.752</c:v>
                </c:pt>
                <c:pt idx="10">
                  <c:v>1068.835</c:v>
                </c:pt>
                <c:pt idx="11">
                  <c:v>1070.8889999999999</c:v>
                </c:pt>
                <c:pt idx="12">
                  <c:v>1063.845</c:v>
                </c:pt>
                <c:pt idx="13">
                  <c:v>1040.8579999999999</c:v>
                </c:pt>
                <c:pt idx="14">
                  <c:v>1012.224</c:v>
                </c:pt>
                <c:pt idx="15">
                  <c:v>970.27200000000005</c:v>
                </c:pt>
                <c:pt idx="16">
                  <c:v>944.19499999999994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B3-41BF-8FAB-A400B8252A5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lux_1_245_cct_2700_3100!$I$49:$Y$49</c:f>
              <c:numCache>
                <c:formatCode>General</c:formatCode>
                <c:ptCount val="17"/>
                <c:pt idx="0">
                  <c:v>927.03400000000011</c:v>
                </c:pt>
                <c:pt idx="1">
                  <c:v>972.33500000000004</c:v>
                </c:pt>
                <c:pt idx="2">
                  <c:v>996.44400000000007</c:v>
                </c:pt>
                <c:pt idx="3">
                  <c:v>1035.125</c:v>
                </c:pt>
                <c:pt idx="4">
                  <c:v>1057.5</c:v>
                </c:pt>
                <c:pt idx="5">
                  <c:v>1060.279</c:v>
                </c:pt>
                <c:pt idx="6">
                  <c:v>1052.2280000000001</c:v>
                </c:pt>
                <c:pt idx="7">
                  <c:v>1043.395</c:v>
                </c:pt>
                <c:pt idx="8">
                  <c:v>1032</c:v>
                </c:pt>
                <c:pt idx="9">
                  <c:v>1048.3400000000001</c:v>
                </c:pt>
                <c:pt idx="10">
                  <c:v>1057.82</c:v>
                </c:pt>
                <c:pt idx="11">
                  <c:v>1052.932</c:v>
                </c:pt>
                <c:pt idx="12">
                  <c:v>1052.336</c:v>
                </c:pt>
                <c:pt idx="13">
                  <c:v>1050.413</c:v>
                </c:pt>
                <c:pt idx="14">
                  <c:v>1015.668</c:v>
                </c:pt>
                <c:pt idx="15">
                  <c:v>966.18299999999999</c:v>
                </c:pt>
                <c:pt idx="16">
                  <c:v>950.60600000000011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B3-41BF-8FAB-A400B8252A5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lux_1_245_cct_2700_3100!$I$50:$Y$50</c:f>
              <c:numCache>
                <c:formatCode>General</c:formatCode>
                <c:ptCount val="17"/>
                <c:pt idx="0">
                  <c:v>920.21199999999999</c:v>
                </c:pt>
                <c:pt idx="1">
                  <c:v>962.32500000000005</c:v>
                </c:pt>
                <c:pt idx="2">
                  <c:v>1004.0939999999999</c:v>
                </c:pt>
                <c:pt idx="3">
                  <c:v>1032.912</c:v>
                </c:pt>
                <c:pt idx="4">
                  <c:v>1048.5119999999999</c:v>
                </c:pt>
                <c:pt idx="5">
                  <c:v>1047.1679999999999</c:v>
                </c:pt>
                <c:pt idx="6">
                  <c:v>1034.471</c:v>
                </c:pt>
                <c:pt idx="7">
                  <c:v>1026</c:v>
                </c:pt>
                <c:pt idx="8">
                  <c:v>1031.184</c:v>
                </c:pt>
                <c:pt idx="9">
                  <c:v>1031</c:v>
                </c:pt>
                <c:pt idx="10">
                  <c:v>1047.673</c:v>
                </c:pt>
                <c:pt idx="11">
                  <c:v>1061.856</c:v>
                </c:pt>
                <c:pt idx="12">
                  <c:v>1049.25</c:v>
                </c:pt>
                <c:pt idx="13">
                  <c:v>1051.056</c:v>
                </c:pt>
                <c:pt idx="14">
                  <c:v>1020.474</c:v>
                </c:pt>
                <c:pt idx="15">
                  <c:v>976.43</c:v>
                </c:pt>
                <c:pt idx="16">
                  <c:v>925.1389999999999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B3-41BF-8FAB-A400B8252A5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lux_1_245_cct_2700_3100!$I$51:$Y$51</c:f>
              <c:numCache>
                <c:formatCode>General</c:formatCode>
                <c:ptCount val="17"/>
                <c:pt idx="0">
                  <c:v>941.79700000000003</c:v>
                </c:pt>
                <c:pt idx="1">
                  <c:v>948.46299999999997</c:v>
                </c:pt>
                <c:pt idx="2">
                  <c:v>992.70600000000002</c:v>
                </c:pt>
                <c:pt idx="3">
                  <c:v>1027.481</c:v>
                </c:pt>
                <c:pt idx="4">
                  <c:v>1030.905</c:v>
                </c:pt>
                <c:pt idx="5">
                  <c:v>1031.9070000000002</c:v>
                </c:pt>
                <c:pt idx="6">
                  <c:v>1036.384</c:v>
                </c:pt>
                <c:pt idx="7">
                  <c:v>1017.12</c:v>
                </c:pt>
                <c:pt idx="8">
                  <c:v>1022</c:v>
                </c:pt>
                <c:pt idx="9">
                  <c:v>1028.856</c:v>
                </c:pt>
                <c:pt idx="10">
                  <c:v>1054.0920000000001</c:v>
                </c:pt>
                <c:pt idx="11">
                  <c:v>1051.25</c:v>
                </c:pt>
                <c:pt idx="12">
                  <c:v>1052.336</c:v>
                </c:pt>
                <c:pt idx="13">
                  <c:v>1047.865</c:v>
                </c:pt>
                <c:pt idx="14">
                  <c:v>1010.328</c:v>
                </c:pt>
                <c:pt idx="15">
                  <c:v>958.65200000000004</c:v>
                </c:pt>
                <c:pt idx="16">
                  <c:v>938.35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B3-41BF-8FAB-A400B8252A5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lux_1_245_cct_2700_3100!$I$52:$Y$52</c:f>
              <c:numCache>
                <c:formatCode>General</c:formatCode>
                <c:ptCount val="17"/>
                <c:pt idx="0">
                  <c:v>902.46</c:v>
                </c:pt>
                <c:pt idx="1">
                  <c:v>957.74400000000003</c:v>
                </c:pt>
                <c:pt idx="2">
                  <c:v>993.28</c:v>
                </c:pt>
                <c:pt idx="3">
                  <c:v>1017.9820000000001</c:v>
                </c:pt>
                <c:pt idx="4">
                  <c:v>1037.76</c:v>
                </c:pt>
                <c:pt idx="5">
                  <c:v>1030.82</c:v>
                </c:pt>
                <c:pt idx="6">
                  <c:v>1032.5</c:v>
                </c:pt>
                <c:pt idx="7">
                  <c:v>1037.316</c:v>
                </c:pt>
                <c:pt idx="8">
                  <c:v>1031.6420000000001</c:v>
                </c:pt>
                <c:pt idx="9">
                  <c:v>1030.5989999999999</c:v>
                </c:pt>
                <c:pt idx="10">
                  <c:v>1042.125</c:v>
                </c:pt>
                <c:pt idx="11">
                  <c:v>1045.944</c:v>
                </c:pt>
                <c:pt idx="12">
                  <c:v>1056.0899999999999</c:v>
                </c:pt>
                <c:pt idx="13">
                  <c:v>1037.2460000000001</c:v>
                </c:pt>
                <c:pt idx="14">
                  <c:v>1009.152</c:v>
                </c:pt>
                <c:pt idx="15">
                  <c:v>967.68000000000006</c:v>
                </c:pt>
                <c:pt idx="16">
                  <c:v>902.81600000000003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B3-41BF-8FAB-A400B8252A5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lux_1_245_cct_2700_3100!$I$53:$Y$53</c:f>
              <c:numCache>
                <c:formatCode>General</c:formatCode>
                <c:ptCount val="17"/>
                <c:pt idx="0">
                  <c:v>886.44600000000003</c:v>
                </c:pt>
                <c:pt idx="1">
                  <c:v>946.83499999999992</c:v>
                </c:pt>
                <c:pt idx="2">
                  <c:v>974.51100000000008</c:v>
                </c:pt>
                <c:pt idx="3">
                  <c:v>1004.271</c:v>
                </c:pt>
                <c:pt idx="4">
                  <c:v>1034.2080000000001</c:v>
                </c:pt>
                <c:pt idx="5">
                  <c:v>1033.7939999999999</c:v>
                </c:pt>
                <c:pt idx="6">
                  <c:v>1030.82</c:v>
                </c:pt>
                <c:pt idx="7">
                  <c:v>1032.748</c:v>
                </c:pt>
                <c:pt idx="8">
                  <c:v>1029.5710000000001</c:v>
                </c:pt>
                <c:pt idx="9">
                  <c:v>1032.748</c:v>
                </c:pt>
                <c:pt idx="10">
                  <c:v>1034.0039999999999</c:v>
                </c:pt>
                <c:pt idx="11">
                  <c:v>1037.4290000000001</c:v>
                </c:pt>
                <c:pt idx="12">
                  <c:v>1023.022</c:v>
                </c:pt>
                <c:pt idx="13">
                  <c:v>1017.639</c:v>
                </c:pt>
                <c:pt idx="14">
                  <c:v>989.77500000000009</c:v>
                </c:pt>
                <c:pt idx="15">
                  <c:v>959.923</c:v>
                </c:pt>
                <c:pt idx="16">
                  <c:v>896.43600000000004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B3-41BF-8FAB-A400B8252A5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lux_1_245_cct_2700_3100!$I$54:$Y$54</c:f>
              <c:numCache>
                <c:formatCode>General</c:formatCode>
                <c:ptCount val="17"/>
                <c:pt idx="0">
                  <c:v>908.71600000000001</c:v>
                </c:pt>
                <c:pt idx="1">
                  <c:v>930.375</c:v>
                </c:pt>
                <c:pt idx="2">
                  <c:v>944.78399999999988</c:v>
                </c:pt>
                <c:pt idx="3">
                  <c:v>977</c:v>
                </c:pt>
                <c:pt idx="4">
                  <c:v>996.27200000000005</c:v>
                </c:pt>
                <c:pt idx="5">
                  <c:v>1015.378</c:v>
                </c:pt>
                <c:pt idx="6">
                  <c:v>1021.482</c:v>
                </c:pt>
                <c:pt idx="7">
                  <c:v>1034.5999999999999</c:v>
                </c:pt>
                <c:pt idx="8">
                  <c:v>1033.5</c:v>
                </c:pt>
                <c:pt idx="9">
                  <c:v>1035.3389999999999</c:v>
                </c:pt>
                <c:pt idx="10">
                  <c:v>1022.8679999999999</c:v>
                </c:pt>
                <c:pt idx="11">
                  <c:v>1020.474</c:v>
                </c:pt>
                <c:pt idx="12">
                  <c:v>1005.36</c:v>
                </c:pt>
                <c:pt idx="13">
                  <c:v>989.5</c:v>
                </c:pt>
                <c:pt idx="14">
                  <c:v>955.58400000000006</c:v>
                </c:pt>
                <c:pt idx="15">
                  <c:v>940.125</c:v>
                </c:pt>
                <c:pt idx="16">
                  <c:v>912.48400000000004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B3-41BF-8FAB-A400B8252A5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lux_1_245_cct_2700_3100!$I$55:$Y$55</c:f>
              <c:numCache>
                <c:formatCode>General</c:formatCode>
                <c:ptCount val="17"/>
                <c:pt idx="0">
                  <c:v>935.06399999999996</c:v>
                </c:pt>
                <c:pt idx="1">
                  <c:v>931.61200000000008</c:v>
                </c:pt>
                <c:pt idx="2">
                  <c:v>921.76799999999992</c:v>
                </c:pt>
                <c:pt idx="3">
                  <c:v>953.33600000000001</c:v>
                </c:pt>
                <c:pt idx="4">
                  <c:v>978</c:v>
                </c:pt>
                <c:pt idx="5">
                  <c:v>1001.486</c:v>
                </c:pt>
                <c:pt idx="6">
                  <c:v>1014.972</c:v>
                </c:pt>
                <c:pt idx="7">
                  <c:v>1013.125</c:v>
                </c:pt>
                <c:pt idx="8">
                  <c:v>1021.111</c:v>
                </c:pt>
                <c:pt idx="9">
                  <c:v>1018.125</c:v>
                </c:pt>
                <c:pt idx="10">
                  <c:v>1026.4100000000001</c:v>
                </c:pt>
                <c:pt idx="11">
                  <c:v>1014.297</c:v>
                </c:pt>
                <c:pt idx="12">
                  <c:v>990.5</c:v>
                </c:pt>
                <c:pt idx="13">
                  <c:v>962.19600000000003</c:v>
                </c:pt>
                <c:pt idx="14">
                  <c:v>927.17200000000003</c:v>
                </c:pt>
                <c:pt idx="15">
                  <c:v>932.29399999999998</c:v>
                </c:pt>
                <c:pt idx="16">
                  <c:v>923.22400000000005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B3-41BF-8FAB-A400B8252A5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lux_1_245_cct_2700_3100!$I$56:$Y$56</c:f>
              <c:numCache>
                <c:formatCode>General</c:formatCode>
                <c:ptCount val="17"/>
                <c:pt idx="0">
                  <c:v>901</c:v>
                </c:pt>
                <c:pt idx="1">
                  <c:v>903.98399999999992</c:v>
                </c:pt>
                <c:pt idx="2">
                  <c:v>916.26699999999994</c:v>
                </c:pt>
                <c:pt idx="3">
                  <c:v>956.39400000000001</c:v>
                </c:pt>
                <c:pt idx="4">
                  <c:v>973.28000000000009</c:v>
                </c:pt>
                <c:pt idx="5">
                  <c:v>955.76600000000008</c:v>
                </c:pt>
                <c:pt idx="6">
                  <c:v>990.72</c:v>
                </c:pt>
                <c:pt idx="7">
                  <c:v>998.04600000000005</c:v>
                </c:pt>
                <c:pt idx="8">
                  <c:v>982.09</c:v>
                </c:pt>
                <c:pt idx="9">
                  <c:v>1007.1239999999999</c:v>
                </c:pt>
                <c:pt idx="10">
                  <c:v>977.12</c:v>
                </c:pt>
                <c:pt idx="11">
                  <c:v>974.40600000000006</c:v>
                </c:pt>
                <c:pt idx="12">
                  <c:v>951.45600000000013</c:v>
                </c:pt>
                <c:pt idx="13">
                  <c:v>927.24299999999994</c:v>
                </c:pt>
                <c:pt idx="14">
                  <c:v>916.60800000000006</c:v>
                </c:pt>
                <c:pt idx="15">
                  <c:v>890.66399999999999</c:v>
                </c:pt>
                <c:pt idx="16">
                  <c:v>867.875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B3-41BF-8FAB-A400B8252A5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lux_1_245_cct_3800_4200!$I$2:$Y$2</c:f>
              <c:numCache>
                <c:formatCode>General</c:formatCode>
                <c:ptCount val="17"/>
                <c:pt idx="0">
                  <c:v>1093.425</c:v>
                </c:pt>
                <c:pt idx="1">
                  <c:v>1183.1399999999999</c:v>
                </c:pt>
                <c:pt idx="2">
                  <c:v>1268.951</c:v>
                </c:pt>
                <c:pt idx="3">
                  <c:v>1260.973</c:v>
                </c:pt>
                <c:pt idx="4">
                  <c:v>1267.248</c:v>
                </c:pt>
                <c:pt idx="5">
                  <c:v>1240.6199999999999</c:v>
                </c:pt>
                <c:pt idx="6">
                  <c:v>1250.2</c:v>
                </c:pt>
                <c:pt idx="7">
                  <c:v>1286.252</c:v>
                </c:pt>
                <c:pt idx="8">
                  <c:v>1259.0160000000001</c:v>
                </c:pt>
                <c:pt idx="9">
                  <c:v>1291.818</c:v>
                </c:pt>
                <c:pt idx="10">
                  <c:v>1292.7239999999999</c:v>
                </c:pt>
                <c:pt idx="11">
                  <c:v>1300.684</c:v>
                </c:pt>
                <c:pt idx="12">
                  <c:v>1284.7919999999999</c:v>
                </c:pt>
                <c:pt idx="13">
                  <c:v>1273.9690000000001</c:v>
                </c:pt>
                <c:pt idx="14">
                  <c:v>1285.1180000000002</c:v>
                </c:pt>
                <c:pt idx="15">
                  <c:v>1219.8599999999999</c:v>
                </c:pt>
                <c:pt idx="16">
                  <c:v>1164.4079999999999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E-402E-8FC1-5EDC27BB6C2D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lux_1_245_cct_3800_4200!$I$3:$Y$3</c:f>
              <c:numCache>
                <c:formatCode>General</c:formatCode>
                <c:ptCount val="17"/>
                <c:pt idx="0">
                  <c:v>1240.1099999999999</c:v>
                </c:pt>
                <c:pt idx="1">
                  <c:v>1306.991</c:v>
                </c:pt>
                <c:pt idx="2">
                  <c:v>1295.02</c:v>
                </c:pt>
                <c:pt idx="3">
                  <c:v>1297.3410000000001</c:v>
                </c:pt>
                <c:pt idx="4">
                  <c:v>1278.8700000000001</c:v>
                </c:pt>
                <c:pt idx="5">
                  <c:v>1291.289</c:v>
                </c:pt>
                <c:pt idx="6">
                  <c:v>1257.72</c:v>
                </c:pt>
                <c:pt idx="7">
                  <c:v>1261.8000000000002</c:v>
                </c:pt>
                <c:pt idx="8">
                  <c:v>1261.104</c:v>
                </c:pt>
                <c:pt idx="9">
                  <c:v>1269.6000000000001</c:v>
                </c:pt>
                <c:pt idx="10">
                  <c:v>1297.7280000000001</c:v>
                </c:pt>
                <c:pt idx="11">
                  <c:v>1307.1590000000001</c:v>
                </c:pt>
                <c:pt idx="12">
                  <c:v>1299.55</c:v>
                </c:pt>
                <c:pt idx="13">
                  <c:v>1318.491</c:v>
                </c:pt>
                <c:pt idx="14">
                  <c:v>1310.7150000000001</c:v>
                </c:pt>
                <c:pt idx="15">
                  <c:v>1322.8410000000001</c:v>
                </c:pt>
                <c:pt idx="16">
                  <c:v>1202.0700000000002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E-402E-8FC1-5EDC27BB6C2D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lux_1_245_cct_3800_4200!$I$4:$Y$4</c:f>
              <c:numCache>
                <c:formatCode>General</c:formatCode>
                <c:ptCount val="17"/>
                <c:pt idx="0">
                  <c:v>1276</c:v>
                </c:pt>
                <c:pt idx="1">
                  <c:v>1321.279</c:v>
                </c:pt>
                <c:pt idx="2">
                  <c:v>1299.8599999999999</c:v>
                </c:pt>
                <c:pt idx="3">
                  <c:v>1284.0400000000002</c:v>
                </c:pt>
                <c:pt idx="4">
                  <c:v>1280.547</c:v>
                </c:pt>
                <c:pt idx="5">
                  <c:v>1265.992</c:v>
                </c:pt>
                <c:pt idx="6">
                  <c:v>1242.8499999999999</c:v>
                </c:pt>
                <c:pt idx="7">
                  <c:v>1213.614</c:v>
                </c:pt>
                <c:pt idx="8">
                  <c:v>1200.9750000000001</c:v>
                </c:pt>
                <c:pt idx="9">
                  <c:v>1217.8500000000001</c:v>
                </c:pt>
                <c:pt idx="10">
                  <c:v>1249.55</c:v>
                </c:pt>
                <c:pt idx="11">
                  <c:v>1277.6010000000001</c:v>
                </c:pt>
                <c:pt idx="12">
                  <c:v>1297.8589999999999</c:v>
                </c:pt>
                <c:pt idx="13">
                  <c:v>1305.6600000000001</c:v>
                </c:pt>
                <c:pt idx="14">
                  <c:v>1321.2839999999999</c:v>
                </c:pt>
                <c:pt idx="15">
                  <c:v>1334.34</c:v>
                </c:pt>
                <c:pt idx="16">
                  <c:v>1290.5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E-402E-8FC1-5EDC27BB6C2D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lux_1_245_cct_3800_4200!$I$5:$Y$5</c:f>
              <c:numCache>
                <c:formatCode>General</c:formatCode>
                <c:ptCount val="17"/>
                <c:pt idx="0">
                  <c:v>1287.3999999999999</c:v>
                </c:pt>
                <c:pt idx="1">
                  <c:v>1279.528</c:v>
                </c:pt>
                <c:pt idx="2">
                  <c:v>1280.2079999999999</c:v>
                </c:pt>
                <c:pt idx="3">
                  <c:v>1294.463</c:v>
                </c:pt>
                <c:pt idx="4">
                  <c:v>1268.4360000000001</c:v>
                </c:pt>
                <c:pt idx="5">
                  <c:v>1233.2379999999998</c:v>
                </c:pt>
                <c:pt idx="6">
                  <c:v>1187.2560000000001</c:v>
                </c:pt>
                <c:pt idx="7">
                  <c:v>1149.998</c:v>
                </c:pt>
                <c:pt idx="8">
                  <c:v>1146.4549999999999</c:v>
                </c:pt>
                <c:pt idx="9">
                  <c:v>1152.431</c:v>
                </c:pt>
                <c:pt idx="10">
                  <c:v>1188.02</c:v>
                </c:pt>
                <c:pt idx="11">
                  <c:v>1236.0139999999999</c:v>
                </c:pt>
                <c:pt idx="12">
                  <c:v>1276.99</c:v>
                </c:pt>
                <c:pt idx="13">
                  <c:v>1311.92</c:v>
                </c:pt>
                <c:pt idx="14">
                  <c:v>1308.3689999999999</c:v>
                </c:pt>
                <c:pt idx="15">
                  <c:v>1300.5840000000001</c:v>
                </c:pt>
                <c:pt idx="16">
                  <c:v>1296.82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EE-402E-8FC1-5EDC27BB6C2D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lux_1_245_cct_3800_4200!$I$6:$Y$6</c:f>
              <c:numCache>
                <c:formatCode>General</c:formatCode>
                <c:ptCount val="17"/>
                <c:pt idx="0">
                  <c:v>1277.0550000000001</c:v>
                </c:pt>
                <c:pt idx="1">
                  <c:v>1310.9839999999999</c:v>
                </c:pt>
                <c:pt idx="2">
                  <c:v>1284.53</c:v>
                </c:pt>
                <c:pt idx="3">
                  <c:v>1282.1759999999999</c:v>
                </c:pt>
                <c:pt idx="4">
                  <c:v>1241.51</c:v>
                </c:pt>
                <c:pt idx="5">
                  <c:v>1185.7280000000001</c:v>
                </c:pt>
                <c:pt idx="6">
                  <c:v>1134.133</c:v>
                </c:pt>
                <c:pt idx="7">
                  <c:v>1099.575</c:v>
                </c:pt>
                <c:pt idx="8">
                  <c:v>1089.7170000000001</c:v>
                </c:pt>
                <c:pt idx="9">
                  <c:v>1103.1950000000002</c:v>
                </c:pt>
                <c:pt idx="10">
                  <c:v>1138.3680000000002</c:v>
                </c:pt>
                <c:pt idx="11">
                  <c:v>1191.076</c:v>
                </c:pt>
                <c:pt idx="12">
                  <c:v>1254.24</c:v>
                </c:pt>
                <c:pt idx="13">
                  <c:v>1301.7599999999998</c:v>
                </c:pt>
                <c:pt idx="14">
                  <c:v>1309.1120000000001</c:v>
                </c:pt>
                <c:pt idx="15">
                  <c:v>1291.2</c:v>
                </c:pt>
                <c:pt idx="16">
                  <c:v>1297.1130000000001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EE-402E-8FC1-5EDC27BB6C2D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lux_1_245_cct_3800_4200!$I$7:$Y$7</c:f>
              <c:numCache>
                <c:formatCode>General</c:formatCode>
                <c:ptCount val="17"/>
                <c:pt idx="0">
                  <c:v>1272.3600000000001</c:v>
                </c:pt>
                <c:pt idx="1">
                  <c:v>1296.4949999999999</c:v>
                </c:pt>
                <c:pt idx="2">
                  <c:v>1289.7939999999999</c:v>
                </c:pt>
                <c:pt idx="3">
                  <c:v>1260.5999999999999</c:v>
                </c:pt>
                <c:pt idx="4">
                  <c:v>1212.9079999999999</c:v>
                </c:pt>
                <c:pt idx="5">
                  <c:v>1147.5650000000001</c:v>
                </c:pt>
                <c:pt idx="6">
                  <c:v>1096.8599999999999</c:v>
                </c:pt>
                <c:pt idx="7">
                  <c:v>1048.8320000000001</c:v>
                </c:pt>
                <c:pt idx="8">
                  <c:v>1035.424</c:v>
                </c:pt>
                <c:pt idx="9">
                  <c:v>1068.72</c:v>
                </c:pt>
                <c:pt idx="10">
                  <c:v>1107.72</c:v>
                </c:pt>
                <c:pt idx="11">
                  <c:v>1159.73</c:v>
                </c:pt>
                <c:pt idx="12">
                  <c:v>1227.7340000000002</c:v>
                </c:pt>
                <c:pt idx="13">
                  <c:v>1280.3999999999999</c:v>
                </c:pt>
                <c:pt idx="14">
                  <c:v>1313.0700000000002</c:v>
                </c:pt>
                <c:pt idx="15">
                  <c:v>1310.454</c:v>
                </c:pt>
                <c:pt idx="16">
                  <c:v>1264.0800000000002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EE-402E-8FC1-5EDC27BB6C2D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lux_1_245_cct_3800_4200!$I$8:$Y$8</c:f>
              <c:numCache>
                <c:formatCode>General</c:formatCode>
                <c:ptCount val="17"/>
                <c:pt idx="0">
                  <c:v>1297.338</c:v>
                </c:pt>
                <c:pt idx="1">
                  <c:v>1318.4850000000001</c:v>
                </c:pt>
                <c:pt idx="2">
                  <c:v>1301.289</c:v>
                </c:pt>
                <c:pt idx="3">
                  <c:v>1261.104</c:v>
                </c:pt>
                <c:pt idx="4">
                  <c:v>1221.075</c:v>
                </c:pt>
                <c:pt idx="5">
                  <c:v>1145.6200000000001</c:v>
                </c:pt>
                <c:pt idx="6">
                  <c:v>1085.0719999999999</c:v>
                </c:pt>
                <c:pt idx="7">
                  <c:v>1040.9580000000001</c:v>
                </c:pt>
                <c:pt idx="8">
                  <c:v>1028.1149999999998</c:v>
                </c:pt>
                <c:pt idx="9">
                  <c:v>1045.953</c:v>
                </c:pt>
                <c:pt idx="10">
                  <c:v>1109.4390000000001</c:v>
                </c:pt>
                <c:pt idx="11">
                  <c:v>1158.145</c:v>
                </c:pt>
                <c:pt idx="12">
                  <c:v>1236.384</c:v>
                </c:pt>
                <c:pt idx="13">
                  <c:v>1280.6559999999999</c:v>
                </c:pt>
                <c:pt idx="14">
                  <c:v>1323.0030000000002</c:v>
                </c:pt>
                <c:pt idx="15">
                  <c:v>1297.7640000000001</c:v>
                </c:pt>
                <c:pt idx="16">
                  <c:v>1310.43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EE-402E-8FC1-5EDC27BB6C2D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lux_1_245_cct_3800_4200!$I$9:$Y$9</c:f>
              <c:numCache>
                <c:formatCode>General</c:formatCode>
                <c:ptCount val="17"/>
                <c:pt idx="0">
                  <c:v>1267.53</c:v>
                </c:pt>
                <c:pt idx="1">
                  <c:v>1296.0720000000001</c:v>
                </c:pt>
                <c:pt idx="2">
                  <c:v>1294.348</c:v>
                </c:pt>
                <c:pt idx="3">
                  <c:v>1292.2650000000001</c:v>
                </c:pt>
                <c:pt idx="4">
                  <c:v>1240.4100000000001</c:v>
                </c:pt>
                <c:pt idx="5">
                  <c:v>1171.1290000000001</c:v>
                </c:pt>
                <c:pt idx="6">
                  <c:v>1115.989</c:v>
                </c:pt>
                <c:pt idx="7">
                  <c:v>1063.8400000000001</c:v>
                </c:pt>
                <c:pt idx="8">
                  <c:v>1044.954</c:v>
                </c:pt>
                <c:pt idx="9">
                  <c:v>1066.768</c:v>
                </c:pt>
                <c:pt idx="10">
                  <c:v>1119.6570000000002</c:v>
                </c:pt>
                <c:pt idx="11">
                  <c:v>1176.067</c:v>
                </c:pt>
                <c:pt idx="12">
                  <c:v>1249.731</c:v>
                </c:pt>
                <c:pt idx="13">
                  <c:v>1285.8</c:v>
                </c:pt>
                <c:pt idx="14">
                  <c:v>1321.1660000000002</c:v>
                </c:pt>
                <c:pt idx="15">
                  <c:v>1319.76</c:v>
                </c:pt>
                <c:pt idx="16">
                  <c:v>1272.3600000000001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EE-402E-8FC1-5EDC27BB6C2D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lux_1_245_cct_3800_4200!$I$10:$Y$10</c:f>
              <c:numCache>
                <c:formatCode>General</c:formatCode>
                <c:ptCount val="17"/>
                <c:pt idx="0">
                  <c:v>1275.3900000000001</c:v>
                </c:pt>
                <c:pt idx="1">
                  <c:v>1311.808</c:v>
                </c:pt>
                <c:pt idx="2">
                  <c:v>1287.422</c:v>
                </c:pt>
                <c:pt idx="3">
                  <c:v>1287.9360000000001</c:v>
                </c:pt>
                <c:pt idx="4">
                  <c:v>1247.54</c:v>
                </c:pt>
                <c:pt idx="5">
                  <c:v>1209.7839999999999</c:v>
                </c:pt>
                <c:pt idx="6">
                  <c:v>1155.7259999999999</c:v>
                </c:pt>
                <c:pt idx="7">
                  <c:v>1121.491</c:v>
                </c:pt>
                <c:pt idx="8">
                  <c:v>1111.3210000000001</c:v>
                </c:pt>
                <c:pt idx="9">
                  <c:v>1121.491</c:v>
                </c:pt>
                <c:pt idx="10">
                  <c:v>1154.8680000000002</c:v>
                </c:pt>
                <c:pt idx="11">
                  <c:v>1209.008</c:v>
                </c:pt>
                <c:pt idx="12">
                  <c:v>1254.9100000000001</c:v>
                </c:pt>
                <c:pt idx="13">
                  <c:v>1306.3679999999999</c:v>
                </c:pt>
                <c:pt idx="14">
                  <c:v>1314.414</c:v>
                </c:pt>
                <c:pt idx="15">
                  <c:v>1334.4679999999998</c:v>
                </c:pt>
                <c:pt idx="16">
                  <c:v>1285.713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EE-402E-8FC1-5EDC27BB6C2D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lux_1_245_cct_3800_4200!$I$11:$Y$11</c:f>
              <c:numCache>
                <c:formatCode>General</c:formatCode>
                <c:ptCount val="17"/>
                <c:pt idx="0">
                  <c:v>1331.5250000000001</c:v>
                </c:pt>
                <c:pt idx="1">
                  <c:v>1320.752</c:v>
                </c:pt>
                <c:pt idx="2">
                  <c:v>1281.1020000000001</c:v>
                </c:pt>
                <c:pt idx="3">
                  <c:v>1293.9340000000002</c:v>
                </c:pt>
                <c:pt idx="4">
                  <c:v>1267.2139999999999</c:v>
                </c:pt>
                <c:pt idx="5">
                  <c:v>1233.932</c:v>
                </c:pt>
                <c:pt idx="6">
                  <c:v>1210.56</c:v>
                </c:pt>
                <c:pt idx="7">
                  <c:v>1176.8899999999999</c:v>
                </c:pt>
                <c:pt idx="8">
                  <c:v>1159.8150000000001</c:v>
                </c:pt>
                <c:pt idx="9">
                  <c:v>1180.182</c:v>
                </c:pt>
                <c:pt idx="10">
                  <c:v>1194.896</c:v>
                </c:pt>
                <c:pt idx="11">
                  <c:v>1239.4839999999999</c:v>
                </c:pt>
                <c:pt idx="12">
                  <c:v>1277.6010000000001</c:v>
                </c:pt>
                <c:pt idx="13">
                  <c:v>1309.8040000000001</c:v>
                </c:pt>
                <c:pt idx="14">
                  <c:v>1304.346</c:v>
                </c:pt>
                <c:pt idx="15">
                  <c:v>1335.1079999999999</c:v>
                </c:pt>
                <c:pt idx="16">
                  <c:v>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EE-402E-8FC1-5EDC27BB6C2D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lux_1_245_cct_3800_4200!$I$12:$Y$12</c:f>
              <c:numCache>
                <c:formatCode>General</c:formatCode>
                <c:ptCount val="17"/>
                <c:pt idx="0">
                  <c:v>1278.6099999999999</c:v>
                </c:pt>
                <c:pt idx="1">
                  <c:v>1322.691</c:v>
                </c:pt>
                <c:pt idx="2">
                  <c:v>1299.8599999999999</c:v>
                </c:pt>
                <c:pt idx="3">
                  <c:v>1318.7520000000002</c:v>
                </c:pt>
                <c:pt idx="4">
                  <c:v>1285.9569999999999</c:v>
                </c:pt>
                <c:pt idx="5">
                  <c:v>1272.1019999999999</c:v>
                </c:pt>
                <c:pt idx="6">
                  <c:v>1250.22</c:v>
                </c:pt>
                <c:pt idx="7">
                  <c:v>1241.8440000000001</c:v>
                </c:pt>
                <c:pt idx="8">
                  <c:v>1232.739</c:v>
                </c:pt>
                <c:pt idx="9">
                  <c:v>1249.731</c:v>
                </c:pt>
                <c:pt idx="10">
                  <c:v>1261.6099999999999</c:v>
                </c:pt>
                <c:pt idx="11">
                  <c:v>1284.9330000000002</c:v>
                </c:pt>
                <c:pt idx="12">
                  <c:v>1298.3999999999999</c:v>
                </c:pt>
                <c:pt idx="13">
                  <c:v>1300.9599999999998</c:v>
                </c:pt>
                <c:pt idx="14">
                  <c:v>1315.104</c:v>
                </c:pt>
                <c:pt idx="15">
                  <c:v>1327.633</c:v>
                </c:pt>
                <c:pt idx="16">
                  <c:v>1283.25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EE-402E-8FC1-5EDC27BB6C2D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lux_1_245_cct_3800_4200!$I$13:$Y$13</c:f>
              <c:numCache>
                <c:formatCode>General</c:formatCode>
                <c:ptCount val="17"/>
                <c:pt idx="0">
                  <c:v>1238.76</c:v>
                </c:pt>
                <c:pt idx="1">
                  <c:v>1306.674</c:v>
                </c:pt>
                <c:pt idx="2">
                  <c:v>1300.4950000000001</c:v>
                </c:pt>
                <c:pt idx="3">
                  <c:v>1308.3389999999999</c:v>
                </c:pt>
                <c:pt idx="4">
                  <c:v>1324.0539999999999</c:v>
                </c:pt>
                <c:pt idx="5">
                  <c:v>1302.3980000000001</c:v>
                </c:pt>
                <c:pt idx="6">
                  <c:v>1295.424</c:v>
                </c:pt>
                <c:pt idx="7">
                  <c:v>1295.931</c:v>
                </c:pt>
                <c:pt idx="8">
                  <c:v>1270.269</c:v>
                </c:pt>
                <c:pt idx="9">
                  <c:v>1298.9859999999999</c:v>
                </c:pt>
                <c:pt idx="10">
                  <c:v>1302.912</c:v>
                </c:pt>
                <c:pt idx="11">
                  <c:v>1313.5070000000001</c:v>
                </c:pt>
                <c:pt idx="12">
                  <c:v>1338.5140000000001</c:v>
                </c:pt>
                <c:pt idx="13">
                  <c:v>1323.144</c:v>
                </c:pt>
                <c:pt idx="14">
                  <c:v>1309.6200000000001</c:v>
                </c:pt>
                <c:pt idx="15">
                  <c:v>1320.6220000000001</c:v>
                </c:pt>
                <c:pt idx="16">
                  <c:v>1277.3699999999999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EE-402E-8FC1-5EDC27BB6C2D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lux_1_245_cct_3800_4200!$I$14:$Y$14</c:f>
              <c:numCache>
                <c:formatCode>General</c:formatCode>
                <c:ptCount val="17"/>
                <c:pt idx="0">
                  <c:v>1187.28</c:v>
                </c:pt>
                <c:pt idx="1">
                  <c:v>1267.2660000000001</c:v>
                </c:pt>
                <c:pt idx="2">
                  <c:v>1282.5820000000001</c:v>
                </c:pt>
                <c:pt idx="3">
                  <c:v>1283.355</c:v>
                </c:pt>
                <c:pt idx="4">
                  <c:v>1283.104</c:v>
                </c:pt>
                <c:pt idx="5">
                  <c:v>1314.665</c:v>
                </c:pt>
                <c:pt idx="6">
                  <c:v>1305.7380000000001</c:v>
                </c:pt>
                <c:pt idx="7">
                  <c:v>1293.654</c:v>
                </c:pt>
                <c:pt idx="8">
                  <c:v>1312.146</c:v>
                </c:pt>
                <c:pt idx="9">
                  <c:v>1295.662</c:v>
                </c:pt>
                <c:pt idx="10">
                  <c:v>1307.6659999999999</c:v>
                </c:pt>
                <c:pt idx="11">
                  <c:v>1317.3709999999999</c:v>
                </c:pt>
                <c:pt idx="12">
                  <c:v>1289.568</c:v>
                </c:pt>
                <c:pt idx="13">
                  <c:v>1292.741</c:v>
                </c:pt>
                <c:pt idx="14">
                  <c:v>1306.674</c:v>
                </c:pt>
                <c:pt idx="15">
                  <c:v>1315.886</c:v>
                </c:pt>
                <c:pt idx="16">
                  <c:v>1273.47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EE-402E-8FC1-5EDC27BB6C2D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lux_1_245_cct_3800_4200!$I$16:$Y$16</c:f>
              <c:numCache>
                <c:formatCode>General</c:formatCode>
                <c:ptCount val="17"/>
                <c:pt idx="0">
                  <c:v>1092.6960000000001</c:v>
                </c:pt>
                <c:pt idx="1">
                  <c:v>1171.2</c:v>
                </c:pt>
                <c:pt idx="2">
                  <c:v>1233.3120000000001</c:v>
                </c:pt>
                <c:pt idx="3">
                  <c:v>1226.412</c:v>
                </c:pt>
                <c:pt idx="4">
                  <c:v>1206.1199999999999</c:v>
                </c:pt>
                <c:pt idx="5">
                  <c:v>1208.7179999999998</c:v>
                </c:pt>
                <c:pt idx="6">
                  <c:v>1199.5620000000001</c:v>
                </c:pt>
                <c:pt idx="7">
                  <c:v>1208.5650000000001</c:v>
                </c:pt>
                <c:pt idx="8">
                  <c:v>1200.278</c:v>
                </c:pt>
                <c:pt idx="9">
                  <c:v>1213.915</c:v>
                </c:pt>
                <c:pt idx="10">
                  <c:v>1220.75</c:v>
                </c:pt>
                <c:pt idx="11">
                  <c:v>1216.3499999999999</c:v>
                </c:pt>
                <c:pt idx="12">
                  <c:v>1214.8599999999999</c:v>
                </c:pt>
                <c:pt idx="13">
                  <c:v>1233.9360000000001</c:v>
                </c:pt>
                <c:pt idx="14">
                  <c:v>1246.1879999999999</c:v>
                </c:pt>
                <c:pt idx="15">
                  <c:v>1208.3999999999999</c:v>
                </c:pt>
                <c:pt idx="16">
                  <c:v>1168.7279999999998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C-42E2-A798-4680CE8AFF6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lux_1_245_cct_3800_4200!$I$17:$Y$17</c:f>
              <c:numCache>
                <c:formatCode>General</c:formatCode>
                <c:ptCount val="17"/>
                <c:pt idx="0">
                  <c:v>1174.6020000000001</c:v>
                </c:pt>
                <c:pt idx="1">
                  <c:v>1234.431</c:v>
                </c:pt>
                <c:pt idx="2">
                  <c:v>1240.308</c:v>
                </c:pt>
                <c:pt idx="3">
                  <c:v>1225.28</c:v>
                </c:pt>
                <c:pt idx="4">
                  <c:v>1224.8050000000001</c:v>
                </c:pt>
                <c:pt idx="5">
                  <c:v>1226.4459999999999</c:v>
                </c:pt>
                <c:pt idx="6">
                  <c:v>1214.4419999999998</c:v>
                </c:pt>
                <c:pt idx="7">
                  <c:v>1201.4100000000001</c:v>
                </c:pt>
                <c:pt idx="8">
                  <c:v>1201.875</c:v>
                </c:pt>
                <c:pt idx="9">
                  <c:v>1207.08</c:v>
                </c:pt>
                <c:pt idx="10">
                  <c:v>1222.884</c:v>
                </c:pt>
                <c:pt idx="11">
                  <c:v>1234.8310000000001</c:v>
                </c:pt>
                <c:pt idx="12">
                  <c:v>1236.877</c:v>
                </c:pt>
                <c:pt idx="13">
                  <c:v>1237.376</c:v>
                </c:pt>
                <c:pt idx="14">
                  <c:v>1248.954</c:v>
                </c:pt>
                <c:pt idx="15">
                  <c:v>1248.585</c:v>
                </c:pt>
                <c:pt idx="16">
                  <c:v>1211.4959999999999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C-42E2-A798-4680CE8AFF6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lux_1_245_cct_3800_4200!$I$18:$Y$18</c:f>
              <c:numCache>
                <c:formatCode>General</c:formatCode>
                <c:ptCount val="17"/>
                <c:pt idx="0">
                  <c:v>1240.421</c:v>
                </c:pt>
                <c:pt idx="1">
                  <c:v>1253.2080000000001</c:v>
                </c:pt>
                <c:pt idx="2">
                  <c:v>1245.998</c:v>
                </c:pt>
                <c:pt idx="3">
                  <c:v>1246.0319999999999</c:v>
                </c:pt>
                <c:pt idx="4">
                  <c:v>1228.2</c:v>
                </c:pt>
                <c:pt idx="5">
                  <c:v>1210.8489999999999</c:v>
                </c:pt>
                <c:pt idx="6">
                  <c:v>1191.173</c:v>
                </c:pt>
                <c:pt idx="7">
                  <c:v>1174.53</c:v>
                </c:pt>
                <c:pt idx="8">
                  <c:v>1173.8719999999998</c:v>
                </c:pt>
                <c:pt idx="9">
                  <c:v>1176.7349999999999</c:v>
                </c:pt>
                <c:pt idx="10">
                  <c:v>1194.6579999999999</c:v>
                </c:pt>
                <c:pt idx="11">
                  <c:v>1216.6179999999999</c:v>
                </c:pt>
                <c:pt idx="12">
                  <c:v>1238.55</c:v>
                </c:pt>
                <c:pt idx="13">
                  <c:v>1244.925</c:v>
                </c:pt>
                <c:pt idx="14">
                  <c:v>1245.0130000000001</c:v>
                </c:pt>
                <c:pt idx="15">
                  <c:v>1262.6079999999999</c:v>
                </c:pt>
                <c:pt idx="16">
                  <c:v>1258.49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9C-42E2-A798-4680CE8AFF6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lux_1_245_cct_3800_4200!$I$19:$Y$19</c:f>
              <c:numCache>
                <c:formatCode>General</c:formatCode>
                <c:ptCount val="17"/>
                <c:pt idx="0">
                  <c:v>1251.607</c:v>
                </c:pt>
                <c:pt idx="1">
                  <c:v>1242.951</c:v>
                </c:pt>
                <c:pt idx="2">
                  <c:v>1235.2080000000001</c:v>
                </c:pt>
                <c:pt idx="3">
                  <c:v>1232.0360000000001</c:v>
                </c:pt>
                <c:pt idx="4">
                  <c:v>1213.413</c:v>
                </c:pt>
                <c:pt idx="5">
                  <c:v>1192.4280000000001</c:v>
                </c:pt>
                <c:pt idx="6">
                  <c:v>1163.752</c:v>
                </c:pt>
                <c:pt idx="7">
                  <c:v>1136.191</c:v>
                </c:pt>
                <c:pt idx="8">
                  <c:v>1126.098</c:v>
                </c:pt>
                <c:pt idx="9">
                  <c:v>1137.0320000000002</c:v>
                </c:pt>
                <c:pt idx="10">
                  <c:v>1162.9560000000001</c:v>
                </c:pt>
                <c:pt idx="11">
                  <c:v>1192.4280000000001</c:v>
                </c:pt>
                <c:pt idx="12">
                  <c:v>1218.5409999999999</c:v>
                </c:pt>
                <c:pt idx="13">
                  <c:v>1243.2160000000001</c:v>
                </c:pt>
                <c:pt idx="14">
                  <c:v>1253.4859999999999</c:v>
                </c:pt>
                <c:pt idx="15">
                  <c:v>1257.6750000000002</c:v>
                </c:pt>
                <c:pt idx="16">
                  <c:v>1262.5830000000001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9C-42E2-A798-4680CE8AFF6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lux_1_245_cct_3800_4200!$I$20:$Y$20</c:f>
              <c:numCache>
                <c:formatCode>General</c:formatCode>
                <c:ptCount val="17"/>
                <c:pt idx="0">
                  <c:v>1240.7340000000002</c:v>
                </c:pt>
                <c:pt idx="1">
                  <c:v>1244.1389999999999</c:v>
                </c:pt>
                <c:pt idx="2">
                  <c:v>1231.5439999999999</c:v>
                </c:pt>
                <c:pt idx="3">
                  <c:v>1227.5520000000001</c:v>
                </c:pt>
                <c:pt idx="4">
                  <c:v>1200.42</c:v>
                </c:pt>
                <c:pt idx="5">
                  <c:v>1164.548</c:v>
                </c:pt>
                <c:pt idx="6">
                  <c:v>1123.0899999999999</c:v>
                </c:pt>
                <c:pt idx="7">
                  <c:v>1091.9090000000001</c:v>
                </c:pt>
                <c:pt idx="8">
                  <c:v>1079.1199999999999</c:v>
                </c:pt>
                <c:pt idx="9">
                  <c:v>1092.8319999999999</c:v>
                </c:pt>
                <c:pt idx="10">
                  <c:v>1124.838</c:v>
                </c:pt>
                <c:pt idx="11">
                  <c:v>1166.1400000000001</c:v>
                </c:pt>
                <c:pt idx="12">
                  <c:v>1209.546</c:v>
                </c:pt>
                <c:pt idx="13">
                  <c:v>1231.3259999999998</c:v>
                </c:pt>
                <c:pt idx="14">
                  <c:v>1247.4780000000001</c:v>
                </c:pt>
                <c:pt idx="15">
                  <c:v>1255.0639999999999</c:v>
                </c:pt>
                <c:pt idx="16">
                  <c:v>1244.364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9C-42E2-A798-4680CE8AFF6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lux_1_245_cct_3800_4200!$I$21:$Y$21</c:f>
              <c:numCache>
                <c:formatCode>General</c:formatCode>
                <c:ptCount val="17"/>
                <c:pt idx="0">
                  <c:v>1221.6479999999999</c:v>
                </c:pt>
                <c:pt idx="1">
                  <c:v>1242.126</c:v>
                </c:pt>
                <c:pt idx="2">
                  <c:v>1230.6559999999999</c:v>
                </c:pt>
                <c:pt idx="3">
                  <c:v>1219.212</c:v>
                </c:pt>
                <c:pt idx="4">
                  <c:v>1195.9469999999999</c:v>
                </c:pt>
                <c:pt idx="5">
                  <c:v>1141.2539999999999</c:v>
                </c:pt>
                <c:pt idx="6">
                  <c:v>1096.22</c:v>
                </c:pt>
                <c:pt idx="7">
                  <c:v>1051.4460000000001</c:v>
                </c:pt>
                <c:pt idx="8">
                  <c:v>1034.8</c:v>
                </c:pt>
                <c:pt idx="9">
                  <c:v>1057.3200000000002</c:v>
                </c:pt>
                <c:pt idx="10">
                  <c:v>1105.51</c:v>
                </c:pt>
                <c:pt idx="11">
                  <c:v>1151.4059999999999</c:v>
                </c:pt>
                <c:pt idx="12">
                  <c:v>1196.7149999999999</c:v>
                </c:pt>
                <c:pt idx="13">
                  <c:v>1231.932</c:v>
                </c:pt>
                <c:pt idx="14">
                  <c:v>1244.5920000000001</c:v>
                </c:pt>
                <c:pt idx="15">
                  <c:v>1249.827</c:v>
                </c:pt>
                <c:pt idx="16">
                  <c:v>1241.46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9C-42E2-A798-4680CE8AFF6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lux_1_245_cct_3800_4200!$I$22:$Y$22</c:f>
              <c:numCache>
                <c:formatCode>General</c:formatCode>
                <c:ptCount val="17"/>
                <c:pt idx="0">
                  <c:v>1225.854</c:v>
                </c:pt>
                <c:pt idx="1">
                  <c:v>1246.1849999999999</c:v>
                </c:pt>
                <c:pt idx="2">
                  <c:v>1241.69</c:v>
                </c:pt>
                <c:pt idx="3">
                  <c:v>1232.211</c:v>
                </c:pt>
                <c:pt idx="4">
                  <c:v>1187.028</c:v>
                </c:pt>
                <c:pt idx="5">
                  <c:v>1135.7080000000001</c:v>
                </c:pt>
                <c:pt idx="6">
                  <c:v>1087.944</c:v>
                </c:pt>
                <c:pt idx="7">
                  <c:v>1036.0349999999999</c:v>
                </c:pt>
                <c:pt idx="8">
                  <c:v>1027.0920000000001</c:v>
                </c:pt>
                <c:pt idx="9">
                  <c:v>1040.039</c:v>
                </c:pt>
                <c:pt idx="10">
                  <c:v>1097.454</c:v>
                </c:pt>
                <c:pt idx="11">
                  <c:v>1146.0640000000001</c:v>
                </c:pt>
                <c:pt idx="12">
                  <c:v>1198.3979999999999</c:v>
                </c:pt>
                <c:pt idx="13">
                  <c:v>1234.4759999999999</c:v>
                </c:pt>
                <c:pt idx="14">
                  <c:v>1254.818</c:v>
                </c:pt>
                <c:pt idx="15">
                  <c:v>1253.529</c:v>
                </c:pt>
                <c:pt idx="16">
                  <c:v>1220.5620000000001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9C-42E2-A798-4680CE8AFF6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lux_1_245_cct_3800_4200!$I$23:$Y$23</c:f>
              <c:numCache>
                <c:formatCode>General</c:formatCode>
                <c:ptCount val="17"/>
                <c:pt idx="0">
                  <c:v>1219.4159999999999</c:v>
                </c:pt>
                <c:pt idx="1">
                  <c:v>1244.8440000000001</c:v>
                </c:pt>
                <c:pt idx="2">
                  <c:v>1252.02</c:v>
                </c:pt>
                <c:pt idx="3">
                  <c:v>1238.412</c:v>
                </c:pt>
                <c:pt idx="4">
                  <c:v>1206.405</c:v>
                </c:pt>
                <c:pt idx="5">
                  <c:v>1157.8679999999999</c:v>
                </c:pt>
                <c:pt idx="6">
                  <c:v>1108.9099999999999</c:v>
                </c:pt>
                <c:pt idx="7">
                  <c:v>1058.7840000000001</c:v>
                </c:pt>
                <c:pt idx="8">
                  <c:v>1039.038</c:v>
                </c:pt>
                <c:pt idx="9">
                  <c:v>1061.7359999999999</c:v>
                </c:pt>
                <c:pt idx="10">
                  <c:v>1104.5810000000001</c:v>
                </c:pt>
                <c:pt idx="11">
                  <c:v>1152.2520000000002</c:v>
                </c:pt>
                <c:pt idx="12">
                  <c:v>1201.1610000000001</c:v>
                </c:pt>
                <c:pt idx="13">
                  <c:v>1238.9279999999999</c:v>
                </c:pt>
                <c:pt idx="14">
                  <c:v>1253.704</c:v>
                </c:pt>
                <c:pt idx="15">
                  <c:v>1257.528</c:v>
                </c:pt>
                <c:pt idx="16">
                  <c:v>1246.3999999999999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9C-42E2-A798-4680CE8AFF6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lux_1_245_cct_3800_4200!$I$24:$Y$24</c:f>
              <c:numCache>
                <c:formatCode>General</c:formatCode>
                <c:ptCount val="17"/>
                <c:pt idx="0">
                  <c:v>1242.549</c:v>
                </c:pt>
                <c:pt idx="1">
                  <c:v>1248.509</c:v>
                </c:pt>
                <c:pt idx="2">
                  <c:v>1238.74</c:v>
                </c:pt>
                <c:pt idx="3">
                  <c:v>1237.2800000000002</c:v>
                </c:pt>
                <c:pt idx="4">
                  <c:v>1220.5919999999999</c:v>
                </c:pt>
                <c:pt idx="5">
                  <c:v>1182.1479999999999</c:v>
                </c:pt>
                <c:pt idx="6">
                  <c:v>1138.3049999999998</c:v>
                </c:pt>
                <c:pt idx="7">
                  <c:v>1107.3679999999999</c:v>
                </c:pt>
                <c:pt idx="8">
                  <c:v>1100.307</c:v>
                </c:pt>
                <c:pt idx="9">
                  <c:v>1105.51</c:v>
                </c:pt>
                <c:pt idx="10">
                  <c:v>1135.6680000000001</c:v>
                </c:pt>
                <c:pt idx="11">
                  <c:v>1169.3240000000001</c:v>
                </c:pt>
                <c:pt idx="12">
                  <c:v>1213.758</c:v>
                </c:pt>
                <c:pt idx="13">
                  <c:v>1248.8319999999999</c:v>
                </c:pt>
                <c:pt idx="14">
                  <c:v>1253.646</c:v>
                </c:pt>
                <c:pt idx="15">
                  <c:v>1260.308</c:v>
                </c:pt>
                <c:pt idx="16">
                  <c:v>1247.6309999999999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9C-42E2-A798-4680CE8AFF6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lux_1_245_cct_3800_4200!$I$25:$Y$25</c:f>
              <c:numCache>
                <c:formatCode>General</c:formatCode>
                <c:ptCount val="17"/>
                <c:pt idx="0">
                  <c:v>1254.3510000000001</c:v>
                </c:pt>
                <c:pt idx="1">
                  <c:v>1248.6769999999999</c:v>
                </c:pt>
                <c:pt idx="2">
                  <c:v>1242.423</c:v>
                </c:pt>
                <c:pt idx="3">
                  <c:v>1249.8240000000001</c:v>
                </c:pt>
                <c:pt idx="4">
                  <c:v>1231.241</c:v>
                </c:pt>
                <c:pt idx="5">
                  <c:v>1209.6100000000001</c:v>
                </c:pt>
                <c:pt idx="6">
                  <c:v>1174.896</c:v>
                </c:pt>
                <c:pt idx="7">
                  <c:v>1157.3280000000002</c:v>
                </c:pt>
                <c:pt idx="8">
                  <c:v>1151.242</c:v>
                </c:pt>
                <c:pt idx="9">
                  <c:v>1159.02</c:v>
                </c:pt>
                <c:pt idx="10">
                  <c:v>1174.896</c:v>
                </c:pt>
                <c:pt idx="11">
                  <c:v>1211.8</c:v>
                </c:pt>
                <c:pt idx="12">
                  <c:v>1235.77</c:v>
                </c:pt>
                <c:pt idx="13">
                  <c:v>1246.57</c:v>
                </c:pt>
                <c:pt idx="14">
                  <c:v>1254.9290000000001</c:v>
                </c:pt>
                <c:pt idx="15">
                  <c:v>1253.585</c:v>
                </c:pt>
                <c:pt idx="16">
                  <c:v>1256.4089999999999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9C-42E2-A798-4680CE8AFF6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lux_1_245_cct_3800_4200!$I$26:$Y$26</c:f>
              <c:numCache>
                <c:formatCode>General</c:formatCode>
                <c:ptCount val="17"/>
                <c:pt idx="0">
                  <c:v>1246.761</c:v>
                </c:pt>
                <c:pt idx="1">
                  <c:v>1259.9759999999999</c:v>
                </c:pt>
                <c:pt idx="2">
                  <c:v>1239.3319999999999</c:v>
                </c:pt>
                <c:pt idx="3">
                  <c:v>1255.703</c:v>
                </c:pt>
                <c:pt idx="4">
                  <c:v>1241.425</c:v>
                </c:pt>
                <c:pt idx="5">
                  <c:v>1236.4169999999999</c:v>
                </c:pt>
                <c:pt idx="6">
                  <c:v>1215.162</c:v>
                </c:pt>
                <c:pt idx="7">
                  <c:v>1199.6790000000001</c:v>
                </c:pt>
                <c:pt idx="8">
                  <c:v>1191.1680000000001</c:v>
                </c:pt>
                <c:pt idx="9">
                  <c:v>1204.866</c:v>
                </c:pt>
                <c:pt idx="10">
                  <c:v>1222.884</c:v>
                </c:pt>
                <c:pt idx="11">
                  <c:v>1232.002</c:v>
                </c:pt>
                <c:pt idx="12">
                  <c:v>1246.0249999999999</c:v>
                </c:pt>
                <c:pt idx="13">
                  <c:v>1246.4340000000002</c:v>
                </c:pt>
                <c:pt idx="14">
                  <c:v>1243.2650000000001</c:v>
                </c:pt>
                <c:pt idx="15">
                  <c:v>1259.9759999999999</c:v>
                </c:pt>
                <c:pt idx="16">
                  <c:v>1255.6369999999999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9C-42E2-A798-4680CE8AFF6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lux_1_245_cct_3800_4200!$I$27:$Y$27</c:f>
              <c:numCache>
                <c:formatCode>General</c:formatCode>
                <c:ptCount val="17"/>
                <c:pt idx="0">
                  <c:v>1202.1210000000001</c:v>
                </c:pt>
                <c:pt idx="1">
                  <c:v>1266.0129999999999</c:v>
                </c:pt>
                <c:pt idx="2">
                  <c:v>1255.242</c:v>
                </c:pt>
                <c:pt idx="3">
                  <c:v>1245.4399999999998</c:v>
                </c:pt>
                <c:pt idx="4">
                  <c:v>1246.4340000000002</c:v>
                </c:pt>
                <c:pt idx="5">
                  <c:v>1247.6880000000001</c:v>
                </c:pt>
                <c:pt idx="6">
                  <c:v>1236.1499999999999</c:v>
                </c:pt>
                <c:pt idx="7">
                  <c:v>1233.204</c:v>
                </c:pt>
                <c:pt idx="8">
                  <c:v>1220.4639999999999</c:v>
                </c:pt>
                <c:pt idx="9">
                  <c:v>1235.1120000000001</c:v>
                </c:pt>
                <c:pt idx="10">
                  <c:v>1239.768</c:v>
                </c:pt>
                <c:pt idx="11">
                  <c:v>1252.7190000000001</c:v>
                </c:pt>
                <c:pt idx="12">
                  <c:v>1253.4759999999999</c:v>
                </c:pt>
                <c:pt idx="13">
                  <c:v>1249.92</c:v>
                </c:pt>
                <c:pt idx="14">
                  <c:v>1253.277</c:v>
                </c:pt>
                <c:pt idx="15">
                  <c:v>1271.1579999999999</c:v>
                </c:pt>
                <c:pt idx="16">
                  <c:v>1238.2049999999999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9C-42E2-A798-4680CE8AFF6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lux_1_245_cct_3800_4200!$I$28:$Y$28</c:f>
              <c:numCache>
                <c:formatCode>General</c:formatCode>
                <c:ptCount val="17"/>
                <c:pt idx="0">
                  <c:v>1148.3610000000001</c:v>
                </c:pt>
                <c:pt idx="1">
                  <c:v>1201.3819999999998</c:v>
                </c:pt>
                <c:pt idx="2">
                  <c:v>1244.309</c:v>
                </c:pt>
                <c:pt idx="3">
                  <c:v>1246.7450000000001</c:v>
                </c:pt>
                <c:pt idx="4">
                  <c:v>1231.23</c:v>
                </c:pt>
                <c:pt idx="5">
                  <c:v>1237.98</c:v>
                </c:pt>
                <c:pt idx="6">
                  <c:v>1243.164</c:v>
                </c:pt>
                <c:pt idx="7">
                  <c:v>1224.3</c:v>
                </c:pt>
                <c:pt idx="8">
                  <c:v>1234.172</c:v>
                </c:pt>
                <c:pt idx="9">
                  <c:v>1224.825</c:v>
                </c:pt>
                <c:pt idx="10">
                  <c:v>1241.643</c:v>
                </c:pt>
                <c:pt idx="11">
                  <c:v>1236.0999999999999</c:v>
                </c:pt>
                <c:pt idx="12">
                  <c:v>1230.8010000000002</c:v>
                </c:pt>
                <c:pt idx="13">
                  <c:v>1248.69</c:v>
                </c:pt>
                <c:pt idx="14">
                  <c:v>1255.221</c:v>
                </c:pt>
                <c:pt idx="15">
                  <c:v>1233.973</c:v>
                </c:pt>
                <c:pt idx="16">
                  <c:v>1220.722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9C-42E2-A798-4680CE8AFF6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lux_1_245_cct_3800_4200!$I$30:$Y$30</c:f>
              <c:numCache>
                <c:formatCode>General</c:formatCode>
                <c:ptCount val="17"/>
                <c:pt idx="0">
                  <c:v>1084.6799999999998</c:v>
                </c:pt>
                <c:pt idx="1">
                  <c:v>1194.9299999999998</c:v>
                </c:pt>
                <c:pt idx="2">
                  <c:v>1255.6380000000001</c:v>
                </c:pt>
                <c:pt idx="3">
                  <c:v>1247.0039999999999</c:v>
                </c:pt>
                <c:pt idx="4">
                  <c:v>1219.365</c:v>
                </c:pt>
                <c:pt idx="5">
                  <c:v>1226.337</c:v>
                </c:pt>
                <c:pt idx="6">
                  <c:v>1228.1780000000001</c:v>
                </c:pt>
                <c:pt idx="7">
                  <c:v>1236.1439999999998</c:v>
                </c:pt>
                <c:pt idx="8">
                  <c:v>1227.0149999999999</c:v>
                </c:pt>
                <c:pt idx="9">
                  <c:v>1241.058</c:v>
                </c:pt>
                <c:pt idx="10">
                  <c:v>1232.3219999999999</c:v>
                </c:pt>
                <c:pt idx="11">
                  <c:v>1233.0989999999999</c:v>
                </c:pt>
                <c:pt idx="12">
                  <c:v>1227.3029999999999</c:v>
                </c:pt>
                <c:pt idx="13">
                  <c:v>1253.8380000000002</c:v>
                </c:pt>
                <c:pt idx="14">
                  <c:v>1267.674</c:v>
                </c:pt>
                <c:pt idx="15">
                  <c:v>1232.2619999999999</c:v>
                </c:pt>
                <c:pt idx="16">
                  <c:v>1159.0880000000002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152-B4FB-8683F225AB2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lux_1_245_cct_3800_4200!$I$31:$Y$31</c:f>
              <c:numCache>
                <c:formatCode>General</c:formatCode>
                <c:ptCount val="17"/>
                <c:pt idx="0">
                  <c:v>1194.846</c:v>
                </c:pt>
                <c:pt idx="1">
                  <c:v>1256.752</c:v>
                </c:pt>
                <c:pt idx="2">
                  <c:v>1256.884</c:v>
                </c:pt>
                <c:pt idx="3">
                  <c:v>1239.8610000000001</c:v>
                </c:pt>
                <c:pt idx="4">
                  <c:v>1253.1320000000001</c:v>
                </c:pt>
                <c:pt idx="5">
                  <c:v>1239.1079999999999</c:v>
                </c:pt>
                <c:pt idx="6">
                  <c:v>1239.0519999999999</c:v>
                </c:pt>
                <c:pt idx="7">
                  <c:v>1223.6690000000001</c:v>
                </c:pt>
                <c:pt idx="8">
                  <c:v>1225.681</c:v>
                </c:pt>
                <c:pt idx="9">
                  <c:v>1228.797</c:v>
                </c:pt>
                <c:pt idx="10">
                  <c:v>1246.4199999999998</c:v>
                </c:pt>
                <c:pt idx="11">
                  <c:v>1247.0039999999999</c:v>
                </c:pt>
                <c:pt idx="12">
                  <c:v>1264.44</c:v>
                </c:pt>
                <c:pt idx="13">
                  <c:v>1251.6389999999999</c:v>
                </c:pt>
                <c:pt idx="14">
                  <c:v>1264.8440000000001</c:v>
                </c:pt>
                <c:pt idx="15">
                  <c:v>1270.1289999999999</c:v>
                </c:pt>
                <c:pt idx="16">
                  <c:v>1231.221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152-B4FB-8683F225AB2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lux_1_245_cct_3800_4200!$I$32:$Y$32</c:f>
              <c:numCache>
                <c:formatCode>General</c:formatCode>
                <c:ptCount val="17"/>
                <c:pt idx="0">
                  <c:v>1232.595</c:v>
                </c:pt>
                <c:pt idx="1">
                  <c:v>1273.588</c:v>
                </c:pt>
                <c:pt idx="2">
                  <c:v>1246.4399999999998</c:v>
                </c:pt>
                <c:pt idx="3">
                  <c:v>1246.5409999999999</c:v>
                </c:pt>
                <c:pt idx="4">
                  <c:v>1242.1779999999999</c:v>
                </c:pt>
                <c:pt idx="5">
                  <c:v>1234.8230000000001</c:v>
                </c:pt>
                <c:pt idx="6">
                  <c:v>1212.096</c:v>
                </c:pt>
                <c:pt idx="7">
                  <c:v>1195.2</c:v>
                </c:pt>
                <c:pt idx="8">
                  <c:v>1191.806</c:v>
                </c:pt>
                <c:pt idx="9">
                  <c:v>1195.9469999999999</c:v>
                </c:pt>
                <c:pt idx="10">
                  <c:v>1214.22</c:v>
                </c:pt>
                <c:pt idx="11">
                  <c:v>1240.047</c:v>
                </c:pt>
                <c:pt idx="12">
                  <c:v>1251.4739999999999</c:v>
                </c:pt>
                <c:pt idx="13">
                  <c:v>1259.2660000000001</c:v>
                </c:pt>
                <c:pt idx="14">
                  <c:v>1257.932</c:v>
                </c:pt>
                <c:pt idx="15">
                  <c:v>1281.2280000000001</c:v>
                </c:pt>
                <c:pt idx="16">
                  <c:v>1280.049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152-B4FB-8683F225AB2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lux_1_245_cct_3800_4200!$I$33:$Y$33</c:f>
              <c:numCache>
                <c:formatCode>General</c:formatCode>
                <c:ptCount val="17"/>
                <c:pt idx="0">
                  <c:v>1251.607</c:v>
                </c:pt>
                <c:pt idx="1">
                  <c:v>1242.951</c:v>
                </c:pt>
                <c:pt idx="2">
                  <c:v>1235.6890000000001</c:v>
                </c:pt>
                <c:pt idx="3">
                  <c:v>1243.6200000000001</c:v>
                </c:pt>
                <c:pt idx="4">
                  <c:v>1225.4179999999999</c:v>
                </c:pt>
                <c:pt idx="5">
                  <c:v>1212.0150000000001</c:v>
                </c:pt>
                <c:pt idx="6">
                  <c:v>1174.1279999999999</c:v>
                </c:pt>
                <c:pt idx="7">
                  <c:v>1151.0519999999999</c:v>
                </c:pt>
                <c:pt idx="8">
                  <c:v>1140.5520000000001</c:v>
                </c:pt>
                <c:pt idx="9">
                  <c:v>1151.904</c:v>
                </c:pt>
                <c:pt idx="10">
                  <c:v>1171.722</c:v>
                </c:pt>
                <c:pt idx="11">
                  <c:v>1202.31</c:v>
                </c:pt>
                <c:pt idx="12">
                  <c:v>1229.3</c:v>
                </c:pt>
                <c:pt idx="13">
                  <c:v>1253.7719999999999</c:v>
                </c:pt>
                <c:pt idx="14">
                  <c:v>1252.5240000000001</c:v>
                </c:pt>
                <c:pt idx="15">
                  <c:v>1255.6299999999999</c:v>
                </c:pt>
                <c:pt idx="16">
                  <c:v>1285.8999999999999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3-4152-B4FB-8683F225AB2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lux_1_245_cct_3800_4200!$I$34:$Y$34</c:f>
              <c:numCache>
                <c:formatCode>General</c:formatCode>
                <c:ptCount val="17"/>
                <c:pt idx="0">
                  <c:v>1240.7340000000002</c:v>
                </c:pt>
                <c:pt idx="1">
                  <c:v>1244.1389999999999</c:v>
                </c:pt>
                <c:pt idx="2">
                  <c:v>1246.4399999999998</c:v>
                </c:pt>
                <c:pt idx="3">
                  <c:v>1228.1600000000001</c:v>
                </c:pt>
                <c:pt idx="4">
                  <c:v>1211.3880000000001</c:v>
                </c:pt>
                <c:pt idx="5">
                  <c:v>1173.326</c:v>
                </c:pt>
                <c:pt idx="6">
                  <c:v>1130.394</c:v>
                </c:pt>
                <c:pt idx="7">
                  <c:v>1106.105</c:v>
                </c:pt>
                <c:pt idx="8">
                  <c:v>1091.7479999999998</c:v>
                </c:pt>
                <c:pt idx="9">
                  <c:v>1107.04</c:v>
                </c:pt>
                <c:pt idx="10">
                  <c:v>1131.2729999999999</c:v>
                </c:pt>
                <c:pt idx="11">
                  <c:v>1174.93</c:v>
                </c:pt>
                <c:pt idx="12">
                  <c:v>1208.8440000000001</c:v>
                </c:pt>
                <c:pt idx="13">
                  <c:v>1240.32</c:v>
                </c:pt>
                <c:pt idx="14">
                  <c:v>1245.9359999999999</c:v>
                </c:pt>
                <c:pt idx="15">
                  <c:v>1253.316</c:v>
                </c:pt>
                <c:pt idx="16">
                  <c:v>1241.8229999999999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D3-4152-B4FB-8683F225AB2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lux_1_245_cct_3800_4200!$I$35:$Y$35</c:f>
              <c:numCache>
                <c:formatCode>General</c:formatCode>
                <c:ptCount val="17"/>
                <c:pt idx="0">
                  <c:v>1247.9199999999998</c:v>
                </c:pt>
                <c:pt idx="1">
                  <c:v>1242.126</c:v>
                </c:pt>
                <c:pt idx="2">
                  <c:v>1230.6559999999999</c:v>
                </c:pt>
                <c:pt idx="3">
                  <c:v>1219.212</c:v>
                </c:pt>
                <c:pt idx="4">
                  <c:v>1196.694</c:v>
                </c:pt>
                <c:pt idx="5">
                  <c:v>1142.1000000000001</c:v>
                </c:pt>
                <c:pt idx="6">
                  <c:v>1097.1490000000001</c:v>
                </c:pt>
                <c:pt idx="7">
                  <c:v>1057.8</c:v>
                </c:pt>
                <c:pt idx="8">
                  <c:v>1041.04</c:v>
                </c:pt>
                <c:pt idx="9">
                  <c:v>1062.72</c:v>
                </c:pt>
                <c:pt idx="10">
                  <c:v>1105.51</c:v>
                </c:pt>
                <c:pt idx="11">
                  <c:v>1151.4059999999999</c:v>
                </c:pt>
                <c:pt idx="12">
                  <c:v>1195.9740000000002</c:v>
                </c:pt>
                <c:pt idx="13">
                  <c:v>1231.296</c:v>
                </c:pt>
                <c:pt idx="14">
                  <c:v>1242.9839999999999</c:v>
                </c:pt>
                <c:pt idx="15">
                  <c:v>1248.0149999999999</c:v>
                </c:pt>
                <c:pt idx="16">
                  <c:v>1239.18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D3-4152-B4FB-8683F225AB2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lux_1_245_cct_3800_4200!$I$36:$Y$36</c:f>
              <c:numCache>
                <c:formatCode>General</c:formatCode>
                <c:ptCount val="17"/>
                <c:pt idx="0">
                  <c:v>1225.854</c:v>
                </c:pt>
                <c:pt idx="1">
                  <c:v>1246.1849999999999</c:v>
                </c:pt>
                <c:pt idx="2">
                  <c:v>1241.69</c:v>
                </c:pt>
                <c:pt idx="3">
                  <c:v>1221.5359999999998</c:v>
                </c:pt>
                <c:pt idx="4">
                  <c:v>1187.7860000000001</c:v>
                </c:pt>
                <c:pt idx="5">
                  <c:v>1136.5709999999999</c:v>
                </c:pt>
                <c:pt idx="6">
                  <c:v>1083.17</c:v>
                </c:pt>
                <c:pt idx="7">
                  <c:v>1036.0349999999999</c:v>
                </c:pt>
                <c:pt idx="8">
                  <c:v>1027.0920000000001</c:v>
                </c:pt>
                <c:pt idx="9">
                  <c:v>1040.039</c:v>
                </c:pt>
                <c:pt idx="10">
                  <c:v>1091.684</c:v>
                </c:pt>
                <c:pt idx="11">
                  <c:v>1138.096</c:v>
                </c:pt>
                <c:pt idx="12">
                  <c:v>1188.1600000000001</c:v>
                </c:pt>
                <c:pt idx="13">
                  <c:v>1233.182</c:v>
                </c:pt>
                <c:pt idx="14">
                  <c:v>1241.18</c:v>
                </c:pt>
                <c:pt idx="15">
                  <c:v>1251.2339999999999</c:v>
                </c:pt>
                <c:pt idx="16">
                  <c:v>1217.1600000000001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D3-4152-B4FB-8683F225AB2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lux_1_245_cct_3800_4200!$I$37:$Y$37</c:f>
              <c:numCache>
                <c:formatCode>General</c:formatCode>
                <c:ptCount val="17"/>
                <c:pt idx="0">
                  <c:v>1219.0440000000001</c:v>
                </c:pt>
                <c:pt idx="1">
                  <c:v>1244.3909999999998</c:v>
                </c:pt>
                <c:pt idx="2">
                  <c:v>1237.624</c:v>
                </c:pt>
                <c:pt idx="3">
                  <c:v>1228.752</c:v>
                </c:pt>
                <c:pt idx="4">
                  <c:v>1196.7149999999999</c:v>
                </c:pt>
                <c:pt idx="5">
                  <c:v>1150.5600000000002</c:v>
                </c:pt>
                <c:pt idx="6">
                  <c:v>1101.7939999999999</c:v>
                </c:pt>
                <c:pt idx="7">
                  <c:v>1057.8</c:v>
                </c:pt>
                <c:pt idx="8">
                  <c:v>1038.037</c:v>
                </c:pt>
                <c:pt idx="9">
                  <c:v>1060.7520000000002</c:v>
                </c:pt>
                <c:pt idx="10">
                  <c:v>1096.5239999999999</c:v>
                </c:pt>
                <c:pt idx="11">
                  <c:v>1144.6009999999999</c:v>
                </c:pt>
                <c:pt idx="12">
                  <c:v>1199.6790000000001</c:v>
                </c:pt>
                <c:pt idx="13">
                  <c:v>1225.3500000000001</c:v>
                </c:pt>
                <c:pt idx="14">
                  <c:v>1251.56</c:v>
                </c:pt>
                <c:pt idx="15">
                  <c:v>1240.96</c:v>
                </c:pt>
                <c:pt idx="16">
                  <c:v>1223.354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D3-4152-B4FB-8683F225AB2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lux_1_245_cct_3800_4200!$I$38:$Y$38</c:f>
              <c:numCache>
                <c:formatCode>General</c:formatCode>
                <c:ptCount val="17"/>
                <c:pt idx="0">
                  <c:v>1241.8229999999999</c:v>
                </c:pt>
                <c:pt idx="1">
                  <c:v>1247.635</c:v>
                </c:pt>
                <c:pt idx="2">
                  <c:v>1237.712</c:v>
                </c:pt>
                <c:pt idx="3">
                  <c:v>1226.502</c:v>
                </c:pt>
                <c:pt idx="4">
                  <c:v>1209.546</c:v>
                </c:pt>
                <c:pt idx="5">
                  <c:v>1172.508</c:v>
                </c:pt>
                <c:pt idx="6">
                  <c:v>1130.9560000000001</c:v>
                </c:pt>
                <c:pt idx="7">
                  <c:v>1098.3699999999999</c:v>
                </c:pt>
                <c:pt idx="8">
                  <c:v>1092.6300000000001</c:v>
                </c:pt>
                <c:pt idx="9">
                  <c:v>1096.5239999999999</c:v>
                </c:pt>
                <c:pt idx="10">
                  <c:v>1127.46</c:v>
                </c:pt>
                <c:pt idx="11">
                  <c:v>1159.606</c:v>
                </c:pt>
                <c:pt idx="12">
                  <c:v>1203.0219999999999</c:v>
                </c:pt>
                <c:pt idx="13">
                  <c:v>1236.1499999999999</c:v>
                </c:pt>
                <c:pt idx="14">
                  <c:v>1238.9060000000002</c:v>
                </c:pt>
                <c:pt idx="15">
                  <c:v>1239.9869999999999</c:v>
                </c:pt>
                <c:pt idx="16">
                  <c:v>1250.49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D3-4152-B4FB-8683F225AB2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lux_1_245_cct_3800_4200!$I$39:$Y$39</c:f>
              <c:numCache>
                <c:formatCode>General</c:formatCode>
                <c:ptCount val="17"/>
                <c:pt idx="0">
                  <c:v>1224.0899999999999</c:v>
                </c:pt>
                <c:pt idx="1">
                  <c:v>1247.0409999999999</c:v>
                </c:pt>
                <c:pt idx="2">
                  <c:v>1228.08</c:v>
                </c:pt>
                <c:pt idx="3">
                  <c:v>1237.067</c:v>
                </c:pt>
                <c:pt idx="4">
                  <c:v>1218.5409999999999</c:v>
                </c:pt>
                <c:pt idx="5">
                  <c:v>1198.944</c:v>
                </c:pt>
                <c:pt idx="6">
                  <c:v>1173.3040000000001</c:v>
                </c:pt>
                <c:pt idx="7">
                  <c:v>1148.806</c:v>
                </c:pt>
                <c:pt idx="8">
                  <c:v>1140.6669999999999</c:v>
                </c:pt>
                <c:pt idx="9">
                  <c:v>1149.6469999999999</c:v>
                </c:pt>
                <c:pt idx="10">
                  <c:v>1165.143</c:v>
                </c:pt>
                <c:pt idx="11">
                  <c:v>1190.664</c:v>
                </c:pt>
                <c:pt idx="12">
                  <c:v>1212.2159999999999</c:v>
                </c:pt>
                <c:pt idx="13">
                  <c:v>1230.425</c:v>
                </c:pt>
                <c:pt idx="14">
                  <c:v>1239.028</c:v>
                </c:pt>
                <c:pt idx="15">
                  <c:v>1235.028</c:v>
                </c:pt>
                <c:pt idx="16">
                  <c:v>1259.595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D3-4152-B4FB-8683F225AB2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lux_1_245_cct_3800_4200!$I$40:$Y$40</c:f>
              <c:numCache>
                <c:formatCode>General</c:formatCode>
                <c:ptCount val="17"/>
                <c:pt idx="0">
                  <c:v>1245.1759999999999</c:v>
                </c:pt>
                <c:pt idx="1">
                  <c:v>1258.472</c:v>
                </c:pt>
                <c:pt idx="2">
                  <c:v>1237.5839999999998</c:v>
                </c:pt>
                <c:pt idx="3">
                  <c:v>1239.3920000000001</c:v>
                </c:pt>
                <c:pt idx="4">
                  <c:v>1228.92</c:v>
                </c:pt>
                <c:pt idx="5">
                  <c:v>1223.6690000000001</c:v>
                </c:pt>
                <c:pt idx="6">
                  <c:v>1204.4159999999999</c:v>
                </c:pt>
                <c:pt idx="7">
                  <c:v>1187.76</c:v>
                </c:pt>
                <c:pt idx="8">
                  <c:v>1181.0070000000001</c:v>
                </c:pt>
                <c:pt idx="9">
                  <c:v>1192.905</c:v>
                </c:pt>
                <c:pt idx="10">
                  <c:v>1211.386</c:v>
                </c:pt>
                <c:pt idx="11">
                  <c:v>1219.848</c:v>
                </c:pt>
                <c:pt idx="12">
                  <c:v>1232.3399999999999</c:v>
                </c:pt>
                <c:pt idx="13">
                  <c:v>1231.5539999999999</c:v>
                </c:pt>
                <c:pt idx="14">
                  <c:v>1223.1780000000001</c:v>
                </c:pt>
                <c:pt idx="15">
                  <c:v>1236.54</c:v>
                </c:pt>
                <c:pt idx="16">
                  <c:v>1260.05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0D3-4152-B4FB-8683F225AB2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lux_1_245_cct_3800_4200!$I$41:$Y$41</c:f>
              <c:numCache>
                <c:formatCode>General</c:formatCode>
                <c:ptCount val="17"/>
                <c:pt idx="0">
                  <c:v>1209.211</c:v>
                </c:pt>
                <c:pt idx="1">
                  <c:v>1242.182</c:v>
                </c:pt>
                <c:pt idx="2">
                  <c:v>1254.0629999999999</c:v>
                </c:pt>
                <c:pt idx="3">
                  <c:v>1227.434</c:v>
                </c:pt>
                <c:pt idx="4">
                  <c:v>1233.048</c:v>
                </c:pt>
                <c:pt idx="5">
                  <c:v>1233.19</c:v>
                </c:pt>
                <c:pt idx="6">
                  <c:v>1222.0590000000002</c:v>
                </c:pt>
                <c:pt idx="7">
                  <c:v>1219.68</c:v>
                </c:pt>
                <c:pt idx="8">
                  <c:v>1208.3999999999999</c:v>
                </c:pt>
                <c:pt idx="9">
                  <c:v>1220.94</c:v>
                </c:pt>
                <c:pt idx="10">
                  <c:v>1225.0440000000001</c:v>
                </c:pt>
                <c:pt idx="11">
                  <c:v>1237.0610000000001</c:v>
                </c:pt>
                <c:pt idx="12">
                  <c:v>1238.5260000000001</c:v>
                </c:pt>
                <c:pt idx="13">
                  <c:v>1230.086</c:v>
                </c:pt>
                <c:pt idx="14">
                  <c:v>1230.6600000000001</c:v>
                </c:pt>
                <c:pt idx="15">
                  <c:v>1245.2149999999999</c:v>
                </c:pt>
                <c:pt idx="16">
                  <c:v>1242.9059999999999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0D3-4152-B4FB-8683F225AB2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lux_1_245_cct_3800_4200!$I$42:$Y$42</c:f>
              <c:numCache>
                <c:formatCode>General</c:formatCode>
                <c:ptCount val="17"/>
                <c:pt idx="0">
                  <c:v>1156.086</c:v>
                </c:pt>
                <c:pt idx="1">
                  <c:v>1203.8999999999999</c:v>
                </c:pt>
                <c:pt idx="2">
                  <c:v>1242.9449999999999</c:v>
                </c:pt>
                <c:pt idx="3">
                  <c:v>1226.366</c:v>
                </c:pt>
                <c:pt idx="4">
                  <c:v>1235.6769999999999</c:v>
                </c:pt>
                <c:pt idx="5">
                  <c:v>1221.248</c:v>
                </c:pt>
                <c:pt idx="6">
                  <c:v>1226.9489999999998</c:v>
                </c:pt>
                <c:pt idx="7">
                  <c:v>1210.56</c:v>
                </c:pt>
                <c:pt idx="8">
                  <c:v>1220.57</c:v>
                </c:pt>
                <c:pt idx="9">
                  <c:v>1210.56</c:v>
                </c:pt>
                <c:pt idx="10">
                  <c:v>1224.9449999999999</c:v>
                </c:pt>
                <c:pt idx="11">
                  <c:v>1218</c:v>
                </c:pt>
                <c:pt idx="12">
                  <c:v>1214.336</c:v>
                </c:pt>
                <c:pt idx="13">
                  <c:v>1226.366</c:v>
                </c:pt>
                <c:pt idx="14">
                  <c:v>1259.153</c:v>
                </c:pt>
                <c:pt idx="15">
                  <c:v>1235.0999999999999</c:v>
                </c:pt>
                <c:pt idx="16">
                  <c:v>1195.6559999999999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0D3-4152-B4FB-8683F225AB2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lux_1_245_cct_3800_4200!$I$44:$Y$44</c:f>
              <c:numCache>
                <c:formatCode>General</c:formatCode>
                <c:ptCount val="17"/>
                <c:pt idx="0">
                  <c:v>1043.57</c:v>
                </c:pt>
                <c:pt idx="1">
                  <c:v>1146.0350000000001</c:v>
                </c:pt>
                <c:pt idx="2">
                  <c:v>1180.6079999999999</c:v>
                </c:pt>
                <c:pt idx="3">
                  <c:v>1203.278</c:v>
                </c:pt>
                <c:pt idx="4">
                  <c:v>1186.1299999999999</c:v>
                </c:pt>
                <c:pt idx="5">
                  <c:v>1154.3399999999999</c:v>
                </c:pt>
                <c:pt idx="6">
                  <c:v>1184.0719999999999</c:v>
                </c:pt>
                <c:pt idx="7">
                  <c:v>1182.0899999999999</c:v>
                </c:pt>
                <c:pt idx="8">
                  <c:v>1188.0809999999999</c:v>
                </c:pt>
                <c:pt idx="9">
                  <c:v>1183.1819999999998</c:v>
                </c:pt>
                <c:pt idx="10">
                  <c:v>1187.21</c:v>
                </c:pt>
                <c:pt idx="11">
                  <c:v>1158.6329999999998</c:v>
                </c:pt>
                <c:pt idx="12">
                  <c:v>1190.6400000000001</c:v>
                </c:pt>
                <c:pt idx="13">
                  <c:v>1161.9059999999999</c:v>
                </c:pt>
                <c:pt idx="14">
                  <c:v>1189.056</c:v>
                </c:pt>
                <c:pt idx="15">
                  <c:v>1179.001</c:v>
                </c:pt>
                <c:pt idx="16">
                  <c:v>1103.1950000000002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3-4B98-AF8A-8E1D5905731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lux_1_245_cct_3800_4200!$I$45:$Y$45</c:f>
              <c:numCache>
                <c:formatCode>General</c:formatCode>
                <c:ptCount val="17"/>
                <c:pt idx="0">
                  <c:v>1155.5840000000001</c:v>
                </c:pt>
                <c:pt idx="1">
                  <c:v>1189.067</c:v>
                </c:pt>
                <c:pt idx="2">
                  <c:v>1201.164</c:v>
                </c:pt>
                <c:pt idx="3">
                  <c:v>1193.92</c:v>
                </c:pt>
                <c:pt idx="4">
                  <c:v>1198.5920000000001</c:v>
                </c:pt>
                <c:pt idx="5">
                  <c:v>1202.4559999999999</c:v>
                </c:pt>
                <c:pt idx="6">
                  <c:v>1196.6860000000001</c:v>
                </c:pt>
                <c:pt idx="7">
                  <c:v>1175.902</c:v>
                </c:pt>
                <c:pt idx="8">
                  <c:v>1174.1759999999999</c:v>
                </c:pt>
                <c:pt idx="9">
                  <c:v>1179.7240000000002</c:v>
                </c:pt>
                <c:pt idx="10">
                  <c:v>1202.826</c:v>
                </c:pt>
                <c:pt idx="11">
                  <c:v>1208.136</c:v>
                </c:pt>
                <c:pt idx="12">
                  <c:v>1208.32</c:v>
                </c:pt>
                <c:pt idx="13">
                  <c:v>1202.1099999999999</c:v>
                </c:pt>
                <c:pt idx="14">
                  <c:v>1205.5419999999999</c:v>
                </c:pt>
                <c:pt idx="15">
                  <c:v>1198.2739999999999</c:v>
                </c:pt>
                <c:pt idx="16">
                  <c:v>1184.296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3-4B98-AF8A-8E1D5905731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lux_1_245_cct_3800_4200!$I$46:$Y$46</c:f>
              <c:numCache>
                <c:formatCode>General</c:formatCode>
                <c:ptCount val="17"/>
                <c:pt idx="0">
                  <c:v>1174.046</c:v>
                </c:pt>
                <c:pt idx="1">
                  <c:v>1197.75</c:v>
                </c:pt>
                <c:pt idx="2">
                  <c:v>1202.3019999999999</c:v>
                </c:pt>
                <c:pt idx="3">
                  <c:v>1210.8800000000001</c:v>
                </c:pt>
                <c:pt idx="4">
                  <c:v>1201.18</c:v>
                </c:pt>
                <c:pt idx="5">
                  <c:v>1189.08</c:v>
                </c:pt>
                <c:pt idx="6">
                  <c:v>1173.825</c:v>
                </c:pt>
                <c:pt idx="7">
                  <c:v>1168.5</c:v>
                </c:pt>
                <c:pt idx="8">
                  <c:v>1160.5259999999998</c:v>
                </c:pt>
                <c:pt idx="9">
                  <c:v>1169.25</c:v>
                </c:pt>
                <c:pt idx="10">
                  <c:v>1174.53</c:v>
                </c:pt>
                <c:pt idx="11">
                  <c:v>1192.9680000000001</c:v>
                </c:pt>
                <c:pt idx="12">
                  <c:v>1208.1400000000001</c:v>
                </c:pt>
                <c:pt idx="13">
                  <c:v>1221.1199999999999</c:v>
                </c:pt>
                <c:pt idx="14">
                  <c:v>1211.162</c:v>
                </c:pt>
                <c:pt idx="15">
                  <c:v>1202.25</c:v>
                </c:pt>
                <c:pt idx="16">
                  <c:v>1182.838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3-4B98-AF8A-8E1D5905731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lux_1_245_cct_3800_4200!$I$47:$Y$47</c:f>
              <c:numCache>
                <c:formatCode>General</c:formatCode>
                <c:ptCount val="17"/>
                <c:pt idx="0">
                  <c:v>1218.7080000000001</c:v>
                </c:pt>
                <c:pt idx="1">
                  <c:v>1193.462</c:v>
                </c:pt>
                <c:pt idx="2">
                  <c:v>1211.2529999999999</c:v>
                </c:pt>
                <c:pt idx="3">
                  <c:v>1213.248</c:v>
                </c:pt>
                <c:pt idx="4">
                  <c:v>1194.2639999999999</c:v>
                </c:pt>
                <c:pt idx="5">
                  <c:v>1186.8340000000001</c:v>
                </c:pt>
                <c:pt idx="6">
                  <c:v>1151.5889999999999</c:v>
                </c:pt>
                <c:pt idx="7">
                  <c:v>1127.6660000000002</c:v>
                </c:pt>
                <c:pt idx="8">
                  <c:v>1112.8320000000001</c:v>
                </c:pt>
                <c:pt idx="9">
                  <c:v>1127.6660000000002</c:v>
                </c:pt>
                <c:pt idx="10">
                  <c:v>1148.3610000000001</c:v>
                </c:pt>
                <c:pt idx="11">
                  <c:v>1162.473</c:v>
                </c:pt>
                <c:pt idx="12">
                  <c:v>1193.616</c:v>
                </c:pt>
                <c:pt idx="13">
                  <c:v>1196.9929999999999</c:v>
                </c:pt>
                <c:pt idx="14">
                  <c:v>1197.27</c:v>
                </c:pt>
                <c:pt idx="15">
                  <c:v>1205.3230000000001</c:v>
                </c:pt>
                <c:pt idx="16">
                  <c:v>1223.5939999999998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43-4B98-AF8A-8E1D5905731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lux_1_245_cct_3800_4200!$I$48:$Y$48</c:f>
              <c:numCache>
                <c:formatCode>General</c:formatCode>
                <c:ptCount val="17"/>
                <c:pt idx="0">
                  <c:v>1216.8799999999999</c:v>
                </c:pt>
                <c:pt idx="1">
                  <c:v>1182.384</c:v>
                </c:pt>
                <c:pt idx="2">
                  <c:v>1186.3040000000001</c:v>
                </c:pt>
                <c:pt idx="3">
                  <c:v>1205.2820000000002</c:v>
                </c:pt>
                <c:pt idx="4">
                  <c:v>1175.94</c:v>
                </c:pt>
                <c:pt idx="5">
                  <c:v>1151.5889999999999</c:v>
                </c:pt>
                <c:pt idx="6">
                  <c:v>1116.7329999999999</c:v>
                </c:pt>
                <c:pt idx="7">
                  <c:v>1084.848</c:v>
                </c:pt>
                <c:pt idx="8">
                  <c:v>1082.9699999999998</c:v>
                </c:pt>
                <c:pt idx="9">
                  <c:v>1084.848</c:v>
                </c:pt>
                <c:pt idx="10">
                  <c:v>1114.9589999999998</c:v>
                </c:pt>
                <c:pt idx="11">
                  <c:v>1149.9750000000001</c:v>
                </c:pt>
                <c:pt idx="12">
                  <c:v>1178.76</c:v>
                </c:pt>
                <c:pt idx="13">
                  <c:v>1190.154</c:v>
                </c:pt>
                <c:pt idx="14">
                  <c:v>1198.5920000000001</c:v>
                </c:pt>
                <c:pt idx="15">
                  <c:v>1190.5919999999999</c:v>
                </c:pt>
                <c:pt idx="16">
                  <c:v>1214.2830000000001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43-4B98-AF8A-8E1D5905731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lux_1_245_cct_3800_4200!$I$49:$Y$49</c:f>
              <c:numCache>
                <c:formatCode>General</c:formatCode>
                <c:ptCount val="17"/>
                <c:pt idx="0">
                  <c:v>1195.366</c:v>
                </c:pt>
                <c:pt idx="1">
                  <c:v>1200.7449999999999</c:v>
                </c:pt>
                <c:pt idx="2">
                  <c:v>1187.0819999999999</c:v>
                </c:pt>
                <c:pt idx="3">
                  <c:v>1186.731</c:v>
                </c:pt>
                <c:pt idx="4">
                  <c:v>1172.25</c:v>
                </c:pt>
                <c:pt idx="5">
                  <c:v>1128.519</c:v>
                </c:pt>
                <c:pt idx="6">
                  <c:v>1082.0520000000001</c:v>
                </c:pt>
                <c:pt idx="7">
                  <c:v>1054.2740000000001</c:v>
                </c:pt>
                <c:pt idx="8">
                  <c:v>1037</c:v>
                </c:pt>
                <c:pt idx="9">
                  <c:v>1059.2190000000001</c:v>
                </c:pt>
                <c:pt idx="10">
                  <c:v>1089.508</c:v>
                </c:pt>
                <c:pt idx="11">
                  <c:v>1118.53</c:v>
                </c:pt>
                <c:pt idx="12">
                  <c:v>1161.7080000000001</c:v>
                </c:pt>
                <c:pt idx="13">
                  <c:v>1195.6490000000001</c:v>
                </c:pt>
                <c:pt idx="14">
                  <c:v>1196.1600000000001</c:v>
                </c:pt>
                <c:pt idx="15">
                  <c:v>1173.0640000000001</c:v>
                </c:pt>
                <c:pt idx="16">
                  <c:v>1194.96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43-4B98-AF8A-8E1D5905731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lux_1_245_cct_3800_4200!$I$50:$Y$50</c:f>
              <c:numCache>
                <c:formatCode>General</c:formatCode>
                <c:ptCount val="17"/>
                <c:pt idx="0">
                  <c:v>1179.4480000000001</c:v>
                </c:pt>
                <c:pt idx="1">
                  <c:v>1189.3699999999999</c:v>
                </c:pt>
                <c:pt idx="2">
                  <c:v>1200.654</c:v>
                </c:pt>
                <c:pt idx="3">
                  <c:v>1191.0240000000001</c:v>
                </c:pt>
                <c:pt idx="4">
                  <c:v>1168.146</c:v>
                </c:pt>
                <c:pt idx="5">
                  <c:v>1117.152</c:v>
                </c:pt>
                <c:pt idx="6">
                  <c:v>1066.5329999999999</c:v>
                </c:pt>
                <c:pt idx="7">
                  <c:v>1031</c:v>
                </c:pt>
                <c:pt idx="8">
                  <c:v>1029.1379999999999</c:v>
                </c:pt>
                <c:pt idx="9">
                  <c:v>1036</c:v>
                </c:pt>
                <c:pt idx="10">
                  <c:v>1074.077</c:v>
                </c:pt>
                <c:pt idx="11">
                  <c:v>1124.0639999999999</c:v>
                </c:pt>
                <c:pt idx="12">
                  <c:v>1155.75</c:v>
                </c:pt>
                <c:pt idx="13">
                  <c:v>1198.152</c:v>
                </c:pt>
                <c:pt idx="14">
                  <c:v>1207.7520000000002</c:v>
                </c:pt>
                <c:pt idx="15">
                  <c:v>1191.6450000000002</c:v>
                </c:pt>
                <c:pt idx="16">
                  <c:v>1167.32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43-4B98-AF8A-8E1D5905731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lux_1_245_cct_3800_4200!$I$51:$Y$51</c:f>
              <c:numCache>
                <c:formatCode>General</c:formatCode>
                <c:ptCount val="17"/>
                <c:pt idx="0">
                  <c:v>1206.067</c:v>
                </c:pt>
                <c:pt idx="1">
                  <c:v>1172.1779999999999</c:v>
                </c:pt>
                <c:pt idx="2">
                  <c:v>1194.558</c:v>
                </c:pt>
                <c:pt idx="3">
                  <c:v>1198.8339999999998</c:v>
                </c:pt>
                <c:pt idx="4">
                  <c:v>1166.1420000000001</c:v>
                </c:pt>
                <c:pt idx="5">
                  <c:v>1120.212</c:v>
                </c:pt>
                <c:pt idx="6">
                  <c:v>1087.644</c:v>
                </c:pt>
                <c:pt idx="7">
                  <c:v>1043.5259999999998</c:v>
                </c:pt>
                <c:pt idx="8">
                  <c:v>1034</c:v>
                </c:pt>
                <c:pt idx="9">
                  <c:v>1045.482</c:v>
                </c:pt>
                <c:pt idx="10">
                  <c:v>1088.576</c:v>
                </c:pt>
                <c:pt idx="11">
                  <c:v>1119.3709999999999</c:v>
                </c:pt>
                <c:pt idx="12">
                  <c:v>1166.1420000000001</c:v>
                </c:pt>
                <c:pt idx="13">
                  <c:v>1202.6559999999999</c:v>
                </c:pt>
                <c:pt idx="14">
                  <c:v>1204.1699999999998</c:v>
                </c:pt>
                <c:pt idx="15">
                  <c:v>1181.038</c:v>
                </c:pt>
                <c:pt idx="16">
                  <c:v>1200.3219999999999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43-4B98-AF8A-8E1D5905731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lux_1_245_cct_3800_4200!$I$52:$Y$52</c:f>
              <c:numCache>
                <c:formatCode>General</c:formatCode>
                <c:ptCount val="17"/>
                <c:pt idx="0">
                  <c:v>1168.3920000000001</c:v>
                </c:pt>
                <c:pt idx="1">
                  <c:v>1186.2719999999999</c:v>
                </c:pt>
                <c:pt idx="2">
                  <c:v>1192.96</c:v>
                </c:pt>
                <c:pt idx="3">
                  <c:v>1189.5519999999999</c:v>
                </c:pt>
                <c:pt idx="4">
                  <c:v>1183.6949999999999</c:v>
                </c:pt>
                <c:pt idx="5">
                  <c:v>1143.8520000000001</c:v>
                </c:pt>
                <c:pt idx="6">
                  <c:v>1106.875</c:v>
                </c:pt>
                <c:pt idx="7">
                  <c:v>1091.3720000000001</c:v>
                </c:pt>
                <c:pt idx="8">
                  <c:v>1075.963</c:v>
                </c:pt>
                <c:pt idx="9">
                  <c:v>1076.6490000000001</c:v>
                </c:pt>
                <c:pt idx="10">
                  <c:v>1102.5</c:v>
                </c:pt>
                <c:pt idx="11">
                  <c:v>1136.6879999999999</c:v>
                </c:pt>
                <c:pt idx="12">
                  <c:v>1182.2850000000001</c:v>
                </c:pt>
                <c:pt idx="13">
                  <c:v>1196.174</c:v>
                </c:pt>
                <c:pt idx="14">
                  <c:v>1205.248</c:v>
                </c:pt>
                <c:pt idx="15">
                  <c:v>1197.0719999999999</c:v>
                </c:pt>
                <c:pt idx="16">
                  <c:v>1168.3920000000001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43-4B98-AF8A-8E1D5905731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lux_1_245_cct_3800_4200!$I$53:$Y$53</c:f>
              <c:numCache>
                <c:formatCode>General</c:formatCode>
                <c:ptCount val="17"/>
                <c:pt idx="0">
                  <c:v>1166.8320000000001</c:v>
                </c:pt>
                <c:pt idx="1">
                  <c:v>1198.779</c:v>
                </c:pt>
                <c:pt idx="2">
                  <c:v>1187.73</c:v>
                </c:pt>
                <c:pt idx="3">
                  <c:v>1193.0940000000001</c:v>
                </c:pt>
                <c:pt idx="4">
                  <c:v>1194.912</c:v>
                </c:pt>
                <c:pt idx="5">
                  <c:v>1169.7429999999999</c:v>
                </c:pt>
                <c:pt idx="6">
                  <c:v>1142.26</c:v>
                </c:pt>
                <c:pt idx="7">
                  <c:v>1123.576</c:v>
                </c:pt>
                <c:pt idx="8">
                  <c:v>1114.018</c:v>
                </c:pt>
                <c:pt idx="9">
                  <c:v>1125.258</c:v>
                </c:pt>
                <c:pt idx="10">
                  <c:v>1142.26</c:v>
                </c:pt>
                <c:pt idx="11">
                  <c:v>1169.7429999999999</c:v>
                </c:pt>
                <c:pt idx="12">
                  <c:v>1178.45</c:v>
                </c:pt>
                <c:pt idx="13">
                  <c:v>1199.778</c:v>
                </c:pt>
                <c:pt idx="14">
                  <c:v>1197.27</c:v>
                </c:pt>
                <c:pt idx="15">
                  <c:v>1200.8240000000001</c:v>
                </c:pt>
                <c:pt idx="16">
                  <c:v>1159.8389999999999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43-4B98-AF8A-8E1D5905731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lux_1_245_cct_3800_4200!$I$54:$Y$54</c:f>
              <c:numCache>
                <c:formatCode>General</c:formatCode>
                <c:ptCount val="17"/>
                <c:pt idx="0">
                  <c:v>1178.442</c:v>
                </c:pt>
                <c:pt idx="1">
                  <c:v>1204.125</c:v>
                </c:pt>
                <c:pt idx="2">
                  <c:v>1178.9280000000001</c:v>
                </c:pt>
                <c:pt idx="3">
                  <c:v>1189.5</c:v>
                </c:pt>
                <c:pt idx="4">
                  <c:v>1184.848</c:v>
                </c:pt>
                <c:pt idx="5">
                  <c:v>1178.45</c:v>
                </c:pt>
                <c:pt idx="6">
                  <c:v>1163.547</c:v>
                </c:pt>
                <c:pt idx="7">
                  <c:v>1163.925</c:v>
                </c:pt>
                <c:pt idx="8">
                  <c:v>1157.25</c:v>
                </c:pt>
                <c:pt idx="9">
                  <c:v>1169.098</c:v>
                </c:pt>
                <c:pt idx="10">
                  <c:v>1171.17</c:v>
                </c:pt>
                <c:pt idx="11">
                  <c:v>1185.4569999999999</c:v>
                </c:pt>
                <c:pt idx="12">
                  <c:v>1189.96</c:v>
                </c:pt>
                <c:pt idx="13">
                  <c:v>1195.5</c:v>
                </c:pt>
                <c:pt idx="14">
                  <c:v>1181.52</c:v>
                </c:pt>
                <c:pt idx="15">
                  <c:v>1198.875</c:v>
                </c:pt>
                <c:pt idx="16">
                  <c:v>1177.8140000000001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43-4B98-AF8A-8E1D5905731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lux_1_245_cct_3800_4200!$I$55:$Y$55</c:f>
              <c:numCache>
                <c:formatCode>General</c:formatCode>
                <c:ptCount val="17"/>
                <c:pt idx="0">
                  <c:v>1164.76</c:v>
                </c:pt>
                <c:pt idx="1">
                  <c:v>1201.3430000000001</c:v>
                </c:pt>
                <c:pt idx="2">
                  <c:v>1182.704</c:v>
                </c:pt>
                <c:pt idx="3">
                  <c:v>1184.1390000000001</c:v>
                </c:pt>
                <c:pt idx="4">
                  <c:v>1193.5</c:v>
                </c:pt>
                <c:pt idx="5">
                  <c:v>1199.221</c:v>
                </c:pt>
                <c:pt idx="6">
                  <c:v>1193.164</c:v>
                </c:pt>
                <c:pt idx="7">
                  <c:v>1173.125</c:v>
                </c:pt>
                <c:pt idx="8">
                  <c:v>1173.991</c:v>
                </c:pt>
                <c:pt idx="9">
                  <c:v>1175</c:v>
                </c:pt>
                <c:pt idx="10">
                  <c:v>1196.7760000000001</c:v>
                </c:pt>
                <c:pt idx="11">
                  <c:v>1204.2339999999999</c:v>
                </c:pt>
                <c:pt idx="12">
                  <c:v>1199.5</c:v>
                </c:pt>
                <c:pt idx="13">
                  <c:v>1187.683</c:v>
                </c:pt>
                <c:pt idx="14">
                  <c:v>1179.23</c:v>
                </c:pt>
                <c:pt idx="15">
                  <c:v>1203.3889999999999</c:v>
                </c:pt>
                <c:pt idx="16">
                  <c:v>1190.808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43-4B98-AF8A-8E1D5905731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lux_1_245_cct_3800_4200!$I$56:$Y$56</c:f>
              <c:numCache>
                <c:formatCode>General</c:formatCode>
                <c:ptCount val="17"/>
                <c:pt idx="0">
                  <c:v>1077.2250000000001</c:v>
                </c:pt>
                <c:pt idx="1">
                  <c:v>1130.1279999999999</c:v>
                </c:pt>
                <c:pt idx="2">
                  <c:v>1188.385</c:v>
                </c:pt>
                <c:pt idx="3">
                  <c:v>1223.452</c:v>
                </c:pt>
                <c:pt idx="4">
                  <c:v>1211.76</c:v>
                </c:pt>
                <c:pt idx="5">
                  <c:v>1179.4460000000001</c:v>
                </c:pt>
                <c:pt idx="6">
                  <c:v>1208.32</c:v>
                </c:pt>
                <c:pt idx="7">
                  <c:v>1197.7619999999999</c:v>
                </c:pt>
                <c:pt idx="8">
                  <c:v>1169.7099999999998</c:v>
                </c:pt>
                <c:pt idx="9">
                  <c:v>1199.364</c:v>
                </c:pt>
                <c:pt idx="10">
                  <c:v>1168.576</c:v>
                </c:pt>
                <c:pt idx="11">
                  <c:v>1175.252</c:v>
                </c:pt>
                <c:pt idx="12">
                  <c:v>1165.576</c:v>
                </c:pt>
                <c:pt idx="13">
                  <c:v>1173.5119999999999</c:v>
                </c:pt>
                <c:pt idx="14">
                  <c:v>1194.5230000000001</c:v>
                </c:pt>
                <c:pt idx="15">
                  <c:v>1158.8399999999999</c:v>
                </c:pt>
                <c:pt idx="16">
                  <c:v>1138.97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43-4B98-AF8A-8E1D5905731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lux_1_245_cct_4800_5200!$I$2:$Y$2</c:f>
              <c:numCache>
                <c:formatCode>General</c:formatCode>
                <c:ptCount val="17"/>
                <c:pt idx="0">
                  <c:v>843.67</c:v>
                </c:pt>
                <c:pt idx="1">
                  <c:v>866.7</c:v>
                </c:pt>
                <c:pt idx="2">
                  <c:v>904.08399999999995</c:v>
                </c:pt>
                <c:pt idx="3">
                  <c:v>924.52099999999996</c:v>
                </c:pt>
                <c:pt idx="4">
                  <c:v>966.14400000000001</c:v>
                </c:pt>
                <c:pt idx="5">
                  <c:v>958.30499999999995</c:v>
                </c:pt>
                <c:pt idx="6">
                  <c:v>973.37000000000012</c:v>
                </c:pt>
                <c:pt idx="7">
                  <c:v>1009.976</c:v>
                </c:pt>
                <c:pt idx="8">
                  <c:v>990.44600000000003</c:v>
                </c:pt>
                <c:pt idx="9">
                  <c:v>1012</c:v>
                </c:pt>
                <c:pt idx="10">
                  <c:v>1002.0780000000001</c:v>
                </c:pt>
                <c:pt idx="11">
                  <c:v>994.45500000000004</c:v>
                </c:pt>
                <c:pt idx="12">
                  <c:v>966.14400000000001</c:v>
                </c:pt>
                <c:pt idx="13">
                  <c:v>928.49200000000008</c:v>
                </c:pt>
                <c:pt idx="14">
                  <c:v>913.27699999999993</c:v>
                </c:pt>
                <c:pt idx="15">
                  <c:v>871.29</c:v>
                </c:pt>
                <c:pt idx="16">
                  <c:v>841.04100000000005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C-4595-A8DB-911B3B56B701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lux_1_245_cct_4800_5200!$I$3:$Y$3</c:f>
              <c:numCache>
                <c:formatCode>General</c:formatCode>
                <c:ptCount val="17"/>
                <c:pt idx="0">
                  <c:v>911.79</c:v>
                </c:pt>
                <c:pt idx="1">
                  <c:v>931.98</c:v>
                </c:pt>
                <c:pt idx="2">
                  <c:v>938.05</c:v>
                </c:pt>
                <c:pt idx="3">
                  <c:v>984.32100000000003</c:v>
                </c:pt>
                <c:pt idx="4">
                  <c:v>997.81000000000006</c:v>
                </c:pt>
                <c:pt idx="5">
                  <c:v>1033.1369999999999</c:v>
                </c:pt>
                <c:pt idx="6">
                  <c:v>1029.3</c:v>
                </c:pt>
                <c:pt idx="7">
                  <c:v>1046.4000000000001</c:v>
                </c:pt>
                <c:pt idx="8">
                  <c:v>1050.309</c:v>
                </c:pt>
                <c:pt idx="9">
                  <c:v>1046.4000000000001</c:v>
                </c:pt>
                <c:pt idx="10">
                  <c:v>1052.3519999999999</c:v>
                </c:pt>
                <c:pt idx="11">
                  <c:v>1036.8399999999999</c:v>
                </c:pt>
                <c:pt idx="12">
                  <c:v>1004.39</c:v>
                </c:pt>
                <c:pt idx="13">
                  <c:v>991.51199999999994</c:v>
                </c:pt>
                <c:pt idx="14">
                  <c:v>948.6350000000001</c:v>
                </c:pt>
                <c:pt idx="15">
                  <c:v>938.00300000000004</c:v>
                </c:pt>
                <c:pt idx="16">
                  <c:v>853.995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9C-4595-A8DB-911B3B56B701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lux_1_245_cct_4800_5200!$I$4:$Y$4</c:f>
              <c:numCache>
                <c:formatCode>General</c:formatCode>
                <c:ptCount val="17"/>
                <c:pt idx="0">
                  <c:v>908.28000000000009</c:v>
                </c:pt>
                <c:pt idx="1">
                  <c:v>946.74599999999998</c:v>
                </c:pt>
                <c:pt idx="2">
                  <c:v>972.31999999999994</c:v>
                </c:pt>
                <c:pt idx="3">
                  <c:v>993.57999999999993</c:v>
                </c:pt>
                <c:pt idx="4">
                  <c:v>1025.1949999999999</c:v>
                </c:pt>
                <c:pt idx="5">
                  <c:v>1049.087</c:v>
                </c:pt>
                <c:pt idx="6">
                  <c:v>1057.26</c:v>
                </c:pt>
                <c:pt idx="7">
                  <c:v>1054.058</c:v>
                </c:pt>
                <c:pt idx="8">
                  <c:v>1052.556</c:v>
                </c:pt>
                <c:pt idx="9">
                  <c:v>1058.2940000000001</c:v>
                </c:pt>
                <c:pt idx="10">
                  <c:v>1067.31</c:v>
                </c:pt>
                <c:pt idx="11">
                  <c:v>1058.8630000000001</c:v>
                </c:pt>
                <c:pt idx="12">
                  <c:v>1036.556</c:v>
                </c:pt>
                <c:pt idx="13">
                  <c:v>1004.8599999999999</c:v>
                </c:pt>
                <c:pt idx="14">
                  <c:v>981.79600000000005</c:v>
                </c:pt>
                <c:pt idx="15">
                  <c:v>950.27600000000007</c:v>
                </c:pt>
                <c:pt idx="16">
                  <c:v>900.74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C-4595-A8DB-911B3B56B701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lux_1_245_cct_4800_5200!$I$5:$Y$5</c:f>
              <c:numCache>
                <c:formatCode>General</c:formatCode>
                <c:ptCount val="17"/>
                <c:pt idx="0">
                  <c:v>908.40199999999993</c:v>
                </c:pt>
                <c:pt idx="1">
                  <c:v>944.13600000000008</c:v>
                </c:pt>
                <c:pt idx="2">
                  <c:v>987.423</c:v>
                </c:pt>
                <c:pt idx="3">
                  <c:v>1027.847</c:v>
                </c:pt>
                <c:pt idx="4">
                  <c:v>1046.643</c:v>
                </c:pt>
                <c:pt idx="5">
                  <c:v>1054.1859999999999</c:v>
                </c:pt>
                <c:pt idx="6">
                  <c:v>1051.2639999999999</c:v>
                </c:pt>
                <c:pt idx="7">
                  <c:v>1048.623</c:v>
                </c:pt>
                <c:pt idx="8">
                  <c:v>1060.45</c:v>
                </c:pt>
                <c:pt idx="9">
                  <c:v>1055.922</c:v>
                </c:pt>
                <c:pt idx="10">
                  <c:v>1065.0159999999998</c:v>
                </c:pt>
                <c:pt idx="11">
                  <c:v>1070.1480000000001</c:v>
                </c:pt>
                <c:pt idx="12">
                  <c:v>1061.307</c:v>
                </c:pt>
                <c:pt idx="13">
                  <c:v>1041.0719999999999</c:v>
                </c:pt>
                <c:pt idx="14">
                  <c:v>995.91600000000005</c:v>
                </c:pt>
                <c:pt idx="15">
                  <c:v>944.88799999999992</c:v>
                </c:pt>
                <c:pt idx="16">
                  <c:v>898.66800000000001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9C-4595-A8DB-911B3B56B701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lux_1_245_cct_4800_5200!$I$6:$Y$6</c:f>
              <c:numCache>
                <c:formatCode>General</c:formatCode>
                <c:ptCount val="17"/>
                <c:pt idx="0">
                  <c:v>905.7600000000001</c:v>
                </c:pt>
                <c:pt idx="1">
                  <c:v>981.38400000000001</c:v>
                </c:pt>
                <c:pt idx="2">
                  <c:v>1005.4519999999999</c:v>
                </c:pt>
                <c:pt idx="3">
                  <c:v>1046.5919999999999</c:v>
                </c:pt>
                <c:pt idx="4">
                  <c:v>1054.5800000000002</c:v>
                </c:pt>
                <c:pt idx="5">
                  <c:v>1050.5</c:v>
                </c:pt>
                <c:pt idx="6">
                  <c:v>1049.433</c:v>
                </c:pt>
                <c:pt idx="7">
                  <c:v>1048.895</c:v>
                </c:pt>
                <c:pt idx="8">
                  <c:v>1052.557</c:v>
                </c:pt>
                <c:pt idx="9">
                  <c:v>1054.325</c:v>
                </c:pt>
                <c:pt idx="10">
                  <c:v>1058.75</c:v>
                </c:pt>
                <c:pt idx="11">
                  <c:v>1060.432</c:v>
                </c:pt>
                <c:pt idx="12">
                  <c:v>1065.97</c:v>
                </c:pt>
                <c:pt idx="13">
                  <c:v>1057.5360000000001</c:v>
                </c:pt>
                <c:pt idx="14">
                  <c:v>1016.538</c:v>
                </c:pt>
                <c:pt idx="15">
                  <c:v>961.2</c:v>
                </c:pt>
                <c:pt idx="16">
                  <c:v>917.98800000000006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9C-4595-A8DB-911B3B56B701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lux_1_245_cct_4800_5200!$I$7:$Y$7</c:f>
              <c:numCache>
                <c:formatCode>General</c:formatCode>
                <c:ptCount val="17"/>
                <c:pt idx="0">
                  <c:v>909.07499999999993</c:v>
                </c:pt>
                <c:pt idx="1">
                  <c:v>974.59199999999987</c:v>
                </c:pt>
                <c:pt idx="2">
                  <c:v>1010.4820000000001</c:v>
                </c:pt>
                <c:pt idx="3">
                  <c:v>1033.8</c:v>
                </c:pt>
                <c:pt idx="4">
                  <c:v>1043.4680000000001</c:v>
                </c:pt>
                <c:pt idx="5">
                  <c:v>1043.7569999999998</c:v>
                </c:pt>
                <c:pt idx="6">
                  <c:v>1045.2750000000001</c:v>
                </c:pt>
                <c:pt idx="7">
                  <c:v>1030.5159999999998</c:v>
                </c:pt>
                <c:pt idx="8">
                  <c:v>1026.5319999999999</c:v>
                </c:pt>
                <c:pt idx="9">
                  <c:v>1048.2240000000002</c:v>
                </c:pt>
                <c:pt idx="10">
                  <c:v>1052.5150000000001</c:v>
                </c:pt>
                <c:pt idx="11">
                  <c:v>1049.434</c:v>
                </c:pt>
                <c:pt idx="12">
                  <c:v>1051.2340000000002</c:v>
                </c:pt>
                <c:pt idx="13">
                  <c:v>1044.6000000000001</c:v>
                </c:pt>
                <c:pt idx="14">
                  <c:v>1024.144</c:v>
                </c:pt>
                <c:pt idx="15">
                  <c:v>986.01300000000003</c:v>
                </c:pt>
                <c:pt idx="16">
                  <c:v>914.94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9C-4595-A8DB-911B3B56B701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lux_1_245_cct_4800_5200!$I$8:$Y$8</c:f>
              <c:numCache>
                <c:formatCode>General</c:formatCode>
                <c:ptCount val="17"/>
                <c:pt idx="0">
                  <c:v>934.98300000000006</c:v>
                </c:pt>
                <c:pt idx="1">
                  <c:v>991.36500000000001</c:v>
                </c:pt>
                <c:pt idx="2">
                  <c:v>1016.9390000000001</c:v>
                </c:pt>
                <c:pt idx="3">
                  <c:v>1031.3679999999999</c:v>
                </c:pt>
                <c:pt idx="4">
                  <c:v>1046.8440000000001</c:v>
                </c:pt>
                <c:pt idx="5">
                  <c:v>1040.4100000000001</c:v>
                </c:pt>
                <c:pt idx="6">
                  <c:v>1035.835</c:v>
                </c:pt>
                <c:pt idx="7">
                  <c:v>1029.9689999999998</c:v>
                </c:pt>
                <c:pt idx="8">
                  <c:v>1027.0920000000001</c:v>
                </c:pt>
                <c:pt idx="9">
                  <c:v>1035.963</c:v>
                </c:pt>
                <c:pt idx="10">
                  <c:v>1062.3889999999999</c:v>
                </c:pt>
                <c:pt idx="11">
                  <c:v>1053.77</c:v>
                </c:pt>
                <c:pt idx="12">
                  <c:v>1060.6950000000002</c:v>
                </c:pt>
                <c:pt idx="13">
                  <c:v>1044.1990000000001</c:v>
                </c:pt>
                <c:pt idx="14">
                  <c:v>1028.83</c:v>
                </c:pt>
                <c:pt idx="15">
                  <c:v>971.20799999999997</c:v>
                </c:pt>
                <c:pt idx="16">
                  <c:v>942.57100000000003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9C-4595-A8DB-911B3B56B701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lux_1_245_cct_4800_5200!$I$9:$Y$9</c:f>
              <c:numCache>
                <c:formatCode>General</c:formatCode>
                <c:ptCount val="17"/>
                <c:pt idx="0">
                  <c:v>913.56000000000006</c:v>
                </c:pt>
                <c:pt idx="1">
                  <c:v>975.0150000000001</c:v>
                </c:pt>
                <c:pt idx="2">
                  <c:v>1007.446</c:v>
                </c:pt>
                <c:pt idx="3">
                  <c:v>1045.421</c:v>
                </c:pt>
                <c:pt idx="4">
                  <c:v>1048.2539999999999</c:v>
                </c:pt>
                <c:pt idx="5">
                  <c:v>1046.0329999999999</c:v>
                </c:pt>
                <c:pt idx="6">
                  <c:v>1043.5459999999998</c:v>
                </c:pt>
                <c:pt idx="7">
                  <c:v>1028.704</c:v>
                </c:pt>
                <c:pt idx="8">
                  <c:v>1027.971</c:v>
                </c:pt>
                <c:pt idx="9">
                  <c:v>1040.4160000000002</c:v>
                </c:pt>
                <c:pt idx="10">
                  <c:v>1061.886</c:v>
                </c:pt>
                <c:pt idx="11">
                  <c:v>1063.316</c:v>
                </c:pt>
                <c:pt idx="12">
                  <c:v>1066.896</c:v>
                </c:pt>
                <c:pt idx="13">
                  <c:v>1043.4000000000001</c:v>
                </c:pt>
                <c:pt idx="14">
                  <c:v>1021.614</c:v>
                </c:pt>
                <c:pt idx="15">
                  <c:v>980.09100000000012</c:v>
                </c:pt>
                <c:pt idx="16">
                  <c:v>905.96999999999991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9C-4595-A8DB-911B3B56B701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lux_1_245_cct_4800_5200!$I$10:$Y$10</c:f>
              <c:numCache>
                <c:formatCode>General</c:formatCode>
                <c:ptCount val="17"/>
                <c:pt idx="0">
                  <c:v>907.42500000000007</c:v>
                </c:pt>
                <c:pt idx="1">
                  <c:v>981.38400000000001</c:v>
                </c:pt>
                <c:pt idx="2">
                  <c:v>1001.5959999999999</c:v>
                </c:pt>
                <c:pt idx="3">
                  <c:v>1038.528</c:v>
                </c:pt>
                <c:pt idx="4">
                  <c:v>1043.19</c:v>
                </c:pt>
                <c:pt idx="5">
                  <c:v>1053.808</c:v>
                </c:pt>
                <c:pt idx="6">
                  <c:v>1050.192</c:v>
                </c:pt>
                <c:pt idx="7">
                  <c:v>1047.2139999999999</c:v>
                </c:pt>
                <c:pt idx="8">
                  <c:v>1050.1560000000002</c:v>
                </c:pt>
                <c:pt idx="9">
                  <c:v>1053.633</c:v>
                </c:pt>
                <c:pt idx="10">
                  <c:v>1060.4880000000001</c:v>
                </c:pt>
                <c:pt idx="11">
                  <c:v>1068.5519999999999</c:v>
                </c:pt>
                <c:pt idx="12">
                  <c:v>1059.27</c:v>
                </c:pt>
                <c:pt idx="13">
                  <c:v>1054.6559999999999</c:v>
                </c:pt>
                <c:pt idx="14">
                  <c:v>1014.128</c:v>
                </c:pt>
                <c:pt idx="15">
                  <c:v>988.38800000000003</c:v>
                </c:pt>
                <c:pt idx="16">
                  <c:v>903.76199999999994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9C-4595-A8DB-911B3B56B701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lux_1_245_cct_4800_5200!$I$11:$Y$11</c:f>
              <c:numCache>
                <c:formatCode>General</c:formatCode>
                <c:ptCount val="17"/>
                <c:pt idx="0">
                  <c:v>929.5</c:v>
                </c:pt>
                <c:pt idx="1">
                  <c:v>966.12000000000012</c:v>
                </c:pt>
                <c:pt idx="2">
                  <c:v>981.16499999999996</c:v>
                </c:pt>
                <c:pt idx="3">
                  <c:v>1023.086</c:v>
                </c:pt>
                <c:pt idx="4">
                  <c:v>1039.922</c:v>
                </c:pt>
                <c:pt idx="5">
                  <c:v>1044.47</c:v>
                </c:pt>
                <c:pt idx="6">
                  <c:v>1054.5840000000001</c:v>
                </c:pt>
                <c:pt idx="7">
                  <c:v>1048.502</c:v>
                </c:pt>
                <c:pt idx="8">
                  <c:v>1040.4100000000001</c:v>
                </c:pt>
                <c:pt idx="9">
                  <c:v>1050.1479999999999</c:v>
                </c:pt>
                <c:pt idx="10">
                  <c:v>1042.096</c:v>
                </c:pt>
                <c:pt idx="11">
                  <c:v>1048.634</c:v>
                </c:pt>
                <c:pt idx="12">
                  <c:v>1046.643</c:v>
                </c:pt>
                <c:pt idx="13">
                  <c:v>1033.6659999999999</c:v>
                </c:pt>
                <c:pt idx="14">
                  <c:v>994.57500000000005</c:v>
                </c:pt>
                <c:pt idx="15">
                  <c:v>977.76</c:v>
                </c:pt>
                <c:pt idx="16">
                  <c:v>891.86999999999989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9C-4595-A8DB-911B3B56B701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lux_1_245_cct_4800_5200!$I$12:$Y$12</c:f>
              <c:numCache>
                <c:formatCode>General</c:formatCode>
                <c:ptCount val="17"/>
                <c:pt idx="0">
                  <c:v>899</c:v>
                </c:pt>
                <c:pt idx="1">
                  <c:v>941.09799999999996</c:v>
                </c:pt>
                <c:pt idx="2">
                  <c:v>969.43600000000004</c:v>
                </c:pt>
                <c:pt idx="3">
                  <c:v>1013.6460000000001</c:v>
                </c:pt>
                <c:pt idx="4">
                  <c:v>1017.621</c:v>
                </c:pt>
                <c:pt idx="5">
                  <c:v>1038.7</c:v>
                </c:pt>
                <c:pt idx="6">
                  <c:v>1044.53</c:v>
                </c:pt>
                <c:pt idx="7">
                  <c:v>1054.7070000000001</c:v>
                </c:pt>
                <c:pt idx="8">
                  <c:v>1050.489</c:v>
                </c:pt>
                <c:pt idx="9">
                  <c:v>1054.7070000000001</c:v>
                </c:pt>
                <c:pt idx="10">
                  <c:v>1047.8800000000001</c:v>
                </c:pt>
                <c:pt idx="11">
                  <c:v>1044.1990000000001</c:v>
                </c:pt>
                <c:pt idx="12">
                  <c:v>1024.654</c:v>
                </c:pt>
                <c:pt idx="13">
                  <c:v>998.75</c:v>
                </c:pt>
                <c:pt idx="14">
                  <c:v>979.32399999999996</c:v>
                </c:pt>
                <c:pt idx="15">
                  <c:v>949.56999999999994</c:v>
                </c:pt>
                <c:pt idx="16">
                  <c:v>900.74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9C-4595-A8DB-911B3B56B701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lux_1_245_cct_4800_5200!$I$13:$Y$13</c:f>
              <c:numCache>
                <c:formatCode>General</c:formatCode>
                <c:ptCount val="17"/>
                <c:pt idx="0">
                  <c:v>908.82</c:v>
                </c:pt>
                <c:pt idx="1">
                  <c:v>927.22499999999991</c:v>
                </c:pt>
                <c:pt idx="2">
                  <c:v>934.76499999999999</c:v>
                </c:pt>
                <c:pt idx="3">
                  <c:v>978.39900000000011</c:v>
                </c:pt>
                <c:pt idx="4">
                  <c:v>1013.6460000000001</c:v>
                </c:pt>
                <c:pt idx="5">
                  <c:v>1019.383</c:v>
                </c:pt>
                <c:pt idx="6">
                  <c:v>1036.2239999999999</c:v>
                </c:pt>
                <c:pt idx="7">
                  <c:v>1050.92</c:v>
                </c:pt>
                <c:pt idx="8">
                  <c:v>1037.4780000000001</c:v>
                </c:pt>
                <c:pt idx="9">
                  <c:v>1057.03</c:v>
                </c:pt>
                <c:pt idx="10">
                  <c:v>1047.7439999999999</c:v>
                </c:pt>
                <c:pt idx="11">
                  <c:v>1032.6079999999999</c:v>
                </c:pt>
                <c:pt idx="12">
                  <c:v>1024.732</c:v>
                </c:pt>
                <c:pt idx="13">
                  <c:v>987.70500000000004</c:v>
                </c:pt>
                <c:pt idx="14">
                  <c:v>941.33500000000004</c:v>
                </c:pt>
                <c:pt idx="15">
                  <c:v>930.39499999999998</c:v>
                </c:pt>
                <c:pt idx="16">
                  <c:v>901.26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9C-4595-A8DB-911B3B56B701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lux_1_245_cct_4800_5200!$I$14:$Y$14</c:f>
              <c:numCache>
                <c:formatCode>General</c:formatCode>
                <c:ptCount val="17"/>
                <c:pt idx="0">
                  <c:v>913.41</c:v>
                </c:pt>
                <c:pt idx="1">
                  <c:v>926.92600000000004</c:v>
                </c:pt>
                <c:pt idx="2">
                  <c:v>906.62</c:v>
                </c:pt>
                <c:pt idx="3">
                  <c:v>925.60400000000004</c:v>
                </c:pt>
                <c:pt idx="4">
                  <c:v>955.86400000000003</c:v>
                </c:pt>
                <c:pt idx="5">
                  <c:v>990.84699999999998</c:v>
                </c:pt>
                <c:pt idx="6">
                  <c:v>999.18599999999992</c:v>
                </c:pt>
                <c:pt idx="7">
                  <c:v>1002.996</c:v>
                </c:pt>
                <c:pt idx="8">
                  <c:v>1024.694</c:v>
                </c:pt>
                <c:pt idx="9">
                  <c:v>1011.5300000000001</c:v>
                </c:pt>
                <c:pt idx="10">
                  <c:v>1017.02</c:v>
                </c:pt>
                <c:pt idx="11">
                  <c:v>1009.338</c:v>
                </c:pt>
                <c:pt idx="12">
                  <c:v>970.81200000000001</c:v>
                </c:pt>
                <c:pt idx="13">
                  <c:v>936.79500000000007</c:v>
                </c:pt>
                <c:pt idx="14">
                  <c:v>911.05799999999999</c:v>
                </c:pt>
                <c:pt idx="15">
                  <c:v>918.63200000000006</c:v>
                </c:pt>
                <c:pt idx="16">
                  <c:v>891.99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19C-4595-A8DB-911B3B56B70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lux_1_245_cct_4800_5200!$I$16:$Y$16</c:f>
              <c:numCache>
                <c:formatCode>General</c:formatCode>
                <c:ptCount val="17"/>
                <c:pt idx="0">
                  <c:v>858.79200000000003</c:v>
                </c:pt>
                <c:pt idx="1">
                  <c:v>881.40000000000009</c:v>
                </c:pt>
                <c:pt idx="2">
                  <c:v>906.19200000000001</c:v>
                </c:pt>
                <c:pt idx="3">
                  <c:v>926.64</c:v>
                </c:pt>
                <c:pt idx="4">
                  <c:v>946.97899999999993</c:v>
                </c:pt>
                <c:pt idx="5">
                  <c:v>965.44799999999998</c:v>
                </c:pt>
                <c:pt idx="6">
                  <c:v>970.39799999999991</c:v>
                </c:pt>
                <c:pt idx="7">
                  <c:v>989.75</c:v>
                </c:pt>
                <c:pt idx="8">
                  <c:v>983.46400000000006</c:v>
                </c:pt>
                <c:pt idx="9">
                  <c:v>991.35500000000002</c:v>
                </c:pt>
                <c:pt idx="10">
                  <c:v>988.42200000000003</c:v>
                </c:pt>
                <c:pt idx="11">
                  <c:v>971.17200000000003</c:v>
                </c:pt>
                <c:pt idx="12">
                  <c:v>952.22299999999996</c:v>
                </c:pt>
                <c:pt idx="13">
                  <c:v>934.95600000000013</c:v>
                </c:pt>
                <c:pt idx="14">
                  <c:v>919.41599999999994</c:v>
                </c:pt>
                <c:pt idx="15">
                  <c:v>891.9</c:v>
                </c:pt>
                <c:pt idx="16">
                  <c:v>864.86399999999992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1-4BA4-90B6-FBBACD09B279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lux_1_245_cct_4800_5200!$I$17:$Y$17</c:f>
              <c:numCache>
                <c:formatCode>General</c:formatCode>
                <c:ptCount val="17"/>
                <c:pt idx="0">
                  <c:v>884.31200000000001</c:v>
                </c:pt>
                <c:pt idx="1">
                  <c:v>905.85600000000011</c:v>
                </c:pt>
                <c:pt idx="2">
                  <c:v>926.30100000000004</c:v>
                </c:pt>
                <c:pt idx="3">
                  <c:v>958.27199999999993</c:v>
                </c:pt>
                <c:pt idx="4">
                  <c:v>985.88</c:v>
                </c:pt>
                <c:pt idx="5">
                  <c:v>1014.5849999999999</c:v>
                </c:pt>
                <c:pt idx="6">
                  <c:v>1029.3210000000001</c:v>
                </c:pt>
                <c:pt idx="7">
                  <c:v>1033.2</c:v>
                </c:pt>
                <c:pt idx="8">
                  <c:v>1037.779</c:v>
                </c:pt>
                <c:pt idx="9">
                  <c:v>1035.0899999999999</c:v>
                </c:pt>
                <c:pt idx="10">
                  <c:v>1034.748</c:v>
                </c:pt>
                <c:pt idx="11">
                  <c:v>1022.4109999999999</c:v>
                </c:pt>
                <c:pt idx="12">
                  <c:v>996.4430000000001</c:v>
                </c:pt>
                <c:pt idx="13">
                  <c:v>969.92000000000007</c:v>
                </c:pt>
                <c:pt idx="14">
                  <c:v>941.23500000000001</c:v>
                </c:pt>
                <c:pt idx="15">
                  <c:v>919.33600000000001</c:v>
                </c:pt>
                <c:pt idx="16">
                  <c:v>888.03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1-4BA4-90B6-FBBACD09B279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lux_1_245_cct_4800_5200!$I$18:$Y$18</c:f>
              <c:numCache>
                <c:formatCode>General</c:formatCode>
                <c:ptCount val="17"/>
                <c:pt idx="0">
                  <c:v>908.83899999999994</c:v>
                </c:pt>
                <c:pt idx="1">
                  <c:v>924.20800000000008</c:v>
                </c:pt>
                <c:pt idx="2">
                  <c:v>960.02400000000011</c:v>
                </c:pt>
                <c:pt idx="3">
                  <c:v>995.09500000000003</c:v>
                </c:pt>
                <c:pt idx="4">
                  <c:v>1016.025</c:v>
                </c:pt>
                <c:pt idx="5">
                  <c:v>1035.2149999999999</c:v>
                </c:pt>
                <c:pt idx="6">
                  <c:v>1044.106</c:v>
                </c:pt>
                <c:pt idx="7">
                  <c:v>1050.3150000000001</c:v>
                </c:pt>
                <c:pt idx="8">
                  <c:v>1059.568</c:v>
                </c:pt>
                <c:pt idx="9">
                  <c:v>1056.1949999999999</c:v>
                </c:pt>
                <c:pt idx="10">
                  <c:v>1057.3489999999999</c:v>
                </c:pt>
                <c:pt idx="11">
                  <c:v>1049.317</c:v>
                </c:pt>
                <c:pt idx="12">
                  <c:v>1031.55</c:v>
                </c:pt>
                <c:pt idx="13">
                  <c:v>999.46100000000001</c:v>
                </c:pt>
                <c:pt idx="14">
                  <c:v>964.02199999999993</c:v>
                </c:pt>
                <c:pt idx="15">
                  <c:v>936.24000000000012</c:v>
                </c:pt>
                <c:pt idx="16">
                  <c:v>914.54499999999996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1-4BA4-90B6-FBBACD09B279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lux_1_245_cct_4800_5200!$I$19:$Y$19</c:f>
              <c:numCache>
                <c:formatCode>General</c:formatCode>
                <c:ptCount val="17"/>
                <c:pt idx="0">
                  <c:v>907.92099999999994</c:v>
                </c:pt>
                <c:pt idx="1">
                  <c:v>941.92700000000002</c:v>
                </c:pt>
                <c:pt idx="2">
                  <c:v>980.27799999999991</c:v>
                </c:pt>
                <c:pt idx="3">
                  <c:v>1010.672</c:v>
                </c:pt>
                <c:pt idx="4">
                  <c:v>1033.2920000000001</c:v>
                </c:pt>
                <c:pt idx="5">
                  <c:v>1046.904</c:v>
                </c:pt>
                <c:pt idx="6">
                  <c:v>1053.904</c:v>
                </c:pt>
                <c:pt idx="7">
                  <c:v>1057.9780000000001</c:v>
                </c:pt>
                <c:pt idx="8">
                  <c:v>1063.537</c:v>
                </c:pt>
                <c:pt idx="9">
                  <c:v>1065.547</c:v>
                </c:pt>
                <c:pt idx="10">
                  <c:v>1070.6199999999999</c:v>
                </c:pt>
                <c:pt idx="11">
                  <c:v>1065.7280000000001</c:v>
                </c:pt>
                <c:pt idx="12">
                  <c:v>1051.8810000000001</c:v>
                </c:pt>
                <c:pt idx="13">
                  <c:v>1029.1189999999999</c:v>
                </c:pt>
                <c:pt idx="14">
                  <c:v>995.18899999999996</c:v>
                </c:pt>
                <c:pt idx="15">
                  <c:v>952.15199999999993</c:v>
                </c:pt>
                <c:pt idx="16">
                  <c:v>912.38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1-4BA4-90B6-FBBACD09B279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lux_1_245_cct_4800_5200!$I$20:$Y$20</c:f>
              <c:numCache>
                <c:formatCode>General</c:formatCode>
                <c:ptCount val="17"/>
                <c:pt idx="0">
                  <c:v>903.87000000000012</c:v>
                </c:pt>
                <c:pt idx="1">
                  <c:v>955.71899999999994</c:v>
                </c:pt>
                <c:pt idx="2">
                  <c:v>990.99199999999996</c:v>
                </c:pt>
                <c:pt idx="3">
                  <c:v>1032.992</c:v>
                </c:pt>
                <c:pt idx="4">
                  <c:v>1048.086</c:v>
                </c:pt>
                <c:pt idx="5">
                  <c:v>1051.5159999999998</c:v>
                </c:pt>
                <c:pt idx="6">
                  <c:v>1053.17</c:v>
                </c:pt>
                <c:pt idx="7">
                  <c:v>1052.2199999999998</c:v>
                </c:pt>
                <c:pt idx="8">
                  <c:v>1053.74</c:v>
                </c:pt>
                <c:pt idx="9">
                  <c:v>1058.681</c:v>
                </c:pt>
                <c:pt idx="10">
                  <c:v>1065.4060000000002</c:v>
                </c:pt>
                <c:pt idx="11">
                  <c:v>1066.6400000000001</c:v>
                </c:pt>
                <c:pt idx="12">
                  <c:v>1063.53</c:v>
                </c:pt>
                <c:pt idx="13">
                  <c:v>1040.778</c:v>
                </c:pt>
                <c:pt idx="14">
                  <c:v>1009.496</c:v>
                </c:pt>
                <c:pt idx="15">
                  <c:v>972.76199999999994</c:v>
                </c:pt>
                <c:pt idx="16">
                  <c:v>916.21199999999999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1-4BA4-90B6-FBBACD09B279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lux_1_245_cct_4800_5200!$I$21:$Y$21</c:f>
              <c:numCache>
                <c:formatCode>General</c:formatCode>
                <c:ptCount val="17"/>
                <c:pt idx="0">
                  <c:v>898.38</c:v>
                </c:pt>
                <c:pt idx="1">
                  <c:v>959.45399999999995</c:v>
                </c:pt>
                <c:pt idx="2">
                  <c:v>993.20799999999997</c:v>
                </c:pt>
                <c:pt idx="3">
                  <c:v>1030.3200000000002</c:v>
                </c:pt>
                <c:pt idx="4">
                  <c:v>1054.7639999999999</c:v>
                </c:pt>
                <c:pt idx="5">
                  <c:v>1055.808</c:v>
                </c:pt>
                <c:pt idx="6">
                  <c:v>1052.557</c:v>
                </c:pt>
                <c:pt idx="7">
                  <c:v>1036.761</c:v>
                </c:pt>
                <c:pt idx="8">
                  <c:v>1029.8249999999998</c:v>
                </c:pt>
                <c:pt idx="9">
                  <c:v>1043.614</c:v>
                </c:pt>
                <c:pt idx="10">
                  <c:v>1063.7049999999999</c:v>
                </c:pt>
                <c:pt idx="11">
                  <c:v>1066.8059999999998</c:v>
                </c:pt>
                <c:pt idx="12">
                  <c:v>1058.8890000000001</c:v>
                </c:pt>
                <c:pt idx="13">
                  <c:v>1046.856</c:v>
                </c:pt>
                <c:pt idx="14">
                  <c:v>1011.968</c:v>
                </c:pt>
                <c:pt idx="15">
                  <c:v>978.48</c:v>
                </c:pt>
                <c:pt idx="16">
                  <c:v>932.5200000000001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1-4BA4-90B6-FBBACD09B279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lux_1_245_cct_4800_5200!$I$22:$Y$22</c:f>
              <c:numCache>
                <c:formatCode>General</c:formatCode>
                <c:ptCount val="17"/>
                <c:pt idx="0">
                  <c:v>904.93200000000002</c:v>
                </c:pt>
                <c:pt idx="1">
                  <c:v>962.06400000000008</c:v>
                </c:pt>
                <c:pt idx="2">
                  <c:v>999.36900000000003</c:v>
                </c:pt>
                <c:pt idx="3">
                  <c:v>1037.617</c:v>
                </c:pt>
                <c:pt idx="4">
                  <c:v>1043.0079999999998</c:v>
                </c:pt>
                <c:pt idx="5">
                  <c:v>1047.682</c:v>
                </c:pt>
                <c:pt idx="6">
                  <c:v>1046.1000000000001</c:v>
                </c:pt>
                <c:pt idx="7">
                  <c:v>1027.0260000000001</c:v>
                </c:pt>
                <c:pt idx="8">
                  <c:v>1028.1149999999998</c:v>
                </c:pt>
                <c:pt idx="9">
                  <c:v>1034.0329999999999</c:v>
                </c:pt>
                <c:pt idx="10">
                  <c:v>1063.2180000000001</c:v>
                </c:pt>
                <c:pt idx="11">
                  <c:v>1064.942</c:v>
                </c:pt>
                <c:pt idx="12">
                  <c:v>1061.9580000000001</c:v>
                </c:pt>
                <c:pt idx="13">
                  <c:v>1046.846</c:v>
                </c:pt>
                <c:pt idx="14">
                  <c:v>1017.4200000000001</c:v>
                </c:pt>
                <c:pt idx="15">
                  <c:v>977.67</c:v>
                </c:pt>
                <c:pt idx="16">
                  <c:v>915.13799999999992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1-4BA4-90B6-FBBACD09B279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lux_1_245_cct_4800_5200!$I$23:$Y$23</c:f>
              <c:numCache>
                <c:formatCode>General</c:formatCode>
                <c:ptCount val="17"/>
                <c:pt idx="0">
                  <c:v>901.72799999999995</c:v>
                </c:pt>
                <c:pt idx="1">
                  <c:v>960.36</c:v>
                </c:pt>
                <c:pt idx="2">
                  <c:v>1002.158</c:v>
                </c:pt>
                <c:pt idx="3">
                  <c:v>1032.6510000000001</c:v>
                </c:pt>
                <c:pt idx="4">
                  <c:v>1044.306</c:v>
                </c:pt>
                <c:pt idx="5">
                  <c:v>1050.5160000000001</c:v>
                </c:pt>
                <c:pt idx="6">
                  <c:v>1045.3300000000002</c:v>
                </c:pt>
                <c:pt idx="7">
                  <c:v>1027.296</c:v>
                </c:pt>
                <c:pt idx="8">
                  <c:v>1025.0240000000001</c:v>
                </c:pt>
                <c:pt idx="9">
                  <c:v>1040.088</c:v>
                </c:pt>
                <c:pt idx="10">
                  <c:v>1059.06</c:v>
                </c:pt>
                <c:pt idx="11">
                  <c:v>1065.1139999999998</c:v>
                </c:pt>
                <c:pt idx="12">
                  <c:v>1058.8890000000001</c:v>
                </c:pt>
                <c:pt idx="13">
                  <c:v>1046.856</c:v>
                </c:pt>
                <c:pt idx="14">
                  <c:v>1009.824</c:v>
                </c:pt>
                <c:pt idx="15">
                  <c:v>973.94999999999993</c:v>
                </c:pt>
                <c:pt idx="16">
                  <c:v>926.06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C1-4BA4-90B6-FBBACD09B279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lux_1_245_cct_4800_5200!$I$24:$Y$24</c:f>
              <c:numCache>
                <c:formatCode>General</c:formatCode>
                <c:ptCount val="17"/>
                <c:pt idx="0">
                  <c:v>905.68500000000006</c:v>
                </c:pt>
                <c:pt idx="1">
                  <c:v>957.90400000000011</c:v>
                </c:pt>
                <c:pt idx="2">
                  <c:v>990.47800000000007</c:v>
                </c:pt>
                <c:pt idx="3">
                  <c:v>1026.912</c:v>
                </c:pt>
                <c:pt idx="4">
                  <c:v>1047.1320000000001</c:v>
                </c:pt>
                <c:pt idx="5">
                  <c:v>1048.2139999999999</c:v>
                </c:pt>
                <c:pt idx="6">
                  <c:v>1047.768</c:v>
                </c:pt>
                <c:pt idx="7">
                  <c:v>1042.3380000000002</c:v>
                </c:pt>
                <c:pt idx="8">
                  <c:v>1048.0020000000002</c:v>
                </c:pt>
                <c:pt idx="9">
                  <c:v>1049.77</c:v>
                </c:pt>
                <c:pt idx="10">
                  <c:v>1060.0740000000001</c:v>
                </c:pt>
                <c:pt idx="11">
                  <c:v>1057.884</c:v>
                </c:pt>
                <c:pt idx="12">
                  <c:v>1058.616</c:v>
                </c:pt>
                <c:pt idx="13">
                  <c:v>1047.5840000000001</c:v>
                </c:pt>
                <c:pt idx="14">
                  <c:v>1007.4399999999999</c:v>
                </c:pt>
                <c:pt idx="15">
                  <c:v>972.32500000000005</c:v>
                </c:pt>
                <c:pt idx="16">
                  <c:v>915.84900000000005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C1-4BA4-90B6-FBBACD09B279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lux_1_245_cct_4800_5200!$I$25:$Y$25</c:f>
              <c:numCache>
                <c:formatCode>General</c:formatCode>
                <c:ptCount val="17"/>
                <c:pt idx="0">
                  <c:v>900.375</c:v>
                </c:pt>
                <c:pt idx="1">
                  <c:v>937.8370000000001</c:v>
                </c:pt>
                <c:pt idx="2">
                  <c:v>977.39200000000005</c:v>
                </c:pt>
                <c:pt idx="3">
                  <c:v>1017.456</c:v>
                </c:pt>
                <c:pt idx="4">
                  <c:v>1037.788</c:v>
                </c:pt>
                <c:pt idx="5">
                  <c:v>1047.55</c:v>
                </c:pt>
                <c:pt idx="6">
                  <c:v>1043.556</c:v>
                </c:pt>
                <c:pt idx="7">
                  <c:v>1049.04</c:v>
                </c:pt>
                <c:pt idx="8">
                  <c:v>1051.134</c:v>
                </c:pt>
                <c:pt idx="9">
                  <c:v>1052.424</c:v>
                </c:pt>
                <c:pt idx="10">
                  <c:v>1049.924</c:v>
                </c:pt>
                <c:pt idx="11">
                  <c:v>1055.58</c:v>
                </c:pt>
                <c:pt idx="12">
                  <c:v>1049.434</c:v>
                </c:pt>
                <c:pt idx="13">
                  <c:v>1023.529</c:v>
                </c:pt>
                <c:pt idx="14">
                  <c:v>994.70800000000008</c:v>
                </c:pt>
                <c:pt idx="15">
                  <c:v>955.01499999999999</c:v>
                </c:pt>
                <c:pt idx="16">
                  <c:v>917.18200000000002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C1-4BA4-90B6-FBBACD09B279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lux_1_245_cct_4800_5200!$I$26:$Y$26</c:f>
              <c:numCache>
                <c:formatCode>General</c:formatCode>
                <c:ptCount val="17"/>
                <c:pt idx="0">
                  <c:v>903.13300000000004</c:v>
                </c:pt>
                <c:pt idx="1">
                  <c:v>922.70400000000006</c:v>
                </c:pt>
                <c:pt idx="2">
                  <c:v>950.03800000000001</c:v>
                </c:pt>
                <c:pt idx="3">
                  <c:v>993.56799999999998</c:v>
                </c:pt>
                <c:pt idx="4">
                  <c:v>1012</c:v>
                </c:pt>
                <c:pt idx="5">
                  <c:v>1038.4349999999999</c:v>
                </c:pt>
                <c:pt idx="6">
                  <c:v>1042.47</c:v>
                </c:pt>
                <c:pt idx="7">
                  <c:v>1045.5509999999999</c:v>
                </c:pt>
                <c:pt idx="8">
                  <c:v>1043.0240000000001</c:v>
                </c:pt>
                <c:pt idx="9">
                  <c:v>1047.7739999999999</c:v>
                </c:pt>
                <c:pt idx="10">
                  <c:v>1048.788</c:v>
                </c:pt>
                <c:pt idx="11">
                  <c:v>1037.779</c:v>
                </c:pt>
                <c:pt idx="12">
                  <c:v>1023.5</c:v>
                </c:pt>
                <c:pt idx="13">
                  <c:v>995.43700000000001</c:v>
                </c:pt>
                <c:pt idx="14">
                  <c:v>964.02199999999993</c:v>
                </c:pt>
                <c:pt idx="15">
                  <c:v>938.12</c:v>
                </c:pt>
                <c:pt idx="16">
                  <c:v>917.71500000000003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C1-4BA4-90B6-FBBACD09B279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lux_1_245_cct_4800_5200!$I$27:$Y$27</c:f>
              <c:numCache>
                <c:formatCode>General</c:formatCode>
                <c:ptCount val="17"/>
                <c:pt idx="0">
                  <c:v>904.13700000000006</c:v>
                </c:pt>
                <c:pt idx="1">
                  <c:v>924.72800000000007</c:v>
                </c:pt>
                <c:pt idx="2">
                  <c:v>929.44500000000005</c:v>
                </c:pt>
                <c:pt idx="3">
                  <c:v>959.61599999999999</c:v>
                </c:pt>
                <c:pt idx="4">
                  <c:v>984.37099999999998</c:v>
                </c:pt>
                <c:pt idx="5">
                  <c:v>1008.995</c:v>
                </c:pt>
                <c:pt idx="6">
                  <c:v>1022.085</c:v>
                </c:pt>
                <c:pt idx="7">
                  <c:v>1035.4079999999999</c:v>
                </c:pt>
                <c:pt idx="8">
                  <c:v>1031.3689999999999</c:v>
                </c:pt>
                <c:pt idx="9">
                  <c:v>1041.768</c:v>
                </c:pt>
                <c:pt idx="10">
                  <c:v>1035.3510000000001</c:v>
                </c:pt>
                <c:pt idx="11">
                  <c:v>1023.529</c:v>
                </c:pt>
                <c:pt idx="12">
                  <c:v>998.45500000000004</c:v>
                </c:pt>
                <c:pt idx="13">
                  <c:v>972.16</c:v>
                </c:pt>
                <c:pt idx="14">
                  <c:v>938.48399999999992</c:v>
                </c:pt>
                <c:pt idx="15">
                  <c:v>932.61699999999996</c:v>
                </c:pt>
                <c:pt idx="16">
                  <c:v>905.01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C1-4BA4-90B6-FBBACD09B279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lux_1_245_cct_4800_5200!$I$28:$Y$28</c:f>
              <c:numCache>
                <c:formatCode>General</c:formatCode>
                <c:ptCount val="17"/>
                <c:pt idx="0">
                  <c:v>898.19100000000003</c:v>
                </c:pt>
                <c:pt idx="1">
                  <c:v>899.39200000000005</c:v>
                </c:pt>
                <c:pt idx="2">
                  <c:v>905.01400000000001</c:v>
                </c:pt>
                <c:pt idx="3">
                  <c:v>926.98699999999997</c:v>
                </c:pt>
                <c:pt idx="4">
                  <c:v>946.37400000000002</c:v>
                </c:pt>
                <c:pt idx="5">
                  <c:v>964.91</c:v>
                </c:pt>
                <c:pt idx="6">
                  <c:v>985.101</c:v>
                </c:pt>
                <c:pt idx="7">
                  <c:v>985.94999999999993</c:v>
                </c:pt>
                <c:pt idx="8">
                  <c:v>1002.294</c:v>
                </c:pt>
                <c:pt idx="9">
                  <c:v>994.34999999999991</c:v>
                </c:pt>
                <c:pt idx="10">
                  <c:v>1001.325</c:v>
                </c:pt>
                <c:pt idx="11">
                  <c:v>984.18</c:v>
                </c:pt>
                <c:pt idx="12">
                  <c:v>962.67600000000004</c:v>
                </c:pt>
                <c:pt idx="13">
                  <c:v>939.82399999999996</c:v>
                </c:pt>
                <c:pt idx="14">
                  <c:v>912.17499999999995</c:v>
                </c:pt>
                <c:pt idx="15">
                  <c:v>894.60799999999995</c:v>
                </c:pt>
                <c:pt idx="16">
                  <c:v>878.28500000000008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C1-4BA4-90B6-FBBACD09B27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lux_1_245_cct_4800_5200!$I$30:$Y$30</c:f>
              <c:numCache>
                <c:formatCode>General</c:formatCode>
                <c:ptCount val="17"/>
                <c:pt idx="0">
                  <c:v>851.76199999999994</c:v>
                </c:pt>
                <c:pt idx="1">
                  <c:v>899.33400000000006</c:v>
                </c:pt>
                <c:pt idx="2">
                  <c:v>922.87800000000004</c:v>
                </c:pt>
                <c:pt idx="3">
                  <c:v>941.88599999999997</c:v>
                </c:pt>
                <c:pt idx="4">
                  <c:v>957.41099999999994</c:v>
                </c:pt>
                <c:pt idx="5">
                  <c:v>979.524</c:v>
                </c:pt>
                <c:pt idx="6">
                  <c:v>993.00599999999997</c:v>
                </c:pt>
                <c:pt idx="7">
                  <c:v>1011.7379999999999</c:v>
                </c:pt>
                <c:pt idx="8">
                  <c:v>1005.2189999999999</c:v>
                </c:pt>
                <c:pt idx="9">
                  <c:v>1012.83</c:v>
                </c:pt>
                <c:pt idx="10">
                  <c:v>997.66800000000001</c:v>
                </c:pt>
                <c:pt idx="11">
                  <c:v>984.35399999999993</c:v>
                </c:pt>
                <c:pt idx="12">
                  <c:v>961.82100000000003</c:v>
                </c:pt>
                <c:pt idx="13">
                  <c:v>949.524</c:v>
                </c:pt>
                <c:pt idx="14">
                  <c:v>934.91399999999999</c:v>
                </c:pt>
                <c:pt idx="15">
                  <c:v>909.12599999999998</c:v>
                </c:pt>
                <c:pt idx="16">
                  <c:v>857.2639999999999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7-4FC1-B185-C8A96399372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lux_1_245_cct_4800_5200!$I$31:$Y$31</c:f>
              <c:numCache>
                <c:formatCode>General</c:formatCode>
                <c:ptCount val="17"/>
                <c:pt idx="0">
                  <c:v>899.48100000000011</c:v>
                </c:pt>
                <c:pt idx="1">
                  <c:v>922.327</c:v>
                </c:pt>
                <c:pt idx="2">
                  <c:v>938.48400000000004</c:v>
                </c:pt>
                <c:pt idx="3">
                  <c:v>969.42000000000007</c:v>
                </c:pt>
                <c:pt idx="4">
                  <c:v>1008.468</c:v>
                </c:pt>
                <c:pt idx="5">
                  <c:v>1024.788</c:v>
                </c:pt>
                <c:pt idx="6">
                  <c:v>1049.326</c:v>
                </c:pt>
                <c:pt idx="7">
                  <c:v>1051.8810000000001</c:v>
                </c:pt>
                <c:pt idx="8">
                  <c:v>1057.8600000000001</c:v>
                </c:pt>
                <c:pt idx="9">
                  <c:v>1053.8039999999999</c:v>
                </c:pt>
                <c:pt idx="10">
                  <c:v>1054.2380000000001</c:v>
                </c:pt>
                <c:pt idx="11">
                  <c:v>1032.1200000000001</c:v>
                </c:pt>
                <c:pt idx="12">
                  <c:v>1018.748</c:v>
                </c:pt>
                <c:pt idx="13">
                  <c:v>980.29200000000003</c:v>
                </c:pt>
                <c:pt idx="14">
                  <c:v>952.41399999999987</c:v>
                </c:pt>
                <c:pt idx="15">
                  <c:v>934.67500000000007</c:v>
                </c:pt>
                <c:pt idx="16">
                  <c:v>902.1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87-4FC1-B185-C8A96399372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lux_1_245_cct_4800_5200!$I$32:$Y$32</c:f>
              <c:numCache>
                <c:formatCode>General</c:formatCode>
                <c:ptCount val="17"/>
                <c:pt idx="0">
                  <c:v>902.79000000000008</c:v>
                </c:pt>
                <c:pt idx="1">
                  <c:v>938.95600000000002</c:v>
                </c:pt>
                <c:pt idx="2">
                  <c:v>960.02400000000011</c:v>
                </c:pt>
                <c:pt idx="3">
                  <c:v>995.60399999999993</c:v>
                </c:pt>
                <c:pt idx="4">
                  <c:v>1027.2080000000001</c:v>
                </c:pt>
                <c:pt idx="5">
                  <c:v>1055.9010000000001</c:v>
                </c:pt>
                <c:pt idx="6">
                  <c:v>1061.2920000000001</c:v>
                </c:pt>
                <c:pt idx="7">
                  <c:v>1067.463</c:v>
                </c:pt>
                <c:pt idx="8">
                  <c:v>1075.067</c:v>
                </c:pt>
                <c:pt idx="9">
                  <c:v>1073.4390000000001</c:v>
                </c:pt>
                <c:pt idx="10">
                  <c:v>1074.0359999999998</c:v>
                </c:pt>
                <c:pt idx="11">
                  <c:v>1068.961</c:v>
                </c:pt>
                <c:pt idx="12">
                  <c:v>1041.7329999999999</c:v>
                </c:pt>
                <c:pt idx="13">
                  <c:v>1010.874</c:v>
                </c:pt>
                <c:pt idx="14">
                  <c:v>974.16800000000012</c:v>
                </c:pt>
                <c:pt idx="15">
                  <c:v>950.03399999999999</c:v>
                </c:pt>
                <c:pt idx="16">
                  <c:v>929.91700000000003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7-4FC1-B185-C8A96399372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lux_1_245_cct_4800_5200!$I$33:$Y$33</c:f>
              <c:numCache>
                <c:formatCode>General</c:formatCode>
                <c:ptCount val="17"/>
                <c:pt idx="0">
                  <c:v>907.57799999999997</c:v>
                </c:pt>
                <c:pt idx="1">
                  <c:v>941.51800000000003</c:v>
                </c:pt>
                <c:pt idx="2">
                  <c:v>979.79699999999991</c:v>
                </c:pt>
                <c:pt idx="3">
                  <c:v>1020.276</c:v>
                </c:pt>
                <c:pt idx="4">
                  <c:v>1042.9640000000002</c:v>
                </c:pt>
                <c:pt idx="5">
                  <c:v>1063.5450000000001</c:v>
                </c:pt>
                <c:pt idx="6">
                  <c:v>1062.6499999999999</c:v>
                </c:pt>
                <c:pt idx="7">
                  <c:v>1071.816</c:v>
                </c:pt>
                <c:pt idx="8">
                  <c:v>1077.1880000000001</c:v>
                </c:pt>
                <c:pt idx="9">
                  <c:v>1079.4839999999999</c:v>
                </c:pt>
                <c:pt idx="10">
                  <c:v>1078.69</c:v>
                </c:pt>
                <c:pt idx="11">
                  <c:v>1073.8300000000002</c:v>
                </c:pt>
                <c:pt idx="12">
                  <c:v>1060.433</c:v>
                </c:pt>
                <c:pt idx="13">
                  <c:v>1036.6320000000001</c:v>
                </c:pt>
                <c:pt idx="14">
                  <c:v>993.26499999999999</c:v>
                </c:pt>
                <c:pt idx="15">
                  <c:v>950.51599999999996</c:v>
                </c:pt>
                <c:pt idx="16">
                  <c:v>928.9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7-4FC1-B185-C8A96399372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lux_1_245_cct_4800_5200!$I$34:$Y$34</c:f>
              <c:numCache>
                <c:formatCode>General</c:formatCode>
                <c:ptCount val="17"/>
                <c:pt idx="0">
                  <c:v>903.14400000000001</c:v>
                </c:pt>
                <c:pt idx="1">
                  <c:v>955.71899999999994</c:v>
                </c:pt>
                <c:pt idx="2">
                  <c:v>1002.56</c:v>
                </c:pt>
                <c:pt idx="3">
                  <c:v>1032.992</c:v>
                </c:pt>
                <c:pt idx="4">
                  <c:v>1057.0440000000001</c:v>
                </c:pt>
                <c:pt idx="5">
                  <c:v>1060.2440000000001</c:v>
                </c:pt>
                <c:pt idx="6">
                  <c:v>1059.1950000000002</c:v>
                </c:pt>
                <c:pt idx="7">
                  <c:v>1064.9649999999999</c:v>
                </c:pt>
                <c:pt idx="8">
                  <c:v>1065.1200000000001</c:v>
                </c:pt>
                <c:pt idx="9">
                  <c:v>1071.51</c:v>
                </c:pt>
                <c:pt idx="10">
                  <c:v>1070.6220000000001</c:v>
                </c:pt>
                <c:pt idx="11">
                  <c:v>1073.8779999999999</c:v>
                </c:pt>
                <c:pt idx="12">
                  <c:v>1062.828</c:v>
                </c:pt>
                <c:pt idx="13">
                  <c:v>1048.192</c:v>
                </c:pt>
                <c:pt idx="14">
                  <c:v>1007.9540000000001</c:v>
                </c:pt>
                <c:pt idx="15">
                  <c:v>971.01400000000001</c:v>
                </c:pt>
                <c:pt idx="16">
                  <c:v>914.03399999999988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7-4FC1-B185-C8A96399372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lux_1_245_cct_4800_5200!$I$35:$Y$35</c:f>
              <c:numCache>
                <c:formatCode>General</c:formatCode>
                <c:ptCount val="17"/>
                <c:pt idx="0">
                  <c:v>916.93999999999994</c:v>
                </c:pt>
                <c:pt idx="1">
                  <c:v>959.00099999999998</c:v>
                </c:pt>
                <c:pt idx="2">
                  <c:v>993.20799999999997</c:v>
                </c:pt>
                <c:pt idx="3">
                  <c:v>1030.9559999999999</c:v>
                </c:pt>
                <c:pt idx="4">
                  <c:v>1054.7639999999999</c:v>
                </c:pt>
                <c:pt idx="5">
                  <c:v>1055.808</c:v>
                </c:pt>
                <c:pt idx="6">
                  <c:v>1052.557</c:v>
                </c:pt>
                <c:pt idx="7">
                  <c:v>1042.056</c:v>
                </c:pt>
                <c:pt idx="8">
                  <c:v>1035.0340000000001</c:v>
                </c:pt>
                <c:pt idx="9">
                  <c:v>1047.96</c:v>
                </c:pt>
                <c:pt idx="10">
                  <c:v>1063.7049999999999</c:v>
                </c:pt>
                <c:pt idx="11">
                  <c:v>1066.8059999999998</c:v>
                </c:pt>
                <c:pt idx="12">
                  <c:v>1058.1479999999999</c:v>
                </c:pt>
                <c:pt idx="13">
                  <c:v>1045.5839999999998</c:v>
                </c:pt>
                <c:pt idx="14">
                  <c:v>1010.36</c:v>
                </c:pt>
                <c:pt idx="15">
                  <c:v>976.66800000000001</c:v>
                </c:pt>
                <c:pt idx="16">
                  <c:v>930.61999999999989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7-4FC1-B185-C8A96399372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lux_1_245_cct_4800_5200!$I$36:$Y$36</c:f>
              <c:numCache>
                <c:formatCode>General</c:formatCode>
                <c:ptCount val="17"/>
                <c:pt idx="0">
                  <c:v>904.17599999999993</c:v>
                </c:pt>
                <c:pt idx="1">
                  <c:v>961.60500000000013</c:v>
                </c:pt>
                <c:pt idx="2">
                  <c:v>998.822</c:v>
                </c:pt>
                <c:pt idx="3">
                  <c:v>1028.0830000000001</c:v>
                </c:pt>
                <c:pt idx="4">
                  <c:v>1043.7660000000001</c:v>
                </c:pt>
                <c:pt idx="5">
                  <c:v>1048.5450000000001</c:v>
                </c:pt>
                <c:pt idx="6">
                  <c:v>1040.6000000000001</c:v>
                </c:pt>
                <c:pt idx="7">
                  <c:v>1027.0260000000001</c:v>
                </c:pt>
                <c:pt idx="8">
                  <c:v>1027.0920000000001</c:v>
                </c:pt>
                <c:pt idx="9">
                  <c:v>1034.0329999999999</c:v>
                </c:pt>
                <c:pt idx="10">
                  <c:v>1056.682</c:v>
                </c:pt>
                <c:pt idx="11">
                  <c:v>1057.538</c:v>
                </c:pt>
                <c:pt idx="12">
                  <c:v>1052.048</c:v>
                </c:pt>
                <c:pt idx="13">
                  <c:v>1045.5520000000001</c:v>
                </c:pt>
                <c:pt idx="14">
                  <c:v>1006.494</c:v>
                </c:pt>
                <c:pt idx="15">
                  <c:v>975.83399999999995</c:v>
                </c:pt>
                <c:pt idx="16">
                  <c:v>912.87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87-4FC1-B185-C8A96399372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lux_1_245_cct_4800_5200!$I$37:$Y$37</c:f>
              <c:numCache>
                <c:formatCode>General</c:formatCode>
                <c:ptCount val="17"/>
                <c:pt idx="0">
                  <c:v>900.61199999999997</c:v>
                </c:pt>
                <c:pt idx="1">
                  <c:v>959.45399999999995</c:v>
                </c:pt>
                <c:pt idx="2">
                  <c:v>990.52800000000002</c:v>
                </c:pt>
                <c:pt idx="3">
                  <c:v>1023.96</c:v>
                </c:pt>
                <c:pt idx="4">
                  <c:v>1036.6590000000001</c:v>
                </c:pt>
                <c:pt idx="5">
                  <c:v>1043.9639999999999</c:v>
                </c:pt>
                <c:pt idx="6">
                  <c:v>1038.6220000000001</c:v>
                </c:pt>
                <c:pt idx="7">
                  <c:v>1027.296</c:v>
                </c:pt>
                <c:pt idx="8">
                  <c:v>1024.0229999999999</c:v>
                </c:pt>
                <c:pt idx="9">
                  <c:v>1039.104</c:v>
                </c:pt>
                <c:pt idx="10">
                  <c:v>1051.297</c:v>
                </c:pt>
                <c:pt idx="11">
                  <c:v>1057.9780000000001</c:v>
                </c:pt>
                <c:pt idx="12">
                  <c:v>1058.1479999999999</c:v>
                </c:pt>
                <c:pt idx="13">
                  <c:v>1035.0899999999999</c:v>
                </c:pt>
                <c:pt idx="14">
                  <c:v>1008.216</c:v>
                </c:pt>
                <c:pt idx="15">
                  <c:v>960.96</c:v>
                </c:pt>
                <c:pt idx="16">
                  <c:v>908.82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87-4FC1-B185-C8A96399372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lux_1_245_cct_4800_5200!$I$38:$Y$38</c:f>
              <c:numCache>
                <c:formatCode>General</c:formatCode>
                <c:ptCount val="17"/>
                <c:pt idx="0">
                  <c:v>904.596</c:v>
                </c:pt>
                <c:pt idx="1">
                  <c:v>956.59300000000007</c:v>
                </c:pt>
                <c:pt idx="2">
                  <c:v>989.45</c:v>
                </c:pt>
                <c:pt idx="3">
                  <c:v>1017.8639999999999</c:v>
                </c:pt>
                <c:pt idx="4">
                  <c:v>1037.556</c:v>
                </c:pt>
                <c:pt idx="5">
                  <c:v>1040.3719999999998</c:v>
                </c:pt>
                <c:pt idx="6">
                  <c:v>1040.934</c:v>
                </c:pt>
                <c:pt idx="7">
                  <c:v>1033.76</c:v>
                </c:pt>
                <c:pt idx="8">
                  <c:v>1040.6000000000001</c:v>
                </c:pt>
                <c:pt idx="9">
                  <c:v>1041.144</c:v>
                </c:pt>
                <c:pt idx="10">
                  <c:v>1052.296</c:v>
                </c:pt>
                <c:pt idx="11">
                  <c:v>1049.6569999999999</c:v>
                </c:pt>
                <c:pt idx="12">
                  <c:v>1049.682</c:v>
                </c:pt>
                <c:pt idx="13">
                  <c:v>1036.557</c:v>
                </c:pt>
                <c:pt idx="14">
                  <c:v>995.60399999999993</c:v>
                </c:pt>
                <c:pt idx="15">
                  <c:v>956.3889999999999</c:v>
                </c:pt>
                <c:pt idx="16">
                  <c:v>918.34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87-4FC1-B185-C8A96399372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lux_1_245_cct_4800_5200!$I$39:$Y$39</c:f>
              <c:numCache>
                <c:formatCode>General</c:formatCode>
                <c:ptCount val="17"/>
                <c:pt idx="0">
                  <c:v>878.03499999999997</c:v>
                </c:pt>
                <c:pt idx="1">
                  <c:v>936.20100000000002</c:v>
                </c:pt>
                <c:pt idx="2">
                  <c:v>965.80399999999997</c:v>
                </c:pt>
                <c:pt idx="3">
                  <c:v>1006.759</c:v>
                </c:pt>
                <c:pt idx="4">
                  <c:v>1026.8820000000001</c:v>
                </c:pt>
                <c:pt idx="5">
                  <c:v>1037.492</c:v>
                </c:pt>
                <c:pt idx="6">
                  <c:v>1041.9639999999999</c:v>
                </c:pt>
                <c:pt idx="7">
                  <c:v>1041.1579999999999</c:v>
                </c:pt>
                <c:pt idx="8">
                  <c:v>1042.1120000000001</c:v>
                </c:pt>
                <c:pt idx="9">
                  <c:v>1043.681</c:v>
                </c:pt>
                <c:pt idx="10">
                  <c:v>1040.9560000000001</c:v>
                </c:pt>
                <c:pt idx="11">
                  <c:v>1037.5170000000001</c:v>
                </c:pt>
                <c:pt idx="12">
                  <c:v>1029.048</c:v>
                </c:pt>
                <c:pt idx="13">
                  <c:v>1009.778</c:v>
                </c:pt>
                <c:pt idx="14">
                  <c:v>981.98800000000006</c:v>
                </c:pt>
                <c:pt idx="15">
                  <c:v>940.91600000000005</c:v>
                </c:pt>
                <c:pt idx="16">
                  <c:v>919.08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87-4FC1-B185-C8A96399372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lux_1_245_cct_4800_5200!$I$40:$Y$40</c:f>
              <c:numCache>
                <c:formatCode>General</c:formatCode>
                <c:ptCount val="17"/>
                <c:pt idx="0">
                  <c:v>901.548</c:v>
                </c:pt>
                <c:pt idx="1">
                  <c:v>921.2</c:v>
                </c:pt>
                <c:pt idx="2">
                  <c:v>948.72699999999998</c:v>
                </c:pt>
                <c:pt idx="3">
                  <c:v>980.34699999999998</c:v>
                </c:pt>
                <c:pt idx="4">
                  <c:v>1002.0600000000001</c:v>
                </c:pt>
                <c:pt idx="5">
                  <c:v>1027.5229999999999</c:v>
                </c:pt>
                <c:pt idx="6">
                  <c:v>1033.6510000000001</c:v>
                </c:pt>
                <c:pt idx="7">
                  <c:v>1034.8799999999999</c:v>
                </c:pt>
                <c:pt idx="8">
                  <c:v>1033.848</c:v>
                </c:pt>
                <c:pt idx="9">
                  <c:v>1037.085</c:v>
                </c:pt>
                <c:pt idx="10">
                  <c:v>1039.2270000000001</c:v>
                </c:pt>
                <c:pt idx="11">
                  <c:v>1027.7760000000001</c:v>
                </c:pt>
                <c:pt idx="12">
                  <c:v>1012.32</c:v>
                </c:pt>
                <c:pt idx="13">
                  <c:v>983.55000000000007</c:v>
                </c:pt>
                <c:pt idx="14">
                  <c:v>948.2</c:v>
                </c:pt>
                <c:pt idx="15">
                  <c:v>920.56</c:v>
                </c:pt>
                <c:pt idx="16">
                  <c:v>920.31499999999994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87-4FC1-B185-C8A96399372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lux_1_245_cct_4800_5200!$I$41:$Y$41</c:f>
              <c:numCache>
                <c:formatCode>General</c:formatCode>
                <c:ptCount val="17"/>
                <c:pt idx="0">
                  <c:v>908.59299999999996</c:v>
                </c:pt>
                <c:pt idx="1">
                  <c:v>906.86699999999996</c:v>
                </c:pt>
                <c:pt idx="2">
                  <c:v>928.26600000000008</c:v>
                </c:pt>
                <c:pt idx="3">
                  <c:v>945.88000000000011</c:v>
                </c:pt>
                <c:pt idx="4">
                  <c:v>973.59</c:v>
                </c:pt>
                <c:pt idx="5">
                  <c:v>997.05899999999997</c:v>
                </c:pt>
                <c:pt idx="6">
                  <c:v>1010.721</c:v>
                </c:pt>
                <c:pt idx="7">
                  <c:v>1023.75</c:v>
                </c:pt>
                <c:pt idx="8">
                  <c:v>1021.4160000000001</c:v>
                </c:pt>
                <c:pt idx="9">
                  <c:v>1030.05</c:v>
                </c:pt>
                <c:pt idx="10">
                  <c:v>1023.2579999999999</c:v>
                </c:pt>
                <c:pt idx="11">
                  <c:v>1010.884</c:v>
                </c:pt>
                <c:pt idx="12">
                  <c:v>986.53800000000001</c:v>
                </c:pt>
                <c:pt idx="13">
                  <c:v>956.93000000000006</c:v>
                </c:pt>
                <c:pt idx="14">
                  <c:v>921.83400000000006</c:v>
                </c:pt>
                <c:pt idx="15">
                  <c:v>913.94400000000007</c:v>
                </c:pt>
                <c:pt idx="16">
                  <c:v>908.59299999999996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87-4FC1-B185-C8A96399372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lux_1_245_cct_4800_5200!$I$42:$Y$42</c:f>
              <c:numCache>
                <c:formatCode>General</c:formatCode>
                <c:ptCount val="17"/>
                <c:pt idx="0">
                  <c:v>903.24300000000005</c:v>
                </c:pt>
                <c:pt idx="1">
                  <c:v>900.90000000000009</c:v>
                </c:pt>
                <c:pt idx="2">
                  <c:v>903.65</c:v>
                </c:pt>
                <c:pt idx="3">
                  <c:v>911.92299999999989</c:v>
                </c:pt>
                <c:pt idx="4">
                  <c:v>949.92400000000009</c:v>
                </c:pt>
                <c:pt idx="5">
                  <c:v>951.6640000000001</c:v>
                </c:pt>
                <c:pt idx="6">
                  <c:v>972.44100000000003</c:v>
                </c:pt>
                <c:pt idx="7">
                  <c:v>975</c:v>
                </c:pt>
                <c:pt idx="8">
                  <c:v>991.38</c:v>
                </c:pt>
                <c:pt idx="9">
                  <c:v>983.32</c:v>
                </c:pt>
                <c:pt idx="10">
                  <c:v>987.97199999999998</c:v>
                </c:pt>
                <c:pt idx="11">
                  <c:v>969.76</c:v>
                </c:pt>
                <c:pt idx="12">
                  <c:v>949.3359999999999</c:v>
                </c:pt>
                <c:pt idx="13">
                  <c:v>923.41300000000001</c:v>
                </c:pt>
                <c:pt idx="14">
                  <c:v>915.12400000000002</c:v>
                </c:pt>
                <c:pt idx="15">
                  <c:v>895.2</c:v>
                </c:pt>
                <c:pt idx="16">
                  <c:v>859.84800000000007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87-4FC1-B185-C8A96399372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lux_1_245_cct_4800_5200!$I$44:$Y$44</c:f>
              <c:numCache>
                <c:formatCode>General</c:formatCode>
                <c:ptCount val="17"/>
                <c:pt idx="0">
                  <c:v>817.52499999999998</c:v>
                </c:pt>
                <c:pt idx="1">
                  <c:v>869.245</c:v>
                </c:pt>
                <c:pt idx="2">
                  <c:v>876.12799999999993</c:v>
                </c:pt>
                <c:pt idx="3">
                  <c:v>918.20500000000004</c:v>
                </c:pt>
                <c:pt idx="4">
                  <c:v>940.78599999999994</c:v>
                </c:pt>
                <c:pt idx="5">
                  <c:v>930.62700000000007</c:v>
                </c:pt>
                <c:pt idx="6">
                  <c:v>967.55000000000007</c:v>
                </c:pt>
                <c:pt idx="7">
                  <c:v>975.702</c:v>
                </c:pt>
                <c:pt idx="8">
                  <c:v>985.89</c:v>
                </c:pt>
                <c:pt idx="9">
                  <c:v>980.06999999999994</c:v>
                </c:pt>
                <c:pt idx="10">
                  <c:v>973.303</c:v>
                </c:pt>
                <c:pt idx="11">
                  <c:v>936.82799999999997</c:v>
                </c:pt>
                <c:pt idx="12">
                  <c:v>947.1</c:v>
                </c:pt>
                <c:pt idx="13">
                  <c:v>894.38</c:v>
                </c:pt>
                <c:pt idx="14">
                  <c:v>891.26400000000001</c:v>
                </c:pt>
                <c:pt idx="15">
                  <c:v>882.61800000000005</c:v>
                </c:pt>
                <c:pt idx="16">
                  <c:v>825.20999999999992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C-4FB1-9245-31B1334364C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lux_1_245_cct_4800_5200!$I$45:$Y$45</c:f>
              <c:numCache>
                <c:formatCode>General</c:formatCode>
                <c:ptCount val="17"/>
                <c:pt idx="0">
                  <c:v>875.86400000000003</c:v>
                </c:pt>
                <c:pt idx="1">
                  <c:v>879.43900000000008</c:v>
                </c:pt>
                <c:pt idx="2">
                  <c:v>903.46</c:v>
                </c:pt>
                <c:pt idx="3">
                  <c:v>939.12</c:v>
                </c:pt>
                <c:pt idx="4">
                  <c:v>970.75199999999995</c:v>
                </c:pt>
                <c:pt idx="5">
                  <c:v>998.54399999999998</c:v>
                </c:pt>
                <c:pt idx="6">
                  <c:v>1016.784</c:v>
                </c:pt>
                <c:pt idx="7">
                  <c:v>1016.652</c:v>
                </c:pt>
                <c:pt idx="8">
                  <c:v>1022.5440000000001</c:v>
                </c:pt>
                <c:pt idx="9">
                  <c:v>1019.2</c:v>
                </c:pt>
                <c:pt idx="10">
                  <c:v>1023.538</c:v>
                </c:pt>
                <c:pt idx="11">
                  <c:v>1007.6320000000001</c:v>
                </c:pt>
                <c:pt idx="12">
                  <c:v>983.04</c:v>
                </c:pt>
                <c:pt idx="13">
                  <c:v>953.22500000000014</c:v>
                </c:pt>
                <c:pt idx="14">
                  <c:v>920.57400000000007</c:v>
                </c:pt>
                <c:pt idx="15">
                  <c:v>895.8069999999999</c:v>
                </c:pt>
                <c:pt idx="16">
                  <c:v>880.89599999999996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C-4FB1-9245-31B1334364C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lux_1_245_cct_4800_5200!$I$46:$Y$46</c:f>
              <c:numCache>
                <c:formatCode>General</c:formatCode>
                <c:ptCount val="17"/>
                <c:pt idx="0">
                  <c:v>867.58199999999999</c:v>
                </c:pt>
                <c:pt idx="1">
                  <c:v>888.75</c:v>
                </c:pt>
                <c:pt idx="2">
                  <c:v>930.74299999999994</c:v>
                </c:pt>
                <c:pt idx="3">
                  <c:v>969.72799999999995</c:v>
                </c:pt>
                <c:pt idx="4">
                  <c:v>994.12</c:v>
                </c:pt>
                <c:pt idx="5">
                  <c:v>1015.4159999999999</c:v>
                </c:pt>
                <c:pt idx="6">
                  <c:v>1027.8899999999999</c:v>
                </c:pt>
                <c:pt idx="7">
                  <c:v>1046.25</c:v>
                </c:pt>
                <c:pt idx="8">
                  <c:v>1050.798</c:v>
                </c:pt>
                <c:pt idx="9">
                  <c:v>1053</c:v>
                </c:pt>
                <c:pt idx="10">
                  <c:v>1041.2850000000001</c:v>
                </c:pt>
                <c:pt idx="11">
                  <c:v>1031.616</c:v>
                </c:pt>
                <c:pt idx="12">
                  <c:v>1012.1</c:v>
                </c:pt>
                <c:pt idx="13">
                  <c:v>989.69600000000003</c:v>
                </c:pt>
                <c:pt idx="14">
                  <c:v>949.34899999999993</c:v>
                </c:pt>
                <c:pt idx="15">
                  <c:v>904.125</c:v>
                </c:pt>
                <c:pt idx="16">
                  <c:v>872.29200000000003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0C-4FB1-9245-31B1334364C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lux_1_245_cct_4800_5200!$I$47:$Y$47</c:f>
              <c:numCache>
                <c:formatCode>General</c:formatCode>
                <c:ptCount val="17"/>
                <c:pt idx="0">
                  <c:v>892.39300000000003</c:v>
                </c:pt>
                <c:pt idx="1">
                  <c:v>910.84299999999996</c:v>
                </c:pt>
                <c:pt idx="2">
                  <c:v>965.77500000000009</c:v>
                </c:pt>
                <c:pt idx="3">
                  <c:v>996.83999999999992</c:v>
                </c:pt>
                <c:pt idx="4">
                  <c:v>1012.824</c:v>
                </c:pt>
                <c:pt idx="5">
                  <c:v>1037.556</c:v>
                </c:pt>
                <c:pt idx="6">
                  <c:v>1041.03</c:v>
                </c:pt>
                <c:pt idx="7">
                  <c:v>1050.0430000000001</c:v>
                </c:pt>
                <c:pt idx="8">
                  <c:v>1053.2160000000001</c:v>
                </c:pt>
                <c:pt idx="9">
                  <c:v>1058.5730000000001</c:v>
                </c:pt>
                <c:pt idx="10">
                  <c:v>1058.7840000000001</c:v>
                </c:pt>
                <c:pt idx="11">
                  <c:v>1041.0639999999999</c:v>
                </c:pt>
                <c:pt idx="12">
                  <c:v>1035.5040000000001</c:v>
                </c:pt>
                <c:pt idx="13">
                  <c:v>999.25800000000004</c:v>
                </c:pt>
                <c:pt idx="14">
                  <c:v>961.15500000000009</c:v>
                </c:pt>
                <c:pt idx="15">
                  <c:v>925.56700000000001</c:v>
                </c:pt>
                <c:pt idx="16">
                  <c:v>897.97699999999998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0C-4FB1-9245-31B1334364C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lux_1_245_cct_4800_5200!$I$48:$Y$48</c:f>
              <c:numCache>
                <c:formatCode>General</c:formatCode>
                <c:ptCount val="17"/>
                <c:pt idx="0">
                  <c:v>893.36799999999994</c:v>
                </c:pt>
                <c:pt idx="1">
                  <c:v>916.27200000000005</c:v>
                </c:pt>
                <c:pt idx="2">
                  <c:v>959.48800000000006</c:v>
                </c:pt>
                <c:pt idx="3">
                  <c:v>1014.328</c:v>
                </c:pt>
                <c:pt idx="4">
                  <c:v>1022.955</c:v>
                </c:pt>
                <c:pt idx="5">
                  <c:v>1038.6089999999999</c:v>
                </c:pt>
                <c:pt idx="6">
                  <c:v>1043.999</c:v>
                </c:pt>
                <c:pt idx="7">
                  <c:v>1042.9079999999999</c:v>
                </c:pt>
                <c:pt idx="8">
                  <c:v>1055.2750000000001</c:v>
                </c:pt>
                <c:pt idx="9">
                  <c:v>1049.4319999999998</c:v>
                </c:pt>
                <c:pt idx="10">
                  <c:v>1056.4170000000001</c:v>
                </c:pt>
                <c:pt idx="11">
                  <c:v>1053.942</c:v>
                </c:pt>
                <c:pt idx="12">
                  <c:v>1042.6950000000002</c:v>
                </c:pt>
                <c:pt idx="13">
                  <c:v>1014.972</c:v>
                </c:pt>
                <c:pt idx="14">
                  <c:v>981.50400000000002</c:v>
                </c:pt>
                <c:pt idx="15">
                  <c:v>937.00800000000004</c:v>
                </c:pt>
                <c:pt idx="16">
                  <c:v>909.32100000000003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0C-4FB1-9245-31B1334364C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lux_1_245_cct_4800_5200!$I$49:$Y$49</c:f>
              <c:numCache>
                <c:formatCode>General</c:formatCode>
                <c:ptCount val="17"/>
                <c:pt idx="0">
                  <c:v>884.20700000000011</c:v>
                </c:pt>
                <c:pt idx="1">
                  <c:v>934.56999999999994</c:v>
                </c:pt>
                <c:pt idx="2">
                  <c:v>962.26800000000003</c:v>
                </c:pt>
                <c:pt idx="3">
                  <c:v>1005.186</c:v>
                </c:pt>
                <c:pt idx="4">
                  <c:v>1033.5</c:v>
                </c:pt>
                <c:pt idx="5">
                  <c:v>1042.366</c:v>
                </c:pt>
                <c:pt idx="6">
                  <c:v>1039.18</c:v>
                </c:pt>
                <c:pt idx="7">
                  <c:v>1037.461</c:v>
                </c:pt>
                <c:pt idx="8">
                  <c:v>1028</c:v>
                </c:pt>
                <c:pt idx="9">
                  <c:v>1044.384</c:v>
                </c:pt>
                <c:pt idx="10">
                  <c:v>1050.364</c:v>
                </c:pt>
                <c:pt idx="11">
                  <c:v>1040.317</c:v>
                </c:pt>
                <c:pt idx="12">
                  <c:v>1034.5999999999999</c:v>
                </c:pt>
                <c:pt idx="13">
                  <c:v>1026.8440000000001</c:v>
                </c:pt>
                <c:pt idx="14">
                  <c:v>986.298</c:v>
                </c:pt>
                <c:pt idx="15">
                  <c:v>932.95799999999997</c:v>
                </c:pt>
                <c:pt idx="16">
                  <c:v>914.60399999999993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0C-4FB1-9245-31B1334364C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lux_1_245_cct_4800_5200!$I$50:$Y$50</c:f>
              <c:numCache>
                <c:formatCode>General</c:formatCode>
                <c:ptCount val="17"/>
                <c:pt idx="0">
                  <c:v>876.24799999999993</c:v>
                </c:pt>
                <c:pt idx="1">
                  <c:v>923.64999999999986</c:v>
                </c:pt>
                <c:pt idx="2">
                  <c:v>969.69600000000003</c:v>
                </c:pt>
                <c:pt idx="3">
                  <c:v>1005.048</c:v>
                </c:pt>
                <c:pt idx="4">
                  <c:v>1027.1760000000002</c:v>
                </c:pt>
                <c:pt idx="5">
                  <c:v>1031.616</c:v>
                </c:pt>
                <c:pt idx="6">
                  <c:v>1025.0409999999999</c:v>
                </c:pt>
                <c:pt idx="7">
                  <c:v>1022</c:v>
                </c:pt>
                <c:pt idx="8">
                  <c:v>1030.1609999999998</c:v>
                </c:pt>
                <c:pt idx="9">
                  <c:v>1029</c:v>
                </c:pt>
                <c:pt idx="10">
                  <c:v>1041.0720000000001</c:v>
                </c:pt>
                <c:pt idx="11">
                  <c:v>1050.624</c:v>
                </c:pt>
                <c:pt idx="12">
                  <c:v>1032.75</c:v>
                </c:pt>
                <c:pt idx="13">
                  <c:v>1028.376</c:v>
                </c:pt>
                <c:pt idx="14">
                  <c:v>993.17399999999998</c:v>
                </c:pt>
                <c:pt idx="15">
                  <c:v>945.03499999999997</c:v>
                </c:pt>
                <c:pt idx="16">
                  <c:v>891.4079999999999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0C-4FB1-9245-31B1334364C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lux_1_245_cct_4800_5200!$I$51:$Y$51</c:f>
              <c:numCache>
                <c:formatCode>General</c:formatCode>
                <c:ptCount val="17"/>
                <c:pt idx="0">
                  <c:v>898.1350000000001</c:v>
                </c:pt>
                <c:pt idx="1">
                  <c:v>909.92199999999991</c:v>
                </c:pt>
                <c:pt idx="2">
                  <c:v>959.06400000000008</c:v>
                </c:pt>
                <c:pt idx="3">
                  <c:v>999.45299999999997</c:v>
                </c:pt>
                <c:pt idx="4">
                  <c:v>1009.474</c:v>
                </c:pt>
                <c:pt idx="5">
                  <c:v>1016.7690000000001</c:v>
                </c:pt>
                <c:pt idx="6">
                  <c:v>1026.1320000000001</c:v>
                </c:pt>
                <c:pt idx="7">
                  <c:v>1014.1859999999999</c:v>
                </c:pt>
                <c:pt idx="8">
                  <c:v>1020.9999999999999</c:v>
                </c:pt>
                <c:pt idx="9">
                  <c:v>1024.944</c:v>
                </c:pt>
                <c:pt idx="10">
                  <c:v>1046.636</c:v>
                </c:pt>
                <c:pt idx="11">
                  <c:v>1039.4759999999999</c:v>
                </c:pt>
                <c:pt idx="12">
                  <c:v>1034.5999999999999</c:v>
                </c:pt>
                <c:pt idx="13">
                  <c:v>1025.5700000000002</c:v>
                </c:pt>
                <c:pt idx="14">
                  <c:v>983.62800000000004</c:v>
                </c:pt>
                <c:pt idx="15">
                  <c:v>928.08500000000004</c:v>
                </c:pt>
                <c:pt idx="16">
                  <c:v>905.79500000000007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0C-4FB1-9245-31B1334364C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lux_1_245_cct_4800_5200!$I$52:$Y$52</c:f>
              <c:numCache>
                <c:formatCode>General</c:formatCode>
                <c:ptCount val="17"/>
                <c:pt idx="0">
                  <c:v>858.67200000000003</c:v>
                </c:pt>
                <c:pt idx="1">
                  <c:v>916.70399999999995</c:v>
                </c:pt>
                <c:pt idx="2">
                  <c:v>956.41600000000005</c:v>
                </c:pt>
                <c:pt idx="3">
                  <c:v>987.28</c:v>
                </c:pt>
                <c:pt idx="4">
                  <c:v>1012.38</c:v>
                </c:pt>
                <c:pt idx="5">
                  <c:v>1012.5120000000001</c:v>
                </c:pt>
                <c:pt idx="6">
                  <c:v>1018.4999999999999</c:v>
                </c:pt>
                <c:pt idx="7">
                  <c:v>1027.9960000000001</c:v>
                </c:pt>
                <c:pt idx="8">
                  <c:v>1025.9840000000002</c:v>
                </c:pt>
                <c:pt idx="9">
                  <c:v>1023.231</c:v>
                </c:pt>
                <c:pt idx="10">
                  <c:v>1032.5</c:v>
                </c:pt>
                <c:pt idx="11">
                  <c:v>1031.616</c:v>
                </c:pt>
                <c:pt idx="12">
                  <c:v>1036.3499999999999</c:v>
                </c:pt>
                <c:pt idx="13">
                  <c:v>1011.36</c:v>
                </c:pt>
                <c:pt idx="14">
                  <c:v>979.45600000000002</c:v>
                </c:pt>
                <c:pt idx="15">
                  <c:v>934.84800000000007</c:v>
                </c:pt>
                <c:pt idx="16">
                  <c:v>870.42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0C-4FB1-9245-31B1334364C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lux_1_245_cct_4800_5200!$I$53:$Y$53</c:f>
              <c:numCache>
                <c:formatCode>General</c:formatCode>
                <c:ptCount val="17"/>
                <c:pt idx="0">
                  <c:v>842.82300000000009</c:v>
                </c:pt>
                <c:pt idx="1">
                  <c:v>905.93499999999995</c:v>
                </c:pt>
                <c:pt idx="2">
                  <c:v>937.30500000000006</c:v>
                </c:pt>
                <c:pt idx="3">
                  <c:v>971.40800000000002</c:v>
                </c:pt>
                <c:pt idx="4">
                  <c:v>1004.4</c:v>
                </c:pt>
                <c:pt idx="5">
                  <c:v>1009.803</c:v>
                </c:pt>
                <c:pt idx="6">
                  <c:v>1012.5120000000001</c:v>
                </c:pt>
                <c:pt idx="7">
                  <c:v>1018.451</c:v>
                </c:pt>
                <c:pt idx="8">
                  <c:v>1018.482</c:v>
                </c:pt>
                <c:pt idx="9">
                  <c:v>1021.8150000000001</c:v>
                </c:pt>
                <c:pt idx="10">
                  <c:v>1020.472</c:v>
                </c:pt>
                <c:pt idx="11">
                  <c:v>1020.708</c:v>
                </c:pt>
                <c:pt idx="12">
                  <c:v>1002.638</c:v>
                </c:pt>
                <c:pt idx="13">
                  <c:v>991.46</c:v>
                </c:pt>
                <c:pt idx="14">
                  <c:v>959.24700000000007</c:v>
                </c:pt>
                <c:pt idx="15">
                  <c:v>926.3850000000001</c:v>
                </c:pt>
                <c:pt idx="16">
                  <c:v>860.13900000000001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0C-4FB1-9245-31B1334364C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lux_1_245_cct_4800_5200!$I$54:$Y$54</c:f>
              <c:numCache>
                <c:formatCode>General</c:formatCode>
                <c:ptCount val="17"/>
                <c:pt idx="0">
                  <c:v>860.04599999999994</c:v>
                </c:pt>
                <c:pt idx="1">
                  <c:v>886.5</c:v>
                </c:pt>
                <c:pt idx="2">
                  <c:v>905.904</c:v>
                </c:pt>
                <c:pt idx="3">
                  <c:v>941.5</c:v>
                </c:pt>
                <c:pt idx="4">
                  <c:v>965.03200000000004</c:v>
                </c:pt>
                <c:pt idx="5">
                  <c:v>987.35</c:v>
                </c:pt>
                <c:pt idx="6">
                  <c:v>996.53399999999999</c:v>
                </c:pt>
                <c:pt idx="7">
                  <c:v>1013.169</c:v>
                </c:pt>
                <c:pt idx="8">
                  <c:v>1014.0000000000001</c:v>
                </c:pt>
                <c:pt idx="9">
                  <c:v>1016.125</c:v>
                </c:pt>
                <c:pt idx="10">
                  <c:v>1003.4639999999999</c:v>
                </c:pt>
                <c:pt idx="11">
                  <c:v>998.81600000000003</c:v>
                </c:pt>
                <c:pt idx="12">
                  <c:v>980.36799999999994</c:v>
                </c:pt>
                <c:pt idx="13">
                  <c:v>960.5</c:v>
                </c:pt>
                <c:pt idx="14">
                  <c:v>923.18399999999997</c:v>
                </c:pt>
                <c:pt idx="15">
                  <c:v>903.37499999999989</c:v>
                </c:pt>
                <c:pt idx="16">
                  <c:v>873.548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0C-4FB1-9245-31B1334364C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lux_1_245_cct_4800_5200!$I$55:$Y$55</c:f>
              <c:numCache>
                <c:formatCode>General</c:formatCode>
                <c:ptCount val="17"/>
                <c:pt idx="0">
                  <c:v>879.12</c:v>
                </c:pt>
                <c:pt idx="1">
                  <c:v>882.16700000000003</c:v>
                </c:pt>
                <c:pt idx="2">
                  <c:v>878.15</c:v>
                </c:pt>
                <c:pt idx="3">
                  <c:v>913.02300000000002</c:v>
                </c:pt>
                <c:pt idx="4">
                  <c:v>941.5</c:v>
                </c:pt>
                <c:pt idx="5">
                  <c:v>969.18</c:v>
                </c:pt>
                <c:pt idx="6">
                  <c:v>985.47400000000005</c:v>
                </c:pt>
                <c:pt idx="7">
                  <c:v>986.25</c:v>
                </c:pt>
                <c:pt idx="8">
                  <c:v>995.63099999999997</c:v>
                </c:pt>
                <c:pt idx="9">
                  <c:v>992.5</c:v>
                </c:pt>
                <c:pt idx="10">
                  <c:v>999.92200000000003</c:v>
                </c:pt>
                <c:pt idx="11">
                  <c:v>985.89</c:v>
                </c:pt>
                <c:pt idx="12">
                  <c:v>960</c:v>
                </c:pt>
                <c:pt idx="13">
                  <c:v>929.85700000000008</c:v>
                </c:pt>
                <c:pt idx="14">
                  <c:v>891.27400000000011</c:v>
                </c:pt>
                <c:pt idx="15">
                  <c:v>892.39700000000005</c:v>
                </c:pt>
                <c:pt idx="16">
                  <c:v>881.19200000000001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C-4FB1-9245-31B1334364C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lux_1_245_cct_4800_5200!$I$56:$Y$56</c:f>
              <c:numCache>
                <c:formatCode>General</c:formatCode>
                <c:ptCount val="17"/>
                <c:pt idx="0">
                  <c:v>842.43499999999995</c:v>
                </c:pt>
                <c:pt idx="1">
                  <c:v>851.88800000000003</c:v>
                </c:pt>
                <c:pt idx="2">
                  <c:v>868.18599999999992</c:v>
                </c:pt>
                <c:pt idx="3">
                  <c:v>911.02200000000005</c:v>
                </c:pt>
                <c:pt idx="4">
                  <c:v>932.36000000000013</c:v>
                </c:pt>
                <c:pt idx="5">
                  <c:v>920.81600000000003</c:v>
                </c:pt>
                <c:pt idx="6">
                  <c:v>957.952</c:v>
                </c:pt>
                <c:pt idx="7">
                  <c:v>967.60800000000006</c:v>
                </c:pt>
                <c:pt idx="8">
                  <c:v>952.94</c:v>
                </c:pt>
                <c:pt idx="9">
                  <c:v>978.28800000000001</c:v>
                </c:pt>
                <c:pt idx="10">
                  <c:v>946.36799999999994</c:v>
                </c:pt>
                <c:pt idx="11">
                  <c:v>942.71800000000007</c:v>
                </c:pt>
                <c:pt idx="12">
                  <c:v>916.68799999999999</c:v>
                </c:pt>
                <c:pt idx="13">
                  <c:v>891.24099999999999</c:v>
                </c:pt>
                <c:pt idx="14">
                  <c:v>876.36999999999989</c:v>
                </c:pt>
                <c:pt idx="15">
                  <c:v>849.52</c:v>
                </c:pt>
                <c:pt idx="16">
                  <c:v>827.32999999999993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0C-4FB1-9245-31B1334364C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lux_1_245_cct_6000_7000!$I$2:$Y$2</c:f>
              <c:numCache>
                <c:formatCode>General</c:formatCode>
                <c:ptCount val="17"/>
                <c:pt idx="0">
                  <c:v>838.89</c:v>
                </c:pt>
                <c:pt idx="1">
                  <c:v>858.32999999999993</c:v>
                </c:pt>
                <c:pt idx="2">
                  <c:v>893.30600000000004</c:v>
                </c:pt>
                <c:pt idx="3">
                  <c:v>911.52499999999998</c:v>
                </c:pt>
                <c:pt idx="4">
                  <c:v>951.4559999999999</c:v>
                </c:pt>
                <c:pt idx="5">
                  <c:v>943.94999999999993</c:v>
                </c:pt>
                <c:pt idx="6">
                  <c:v>958.80000000000007</c:v>
                </c:pt>
                <c:pt idx="7">
                  <c:v>993.78399999999999</c:v>
                </c:pt>
                <c:pt idx="8">
                  <c:v>973.37800000000004</c:v>
                </c:pt>
                <c:pt idx="9">
                  <c:v>992.26600000000008</c:v>
                </c:pt>
                <c:pt idx="10">
                  <c:v>982.31599999999992</c:v>
                </c:pt>
                <c:pt idx="11">
                  <c:v>973.25799999999992</c:v>
                </c:pt>
                <c:pt idx="12">
                  <c:v>945.33600000000001</c:v>
                </c:pt>
                <c:pt idx="13">
                  <c:v>906.83199999999999</c:v>
                </c:pt>
                <c:pt idx="14">
                  <c:v>892.03800000000001</c:v>
                </c:pt>
                <c:pt idx="15">
                  <c:v>851.84999999999991</c:v>
                </c:pt>
                <c:pt idx="16">
                  <c:v>823.11599999999999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4-4996-BB8B-C8552BD5F2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lux_1_245_cct_6000_7000!$I$3:$Y$3</c:f>
              <c:numCache>
                <c:formatCode>General</c:formatCode>
                <c:ptCount val="17"/>
                <c:pt idx="0">
                  <c:v>903.42000000000007</c:v>
                </c:pt>
                <c:pt idx="1">
                  <c:v>921.202</c:v>
                </c:pt>
                <c:pt idx="2">
                  <c:v>926.005</c:v>
                </c:pt>
                <c:pt idx="3">
                  <c:v>970.78499999999997</c:v>
                </c:pt>
                <c:pt idx="4">
                  <c:v>984.18</c:v>
                </c:pt>
                <c:pt idx="5">
                  <c:v>1019.383</c:v>
                </c:pt>
                <c:pt idx="6">
                  <c:v>1015.2</c:v>
                </c:pt>
                <c:pt idx="7">
                  <c:v>1032</c:v>
                </c:pt>
                <c:pt idx="8">
                  <c:v>1035.0339999999999</c:v>
                </c:pt>
                <c:pt idx="9">
                  <c:v>1030.8</c:v>
                </c:pt>
                <c:pt idx="10">
                  <c:v>1034.4960000000001</c:v>
                </c:pt>
                <c:pt idx="11">
                  <c:v>1016.2090000000001</c:v>
                </c:pt>
                <c:pt idx="12">
                  <c:v>982.3</c:v>
                </c:pt>
                <c:pt idx="13">
                  <c:v>968.24700000000007</c:v>
                </c:pt>
                <c:pt idx="14">
                  <c:v>926.36999999999989</c:v>
                </c:pt>
                <c:pt idx="15">
                  <c:v>915.81299999999999</c:v>
                </c:pt>
                <c:pt idx="16">
                  <c:v>833.59500000000003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14-4996-BB8B-C8552BD5F2F6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lux_1_245_cct_6000_7000!$I$4:$Y$4</c:f>
              <c:numCache>
                <c:formatCode>General</c:formatCode>
                <c:ptCount val="17"/>
                <c:pt idx="0">
                  <c:v>899.57999999999993</c:v>
                </c:pt>
                <c:pt idx="1">
                  <c:v>935.80299999999988</c:v>
                </c:pt>
                <c:pt idx="2">
                  <c:v>960.37199999999996</c:v>
                </c:pt>
                <c:pt idx="3">
                  <c:v>981.36</c:v>
                </c:pt>
                <c:pt idx="4">
                  <c:v>1013.8340000000001</c:v>
                </c:pt>
                <c:pt idx="5">
                  <c:v>1037.4780000000001</c:v>
                </c:pt>
                <c:pt idx="6">
                  <c:v>1047.21</c:v>
                </c:pt>
                <c:pt idx="7">
                  <c:v>1044.174</c:v>
                </c:pt>
                <c:pt idx="8">
                  <c:v>1041.8010000000002</c:v>
                </c:pt>
                <c:pt idx="9">
                  <c:v>1045.586</c:v>
                </c:pt>
                <c:pt idx="10">
                  <c:v>1051.9000000000001</c:v>
                </c:pt>
                <c:pt idx="11">
                  <c:v>1040.5330000000001</c:v>
                </c:pt>
                <c:pt idx="12">
                  <c:v>1015.9979999999999</c:v>
                </c:pt>
                <c:pt idx="13">
                  <c:v>982.3</c:v>
                </c:pt>
                <c:pt idx="14">
                  <c:v>958.31200000000001</c:v>
                </c:pt>
                <c:pt idx="15">
                  <c:v>927.3309999999999</c:v>
                </c:pt>
                <c:pt idx="16">
                  <c:v>879.28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14-4996-BB8B-C8552BD5F2F6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lux_1_245_cct_6000_7000!$I$5:$Y$5</c:f>
              <c:numCache>
                <c:formatCode>General</c:formatCode>
                <c:ptCount val="17"/>
                <c:pt idx="0">
                  <c:v>898.66800000000001</c:v>
                </c:pt>
                <c:pt idx="1">
                  <c:v>932.85599999999999</c:v>
                </c:pt>
                <c:pt idx="2">
                  <c:v>975.80099999999993</c:v>
                </c:pt>
                <c:pt idx="3">
                  <c:v>1017.2670000000001</c:v>
                </c:pt>
                <c:pt idx="4">
                  <c:v>1036.867</c:v>
                </c:pt>
                <c:pt idx="5">
                  <c:v>1047.2459999999999</c:v>
                </c:pt>
                <c:pt idx="6">
                  <c:v>1045.9159999999999</c:v>
                </c:pt>
                <c:pt idx="7">
                  <c:v>1043.7569999999998</c:v>
                </c:pt>
                <c:pt idx="8">
                  <c:v>1054.605</c:v>
                </c:pt>
                <c:pt idx="9">
                  <c:v>1047.8120000000001</c:v>
                </c:pt>
                <c:pt idx="10">
                  <c:v>1053.556</c:v>
                </c:pt>
                <c:pt idx="11">
                  <c:v>1054.1859999999999</c:v>
                </c:pt>
                <c:pt idx="12">
                  <c:v>1042.366</c:v>
                </c:pt>
                <c:pt idx="13">
                  <c:v>1018.8539999999999</c:v>
                </c:pt>
                <c:pt idx="14">
                  <c:v>973.11900000000003</c:v>
                </c:pt>
                <c:pt idx="15">
                  <c:v>921.952</c:v>
                </c:pt>
                <c:pt idx="16">
                  <c:v>877.31600000000003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14-4996-BB8B-C8552BD5F2F6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lux_1_245_cct_6000_7000!$I$6:$Y$6</c:f>
              <c:numCache>
                <c:formatCode>General</c:formatCode>
                <c:ptCount val="17"/>
                <c:pt idx="0">
                  <c:v>896.76900000000001</c:v>
                </c:pt>
                <c:pt idx="1">
                  <c:v>970.26</c:v>
                </c:pt>
                <c:pt idx="2">
                  <c:v>993.40199999999993</c:v>
                </c:pt>
                <c:pt idx="3">
                  <c:v>1036.2239999999999</c:v>
                </c:pt>
                <c:pt idx="4">
                  <c:v>1047.21</c:v>
                </c:pt>
                <c:pt idx="5">
                  <c:v>1045.152</c:v>
                </c:pt>
                <c:pt idx="6">
                  <c:v>1046.0450000000001</c:v>
                </c:pt>
                <c:pt idx="7">
                  <c:v>1047.085</c:v>
                </c:pt>
                <c:pt idx="8">
                  <c:v>1049.77</c:v>
                </c:pt>
                <c:pt idx="9">
                  <c:v>1048.895</c:v>
                </c:pt>
                <c:pt idx="10">
                  <c:v>1049.433</c:v>
                </c:pt>
                <c:pt idx="11">
                  <c:v>1046.68</c:v>
                </c:pt>
                <c:pt idx="12">
                  <c:v>1047.21</c:v>
                </c:pt>
                <c:pt idx="13">
                  <c:v>1035.0719999999999</c:v>
                </c:pt>
                <c:pt idx="14">
                  <c:v>992.4380000000001</c:v>
                </c:pt>
                <c:pt idx="15">
                  <c:v>937.2</c:v>
                </c:pt>
                <c:pt idx="16">
                  <c:v>895.072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14-4996-BB8B-C8552BD5F2F6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lux_1_245_cct_6000_7000!$I$7:$Y$7</c:f>
              <c:numCache>
                <c:formatCode>General</c:formatCode>
                <c:ptCount val="17"/>
                <c:pt idx="0">
                  <c:v>900.10500000000002</c:v>
                </c:pt>
                <c:pt idx="1">
                  <c:v>963.59400000000005</c:v>
                </c:pt>
                <c:pt idx="2">
                  <c:v>1000.3620000000001</c:v>
                </c:pt>
                <c:pt idx="3">
                  <c:v>1025.4000000000001</c:v>
                </c:pt>
                <c:pt idx="4">
                  <c:v>1037.114</c:v>
                </c:pt>
                <c:pt idx="5">
                  <c:v>1041.3240000000001</c:v>
                </c:pt>
                <c:pt idx="6">
                  <c:v>1045.2750000000001</c:v>
                </c:pt>
                <c:pt idx="7">
                  <c:v>1032.444</c:v>
                </c:pt>
                <c:pt idx="8">
                  <c:v>1026.5319999999999</c:v>
                </c:pt>
                <c:pt idx="9">
                  <c:v>1045.296</c:v>
                </c:pt>
                <c:pt idx="10">
                  <c:v>1046.1799999999998</c:v>
                </c:pt>
                <c:pt idx="11">
                  <c:v>1038.08</c:v>
                </c:pt>
                <c:pt idx="12">
                  <c:v>1034.29</c:v>
                </c:pt>
                <c:pt idx="13">
                  <c:v>1023.6</c:v>
                </c:pt>
                <c:pt idx="14">
                  <c:v>1000.8679999999999</c:v>
                </c:pt>
                <c:pt idx="15">
                  <c:v>961.90200000000004</c:v>
                </c:pt>
                <c:pt idx="16">
                  <c:v>890.44499999999994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14-4996-BB8B-C8552BD5F2F6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lux_1_245_cct_6000_7000!$I$8:$Y$8</c:f>
              <c:numCache>
                <c:formatCode>General</c:formatCode>
                <c:ptCount val="17"/>
                <c:pt idx="0">
                  <c:v>926.05799999999999</c:v>
                </c:pt>
                <c:pt idx="1">
                  <c:v>980.92499999999995</c:v>
                </c:pt>
                <c:pt idx="2">
                  <c:v>1006.599</c:v>
                </c:pt>
                <c:pt idx="3">
                  <c:v>1023.4250000000001</c:v>
                </c:pt>
                <c:pt idx="4">
                  <c:v>1041.741</c:v>
                </c:pt>
                <c:pt idx="5">
                  <c:v>1038.74</c:v>
                </c:pt>
                <c:pt idx="6">
                  <c:v>1037.693</c:v>
                </c:pt>
                <c:pt idx="7">
                  <c:v>1030.9680000000001</c:v>
                </c:pt>
                <c:pt idx="8">
                  <c:v>1029.1379999999999</c:v>
                </c:pt>
                <c:pt idx="9">
                  <c:v>1033.9649999999999</c:v>
                </c:pt>
                <c:pt idx="10">
                  <c:v>1055.8020000000001</c:v>
                </c:pt>
                <c:pt idx="11">
                  <c:v>1042.08</c:v>
                </c:pt>
                <c:pt idx="12">
                  <c:v>1043.9279999999999</c:v>
                </c:pt>
                <c:pt idx="13">
                  <c:v>1024.0360000000001</c:v>
                </c:pt>
                <c:pt idx="14">
                  <c:v>1006.082</c:v>
                </c:pt>
                <c:pt idx="15">
                  <c:v>947.9430000000001</c:v>
                </c:pt>
                <c:pt idx="16">
                  <c:v>919.4670000000001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14-4996-BB8B-C8552BD5F2F6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lux_1_245_cct_6000_7000!$I$9:$Y$9</c:f>
              <c:numCache>
                <c:formatCode>General</c:formatCode>
                <c:ptCount val="17"/>
                <c:pt idx="0">
                  <c:v>904.245</c:v>
                </c:pt>
                <c:pt idx="1">
                  <c:v>964.86300000000006</c:v>
                </c:pt>
                <c:pt idx="2">
                  <c:v>997.83199999999999</c:v>
                </c:pt>
                <c:pt idx="3">
                  <c:v>1037.4780000000001</c:v>
                </c:pt>
                <c:pt idx="4">
                  <c:v>1042.518</c:v>
                </c:pt>
                <c:pt idx="5">
                  <c:v>1043.5640000000001</c:v>
                </c:pt>
                <c:pt idx="6">
                  <c:v>1044.463</c:v>
                </c:pt>
                <c:pt idx="7">
                  <c:v>1030.6559999999999</c:v>
                </c:pt>
                <c:pt idx="8">
                  <c:v>1027.971</c:v>
                </c:pt>
                <c:pt idx="9">
                  <c:v>1037.4880000000001</c:v>
                </c:pt>
                <c:pt idx="10">
                  <c:v>1054.55</c:v>
                </c:pt>
                <c:pt idx="11">
                  <c:v>1050.971</c:v>
                </c:pt>
                <c:pt idx="12">
                  <c:v>1050.405</c:v>
                </c:pt>
                <c:pt idx="13">
                  <c:v>1023</c:v>
                </c:pt>
                <c:pt idx="14">
                  <c:v>998.33800000000008</c:v>
                </c:pt>
                <c:pt idx="15">
                  <c:v>955.9799999999999</c:v>
                </c:pt>
                <c:pt idx="16">
                  <c:v>883.2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14-4996-BB8B-C8552BD5F2F6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lux_1_245_cct_6000_7000!$I$10:$Y$10</c:f>
              <c:numCache>
                <c:formatCode>General</c:formatCode>
                <c:ptCount val="17"/>
                <c:pt idx="0">
                  <c:v>898.101</c:v>
                </c:pt>
                <c:pt idx="1">
                  <c:v>971.49600000000009</c:v>
                </c:pt>
                <c:pt idx="2">
                  <c:v>991.47399999999993</c:v>
                </c:pt>
                <c:pt idx="3">
                  <c:v>1029.8879999999999</c:v>
                </c:pt>
                <c:pt idx="4">
                  <c:v>1036.49</c:v>
                </c:pt>
                <c:pt idx="5">
                  <c:v>1049.9279999999999</c:v>
                </c:pt>
                <c:pt idx="6">
                  <c:v>1047.6180000000002</c:v>
                </c:pt>
                <c:pt idx="7">
                  <c:v>1046.297</c:v>
                </c:pt>
                <c:pt idx="8">
                  <c:v>1047.3330000000001</c:v>
                </c:pt>
                <c:pt idx="9">
                  <c:v>1048.1310000000001</c:v>
                </c:pt>
                <c:pt idx="10">
                  <c:v>1051.9079999999999</c:v>
                </c:pt>
                <c:pt idx="11">
                  <c:v>1054.5840000000001</c:v>
                </c:pt>
                <c:pt idx="12">
                  <c:v>1041.8499999999999</c:v>
                </c:pt>
                <c:pt idx="13">
                  <c:v>1033.3440000000001</c:v>
                </c:pt>
                <c:pt idx="14">
                  <c:v>991.47399999999993</c:v>
                </c:pt>
                <c:pt idx="15">
                  <c:v>965.31600000000003</c:v>
                </c:pt>
                <c:pt idx="16">
                  <c:v>882.7829999999999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4-4996-BB8B-C8552BD5F2F6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lux_1_245_cct_6000_7000!$I$11:$Y$11</c:f>
              <c:numCache>
                <c:formatCode>General</c:formatCode>
                <c:ptCount val="17"/>
                <c:pt idx="0">
                  <c:v>919.75</c:v>
                </c:pt>
                <c:pt idx="1">
                  <c:v>956.42</c:v>
                </c:pt>
                <c:pt idx="2">
                  <c:v>970.88400000000001</c:v>
                </c:pt>
                <c:pt idx="3">
                  <c:v>1012.506</c:v>
                </c:pt>
                <c:pt idx="4">
                  <c:v>1030.7570000000001</c:v>
                </c:pt>
                <c:pt idx="5">
                  <c:v>1036.836</c:v>
                </c:pt>
                <c:pt idx="6">
                  <c:v>1049.152</c:v>
                </c:pt>
                <c:pt idx="7">
                  <c:v>1042.741</c:v>
                </c:pt>
                <c:pt idx="8">
                  <c:v>1032.895</c:v>
                </c:pt>
                <c:pt idx="9">
                  <c:v>1041.095</c:v>
                </c:pt>
                <c:pt idx="10">
                  <c:v>1029.8720000000001</c:v>
                </c:pt>
                <c:pt idx="11">
                  <c:v>1031.9780000000001</c:v>
                </c:pt>
                <c:pt idx="12">
                  <c:v>1026.48</c:v>
                </c:pt>
                <c:pt idx="13">
                  <c:v>1011.448</c:v>
                </c:pt>
                <c:pt idx="14">
                  <c:v>971.77800000000002</c:v>
                </c:pt>
                <c:pt idx="15">
                  <c:v>954.09199999999998</c:v>
                </c:pt>
                <c:pt idx="16">
                  <c:v>870.17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14-4996-BB8B-C8552BD5F2F6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lux_1_245_cct_6000_7000!$I$12:$Y$12</c:f>
              <c:numCache>
                <c:formatCode>General</c:formatCode>
                <c:ptCount val="17"/>
                <c:pt idx="0">
                  <c:v>892.91000000000008</c:v>
                </c:pt>
                <c:pt idx="1">
                  <c:v>932.27300000000002</c:v>
                </c:pt>
                <c:pt idx="2">
                  <c:v>959.13599999999997</c:v>
                </c:pt>
                <c:pt idx="3">
                  <c:v>1003.042</c:v>
                </c:pt>
                <c:pt idx="4">
                  <c:v>1006.801</c:v>
                </c:pt>
                <c:pt idx="5">
                  <c:v>1028.3130000000001</c:v>
                </c:pt>
                <c:pt idx="6">
                  <c:v>1035.1499999999999</c:v>
                </c:pt>
                <c:pt idx="7">
                  <c:v>1043.952</c:v>
                </c:pt>
                <c:pt idx="8">
                  <c:v>1039.5539999999999</c:v>
                </c:pt>
                <c:pt idx="9">
                  <c:v>1041.8010000000002</c:v>
                </c:pt>
                <c:pt idx="10">
                  <c:v>1032.47</c:v>
                </c:pt>
                <c:pt idx="11">
                  <c:v>1025.258</c:v>
                </c:pt>
                <c:pt idx="12">
                  <c:v>1003.5549999999999</c:v>
                </c:pt>
                <c:pt idx="13">
                  <c:v>976.18999999999994</c:v>
                </c:pt>
                <c:pt idx="14">
                  <c:v>956.66399999999999</c:v>
                </c:pt>
                <c:pt idx="15">
                  <c:v>926.97799999999995</c:v>
                </c:pt>
                <c:pt idx="16">
                  <c:v>879.56999999999994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14-4996-BB8B-C8552BD5F2F6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lux_1_245_cct_6000_7000!$I$13:$Y$13</c:f>
              <c:numCache>
                <c:formatCode>General</c:formatCode>
                <c:ptCount val="17"/>
                <c:pt idx="0">
                  <c:v>904.77</c:v>
                </c:pt>
                <c:pt idx="1">
                  <c:v>920.56799999999998</c:v>
                </c:pt>
                <c:pt idx="2">
                  <c:v>926.36999999999989</c:v>
                </c:pt>
                <c:pt idx="3">
                  <c:v>968.24700000000007</c:v>
                </c:pt>
                <c:pt idx="4">
                  <c:v>1002.0780000000001</c:v>
                </c:pt>
                <c:pt idx="5">
                  <c:v>1007.745</c:v>
                </c:pt>
                <c:pt idx="6">
                  <c:v>1023.5519999999999</c:v>
                </c:pt>
                <c:pt idx="7">
                  <c:v>1037.4780000000001</c:v>
                </c:pt>
                <c:pt idx="8">
                  <c:v>1022.814</c:v>
                </c:pt>
                <c:pt idx="9">
                  <c:v>1041.144</c:v>
                </c:pt>
                <c:pt idx="10">
                  <c:v>1029.8879999999999</c:v>
                </c:pt>
                <c:pt idx="11">
                  <c:v>1012.506</c:v>
                </c:pt>
                <c:pt idx="12">
                  <c:v>1003.042</c:v>
                </c:pt>
                <c:pt idx="13">
                  <c:v>965.70899999999995</c:v>
                </c:pt>
                <c:pt idx="14">
                  <c:v>919.8</c:v>
                </c:pt>
                <c:pt idx="15">
                  <c:v>909.15599999999995</c:v>
                </c:pt>
                <c:pt idx="16">
                  <c:v>880.47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14-4996-BB8B-C8552BD5F2F6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lux_1_245_cct_6000_7000!$I$14:$Y$14</c:f>
              <c:numCache>
                <c:formatCode>General</c:formatCode>
                <c:ptCount val="17"/>
                <c:pt idx="0">
                  <c:v>910.86</c:v>
                </c:pt>
                <c:pt idx="1">
                  <c:v>921.49199999999996</c:v>
                </c:pt>
                <c:pt idx="2">
                  <c:v>899.32900000000006</c:v>
                </c:pt>
                <c:pt idx="3">
                  <c:v>915.85699999999997</c:v>
                </c:pt>
                <c:pt idx="4">
                  <c:v>944.95600000000002</c:v>
                </c:pt>
                <c:pt idx="5">
                  <c:v>977.76800000000003</c:v>
                </c:pt>
                <c:pt idx="6">
                  <c:v>984.24399999999991</c:v>
                </c:pt>
                <c:pt idx="7">
                  <c:v>987.93600000000004</c:v>
                </c:pt>
                <c:pt idx="8">
                  <c:v>1008.15</c:v>
                </c:pt>
                <c:pt idx="9">
                  <c:v>992.45400000000006</c:v>
                </c:pt>
                <c:pt idx="10">
                  <c:v>997.25799999999992</c:v>
                </c:pt>
                <c:pt idx="11">
                  <c:v>988.5920000000001</c:v>
                </c:pt>
                <c:pt idx="12">
                  <c:v>949.40000000000009</c:v>
                </c:pt>
                <c:pt idx="13">
                  <c:v>915.85699999999997</c:v>
                </c:pt>
                <c:pt idx="14">
                  <c:v>890.13599999999997</c:v>
                </c:pt>
                <c:pt idx="15">
                  <c:v>898.04000000000008</c:v>
                </c:pt>
                <c:pt idx="16">
                  <c:v>872.61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14-4996-BB8B-C8552BD5F2F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lux_1_245_cct_6000_7000!$I$16:$Y$16</c:f>
              <c:numCache>
                <c:formatCode>General</c:formatCode>
                <c:ptCount val="17"/>
                <c:pt idx="0">
                  <c:v>862.75199999999995</c:v>
                </c:pt>
                <c:pt idx="1">
                  <c:v>884.1</c:v>
                </c:pt>
                <c:pt idx="2">
                  <c:v>908.28</c:v>
                </c:pt>
                <c:pt idx="3">
                  <c:v>927.43200000000002</c:v>
                </c:pt>
                <c:pt idx="4">
                  <c:v>946.54199999999992</c:v>
                </c:pt>
                <c:pt idx="5">
                  <c:v>964.97100000000012</c:v>
                </c:pt>
                <c:pt idx="6">
                  <c:v>968.87700000000007</c:v>
                </c:pt>
                <c:pt idx="7">
                  <c:v>986.54000000000008</c:v>
                </c:pt>
                <c:pt idx="8">
                  <c:v>980.23599999999999</c:v>
                </c:pt>
                <c:pt idx="9">
                  <c:v>986.54000000000008</c:v>
                </c:pt>
                <c:pt idx="10">
                  <c:v>982.76799999999992</c:v>
                </c:pt>
                <c:pt idx="11">
                  <c:v>964.01699999999994</c:v>
                </c:pt>
                <c:pt idx="12">
                  <c:v>944.79399999999998</c:v>
                </c:pt>
                <c:pt idx="13">
                  <c:v>926.24400000000003</c:v>
                </c:pt>
                <c:pt idx="14">
                  <c:v>911.06399999999996</c:v>
                </c:pt>
                <c:pt idx="15">
                  <c:v>883.19999999999993</c:v>
                </c:pt>
                <c:pt idx="16">
                  <c:v>855.62400000000002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3B-42F2-8EAD-460F4E0D8D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lux_1_245_cct_6000_7000!$I$17:$Y$17</c:f>
              <c:numCache>
                <c:formatCode>General</c:formatCode>
                <c:ptCount val="17"/>
                <c:pt idx="0">
                  <c:v>888.03</c:v>
                </c:pt>
                <c:pt idx="1">
                  <c:v>908.55200000000002</c:v>
                </c:pt>
                <c:pt idx="2">
                  <c:v>927.4799999999999</c:v>
                </c:pt>
                <c:pt idx="3">
                  <c:v>957.82399999999996</c:v>
                </c:pt>
                <c:pt idx="4">
                  <c:v>984.87400000000002</c:v>
                </c:pt>
                <c:pt idx="5">
                  <c:v>1012.908</c:v>
                </c:pt>
                <c:pt idx="6">
                  <c:v>1026.306</c:v>
                </c:pt>
                <c:pt idx="7">
                  <c:v>1029.4199999999998</c:v>
                </c:pt>
                <c:pt idx="8">
                  <c:v>1032.6510000000001</c:v>
                </c:pt>
                <c:pt idx="9">
                  <c:v>1029.4199999999998</c:v>
                </c:pt>
                <c:pt idx="10">
                  <c:v>1027.5119999999999</c:v>
                </c:pt>
                <c:pt idx="11">
                  <c:v>1014.5849999999999</c:v>
                </c:pt>
                <c:pt idx="12">
                  <c:v>987.89199999999994</c:v>
                </c:pt>
                <c:pt idx="13">
                  <c:v>960.06399999999985</c:v>
                </c:pt>
                <c:pt idx="14">
                  <c:v>931.803</c:v>
                </c:pt>
                <c:pt idx="15">
                  <c:v>909.90000000000009</c:v>
                </c:pt>
                <c:pt idx="16">
                  <c:v>878.59199999999998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B-42F2-8EAD-460F4E0D8D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lux_1_245_cct_6000_7000!$I$18:$Y$18</c:f>
              <c:numCache>
                <c:formatCode>General</c:formatCode>
                <c:ptCount val="17"/>
                <c:pt idx="0">
                  <c:v>912.64300000000003</c:v>
                </c:pt>
                <c:pt idx="1">
                  <c:v>926.46399999999994</c:v>
                </c:pt>
                <c:pt idx="2">
                  <c:v>960.90800000000002</c:v>
                </c:pt>
                <c:pt idx="3">
                  <c:v>995.09500000000003</c:v>
                </c:pt>
                <c:pt idx="4">
                  <c:v>1015.45</c:v>
                </c:pt>
                <c:pt idx="5">
                  <c:v>1033.2920000000001</c:v>
                </c:pt>
                <c:pt idx="6">
                  <c:v>1042.0150000000001</c:v>
                </c:pt>
                <c:pt idx="7">
                  <c:v>1046.6399999999999</c:v>
                </c:pt>
                <c:pt idx="8">
                  <c:v>1055.056</c:v>
                </c:pt>
                <c:pt idx="9">
                  <c:v>1050.3150000000001</c:v>
                </c:pt>
                <c:pt idx="10">
                  <c:v>1049.682</c:v>
                </c:pt>
                <c:pt idx="11">
                  <c:v>1040.9840000000002</c:v>
                </c:pt>
                <c:pt idx="12">
                  <c:v>1021.775</c:v>
                </c:pt>
                <c:pt idx="13">
                  <c:v>989.40100000000007</c:v>
                </c:pt>
                <c:pt idx="14">
                  <c:v>953.97099999999989</c:v>
                </c:pt>
                <c:pt idx="15">
                  <c:v>926.46399999999994</c:v>
                </c:pt>
                <c:pt idx="16">
                  <c:v>904.08399999999995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3B-42F2-8EAD-460F4E0D8D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lux_1_245_cct_6000_7000!$I$19:$Y$19</c:f>
              <c:numCache>
                <c:formatCode>General</c:formatCode>
                <c:ptCount val="17"/>
                <c:pt idx="0">
                  <c:v>912.38</c:v>
                </c:pt>
                <c:pt idx="1">
                  <c:v>944.38100000000009</c:v>
                </c:pt>
                <c:pt idx="2">
                  <c:v>981.721</c:v>
                </c:pt>
                <c:pt idx="3">
                  <c:v>1011.231</c:v>
                </c:pt>
                <c:pt idx="4">
                  <c:v>1032.6510000000001</c:v>
                </c:pt>
                <c:pt idx="5">
                  <c:v>1046.18</c:v>
                </c:pt>
                <c:pt idx="6">
                  <c:v>1053.1079999999999</c:v>
                </c:pt>
                <c:pt idx="7">
                  <c:v>1055.4549999999999</c:v>
                </c:pt>
                <c:pt idx="8">
                  <c:v>1060.1090000000002</c:v>
                </c:pt>
                <c:pt idx="9">
                  <c:v>1060.501</c:v>
                </c:pt>
                <c:pt idx="10">
                  <c:v>1063.4560000000001</c:v>
                </c:pt>
                <c:pt idx="11">
                  <c:v>1057.04</c:v>
                </c:pt>
                <c:pt idx="12">
                  <c:v>1041.625</c:v>
                </c:pt>
                <c:pt idx="13">
                  <c:v>1018.498</c:v>
                </c:pt>
                <c:pt idx="14">
                  <c:v>984.60700000000008</c:v>
                </c:pt>
                <c:pt idx="15">
                  <c:v>941.92700000000002</c:v>
                </c:pt>
                <c:pt idx="16">
                  <c:v>902.77600000000007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3B-42F2-8EAD-460F4E0D8D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lux_1_245_cct_6000_7000!$I$20:$Y$20</c:f>
              <c:numCache>
                <c:formatCode>General</c:formatCode>
                <c:ptCount val="17"/>
                <c:pt idx="0">
                  <c:v>907.5</c:v>
                </c:pt>
                <c:pt idx="1">
                  <c:v>957.90400000000011</c:v>
                </c:pt>
                <c:pt idx="2">
                  <c:v>992.02</c:v>
                </c:pt>
                <c:pt idx="3">
                  <c:v>1032.992</c:v>
                </c:pt>
                <c:pt idx="4">
                  <c:v>1047.384</c:v>
                </c:pt>
                <c:pt idx="5">
                  <c:v>1050.72</c:v>
                </c:pt>
                <c:pt idx="6">
                  <c:v>1052.296</c:v>
                </c:pt>
                <c:pt idx="7">
                  <c:v>1050.3739999999998</c:v>
                </c:pt>
                <c:pt idx="8">
                  <c:v>1049.98</c:v>
                </c:pt>
                <c:pt idx="9">
                  <c:v>1053.143</c:v>
                </c:pt>
                <c:pt idx="10">
                  <c:v>1057.54</c:v>
                </c:pt>
                <c:pt idx="11">
                  <c:v>1057.088</c:v>
                </c:pt>
                <c:pt idx="12">
                  <c:v>1053</c:v>
                </c:pt>
                <c:pt idx="13">
                  <c:v>1029.3210000000001</c:v>
                </c:pt>
                <c:pt idx="14">
                  <c:v>997.67399999999998</c:v>
                </c:pt>
                <c:pt idx="15">
                  <c:v>961.40000000000009</c:v>
                </c:pt>
                <c:pt idx="16">
                  <c:v>905.68500000000006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3B-42F2-8EAD-460F4E0D8D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lux_1_245_cct_6000_7000!$I$21:$Y$21</c:f>
              <c:numCache>
                <c:formatCode>General</c:formatCode>
                <c:ptCount val="17"/>
                <c:pt idx="0">
                  <c:v>901.72799999999995</c:v>
                </c:pt>
                <c:pt idx="1">
                  <c:v>962.17200000000003</c:v>
                </c:pt>
                <c:pt idx="2">
                  <c:v>994.81600000000003</c:v>
                </c:pt>
                <c:pt idx="3">
                  <c:v>1030.9559999999999</c:v>
                </c:pt>
                <c:pt idx="4">
                  <c:v>1054.7639999999999</c:v>
                </c:pt>
                <c:pt idx="5">
                  <c:v>1055.808</c:v>
                </c:pt>
                <c:pt idx="6">
                  <c:v>1052.557</c:v>
                </c:pt>
                <c:pt idx="7">
                  <c:v>1035.7820000000002</c:v>
                </c:pt>
                <c:pt idx="8">
                  <c:v>1026.8399999999999</c:v>
                </c:pt>
                <c:pt idx="9">
                  <c:v>1038.7190000000001</c:v>
                </c:pt>
                <c:pt idx="10">
                  <c:v>1056.2729999999999</c:v>
                </c:pt>
                <c:pt idx="11">
                  <c:v>1057.5</c:v>
                </c:pt>
                <c:pt idx="12">
                  <c:v>1048.5150000000001</c:v>
                </c:pt>
                <c:pt idx="13">
                  <c:v>1035.4079999999999</c:v>
                </c:pt>
                <c:pt idx="14">
                  <c:v>1000.712</c:v>
                </c:pt>
                <c:pt idx="15">
                  <c:v>966.702</c:v>
                </c:pt>
                <c:pt idx="16">
                  <c:v>921.49999999999989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3B-42F2-8EAD-460F4E0D8D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lux_1_245_cct_6000_7000!$I$22:$Y$22</c:f>
              <c:numCache>
                <c:formatCode>General</c:formatCode>
                <c:ptCount val="17"/>
                <c:pt idx="0">
                  <c:v>908.71199999999999</c:v>
                </c:pt>
                <c:pt idx="1">
                  <c:v>964.81799999999998</c:v>
                </c:pt>
                <c:pt idx="2">
                  <c:v>1001.01</c:v>
                </c:pt>
                <c:pt idx="3">
                  <c:v>1038.27</c:v>
                </c:pt>
                <c:pt idx="4">
                  <c:v>1043.0079999999998</c:v>
                </c:pt>
                <c:pt idx="5">
                  <c:v>1047.682</c:v>
                </c:pt>
                <c:pt idx="6">
                  <c:v>1046.1000000000001</c:v>
                </c:pt>
                <c:pt idx="7">
                  <c:v>1025.0240000000001</c:v>
                </c:pt>
                <c:pt idx="8">
                  <c:v>1026.069</c:v>
                </c:pt>
                <c:pt idx="9">
                  <c:v>1030.029</c:v>
                </c:pt>
                <c:pt idx="10">
                  <c:v>1054.6589999999999</c:v>
                </c:pt>
                <c:pt idx="11">
                  <c:v>1055.4490000000001</c:v>
                </c:pt>
                <c:pt idx="12">
                  <c:v>1050.588</c:v>
                </c:pt>
                <c:pt idx="13">
                  <c:v>1034.5529999999999</c:v>
                </c:pt>
                <c:pt idx="14">
                  <c:v>1005.3860000000001</c:v>
                </c:pt>
                <c:pt idx="15">
                  <c:v>966.19499999999994</c:v>
                </c:pt>
                <c:pt idx="16">
                  <c:v>904.17599999999993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3B-42F2-8EAD-460F4E0D8D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lux_1_245_cct_6000_7000!$I$23:$Y$23</c:f>
              <c:numCache>
                <c:formatCode>General</c:formatCode>
                <c:ptCount val="17"/>
                <c:pt idx="0">
                  <c:v>905.44800000000009</c:v>
                </c:pt>
                <c:pt idx="1">
                  <c:v>963.07799999999997</c:v>
                </c:pt>
                <c:pt idx="2">
                  <c:v>1003.7840000000001</c:v>
                </c:pt>
                <c:pt idx="3">
                  <c:v>1033.2920000000001</c:v>
                </c:pt>
                <c:pt idx="4">
                  <c:v>1044.306</c:v>
                </c:pt>
                <c:pt idx="5">
                  <c:v>1050.5160000000001</c:v>
                </c:pt>
                <c:pt idx="6">
                  <c:v>1045.3300000000002</c:v>
                </c:pt>
                <c:pt idx="7">
                  <c:v>1026.3119999999999</c:v>
                </c:pt>
                <c:pt idx="8">
                  <c:v>1022.021</c:v>
                </c:pt>
                <c:pt idx="9">
                  <c:v>1034.184</c:v>
                </c:pt>
                <c:pt idx="10">
                  <c:v>1051.6279999999999</c:v>
                </c:pt>
                <c:pt idx="11">
                  <c:v>1054.962</c:v>
                </c:pt>
                <c:pt idx="12">
                  <c:v>1047.0330000000001</c:v>
                </c:pt>
                <c:pt idx="13">
                  <c:v>1034.136</c:v>
                </c:pt>
                <c:pt idx="14">
                  <c:v>998.03200000000004</c:v>
                </c:pt>
                <c:pt idx="15">
                  <c:v>962.17200000000003</c:v>
                </c:pt>
                <c:pt idx="16">
                  <c:v>914.66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3B-42F2-8EAD-460F4E0D8D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lux_1_245_cct_6000_7000!$I$24:$Y$24</c:f>
              <c:numCache>
                <c:formatCode>General</c:formatCode>
                <c:ptCount val="17"/>
                <c:pt idx="0">
                  <c:v>910.76699999999994</c:v>
                </c:pt>
                <c:pt idx="1">
                  <c:v>960.96299999999997</c:v>
                </c:pt>
                <c:pt idx="2">
                  <c:v>992.02</c:v>
                </c:pt>
                <c:pt idx="3">
                  <c:v>1028.1279999999999</c:v>
                </c:pt>
                <c:pt idx="4">
                  <c:v>1047.1320000000001</c:v>
                </c:pt>
                <c:pt idx="5">
                  <c:v>1047.412</c:v>
                </c:pt>
                <c:pt idx="6">
                  <c:v>1046.01</c:v>
                </c:pt>
                <c:pt idx="7">
                  <c:v>1040.48</c:v>
                </c:pt>
                <c:pt idx="8">
                  <c:v>1044.1980000000001</c:v>
                </c:pt>
                <c:pt idx="9">
                  <c:v>1043.2670000000001</c:v>
                </c:pt>
                <c:pt idx="10">
                  <c:v>1051.2839999999999</c:v>
                </c:pt>
                <c:pt idx="11">
                  <c:v>1047.5360000000001</c:v>
                </c:pt>
                <c:pt idx="12">
                  <c:v>1047.384</c:v>
                </c:pt>
                <c:pt idx="13">
                  <c:v>1035.424</c:v>
                </c:pt>
                <c:pt idx="14">
                  <c:v>996.13199999999995</c:v>
                </c:pt>
                <c:pt idx="15">
                  <c:v>960.96299999999997</c:v>
                </c:pt>
                <c:pt idx="16">
                  <c:v>905.68500000000006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3B-42F2-8EAD-460F4E0D8D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lux_1_245_cct_6000_7000!$I$25:$Y$25</c:f>
              <c:numCache>
                <c:formatCode>General</c:formatCode>
                <c:ptCount val="17"/>
                <c:pt idx="0">
                  <c:v>905.5200000000001</c:v>
                </c:pt>
                <c:pt idx="1">
                  <c:v>941.10900000000004</c:v>
                </c:pt>
                <c:pt idx="2">
                  <c:v>978.83500000000004</c:v>
                </c:pt>
                <c:pt idx="3">
                  <c:v>1016.8919999999999</c:v>
                </c:pt>
                <c:pt idx="4">
                  <c:v>1036.4940000000001</c:v>
                </c:pt>
                <c:pt idx="5">
                  <c:v>1045.3599999999999</c:v>
                </c:pt>
                <c:pt idx="6">
                  <c:v>1039.576</c:v>
                </c:pt>
                <c:pt idx="7">
                  <c:v>1043.9639999999999</c:v>
                </c:pt>
                <c:pt idx="8">
                  <c:v>1045.0930000000001</c:v>
                </c:pt>
                <c:pt idx="9">
                  <c:v>1043.9639999999999</c:v>
                </c:pt>
                <c:pt idx="10">
                  <c:v>1039.576</c:v>
                </c:pt>
                <c:pt idx="11">
                  <c:v>1043.8999999999999</c:v>
                </c:pt>
                <c:pt idx="12">
                  <c:v>1036.4940000000001</c:v>
                </c:pt>
                <c:pt idx="13">
                  <c:v>1010.672</c:v>
                </c:pt>
                <c:pt idx="14">
                  <c:v>982.68300000000011</c:v>
                </c:pt>
                <c:pt idx="15">
                  <c:v>943.56299999999999</c:v>
                </c:pt>
                <c:pt idx="16">
                  <c:v>906.89200000000005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3B-42F2-8EAD-460F4E0D8D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lux_1_245_cct_6000_7000!$I$26:$Y$26</c:f>
              <c:numCache>
                <c:formatCode>General</c:formatCode>
                <c:ptCount val="17"/>
                <c:pt idx="0">
                  <c:v>909.15599999999995</c:v>
                </c:pt>
                <c:pt idx="1">
                  <c:v>926.83999999999992</c:v>
                </c:pt>
                <c:pt idx="2">
                  <c:v>951.78599999999994</c:v>
                </c:pt>
                <c:pt idx="3">
                  <c:v>994.077</c:v>
                </c:pt>
                <c:pt idx="4">
                  <c:v>1010.85</c:v>
                </c:pt>
                <c:pt idx="5">
                  <c:v>1035.847</c:v>
                </c:pt>
                <c:pt idx="6">
                  <c:v>1038.96</c:v>
                </c:pt>
                <c:pt idx="7">
                  <c:v>1039.623</c:v>
                </c:pt>
                <c:pt idx="8">
                  <c:v>1035.5039999999999</c:v>
                </c:pt>
                <c:pt idx="9">
                  <c:v>1038.8819999999998</c:v>
                </c:pt>
                <c:pt idx="10">
                  <c:v>1038.258</c:v>
                </c:pt>
                <c:pt idx="11">
                  <c:v>1026.8820000000001</c:v>
                </c:pt>
                <c:pt idx="12">
                  <c:v>1011.425</c:v>
                </c:pt>
                <c:pt idx="13">
                  <c:v>983.86799999999994</c:v>
                </c:pt>
                <c:pt idx="14">
                  <c:v>952.66000000000008</c:v>
                </c:pt>
                <c:pt idx="15">
                  <c:v>927.21600000000012</c:v>
                </c:pt>
                <c:pt idx="16">
                  <c:v>907.57100000000003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3B-42F2-8EAD-460F4E0D8D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lux_1_245_cct_6000_7000!$I$27:$Y$27</c:f>
              <c:numCache>
                <c:formatCode>General</c:formatCode>
                <c:ptCount val="17"/>
                <c:pt idx="0">
                  <c:v>911.41200000000003</c:v>
                </c:pt>
                <c:pt idx="1">
                  <c:v>930.21600000000001</c:v>
                </c:pt>
                <c:pt idx="2">
                  <c:v>932.98200000000008</c:v>
                </c:pt>
                <c:pt idx="3">
                  <c:v>960.96</c:v>
                </c:pt>
                <c:pt idx="4">
                  <c:v>983.86799999999994</c:v>
                </c:pt>
                <c:pt idx="5">
                  <c:v>1006.759</c:v>
                </c:pt>
                <c:pt idx="6">
                  <c:v>1018.467</c:v>
                </c:pt>
                <c:pt idx="7">
                  <c:v>1029.684</c:v>
                </c:pt>
                <c:pt idx="8">
                  <c:v>1024.318</c:v>
                </c:pt>
                <c:pt idx="9">
                  <c:v>1033.5</c:v>
                </c:pt>
                <c:pt idx="10">
                  <c:v>1025.703</c:v>
                </c:pt>
                <c:pt idx="11">
                  <c:v>1013.467</c:v>
                </c:pt>
                <c:pt idx="12">
                  <c:v>987.38900000000001</c:v>
                </c:pt>
                <c:pt idx="13">
                  <c:v>960.96</c:v>
                </c:pt>
                <c:pt idx="14">
                  <c:v>928.65899999999999</c:v>
                </c:pt>
                <c:pt idx="15">
                  <c:v>923.01299999999992</c:v>
                </c:pt>
                <c:pt idx="16">
                  <c:v>895.98900000000003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3B-42F2-8EAD-460F4E0D8D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lux_1_245_cct_6000_7000!$I$28:$Y$28</c:f>
              <c:numCache>
                <c:formatCode>General</c:formatCode>
                <c:ptCount val="17"/>
                <c:pt idx="0">
                  <c:v>906.53</c:v>
                </c:pt>
                <c:pt idx="1">
                  <c:v>906.26900000000001</c:v>
                </c:pt>
                <c:pt idx="2">
                  <c:v>909.44699999999989</c:v>
                </c:pt>
                <c:pt idx="3">
                  <c:v>929.32099999999991</c:v>
                </c:pt>
                <c:pt idx="4">
                  <c:v>946.37400000000002</c:v>
                </c:pt>
                <c:pt idx="5">
                  <c:v>963.49999999999989</c:v>
                </c:pt>
                <c:pt idx="6">
                  <c:v>981.55200000000002</c:v>
                </c:pt>
                <c:pt idx="7">
                  <c:v>980.7</c:v>
                </c:pt>
                <c:pt idx="8">
                  <c:v>994.76199999999994</c:v>
                </c:pt>
                <c:pt idx="9">
                  <c:v>985.94999999999993</c:v>
                </c:pt>
                <c:pt idx="10">
                  <c:v>992.19900000000007</c:v>
                </c:pt>
                <c:pt idx="11">
                  <c:v>973.84</c:v>
                </c:pt>
                <c:pt idx="12">
                  <c:v>951.95099999999991</c:v>
                </c:pt>
                <c:pt idx="13">
                  <c:v>929.32099999999991</c:v>
                </c:pt>
                <c:pt idx="14">
                  <c:v>903.30899999999997</c:v>
                </c:pt>
                <c:pt idx="15">
                  <c:v>885.93700000000001</c:v>
                </c:pt>
                <c:pt idx="16">
                  <c:v>870.75300000000004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3B-42F2-8EAD-460F4E0D8D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lux_1_245_cct_6000_7000!$I$30:$Y$30</c:f>
              <c:numCache>
                <c:formatCode>General</c:formatCode>
                <c:ptCount val="17"/>
                <c:pt idx="0">
                  <c:v>855.95399999999995</c:v>
                </c:pt>
                <c:pt idx="1">
                  <c:v>902.39400000000001</c:v>
                </c:pt>
                <c:pt idx="2">
                  <c:v>925.35599999999999</c:v>
                </c:pt>
                <c:pt idx="3">
                  <c:v>943.09199999999998</c:v>
                </c:pt>
                <c:pt idx="4">
                  <c:v>956.96999999999991</c:v>
                </c:pt>
                <c:pt idx="5">
                  <c:v>979.04100000000005</c:v>
                </c:pt>
                <c:pt idx="6">
                  <c:v>991.97</c:v>
                </c:pt>
                <c:pt idx="7">
                  <c:v>1009.008</c:v>
                </c:pt>
                <c:pt idx="8">
                  <c:v>1002.474</c:v>
                </c:pt>
                <c:pt idx="9">
                  <c:v>1009.008</c:v>
                </c:pt>
                <c:pt idx="10">
                  <c:v>992.48799999999994</c:v>
                </c:pt>
                <c:pt idx="11">
                  <c:v>977.59199999999998</c:v>
                </c:pt>
                <c:pt idx="12">
                  <c:v>954.32400000000007</c:v>
                </c:pt>
                <c:pt idx="13">
                  <c:v>941.08200000000011</c:v>
                </c:pt>
                <c:pt idx="14">
                  <c:v>927.12600000000009</c:v>
                </c:pt>
                <c:pt idx="15">
                  <c:v>900.55799999999999</c:v>
                </c:pt>
                <c:pt idx="16">
                  <c:v>848.88000000000011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8-4F3F-8DC2-D3864430E75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lux_1_245_cct_6000_7000!$I$31:$Y$31</c:f>
              <c:numCache>
                <c:formatCode>General</c:formatCode>
                <c:ptCount val="17"/>
                <c:pt idx="0">
                  <c:v>903.55499999999995</c:v>
                </c:pt>
                <c:pt idx="1">
                  <c:v>925.41399999999999</c:v>
                </c:pt>
                <c:pt idx="2">
                  <c:v>940.07600000000002</c:v>
                </c:pt>
                <c:pt idx="3">
                  <c:v>969.87300000000005</c:v>
                </c:pt>
                <c:pt idx="4">
                  <c:v>1008.468</c:v>
                </c:pt>
                <c:pt idx="5">
                  <c:v>1024.2239999999999</c:v>
                </c:pt>
                <c:pt idx="6">
                  <c:v>1046.8700000000001</c:v>
                </c:pt>
                <c:pt idx="7">
                  <c:v>1049.317</c:v>
                </c:pt>
                <c:pt idx="8">
                  <c:v>1053.942</c:v>
                </c:pt>
                <c:pt idx="9">
                  <c:v>1048.0350000000001</c:v>
                </c:pt>
                <c:pt idx="10">
                  <c:v>1047.4839999999999</c:v>
                </c:pt>
                <c:pt idx="11">
                  <c:v>1024.788</c:v>
                </c:pt>
                <c:pt idx="12">
                  <c:v>1010.01</c:v>
                </c:pt>
                <c:pt idx="13">
                  <c:v>971.23200000000008</c:v>
                </c:pt>
                <c:pt idx="14">
                  <c:v>943.65800000000002</c:v>
                </c:pt>
                <c:pt idx="15">
                  <c:v>925.75699999999995</c:v>
                </c:pt>
                <c:pt idx="16">
                  <c:v>892.78800000000001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8-4F3F-8DC2-D3864430E75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lux_1_245_cct_6000_7000!$I$32:$Y$32</c:f>
              <c:numCache>
                <c:formatCode>General</c:formatCode>
                <c:ptCount val="17"/>
                <c:pt idx="0">
                  <c:v>907.19999999999993</c:v>
                </c:pt>
                <c:pt idx="1">
                  <c:v>941.63</c:v>
                </c:pt>
                <c:pt idx="2">
                  <c:v>961.34999999999991</c:v>
                </c:pt>
                <c:pt idx="3">
                  <c:v>996.11300000000006</c:v>
                </c:pt>
                <c:pt idx="4">
                  <c:v>1027.2080000000001</c:v>
                </c:pt>
                <c:pt idx="5">
                  <c:v>1054.595</c:v>
                </c:pt>
                <c:pt idx="6">
                  <c:v>1059.876</c:v>
                </c:pt>
                <c:pt idx="7">
                  <c:v>1065.222</c:v>
                </c:pt>
                <c:pt idx="8">
                  <c:v>1071.252</c:v>
                </c:pt>
                <c:pt idx="9">
                  <c:v>1068.21</c:v>
                </c:pt>
                <c:pt idx="10">
                  <c:v>1066.9559999999999</c:v>
                </c:pt>
                <c:pt idx="11">
                  <c:v>1061.125</c:v>
                </c:pt>
                <c:pt idx="12">
                  <c:v>1033.018</c:v>
                </c:pt>
                <c:pt idx="13">
                  <c:v>1000.694</c:v>
                </c:pt>
                <c:pt idx="14">
                  <c:v>964.00200000000007</c:v>
                </c:pt>
                <c:pt idx="15">
                  <c:v>940.10199999999998</c:v>
                </c:pt>
                <c:pt idx="16">
                  <c:v>919.904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8-4F3F-8DC2-D3864430E75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lux_1_245_cct_6000_7000!$I$33:$Y$33</c:f>
              <c:numCache>
                <c:formatCode>General</c:formatCode>
                <c:ptCount val="17"/>
                <c:pt idx="0">
                  <c:v>912.38</c:v>
                </c:pt>
                <c:pt idx="1">
                  <c:v>944.38100000000009</c:v>
                </c:pt>
                <c:pt idx="2">
                  <c:v>981.721</c:v>
                </c:pt>
                <c:pt idx="3">
                  <c:v>1021.404</c:v>
                </c:pt>
                <c:pt idx="4">
                  <c:v>1043.6110000000001</c:v>
                </c:pt>
                <c:pt idx="5">
                  <c:v>1063.5450000000001</c:v>
                </c:pt>
                <c:pt idx="6">
                  <c:v>1061.848</c:v>
                </c:pt>
                <c:pt idx="7">
                  <c:v>1070.1120000000001</c:v>
                </c:pt>
                <c:pt idx="8">
                  <c:v>1073.7160000000001</c:v>
                </c:pt>
                <c:pt idx="9">
                  <c:v>1074.3719999999998</c:v>
                </c:pt>
                <c:pt idx="10">
                  <c:v>1071.472</c:v>
                </c:pt>
                <c:pt idx="11">
                  <c:v>1065.8</c:v>
                </c:pt>
                <c:pt idx="12">
                  <c:v>1050.7280000000001</c:v>
                </c:pt>
                <c:pt idx="13">
                  <c:v>1026.48</c:v>
                </c:pt>
                <c:pt idx="14">
                  <c:v>983.16399999999999</c:v>
                </c:pt>
                <c:pt idx="15">
                  <c:v>940.69999999999993</c:v>
                </c:pt>
                <c:pt idx="16">
                  <c:v>919.80000000000007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8-4F3F-8DC2-D3864430E75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lux_1_245_cct_6000_7000!$I$34:$Y$34</c:f>
              <c:numCache>
                <c:formatCode>General</c:formatCode>
                <c:ptCount val="17"/>
                <c:pt idx="0">
                  <c:v>907.13700000000006</c:v>
                </c:pt>
                <c:pt idx="1">
                  <c:v>957.90400000000011</c:v>
                </c:pt>
                <c:pt idx="2">
                  <c:v>1004.12</c:v>
                </c:pt>
                <c:pt idx="3">
                  <c:v>1033.5999999999999</c:v>
                </c:pt>
                <c:pt idx="4">
                  <c:v>1057.0440000000001</c:v>
                </c:pt>
                <c:pt idx="5">
                  <c:v>1060.2440000000001</c:v>
                </c:pt>
                <c:pt idx="6">
                  <c:v>1059.1950000000002</c:v>
                </c:pt>
                <c:pt idx="7">
                  <c:v>1064.03</c:v>
                </c:pt>
                <c:pt idx="8">
                  <c:v>1062.2670000000001</c:v>
                </c:pt>
                <c:pt idx="9">
                  <c:v>1066.835</c:v>
                </c:pt>
                <c:pt idx="10">
                  <c:v>1063.5899999999999</c:v>
                </c:pt>
                <c:pt idx="11">
                  <c:v>1065.056</c:v>
                </c:pt>
                <c:pt idx="12">
                  <c:v>1052.298</c:v>
                </c:pt>
                <c:pt idx="13">
                  <c:v>1037.248</c:v>
                </c:pt>
                <c:pt idx="14">
                  <c:v>996.64600000000007</c:v>
                </c:pt>
                <c:pt idx="15">
                  <c:v>960.08900000000006</c:v>
                </c:pt>
                <c:pt idx="16">
                  <c:v>903.87000000000012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8-4F3F-8DC2-D3864430E75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lux_1_245_cct_6000_7000!$I$35:$Y$35</c:f>
              <c:numCache>
                <c:formatCode>General</c:formatCode>
                <c:ptCount val="17"/>
                <c:pt idx="0">
                  <c:v>921.12</c:v>
                </c:pt>
                <c:pt idx="1">
                  <c:v>962.17200000000003</c:v>
                </c:pt>
                <c:pt idx="2">
                  <c:v>995.35199999999998</c:v>
                </c:pt>
                <c:pt idx="3">
                  <c:v>1032.2280000000001</c:v>
                </c:pt>
                <c:pt idx="4">
                  <c:v>1055.511</c:v>
                </c:pt>
                <c:pt idx="5">
                  <c:v>1056.654</c:v>
                </c:pt>
                <c:pt idx="6">
                  <c:v>1053.4859999999999</c:v>
                </c:pt>
                <c:pt idx="7">
                  <c:v>1042.056</c:v>
                </c:pt>
                <c:pt idx="8">
                  <c:v>1033.0319999999999</c:v>
                </c:pt>
                <c:pt idx="9">
                  <c:v>1044.0239999999999</c:v>
                </c:pt>
                <c:pt idx="10">
                  <c:v>1057.202</c:v>
                </c:pt>
                <c:pt idx="11">
                  <c:v>1057.5</c:v>
                </c:pt>
                <c:pt idx="12">
                  <c:v>1047.7739999999999</c:v>
                </c:pt>
                <c:pt idx="13">
                  <c:v>1034.136</c:v>
                </c:pt>
                <c:pt idx="14">
                  <c:v>999.64</c:v>
                </c:pt>
                <c:pt idx="15">
                  <c:v>965.34299999999985</c:v>
                </c:pt>
                <c:pt idx="16">
                  <c:v>919.6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98-4F3F-8DC2-D3864430E75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lux_1_245_cct_6000_7000!$I$36:$Y$36</c:f>
              <c:numCache>
                <c:formatCode>General</c:formatCode>
                <c:ptCount val="17"/>
                <c:pt idx="0">
                  <c:v>908.33400000000006</c:v>
                </c:pt>
                <c:pt idx="1">
                  <c:v>964.35900000000004</c:v>
                </c:pt>
                <c:pt idx="2">
                  <c:v>1001.01</c:v>
                </c:pt>
                <c:pt idx="3">
                  <c:v>1029.377</c:v>
                </c:pt>
                <c:pt idx="4">
                  <c:v>1044.5239999999999</c:v>
                </c:pt>
                <c:pt idx="5">
                  <c:v>1049.4079999999999</c:v>
                </c:pt>
                <c:pt idx="6">
                  <c:v>1042.4920000000002</c:v>
                </c:pt>
                <c:pt idx="7">
                  <c:v>1026.0249999999999</c:v>
                </c:pt>
                <c:pt idx="8">
                  <c:v>1026.069</c:v>
                </c:pt>
                <c:pt idx="9">
                  <c:v>1030.029</c:v>
                </c:pt>
                <c:pt idx="10">
                  <c:v>1049.114</c:v>
                </c:pt>
                <c:pt idx="11">
                  <c:v>1048.1110000000001</c:v>
                </c:pt>
                <c:pt idx="12">
                  <c:v>1041.52</c:v>
                </c:pt>
                <c:pt idx="13">
                  <c:v>1033.9059999999999</c:v>
                </c:pt>
                <c:pt idx="14">
                  <c:v>995.11200000000008</c:v>
                </c:pt>
                <c:pt idx="15">
                  <c:v>964.81799999999998</c:v>
                </c:pt>
                <c:pt idx="16">
                  <c:v>902.28600000000006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98-4F3F-8DC2-D3864430E75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lux_1_245_cct_6000_7000!$I$37:$Y$37</c:f>
              <c:numCache>
                <c:formatCode>General</c:formatCode>
                <c:ptCount val="17"/>
                <c:pt idx="0">
                  <c:v>904.70399999999995</c:v>
                </c:pt>
                <c:pt idx="1">
                  <c:v>962.625</c:v>
                </c:pt>
                <c:pt idx="2">
                  <c:v>992.67200000000003</c:v>
                </c:pt>
                <c:pt idx="3">
                  <c:v>1025.8679999999999</c:v>
                </c:pt>
                <c:pt idx="4">
                  <c:v>1036.6590000000001</c:v>
                </c:pt>
                <c:pt idx="5">
                  <c:v>1043.9639999999999</c:v>
                </c:pt>
                <c:pt idx="6">
                  <c:v>1038.6220000000001</c:v>
                </c:pt>
                <c:pt idx="7">
                  <c:v>1026.3119999999999</c:v>
                </c:pt>
                <c:pt idx="8">
                  <c:v>1022.021</c:v>
                </c:pt>
                <c:pt idx="9">
                  <c:v>1033.2</c:v>
                </c:pt>
                <c:pt idx="10">
                  <c:v>1043.913</c:v>
                </c:pt>
                <c:pt idx="11">
                  <c:v>1047.886</c:v>
                </c:pt>
                <c:pt idx="12">
                  <c:v>1046.2919999999999</c:v>
                </c:pt>
                <c:pt idx="13">
                  <c:v>1023.1200000000001</c:v>
                </c:pt>
                <c:pt idx="14">
                  <c:v>996.96</c:v>
                </c:pt>
                <c:pt idx="15">
                  <c:v>949.76</c:v>
                </c:pt>
                <c:pt idx="16">
                  <c:v>898.34800000000007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98-4F3F-8DC2-D3864430E75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lux_1_245_cct_6000_7000!$I$38:$Y$38</c:f>
              <c:numCache>
                <c:formatCode>General</c:formatCode>
                <c:ptCount val="17"/>
                <c:pt idx="0">
                  <c:v>909.67799999999988</c:v>
                </c:pt>
                <c:pt idx="1">
                  <c:v>960.08900000000006</c:v>
                </c:pt>
                <c:pt idx="2">
                  <c:v>991.50599999999997</c:v>
                </c:pt>
                <c:pt idx="3">
                  <c:v>1019.0699999999999</c:v>
                </c:pt>
                <c:pt idx="4">
                  <c:v>1038.258</c:v>
                </c:pt>
                <c:pt idx="5">
                  <c:v>1039.576</c:v>
                </c:pt>
                <c:pt idx="6">
                  <c:v>1039.1860000000001</c:v>
                </c:pt>
                <c:pt idx="7">
                  <c:v>1032.837</c:v>
                </c:pt>
                <c:pt idx="8">
                  <c:v>1036.816</c:v>
                </c:pt>
                <c:pt idx="9">
                  <c:v>1035.606</c:v>
                </c:pt>
                <c:pt idx="10">
                  <c:v>1044.43</c:v>
                </c:pt>
                <c:pt idx="11">
                  <c:v>1040.165</c:v>
                </c:pt>
                <c:pt idx="12">
                  <c:v>1038.53</c:v>
                </c:pt>
                <c:pt idx="13">
                  <c:v>1025.0999999999999</c:v>
                </c:pt>
                <c:pt idx="14">
                  <c:v>984.40599999999995</c:v>
                </c:pt>
                <c:pt idx="15">
                  <c:v>945.61400000000003</c:v>
                </c:pt>
                <c:pt idx="16">
                  <c:v>908.12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98-4F3F-8DC2-D3864430E75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lux_1_245_cct_6000_7000!$I$39:$Y$39</c:f>
              <c:numCache>
                <c:formatCode>General</c:formatCode>
                <c:ptCount val="17"/>
                <c:pt idx="0">
                  <c:v>883.39499999999998</c:v>
                </c:pt>
                <c:pt idx="1">
                  <c:v>939.88200000000006</c:v>
                </c:pt>
                <c:pt idx="2">
                  <c:v>967.70799999999997</c:v>
                </c:pt>
                <c:pt idx="3">
                  <c:v>1007.318</c:v>
                </c:pt>
                <c:pt idx="4">
                  <c:v>1026.241</c:v>
                </c:pt>
                <c:pt idx="5">
                  <c:v>1036.0440000000001</c:v>
                </c:pt>
                <c:pt idx="6">
                  <c:v>1038.78</c:v>
                </c:pt>
                <c:pt idx="7">
                  <c:v>1036.953</c:v>
                </c:pt>
                <c:pt idx="8">
                  <c:v>1036.1130000000001</c:v>
                </c:pt>
                <c:pt idx="9">
                  <c:v>1036.1120000000001</c:v>
                </c:pt>
                <c:pt idx="10">
                  <c:v>1031.4639999999999</c:v>
                </c:pt>
                <c:pt idx="11">
                  <c:v>1026.732</c:v>
                </c:pt>
                <c:pt idx="12">
                  <c:v>1016.9639999999999</c:v>
                </c:pt>
                <c:pt idx="13">
                  <c:v>998.16499999999996</c:v>
                </c:pt>
                <c:pt idx="14">
                  <c:v>970.56400000000008</c:v>
                </c:pt>
                <c:pt idx="15">
                  <c:v>930.00800000000004</c:v>
                </c:pt>
                <c:pt idx="16">
                  <c:v>909.42000000000007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98-4F3F-8DC2-D3864430E75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lux_1_245_cct_6000_7000!$I$40:$Y$40</c:f>
              <c:numCache>
                <c:formatCode>General</c:formatCode>
                <c:ptCount val="17"/>
                <c:pt idx="0">
                  <c:v>907.88799999999992</c:v>
                </c:pt>
                <c:pt idx="1">
                  <c:v>925.7120000000001</c:v>
                </c:pt>
                <c:pt idx="2">
                  <c:v>950.91200000000003</c:v>
                </c:pt>
                <c:pt idx="3">
                  <c:v>981.35300000000007</c:v>
                </c:pt>
                <c:pt idx="4">
                  <c:v>1001.4899999999999</c:v>
                </c:pt>
                <c:pt idx="5">
                  <c:v>1025.6000000000001</c:v>
                </c:pt>
                <c:pt idx="6">
                  <c:v>1030.8630000000001</c:v>
                </c:pt>
                <c:pt idx="7">
                  <c:v>1029.7350000000001</c:v>
                </c:pt>
                <c:pt idx="8">
                  <c:v>1026.3780000000002</c:v>
                </c:pt>
                <c:pt idx="9">
                  <c:v>1029</c:v>
                </c:pt>
                <c:pt idx="10">
                  <c:v>1029.4690000000001</c:v>
                </c:pt>
                <c:pt idx="11">
                  <c:v>1017.6</c:v>
                </c:pt>
                <c:pt idx="12">
                  <c:v>1000.92</c:v>
                </c:pt>
                <c:pt idx="13">
                  <c:v>972.096</c:v>
                </c:pt>
                <c:pt idx="14">
                  <c:v>937.42499999999995</c:v>
                </c:pt>
                <c:pt idx="15">
                  <c:v>910.19999999999993</c:v>
                </c:pt>
                <c:pt idx="16">
                  <c:v>910.42600000000004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98-4F3F-8DC2-D3864430E75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lux_1_245_cct_6000_7000!$I$41:$Y$41</c:f>
              <c:numCache>
                <c:formatCode>General</c:formatCode>
                <c:ptCount val="17"/>
                <c:pt idx="0">
                  <c:v>916.50400000000002</c:v>
                </c:pt>
                <c:pt idx="1">
                  <c:v>912.59600000000012</c:v>
                </c:pt>
                <c:pt idx="2">
                  <c:v>931.803</c:v>
                </c:pt>
                <c:pt idx="3">
                  <c:v>947.2059999999999</c:v>
                </c:pt>
                <c:pt idx="4">
                  <c:v>973.59</c:v>
                </c:pt>
                <c:pt idx="5">
                  <c:v>995.4</c:v>
                </c:pt>
                <c:pt idx="6">
                  <c:v>1007.736</c:v>
                </c:pt>
                <c:pt idx="7">
                  <c:v>1019.34</c:v>
                </c:pt>
                <c:pt idx="8">
                  <c:v>1015.056</c:v>
                </c:pt>
                <c:pt idx="9">
                  <c:v>1022.49</c:v>
                </c:pt>
                <c:pt idx="10">
                  <c:v>1014.303</c:v>
                </c:pt>
                <c:pt idx="11">
                  <c:v>1001.4829999999999</c:v>
                </c:pt>
                <c:pt idx="12">
                  <c:v>976.07999999999993</c:v>
                </c:pt>
                <c:pt idx="13">
                  <c:v>946.322</c:v>
                </c:pt>
                <c:pt idx="14">
                  <c:v>912.54600000000005</c:v>
                </c:pt>
                <c:pt idx="15">
                  <c:v>904.50800000000004</c:v>
                </c:pt>
                <c:pt idx="16">
                  <c:v>899.803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98-4F3F-8DC2-D3864430E75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lux_1_245_cct_6000_7000!$I$42:$Y$42</c:f>
              <c:numCache>
                <c:formatCode>General</c:formatCode>
                <c:ptCount val="17"/>
                <c:pt idx="0">
                  <c:v>911.91500000000008</c:v>
                </c:pt>
                <c:pt idx="1">
                  <c:v>908.1</c:v>
                </c:pt>
                <c:pt idx="2">
                  <c:v>908.42400000000009</c:v>
                </c:pt>
                <c:pt idx="3">
                  <c:v>914.221</c:v>
                </c:pt>
                <c:pt idx="4">
                  <c:v>950.35500000000002</c:v>
                </c:pt>
                <c:pt idx="5">
                  <c:v>951.19999999999993</c:v>
                </c:pt>
                <c:pt idx="6">
                  <c:v>969.43500000000006</c:v>
                </c:pt>
                <c:pt idx="7">
                  <c:v>970.84</c:v>
                </c:pt>
                <c:pt idx="8">
                  <c:v>984.45100000000002</c:v>
                </c:pt>
                <c:pt idx="9">
                  <c:v>975.52</c:v>
                </c:pt>
                <c:pt idx="10">
                  <c:v>979.45500000000004</c:v>
                </c:pt>
                <c:pt idx="11">
                  <c:v>960.4799999999999</c:v>
                </c:pt>
                <c:pt idx="12">
                  <c:v>940.00800000000004</c:v>
                </c:pt>
                <c:pt idx="13">
                  <c:v>913.83800000000008</c:v>
                </c:pt>
                <c:pt idx="14">
                  <c:v>906.89200000000005</c:v>
                </c:pt>
                <c:pt idx="15">
                  <c:v>886.8</c:v>
                </c:pt>
                <c:pt idx="16">
                  <c:v>852.72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698-4F3F-8DC2-D3864430E75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lux_1_245_cct_6000_7000!$I$44:$Y$44</c:f>
              <c:numCache>
                <c:formatCode>General</c:formatCode>
                <c:ptCount val="17"/>
                <c:pt idx="0">
                  <c:v>825.47500000000002</c:v>
                </c:pt>
                <c:pt idx="1">
                  <c:v>876.0870000000001</c:v>
                </c:pt>
                <c:pt idx="2">
                  <c:v>881.76</c:v>
                </c:pt>
                <c:pt idx="3">
                  <c:v>922.70399999999995</c:v>
                </c:pt>
                <c:pt idx="4">
                  <c:v>944.39399999999989</c:v>
                </c:pt>
                <c:pt idx="5">
                  <c:v>933.96600000000001</c:v>
                </c:pt>
                <c:pt idx="6">
                  <c:v>970.16499999999996</c:v>
                </c:pt>
                <c:pt idx="7">
                  <c:v>977.88599999999997</c:v>
                </c:pt>
                <c:pt idx="8">
                  <c:v>986.447</c:v>
                </c:pt>
                <c:pt idx="9">
                  <c:v>978.97799999999995</c:v>
                </c:pt>
                <c:pt idx="10">
                  <c:v>971.73400000000004</c:v>
                </c:pt>
                <c:pt idx="11">
                  <c:v>933.96600000000001</c:v>
                </c:pt>
                <c:pt idx="12">
                  <c:v>942.58999999999992</c:v>
                </c:pt>
                <c:pt idx="13">
                  <c:v>889.25800000000004</c:v>
                </c:pt>
                <c:pt idx="14">
                  <c:v>885.98399999999992</c:v>
                </c:pt>
                <c:pt idx="15">
                  <c:v>876.39800000000002</c:v>
                </c:pt>
                <c:pt idx="16">
                  <c:v>820.17500000000007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C-4B20-BB87-F3645D85008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lux_1_245_cct_6000_7000!$I$45:$Y$45</c:f>
              <c:numCache>
                <c:formatCode>General</c:formatCode>
                <c:ptCount val="17"/>
                <c:pt idx="0">
                  <c:v>882.37599999999998</c:v>
                </c:pt>
                <c:pt idx="1">
                  <c:v>884.8950000000001</c:v>
                </c:pt>
                <c:pt idx="2">
                  <c:v>907.83800000000008</c:v>
                </c:pt>
                <c:pt idx="3">
                  <c:v>942.76</c:v>
                </c:pt>
                <c:pt idx="4">
                  <c:v>973.82399999999996</c:v>
                </c:pt>
                <c:pt idx="5">
                  <c:v>1000.816</c:v>
                </c:pt>
                <c:pt idx="6">
                  <c:v>1016.784</c:v>
                </c:pt>
                <c:pt idx="7">
                  <c:v>1015.378</c:v>
                </c:pt>
                <c:pt idx="8">
                  <c:v>1020.6</c:v>
                </c:pt>
                <c:pt idx="9">
                  <c:v>1015.378</c:v>
                </c:pt>
                <c:pt idx="10">
                  <c:v>1019.2399999999999</c:v>
                </c:pt>
                <c:pt idx="11">
                  <c:v>1002.52</c:v>
                </c:pt>
                <c:pt idx="12">
                  <c:v>976.89599999999996</c:v>
                </c:pt>
                <c:pt idx="13">
                  <c:v>947.31</c:v>
                </c:pt>
                <c:pt idx="14">
                  <c:v>913.80799999999988</c:v>
                </c:pt>
                <c:pt idx="15">
                  <c:v>887.96400000000006</c:v>
                </c:pt>
                <c:pt idx="16">
                  <c:v>873.2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C-4B20-BB87-F3645D85008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lux_1_245_cct_6000_7000!$I$46:$Y$46</c:f>
              <c:numCache>
                <c:formatCode>General</c:formatCode>
                <c:ptCount val="17"/>
                <c:pt idx="0">
                  <c:v>872.29200000000003</c:v>
                </c:pt>
                <c:pt idx="1">
                  <c:v>894</c:v>
                </c:pt>
                <c:pt idx="2">
                  <c:v>935.17300000000012</c:v>
                </c:pt>
                <c:pt idx="3">
                  <c:v>973.82399999999996</c:v>
                </c:pt>
                <c:pt idx="4">
                  <c:v>997.0200000000001</c:v>
                </c:pt>
                <c:pt idx="5">
                  <c:v>1016.712</c:v>
                </c:pt>
                <c:pt idx="6">
                  <c:v>1027.8899999999999</c:v>
                </c:pt>
                <c:pt idx="7">
                  <c:v>1045.5</c:v>
                </c:pt>
                <c:pt idx="8">
                  <c:v>1048.5119999999999</c:v>
                </c:pt>
                <c:pt idx="9">
                  <c:v>1048.5</c:v>
                </c:pt>
                <c:pt idx="10">
                  <c:v>1035.645</c:v>
                </c:pt>
                <c:pt idx="11">
                  <c:v>1024.4880000000001</c:v>
                </c:pt>
                <c:pt idx="12">
                  <c:v>1004.56</c:v>
                </c:pt>
                <c:pt idx="13">
                  <c:v>982.52800000000002</c:v>
                </c:pt>
                <c:pt idx="14">
                  <c:v>941.81799999999998</c:v>
                </c:pt>
                <c:pt idx="15">
                  <c:v>896.25</c:v>
                </c:pt>
                <c:pt idx="16">
                  <c:v>864.12799999999993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8C-4B20-BB87-F3645D85008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lux_1_245_cct_6000_7000!$I$47:$Y$47</c:f>
              <c:numCache>
                <c:formatCode>General</c:formatCode>
                <c:ptCount val="17"/>
                <c:pt idx="0">
                  <c:v>899.024</c:v>
                </c:pt>
                <c:pt idx="1">
                  <c:v>916.56900000000007</c:v>
                </c:pt>
                <c:pt idx="2">
                  <c:v>970.66500000000008</c:v>
                </c:pt>
                <c:pt idx="3">
                  <c:v>1000.2479999999999</c:v>
                </c:pt>
                <c:pt idx="4">
                  <c:v>1015.4159999999999</c:v>
                </c:pt>
                <c:pt idx="5">
                  <c:v>1039.7729999999999</c:v>
                </c:pt>
                <c:pt idx="6">
                  <c:v>1041.837</c:v>
                </c:pt>
                <c:pt idx="7">
                  <c:v>1050.0430000000001</c:v>
                </c:pt>
                <c:pt idx="8">
                  <c:v>1051.4880000000001</c:v>
                </c:pt>
                <c:pt idx="9">
                  <c:v>1055.1610000000001</c:v>
                </c:pt>
                <c:pt idx="10">
                  <c:v>1053.135</c:v>
                </c:pt>
                <c:pt idx="11">
                  <c:v>1034.521</c:v>
                </c:pt>
                <c:pt idx="12">
                  <c:v>1027.08</c:v>
                </c:pt>
                <c:pt idx="13">
                  <c:v>991.46</c:v>
                </c:pt>
                <c:pt idx="14">
                  <c:v>953.52300000000002</c:v>
                </c:pt>
                <c:pt idx="15">
                  <c:v>917.79600000000005</c:v>
                </c:pt>
                <c:pt idx="16">
                  <c:v>890.64800000000002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8C-4B20-BB87-F3645D85008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lux_1_245_cct_6000_7000!$I$48:$Y$48</c:f>
              <c:numCache>
                <c:formatCode>General</c:formatCode>
                <c:ptCount val="17"/>
                <c:pt idx="0">
                  <c:v>900.41700000000003</c:v>
                </c:pt>
                <c:pt idx="1">
                  <c:v>922.31999999999994</c:v>
                </c:pt>
                <c:pt idx="2">
                  <c:v>964.096</c:v>
                </c:pt>
                <c:pt idx="3">
                  <c:v>1017.398</c:v>
                </c:pt>
                <c:pt idx="4">
                  <c:v>1025.07</c:v>
                </c:pt>
                <c:pt idx="5">
                  <c:v>1040.223</c:v>
                </c:pt>
                <c:pt idx="6">
                  <c:v>1044.886</c:v>
                </c:pt>
                <c:pt idx="7">
                  <c:v>1042.9079999999999</c:v>
                </c:pt>
                <c:pt idx="8">
                  <c:v>1052.4100000000001</c:v>
                </c:pt>
                <c:pt idx="9">
                  <c:v>1045.7040000000002</c:v>
                </c:pt>
                <c:pt idx="10">
                  <c:v>1050.2079999999999</c:v>
                </c:pt>
                <c:pt idx="11">
                  <c:v>1046.6789999999999</c:v>
                </c:pt>
                <c:pt idx="12">
                  <c:v>1033.53</c:v>
                </c:pt>
                <c:pt idx="13">
                  <c:v>1005.3399999999999</c:v>
                </c:pt>
                <c:pt idx="14">
                  <c:v>972.8</c:v>
                </c:pt>
                <c:pt idx="15">
                  <c:v>928.36800000000005</c:v>
                </c:pt>
                <c:pt idx="16">
                  <c:v>900.41700000000003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8C-4B20-BB87-F3645D85008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lux_1_245_cct_6000_7000!$I$49:$Y$49</c:f>
              <c:numCache>
                <c:formatCode>General</c:formatCode>
                <c:ptCount val="17"/>
                <c:pt idx="0">
                  <c:v>891.029</c:v>
                </c:pt>
                <c:pt idx="1">
                  <c:v>940.94</c:v>
                </c:pt>
                <c:pt idx="2">
                  <c:v>968.14199999999994</c:v>
                </c:pt>
                <c:pt idx="3">
                  <c:v>1009.645</c:v>
                </c:pt>
                <c:pt idx="4">
                  <c:v>1037.25</c:v>
                </c:pt>
                <c:pt idx="5">
                  <c:v>1044.9250000000002</c:v>
                </c:pt>
                <c:pt idx="6">
                  <c:v>1041.0440000000001</c:v>
                </c:pt>
                <c:pt idx="7">
                  <c:v>1037.461</c:v>
                </c:pt>
                <c:pt idx="8">
                  <c:v>1027</c:v>
                </c:pt>
                <c:pt idx="9">
                  <c:v>1040.4280000000001</c:v>
                </c:pt>
                <c:pt idx="10">
                  <c:v>1043.8400000000001</c:v>
                </c:pt>
                <c:pt idx="11">
                  <c:v>1032.748</c:v>
                </c:pt>
                <c:pt idx="12">
                  <c:v>1026.471</c:v>
                </c:pt>
                <c:pt idx="13">
                  <c:v>1017.289</c:v>
                </c:pt>
                <c:pt idx="14">
                  <c:v>977.75400000000002</c:v>
                </c:pt>
                <c:pt idx="15">
                  <c:v>924.98400000000004</c:v>
                </c:pt>
                <c:pt idx="16">
                  <c:v>905.79500000000007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8C-4B20-BB87-F3645D85008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lux_1_245_cct_6000_7000!$I$50:$Y$50</c:f>
              <c:numCache>
                <c:formatCode>General</c:formatCode>
                <c:ptCount val="17"/>
                <c:pt idx="0">
                  <c:v>884.96500000000003</c:v>
                </c:pt>
                <c:pt idx="1">
                  <c:v>930.93</c:v>
                </c:pt>
                <c:pt idx="2">
                  <c:v>975.702</c:v>
                </c:pt>
                <c:pt idx="3">
                  <c:v>1008.9359999999999</c:v>
                </c:pt>
                <c:pt idx="4">
                  <c:v>1030.2240000000002</c:v>
                </c:pt>
                <c:pt idx="5">
                  <c:v>1034.2080000000001</c:v>
                </c:pt>
                <c:pt idx="6">
                  <c:v>1026.9269999999999</c:v>
                </c:pt>
                <c:pt idx="7">
                  <c:v>1022</c:v>
                </c:pt>
                <c:pt idx="8">
                  <c:v>1029.1379999999999</c:v>
                </c:pt>
                <c:pt idx="9">
                  <c:v>1025</c:v>
                </c:pt>
                <c:pt idx="10">
                  <c:v>1034.471</c:v>
                </c:pt>
                <c:pt idx="11">
                  <c:v>1042.848</c:v>
                </c:pt>
                <c:pt idx="12">
                  <c:v>1023.75</c:v>
                </c:pt>
                <c:pt idx="13">
                  <c:v>1018.6560000000001</c:v>
                </c:pt>
                <c:pt idx="14">
                  <c:v>983.89200000000005</c:v>
                </c:pt>
                <c:pt idx="15">
                  <c:v>936.38999999999987</c:v>
                </c:pt>
                <c:pt idx="16">
                  <c:v>883.44899999999996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8C-4B20-BB87-F3645D85008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lux_1_245_cct_6000_7000!$I$51:$Y$51</c:f>
              <c:numCache>
                <c:formatCode>General</c:formatCode>
                <c:ptCount val="17"/>
                <c:pt idx="0">
                  <c:v>906.178</c:v>
                </c:pt>
                <c:pt idx="1">
                  <c:v>917.45300000000009</c:v>
                </c:pt>
                <c:pt idx="2">
                  <c:v>965.47199999999998</c:v>
                </c:pt>
                <c:pt idx="3">
                  <c:v>1004.549</c:v>
                </c:pt>
                <c:pt idx="4">
                  <c:v>1012.4300000000001</c:v>
                </c:pt>
                <c:pt idx="5">
                  <c:v>1019.2919999999999</c:v>
                </c:pt>
                <c:pt idx="6">
                  <c:v>1027.9960000000001</c:v>
                </c:pt>
                <c:pt idx="7">
                  <c:v>1014.1859999999999</c:v>
                </c:pt>
                <c:pt idx="8">
                  <c:v>1018.9999999999999</c:v>
                </c:pt>
                <c:pt idx="9">
                  <c:v>1021.032</c:v>
                </c:pt>
                <c:pt idx="10">
                  <c:v>1039.18</c:v>
                </c:pt>
                <c:pt idx="11">
                  <c:v>1031.066</c:v>
                </c:pt>
                <c:pt idx="12">
                  <c:v>1024.9929999999999</c:v>
                </c:pt>
                <c:pt idx="13">
                  <c:v>1015.378</c:v>
                </c:pt>
                <c:pt idx="14">
                  <c:v>974.55</c:v>
                </c:pt>
                <c:pt idx="15">
                  <c:v>919.66800000000001</c:v>
                </c:pt>
                <c:pt idx="16">
                  <c:v>897.36900000000003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8C-4B20-BB87-F3645D85008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lux_1_245_cct_6000_7000!$I$52:$Y$52</c:f>
              <c:numCache>
                <c:formatCode>General</c:formatCode>
                <c:ptCount val="17"/>
                <c:pt idx="0">
                  <c:v>866.86</c:v>
                </c:pt>
                <c:pt idx="1">
                  <c:v>924.04799999999989</c:v>
                </c:pt>
                <c:pt idx="2">
                  <c:v>963.072</c:v>
                </c:pt>
                <c:pt idx="3">
                  <c:v>992.09599999999989</c:v>
                </c:pt>
                <c:pt idx="4">
                  <c:v>1015.9050000000001</c:v>
                </c:pt>
                <c:pt idx="5">
                  <c:v>1014.9</c:v>
                </c:pt>
                <c:pt idx="6">
                  <c:v>1020.2499999999999</c:v>
                </c:pt>
                <c:pt idx="7">
                  <c:v>1027.9960000000001</c:v>
                </c:pt>
                <c:pt idx="8">
                  <c:v>1023.155</c:v>
                </c:pt>
                <c:pt idx="9">
                  <c:v>1019.547</c:v>
                </c:pt>
                <c:pt idx="10">
                  <c:v>1025.5</c:v>
                </c:pt>
                <c:pt idx="11">
                  <c:v>1024.452</c:v>
                </c:pt>
                <c:pt idx="12">
                  <c:v>1026.48</c:v>
                </c:pt>
                <c:pt idx="13">
                  <c:v>1002.33</c:v>
                </c:pt>
                <c:pt idx="14">
                  <c:v>970.75199999999995</c:v>
                </c:pt>
                <c:pt idx="15">
                  <c:v>927.50399999999991</c:v>
                </c:pt>
                <c:pt idx="16">
                  <c:v>862.58799999999997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8C-4B20-BB87-F3645D85008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lux_1_245_cct_6000_7000!$I$53:$Y$53</c:f>
              <c:numCache>
                <c:formatCode>General</c:formatCode>
                <c:ptCount val="17"/>
                <c:pt idx="0">
                  <c:v>851.48099999999999</c:v>
                </c:pt>
                <c:pt idx="1">
                  <c:v>913.70600000000002</c:v>
                </c:pt>
                <c:pt idx="2">
                  <c:v>943.50599999999997</c:v>
                </c:pt>
                <c:pt idx="3">
                  <c:v>975.86400000000003</c:v>
                </c:pt>
                <c:pt idx="4">
                  <c:v>1007.64</c:v>
                </c:pt>
                <c:pt idx="5">
                  <c:v>1011.2570000000001</c:v>
                </c:pt>
                <c:pt idx="6">
                  <c:v>1012.5120000000001</c:v>
                </c:pt>
                <c:pt idx="7">
                  <c:v>1016.7690000000001</c:v>
                </c:pt>
                <c:pt idx="8">
                  <c:v>1015.0699999999999</c:v>
                </c:pt>
                <c:pt idx="9">
                  <c:v>1016.7690000000001</c:v>
                </c:pt>
                <c:pt idx="10">
                  <c:v>1014.104</c:v>
                </c:pt>
                <c:pt idx="11">
                  <c:v>1013.438</c:v>
                </c:pt>
                <c:pt idx="12">
                  <c:v>993.72</c:v>
                </c:pt>
                <c:pt idx="13">
                  <c:v>982.548</c:v>
                </c:pt>
                <c:pt idx="14">
                  <c:v>950.66100000000006</c:v>
                </c:pt>
                <c:pt idx="15">
                  <c:v>918.20500000000004</c:v>
                </c:pt>
                <c:pt idx="16">
                  <c:v>853.14599999999996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8C-4B20-BB87-F3645D85008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lux_1_245_cct_6000_7000!$I$54:$Y$54</c:f>
              <c:numCache>
                <c:formatCode>General</c:formatCode>
                <c:ptCount val="17"/>
                <c:pt idx="0">
                  <c:v>869.78</c:v>
                </c:pt>
                <c:pt idx="1">
                  <c:v>894.37499999999989</c:v>
                </c:pt>
                <c:pt idx="2">
                  <c:v>912.38400000000001</c:v>
                </c:pt>
                <c:pt idx="3">
                  <c:v>946.5</c:v>
                </c:pt>
                <c:pt idx="4">
                  <c:v>967.87199999999996</c:v>
                </c:pt>
                <c:pt idx="5">
                  <c:v>989.26099999999997</c:v>
                </c:pt>
                <c:pt idx="6">
                  <c:v>996.53399999999999</c:v>
                </c:pt>
                <c:pt idx="7">
                  <c:v>1010.9520000000001</c:v>
                </c:pt>
                <c:pt idx="8">
                  <c:v>1010.25</c:v>
                </c:pt>
                <c:pt idx="9">
                  <c:v>1010.9520000000001</c:v>
                </c:pt>
                <c:pt idx="10">
                  <c:v>997.22700000000009</c:v>
                </c:pt>
                <c:pt idx="11">
                  <c:v>991.17200000000003</c:v>
                </c:pt>
                <c:pt idx="12">
                  <c:v>971.84800000000007</c:v>
                </c:pt>
                <c:pt idx="13">
                  <c:v>953</c:v>
                </c:pt>
                <c:pt idx="14">
                  <c:v>915.84</c:v>
                </c:pt>
                <c:pt idx="15">
                  <c:v>896.25</c:v>
                </c:pt>
                <c:pt idx="16">
                  <c:v>866.95400000000006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8C-4B20-BB87-F3645D85008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lux_1_245_cct_6000_7000!$I$55:$Y$55</c:f>
              <c:numCache>
                <c:formatCode>General</c:formatCode>
                <c:ptCount val="17"/>
                <c:pt idx="0">
                  <c:v>892.44</c:v>
                </c:pt>
                <c:pt idx="1">
                  <c:v>891.71500000000003</c:v>
                </c:pt>
                <c:pt idx="2">
                  <c:v>886.25599999999997</c:v>
                </c:pt>
                <c:pt idx="3">
                  <c:v>919.22500000000002</c:v>
                </c:pt>
                <c:pt idx="4">
                  <c:v>946.5</c:v>
                </c:pt>
                <c:pt idx="5">
                  <c:v>971.96500000000003</c:v>
                </c:pt>
                <c:pt idx="6">
                  <c:v>986.678</c:v>
                </c:pt>
                <c:pt idx="7">
                  <c:v>984.375</c:v>
                </c:pt>
                <c:pt idx="8">
                  <c:v>991.80899999999997</c:v>
                </c:pt>
                <c:pt idx="9">
                  <c:v>988.125</c:v>
                </c:pt>
                <c:pt idx="10">
                  <c:v>993.90200000000004</c:v>
                </c:pt>
                <c:pt idx="11">
                  <c:v>980.32</c:v>
                </c:pt>
                <c:pt idx="12">
                  <c:v>953.5</c:v>
                </c:pt>
                <c:pt idx="13">
                  <c:v>922.76900000000012</c:v>
                </c:pt>
                <c:pt idx="14">
                  <c:v>884.71199999999988</c:v>
                </c:pt>
                <c:pt idx="15">
                  <c:v>885.91800000000001</c:v>
                </c:pt>
                <c:pt idx="16">
                  <c:v>874.976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88C-4B20-BB87-F3645D85008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lux_1_245_cct_6000_7000!$I$56:$Y$56</c:f>
              <c:numCache>
                <c:formatCode>General</c:formatCode>
                <c:ptCount val="17"/>
                <c:pt idx="0">
                  <c:v>858.07</c:v>
                </c:pt>
                <c:pt idx="1">
                  <c:v>861.952</c:v>
                </c:pt>
                <c:pt idx="2">
                  <c:v>876.36999999999989</c:v>
                </c:pt>
                <c:pt idx="3">
                  <c:v>918.18599999999992</c:v>
                </c:pt>
                <c:pt idx="4">
                  <c:v>937.63999999999987</c:v>
                </c:pt>
                <c:pt idx="5">
                  <c:v>924.54399999999998</c:v>
                </c:pt>
                <c:pt idx="6">
                  <c:v>960.51199999999994</c:v>
                </c:pt>
                <c:pt idx="7">
                  <c:v>967.60800000000006</c:v>
                </c:pt>
                <c:pt idx="8">
                  <c:v>950.82</c:v>
                </c:pt>
                <c:pt idx="9">
                  <c:v>973.48199999999997</c:v>
                </c:pt>
                <c:pt idx="10">
                  <c:v>942.4</c:v>
                </c:pt>
                <c:pt idx="11">
                  <c:v>937.12600000000009</c:v>
                </c:pt>
                <c:pt idx="12">
                  <c:v>911.17600000000004</c:v>
                </c:pt>
                <c:pt idx="13">
                  <c:v>884.34700000000009</c:v>
                </c:pt>
                <c:pt idx="14">
                  <c:v>870.57299999999998</c:v>
                </c:pt>
                <c:pt idx="15">
                  <c:v>843.89599999999996</c:v>
                </c:pt>
                <c:pt idx="16">
                  <c:v>821.23500000000001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8C-4B20-BB87-F3645D85008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lux_370_420_cct_2200_2400!$I$2:$Y$2</c:f>
              <c:numCache>
                <c:formatCode>General</c:formatCode>
                <c:ptCount val="17"/>
                <c:pt idx="0">
                  <c:v>793.71900000000005</c:v>
                </c:pt>
                <c:pt idx="1">
                  <c:v>835.92000000000007</c:v>
                </c:pt>
                <c:pt idx="2">
                  <c:v>890.45300000000009</c:v>
                </c:pt>
                <c:pt idx="3">
                  <c:v>924.16</c:v>
                </c:pt>
                <c:pt idx="4">
                  <c:v>975.93599999999992</c:v>
                </c:pt>
                <c:pt idx="5">
                  <c:v>974.40000000000009</c:v>
                </c:pt>
                <c:pt idx="6">
                  <c:v>994.5200000000001</c:v>
                </c:pt>
                <c:pt idx="7">
                  <c:v>1032.7459999999999</c:v>
                </c:pt>
                <c:pt idx="8">
                  <c:v>1011.5300000000001</c:v>
                </c:pt>
                <c:pt idx="9">
                  <c:v>1031.7340000000002</c:v>
                </c:pt>
                <c:pt idx="10">
                  <c:v>1018.948</c:v>
                </c:pt>
                <c:pt idx="11">
                  <c:v>1007.0830000000001</c:v>
                </c:pt>
                <c:pt idx="12">
                  <c:v>970.63199999999995</c:v>
                </c:pt>
                <c:pt idx="13">
                  <c:v>922.35500000000002</c:v>
                </c:pt>
                <c:pt idx="14">
                  <c:v>892.98900000000003</c:v>
                </c:pt>
                <c:pt idx="15">
                  <c:v>833.21999999999991</c:v>
                </c:pt>
                <c:pt idx="16">
                  <c:v>782.96399999999994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9-4578-8C61-20AE2E39366F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lux_370_420_cct_2200_2400!$I$3:$Y$3</c:f>
              <c:numCache>
                <c:formatCode>General</c:formatCode>
                <c:ptCount val="17"/>
                <c:pt idx="0">
                  <c:v>874.26</c:v>
                </c:pt>
                <c:pt idx="1">
                  <c:v>912.95999999999992</c:v>
                </c:pt>
                <c:pt idx="2">
                  <c:v>935.86</c:v>
                </c:pt>
                <c:pt idx="3">
                  <c:v>993.62700000000007</c:v>
                </c:pt>
                <c:pt idx="4">
                  <c:v>1014.7299999999999</c:v>
                </c:pt>
                <c:pt idx="5">
                  <c:v>1054.826</c:v>
                </c:pt>
                <c:pt idx="6">
                  <c:v>1050.732</c:v>
                </c:pt>
                <c:pt idx="7">
                  <c:v>1068.5999999999999</c:v>
                </c:pt>
                <c:pt idx="8">
                  <c:v>1071.694</c:v>
                </c:pt>
                <c:pt idx="9">
                  <c:v>1066.8</c:v>
                </c:pt>
                <c:pt idx="10">
                  <c:v>1071.3600000000001</c:v>
                </c:pt>
                <c:pt idx="11">
                  <c:v>1052.71</c:v>
                </c:pt>
                <c:pt idx="12">
                  <c:v>1014.7299999999999</c:v>
                </c:pt>
                <c:pt idx="13">
                  <c:v>994.05000000000007</c:v>
                </c:pt>
                <c:pt idx="14">
                  <c:v>939.14499999999998</c:v>
                </c:pt>
                <c:pt idx="15">
                  <c:v>911.69200000000001</c:v>
                </c:pt>
                <c:pt idx="16">
                  <c:v>810.64499999999998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9-4578-8C61-20AE2E39366F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lux_370_420_cct_2200_2400!$I$4:$Y$4</c:f>
              <c:numCache>
                <c:formatCode>General</c:formatCode>
                <c:ptCount val="17"/>
                <c:pt idx="0">
                  <c:v>885.37</c:v>
                </c:pt>
                <c:pt idx="1">
                  <c:v>938.62699999999995</c:v>
                </c:pt>
                <c:pt idx="2">
                  <c:v>978.91199999999992</c:v>
                </c:pt>
                <c:pt idx="3">
                  <c:v>1009.5600000000001</c:v>
                </c:pt>
                <c:pt idx="4">
                  <c:v>1046.2939999999999</c:v>
                </c:pt>
                <c:pt idx="5">
                  <c:v>1071.0829999999999</c:v>
                </c:pt>
                <c:pt idx="6">
                  <c:v>1078.03</c:v>
                </c:pt>
                <c:pt idx="7">
                  <c:v>1073.1200000000001</c:v>
                </c:pt>
                <c:pt idx="8">
                  <c:v>1070.481</c:v>
                </c:pt>
                <c:pt idx="9">
                  <c:v>1075.944</c:v>
                </c:pt>
                <c:pt idx="10">
                  <c:v>1084.0600000000002</c:v>
                </c:pt>
                <c:pt idx="11">
                  <c:v>1075.3599999999999</c:v>
                </c:pt>
                <c:pt idx="12">
                  <c:v>1050.0810000000001</c:v>
                </c:pt>
                <c:pt idx="13">
                  <c:v>1013.79</c:v>
                </c:pt>
                <c:pt idx="14">
                  <c:v>981.38400000000001</c:v>
                </c:pt>
                <c:pt idx="15">
                  <c:v>934.74400000000003</c:v>
                </c:pt>
                <c:pt idx="16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99-4578-8C61-20AE2E39366F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lux_370_420_cct_2200_2400!$I$5:$Y$5</c:f>
              <c:numCache>
                <c:formatCode>General</c:formatCode>
                <c:ptCount val="17"/>
                <c:pt idx="0">
                  <c:v>894.9</c:v>
                </c:pt>
                <c:pt idx="1">
                  <c:v>944.51200000000006</c:v>
                </c:pt>
                <c:pt idx="2">
                  <c:v>1000.386</c:v>
                </c:pt>
                <c:pt idx="3">
                  <c:v>1048.4780000000001</c:v>
                </c:pt>
                <c:pt idx="4">
                  <c:v>1068.6390000000001</c:v>
                </c:pt>
                <c:pt idx="5">
                  <c:v>1075.0059999999999</c:v>
                </c:pt>
                <c:pt idx="6">
                  <c:v>1068.836</c:v>
                </c:pt>
                <c:pt idx="7">
                  <c:v>1063.221</c:v>
                </c:pt>
                <c:pt idx="8">
                  <c:v>1072.9749999999999</c:v>
                </c:pt>
                <c:pt idx="9">
                  <c:v>1068.087</c:v>
                </c:pt>
                <c:pt idx="10">
                  <c:v>1078.0040000000001</c:v>
                </c:pt>
                <c:pt idx="11">
                  <c:v>1084.028</c:v>
                </c:pt>
                <c:pt idx="12">
                  <c:v>1075.971</c:v>
                </c:pt>
                <c:pt idx="13">
                  <c:v>1053.239</c:v>
                </c:pt>
                <c:pt idx="14">
                  <c:v>1001.2800000000001</c:v>
                </c:pt>
                <c:pt idx="15">
                  <c:v>938.12</c:v>
                </c:pt>
                <c:pt idx="16">
                  <c:v>877.31600000000003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99-4578-8C61-20AE2E39366F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lux_370_420_cct_2200_2400!$I$6:$Y$6</c:f>
              <c:numCache>
                <c:formatCode>General</c:formatCode>
                <c:ptCount val="17"/>
                <c:pt idx="0">
                  <c:v>898.101</c:v>
                </c:pt>
                <c:pt idx="1">
                  <c:v>987.56399999999996</c:v>
                </c:pt>
                <c:pt idx="2">
                  <c:v>1020.876</c:v>
                </c:pt>
                <c:pt idx="3">
                  <c:v>1066.752</c:v>
                </c:pt>
                <c:pt idx="4">
                  <c:v>1075.3499999999999</c:v>
                </c:pt>
                <c:pt idx="5">
                  <c:v>1067.308</c:v>
                </c:pt>
                <c:pt idx="6">
                  <c:v>1061.2909999999999</c:v>
                </c:pt>
                <c:pt idx="7">
                  <c:v>1057.04</c:v>
                </c:pt>
                <c:pt idx="8">
                  <c:v>1058.1310000000001</c:v>
                </c:pt>
                <c:pt idx="9">
                  <c:v>1059.7550000000001</c:v>
                </c:pt>
                <c:pt idx="10">
                  <c:v>1065.5260000000001</c:v>
                </c:pt>
                <c:pt idx="11">
                  <c:v>1070.364</c:v>
                </c:pt>
                <c:pt idx="12">
                  <c:v>1077.3600000000001</c:v>
                </c:pt>
                <c:pt idx="13">
                  <c:v>1069.056</c:v>
                </c:pt>
                <c:pt idx="14">
                  <c:v>1024.25</c:v>
                </c:pt>
                <c:pt idx="15">
                  <c:v>958.4</c:v>
                </c:pt>
                <c:pt idx="16">
                  <c:v>900.12699999999995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578-8C61-20AE2E39366F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lux_370_420_cct_2200_2400!$I$7:$Y$7</c:f>
              <c:numCache>
                <c:formatCode>General</c:formatCode>
                <c:ptCount val="17"/>
                <c:pt idx="0">
                  <c:v>907.69499999999994</c:v>
                </c:pt>
                <c:pt idx="1">
                  <c:v>983.47500000000002</c:v>
                </c:pt>
                <c:pt idx="2">
                  <c:v>1028.6979999999999</c:v>
                </c:pt>
                <c:pt idx="3">
                  <c:v>1054.8</c:v>
                </c:pt>
                <c:pt idx="4">
                  <c:v>1062.53</c:v>
                </c:pt>
                <c:pt idx="5">
                  <c:v>1058.355</c:v>
                </c:pt>
                <c:pt idx="6">
                  <c:v>1053.4199999999998</c:v>
                </c:pt>
                <c:pt idx="7">
                  <c:v>1034.3719999999998</c:v>
                </c:pt>
                <c:pt idx="8">
                  <c:v>1027.52</c:v>
                </c:pt>
                <c:pt idx="9">
                  <c:v>1049.2</c:v>
                </c:pt>
                <c:pt idx="10">
                  <c:v>1056.135</c:v>
                </c:pt>
                <c:pt idx="11">
                  <c:v>1056.7329999999999</c:v>
                </c:pt>
                <c:pt idx="12">
                  <c:v>1061.1179999999999</c:v>
                </c:pt>
                <c:pt idx="13">
                  <c:v>1056.5999999999999</c:v>
                </c:pt>
                <c:pt idx="14">
                  <c:v>1033.252</c:v>
                </c:pt>
                <c:pt idx="15">
                  <c:v>986.01300000000003</c:v>
                </c:pt>
                <c:pt idx="16">
                  <c:v>901.48500000000001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99-4578-8C61-20AE2E39366F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lux_370_420_cct_2200_2400!$I$8:$Y$8</c:f>
              <c:numCache>
                <c:formatCode>General</c:formatCode>
                <c:ptCount val="17"/>
                <c:pt idx="0">
                  <c:v>933.91200000000003</c:v>
                </c:pt>
                <c:pt idx="1">
                  <c:v>1002.2399999999999</c:v>
                </c:pt>
                <c:pt idx="2">
                  <c:v>1035.5510000000002</c:v>
                </c:pt>
                <c:pt idx="3">
                  <c:v>1050.92</c:v>
                </c:pt>
                <c:pt idx="4">
                  <c:v>1065.798</c:v>
                </c:pt>
                <c:pt idx="5">
                  <c:v>1053.77</c:v>
                </c:pt>
                <c:pt idx="6">
                  <c:v>1043.2670000000001</c:v>
                </c:pt>
                <c:pt idx="7">
                  <c:v>1031.9669999999999</c:v>
                </c:pt>
                <c:pt idx="8">
                  <c:v>1027.0920000000001</c:v>
                </c:pt>
                <c:pt idx="9">
                  <c:v>1034.9639999999999</c:v>
                </c:pt>
                <c:pt idx="10">
                  <c:v>1063.33</c:v>
                </c:pt>
                <c:pt idx="11">
                  <c:v>1058.78</c:v>
                </c:pt>
                <c:pt idx="12">
                  <c:v>1069.443</c:v>
                </c:pt>
                <c:pt idx="13">
                  <c:v>1055.1970000000001</c:v>
                </c:pt>
                <c:pt idx="14">
                  <c:v>1038.136</c:v>
                </c:pt>
                <c:pt idx="15">
                  <c:v>972.05399999999997</c:v>
                </c:pt>
                <c:pt idx="16">
                  <c:v>931.74099999999999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99-4578-8C61-20AE2E39366F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lux_370_420_cct_2200_2400!$I$9:$Y$9</c:f>
              <c:numCache>
                <c:formatCode>General</c:formatCode>
                <c:ptCount val="17"/>
                <c:pt idx="0">
                  <c:v>910.45499999999993</c:v>
                </c:pt>
                <c:pt idx="1">
                  <c:v>983.89800000000002</c:v>
                </c:pt>
                <c:pt idx="2">
                  <c:v>1024.6499999999999</c:v>
                </c:pt>
                <c:pt idx="3">
                  <c:v>1065.5840000000001</c:v>
                </c:pt>
                <c:pt idx="4">
                  <c:v>1065.462</c:v>
                </c:pt>
                <c:pt idx="5">
                  <c:v>1058.3779999999999</c:v>
                </c:pt>
                <c:pt idx="6">
                  <c:v>1050.8819999999998</c:v>
                </c:pt>
                <c:pt idx="7">
                  <c:v>1031.6319999999998</c:v>
                </c:pt>
                <c:pt idx="8">
                  <c:v>1026.972</c:v>
                </c:pt>
                <c:pt idx="9">
                  <c:v>1039.44</c:v>
                </c:pt>
                <c:pt idx="10">
                  <c:v>1061.886</c:v>
                </c:pt>
                <c:pt idx="11">
                  <c:v>1067.431</c:v>
                </c:pt>
                <c:pt idx="12">
                  <c:v>1074.7830000000001</c:v>
                </c:pt>
                <c:pt idx="13">
                  <c:v>1053</c:v>
                </c:pt>
                <c:pt idx="14">
                  <c:v>1027.6860000000001</c:v>
                </c:pt>
                <c:pt idx="15">
                  <c:v>978.39900000000011</c:v>
                </c:pt>
                <c:pt idx="16">
                  <c:v>892.5150000000001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99-4578-8C61-20AE2E39366F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lux_370_420_cct_2200_2400!$I$10:$Y$10</c:f>
              <c:numCache>
                <c:formatCode>General</c:formatCode>
                <c:ptCount val="17"/>
                <c:pt idx="0">
                  <c:v>900.43200000000002</c:v>
                </c:pt>
                <c:pt idx="1">
                  <c:v>987.976</c:v>
                </c:pt>
                <c:pt idx="2">
                  <c:v>1017.5020000000001</c:v>
                </c:pt>
                <c:pt idx="3">
                  <c:v>1057.5360000000001</c:v>
                </c:pt>
                <c:pt idx="4">
                  <c:v>1061.28</c:v>
                </c:pt>
                <c:pt idx="5">
                  <c:v>1068.5519999999999</c:v>
                </c:pt>
                <c:pt idx="6">
                  <c:v>1059.6300000000001</c:v>
                </c:pt>
                <c:pt idx="7">
                  <c:v>1052.7159999999999</c:v>
                </c:pt>
                <c:pt idx="8">
                  <c:v>1052.038</c:v>
                </c:pt>
                <c:pt idx="9">
                  <c:v>1055.4670000000001</c:v>
                </c:pt>
                <c:pt idx="10">
                  <c:v>1063.92</c:v>
                </c:pt>
                <c:pt idx="11">
                  <c:v>1073.9839999999999</c:v>
                </c:pt>
                <c:pt idx="12">
                  <c:v>1067.31</c:v>
                </c:pt>
                <c:pt idx="13">
                  <c:v>1063.296</c:v>
                </c:pt>
                <c:pt idx="14">
                  <c:v>1019.4300000000001</c:v>
                </c:pt>
                <c:pt idx="15">
                  <c:v>983.44399999999996</c:v>
                </c:pt>
                <c:pt idx="16">
                  <c:v>887.11200000000008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99-4578-8C61-20AE2E39366F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lux_370_420_cct_2200_2400!$I$11:$Y$11</c:f>
              <c:numCache>
                <c:formatCode>General</c:formatCode>
                <c:ptCount val="17"/>
                <c:pt idx="0">
                  <c:v>915.52500000000009</c:v>
                </c:pt>
                <c:pt idx="1">
                  <c:v>967.67200000000014</c:v>
                </c:pt>
                <c:pt idx="2">
                  <c:v>993.23400000000004</c:v>
                </c:pt>
                <c:pt idx="3">
                  <c:v>1040.5430000000001</c:v>
                </c:pt>
                <c:pt idx="4">
                  <c:v>1058.252</c:v>
                </c:pt>
                <c:pt idx="5">
                  <c:v>1060.432</c:v>
                </c:pt>
                <c:pt idx="6">
                  <c:v>1067</c:v>
                </c:pt>
                <c:pt idx="7">
                  <c:v>1057.5549999999998</c:v>
                </c:pt>
                <c:pt idx="8">
                  <c:v>1047.0899999999999</c:v>
                </c:pt>
                <c:pt idx="9">
                  <c:v>1056.732</c:v>
                </c:pt>
                <c:pt idx="10">
                  <c:v>1048.2080000000001</c:v>
                </c:pt>
                <c:pt idx="11">
                  <c:v>1056.268</c:v>
                </c:pt>
                <c:pt idx="12">
                  <c:v>1054.586</c:v>
                </c:pt>
                <c:pt idx="13">
                  <c:v>1040.5430000000001</c:v>
                </c:pt>
                <c:pt idx="14">
                  <c:v>995.46899999999994</c:v>
                </c:pt>
                <c:pt idx="15">
                  <c:v>966.89599999999996</c:v>
                </c:pt>
                <c:pt idx="16">
                  <c:v>868.31000000000006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99-4578-8C61-20AE2E39366F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lux_370_420_cct_2200_2400!$I$12:$Y$12</c:f>
              <c:numCache>
                <c:formatCode>General</c:formatCode>
                <c:ptCount val="17"/>
                <c:pt idx="0">
                  <c:v>878.41</c:v>
                </c:pt>
                <c:pt idx="1">
                  <c:v>934.39099999999996</c:v>
                </c:pt>
                <c:pt idx="2">
                  <c:v>976.44</c:v>
                </c:pt>
                <c:pt idx="3">
                  <c:v>1028.588</c:v>
                </c:pt>
                <c:pt idx="4">
                  <c:v>1036.0150000000001</c:v>
                </c:pt>
                <c:pt idx="5">
                  <c:v>1056.4190000000001</c:v>
                </c:pt>
                <c:pt idx="6">
                  <c:v>1059.27</c:v>
                </c:pt>
                <c:pt idx="7">
                  <c:v>1066.896</c:v>
                </c:pt>
                <c:pt idx="8">
                  <c:v>1061.424</c:v>
                </c:pt>
                <c:pt idx="9">
                  <c:v>1064.7450000000001</c:v>
                </c:pt>
                <c:pt idx="10">
                  <c:v>1057.26</c:v>
                </c:pt>
                <c:pt idx="11">
                  <c:v>1053.364</c:v>
                </c:pt>
                <c:pt idx="12">
                  <c:v>1032.769</c:v>
                </c:pt>
                <c:pt idx="13">
                  <c:v>1002.0400000000001</c:v>
                </c:pt>
                <c:pt idx="14">
                  <c:v>975.20399999999995</c:v>
                </c:pt>
                <c:pt idx="15">
                  <c:v>931.92000000000007</c:v>
                </c:pt>
                <c:pt idx="16">
                  <c:v>868.55000000000007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99-4578-8C61-20AE2E39366F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lux_370_420_cct_2200_2400!$I$13:$Y$13</c:f>
              <c:numCache>
                <c:formatCode>General</c:formatCode>
                <c:ptCount val="17"/>
                <c:pt idx="0">
                  <c:v>876.15</c:v>
                </c:pt>
                <c:pt idx="1">
                  <c:v>911.05799999999999</c:v>
                </c:pt>
                <c:pt idx="2">
                  <c:v>932.94</c:v>
                </c:pt>
                <c:pt idx="3">
                  <c:v>988.12799999999993</c:v>
                </c:pt>
                <c:pt idx="4">
                  <c:v>1028.588</c:v>
                </c:pt>
                <c:pt idx="5">
                  <c:v>1036.8399999999999</c:v>
                </c:pt>
                <c:pt idx="6">
                  <c:v>1052.3519999999999</c:v>
                </c:pt>
                <c:pt idx="7">
                  <c:v>1065.5840000000001</c:v>
                </c:pt>
                <c:pt idx="8">
                  <c:v>1050.92</c:v>
                </c:pt>
                <c:pt idx="9">
                  <c:v>1069.25</c:v>
                </c:pt>
                <c:pt idx="10">
                  <c:v>1058.1120000000001</c:v>
                </c:pt>
                <c:pt idx="11">
                  <c:v>1041.0719999999999</c:v>
                </c:pt>
                <c:pt idx="12">
                  <c:v>1030.0340000000001</c:v>
                </c:pt>
                <c:pt idx="13">
                  <c:v>986.43599999999992</c:v>
                </c:pt>
                <c:pt idx="14">
                  <c:v>929.65500000000009</c:v>
                </c:pt>
                <c:pt idx="15">
                  <c:v>902.81599999999992</c:v>
                </c:pt>
                <c:pt idx="16">
                  <c:v>856.17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899-4578-8C61-20AE2E39366F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lux_370_420_cct_2200_2400!$I$14:$Y$14</c:f>
              <c:numCache>
                <c:formatCode>General</c:formatCode>
                <c:ptCount val="17"/>
                <c:pt idx="0">
                  <c:v>864.45</c:v>
                </c:pt>
                <c:pt idx="1">
                  <c:v>896.32399999999996</c:v>
                </c:pt>
                <c:pt idx="2">
                  <c:v>892.98900000000003</c:v>
                </c:pt>
                <c:pt idx="3">
                  <c:v>924.88199999999995</c:v>
                </c:pt>
                <c:pt idx="4">
                  <c:v>964.34799999999996</c:v>
                </c:pt>
                <c:pt idx="5">
                  <c:v>1003.926</c:v>
                </c:pt>
                <c:pt idx="6">
                  <c:v>1012.2</c:v>
                </c:pt>
                <c:pt idx="7">
                  <c:v>1017.5540000000001</c:v>
                </c:pt>
                <c:pt idx="8">
                  <c:v>1038.136</c:v>
                </c:pt>
                <c:pt idx="9">
                  <c:v>1022.574</c:v>
                </c:pt>
                <c:pt idx="10">
                  <c:v>1024.25</c:v>
                </c:pt>
                <c:pt idx="11">
                  <c:v>1014.2990000000001</c:v>
                </c:pt>
                <c:pt idx="12">
                  <c:v>967.98399999999992</c:v>
                </c:pt>
                <c:pt idx="13">
                  <c:v>925.60400000000004</c:v>
                </c:pt>
                <c:pt idx="14">
                  <c:v>887.59999999999991</c:v>
                </c:pt>
                <c:pt idx="15">
                  <c:v>878.02</c:v>
                </c:pt>
                <c:pt idx="16">
                  <c:v>833.85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899-4578-8C61-20AE2E39366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lux_370_420_cct_2200_2400!$I$16:$Y$16</c:f>
              <c:numCache>
                <c:formatCode>General</c:formatCode>
                <c:ptCount val="17"/>
                <c:pt idx="0">
                  <c:v>788.30400000000009</c:v>
                </c:pt>
                <c:pt idx="1">
                  <c:v>825.90000000000009</c:v>
                </c:pt>
                <c:pt idx="2">
                  <c:v>866.5200000000001</c:v>
                </c:pt>
                <c:pt idx="3">
                  <c:v>898.524</c:v>
                </c:pt>
                <c:pt idx="4">
                  <c:v>927.75100000000009</c:v>
                </c:pt>
                <c:pt idx="5">
                  <c:v>952.09199999999998</c:v>
                </c:pt>
                <c:pt idx="6">
                  <c:v>961.27199999999993</c:v>
                </c:pt>
                <c:pt idx="7">
                  <c:v>982.26</c:v>
                </c:pt>
                <c:pt idx="8">
                  <c:v>977.54599999999994</c:v>
                </c:pt>
                <c:pt idx="9">
                  <c:v>982.79499999999996</c:v>
                </c:pt>
                <c:pt idx="10">
                  <c:v>976.59999999999991</c:v>
                </c:pt>
                <c:pt idx="11">
                  <c:v>953.52300000000002</c:v>
                </c:pt>
                <c:pt idx="12">
                  <c:v>929.0619999999999</c:v>
                </c:pt>
                <c:pt idx="13">
                  <c:v>901.69200000000001</c:v>
                </c:pt>
                <c:pt idx="14">
                  <c:v>873.82800000000009</c:v>
                </c:pt>
                <c:pt idx="15">
                  <c:v>830.4</c:v>
                </c:pt>
                <c:pt idx="16">
                  <c:v>786.98399999999992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0-4DC0-A6CB-32A6CC48263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lux_370_420_cct_2200_2400!$I$17:$Y$17</c:f>
              <c:numCache>
                <c:formatCode>General</c:formatCode>
                <c:ptCount val="17"/>
                <c:pt idx="0">
                  <c:v>825.96799999999996</c:v>
                </c:pt>
                <c:pt idx="1">
                  <c:v>862.72</c:v>
                </c:pt>
                <c:pt idx="2">
                  <c:v>896.82600000000002</c:v>
                </c:pt>
                <c:pt idx="3">
                  <c:v>939.45600000000002</c:v>
                </c:pt>
                <c:pt idx="4">
                  <c:v>975.31700000000001</c:v>
                </c:pt>
                <c:pt idx="5">
                  <c:v>1009.554</c:v>
                </c:pt>
                <c:pt idx="6">
                  <c:v>1026.9090000000001</c:v>
                </c:pt>
                <c:pt idx="7">
                  <c:v>1033.2</c:v>
                </c:pt>
                <c:pt idx="8">
                  <c:v>1037.1380000000001</c:v>
                </c:pt>
                <c:pt idx="9">
                  <c:v>1033.2</c:v>
                </c:pt>
                <c:pt idx="10">
                  <c:v>1029.3210000000001</c:v>
                </c:pt>
                <c:pt idx="11">
                  <c:v>1012.908</c:v>
                </c:pt>
                <c:pt idx="12">
                  <c:v>980.85</c:v>
                </c:pt>
                <c:pt idx="13">
                  <c:v>945.72800000000007</c:v>
                </c:pt>
                <c:pt idx="14">
                  <c:v>906.25800000000004</c:v>
                </c:pt>
                <c:pt idx="15">
                  <c:v>869.79700000000003</c:v>
                </c:pt>
                <c:pt idx="16">
                  <c:v>823.39400000000001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0-4DC0-A6CB-32A6CC48263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lux_370_420_cct_2200_2400!$I$18:$Y$18</c:f>
              <c:numCache>
                <c:formatCode>General</c:formatCode>
                <c:ptCount val="17"/>
                <c:pt idx="0">
                  <c:v>860.65499999999997</c:v>
                </c:pt>
                <c:pt idx="1">
                  <c:v>889.99199999999996</c:v>
                </c:pt>
                <c:pt idx="2">
                  <c:v>938.3660000000001</c:v>
                </c:pt>
                <c:pt idx="3">
                  <c:v>983.89700000000005</c:v>
                </c:pt>
                <c:pt idx="4">
                  <c:v>1012.5749999999999</c:v>
                </c:pt>
                <c:pt idx="5">
                  <c:v>1035.856</c:v>
                </c:pt>
                <c:pt idx="6">
                  <c:v>1046.894</c:v>
                </c:pt>
                <c:pt idx="7">
                  <c:v>1053.99</c:v>
                </c:pt>
                <c:pt idx="8">
                  <c:v>1063.328</c:v>
                </c:pt>
                <c:pt idx="9">
                  <c:v>1058.3999999999999</c:v>
                </c:pt>
                <c:pt idx="10">
                  <c:v>1057.3489999999999</c:v>
                </c:pt>
                <c:pt idx="11">
                  <c:v>1046.1119999999999</c:v>
                </c:pt>
                <c:pt idx="12">
                  <c:v>1022.35</c:v>
                </c:pt>
                <c:pt idx="13">
                  <c:v>982.86199999999997</c:v>
                </c:pt>
                <c:pt idx="14">
                  <c:v>936.92800000000011</c:v>
                </c:pt>
                <c:pt idx="15">
                  <c:v>896.00800000000004</c:v>
                </c:pt>
                <c:pt idx="16">
                  <c:v>859.06999999999994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C0-4DC0-A6CB-32A6CC48263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lux_370_420_cct_2200_2400!$I$19:$Y$19</c:f>
              <c:numCache>
                <c:formatCode>General</c:formatCode>
                <c:ptCount val="17"/>
                <c:pt idx="0">
                  <c:v>868.81899999999996</c:v>
                </c:pt>
                <c:pt idx="1">
                  <c:v>914.93299999999999</c:v>
                </c:pt>
                <c:pt idx="2">
                  <c:v>964.88599999999985</c:v>
                </c:pt>
                <c:pt idx="3">
                  <c:v>1005.082</c:v>
                </c:pt>
                <c:pt idx="4">
                  <c:v>1033.933</c:v>
                </c:pt>
                <c:pt idx="5">
                  <c:v>1051.248</c:v>
                </c:pt>
                <c:pt idx="6">
                  <c:v>1059.4759999999999</c:v>
                </c:pt>
                <c:pt idx="7">
                  <c:v>1063.0240000000001</c:v>
                </c:pt>
                <c:pt idx="8">
                  <c:v>1067.8219999999999</c:v>
                </c:pt>
                <c:pt idx="9">
                  <c:v>1069.752</c:v>
                </c:pt>
                <c:pt idx="10">
                  <c:v>1073.8040000000001</c:v>
                </c:pt>
                <c:pt idx="11">
                  <c:v>1065.7280000000001</c:v>
                </c:pt>
                <c:pt idx="12">
                  <c:v>1046.7529999999999</c:v>
                </c:pt>
                <c:pt idx="13">
                  <c:v>1017.38</c:v>
                </c:pt>
                <c:pt idx="14">
                  <c:v>973.54399999999998</c:v>
                </c:pt>
                <c:pt idx="15">
                  <c:v>918.61400000000003</c:v>
                </c:pt>
                <c:pt idx="16">
                  <c:v>866.41799999999989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C0-4DC0-A6CB-32A6CC48263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lux_370_420_cct_2200_2400!$I$20:$Y$20</c:f>
              <c:numCache>
                <c:formatCode>General</c:formatCode>
                <c:ptCount val="17"/>
                <c:pt idx="0">
                  <c:v>870.11099999999988</c:v>
                </c:pt>
                <c:pt idx="1">
                  <c:v>933.43200000000002</c:v>
                </c:pt>
                <c:pt idx="2">
                  <c:v>980.19799999999998</c:v>
                </c:pt>
                <c:pt idx="3">
                  <c:v>1029.952</c:v>
                </c:pt>
                <c:pt idx="4">
                  <c:v>1050.192</c:v>
                </c:pt>
                <c:pt idx="5">
                  <c:v>1057.088</c:v>
                </c:pt>
                <c:pt idx="6">
                  <c:v>1058.414</c:v>
                </c:pt>
                <c:pt idx="7">
                  <c:v>1054.989</c:v>
                </c:pt>
                <c:pt idx="8">
                  <c:v>1055.6199999999999</c:v>
                </c:pt>
                <c:pt idx="9">
                  <c:v>1059.6039999999998</c:v>
                </c:pt>
                <c:pt idx="10">
                  <c:v>1066.28</c:v>
                </c:pt>
                <c:pt idx="11">
                  <c:v>1065.8440000000001</c:v>
                </c:pt>
                <c:pt idx="12">
                  <c:v>1060.02</c:v>
                </c:pt>
                <c:pt idx="13">
                  <c:v>1031.1299999999999</c:v>
                </c:pt>
                <c:pt idx="14">
                  <c:v>990.99199999999996</c:v>
                </c:pt>
                <c:pt idx="15">
                  <c:v>942.60900000000004</c:v>
                </c:pt>
                <c:pt idx="16">
                  <c:v>874.46699999999998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C0-4DC0-A6CB-32A6CC48263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lux_370_420_cct_2200_2400!$I$21:$Y$21</c:f>
              <c:numCache>
                <c:formatCode>General</c:formatCode>
                <c:ptCount val="17"/>
                <c:pt idx="0">
                  <c:v>868.62</c:v>
                </c:pt>
                <c:pt idx="1">
                  <c:v>940.428</c:v>
                </c:pt>
                <c:pt idx="2">
                  <c:v>984.63199999999995</c:v>
                </c:pt>
                <c:pt idx="3">
                  <c:v>1029.684</c:v>
                </c:pt>
                <c:pt idx="4">
                  <c:v>1058.499</c:v>
                </c:pt>
                <c:pt idx="5">
                  <c:v>1060.884</c:v>
                </c:pt>
                <c:pt idx="6">
                  <c:v>1057.202</c:v>
                </c:pt>
                <c:pt idx="7">
                  <c:v>1039.6980000000001</c:v>
                </c:pt>
                <c:pt idx="8">
                  <c:v>1029.8249999999998</c:v>
                </c:pt>
                <c:pt idx="9">
                  <c:v>1042.635</c:v>
                </c:pt>
                <c:pt idx="10">
                  <c:v>1063.7049999999999</c:v>
                </c:pt>
                <c:pt idx="11">
                  <c:v>1066.8059999999998</c:v>
                </c:pt>
                <c:pt idx="12">
                  <c:v>1055.925</c:v>
                </c:pt>
                <c:pt idx="13">
                  <c:v>1038.588</c:v>
                </c:pt>
                <c:pt idx="14">
                  <c:v>996.42399999999998</c:v>
                </c:pt>
                <c:pt idx="15">
                  <c:v>951.75300000000004</c:v>
                </c:pt>
                <c:pt idx="16">
                  <c:v>894.52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C0-4DC0-A6CB-32A6CC48263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lux_370_420_cct_2200_2400!$I$22:$Y$22</c:f>
              <c:numCache>
                <c:formatCode>General</c:formatCode>
                <c:ptCount val="17"/>
                <c:pt idx="0">
                  <c:v>877.33800000000008</c:v>
                </c:pt>
                <c:pt idx="1">
                  <c:v>944.16300000000001</c:v>
                </c:pt>
                <c:pt idx="2">
                  <c:v>992.25800000000004</c:v>
                </c:pt>
                <c:pt idx="3">
                  <c:v>1037.617</c:v>
                </c:pt>
                <c:pt idx="4">
                  <c:v>1047.5559999999998</c:v>
                </c:pt>
                <c:pt idx="5">
                  <c:v>1052.8599999999999</c:v>
                </c:pt>
                <c:pt idx="6">
                  <c:v>1049.904</c:v>
                </c:pt>
                <c:pt idx="7">
                  <c:v>1027.0260000000001</c:v>
                </c:pt>
                <c:pt idx="8">
                  <c:v>1027.0920000000001</c:v>
                </c:pt>
                <c:pt idx="9">
                  <c:v>1033.0319999999999</c:v>
                </c:pt>
                <c:pt idx="10">
                  <c:v>1061.316</c:v>
                </c:pt>
                <c:pt idx="11">
                  <c:v>1064.0790000000002</c:v>
                </c:pt>
                <c:pt idx="12">
                  <c:v>1058.9259999999999</c:v>
                </c:pt>
                <c:pt idx="13">
                  <c:v>1039.0820000000001</c:v>
                </c:pt>
                <c:pt idx="14">
                  <c:v>1001.557</c:v>
                </c:pt>
                <c:pt idx="15">
                  <c:v>951.96599999999989</c:v>
                </c:pt>
                <c:pt idx="16">
                  <c:v>878.85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C0-4DC0-A6CB-32A6CC48263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lux_370_420_cct_2200_2400!$I$23:$Y$23</c:f>
              <c:numCache>
                <c:formatCode>General</c:formatCode>
                <c:ptCount val="17"/>
                <c:pt idx="0">
                  <c:v>873.08399999999995</c:v>
                </c:pt>
                <c:pt idx="1">
                  <c:v>941.78700000000003</c:v>
                </c:pt>
                <c:pt idx="2">
                  <c:v>994.02800000000002</c:v>
                </c:pt>
                <c:pt idx="3">
                  <c:v>1031.3689999999999</c:v>
                </c:pt>
                <c:pt idx="4">
                  <c:v>1048.0409999999999</c:v>
                </c:pt>
                <c:pt idx="5">
                  <c:v>1055.6280000000002</c:v>
                </c:pt>
                <c:pt idx="6">
                  <c:v>1049.0700000000002</c:v>
                </c:pt>
                <c:pt idx="7">
                  <c:v>1028.28</c:v>
                </c:pt>
                <c:pt idx="8">
                  <c:v>1024.0229999999999</c:v>
                </c:pt>
                <c:pt idx="9">
                  <c:v>1038.1199999999999</c:v>
                </c:pt>
                <c:pt idx="10">
                  <c:v>1058.1310000000001</c:v>
                </c:pt>
                <c:pt idx="11">
                  <c:v>1063.4219999999998</c:v>
                </c:pt>
                <c:pt idx="12">
                  <c:v>1054.443</c:v>
                </c:pt>
                <c:pt idx="13">
                  <c:v>1037.316</c:v>
                </c:pt>
                <c:pt idx="14">
                  <c:v>993.74400000000003</c:v>
                </c:pt>
                <c:pt idx="15">
                  <c:v>946.31700000000001</c:v>
                </c:pt>
                <c:pt idx="16">
                  <c:v>887.68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C0-4DC0-A6CB-32A6CC48263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lux_370_420_cct_2200_2400!$I$24:$Y$24</c:f>
              <c:numCache>
                <c:formatCode>General</c:formatCode>
                <c:ptCount val="17"/>
                <c:pt idx="0">
                  <c:v>873.74099999999999</c:v>
                </c:pt>
                <c:pt idx="1">
                  <c:v>937.36500000000001</c:v>
                </c:pt>
                <c:pt idx="2">
                  <c:v>980.71199999999999</c:v>
                </c:pt>
                <c:pt idx="3">
                  <c:v>1025.088</c:v>
                </c:pt>
                <c:pt idx="4">
                  <c:v>1050.672</c:v>
                </c:pt>
                <c:pt idx="5">
                  <c:v>1053.828</c:v>
                </c:pt>
                <c:pt idx="6">
                  <c:v>1052.163</c:v>
                </c:pt>
                <c:pt idx="7">
                  <c:v>1046.0539999999999</c:v>
                </c:pt>
                <c:pt idx="8">
                  <c:v>1048.953</c:v>
                </c:pt>
                <c:pt idx="9">
                  <c:v>1049.77</c:v>
                </c:pt>
                <c:pt idx="10">
                  <c:v>1060.0740000000001</c:v>
                </c:pt>
                <c:pt idx="11">
                  <c:v>1056.2919999999999</c:v>
                </c:pt>
                <c:pt idx="12">
                  <c:v>1053.702</c:v>
                </c:pt>
                <c:pt idx="13">
                  <c:v>1036.6400000000001</c:v>
                </c:pt>
                <c:pt idx="14">
                  <c:v>988.93599999999992</c:v>
                </c:pt>
                <c:pt idx="15">
                  <c:v>942.17200000000003</c:v>
                </c:pt>
                <c:pt idx="16">
                  <c:v>875.19299999999998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C0-4DC0-A6CB-32A6CC48263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lux_370_420_cct_2200_2400!$I$25:$Y$25</c:f>
              <c:numCache>
                <c:formatCode>General</c:formatCode>
                <c:ptCount val="17"/>
                <c:pt idx="0">
                  <c:v>863.67399999999998</c:v>
                </c:pt>
                <c:pt idx="1">
                  <c:v>912.47899999999993</c:v>
                </c:pt>
                <c:pt idx="2">
                  <c:v>962.96199999999988</c:v>
                </c:pt>
                <c:pt idx="3">
                  <c:v>1011.816</c:v>
                </c:pt>
                <c:pt idx="4">
                  <c:v>1038.4349999999999</c:v>
                </c:pt>
                <c:pt idx="5">
                  <c:v>1051.2</c:v>
                </c:pt>
                <c:pt idx="6">
                  <c:v>1047.5360000000001</c:v>
                </c:pt>
                <c:pt idx="7">
                  <c:v>1052.424</c:v>
                </c:pt>
                <c:pt idx="8">
                  <c:v>1053.7230000000002</c:v>
                </c:pt>
                <c:pt idx="9">
                  <c:v>1052.424</c:v>
                </c:pt>
                <c:pt idx="10">
                  <c:v>1048.3319999999999</c:v>
                </c:pt>
                <c:pt idx="11">
                  <c:v>1051.93</c:v>
                </c:pt>
                <c:pt idx="12">
                  <c:v>1041.0229999999999</c:v>
                </c:pt>
                <c:pt idx="13">
                  <c:v>1008.995</c:v>
                </c:pt>
                <c:pt idx="14">
                  <c:v>971.62</c:v>
                </c:pt>
                <c:pt idx="15">
                  <c:v>920.65899999999999</c:v>
                </c:pt>
                <c:pt idx="16">
                  <c:v>870.87700000000007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7C0-4DC0-A6CB-32A6CC48263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lux_370_420_cct_2200_2400!$I$26:$Y$26</c:f>
              <c:numCache>
                <c:formatCode>General</c:formatCode>
                <c:ptCount val="17"/>
                <c:pt idx="0">
                  <c:v>859.06999999999994</c:v>
                </c:pt>
                <c:pt idx="1">
                  <c:v>891.87199999999996</c:v>
                </c:pt>
                <c:pt idx="2">
                  <c:v>931.24699999999996</c:v>
                </c:pt>
                <c:pt idx="3">
                  <c:v>983.38799999999992</c:v>
                </c:pt>
                <c:pt idx="4">
                  <c:v>1008.55</c:v>
                </c:pt>
                <c:pt idx="5">
                  <c:v>1039.0820000000001</c:v>
                </c:pt>
                <c:pt idx="6">
                  <c:v>1045.278</c:v>
                </c:pt>
                <c:pt idx="7">
                  <c:v>1048.5150000000001</c:v>
                </c:pt>
                <c:pt idx="8">
                  <c:v>1044.528</c:v>
                </c:pt>
                <c:pt idx="9">
                  <c:v>1047.7739999999999</c:v>
                </c:pt>
                <c:pt idx="10">
                  <c:v>1045.98</c:v>
                </c:pt>
                <c:pt idx="11">
                  <c:v>1032.01</c:v>
                </c:pt>
                <c:pt idx="12">
                  <c:v>1012</c:v>
                </c:pt>
                <c:pt idx="13">
                  <c:v>977.32900000000006</c:v>
                </c:pt>
                <c:pt idx="14">
                  <c:v>936.05399999999997</c:v>
                </c:pt>
                <c:pt idx="15">
                  <c:v>897.51200000000006</c:v>
                </c:pt>
                <c:pt idx="16">
                  <c:v>863.19099999999992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C0-4DC0-A6CB-32A6CC48263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lux_370_420_cct_2200_2400!$I$27:$Y$27</c:f>
              <c:numCache>
                <c:formatCode>General</c:formatCode>
                <c:ptCount val="17"/>
                <c:pt idx="0">
                  <c:v>850.01099999999997</c:v>
                </c:pt>
                <c:pt idx="1">
                  <c:v>884.94</c:v>
                </c:pt>
                <c:pt idx="2">
                  <c:v>903.9</c:v>
                </c:pt>
                <c:pt idx="3">
                  <c:v>943.93600000000015</c:v>
                </c:pt>
                <c:pt idx="4">
                  <c:v>975.31700000000001</c:v>
                </c:pt>
                <c:pt idx="5">
                  <c:v>1004.5229999999999</c:v>
                </c:pt>
                <c:pt idx="6">
                  <c:v>1020.276</c:v>
                </c:pt>
                <c:pt idx="7">
                  <c:v>1034.136</c:v>
                </c:pt>
                <c:pt idx="8">
                  <c:v>1030.087</c:v>
                </c:pt>
                <c:pt idx="9">
                  <c:v>1037.952</c:v>
                </c:pt>
                <c:pt idx="10">
                  <c:v>1028.7180000000001</c:v>
                </c:pt>
                <c:pt idx="11">
                  <c:v>1012.908</c:v>
                </c:pt>
                <c:pt idx="12">
                  <c:v>981.35300000000007</c:v>
                </c:pt>
                <c:pt idx="13">
                  <c:v>947.5200000000001</c:v>
                </c:pt>
                <c:pt idx="14">
                  <c:v>904.29300000000001</c:v>
                </c:pt>
                <c:pt idx="15">
                  <c:v>883.91099999999994</c:v>
                </c:pt>
                <c:pt idx="16">
                  <c:v>841.572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7C0-4DC0-A6CB-32A6CC48263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lux_370_420_cct_2200_2400!$I$28:$Y$28</c:f>
              <c:numCache>
                <c:formatCode>General</c:formatCode>
                <c:ptCount val="17"/>
                <c:pt idx="0">
                  <c:v>832.55500000000006</c:v>
                </c:pt>
                <c:pt idx="1">
                  <c:v>849.45900000000006</c:v>
                </c:pt>
                <c:pt idx="2">
                  <c:v>870.23199999999997</c:v>
                </c:pt>
                <c:pt idx="3">
                  <c:v>902.86900000000003</c:v>
                </c:pt>
                <c:pt idx="4">
                  <c:v>930.07200000000012</c:v>
                </c:pt>
                <c:pt idx="5">
                  <c:v>954.57</c:v>
                </c:pt>
                <c:pt idx="6">
                  <c:v>976.48199999999997</c:v>
                </c:pt>
                <c:pt idx="7">
                  <c:v>979.125</c:v>
                </c:pt>
                <c:pt idx="8">
                  <c:v>995.30000000000007</c:v>
                </c:pt>
                <c:pt idx="9">
                  <c:v>985.42499999999995</c:v>
                </c:pt>
                <c:pt idx="10">
                  <c:v>987.63599999999997</c:v>
                </c:pt>
                <c:pt idx="11">
                  <c:v>966.32</c:v>
                </c:pt>
                <c:pt idx="12">
                  <c:v>938.22299999999996</c:v>
                </c:pt>
                <c:pt idx="13">
                  <c:v>907.53700000000003</c:v>
                </c:pt>
                <c:pt idx="14">
                  <c:v>868.86800000000005</c:v>
                </c:pt>
                <c:pt idx="15">
                  <c:v>835.70499999999993</c:v>
                </c:pt>
                <c:pt idx="16">
                  <c:v>804.31000000000006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7C0-4DC0-A6CB-32A6CC48263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lux_370_420_cct_2200_2400!$I$30:$Y$30</c:f>
              <c:numCache>
                <c:formatCode>General</c:formatCode>
                <c:ptCount val="17"/>
                <c:pt idx="0">
                  <c:v>782.06999999999994</c:v>
                </c:pt>
                <c:pt idx="1">
                  <c:v>843.3359999999999</c:v>
                </c:pt>
                <c:pt idx="2">
                  <c:v>882.87600000000009</c:v>
                </c:pt>
                <c:pt idx="3">
                  <c:v>914.14800000000002</c:v>
                </c:pt>
                <c:pt idx="4">
                  <c:v>938.00699999999995</c:v>
                </c:pt>
                <c:pt idx="5">
                  <c:v>966.48299999999995</c:v>
                </c:pt>
                <c:pt idx="6">
                  <c:v>984.19999999999993</c:v>
                </c:pt>
                <c:pt idx="7">
                  <c:v>1004.0939999999999</c:v>
                </c:pt>
                <c:pt idx="8">
                  <c:v>999.72899999999993</c:v>
                </c:pt>
                <c:pt idx="9">
                  <c:v>1004.6400000000001</c:v>
                </c:pt>
                <c:pt idx="10">
                  <c:v>985.75400000000002</c:v>
                </c:pt>
                <c:pt idx="11">
                  <c:v>966.96599999999989</c:v>
                </c:pt>
                <c:pt idx="12">
                  <c:v>938.44800000000009</c:v>
                </c:pt>
                <c:pt idx="13">
                  <c:v>916.15800000000002</c:v>
                </c:pt>
                <c:pt idx="14">
                  <c:v>889.60199999999998</c:v>
                </c:pt>
                <c:pt idx="15">
                  <c:v>847.31400000000008</c:v>
                </c:pt>
                <c:pt idx="16">
                  <c:v>781.02199999999993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A-49A8-85B9-729E272E9A3F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lux_370_420_cct_2200_2400!$I$31:$Y$31</c:f>
              <c:numCache>
                <c:formatCode>General</c:formatCode>
                <c:ptCount val="17"/>
                <c:pt idx="0">
                  <c:v>840.99</c:v>
                </c:pt>
                <c:pt idx="1">
                  <c:v>879.10900000000004</c:v>
                </c:pt>
                <c:pt idx="2">
                  <c:v>909.43000000000006</c:v>
                </c:pt>
                <c:pt idx="3">
                  <c:v>951.30000000000007</c:v>
                </c:pt>
                <c:pt idx="4">
                  <c:v>998.18799999999999</c:v>
                </c:pt>
                <c:pt idx="5">
                  <c:v>1020.276</c:v>
                </c:pt>
                <c:pt idx="6">
                  <c:v>1046.8700000000001</c:v>
                </c:pt>
                <c:pt idx="7">
                  <c:v>1051.8810000000001</c:v>
                </c:pt>
                <c:pt idx="8">
                  <c:v>1057.8600000000001</c:v>
                </c:pt>
                <c:pt idx="9">
                  <c:v>1051.8810000000001</c:v>
                </c:pt>
                <c:pt idx="10">
                  <c:v>1049.326</c:v>
                </c:pt>
                <c:pt idx="11">
                  <c:v>1023.096</c:v>
                </c:pt>
                <c:pt idx="12">
                  <c:v>1003.328</c:v>
                </c:pt>
                <c:pt idx="13">
                  <c:v>956.73599999999999</c:v>
                </c:pt>
                <c:pt idx="14">
                  <c:v>917.78800000000001</c:v>
                </c:pt>
                <c:pt idx="15">
                  <c:v>885.28300000000002</c:v>
                </c:pt>
                <c:pt idx="16">
                  <c:v>837.20699999999988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A-49A8-85B9-729E272E9A3F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lux_370_420_cct_2200_2400!$I$32:$Y$32</c:f>
              <c:numCache>
                <c:formatCode>General</c:formatCode>
                <c:ptCount val="17"/>
                <c:pt idx="0">
                  <c:v>856.17</c:v>
                </c:pt>
                <c:pt idx="1">
                  <c:v>904.95800000000008</c:v>
                </c:pt>
                <c:pt idx="2">
                  <c:v>939.69200000000001</c:v>
                </c:pt>
                <c:pt idx="3">
                  <c:v>984.91500000000008</c:v>
                </c:pt>
                <c:pt idx="4">
                  <c:v>1024.3029999999999</c:v>
                </c:pt>
                <c:pt idx="5">
                  <c:v>1057.2070000000001</c:v>
                </c:pt>
                <c:pt idx="6">
                  <c:v>1064.8320000000001</c:v>
                </c:pt>
                <c:pt idx="7">
                  <c:v>1071.9449999999999</c:v>
                </c:pt>
                <c:pt idx="8">
                  <c:v>1079.645</c:v>
                </c:pt>
                <c:pt idx="9">
                  <c:v>1075.68</c:v>
                </c:pt>
                <c:pt idx="10">
                  <c:v>1074.7439999999999</c:v>
                </c:pt>
                <c:pt idx="11">
                  <c:v>1066.3489999999999</c:v>
                </c:pt>
                <c:pt idx="12">
                  <c:v>1033.018</c:v>
                </c:pt>
                <c:pt idx="13">
                  <c:v>994.58600000000001</c:v>
                </c:pt>
                <c:pt idx="14">
                  <c:v>947.2059999999999</c:v>
                </c:pt>
                <c:pt idx="15">
                  <c:v>909.92400000000009</c:v>
                </c:pt>
                <c:pt idx="16">
                  <c:v>874.68400000000008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A-49A8-85B9-729E272E9A3F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lux_370_420_cct_2200_2400!$I$33:$Y$33</c:f>
              <c:numCache>
                <c:formatCode>General</c:formatCode>
                <c:ptCount val="17"/>
                <c:pt idx="0">
                  <c:v>869.505</c:v>
                </c:pt>
                <c:pt idx="1">
                  <c:v>915.75099999999998</c:v>
                </c:pt>
                <c:pt idx="2">
                  <c:v>965.84799999999996</c:v>
                </c:pt>
                <c:pt idx="3">
                  <c:v>1015.2</c:v>
                </c:pt>
                <c:pt idx="4">
                  <c:v>1044.905</c:v>
                </c:pt>
                <c:pt idx="5">
                  <c:v>1068.69</c:v>
                </c:pt>
                <c:pt idx="6">
                  <c:v>1068.2640000000001</c:v>
                </c:pt>
                <c:pt idx="7">
                  <c:v>1077.78</c:v>
                </c:pt>
                <c:pt idx="8">
                  <c:v>1081.528</c:v>
                </c:pt>
                <c:pt idx="9">
                  <c:v>1083.7439999999999</c:v>
                </c:pt>
                <c:pt idx="10">
                  <c:v>1081.8979999999999</c:v>
                </c:pt>
                <c:pt idx="11">
                  <c:v>1074.56</c:v>
                </c:pt>
                <c:pt idx="12">
                  <c:v>1056.5509999999999</c:v>
                </c:pt>
                <c:pt idx="13">
                  <c:v>1025.9159999999999</c:v>
                </c:pt>
                <c:pt idx="14">
                  <c:v>973.0630000000001</c:v>
                </c:pt>
                <c:pt idx="15">
                  <c:v>918.20500000000004</c:v>
                </c:pt>
                <c:pt idx="16">
                  <c:v>883.4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2A-49A8-85B9-729E272E9A3F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lux_370_420_cct_2200_2400!$I$34:$Y$34</c:f>
              <c:numCache>
                <c:formatCode>General</c:formatCode>
                <c:ptCount val="17"/>
                <c:pt idx="0">
                  <c:v>870.83699999999999</c:v>
                </c:pt>
                <c:pt idx="1">
                  <c:v>934.30599999999993</c:v>
                </c:pt>
                <c:pt idx="2">
                  <c:v>992.68000000000006</c:v>
                </c:pt>
                <c:pt idx="3">
                  <c:v>1031.1679999999999</c:v>
                </c:pt>
                <c:pt idx="4">
                  <c:v>1060.5840000000001</c:v>
                </c:pt>
                <c:pt idx="5">
                  <c:v>1065.8579999999999</c:v>
                </c:pt>
                <c:pt idx="6">
                  <c:v>1065.348</c:v>
                </c:pt>
                <c:pt idx="7">
                  <c:v>1069.6399999999999</c:v>
                </c:pt>
                <c:pt idx="8">
                  <c:v>1067.973</c:v>
                </c:pt>
                <c:pt idx="9">
                  <c:v>1073.3799999999999</c:v>
                </c:pt>
                <c:pt idx="10">
                  <c:v>1072.3799999999999</c:v>
                </c:pt>
                <c:pt idx="11">
                  <c:v>1074.68</c:v>
                </c:pt>
                <c:pt idx="12">
                  <c:v>1060.02</c:v>
                </c:pt>
                <c:pt idx="13">
                  <c:v>1039.68</c:v>
                </c:pt>
                <c:pt idx="14">
                  <c:v>990.99199999999996</c:v>
                </c:pt>
                <c:pt idx="15">
                  <c:v>942.60900000000004</c:v>
                </c:pt>
                <c:pt idx="16">
                  <c:v>873.74099999999999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2A-49A8-85B9-729E272E9A3F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lux_370_420_cct_2200_2400!$I$35:$Y$35</c:f>
              <c:numCache>
                <c:formatCode>General</c:formatCode>
                <c:ptCount val="17"/>
                <c:pt idx="0">
                  <c:v>888.06000000000006</c:v>
                </c:pt>
                <c:pt idx="1">
                  <c:v>941.33399999999995</c:v>
                </c:pt>
                <c:pt idx="2">
                  <c:v>986.24</c:v>
                </c:pt>
                <c:pt idx="3">
                  <c:v>1031.5920000000001</c:v>
                </c:pt>
                <c:pt idx="4">
                  <c:v>1059.9929999999999</c:v>
                </c:pt>
                <c:pt idx="5">
                  <c:v>1063.4219999999998</c:v>
                </c:pt>
                <c:pt idx="6">
                  <c:v>1059.06</c:v>
                </c:pt>
                <c:pt idx="7">
                  <c:v>1045.008</c:v>
                </c:pt>
                <c:pt idx="8">
                  <c:v>1036.0349999999999</c:v>
                </c:pt>
                <c:pt idx="9">
                  <c:v>1047.96</c:v>
                </c:pt>
                <c:pt idx="10">
                  <c:v>1064.634</c:v>
                </c:pt>
                <c:pt idx="11">
                  <c:v>1066.8059999999998</c:v>
                </c:pt>
                <c:pt idx="12">
                  <c:v>1055.925</c:v>
                </c:pt>
                <c:pt idx="13">
                  <c:v>1038.588</c:v>
                </c:pt>
                <c:pt idx="14">
                  <c:v>996.42399999999998</c:v>
                </c:pt>
                <c:pt idx="15">
                  <c:v>951.30000000000007</c:v>
                </c:pt>
                <c:pt idx="16">
                  <c:v>893.76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2A-49A8-85B9-729E272E9A3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lux_370_420_cct_2200_2400!$I$36:$Y$36</c:f>
              <c:numCache>
                <c:formatCode>General</c:formatCode>
                <c:ptCount val="17"/>
                <c:pt idx="0">
                  <c:v>878.09399999999994</c:v>
                </c:pt>
                <c:pt idx="1">
                  <c:v>945.08100000000013</c:v>
                </c:pt>
                <c:pt idx="2">
                  <c:v>993.35199999999998</c:v>
                </c:pt>
                <c:pt idx="3">
                  <c:v>1030.0240000000001</c:v>
                </c:pt>
                <c:pt idx="4">
                  <c:v>1049.0719999999999</c:v>
                </c:pt>
                <c:pt idx="5">
                  <c:v>1055.4490000000001</c:v>
                </c:pt>
                <c:pt idx="6">
                  <c:v>1046.2760000000001</c:v>
                </c:pt>
                <c:pt idx="7">
                  <c:v>1028.0269999999998</c:v>
                </c:pt>
                <c:pt idx="8">
                  <c:v>1028.1149999999998</c:v>
                </c:pt>
                <c:pt idx="9">
                  <c:v>1033.0319999999999</c:v>
                </c:pt>
                <c:pt idx="10">
                  <c:v>1055.7360000000001</c:v>
                </c:pt>
                <c:pt idx="11">
                  <c:v>1057.538</c:v>
                </c:pt>
                <c:pt idx="12">
                  <c:v>1050.5440000000001</c:v>
                </c:pt>
                <c:pt idx="13">
                  <c:v>1039.0820000000001</c:v>
                </c:pt>
                <c:pt idx="14">
                  <c:v>992.40199999999993</c:v>
                </c:pt>
                <c:pt idx="15">
                  <c:v>951.50699999999995</c:v>
                </c:pt>
                <c:pt idx="16">
                  <c:v>878.09399999999994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2A-49A8-85B9-729E272E9A3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lux_370_420_cct_2200_2400!$I$37:$Y$37</c:f>
              <c:numCache>
                <c:formatCode>General</c:formatCode>
                <c:ptCount val="17"/>
                <c:pt idx="0">
                  <c:v>873.08399999999995</c:v>
                </c:pt>
                <c:pt idx="1">
                  <c:v>942.24</c:v>
                </c:pt>
                <c:pt idx="2">
                  <c:v>983.56</c:v>
                </c:pt>
                <c:pt idx="3">
                  <c:v>1024.596</c:v>
                </c:pt>
                <c:pt idx="4">
                  <c:v>1041.105</c:v>
                </c:pt>
                <c:pt idx="5">
                  <c:v>1049.8860000000002</c:v>
                </c:pt>
                <c:pt idx="6">
                  <c:v>1043.2670000000001</c:v>
                </c:pt>
                <c:pt idx="7">
                  <c:v>1028.28</c:v>
                </c:pt>
                <c:pt idx="8">
                  <c:v>1024.0229999999999</c:v>
                </c:pt>
                <c:pt idx="9">
                  <c:v>1037.136</c:v>
                </c:pt>
                <c:pt idx="10">
                  <c:v>1051.297</c:v>
                </c:pt>
                <c:pt idx="11">
                  <c:v>1057.1369999999999</c:v>
                </c:pt>
                <c:pt idx="12">
                  <c:v>1054.443</c:v>
                </c:pt>
                <c:pt idx="13">
                  <c:v>1027.53</c:v>
                </c:pt>
                <c:pt idx="14">
                  <c:v>993.20799999999997</c:v>
                </c:pt>
                <c:pt idx="15">
                  <c:v>935.42399999999998</c:v>
                </c:pt>
                <c:pt idx="16">
                  <c:v>872.54200000000003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2A-49A8-85B9-729E272E9A3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lux_370_420_cct_2200_2400!$I$38:$Y$38</c:f>
              <c:numCache>
                <c:formatCode>General</c:formatCode>
                <c:ptCount val="17"/>
                <c:pt idx="0">
                  <c:v>873.74099999999999</c:v>
                </c:pt>
                <c:pt idx="1">
                  <c:v>937.36500000000001</c:v>
                </c:pt>
                <c:pt idx="2">
                  <c:v>980.71199999999999</c:v>
                </c:pt>
                <c:pt idx="3">
                  <c:v>1016.658</c:v>
                </c:pt>
                <c:pt idx="4">
                  <c:v>1041.768</c:v>
                </c:pt>
                <c:pt idx="5">
                  <c:v>1045.944</c:v>
                </c:pt>
                <c:pt idx="6">
                  <c:v>1046.1780000000001</c:v>
                </c:pt>
                <c:pt idx="7">
                  <c:v>1038.375</c:v>
                </c:pt>
                <c:pt idx="8">
                  <c:v>1042.4920000000002</c:v>
                </c:pt>
                <c:pt idx="9">
                  <c:v>1042.067</c:v>
                </c:pt>
                <c:pt idx="10">
                  <c:v>1052.296</c:v>
                </c:pt>
                <c:pt idx="11">
                  <c:v>1048.866</c:v>
                </c:pt>
                <c:pt idx="12">
                  <c:v>1045.5</c:v>
                </c:pt>
                <c:pt idx="13">
                  <c:v>1026.9090000000001</c:v>
                </c:pt>
                <c:pt idx="14">
                  <c:v>978.298</c:v>
                </c:pt>
                <c:pt idx="15">
                  <c:v>928.37399999999991</c:v>
                </c:pt>
                <c:pt idx="16">
                  <c:v>878.55500000000006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2A-49A8-85B9-729E272E9A3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lux_370_420_cct_2200_2400!$I$39:$Y$39</c:f>
              <c:numCache>
                <c:formatCode>General</c:formatCode>
                <c:ptCount val="17"/>
                <c:pt idx="0">
                  <c:v>843.19499999999994</c:v>
                </c:pt>
                <c:pt idx="1">
                  <c:v>911.66100000000006</c:v>
                </c:pt>
                <c:pt idx="2">
                  <c:v>952.476</c:v>
                </c:pt>
                <c:pt idx="3">
                  <c:v>1002.2869999999999</c:v>
                </c:pt>
                <c:pt idx="4">
                  <c:v>1028.164</c:v>
                </c:pt>
                <c:pt idx="5">
                  <c:v>1041.836</c:v>
                </c:pt>
                <c:pt idx="6">
                  <c:v>1046.74</c:v>
                </c:pt>
                <c:pt idx="7">
                  <c:v>1045.3630000000001</c:v>
                </c:pt>
                <c:pt idx="8">
                  <c:v>1043.826</c:v>
                </c:pt>
                <c:pt idx="9">
                  <c:v>1044.5219999999999</c:v>
                </c:pt>
                <c:pt idx="10">
                  <c:v>1040.165</c:v>
                </c:pt>
                <c:pt idx="11">
                  <c:v>1034.6410000000001</c:v>
                </c:pt>
                <c:pt idx="12">
                  <c:v>1022.052</c:v>
                </c:pt>
                <c:pt idx="13">
                  <c:v>996.50599999999997</c:v>
                </c:pt>
                <c:pt idx="14">
                  <c:v>960.09199999999998</c:v>
                </c:pt>
                <c:pt idx="15">
                  <c:v>907.78800000000001</c:v>
                </c:pt>
                <c:pt idx="16">
                  <c:v>874.2299999999999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2A-49A8-85B9-729E272E9A3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lux_370_420_cct_2200_2400!$I$40:$Y$40</c:f>
              <c:numCache>
                <c:formatCode>General</c:formatCode>
                <c:ptCount val="17"/>
                <c:pt idx="0">
                  <c:v>858.43600000000004</c:v>
                </c:pt>
                <c:pt idx="1">
                  <c:v>891.12</c:v>
                </c:pt>
                <c:pt idx="2">
                  <c:v>930.37300000000005</c:v>
                </c:pt>
                <c:pt idx="3">
                  <c:v>971.29300000000001</c:v>
                </c:pt>
                <c:pt idx="4">
                  <c:v>999.78</c:v>
                </c:pt>
                <c:pt idx="5">
                  <c:v>1028.8050000000001</c:v>
                </c:pt>
                <c:pt idx="6">
                  <c:v>1036.4390000000001</c:v>
                </c:pt>
                <c:pt idx="7">
                  <c:v>1037.82</c:v>
                </c:pt>
                <c:pt idx="8">
                  <c:v>1035.3419999999999</c:v>
                </c:pt>
                <c:pt idx="9">
                  <c:v>1037.085</c:v>
                </c:pt>
                <c:pt idx="10">
                  <c:v>1037.136</c:v>
                </c:pt>
                <c:pt idx="11">
                  <c:v>1022.052</c:v>
                </c:pt>
                <c:pt idx="12">
                  <c:v>1001.4899999999999</c:v>
                </c:pt>
                <c:pt idx="13">
                  <c:v>965.62200000000007</c:v>
                </c:pt>
                <c:pt idx="14">
                  <c:v>921.90899999999988</c:v>
                </c:pt>
                <c:pt idx="15">
                  <c:v>881.71</c:v>
                </c:pt>
                <c:pt idx="16">
                  <c:v>866.72300000000007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2A-49A8-85B9-729E272E9A3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lux_370_420_cct_2200_2400!$I$41:$Y$41</c:f>
              <c:numCache>
                <c:formatCode>General</c:formatCode>
                <c:ptCount val="17"/>
                <c:pt idx="0">
                  <c:v>854.97400000000005</c:v>
                </c:pt>
                <c:pt idx="1">
                  <c:v>868.78599999999994</c:v>
                </c:pt>
                <c:pt idx="2">
                  <c:v>903.11400000000003</c:v>
                </c:pt>
                <c:pt idx="3">
                  <c:v>930.41</c:v>
                </c:pt>
                <c:pt idx="4">
                  <c:v>965.12400000000002</c:v>
                </c:pt>
                <c:pt idx="5">
                  <c:v>993.18799999999999</c:v>
                </c:pt>
                <c:pt idx="6">
                  <c:v>1008.93</c:v>
                </c:pt>
                <c:pt idx="7">
                  <c:v>1023.1200000000001</c:v>
                </c:pt>
                <c:pt idx="8">
                  <c:v>1020.144</c:v>
                </c:pt>
                <c:pt idx="9">
                  <c:v>1026.27</c:v>
                </c:pt>
                <c:pt idx="10">
                  <c:v>1016.691</c:v>
                </c:pt>
                <c:pt idx="11">
                  <c:v>1000.377</c:v>
                </c:pt>
                <c:pt idx="12">
                  <c:v>970.10399999999993</c:v>
                </c:pt>
                <c:pt idx="13">
                  <c:v>933.06200000000013</c:v>
                </c:pt>
                <c:pt idx="14">
                  <c:v>888.93900000000008</c:v>
                </c:pt>
                <c:pt idx="15">
                  <c:v>866.42700000000002</c:v>
                </c:pt>
                <c:pt idx="16">
                  <c:v>845.30499999999995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2A-49A8-85B9-729E272E9A3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lux_370_420_cct_2200_2400!$I$42:$Y$42</c:f>
              <c:numCache>
                <c:formatCode>General</c:formatCode>
                <c:ptCount val="17"/>
                <c:pt idx="0">
                  <c:v>837.66100000000006</c:v>
                </c:pt>
                <c:pt idx="1">
                  <c:v>851.4</c:v>
                </c:pt>
                <c:pt idx="2">
                  <c:v>869.20899999999995</c:v>
                </c:pt>
                <c:pt idx="3">
                  <c:v>888.56</c:v>
                </c:pt>
                <c:pt idx="4">
                  <c:v>933.54599999999994</c:v>
                </c:pt>
                <c:pt idx="5">
                  <c:v>941.4559999999999</c:v>
                </c:pt>
                <c:pt idx="6">
                  <c:v>963.92399999999998</c:v>
                </c:pt>
                <c:pt idx="7">
                  <c:v>968.24</c:v>
                </c:pt>
                <c:pt idx="8">
                  <c:v>984.45100000000002</c:v>
                </c:pt>
                <c:pt idx="9">
                  <c:v>974.48</c:v>
                </c:pt>
                <c:pt idx="10">
                  <c:v>974.94600000000003</c:v>
                </c:pt>
                <c:pt idx="11">
                  <c:v>952.59199999999998</c:v>
                </c:pt>
                <c:pt idx="12">
                  <c:v>926.01600000000008</c:v>
                </c:pt>
                <c:pt idx="13">
                  <c:v>892.00700000000006</c:v>
                </c:pt>
                <c:pt idx="14">
                  <c:v>872.24900000000002</c:v>
                </c:pt>
                <c:pt idx="15">
                  <c:v>836.7</c:v>
                </c:pt>
                <c:pt idx="16">
                  <c:v>787.77599999999995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2A-49A8-85B9-729E272E9A3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lux_370_420_cct_2200_2400!$I$44:$Y$44</c:f>
              <c:numCache>
                <c:formatCode>General</c:formatCode>
                <c:ptCount val="17"/>
                <c:pt idx="0">
                  <c:v>749.42</c:v>
                </c:pt>
                <c:pt idx="1">
                  <c:v>814.82</c:v>
                </c:pt>
                <c:pt idx="2">
                  <c:v>837.05600000000004</c:v>
                </c:pt>
                <c:pt idx="3">
                  <c:v>889.16599999999994</c:v>
                </c:pt>
                <c:pt idx="4">
                  <c:v>918.23599999999999</c:v>
                </c:pt>
                <c:pt idx="5">
                  <c:v>914.40899999999999</c:v>
                </c:pt>
                <c:pt idx="6">
                  <c:v>952.90600000000006</c:v>
                </c:pt>
                <c:pt idx="7">
                  <c:v>964.23599999999999</c:v>
                </c:pt>
                <c:pt idx="8">
                  <c:v>974.75</c:v>
                </c:pt>
                <c:pt idx="9">
                  <c:v>966.42</c:v>
                </c:pt>
                <c:pt idx="10">
                  <c:v>956.56700000000001</c:v>
                </c:pt>
                <c:pt idx="11">
                  <c:v>916.79399999999998</c:v>
                </c:pt>
                <c:pt idx="12">
                  <c:v>921.39300000000003</c:v>
                </c:pt>
                <c:pt idx="13">
                  <c:v>861.28399999999999</c:v>
                </c:pt>
                <c:pt idx="14">
                  <c:v>848.67200000000003</c:v>
                </c:pt>
                <c:pt idx="15">
                  <c:v>824.4609999999999</c:v>
                </c:pt>
                <c:pt idx="16">
                  <c:v>754.71999999999991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3-4F10-AC9C-323507A457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lux_370_420_cct_2200_2400!$I$45:$Y$45</c:f>
              <c:numCache>
                <c:formatCode>General</c:formatCode>
                <c:ptCount val="17"/>
                <c:pt idx="0">
                  <c:v>821.4</c:v>
                </c:pt>
                <c:pt idx="1">
                  <c:v>839.88300000000004</c:v>
                </c:pt>
                <c:pt idx="2">
                  <c:v>876.79399999999998</c:v>
                </c:pt>
                <c:pt idx="3">
                  <c:v>922.74</c:v>
                </c:pt>
                <c:pt idx="4">
                  <c:v>961.024</c:v>
                </c:pt>
                <c:pt idx="5">
                  <c:v>992.86400000000003</c:v>
                </c:pt>
                <c:pt idx="6">
                  <c:v>1013.7140000000001</c:v>
                </c:pt>
                <c:pt idx="7">
                  <c:v>1016.015</c:v>
                </c:pt>
                <c:pt idx="8">
                  <c:v>1021.896</c:v>
                </c:pt>
                <c:pt idx="9">
                  <c:v>1016.015</c:v>
                </c:pt>
                <c:pt idx="10">
                  <c:v>1018.0119999999999</c:v>
                </c:pt>
                <c:pt idx="11">
                  <c:v>998.54399999999998</c:v>
                </c:pt>
                <c:pt idx="12">
                  <c:v>969.72799999999995</c:v>
                </c:pt>
                <c:pt idx="13">
                  <c:v>932.74999999999989</c:v>
                </c:pt>
                <c:pt idx="14">
                  <c:v>889.92800000000011</c:v>
                </c:pt>
                <c:pt idx="15">
                  <c:v>851.47699999999998</c:v>
                </c:pt>
                <c:pt idx="16">
                  <c:v>820.21600000000001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3-4F10-AC9C-323507A457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lux_370_420_cct_2200_2400!$I$46:$Y$46</c:f>
              <c:numCache>
                <c:formatCode>General</c:formatCode>
                <c:ptCount val="17"/>
                <c:pt idx="0">
                  <c:v>823.93600000000004</c:v>
                </c:pt>
                <c:pt idx="1">
                  <c:v>859.125</c:v>
                </c:pt>
                <c:pt idx="2">
                  <c:v>913.02300000000002</c:v>
                </c:pt>
                <c:pt idx="3">
                  <c:v>961.024</c:v>
                </c:pt>
                <c:pt idx="4">
                  <c:v>991.22</c:v>
                </c:pt>
                <c:pt idx="5">
                  <c:v>1015.4159999999999</c:v>
                </c:pt>
                <c:pt idx="6">
                  <c:v>1030.71</c:v>
                </c:pt>
                <c:pt idx="7">
                  <c:v>1050.75</c:v>
                </c:pt>
                <c:pt idx="8">
                  <c:v>1056.1319999999998</c:v>
                </c:pt>
                <c:pt idx="9">
                  <c:v>1056.75</c:v>
                </c:pt>
                <c:pt idx="10">
                  <c:v>1043.4000000000001</c:v>
                </c:pt>
                <c:pt idx="11">
                  <c:v>1029.672</c:v>
                </c:pt>
                <c:pt idx="12">
                  <c:v>1006.3000000000001</c:v>
                </c:pt>
                <c:pt idx="13">
                  <c:v>977.40800000000002</c:v>
                </c:pt>
                <c:pt idx="14">
                  <c:v>927.64199999999994</c:v>
                </c:pt>
                <c:pt idx="15">
                  <c:v>869.25</c:v>
                </c:pt>
                <c:pt idx="16">
                  <c:v>822.3660000000001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3-4F10-AC9C-323507A457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lux_370_420_cct_2200_2400!$I$47:$Y$47</c:f>
              <c:numCache>
                <c:formatCode>General</c:formatCode>
                <c:ptCount val="17"/>
                <c:pt idx="0">
                  <c:v>858.19100000000003</c:v>
                </c:pt>
                <c:pt idx="1">
                  <c:v>889.57499999999993</c:v>
                </c:pt>
                <c:pt idx="2">
                  <c:v>954.52800000000002</c:v>
                </c:pt>
                <c:pt idx="3">
                  <c:v>993.43200000000002</c:v>
                </c:pt>
                <c:pt idx="4">
                  <c:v>1014.12</c:v>
                </c:pt>
                <c:pt idx="5">
                  <c:v>1041.251</c:v>
                </c:pt>
                <c:pt idx="6">
                  <c:v>1045.8720000000001</c:v>
                </c:pt>
                <c:pt idx="7">
                  <c:v>1056.0139999999999</c:v>
                </c:pt>
                <c:pt idx="8">
                  <c:v>1058.4000000000001</c:v>
                </c:pt>
                <c:pt idx="9">
                  <c:v>1064.5440000000001</c:v>
                </c:pt>
                <c:pt idx="10">
                  <c:v>1063.626</c:v>
                </c:pt>
                <c:pt idx="11">
                  <c:v>1043.972</c:v>
                </c:pt>
                <c:pt idx="12">
                  <c:v>1034.856</c:v>
                </c:pt>
                <c:pt idx="13">
                  <c:v>992.57400000000007</c:v>
                </c:pt>
                <c:pt idx="14">
                  <c:v>945.89100000000008</c:v>
                </c:pt>
                <c:pt idx="15">
                  <c:v>897.75499999999988</c:v>
                </c:pt>
                <c:pt idx="16">
                  <c:v>856.44600000000003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3-4F10-AC9C-323507A457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lux_370_420_cct_2200_2400!$I$48:$Y$48</c:f>
              <c:numCache>
                <c:formatCode>General</c:formatCode>
                <c:ptCount val="17"/>
                <c:pt idx="0">
                  <c:v>864.05900000000008</c:v>
                </c:pt>
                <c:pt idx="1">
                  <c:v>899.42399999999998</c:v>
                </c:pt>
                <c:pt idx="2">
                  <c:v>952.83199999999999</c:v>
                </c:pt>
                <c:pt idx="3">
                  <c:v>1014.942</c:v>
                </c:pt>
                <c:pt idx="4">
                  <c:v>1027.8899999999999</c:v>
                </c:pt>
                <c:pt idx="5">
                  <c:v>1044.258</c:v>
                </c:pt>
                <c:pt idx="6">
                  <c:v>1050.2079999999999</c:v>
                </c:pt>
                <c:pt idx="7">
                  <c:v>1048.5</c:v>
                </c:pt>
                <c:pt idx="8">
                  <c:v>1058.1400000000001</c:v>
                </c:pt>
                <c:pt idx="9">
                  <c:v>1053.1599999999999</c:v>
                </c:pt>
                <c:pt idx="10">
                  <c:v>1059.9650000000001</c:v>
                </c:pt>
                <c:pt idx="11">
                  <c:v>1057.17</c:v>
                </c:pt>
                <c:pt idx="12">
                  <c:v>1043.4000000000001</c:v>
                </c:pt>
                <c:pt idx="13">
                  <c:v>1010.758</c:v>
                </c:pt>
                <c:pt idx="14">
                  <c:v>970.24</c:v>
                </c:pt>
                <c:pt idx="15">
                  <c:v>913.68000000000006</c:v>
                </c:pt>
                <c:pt idx="16">
                  <c:v>871.47900000000004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43-4F10-AC9C-323507A457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lux_370_420_cct_2200_2400!$I$49:$Y$49</c:f>
              <c:numCache>
                <c:formatCode>General</c:formatCode>
                <c:ptCount val="17"/>
                <c:pt idx="0">
                  <c:v>860.70899999999995</c:v>
                </c:pt>
                <c:pt idx="1">
                  <c:v>920.00999999999988</c:v>
                </c:pt>
                <c:pt idx="2">
                  <c:v>959.06400000000008</c:v>
                </c:pt>
                <c:pt idx="3">
                  <c:v>1008.371</c:v>
                </c:pt>
                <c:pt idx="4">
                  <c:v>1040.25</c:v>
                </c:pt>
                <c:pt idx="5">
                  <c:v>1050.896</c:v>
                </c:pt>
                <c:pt idx="6">
                  <c:v>1047.5680000000002</c:v>
                </c:pt>
                <c:pt idx="7">
                  <c:v>1041.4169999999999</c:v>
                </c:pt>
                <c:pt idx="8">
                  <c:v>1031</c:v>
                </c:pt>
                <c:pt idx="9">
                  <c:v>1046.3620000000001</c:v>
                </c:pt>
                <c:pt idx="10">
                  <c:v>1053.1599999999999</c:v>
                </c:pt>
                <c:pt idx="11">
                  <c:v>1042.8399999999999</c:v>
                </c:pt>
                <c:pt idx="12">
                  <c:v>1035.3389999999999</c:v>
                </c:pt>
                <c:pt idx="13">
                  <c:v>1023.659</c:v>
                </c:pt>
                <c:pt idx="14">
                  <c:v>977.22</c:v>
                </c:pt>
                <c:pt idx="15">
                  <c:v>913.46599999999989</c:v>
                </c:pt>
                <c:pt idx="16">
                  <c:v>882.04899999999998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43-4F10-AC9C-323507A457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lux_370_420_cct_2200_2400!$I$50:$Y$50</c:f>
              <c:numCache>
                <c:formatCode>General</c:formatCode>
                <c:ptCount val="17"/>
                <c:pt idx="0">
                  <c:v>855.78200000000004</c:v>
                </c:pt>
                <c:pt idx="1">
                  <c:v>911.36500000000001</c:v>
                </c:pt>
                <c:pt idx="2">
                  <c:v>967.51200000000006</c:v>
                </c:pt>
                <c:pt idx="3">
                  <c:v>1008.288</c:v>
                </c:pt>
                <c:pt idx="4">
                  <c:v>1033.2720000000002</c:v>
                </c:pt>
                <c:pt idx="5">
                  <c:v>1038.528</c:v>
                </c:pt>
                <c:pt idx="6">
                  <c:v>1030.6990000000001</c:v>
                </c:pt>
                <c:pt idx="7">
                  <c:v>1025</c:v>
                </c:pt>
                <c:pt idx="8">
                  <c:v>1031.184</c:v>
                </c:pt>
                <c:pt idx="9">
                  <c:v>1030</c:v>
                </c:pt>
                <c:pt idx="10">
                  <c:v>1043.9010000000001</c:v>
                </c:pt>
                <c:pt idx="11">
                  <c:v>1053.2160000000001</c:v>
                </c:pt>
                <c:pt idx="12">
                  <c:v>1033.5</c:v>
                </c:pt>
                <c:pt idx="13">
                  <c:v>1025.7839999999999</c:v>
                </c:pt>
                <c:pt idx="14">
                  <c:v>983.346</c:v>
                </c:pt>
                <c:pt idx="15">
                  <c:v>925.01499999999999</c:v>
                </c:pt>
                <c:pt idx="16">
                  <c:v>860.33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43-4F10-AC9C-323507A457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lux_370_420_cct_2200_2400!$I$51:$Y$51</c:f>
              <c:numCache>
                <c:formatCode>General</c:formatCode>
                <c:ptCount val="17"/>
                <c:pt idx="0">
                  <c:v>874.38900000000001</c:v>
                </c:pt>
                <c:pt idx="1">
                  <c:v>897.96100000000001</c:v>
                </c:pt>
                <c:pt idx="2">
                  <c:v>955.86</c:v>
                </c:pt>
                <c:pt idx="3">
                  <c:v>1002.001</c:v>
                </c:pt>
                <c:pt idx="4">
                  <c:v>1015.3860000000001</c:v>
                </c:pt>
                <c:pt idx="5">
                  <c:v>1022.6559999999999</c:v>
                </c:pt>
                <c:pt idx="6">
                  <c:v>1031.7239999999999</c:v>
                </c:pt>
                <c:pt idx="7">
                  <c:v>1016.1419999999999</c:v>
                </c:pt>
                <c:pt idx="8">
                  <c:v>1020.9999999999999</c:v>
                </c:pt>
                <c:pt idx="9">
                  <c:v>1026.9000000000001</c:v>
                </c:pt>
                <c:pt idx="10">
                  <c:v>1049.4319999999998</c:v>
                </c:pt>
                <c:pt idx="11">
                  <c:v>1041.999</c:v>
                </c:pt>
                <c:pt idx="12">
                  <c:v>1035.3389999999999</c:v>
                </c:pt>
                <c:pt idx="13">
                  <c:v>1021.748</c:v>
                </c:pt>
                <c:pt idx="14">
                  <c:v>972.94799999999998</c:v>
                </c:pt>
                <c:pt idx="15">
                  <c:v>907.26400000000001</c:v>
                </c:pt>
                <c:pt idx="16">
                  <c:v>870.94200000000001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43-4F10-AC9C-323507A457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lux_370_420_cct_2200_2400!$I$52:$Y$52</c:f>
              <c:numCache>
                <c:formatCode>General</c:formatCode>
                <c:ptCount val="17"/>
                <c:pt idx="0">
                  <c:v>834.46399999999994</c:v>
                </c:pt>
                <c:pt idx="1">
                  <c:v>902.87999999999988</c:v>
                </c:pt>
                <c:pt idx="2">
                  <c:v>952.83199999999999</c:v>
                </c:pt>
                <c:pt idx="3">
                  <c:v>989.68799999999999</c:v>
                </c:pt>
                <c:pt idx="4">
                  <c:v>1018.02</c:v>
                </c:pt>
                <c:pt idx="5">
                  <c:v>1018.88</c:v>
                </c:pt>
                <c:pt idx="6">
                  <c:v>1025.5</c:v>
                </c:pt>
                <c:pt idx="7">
                  <c:v>1033.588</c:v>
                </c:pt>
                <c:pt idx="8">
                  <c:v>1028.8129999999999</c:v>
                </c:pt>
                <c:pt idx="9">
                  <c:v>1025.9940000000001</c:v>
                </c:pt>
                <c:pt idx="10">
                  <c:v>1035.125</c:v>
                </c:pt>
                <c:pt idx="11">
                  <c:v>1034.0039999999999</c:v>
                </c:pt>
                <c:pt idx="12">
                  <c:v>1036.3499999999999</c:v>
                </c:pt>
                <c:pt idx="13">
                  <c:v>1008.35</c:v>
                </c:pt>
                <c:pt idx="14">
                  <c:v>968.19200000000001</c:v>
                </c:pt>
                <c:pt idx="15">
                  <c:v>912.38400000000001</c:v>
                </c:pt>
                <c:pt idx="16">
                  <c:v>834.46399999999994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43-4F10-AC9C-323507A457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lux_370_420_cct_2200_2400!$I$53:$Y$53</c:f>
              <c:numCache>
                <c:formatCode>General</c:formatCode>
                <c:ptCount val="17"/>
                <c:pt idx="0">
                  <c:v>813.18600000000004</c:v>
                </c:pt>
                <c:pt idx="1">
                  <c:v>886.30299999999988</c:v>
                </c:pt>
                <c:pt idx="2">
                  <c:v>929.19600000000003</c:v>
                </c:pt>
                <c:pt idx="3">
                  <c:v>970.85100000000011</c:v>
                </c:pt>
                <c:pt idx="4">
                  <c:v>1009.5840000000001</c:v>
                </c:pt>
                <c:pt idx="5">
                  <c:v>1017.073</c:v>
                </c:pt>
                <c:pt idx="6">
                  <c:v>1019.6759999999999</c:v>
                </c:pt>
                <c:pt idx="7">
                  <c:v>1023.4970000000001</c:v>
                </c:pt>
                <c:pt idx="8">
                  <c:v>1021.894</c:v>
                </c:pt>
                <c:pt idx="9">
                  <c:v>1024.338</c:v>
                </c:pt>
                <c:pt idx="10">
                  <c:v>1022.0640000000001</c:v>
                </c:pt>
                <c:pt idx="11">
                  <c:v>1020.708</c:v>
                </c:pt>
                <c:pt idx="12">
                  <c:v>999.45299999999997</c:v>
                </c:pt>
                <c:pt idx="13">
                  <c:v>983.66200000000003</c:v>
                </c:pt>
                <c:pt idx="14">
                  <c:v>943.50599999999997</c:v>
                </c:pt>
                <c:pt idx="15">
                  <c:v>898.57299999999998</c:v>
                </c:pt>
                <c:pt idx="16">
                  <c:v>822.17699999999991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43-4F10-AC9C-323507A457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lux_370_420_cct_2200_2400!$I$54:$Y$54</c:f>
              <c:numCache>
                <c:formatCode>General</c:formatCode>
                <c:ptCount val="17"/>
                <c:pt idx="0">
                  <c:v>823.62200000000007</c:v>
                </c:pt>
                <c:pt idx="1">
                  <c:v>861.75</c:v>
                </c:pt>
                <c:pt idx="2">
                  <c:v>892.94400000000007</c:v>
                </c:pt>
                <c:pt idx="3">
                  <c:v>937</c:v>
                </c:pt>
                <c:pt idx="4">
                  <c:v>965.6</c:v>
                </c:pt>
                <c:pt idx="5">
                  <c:v>991.80899999999997</c:v>
                </c:pt>
                <c:pt idx="6">
                  <c:v>1002.7710000000001</c:v>
                </c:pt>
                <c:pt idx="7">
                  <c:v>1019.081</c:v>
                </c:pt>
                <c:pt idx="8">
                  <c:v>1018.5000000000001</c:v>
                </c:pt>
                <c:pt idx="9">
                  <c:v>1019.8199999999999</c:v>
                </c:pt>
                <c:pt idx="10">
                  <c:v>1004.85</c:v>
                </c:pt>
                <c:pt idx="11">
                  <c:v>996.90499999999997</c:v>
                </c:pt>
                <c:pt idx="12">
                  <c:v>974.68799999999999</c:v>
                </c:pt>
                <c:pt idx="13">
                  <c:v>949</c:v>
                </c:pt>
                <c:pt idx="14">
                  <c:v>902.87999999999988</c:v>
                </c:pt>
                <c:pt idx="15">
                  <c:v>870.75</c:v>
                </c:pt>
                <c:pt idx="16">
                  <c:v>826.76200000000006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43-4F10-AC9C-323507A457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lux_370_420_cct_2200_2400!$I$55:$Y$55</c:f>
              <c:numCache>
                <c:formatCode>General</c:formatCode>
                <c:ptCount val="17"/>
                <c:pt idx="0">
                  <c:v>832.94399999999996</c:v>
                </c:pt>
                <c:pt idx="1">
                  <c:v>850.45400000000006</c:v>
                </c:pt>
                <c:pt idx="2">
                  <c:v>859.62199999999996</c:v>
                </c:pt>
                <c:pt idx="3">
                  <c:v>903.27700000000004</c:v>
                </c:pt>
                <c:pt idx="4">
                  <c:v>938</c:v>
                </c:pt>
                <c:pt idx="5">
                  <c:v>968.62300000000005</c:v>
                </c:pt>
                <c:pt idx="6">
                  <c:v>987.28</c:v>
                </c:pt>
                <c:pt idx="7">
                  <c:v>988.75</c:v>
                </c:pt>
                <c:pt idx="8">
                  <c:v>997.54200000000003</c:v>
                </c:pt>
                <c:pt idx="9">
                  <c:v>993.75</c:v>
                </c:pt>
                <c:pt idx="10">
                  <c:v>998.11599999999999</c:v>
                </c:pt>
                <c:pt idx="11">
                  <c:v>981.43399999999997</c:v>
                </c:pt>
                <c:pt idx="12">
                  <c:v>950</c:v>
                </c:pt>
                <c:pt idx="13">
                  <c:v>912.13700000000006</c:v>
                </c:pt>
                <c:pt idx="14">
                  <c:v>864.6400000000001</c:v>
                </c:pt>
                <c:pt idx="15">
                  <c:v>850.79500000000007</c:v>
                </c:pt>
                <c:pt idx="16">
                  <c:v>821.99200000000008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43-4F10-AC9C-323507A457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lux_370_420_cct_2200_2400!$I$56:$Y$56</c:f>
              <c:numCache>
                <c:formatCode>General</c:formatCode>
                <c:ptCount val="17"/>
                <c:pt idx="0">
                  <c:v>787.05000000000007</c:v>
                </c:pt>
                <c:pt idx="1">
                  <c:v>809.85600000000011</c:v>
                </c:pt>
                <c:pt idx="2">
                  <c:v>840.90600000000006</c:v>
                </c:pt>
                <c:pt idx="3">
                  <c:v>893.51</c:v>
                </c:pt>
                <c:pt idx="4">
                  <c:v>921.3599999999999</c:v>
                </c:pt>
                <c:pt idx="5">
                  <c:v>913.36</c:v>
                </c:pt>
                <c:pt idx="6">
                  <c:v>953.34400000000005</c:v>
                </c:pt>
                <c:pt idx="7">
                  <c:v>963.87</c:v>
                </c:pt>
                <c:pt idx="8">
                  <c:v>949.76</c:v>
                </c:pt>
                <c:pt idx="9">
                  <c:v>972.41399999999999</c:v>
                </c:pt>
                <c:pt idx="10">
                  <c:v>940.41599999999994</c:v>
                </c:pt>
                <c:pt idx="11">
                  <c:v>931.53400000000011</c:v>
                </c:pt>
                <c:pt idx="12">
                  <c:v>901</c:v>
                </c:pt>
                <c:pt idx="13">
                  <c:v>866.346</c:v>
                </c:pt>
                <c:pt idx="14">
                  <c:v>841.24700000000007</c:v>
                </c:pt>
                <c:pt idx="15">
                  <c:v>797.71999999999991</c:v>
                </c:pt>
                <c:pt idx="16">
                  <c:v>757.37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43-4F10-AC9C-323507A457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lux_370_420_cct_2700_3100!$I$2:$Y$2</c:f>
              <c:numCache>
                <c:formatCode>General</c:formatCode>
                <c:ptCount val="17"/>
                <c:pt idx="0">
                  <c:v>793.71900000000005</c:v>
                </c:pt>
                <c:pt idx="1">
                  <c:v>835.92000000000007</c:v>
                </c:pt>
                <c:pt idx="2">
                  <c:v>890.45300000000009</c:v>
                </c:pt>
                <c:pt idx="3">
                  <c:v>924.16</c:v>
                </c:pt>
                <c:pt idx="4">
                  <c:v>975.93599999999992</c:v>
                </c:pt>
                <c:pt idx="5">
                  <c:v>974.40000000000009</c:v>
                </c:pt>
                <c:pt idx="6">
                  <c:v>994.5200000000001</c:v>
                </c:pt>
                <c:pt idx="7">
                  <c:v>1032.7459999999999</c:v>
                </c:pt>
                <c:pt idx="8">
                  <c:v>1011.5300000000001</c:v>
                </c:pt>
                <c:pt idx="9">
                  <c:v>1031.7340000000002</c:v>
                </c:pt>
                <c:pt idx="10">
                  <c:v>1018.948</c:v>
                </c:pt>
                <c:pt idx="11">
                  <c:v>1007.0830000000001</c:v>
                </c:pt>
                <c:pt idx="12">
                  <c:v>970.63199999999995</c:v>
                </c:pt>
                <c:pt idx="13">
                  <c:v>922.35500000000002</c:v>
                </c:pt>
                <c:pt idx="14">
                  <c:v>892.98900000000003</c:v>
                </c:pt>
                <c:pt idx="15">
                  <c:v>833.21999999999991</c:v>
                </c:pt>
                <c:pt idx="16">
                  <c:v>782.96399999999994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7-41F5-B73F-A82F76DE98AC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lux_370_420_cct_2700_3100!$I$3:$Y$3</c:f>
              <c:numCache>
                <c:formatCode>General</c:formatCode>
                <c:ptCount val="17"/>
                <c:pt idx="0">
                  <c:v>874.26</c:v>
                </c:pt>
                <c:pt idx="1">
                  <c:v>912.95999999999992</c:v>
                </c:pt>
                <c:pt idx="2">
                  <c:v>935.86</c:v>
                </c:pt>
                <c:pt idx="3">
                  <c:v>993.62700000000007</c:v>
                </c:pt>
                <c:pt idx="4">
                  <c:v>1014.7299999999999</c:v>
                </c:pt>
                <c:pt idx="5">
                  <c:v>1054.826</c:v>
                </c:pt>
                <c:pt idx="6">
                  <c:v>1050.732</c:v>
                </c:pt>
                <c:pt idx="7">
                  <c:v>1068.5999999999999</c:v>
                </c:pt>
                <c:pt idx="8">
                  <c:v>1071.694</c:v>
                </c:pt>
                <c:pt idx="9">
                  <c:v>1066.8</c:v>
                </c:pt>
                <c:pt idx="10">
                  <c:v>1071.3600000000001</c:v>
                </c:pt>
                <c:pt idx="11">
                  <c:v>1052.71</c:v>
                </c:pt>
                <c:pt idx="12">
                  <c:v>1014.7299999999999</c:v>
                </c:pt>
                <c:pt idx="13">
                  <c:v>994.05000000000007</c:v>
                </c:pt>
                <c:pt idx="14">
                  <c:v>939.14499999999998</c:v>
                </c:pt>
                <c:pt idx="15">
                  <c:v>911.69200000000001</c:v>
                </c:pt>
                <c:pt idx="16">
                  <c:v>810.64499999999998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7-41F5-B73F-A82F76DE98AC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lux_370_420_cct_2700_3100!$I$4:$Y$4</c:f>
              <c:numCache>
                <c:formatCode>General</c:formatCode>
                <c:ptCount val="17"/>
                <c:pt idx="0">
                  <c:v>885.37</c:v>
                </c:pt>
                <c:pt idx="1">
                  <c:v>938.62699999999995</c:v>
                </c:pt>
                <c:pt idx="2">
                  <c:v>978.91199999999992</c:v>
                </c:pt>
                <c:pt idx="3">
                  <c:v>1009.5600000000001</c:v>
                </c:pt>
                <c:pt idx="4">
                  <c:v>1046.2939999999999</c:v>
                </c:pt>
                <c:pt idx="5">
                  <c:v>1071.0829999999999</c:v>
                </c:pt>
                <c:pt idx="6">
                  <c:v>1078.03</c:v>
                </c:pt>
                <c:pt idx="7">
                  <c:v>1073.1200000000001</c:v>
                </c:pt>
                <c:pt idx="8">
                  <c:v>1070.481</c:v>
                </c:pt>
                <c:pt idx="9">
                  <c:v>1075.944</c:v>
                </c:pt>
                <c:pt idx="10">
                  <c:v>1084.0600000000002</c:v>
                </c:pt>
                <c:pt idx="11">
                  <c:v>1075.3599999999999</c:v>
                </c:pt>
                <c:pt idx="12">
                  <c:v>1050.0810000000001</c:v>
                </c:pt>
                <c:pt idx="13">
                  <c:v>1013.79</c:v>
                </c:pt>
                <c:pt idx="14">
                  <c:v>981.38400000000001</c:v>
                </c:pt>
                <c:pt idx="15">
                  <c:v>934.74400000000003</c:v>
                </c:pt>
                <c:pt idx="16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7-41F5-B73F-A82F76DE98AC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lux_370_420_cct_2700_3100!$I$5:$Y$5</c:f>
              <c:numCache>
                <c:formatCode>General</c:formatCode>
                <c:ptCount val="17"/>
                <c:pt idx="0">
                  <c:v>894.9</c:v>
                </c:pt>
                <c:pt idx="1">
                  <c:v>944.51200000000006</c:v>
                </c:pt>
                <c:pt idx="2">
                  <c:v>1000.386</c:v>
                </c:pt>
                <c:pt idx="3">
                  <c:v>1048.4780000000001</c:v>
                </c:pt>
                <c:pt idx="4">
                  <c:v>1068.6390000000001</c:v>
                </c:pt>
                <c:pt idx="5">
                  <c:v>1075.0059999999999</c:v>
                </c:pt>
                <c:pt idx="6">
                  <c:v>1068.836</c:v>
                </c:pt>
                <c:pt idx="7">
                  <c:v>1063.221</c:v>
                </c:pt>
                <c:pt idx="8">
                  <c:v>1072.9749999999999</c:v>
                </c:pt>
                <c:pt idx="9">
                  <c:v>1068.087</c:v>
                </c:pt>
                <c:pt idx="10">
                  <c:v>1078.0040000000001</c:v>
                </c:pt>
                <c:pt idx="11">
                  <c:v>1084.028</c:v>
                </c:pt>
                <c:pt idx="12">
                  <c:v>1075.971</c:v>
                </c:pt>
                <c:pt idx="13">
                  <c:v>1053.239</c:v>
                </c:pt>
                <c:pt idx="14">
                  <c:v>1001.2800000000001</c:v>
                </c:pt>
                <c:pt idx="15">
                  <c:v>938.12</c:v>
                </c:pt>
                <c:pt idx="16">
                  <c:v>877.31600000000003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77-41F5-B73F-A82F76DE98AC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lux_370_420_cct_2700_3100!$I$6:$Y$6</c:f>
              <c:numCache>
                <c:formatCode>General</c:formatCode>
                <c:ptCount val="17"/>
                <c:pt idx="0">
                  <c:v>898.101</c:v>
                </c:pt>
                <c:pt idx="1">
                  <c:v>987.56399999999996</c:v>
                </c:pt>
                <c:pt idx="2">
                  <c:v>1020.876</c:v>
                </c:pt>
                <c:pt idx="3">
                  <c:v>1066.752</c:v>
                </c:pt>
                <c:pt idx="4">
                  <c:v>1075.3499999999999</c:v>
                </c:pt>
                <c:pt idx="5">
                  <c:v>1067.308</c:v>
                </c:pt>
                <c:pt idx="6">
                  <c:v>1061.2909999999999</c:v>
                </c:pt>
                <c:pt idx="7">
                  <c:v>1057.04</c:v>
                </c:pt>
                <c:pt idx="8">
                  <c:v>1058.1310000000001</c:v>
                </c:pt>
                <c:pt idx="9">
                  <c:v>1059.7550000000001</c:v>
                </c:pt>
                <c:pt idx="10">
                  <c:v>1065.5260000000001</c:v>
                </c:pt>
                <c:pt idx="11">
                  <c:v>1070.364</c:v>
                </c:pt>
                <c:pt idx="12">
                  <c:v>1077.3600000000001</c:v>
                </c:pt>
                <c:pt idx="13">
                  <c:v>1069.056</c:v>
                </c:pt>
                <c:pt idx="14">
                  <c:v>1024.25</c:v>
                </c:pt>
                <c:pt idx="15">
                  <c:v>958.4</c:v>
                </c:pt>
                <c:pt idx="16">
                  <c:v>900.12699999999995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77-41F5-B73F-A82F76DE98AC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lux_370_420_cct_2700_3100!$I$7:$Y$7</c:f>
              <c:numCache>
                <c:formatCode>General</c:formatCode>
                <c:ptCount val="17"/>
                <c:pt idx="0">
                  <c:v>907.69499999999994</c:v>
                </c:pt>
                <c:pt idx="1">
                  <c:v>983.47500000000002</c:v>
                </c:pt>
                <c:pt idx="2">
                  <c:v>1028.6979999999999</c:v>
                </c:pt>
                <c:pt idx="3">
                  <c:v>1054.8</c:v>
                </c:pt>
                <c:pt idx="4">
                  <c:v>1062.53</c:v>
                </c:pt>
                <c:pt idx="5">
                  <c:v>1058.355</c:v>
                </c:pt>
                <c:pt idx="6">
                  <c:v>1053.4199999999998</c:v>
                </c:pt>
                <c:pt idx="7">
                  <c:v>1034.3719999999998</c:v>
                </c:pt>
                <c:pt idx="8">
                  <c:v>1027.52</c:v>
                </c:pt>
                <c:pt idx="9">
                  <c:v>1049.2</c:v>
                </c:pt>
                <c:pt idx="10">
                  <c:v>1056.135</c:v>
                </c:pt>
                <c:pt idx="11">
                  <c:v>1056.7329999999999</c:v>
                </c:pt>
                <c:pt idx="12">
                  <c:v>1061.1179999999999</c:v>
                </c:pt>
                <c:pt idx="13">
                  <c:v>1056.5999999999999</c:v>
                </c:pt>
                <c:pt idx="14">
                  <c:v>1033.252</c:v>
                </c:pt>
                <c:pt idx="15">
                  <c:v>986.01300000000003</c:v>
                </c:pt>
                <c:pt idx="16">
                  <c:v>901.48500000000001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77-41F5-B73F-A82F76DE98AC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lux_370_420_cct_2700_3100!$I$8:$Y$8</c:f>
              <c:numCache>
                <c:formatCode>General</c:formatCode>
                <c:ptCount val="17"/>
                <c:pt idx="0">
                  <c:v>933.91200000000003</c:v>
                </c:pt>
                <c:pt idx="1">
                  <c:v>1002.2399999999999</c:v>
                </c:pt>
                <c:pt idx="2">
                  <c:v>1035.5510000000002</c:v>
                </c:pt>
                <c:pt idx="3">
                  <c:v>1050.92</c:v>
                </c:pt>
                <c:pt idx="4">
                  <c:v>1065.798</c:v>
                </c:pt>
                <c:pt idx="5">
                  <c:v>1053.77</c:v>
                </c:pt>
                <c:pt idx="6">
                  <c:v>1043.2670000000001</c:v>
                </c:pt>
                <c:pt idx="7">
                  <c:v>1031.9669999999999</c:v>
                </c:pt>
                <c:pt idx="8">
                  <c:v>1027.0920000000001</c:v>
                </c:pt>
                <c:pt idx="9">
                  <c:v>1034.9639999999999</c:v>
                </c:pt>
                <c:pt idx="10">
                  <c:v>1063.33</c:v>
                </c:pt>
                <c:pt idx="11">
                  <c:v>1058.78</c:v>
                </c:pt>
                <c:pt idx="12">
                  <c:v>1069.443</c:v>
                </c:pt>
                <c:pt idx="13">
                  <c:v>1055.1970000000001</c:v>
                </c:pt>
                <c:pt idx="14">
                  <c:v>1038.136</c:v>
                </c:pt>
                <c:pt idx="15">
                  <c:v>972.05399999999997</c:v>
                </c:pt>
                <c:pt idx="16">
                  <c:v>931.74099999999999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77-41F5-B73F-A82F76DE98AC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lux_370_420_cct_2700_3100!$I$9:$Y$9</c:f>
              <c:numCache>
                <c:formatCode>General</c:formatCode>
                <c:ptCount val="17"/>
                <c:pt idx="0">
                  <c:v>910.45499999999993</c:v>
                </c:pt>
                <c:pt idx="1">
                  <c:v>983.89800000000002</c:v>
                </c:pt>
                <c:pt idx="2">
                  <c:v>1024.6499999999999</c:v>
                </c:pt>
                <c:pt idx="3">
                  <c:v>1065.5840000000001</c:v>
                </c:pt>
                <c:pt idx="4">
                  <c:v>1065.462</c:v>
                </c:pt>
                <c:pt idx="5">
                  <c:v>1058.3779999999999</c:v>
                </c:pt>
                <c:pt idx="6">
                  <c:v>1050.8819999999998</c:v>
                </c:pt>
                <c:pt idx="7">
                  <c:v>1031.6319999999998</c:v>
                </c:pt>
                <c:pt idx="8">
                  <c:v>1026.972</c:v>
                </c:pt>
                <c:pt idx="9">
                  <c:v>1039.44</c:v>
                </c:pt>
                <c:pt idx="10">
                  <c:v>1061.886</c:v>
                </c:pt>
                <c:pt idx="11">
                  <c:v>1067.431</c:v>
                </c:pt>
                <c:pt idx="12">
                  <c:v>1074.7830000000001</c:v>
                </c:pt>
                <c:pt idx="13">
                  <c:v>1053</c:v>
                </c:pt>
                <c:pt idx="14">
                  <c:v>1027.6860000000001</c:v>
                </c:pt>
                <c:pt idx="15">
                  <c:v>978.39900000000011</c:v>
                </c:pt>
                <c:pt idx="16">
                  <c:v>892.5150000000001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77-41F5-B73F-A82F76DE98AC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lux_370_420_cct_2700_3100!$I$10:$Y$10</c:f>
              <c:numCache>
                <c:formatCode>General</c:formatCode>
                <c:ptCount val="17"/>
                <c:pt idx="0">
                  <c:v>900.43200000000002</c:v>
                </c:pt>
                <c:pt idx="1">
                  <c:v>987.976</c:v>
                </c:pt>
                <c:pt idx="2">
                  <c:v>1017.5020000000001</c:v>
                </c:pt>
                <c:pt idx="3">
                  <c:v>1057.5360000000001</c:v>
                </c:pt>
                <c:pt idx="4">
                  <c:v>1061.28</c:v>
                </c:pt>
                <c:pt idx="5">
                  <c:v>1068.5519999999999</c:v>
                </c:pt>
                <c:pt idx="6">
                  <c:v>1059.6300000000001</c:v>
                </c:pt>
                <c:pt idx="7">
                  <c:v>1052.7159999999999</c:v>
                </c:pt>
                <c:pt idx="8">
                  <c:v>1052.038</c:v>
                </c:pt>
                <c:pt idx="9">
                  <c:v>1055.4670000000001</c:v>
                </c:pt>
                <c:pt idx="10">
                  <c:v>1063.92</c:v>
                </c:pt>
                <c:pt idx="11">
                  <c:v>1073.9839999999999</c:v>
                </c:pt>
                <c:pt idx="12">
                  <c:v>1067.31</c:v>
                </c:pt>
                <c:pt idx="13">
                  <c:v>1063.296</c:v>
                </c:pt>
                <c:pt idx="14">
                  <c:v>1019.4300000000001</c:v>
                </c:pt>
                <c:pt idx="15">
                  <c:v>983.44399999999996</c:v>
                </c:pt>
                <c:pt idx="16">
                  <c:v>887.11200000000008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77-41F5-B73F-A82F76DE98AC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lux_370_420_cct_2700_3100!$I$11:$Y$11</c:f>
              <c:numCache>
                <c:formatCode>General</c:formatCode>
                <c:ptCount val="17"/>
                <c:pt idx="0">
                  <c:v>915.52500000000009</c:v>
                </c:pt>
                <c:pt idx="1">
                  <c:v>967.67200000000014</c:v>
                </c:pt>
                <c:pt idx="2">
                  <c:v>993.23400000000004</c:v>
                </c:pt>
                <c:pt idx="3">
                  <c:v>1040.5430000000001</c:v>
                </c:pt>
                <c:pt idx="4">
                  <c:v>1058.252</c:v>
                </c:pt>
                <c:pt idx="5">
                  <c:v>1060.432</c:v>
                </c:pt>
                <c:pt idx="6">
                  <c:v>1067</c:v>
                </c:pt>
                <c:pt idx="7">
                  <c:v>1057.5549999999998</c:v>
                </c:pt>
                <c:pt idx="8">
                  <c:v>1047.0899999999999</c:v>
                </c:pt>
                <c:pt idx="9">
                  <c:v>1056.732</c:v>
                </c:pt>
                <c:pt idx="10">
                  <c:v>1048.2080000000001</c:v>
                </c:pt>
                <c:pt idx="11">
                  <c:v>1056.268</c:v>
                </c:pt>
                <c:pt idx="12">
                  <c:v>1054.586</c:v>
                </c:pt>
                <c:pt idx="13">
                  <c:v>1040.5430000000001</c:v>
                </c:pt>
                <c:pt idx="14">
                  <c:v>995.46899999999994</c:v>
                </c:pt>
                <c:pt idx="15">
                  <c:v>966.89599999999996</c:v>
                </c:pt>
                <c:pt idx="16">
                  <c:v>868.31000000000006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877-41F5-B73F-A82F76DE98AC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lux_370_420_cct_2700_3100!$I$12:$Y$12</c:f>
              <c:numCache>
                <c:formatCode>General</c:formatCode>
                <c:ptCount val="17"/>
                <c:pt idx="0">
                  <c:v>878.41</c:v>
                </c:pt>
                <c:pt idx="1">
                  <c:v>934.39099999999996</c:v>
                </c:pt>
                <c:pt idx="2">
                  <c:v>976.44</c:v>
                </c:pt>
                <c:pt idx="3">
                  <c:v>1028.588</c:v>
                </c:pt>
                <c:pt idx="4">
                  <c:v>1036.0150000000001</c:v>
                </c:pt>
                <c:pt idx="5">
                  <c:v>1056.4190000000001</c:v>
                </c:pt>
                <c:pt idx="6">
                  <c:v>1059.27</c:v>
                </c:pt>
                <c:pt idx="7">
                  <c:v>1066.896</c:v>
                </c:pt>
                <c:pt idx="8">
                  <c:v>1061.424</c:v>
                </c:pt>
                <c:pt idx="9">
                  <c:v>1064.7450000000001</c:v>
                </c:pt>
                <c:pt idx="10">
                  <c:v>1057.26</c:v>
                </c:pt>
                <c:pt idx="11">
                  <c:v>1053.364</c:v>
                </c:pt>
                <c:pt idx="12">
                  <c:v>1032.769</c:v>
                </c:pt>
                <c:pt idx="13">
                  <c:v>1002.0400000000001</c:v>
                </c:pt>
                <c:pt idx="14">
                  <c:v>975.20399999999995</c:v>
                </c:pt>
                <c:pt idx="15">
                  <c:v>931.92000000000007</c:v>
                </c:pt>
                <c:pt idx="16">
                  <c:v>868.55000000000007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77-41F5-B73F-A82F76DE98AC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lux_370_420_cct_2700_3100!$I$13:$Y$13</c:f>
              <c:numCache>
                <c:formatCode>General</c:formatCode>
                <c:ptCount val="17"/>
                <c:pt idx="0">
                  <c:v>876.15</c:v>
                </c:pt>
                <c:pt idx="1">
                  <c:v>911.05799999999999</c:v>
                </c:pt>
                <c:pt idx="2">
                  <c:v>932.94</c:v>
                </c:pt>
                <c:pt idx="3">
                  <c:v>988.12799999999993</c:v>
                </c:pt>
                <c:pt idx="4">
                  <c:v>1028.588</c:v>
                </c:pt>
                <c:pt idx="5">
                  <c:v>1036.8399999999999</c:v>
                </c:pt>
                <c:pt idx="6">
                  <c:v>1052.3519999999999</c:v>
                </c:pt>
                <c:pt idx="7">
                  <c:v>1065.5840000000001</c:v>
                </c:pt>
                <c:pt idx="8">
                  <c:v>1050.92</c:v>
                </c:pt>
                <c:pt idx="9">
                  <c:v>1069.25</c:v>
                </c:pt>
                <c:pt idx="10">
                  <c:v>1058.1120000000001</c:v>
                </c:pt>
                <c:pt idx="11">
                  <c:v>1041.0719999999999</c:v>
                </c:pt>
                <c:pt idx="12">
                  <c:v>1030.0340000000001</c:v>
                </c:pt>
                <c:pt idx="13">
                  <c:v>986.43599999999992</c:v>
                </c:pt>
                <c:pt idx="14">
                  <c:v>929.65500000000009</c:v>
                </c:pt>
                <c:pt idx="15">
                  <c:v>902.81599999999992</c:v>
                </c:pt>
                <c:pt idx="16">
                  <c:v>856.17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77-41F5-B73F-A82F76DE98AC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lux_370_420_cct_2700_3100!$I$14:$Y$14</c:f>
              <c:numCache>
                <c:formatCode>General</c:formatCode>
                <c:ptCount val="17"/>
                <c:pt idx="0">
                  <c:v>864.45</c:v>
                </c:pt>
                <c:pt idx="1">
                  <c:v>896.32399999999996</c:v>
                </c:pt>
                <c:pt idx="2">
                  <c:v>892.98900000000003</c:v>
                </c:pt>
                <c:pt idx="3">
                  <c:v>924.88199999999995</c:v>
                </c:pt>
                <c:pt idx="4">
                  <c:v>964.34799999999996</c:v>
                </c:pt>
                <c:pt idx="5">
                  <c:v>1003.926</c:v>
                </c:pt>
                <c:pt idx="6">
                  <c:v>1012.2</c:v>
                </c:pt>
                <c:pt idx="7">
                  <c:v>1017.5540000000001</c:v>
                </c:pt>
                <c:pt idx="8">
                  <c:v>1038.136</c:v>
                </c:pt>
                <c:pt idx="9">
                  <c:v>1022.574</c:v>
                </c:pt>
                <c:pt idx="10">
                  <c:v>1024.25</c:v>
                </c:pt>
                <c:pt idx="11">
                  <c:v>1014.2990000000001</c:v>
                </c:pt>
                <c:pt idx="12">
                  <c:v>967.98399999999992</c:v>
                </c:pt>
                <c:pt idx="13">
                  <c:v>925.60400000000004</c:v>
                </c:pt>
                <c:pt idx="14">
                  <c:v>887.59999999999991</c:v>
                </c:pt>
                <c:pt idx="15">
                  <c:v>878.02</c:v>
                </c:pt>
                <c:pt idx="16">
                  <c:v>833.85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877-41F5-B73F-A82F76DE98A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lux_370_420_cct_2700_3100!$I$16:$Y$16</c:f>
              <c:numCache>
                <c:formatCode>General</c:formatCode>
                <c:ptCount val="17"/>
                <c:pt idx="0">
                  <c:v>788.30400000000009</c:v>
                </c:pt>
                <c:pt idx="1">
                  <c:v>825.90000000000009</c:v>
                </c:pt>
                <c:pt idx="2">
                  <c:v>866.5200000000001</c:v>
                </c:pt>
                <c:pt idx="3">
                  <c:v>898.524</c:v>
                </c:pt>
                <c:pt idx="4">
                  <c:v>927.75100000000009</c:v>
                </c:pt>
                <c:pt idx="5">
                  <c:v>952.09199999999998</c:v>
                </c:pt>
                <c:pt idx="6">
                  <c:v>961.27199999999993</c:v>
                </c:pt>
                <c:pt idx="7">
                  <c:v>982.26</c:v>
                </c:pt>
                <c:pt idx="8">
                  <c:v>977.54599999999994</c:v>
                </c:pt>
                <c:pt idx="9">
                  <c:v>982.79499999999996</c:v>
                </c:pt>
                <c:pt idx="10">
                  <c:v>976.59999999999991</c:v>
                </c:pt>
                <c:pt idx="11">
                  <c:v>953.52300000000002</c:v>
                </c:pt>
                <c:pt idx="12">
                  <c:v>929.0619999999999</c:v>
                </c:pt>
                <c:pt idx="13">
                  <c:v>901.69200000000001</c:v>
                </c:pt>
                <c:pt idx="14">
                  <c:v>873.82800000000009</c:v>
                </c:pt>
                <c:pt idx="15">
                  <c:v>830.4</c:v>
                </c:pt>
                <c:pt idx="16">
                  <c:v>786.98399999999992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3-49E2-AB64-A1652423B22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lux_370_420_cct_2700_3100!$I$17:$Y$17</c:f>
              <c:numCache>
                <c:formatCode>General</c:formatCode>
                <c:ptCount val="17"/>
                <c:pt idx="0">
                  <c:v>825.96799999999996</c:v>
                </c:pt>
                <c:pt idx="1">
                  <c:v>862.72</c:v>
                </c:pt>
                <c:pt idx="2">
                  <c:v>896.82600000000002</c:v>
                </c:pt>
                <c:pt idx="3">
                  <c:v>939.45600000000002</c:v>
                </c:pt>
                <c:pt idx="4">
                  <c:v>975.31700000000001</c:v>
                </c:pt>
                <c:pt idx="5">
                  <c:v>1009.554</c:v>
                </c:pt>
                <c:pt idx="6">
                  <c:v>1026.9090000000001</c:v>
                </c:pt>
                <c:pt idx="7">
                  <c:v>1033.2</c:v>
                </c:pt>
                <c:pt idx="8">
                  <c:v>1037.1380000000001</c:v>
                </c:pt>
                <c:pt idx="9">
                  <c:v>1033.2</c:v>
                </c:pt>
                <c:pt idx="10">
                  <c:v>1029.3210000000001</c:v>
                </c:pt>
                <c:pt idx="11">
                  <c:v>1012.908</c:v>
                </c:pt>
                <c:pt idx="12">
                  <c:v>980.85</c:v>
                </c:pt>
                <c:pt idx="13">
                  <c:v>945.72800000000007</c:v>
                </c:pt>
                <c:pt idx="14">
                  <c:v>906.25800000000004</c:v>
                </c:pt>
                <c:pt idx="15">
                  <c:v>869.79700000000003</c:v>
                </c:pt>
                <c:pt idx="16">
                  <c:v>823.39400000000001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3-49E2-AB64-A1652423B22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lux_370_420_cct_2700_3100!$I$18:$Y$18</c:f>
              <c:numCache>
                <c:formatCode>General</c:formatCode>
                <c:ptCount val="17"/>
                <c:pt idx="0">
                  <c:v>860.65499999999997</c:v>
                </c:pt>
                <c:pt idx="1">
                  <c:v>889.99199999999996</c:v>
                </c:pt>
                <c:pt idx="2">
                  <c:v>938.3660000000001</c:v>
                </c:pt>
                <c:pt idx="3">
                  <c:v>983.89700000000005</c:v>
                </c:pt>
                <c:pt idx="4">
                  <c:v>1012.5749999999999</c:v>
                </c:pt>
                <c:pt idx="5">
                  <c:v>1035.856</c:v>
                </c:pt>
                <c:pt idx="6">
                  <c:v>1046.894</c:v>
                </c:pt>
                <c:pt idx="7">
                  <c:v>1053.99</c:v>
                </c:pt>
                <c:pt idx="8">
                  <c:v>1063.328</c:v>
                </c:pt>
                <c:pt idx="9">
                  <c:v>1058.3999999999999</c:v>
                </c:pt>
                <c:pt idx="10">
                  <c:v>1057.3489999999999</c:v>
                </c:pt>
                <c:pt idx="11">
                  <c:v>1046.1119999999999</c:v>
                </c:pt>
                <c:pt idx="12">
                  <c:v>1022.35</c:v>
                </c:pt>
                <c:pt idx="13">
                  <c:v>982.86199999999997</c:v>
                </c:pt>
                <c:pt idx="14">
                  <c:v>936.92800000000011</c:v>
                </c:pt>
                <c:pt idx="15">
                  <c:v>896.00800000000004</c:v>
                </c:pt>
                <c:pt idx="16">
                  <c:v>859.06999999999994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43-49E2-AB64-A1652423B22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lux_370_420_cct_2700_3100!$I$19:$Y$19</c:f>
              <c:numCache>
                <c:formatCode>General</c:formatCode>
                <c:ptCount val="17"/>
                <c:pt idx="0">
                  <c:v>868.81899999999996</c:v>
                </c:pt>
                <c:pt idx="1">
                  <c:v>914.93299999999999</c:v>
                </c:pt>
                <c:pt idx="2">
                  <c:v>964.88599999999985</c:v>
                </c:pt>
                <c:pt idx="3">
                  <c:v>1005.082</c:v>
                </c:pt>
                <c:pt idx="4">
                  <c:v>1033.933</c:v>
                </c:pt>
                <c:pt idx="5">
                  <c:v>1051.248</c:v>
                </c:pt>
                <c:pt idx="6">
                  <c:v>1059.4759999999999</c:v>
                </c:pt>
                <c:pt idx="7">
                  <c:v>1063.0240000000001</c:v>
                </c:pt>
                <c:pt idx="8">
                  <c:v>1067.8219999999999</c:v>
                </c:pt>
                <c:pt idx="9">
                  <c:v>1069.752</c:v>
                </c:pt>
                <c:pt idx="10">
                  <c:v>1073.8040000000001</c:v>
                </c:pt>
                <c:pt idx="11">
                  <c:v>1065.7280000000001</c:v>
                </c:pt>
                <c:pt idx="12">
                  <c:v>1046.7529999999999</c:v>
                </c:pt>
                <c:pt idx="13">
                  <c:v>1017.38</c:v>
                </c:pt>
                <c:pt idx="14">
                  <c:v>973.54399999999998</c:v>
                </c:pt>
                <c:pt idx="15">
                  <c:v>918.61400000000003</c:v>
                </c:pt>
                <c:pt idx="16">
                  <c:v>866.41799999999989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43-49E2-AB64-A1652423B22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lux_370_420_cct_2700_3100!$I$20:$Y$20</c:f>
              <c:numCache>
                <c:formatCode>General</c:formatCode>
                <c:ptCount val="17"/>
                <c:pt idx="0">
                  <c:v>870.11099999999988</c:v>
                </c:pt>
                <c:pt idx="1">
                  <c:v>933.43200000000002</c:v>
                </c:pt>
                <c:pt idx="2">
                  <c:v>980.19799999999998</c:v>
                </c:pt>
                <c:pt idx="3">
                  <c:v>1029.952</c:v>
                </c:pt>
                <c:pt idx="4">
                  <c:v>1050.192</c:v>
                </c:pt>
                <c:pt idx="5">
                  <c:v>1057.088</c:v>
                </c:pt>
                <c:pt idx="6">
                  <c:v>1058.414</c:v>
                </c:pt>
                <c:pt idx="7">
                  <c:v>1054.989</c:v>
                </c:pt>
                <c:pt idx="8">
                  <c:v>1055.6199999999999</c:v>
                </c:pt>
                <c:pt idx="9">
                  <c:v>1059.6039999999998</c:v>
                </c:pt>
                <c:pt idx="10">
                  <c:v>1066.28</c:v>
                </c:pt>
                <c:pt idx="11">
                  <c:v>1065.8440000000001</c:v>
                </c:pt>
                <c:pt idx="12">
                  <c:v>1060.02</c:v>
                </c:pt>
                <c:pt idx="13">
                  <c:v>1031.1299999999999</c:v>
                </c:pt>
                <c:pt idx="14">
                  <c:v>990.99199999999996</c:v>
                </c:pt>
                <c:pt idx="15">
                  <c:v>942.60900000000004</c:v>
                </c:pt>
                <c:pt idx="16">
                  <c:v>874.46699999999998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43-49E2-AB64-A1652423B22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lux_370_420_cct_2700_3100!$I$21:$Y$21</c:f>
              <c:numCache>
                <c:formatCode>General</c:formatCode>
                <c:ptCount val="17"/>
                <c:pt idx="0">
                  <c:v>868.62</c:v>
                </c:pt>
                <c:pt idx="1">
                  <c:v>940.428</c:v>
                </c:pt>
                <c:pt idx="2">
                  <c:v>984.63199999999995</c:v>
                </c:pt>
                <c:pt idx="3">
                  <c:v>1029.684</c:v>
                </c:pt>
                <c:pt idx="4">
                  <c:v>1058.499</c:v>
                </c:pt>
                <c:pt idx="5">
                  <c:v>1060.884</c:v>
                </c:pt>
                <c:pt idx="6">
                  <c:v>1057.202</c:v>
                </c:pt>
                <c:pt idx="7">
                  <c:v>1039.6980000000001</c:v>
                </c:pt>
                <c:pt idx="8">
                  <c:v>1029.8249999999998</c:v>
                </c:pt>
                <c:pt idx="9">
                  <c:v>1042.635</c:v>
                </c:pt>
                <c:pt idx="10">
                  <c:v>1063.7049999999999</c:v>
                </c:pt>
                <c:pt idx="11">
                  <c:v>1066.8059999999998</c:v>
                </c:pt>
                <c:pt idx="12">
                  <c:v>1055.925</c:v>
                </c:pt>
                <c:pt idx="13">
                  <c:v>1038.588</c:v>
                </c:pt>
                <c:pt idx="14">
                  <c:v>996.42399999999998</c:v>
                </c:pt>
                <c:pt idx="15">
                  <c:v>951.75300000000004</c:v>
                </c:pt>
                <c:pt idx="16">
                  <c:v>894.52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43-49E2-AB64-A1652423B22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lux_370_420_cct_2700_3100!$I$22:$Y$22</c:f>
              <c:numCache>
                <c:formatCode>General</c:formatCode>
                <c:ptCount val="17"/>
                <c:pt idx="0">
                  <c:v>877.33800000000008</c:v>
                </c:pt>
                <c:pt idx="1">
                  <c:v>944.16300000000001</c:v>
                </c:pt>
                <c:pt idx="2">
                  <c:v>992.25800000000004</c:v>
                </c:pt>
                <c:pt idx="3">
                  <c:v>1037.617</c:v>
                </c:pt>
                <c:pt idx="4">
                  <c:v>1047.5559999999998</c:v>
                </c:pt>
                <c:pt idx="5">
                  <c:v>1052.8599999999999</c:v>
                </c:pt>
                <c:pt idx="6">
                  <c:v>1049.904</c:v>
                </c:pt>
                <c:pt idx="7">
                  <c:v>1027.0260000000001</c:v>
                </c:pt>
                <c:pt idx="8">
                  <c:v>1027.0920000000001</c:v>
                </c:pt>
                <c:pt idx="9">
                  <c:v>1033.0319999999999</c:v>
                </c:pt>
                <c:pt idx="10">
                  <c:v>1061.316</c:v>
                </c:pt>
                <c:pt idx="11">
                  <c:v>1064.0790000000002</c:v>
                </c:pt>
                <c:pt idx="12">
                  <c:v>1058.9259999999999</c:v>
                </c:pt>
                <c:pt idx="13">
                  <c:v>1039.0820000000001</c:v>
                </c:pt>
                <c:pt idx="14">
                  <c:v>1001.557</c:v>
                </c:pt>
                <c:pt idx="15">
                  <c:v>951.96599999999989</c:v>
                </c:pt>
                <c:pt idx="16">
                  <c:v>878.85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43-49E2-AB64-A1652423B22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lux_370_420_cct_2700_3100!$I$23:$Y$23</c:f>
              <c:numCache>
                <c:formatCode>General</c:formatCode>
                <c:ptCount val="17"/>
                <c:pt idx="0">
                  <c:v>873.08399999999995</c:v>
                </c:pt>
                <c:pt idx="1">
                  <c:v>941.78700000000003</c:v>
                </c:pt>
                <c:pt idx="2">
                  <c:v>994.02800000000002</c:v>
                </c:pt>
                <c:pt idx="3">
                  <c:v>1031.3689999999999</c:v>
                </c:pt>
                <c:pt idx="4">
                  <c:v>1048.0409999999999</c:v>
                </c:pt>
                <c:pt idx="5">
                  <c:v>1055.6280000000002</c:v>
                </c:pt>
                <c:pt idx="6">
                  <c:v>1049.0700000000002</c:v>
                </c:pt>
                <c:pt idx="7">
                  <c:v>1028.28</c:v>
                </c:pt>
                <c:pt idx="8">
                  <c:v>1024.0229999999999</c:v>
                </c:pt>
                <c:pt idx="9">
                  <c:v>1038.1199999999999</c:v>
                </c:pt>
                <c:pt idx="10">
                  <c:v>1058.1310000000001</c:v>
                </c:pt>
                <c:pt idx="11">
                  <c:v>1063.4219999999998</c:v>
                </c:pt>
                <c:pt idx="12">
                  <c:v>1054.443</c:v>
                </c:pt>
                <c:pt idx="13">
                  <c:v>1037.316</c:v>
                </c:pt>
                <c:pt idx="14">
                  <c:v>993.74400000000003</c:v>
                </c:pt>
                <c:pt idx="15">
                  <c:v>946.31700000000001</c:v>
                </c:pt>
                <c:pt idx="16">
                  <c:v>887.68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3-49E2-AB64-A1652423B22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lux_370_420_cct_2700_3100!$I$24:$Y$24</c:f>
              <c:numCache>
                <c:formatCode>General</c:formatCode>
                <c:ptCount val="17"/>
                <c:pt idx="0">
                  <c:v>873.74099999999999</c:v>
                </c:pt>
                <c:pt idx="1">
                  <c:v>937.36500000000001</c:v>
                </c:pt>
                <c:pt idx="2">
                  <c:v>980.71199999999999</c:v>
                </c:pt>
                <c:pt idx="3">
                  <c:v>1025.088</c:v>
                </c:pt>
                <c:pt idx="4">
                  <c:v>1050.672</c:v>
                </c:pt>
                <c:pt idx="5">
                  <c:v>1053.828</c:v>
                </c:pt>
                <c:pt idx="6">
                  <c:v>1052.163</c:v>
                </c:pt>
                <c:pt idx="7">
                  <c:v>1046.0539999999999</c:v>
                </c:pt>
                <c:pt idx="8">
                  <c:v>1048.953</c:v>
                </c:pt>
                <c:pt idx="9">
                  <c:v>1049.77</c:v>
                </c:pt>
                <c:pt idx="10">
                  <c:v>1060.0740000000001</c:v>
                </c:pt>
                <c:pt idx="11">
                  <c:v>1056.2919999999999</c:v>
                </c:pt>
                <c:pt idx="12">
                  <c:v>1053.702</c:v>
                </c:pt>
                <c:pt idx="13">
                  <c:v>1036.6400000000001</c:v>
                </c:pt>
                <c:pt idx="14">
                  <c:v>988.93599999999992</c:v>
                </c:pt>
                <c:pt idx="15">
                  <c:v>942.17200000000003</c:v>
                </c:pt>
                <c:pt idx="16">
                  <c:v>875.19299999999998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3-49E2-AB64-A1652423B22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lux_370_420_cct_2700_3100!$I$25:$Y$25</c:f>
              <c:numCache>
                <c:formatCode>General</c:formatCode>
                <c:ptCount val="17"/>
                <c:pt idx="0">
                  <c:v>863.67399999999998</c:v>
                </c:pt>
                <c:pt idx="1">
                  <c:v>912.47899999999993</c:v>
                </c:pt>
                <c:pt idx="2">
                  <c:v>962.96199999999988</c:v>
                </c:pt>
                <c:pt idx="3">
                  <c:v>1011.816</c:v>
                </c:pt>
                <c:pt idx="4">
                  <c:v>1038.4349999999999</c:v>
                </c:pt>
                <c:pt idx="5">
                  <c:v>1051.2</c:v>
                </c:pt>
                <c:pt idx="6">
                  <c:v>1047.5360000000001</c:v>
                </c:pt>
                <c:pt idx="7">
                  <c:v>1052.424</c:v>
                </c:pt>
                <c:pt idx="8">
                  <c:v>1053.7230000000002</c:v>
                </c:pt>
                <c:pt idx="9">
                  <c:v>1052.424</c:v>
                </c:pt>
                <c:pt idx="10">
                  <c:v>1048.3319999999999</c:v>
                </c:pt>
                <c:pt idx="11">
                  <c:v>1051.93</c:v>
                </c:pt>
                <c:pt idx="12">
                  <c:v>1041.0229999999999</c:v>
                </c:pt>
                <c:pt idx="13">
                  <c:v>1008.995</c:v>
                </c:pt>
                <c:pt idx="14">
                  <c:v>971.62</c:v>
                </c:pt>
                <c:pt idx="15">
                  <c:v>920.65899999999999</c:v>
                </c:pt>
                <c:pt idx="16">
                  <c:v>870.87700000000007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3-49E2-AB64-A1652423B22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lux_370_420_cct_2700_3100!$I$26:$Y$26</c:f>
              <c:numCache>
                <c:formatCode>General</c:formatCode>
                <c:ptCount val="17"/>
                <c:pt idx="0">
                  <c:v>859.06999999999994</c:v>
                </c:pt>
                <c:pt idx="1">
                  <c:v>891.87199999999996</c:v>
                </c:pt>
                <c:pt idx="2">
                  <c:v>931.24699999999996</c:v>
                </c:pt>
                <c:pt idx="3">
                  <c:v>983.38799999999992</c:v>
                </c:pt>
                <c:pt idx="4">
                  <c:v>1008.55</c:v>
                </c:pt>
                <c:pt idx="5">
                  <c:v>1039.0820000000001</c:v>
                </c:pt>
                <c:pt idx="6">
                  <c:v>1045.278</c:v>
                </c:pt>
                <c:pt idx="7">
                  <c:v>1048.5150000000001</c:v>
                </c:pt>
                <c:pt idx="8">
                  <c:v>1044.528</c:v>
                </c:pt>
                <c:pt idx="9">
                  <c:v>1047.7739999999999</c:v>
                </c:pt>
                <c:pt idx="10">
                  <c:v>1045.98</c:v>
                </c:pt>
                <c:pt idx="11">
                  <c:v>1032.01</c:v>
                </c:pt>
                <c:pt idx="12">
                  <c:v>1012</c:v>
                </c:pt>
                <c:pt idx="13">
                  <c:v>977.32900000000006</c:v>
                </c:pt>
                <c:pt idx="14">
                  <c:v>936.05399999999997</c:v>
                </c:pt>
                <c:pt idx="15">
                  <c:v>897.51200000000006</c:v>
                </c:pt>
                <c:pt idx="16">
                  <c:v>863.19099999999992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3-49E2-AB64-A1652423B22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lux_370_420_cct_2700_3100!$I$27:$Y$27</c:f>
              <c:numCache>
                <c:formatCode>General</c:formatCode>
                <c:ptCount val="17"/>
                <c:pt idx="0">
                  <c:v>850.01099999999997</c:v>
                </c:pt>
                <c:pt idx="1">
                  <c:v>884.94</c:v>
                </c:pt>
                <c:pt idx="2">
                  <c:v>903.9</c:v>
                </c:pt>
                <c:pt idx="3">
                  <c:v>943.93600000000015</c:v>
                </c:pt>
                <c:pt idx="4">
                  <c:v>975.31700000000001</c:v>
                </c:pt>
                <c:pt idx="5">
                  <c:v>1004.5229999999999</c:v>
                </c:pt>
                <c:pt idx="6">
                  <c:v>1020.276</c:v>
                </c:pt>
                <c:pt idx="7">
                  <c:v>1034.136</c:v>
                </c:pt>
                <c:pt idx="8">
                  <c:v>1030.087</c:v>
                </c:pt>
                <c:pt idx="9">
                  <c:v>1037.952</c:v>
                </c:pt>
                <c:pt idx="10">
                  <c:v>1028.7180000000001</c:v>
                </c:pt>
                <c:pt idx="11">
                  <c:v>1012.908</c:v>
                </c:pt>
                <c:pt idx="12">
                  <c:v>981.35300000000007</c:v>
                </c:pt>
                <c:pt idx="13">
                  <c:v>947.5200000000001</c:v>
                </c:pt>
                <c:pt idx="14">
                  <c:v>904.29300000000001</c:v>
                </c:pt>
                <c:pt idx="15">
                  <c:v>883.91099999999994</c:v>
                </c:pt>
                <c:pt idx="16">
                  <c:v>841.572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3-49E2-AB64-A1652423B22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lux_370_420_cct_2700_3100!$I$28:$Y$28</c:f>
              <c:numCache>
                <c:formatCode>General</c:formatCode>
                <c:ptCount val="17"/>
                <c:pt idx="0">
                  <c:v>832.55500000000006</c:v>
                </c:pt>
                <c:pt idx="1">
                  <c:v>849.45900000000006</c:v>
                </c:pt>
                <c:pt idx="2">
                  <c:v>870.23199999999997</c:v>
                </c:pt>
                <c:pt idx="3">
                  <c:v>902.86900000000003</c:v>
                </c:pt>
                <c:pt idx="4">
                  <c:v>930.07200000000012</c:v>
                </c:pt>
                <c:pt idx="5">
                  <c:v>954.57</c:v>
                </c:pt>
                <c:pt idx="6">
                  <c:v>976.48199999999997</c:v>
                </c:pt>
                <c:pt idx="7">
                  <c:v>979.125</c:v>
                </c:pt>
                <c:pt idx="8">
                  <c:v>995.30000000000007</c:v>
                </c:pt>
                <c:pt idx="9">
                  <c:v>985.42499999999995</c:v>
                </c:pt>
                <c:pt idx="10">
                  <c:v>987.63599999999997</c:v>
                </c:pt>
                <c:pt idx="11">
                  <c:v>966.32</c:v>
                </c:pt>
                <c:pt idx="12">
                  <c:v>938.22299999999996</c:v>
                </c:pt>
                <c:pt idx="13">
                  <c:v>907.53700000000003</c:v>
                </c:pt>
                <c:pt idx="14">
                  <c:v>868.86800000000005</c:v>
                </c:pt>
                <c:pt idx="15">
                  <c:v>835.70499999999993</c:v>
                </c:pt>
                <c:pt idx="16">
                  <c:v>804.31000000000006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3-49E2-AB64-A1652423B22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lux_370_420_cct_2700_3100!$I$30:$Y$30</c:f>
              <c:numCache>
                <c:formatCode>General</c:formatCode>
                <c:ptCount val="17"/>
                <c:pt idx="0">
                  <c:v>782.06999999999994</c:v>
                </c:pt>
                <c:pt idx="1">
                  <c:v>843.3359999999999</c:v>
                </c:pt>
                <c:pt idx="2">
                  <c:v>882.87600000000009</c:v>
                </c:pt>
                <c:pt idx="3">
                  <c:v>914.14800000000002</c:v>
                </c:pt>
                <c:pt idx="4">
                  <c:v>938.00699999999995</c:v>
                </c:pt>
                <c:pt idx="5">
                  <c:v>966.48299999999995</c:v>
                </c:pt>
                <c:pt idx="6">
                  <c:v>984.19999999999993</c:v>
                </c:pt>
                <c:pt idx="7">
                  <c:v>1004.0939999999999</c:v>
                </c:pt>
                <c:pt idx="8">
                  <c:v>999.72899999999993</c:v>
                </c:pt>
                <c:pt idx="9">
                  <c:v>1004.6400000000001</c:v>
                </c:pt>
                <c:pt idx="10">
                  <c:v>985.75400000000002</c:v>
                </c:pt>
                <c:pt idx="11">
                  <c:v>966.96599999999989</c:v>
                </c:pt>
                <c:pt idx="12">
                  <c:v>938.44800000000009</c:v>
                </c:pt>
                <c:pt idx="13">
                  <c:v>916.15800000000002</c:v>
                </c:pt>
                <c:pt idx="14">
                  <c:v>889.60199999999998</c:v>
                </c:pt>
                <c:pt idx="15">
                  <c:v>847.31400000000008</c:v>
                </c:pt>
                <c:pt idx="16">
                  <c:v>781.02199999999993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C-4565-BA54-6F85E634364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lux_370_420_cct_2700_3100!$I$31:$Y$31</c:f>
              <c:numCache>
                <c:formatCode>General</c:formatCode>
                <c:ptCount val="17"/>
                <c:pt idx="0">
                  <c:v>840.99</c:v>
                </c:pt>
                <c:pt idx="1">
                  <c:v>879.10900000000004</c:v>
                </c:pt>
                <c:pt idx="2">
                  <c:v>909.43000000000006</c:v>
                </c:pt>
                <c:pt idx="3">
                  <c:v>951.30000000000007</c:v>
                </c:pt>
                <c:pt idx="4">
                  <c:v>998.18799999999999</c:v>
                </c:pt>
                <c:pt idx="5">
                  <c:v>1020.276</c:v>
                </c:pt>
                <c:pt idx="6">
                  <c:v>1046.8700000000001</c:v>
                </c:pt>
                <c:pt idx="7">
                  <c:v>1051.8810000000001</c:v>
                </c:pt>
                <c:pt idx="8">
                  <c:v>1057.8600000000001</c:v>
                </c:pt>
                <c:pt idx="9">
                  <c:v>1051.8810000000001</c:v>
                </c:pt>
                <c:pt idx="10">
                  <c:v>1049.326</c:v>
                </c:pt>
                <c:pt idx="11">
                  <c:v>1023.096</c:v>
                </c:pt>
                <c:pt idx="12">
                  <c:v>1003.328</c:v>
                </c:pt>
                <c:pt idx="13">
                  <c:v>956.73599999999999</c:v>
                </c:pt>
                <c:pt idx="14">
                  <c:v>917.78800000000001</c:v>
                </c:pt>
                <c:pt idx="15">
                  <c:v>885.28300000000002</c:v>
                </c:pt>
                <c:pt idx="16">
                  <c:v>837.20699999999988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C-4565-BA54-6F85E634364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lux_370_420_cct_2700_3100!$I$32:$Y$32</c:f>
              <c:numCache>
                <c:formatCode>General</c:formatCode>
                <c:ptCount val="17"/>
                <c:pt idx="0">
                  <c:v>856.17</c:v>
                </c:pt>
                <c:pt idx="1">
                  <c:v>904.95800000000008</c:v>
                </c:pt>
                <c:pt idx="2">
                  <c:v>939.69200000000001</c:v>
                </c:pt>
                <c:pt idx="3">
                  <c:v>984.91500000000008</c:v>
                </c:pt>
                <c:pt idx="4">
                  <c:v>1024.3029999999999</c:v>
                </c:pt>
                <c:pt idx="5">
                  <c:v>1057.2070000000001</c:v>
                </c:pt>
                <c:pt idx="6">
                  <c:v>1064.8320000000001</c:v>
                </c:pt>
                <c:pt idx="7">
                  <c:v>1071.9449999999999</c:v>
                </c:pt>
                <c:pt idx="8">
                  <c:v>1079.645</c:v>
                </c:pt>
                <c:pt idx="9">
                  <c:v>1075.68</c:v>
                </c:pt>
                <c:pt idx="10">
                  <c:v>1074.7439999999999</c:v>
                </c:pt>
                <c:pt idx="11">
                  <c:v>1066.3489999999999</c:v>
                </c:pt>
                <c:pt idx="12">
                  <c:v>1033.018</c:v>
                </c:pt>
                <c:pt idx="13">
                  <c:v>994.58600000000001</c:v>
                </c:pt>
                <c:pt idx="14">
                  <c:v>947.2059999999999</c:v>
                </c:pt>
                <c:pt idx="15">
                  <c:v>909.92400000000009</c:v>
                </c:pt>
                <c:pt idx="16">
                  <c:v>874.68400000000008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DC-4565-BA54-6F85E634364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lux_370_420_cct_2700_3100!$I$33:$Y$33</c:f>
              <c:numCache>
                <c:formatCode>General</c:formatCode>
                <c:ptCount val="17"/>
                <c:pt idx="0">
                  <c:v>869.505</c:v>
                </c:pt>
                <c:pt idx="1">
                  <c:v>915.75099999999998</c:v>
                </c:pt>
                <c:pt idx="2">
                  <c:v>965.84799999999996</c:v>
                </c:pt>
                <c:pt idx="3">
                  <c:v>1015.2</c:v>
                </c:pt>
                <c:pt idx="4">
                  <c:v>1044.905</c:v>
                </c:pt>
                <c:pt idx="5">
                  <c:v>1068.69</c:v>
                </c:pt>
                <c:pt idx="6">
                  <c:v>1068.2640000000001</c:v>
                </c:pt>
                <c:pt idx="7">
                  <c:v>1077.78</c:v>
                </c:pt>
                <c:pt idx="8">
                  <c:v>1081.528</c:v>
                </c:pt>
                <c:pt idx="9">
                  <c:v>1083.7439999999999</c:v>
                </c:pt>
                <c:pt idx="10">
                  <c:v>1081.8979999999999</c:v>
                </c:pt>
                <c:pt idx="11">
                  <c:v>1074.56</c:v>
                </c:pt>
                <c:pt idx="12">
                  <c:v>1056.5509999999999</c:v>
                </c:pt>
                <c:pt idx="13">
                  <c:v>1025.9159999999999</c:v>
                </c:pt>
                <c:pt idx="14">
                  <c:v>973.0630000000001</c:v>
                </c:pt>
                <c:pt idx="15">
                  <c:v>918.20500000000004</c:v>
                </c:pt>
                <c:pt idx="16">
                  <c:v>883.4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DC-4565-BA54-6F85E634364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lux_370_420_cct_2700_3100!$I$34:$Y$34</c:f>
              <c:numCache>
                <c:formatCode>General</c:formatCode>
                <c:ptCount val="17"/>
                <c:pt idx="0">
                  <c:v>870.83699999999999</c:v>
                </c:pt>
                <c:pt idx="1">
                  <c:v>934.30599999999993</c:v>
                </c:pt>
                <c:pt idx="2">
                  <c:v>992.68000000000006</c:v>
                </c:pt>
                <c:pt idx="3">
                  <c:v>1031.1679999999999</c:v>
                </c:pt>
                <c:pt idx="4">
                  <c:v>1060.5840000000001</c:v>
                </c:pt>
                <c:pt idx="5">
                  <c:v>1065.8579999999999</c:v>
                </c:pt>
                <c:pt idx="6">
                  <c:v>1065.348</c:v>
                </c:pt>
                <c:pt idx="7">
                  <c:v>1069.6399999999999</c:v>
                </c:pt>
                <c:pt idx="8">
                  <c:v>1067.973</c:v>
                </c:pt>
                <c:pt idx="9">
                  <c:v>1073.3799999999999</c:v>
                </c:pt>
                <c:pt idx="10">
                  <c:v>1072.3799999999999</c:v>
                </c:pt>
                <c:pt idx="11">
                  <c:v>1074.68</c:v>
                </c:pt>
                <c:pt idx="12">
                  <c:v>1060.02</c:v>
                </c:pt>
                <c:pt idx="13">
                  <c:v>1039.68</c:v>
                </c:pt>
                <c:pt idx="14">
                  <c:v>990.99199999999996</c:v>
                </c:pt>
                <c:pt idx="15">
                  <c:v>942.60900000000004</c:v>
                </c:pt>
                <c:pt idx="16">
                  <c:v>873.74099999999999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DC-4565-BA54-6F85E634364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lux_370_420_cct_2700_3100!$I$35:$Y$35</c:f>
              <c:numCache>
                <c:formatCode>General</c:formatCode>
                <c:ptCount val="17"/>
                <c:pt idx="0">
                  <c:v>888.06000000000006</c:v>
                </c:pt>
                <c:pt idx="1">
                  <c:v>941.33399999999995</c:v>
                </c:pt>
                <c:pt idx="2">
                  <c:v>986.24</c:v>
                </c:pt>
                <c:pt idx="3">
                  <c:v>1031.5920000000001</c:v>
                </c:pt>
                <c:pt idx="4">
                  <c:v>1059.9929999999999</c:v>
                </c:pt>
                <c:pt idx="5">
                  <c:v>1063.4219999999998</c:v>
                </c:pt>
                <c:pt idx="6">
                  <c:v>1059.06</c:v>
                </c:pt>
                <c:pt idx="7">
                  <c:v>1045.008</c:v>
                </c:pt>
                <c:pt idx="8">
                  <c:v>1036.0349999999999</c:v>
                </c:pt>
                <c:pt idx="9">
                  <c:v>1047.96</c:v>
                </c:pt>
                <c:pt idx="10">
                  <c:v>1064.634</c:v>
                </c:pt>
                <c:pt idx="11">
                  <c:v>1066.8059999999998</c:v>
                </c:pt>
                <c:pt idx="12">
                  <c:v>1055.925</c:v>
                </c:pt>
                <c:pt idx="13">
                  <c:v>1038.588</c:v>
                </c:pt>
                <c:pt idx="14">
                  <c:v>996.42399999999998</c:v>
                </c:pt>
                <c:pt idx="15">
                  <c:v>951.30000000000007</c:v>
                </c:pt>
                <c:pt idx="16">
                  <c:v>893.76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DC-4565-BA54-6F85E634364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lux_370_420_cct_2700_3100!$I$36:$Y$36</c:f>
              <c:numCache>
                <c:formatCode>General</c:formatCode>
                <c:ptCount val="17"/>
                <c:pt idx="0">
                  <c:v>878.09399999999994</c:v>
                </c:pt>
                <c:pt idx="1">
                  <c:v>945.08100000000013</c:v>
                </c:pt>
                <c:pt idx="2">
                  <c:v>993.35199999999998</c:v>
                </c:pt>
                <c:pt idx="3">
                  <c:v>1030.0240000000001</c:v>
                </c:pt>
                <c:pt idx="4">
                  <c:v>1049.0719999999999</c:v>
                </c:pt>
                <c:pt idx="5">
                  <c:v>1055.4490000000001</c:v>
                </c:pt>
                <c:pt idx="6">
                  <c:v>1046.2760000000001</c:v>
                </c:pt>
                <c:pt idx="7">
                  <c:v>1028.0269999999998</c:v>
                </c:pt>
                <c:pt idx="8">
                  <c:v>1028.1149999999998</c:v>
                </c:pt>
                <c:pt idx="9">
                  <c:v>1033.0319999999999</c:v>
                </c:pt>
                <c:pt idx="10">
                  <c:v>1055.7360000000001</c:v>
                </c:pt>
                <c:pt idx="11">
                  <c:v>1057.538</c:v>
                </c:pt>
                <c:pt idx="12">
                  <c:v>1050.5440000000001</c:v>
                </c:pt>
                <c:pt idx="13">
                  <c:v>1039.0820000000001</c:v>
                </c:pt>
                <c:pt idx="14">
                  <c:v>992.40199999999993</c:v>
                </c:pt>
                <c:pt idx="15">
                  <c:v>951.50699999999995</c:v>
                </c:pt>
                <c:pt idx="16">
                  <c:v>878.09399999999994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DC-4565-BA54-6F85E634364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lux_370_420_cct_2700_3100!$I$37:$Y$37</c:f>
              <c:numCache>
                <c:formatCode>General</c:formatCode>
                <c:ptCount val="17"/>
                <c:pt idx="0">
                  <c:v>873.08399999999995</c:v>
                </c:pt>
                <c:pt idx="1">
                  <c:v>942.24</c:v>
                </c:pt>
                <c:pt idx="2">
                  <c:v>983.56</c:v>
                </c:pt>
                <c:pt idx="3">
                  <c:v>1024.596</c:v>
                </c:pt>
                <c:pt idx="4">
                  <c:v>1041.105</c:v>
                </c:pt>
                <c:pt idx="5">
                  <c:v>1049.8860000000002</c:v>
                </c:pt>
                <c:pt idx="6">
                  <c:v>1043.2670000000001</c:v>
                </c:pt>
                <c:pt idx="7">
                  <c:v>1028.28</c:v>
                </c:pt>
                <c:pt idx="8">
                  <c:v>1024.0229999999999</c:v>
                </c:pt>
                <c:pt idx="9">
                  <c:v>1037.136</c:v>
                </c:pt>
                <c:pt idx="10">
                  <c:v>1051.297</c:v>
                </c:pt>
                <c:pt idx="11">
                  <c:v>1057.1369999999999</c:v>
                </c:pt>
                <c:pt idx="12">
                  <c:v>1054.443</c:v>
                </c:pt>
                <c:pt idx="13">
                  <c:v>1027.53</c:v>
                </c:pt>
                <c:pt idx="14">
                  <c:v>993.20799999999997</c:v>
                </c:pt>
                <c:pt idx="15">
                  <c:v>935.42399999999998</c:v>
                </c:pt>
                <c:pt idx="16">
                  <c:v>872.54200000000003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DC-4565-BA54-6F85E634364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lux_370_420_cct_2700_3100!$I$38:$Y$38</c:f>
              <c:numCache>
                <c:formatCode>General</c:formatCode>
                <c:ptCount val="17"/>
                <c:pt idx="0">
                  <c:v>873.74099999999999</c:v>
                </c:pt>
                <c:pt idx="1">
                  <c:v>937.36500000000001</c:v>
                </c:pt>
                <c:pt idx="2">
                  <c:v>980.71199999999999</c:v>
                </c:pt>
                <c:pt idx="3">
                  <c:v>1016.658</c:v>
                </c:pt>
                <c:pt idx="4">
                  <c:v>1041.768</c:v>
                </c:pt>
                <c:pt idx="5">
                  <c:v>1045.944</c:v>
                </c:pt>
                <c:pt idx="6">
                  <c:v>1046.1780000000001</c:v>
                </c:pt>
                <c:pt idx="7">
                  <c:v>1038.375</c:v>
                </c:pt>
                <c:pt idx="8">
                  <c:v>1042.4920000000002</c:v>
                </c:pt>
                <c:pt idx="9">
                  <c:v>1042.067</c:v>
                </c:pt>
                <c:pt idx="10">
                  <c:v>1052.296</c:v>
                </c:pt>
                <c:pt idx="11">
                  <c:v>1048.866</c:v>
                </c:pt>
                <c:pt idx="12">
                  <c:v>1045.5</c:v>
                </c:pt>
                <c:pt idx="13">
                  <c:v>1026.9090000000001</c:v>
                </c:pt>
                <c:pt idx="14">
                  <c:v>978.298</c:v>
                </c:pt>
                <c:pt idx="15">
                  <c:v>928.37399999999991</c:v>
                </c:pt>
                <c:pt idx="16">
                  <c:v>878.55500000000006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DC-4565-BA54-6F85E634364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lux_370_420_cct_2700_3100!$I$39:$Y$39</c:f>
              <c:numCache>
                <c:formatCode>General</c:formatCode>
                <c:ptCount val="17"/>
                <c:pt idx="0">
                  <c:v>843.19499999999994</c:v>
                </c:pt>
                <c:pt idx="1">
                  <c:v>911.66100000000006</c:v>
                </c:pt>
                <c:pt idx="2">
                  <c:v>952.476</c:v>
                </c:pt>
                <c:pt idx="3">
                  <c:v>1002.2869999999999</c:v>
                </c:pt>
                <c:pt idx="4">
                  <c:v>1028.164</c:v>
                </c:pt>
                <c:pt idx="5">
                  <c:v>1041.836</c:v>
                </c:pt>
                <c:pt idx="6">
                  <c:v>1046.74</c:v>
                </c:pt>
                <c:pt idx="7">
                  <c:v>1045.3630000000001</c:v>
                </c:pt>
                <c:pt idx="8">
                  <c:v>1043.826</c:v>
                </c:pt>
                <c:pt idx="9">
                  <c:v>1044.5219999999999</c:v>
                </c:pt>
                <c:pt idx="10">
                  <c:v>1040.165</c:v>
                </c:pt>
                <c:pt idx="11">
                  <c:v>1034.6410000000001</c:v>
                </c:pt>
                <c:pt idx="12">
                  <c:v>1022.052</c:v>
                </c:pt>
                <c:pt idx="13">
                  <c:v>996.50599999999997</c:v>
                </c:pt>
                <c:pt idx="14">
                  <c:v>960.09199999999998</c:v>
                </c:pt>
                <c:pt idx="15">
                  <c:v>907.78800000000001</c:v>
                </c:pt>
                <c:pt idx="16">
                  <c:v>874.2299999999999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DC-4565-BA54-6F85E634364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lux_370_420_cct_2700_3100!$I$40:$Y$40</c:f>
              <c:numCache>
                <c:formatCode>General</c:formatCode>
                <c:ptCount val="17"/>
                <c:pt idx="0">
                  <c:v>858.43600000000004</c:v>
                </c:pt>
                <c:pt idx="1">
                  <c:v>891.12</c:v>
                </c:pt>
                <c:pt idx="2">
                  <c:v>930.37300000000005</c:v>
                </c:pt>
                <c:pt idx="3">
                  <c:v>971.29300000000001</c:v>
                </c:pt>
                <c:pt idx="4">
                  <c:v>999.78</c:v>
                </c:pt>
                <c:pt idx="5">
                  <c:v>1028.8050000000001</c:v>
                </c:pt>
                <c:pt idx="6">
                  <c:v>1036.4390000000001</c:v>
                </c:pt>
                <c:pt idx="7">
                  <c:v>1037.82</c:v>
                </c:pt>
                <c:pt idx="8">
                  <c:v>1035.3419999999999</c:v>
                </c:pt>
                <c:pt idx="9">
                  <c:v>1037.085</c:v>
                </c:pt>
                <c:pt idx="10">
                  <c:v>1037.136</c:v>
                </c:pt>
                <c:pt idx="11">
                  <c:v>1022.052</c:v>
                </c:pt>
                <c:pt idx="12">
                  <c:v>1001.4899999999999</c:v>
                </c:pt>
                <c:pt idx="13">
                  <c:v>965.62200000000007</c:v>
                </c:pt>
                <c:pt idx="14">
                  <c:v>921.90899999999988</c:v>
                </c:pt>
                <c:pt idx="15">
                  <c:v>881.71</c:v>
                </c:pt>
                <c:pt idx="16">
                  <c:v>866.72300000000007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DC-4565-BA54-6F85E634364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lux_370_420_cct_2700_3100!$I$41:$Y$41</c:f>
              <c:numCache>
                <c:formatCode>General</c:formatCode>
                <c:ptCount val="17"/>
                <c:pt idx="0">
                  <c:v>854.97400000000005</c:v>
                </c:pt>
                <c:pt idx="1">
                  <c:v>868.78599999999994</c:v>
                </c:pt>
                <c:pt idx="2">
                  <c:v>903.11400000000003</c:v>
                </c:pt>
                <c:pt idx="3">
                  <c:v>930.41</c:v>
                </c:pt>
                <c:pt idx="4">
                  <c:v>965.12400000000002</c:v>
                </c:pt>
                <c:pt idx="5">
                  <c:v>993.18799999999999</c:v>
                </c:pt>
                <c:pt idx="6">
                  <c:v>1008.93</c:v>
                </c:pt>
                <c:pt idx="7">
                  <c:v>1023.1200000000001</c:v>
                </c:pt>
                <c:pt idx="8">
                  <c:v>1020.144</c:v>
                </c:pt>
                <c:pt idx="9">
                  <c:v>1026.27</c:v>
                </c:pt>
                <c:pt idx="10">
                  <c:v>1016.691</c:v>
                </c:pt>
                <c:pt idx="11">
                  <c:v>1000.377</c:v>
                </c:pt>
                <c:pt idx="12">
                  <c:v>970.10399999999993</c:v>
                </c:pt>
                <c:pt idx="13">
                  <c:v>933.06200000000013</c:v>
                </c:pt>
                <c:pt idx="14">
                  <c:v>888.93900000000008</c:v>
                </c:pt>
                <c:pt idx="15">
                  <c:v>866.42700000000002</c:v>
                </c:pt>
                <c:pt idx="16">
                  <c:v>845.30499999999995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3DC-4565-BA54-6F85E634364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lux_370_420_cct_2700_3100!$I$42:$Y$42</c:f>
              <c:numCache>
                <c:formatCode>General</c:formatCode>
                <c:ptCount val="17"/>
                <c:pt idx="0">
                  <c:v>837.66100000000006</c:v>
                </c:pt>
                <c:pt idx="1">
                  <c:v>851.4</c:v>
                </c:pt>
                <c:pt idx="2">
                  <c:v>869.20899999999995</c:v>
                </c:pt>
                <c:pt idx="3">
                  <c:v>888.56</c:v>
                </c:pt>
                <c:pt idx="4">
                  <c:v>933.54599999999994</c:v>
                </c:pt>
                <c:pt idx="5">
                  <c:v>941.4559999999999</c:v>
                </c:pt>
                <c:pt idx="6">
                  <c:v>963.92399999999998</c:v>
                </c:pt>
                <c:pt idx="7">
                  <c:v>968.24</c:v>
                </c:pt>
                <c:pt idx="8">
                  <c:v>984.45100000000002</c:v>
                </c:pt>
                <c:pt idx="9">
                  <c:v>974.48</c:v>
                </c:pt>
                <c:pt idx="10">
                  <c:v>974.94600000000003</c:v>
                </c:pt>
                <c:pt idx="11">
                  <c:v>952.59199999999998</c:v>
                </c:pt>
                <c:pt idx="12">
                  <c:v>926.01600000000008</c:v>
                </c:pt>
                <c:pt idx="13">
                  <c:v>892.00700000000006</c:v>
                </c:pt>
                <c:pt idx="14">
                  <c:v>872.24900000000002</c:v>
                </c:pt>
                <c:pt idx="15">
                  <c:v>836.7</c:v>
                </c:pt>
                <c:pt idx="16">
                  <c:v>787.77599999999995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3DC-4565-BA54-6F85E634364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lux_370_420_cct_2700_3100!$I$44:$Y$44</c:f>
              <c:numCache>
                <c:formatCode>General</c:formatCode>
                <c:ptCount val="17"/>
                <c:pt idx="0">
                  <c:v>749.42</c:v>
                </c:pt>
                <c:pt idx="1">
                  <c:v>814.82</c:v>
                </c:pt>
                <c:pt idx="2">
                  <c:v>837.05600000000004</c:v>
                </c:pt>
                <c:pt idx="3">
                  <c:v>889.16599999999994</c:v>
                </c:pt>
                <c:pt idx="4">
                  <c:v>918.23599999999999</c:v>
                </c:pt>
                <c:pt idx="5">
                  <c:v>914.40899999999999</c:v>
                </c:pt>
                <c:pt idx="6">
                  <c:v>952.90600000000006</c:v>
                </c:pt>
                <c:pt idx="7">
                  <c:v>964.23599999999999</c:v>
                </c:pt>
                <c:pt idx="8">
                  <c:v>974.75</c:v>
                </c:pt>
                <c:pt idx="9">
                  <c:v>966.42</c:v>
                </c:pt>
                <c:pt idx="10">
                  <c:v>956.56700000000001</c:v>
                </c:pt>
                <c:pt idx="11">
                  <c:v>916.79399999999998</c:v>
                </c:pt>
                <c:pt idx="12">
                  <c:v>921.39300000000003</c:v>
                </c:pt>
                <c:pt idx="13">
                  <c:v>861.28399999999999</c:v>
                </c:pt>
                <c:pt idx="14">
                  <c:v>848.67200000000003</c:v>
                </c:pt>
                <c:pt idx="15">
                  <c:v>824.4609999999999</c:v>
                </c:pt>
                <c:pt idx="16">
                  <c:v>754.71999999999991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E-4516-9E6D-8C2CB4ADEC0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lux_370_420_cct_2700_3100!$I$45:$Y$45</c:f>
              <c:numCache>
                <c:formatCode>General</c:formatCode>
                <c:ptCount val="17"/>
                <c:pt idx="0">
                  <c:v>821.4</c:v>
                </c:pt>
                <c:pt idx="1">
                  <c:v>839.88300000000004</c:v>
                </c:pt>
                <c:pt idx="2">
                  <c:v>876.79399999999998</c:v>
                </c:pt>
                <c:pt idx="3">
                  <c:v>922.74</c:v>
                </c:pt>
                <c:pt idx="4">
                  <c:v>961.024</c:v>
                </c:pt>
                <c:pt idx="5">
                  <c:v>992.86400000000003</c:v>
                </c:pt>
                <c:pt idx="6">
                  <c:v>1013.7140000000001</c:v>
                </c:pt>
                <c:pt idx="7">
                  <c:v>1016.015</c:v>
                </c:pt>
                <c:pt idx="8">
                  <c:v>1021.896</c:v>
                </c:pt>
                <c:pt idx="9">
                  <c:v>1016.015</c:v>
                </c:pt>
                <c:pt idx="10">
                  <c:v>1018.0119999999999</c:v>
                </c:pt>
                <c:pt idx="11">
                  <c:v>998.54399999999998</c:v>
                </c:pt>
                <c:pt idx="12">
                  <c:v>969.72799999999995</c:v>
                </c:pt>
                <c:pt idx="13">
                  <c:v>932.74999999999989</c:v>
                </c:pt>
                <c:pt idx="14">
                  <c:v>889.92800000000011</c:v>
                </c:pt>
                <c:pt idx="15">
                  <c:v>851.47699999999998</c:v>
                </c:pt>
                <c:pt idx="16">
                  <c:v>820.21600000000001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5E-4516-9E6D-8C2CB4ADEC0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lux_370_420_cct_2700_3100!$I$46:$Y$46</c:f>
              <c:numCache>
                <c:formatCode>General</c:formatCode>
                <c:ptCount val="17"/>
                <c:pt idx="0">
                  <c:v>823.93600000000004</c:v>
                </c:pt>
                <c:pt idx="1">
                  <c:v>859.125</c:v>
                </c:pt>
                <c:pt idx="2">
                  <c:v>913.02300000000002</c:v>
                </c:pt>
                <c:pt idx="3">
                  <c:v>961.024</c:v>
                </c:pt>
                <c:pt idx="4">
                  <c:v>991.22</c:v>
                </c:pt>
                <c:pt idx="5">
                  <c:v>1015.4159999999999</c:v>
                </c:pt>
                <c:pt idx="6">
                  <c:v>1030.71</c:v>
                </c:pt>
                <c:pt idx="7">
                  <c:v>1050.75</c:v>
                </c:pt>
                <c:pt idx="8">
                  <c:v>1056.1319999999998</c:v>
                </c:pt>
                <c:pt idx="9">
                  <c:v>1056.75</c:v>
                </c:pt>
                <c:pt idx="10">
                  <c:v>1043.4000000000001</c:v>
                </c:pt>
                <c:pt idx="11">
                  <c:v>1029.672</c:v>
                </c:pt>
                <c:pt idx="12">
                  <c:v>1006.3000000000001</c:v>
                </c:pt>
                <c:pt idx="13">
                  <c:v>977.40800000000002</c:v>
                </c:pt>
                <c:pt idx="14">
                  <c:v>927.64199999999994</c:v>
                </c:pt>
                <c:pt idx="15">
                  <c:v>869.25</c:v>
                </c:pt>
                <c:pt idx="16">
                  <c:v>822.3660000000001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5E-4516-9E6D-8C2CB4ADEC0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lux_370_420_cct_2700_3100!$I$47:$Y$47</c:f>
              <c:numCache>
                <c:formatCode>General</c:formatCode>
                <c:ptCount val="17"/>
                <c:pt idx="0">
                  <c:v>858.19100000000003</c:v>
                </c:pt>
                <c:pt idx="1">
                  <c:v>889.57499999999993</c:v>
                </c:pt>
                <c:pt idx="2">
                  <c:v>954.52800000000002</c:v>
                </c:pt>
                <c:pt idx="3">
                  <c:v>993.43200000000002</c:v>
                </c:pt>
                <c:pt idx="4">
                  <c:v>1014.12</c:v>
                </c:pt>
                <c:pt idx="5">
                  <c:v>1041.251</c:v>
                </c:pt>
                <c:pt idx="6">
                  <c:v>1045.8720000000001</c:v>
                </c:pt>
                <c:pt idx="7">
                  <c:v>1056.0139999999999</c:v>
                </c:pt>
                <c:pt idx="8">
                  <c:v>1058.4000000000001</c:v>
                </c:pt>
                <c:pt idx="9">
                  <c:v>1064.5440000000001</c:v>
                </c:pt>
                <c:pt idx="10">
                  <c:v>1063.626</c:v>
                </c:pt>
                <c:pt idx="11">
                  <c:v>1043.972</c:v>
                </c:pt>
                <c:pt idx="12">
                  <c:v>1034.856</c:v>
                </c:pt>
                <c:pt idx="13">
                  <c:v>992.57400000000007</c:v>
                </c:pt>
                <c:pt idx="14">
                  <c:v>945.89100000000008</c:v>
                </c:pt>
                <c:pt idx="15">
                  <c:v>897.75499999999988</c:v>
                </c:pt>
                <c:pt idx="16">
                  <c:v>856.44600000000003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5E-4516-9E6D-8C2CB4ADEC0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lux_370_420_cct_2700_3100!$I$48:$Y$48</c:f>
              <c:numCache>
                <c:formatCode>General</c:formatCode>
                <c:ptCount val="17"/>
                <c:pt idx="0">
                  <c:v>864.05900000000008</c:v>
                </c:pt>
                <c:pt idx="1">
                  <c:v>899.42399999999998</c:v>
                </c:pt>
                <c:pt idx="2">
                  <c:v>952.83199999999999</c:v>
                </c:pt>
                <c:pt idx="3">
                  <c:v>1014.942</c:v>
                </c:pt>
                <c:pt idx="4">
                  <c:v>1027.8899999999999</c:v>
                </c:pt>
                <c:pt idx="5">
                  <c:v>1044.258</c:v>
                </c:pt>
                <c:pt idx="6">
                  <c:v>1050.2079999999999</c:v>
                </c:pt>
                <c:pt idx="7">
                  <c:v>1048.5</c:v>
                </c:pt>
                <c:pt idx="8">
                  <c:v>1058.1400000000001</c:v>
                </c:pt>
                <c:pt idx="9">
                  <c:v>1053.1599999999999</c:v>
                </c:pt>
                <c:pt idx="10">
                  <c:v>1059.9650000000001</c:v>
                </c:pt>
                <c:pt idx="11">
                  <c:v>1057.17</c:v>
                </c:pt>
                <c:pt idx="12">
                  <c:v>1043.4000000000001</c:v>
                </c:pt>
                <c:pt idx="13">
                  <c:v>1010.758</c:v>
                </c:pt>
                <c:pt idx="14">
                  <c:v>970.24</c:v>
                </c:pt>
                <c:pt idx="15">
                  <c:v>913.68000000000006</c:v>
                </c:pt>
                <c:pt idx="16">
                  <c:v>871.47900000000004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5E-4516-9E6D-8C2CB4ADEC0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lux_370_420_cct_2700_3100!$I$49:$Y$49</c:f>
              <c:numCache>
                <c:formatCode>General</c:formatCode>
                <c:ptCount val="17"/>
                <c:pt idx="0">
                  <c:v>860.70899999999995</c:v>
                </c:pt>
                <c:pt idx="1">
                  <c:v>920.00999999999988</c:v>
                </c:pt>
                <c:pt idx="2">
                  <c:v>959.06400000000008</c:v>
                </c:pt>
                <c:pt idx="3">
                  <c:v>1008.371</c:v>
                </c:pt>
                <c:pt idx="4">
                  <c:v>1040.25</c:v>
                </c:pt>
                <c:pt idx="5">
                  <c:v>1050.896</c:v>
                </c:pt>
                <c:pt idx="6">
                  <c:v>1047.5680000000002</c:v>
                </c:pt>
                <c:pt idx="7">
                  <c:v>1041.4169999999999</c:v>
                </c:pt>
                <c:pt idx="8">
                  <c:v>1031</c:v>
                </c:pt>
                <c:pt idx="9">
                  <c:v>1046.3620000000001</c:v>
                </c:pt>
                <c:pt idx="10">
                  <c:v>1053.1599999999999</c:v>
                </c:pt>
                <c:pt idx="11">
                  <c:v>1042.8399999999999</c:v>
                </c:pt>
                <c:pt idx="12">
                  <c:v>1035.3389999999999</c:v>
                </c:pt>
                <c:pt idx="13">
                  <c:v>1023.659</c:v>
                </c:pt>
                <c:pt idx="14">
                  <c:v>977.22</c:v>
                </c:pt>
                <c:pt idx="15">
                  <c:v>913.46599999999989</c:v>
                </c:pt>
                <c:pt idx="16">
                  <c:v>882.04899999999998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5E-4516-9E6D-8C2CB4ADEC0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lux_370_420_cct_2700_3100!$I$50:$Y$50</c:f>
              <c:numCache>
                <c:formatCode>General</c:formatCode>
                <c:ptCount val="17"/>
                <c:pt idx="0">
                  <c:v>855.78200000000004</c:v>
                </c:pt>
                <c:pt idx="1">
                  <c:v>911.36500000000001</c:v>
                </c:pt>
                <c:pt idx="2">
                  <c:v>967.51200000000006</c:v>
                </c:pt>
                <c:pt idx="3">
                  <c:v>1008.288</c:v>
                </c:pt>
                <c:pt idx="4">
                  <c:v>1033.2720000000002</c:v>
                </c:pt>
                <c:pt idx="5">
                  <c:v>1038.528</c:v>
                </c:pt>
                <c:pt idx="6">
                  <c:v>1030.6990000000001</c:v>
                </c:pt>
                <c:pt idx="7">
                  <c:v>1025</c:v>
                </c:pt>
                <c:pt idx="8">
                  <c:v>1031.184</c:v>
                </c:pt>
                <c:pt idx="9">
                  <c:v>1030</c:v>
                </c:pt>
                <c:pt idx="10">
                  <c:v>1043.9010000000001</c:v>
                </c:pt>
                <c:pt idx="11">
                  <c:v>1053.2160000000001</c:v>
                </c:pt>
                <c:pt idx="12">
                  <c:v>1033.5</c:v>
                </c:pt>
                <c:pt idx="13">
                  <c:v>1025.7839999999999</c:v>
                </c:pt>
                <c:pt idx="14">
                  <c:v>983.346</c:v>
                </c:pt>
                <c:pt idx="15">
                  <c:v>925.01499999999999</c:v>
                </c:pt>
                <c:pt idx="16">
                  <c:v>860.33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5E-4516-9E6D-8C2CB4ADEC0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lux_370_420_cct_2700_3100!$I$51:$Y$51</c:f>
              <c:numCache>
                <c:formatCode>General</c:formatCode>
                <c:ptCount val="17"/>
                <c:pt idx="0">
                  <c:v>874.38900000000001</c:v>
                </c:pt>
                <c:pt idx="1">
                  <c:v>897.96100000000001</c:v>
                </c:pt>
                <c:pt idx="2">
                  <c:v>955.86</c:v>
                </c:pt>
                <c:pt idx="3">
                  <c:v>1002.001</c:v>
                </c:pt>
                <c:pt idx="4">
                  <c:v>1015.3860000000001</c:v>
                </c:pt>
                <c:pt idx="5">
                  <c:v>1022.6559999999999</c:v>
                </c:pt>
                <c:pt idx="6">
                  <c:v>1031.7239999999999</c:v>
                </c:pt>
                <c:pt idx="7">
                  <c:v>1016.1419999999999</c:v>
                </c:pt>
                <c:pt idx="8">
                  <c:v>1020.9999999999999</c:v>
                </c:pt>
                <c:pt idx="9">
                  <c:v>1026.9000000000001</c:v>
                </c:pt>
                <c:pt idx="10">
                  <c:v>1049.4319999999998</c:v>
                </c:pt>
                <c:pt idx="11">
                  <c:v>1041.999</c:v>
                </c:pt>
                <c:pt idx="12">
                  <c:v>1035.3389999999999</c:v>
                </c:pt>
                <c:pt idx="13">
                  <c:v>1021.748</c:v>
                </c:pt>
                <c:pt idx="14">
                  <c:v>972.94799999999998</c:v>
                </c:pt>
                <c:pt idx="15">
                  <c:v>907.26400000000001</c:v>
                </c:pt>
                <c:pt idx="16">
                  <c:v>870.94200000000001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5E-4516-9E6D-8C2CB4ADEC0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lux_370_420_cct_2700_3100!$I$52:$Y$52</c:f>
              <c:numCache>
                <c:formatCode>General</c:formatCode>
                <c:ptCount val="17"/>
                <c:pt idx="0">
                  <c:v>834.46399999999994</c:v>
                </c:pt>
                <c:pt idx="1">
                  <c:v>902.87999999999988</c:v>
                </c:pt>
                <c:pt idx="2">
                  <c:v>952.83199999999999</c:v>
                </c:pt>
                <c:pt idx="3">
                  <c:v>989.68799999999999</c:v>
                </c:pt>
                <c:pt idx="4">
                  <c:v>1018.02</c:v>
                </c:pt>
                <c:pt idx="5">
                  <c:v>1018.88</c:v>
                </c:pt>
                <c:pt idx="6">
                  <c:v>1025.5</c:v>
                </c:pt>
                <c:pt idx="7">
                  <c:v>1033.588</c:v>
                </c:pt>
                <c:pt idx="8">
                  <c:v>1028.8129999999999</c:v>
                </c:pt>
                <c:pt idx="9">
                  <c:v>1025.9940000000001</c:v>
                </c:pt>
                <c:pt idx="10">
                  <c:v>1035.125</c:v>
                </c:pt>
                <c:pt idx="11">
                  <c:v>1034.0039999999999</c:v>
                </c:pt>
                <c:pt idx="12">
                  <c:v>1036.3499999999999</c:v>
                </c:pt>
                <c:pt idx="13">
                  <c:v>1008.35</c:v>
                </c:pt>
                <c:pt idx="14">
                  <c:v>968.19200000000001</c:v>
                </c:pt>
                <c:pt idx="15">
                  <c:v>912.38400000000001</c:v>
                </c:pt>
                <c:pt idx="16">
                  <c:v>834.46399999999994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5E-4516-9E6D-8C2CB4ADEC0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lux_370_420_cct_2700_3100!$I$53:$Y$53</c:f>
              <c:numCache>
                <c:formatCode>General</c:formatCode>
                <c:ptCount val="17"/>
                <c:pt idx="0">
                  <c:v>813.18600000000004</c:v>
                </c:pt>
                <c:pt idx="1">
                  <c:v>886.30299999999988</c:v>
                </c:pt>
                <c:pt idx="2">
                  <c:v>929.19600000000003</c:v>
                </c:pt>
                <c:pt idx="3">
                  <c:v>970.85100000000011</c:v>
                </c:pt>
                <c:pt idx="4">
                  <c:v>1009.5840000000001</c:v>
                </c:pt>
                <c:pt idx="5">
                  <c:v>1017.073</c:v>
                </c:pt>
                <c:pt idx="6">
                  <c:v>1019.6759999999999</c:v>
                </c:pt>
                <c:pt idx="7">
                  <c:v>1023.4970000000001</c:v>
                </c:pt>
                <c:pt idx="8">
                  <c:v>1021.894</c:v>
                </c:pt>
                <c:pt idx="9">
                  <c:v>1024.338</c:v>
                </c:pt>
                <c:pt idx="10">
                  <c:v>1022.0640000000001</c:v>
                </c:pt>
                <c:pt idx="11">
                  <c:v>1020.708</c:v>
                </c:pt>
                <c:pt idx="12">
                  <c:v>999.45299999999997</c:v>
                </c:pt>
                <c:pt idx="13">
                  <c:v>983.66200000000003</c:v>
                </c:pt>
                <c:pt idx="14">
                  <c:v>943.50599999999997</c:v>
                </c:pt>
                <c:pt idx="15">
                  <c:v>898.57299999999998</c:v>
                </c:pt>
                <c:pt idx="16">
                  <c:v>822.17699999999991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5E-4516-9E6D-8C2CB4ADEC0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lux_370_420_cct_2700_3100!$I$54:$Y$54</c:f>
              <c:numCache>
                <c:formatCode>General</c:formatCode>
                <c:ptCount val="17"/>
                <c:pt idx="0">
                  <c:v>823.62200000000007</c:v>
                </c:pt>
                <c:pt idx="1">
                  <c:v>861.75</c:v>
                </c:pt>
                <c:pt idx="2">
                  <c:v>892.94400000000007</c:v>
                </c:pt>
                <c:pt idx="3">
                  <c:v>937</c:v>
                </c:pt>
                <c:pt idx="4">
                  <c:v>965.6</c:v>
                </c:pt>
                <c:pt idx="5">
                  <c:v>991.80899999999997</c:v>
                </c:pt>
                <c:pt idx="6">
                  <c:v>1002.7710000000001</c:v>
                </c:pt>
                <c:pt idx="7">
                  <c:v>1019.081</c:v>
                </c:pt>
                <c:pt idx="8">
                  <c:v>1018.5000000000001</c:v>
                </c:pt>
                <c:pt idx="9">
                  <c:v>1019.8199999999999</c:v>
                </c:pt>
                <c:pt idx="10">
                  <c:v>1004.85</c:v>
                </c:pt>
                <c:pt idx="11">
                  <c:v>996.90499999999997</c:v>
                </c:pt>
                <c:pt idx="12">
                  <c:v>974.68799999999999</c:v>
                </c:pt>
                <c:pt idx="13">
                  <c:v>949</c:v>
                </c:pt>
                <c:pt idx="14">
                  <c:v>902.87999999999988</c:v>
                </c:pt>
                <c:pt idx="15">
                  <c:v>870.75</c:v>
                </c:pt>
                <c:pt idx="16">
                  <c:v>826.76200000000006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5E-4516-9E6D-8C2CB4ADEC0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lux_370_420_cct_2700_3100!$I$55:$Y$55</c:f>
              <c:numCache>
                <c:formatCode>General</c:formatCode>
                <c:ptCount val="17"/>
                <c:pt idx="0">
                  <c:v>832.94399999999996</c:v>
                </c:pt>
                <c:pt idx="1">
                  <c:v>850.45400000000006</c:v>
                </c:pt>
                <c:pt idx="2">
                  <c:v>859.62199999999996</c:v>
                </c:pt>
                <c:pt idx="3">
                  <c:v>903.27700000000004</c:v>
                </c:pt>
                <c:pt idx="4">
                  <c:v>938</c:v>
                </c:pt>
                <c:pt idx="5">
                  <c:v>968.62300000000005</c:v>
                </c:pt>
                <c:pt idx="6">
                  <c:v>987.28</c:v>
                </c:pt>
                <c:pt idx="7">
                  <c:v>988.75</c:v>
                </c:pt>
                <c:pt idx="8">
                  <c:v>997.54200000000003</c:v>
                </c:pt>
                <c:pt idx="9">
                  <c:v>993.75</c:v>
                </c:pt>
                <c:pt idx="10">
                  <c:v>998.11599999999999</c:v>
                </c:pt>
                <c:pt idx="11">
                  <c:v>981.43399999999997</c:v>
                </c:pt>
                <c:pt idx="12">
                  <c:v>950</c:v>
                </c:pt>
                <c:pt idx="13">
                  <c:v>912.13700000000006</c:v>
                </c:pt>
                <c:pt idx="14">
                  <c:v>864.6400000000001</c:v>
                </c:pt>
                <c:pt idx="15">
                  <c:v>850.79500000000007</c:v>
                </c:pt>
                <c:pt idx="16">
                  <c:v>821.99200000000008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5E-4516-9E6D-8C2CB4ADEC0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lux_370_420_cct_2700_3100!$I$56:$Y$56</c:f>
              <c:numCache>
                <c:formatCode>General</c:formatCode>
                <c:ptCount val="17"/>
                <c:pt idx="0">
                  <c:v>787.05000000000007</c:v>
                </c:pt>
                <c:pt idx="1">
                  <c:v>809.85600000000011</c:v>
                </c:pt>
                <c:pt idx="2">
                  <c:v>840.90600000000006</c:v>
                </c:pt>
                <c:pt idx="3">
                  <c:v>893.51</c:v>
                </c:pt>
                <c:pt idx="4">
                  <c:v>921.3599999999999</c:v>
                </c:pt>
                <c:pt idx="5">
                  <c:v>913.36</c:v>
                </c:pt>
                <c:pt idx="6">
                  <c:v>953.34400000000005</c:v>
                </c:pt>
                <c:pt idx="7">
                  <c:v>963.87</c:v>
                </c:pt>
                <c:pt idx="8">
                  <c:v>949.76</c:v>
                </c:pt>
                <c:pt idx="9">
                  <c:v>972.41399999999999</c:v>
                </c:pt>
                <c:pt idx="10">
                  <c:v>940.41599999999994</c:v>
                </c:pt>
                <c:pt idx="11">
                  <c:v>931.53400000000011</c:v>
                </c:pt>
                <c:pt idx="12">
                  <c:v>901</c:v>
                </c:pt>
                <c:pt idx="13">
                  <c:v>866.346</c:v>
                </c:pt>
                <c:pt idx="14">
                  <c:v>841.24700000000007</c:v>
                </c:pt>
                <c:pt idx="15">
                  <c:v>797.71999999999991</c:v>
                </c:pt>
                <c:pt idx="16">
                  <c:v>757.37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5E-4516-9E6D-8C2CB4ADEC0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lux_370_420_cct_3800_4200!$I$2:$Y$2</c:f>
              <c:numCache>
                <c:formatCode>General</c:formatCode>
                <c:ptCount val="17"/>
                <c:pt idx="0">
                  <c:v>817.38</c:v>
                </c:pt>
                <c:pt idx="1">
                  <c:v>945</c:v>
                </c:pt>
                <c:pt idx="2">
                  <c:v>1070.509</c:v>
                </c:pt>
                <c:pt idx="3">
                  <c:v>1104.6600000000001</c:v>
                </c:pt>
                <c:pt idx="4">
                  <c:v>1140.768</c:v>
                </c:pt>
                <c:pt idx="5">
                  <c:v>1138.395</c:v>
                </c:pt>
                <c:pt idx="6">
                  <c:v>1161.8399999999999</c:v>
                </c:pt>
                <c:pt idx="7">
                  <c:v>1204.28</c:v>
                </c:pt>
                <c:pt idx="8">
                  <c:v>1182.21</c:v>
                </c:pt>
                <c:pt idx="9">
                  <c:v>1210.3519999999999</c:v>
                </c:pt>
                <c:pt idx="10">
                  <c:v>1203.0719999999999</c:v>
                </c:pt>
                <c:pt idx="11">
                  <c:v>1196.0520000000001</c:v>
                </c:pt>
                <c:pt idx="12">
                  <c:v>1160.3519999999999</c:v>
                </c:pt>
                <c:pt idx="13">
                  <c:v>1121.2659999999998</c:v>
                </c:pt>
                <c:pt idx="14">
                  <c:v>1090.797</c:v>
                </c:pt>
                <c:pt idx="15">
                  <c:v>983.33999999999992</c:v>
                </c:pt>
                <c:pt idx="16">
                  <c:v>884.53899999999999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F-48C8-A492-52C055B65531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lux_370_420_cct_3800_4200!$I$3:$Y$3</c:f>
              <c:numCache>
                <c:formatCode>General</c:formatCode>
                <c:ptCount val="17"/>
                <c:pt idx="0">
                  <c:v>978.21</c:v>
                </c:pt>
                <c:pt idx="1">
                  <c:v>1090.48</c:v>
                </c:pt>
                <c:pt idx="2">
                  <c:v>1131.135</c:v>
                </c:pt>
                <c:pt idx="3">
                  <c:v>1170.441</c:v>
                </c:pt>
                <c:pt idx="4">
                  <c:v>1180.6400000000001</c:v>
                </c:pt>
                <c:pt idx="5">
                  <c:v>1211.9389999999999</c:v>
                </c:pt>
                <c:pt idx="6">
                  <c:v>1193.9880000000001</c:v>
                </c:pt>
                <c:pt idx="7">
                  <c:v>1205.3999999999999</c:v>
                </c:pt>
                <c:pt idx="8">
                  <c:v>1207.336</c:v>
                </c:pt>
                <c:pt idx="9">
                  <c:v>1213.1999999999998</c:v>
                </c:pt>
                <c:pt idx="10">
                  <c:v>1233.2159999999999</c:v>
                </c:pt>
                <c:pt idx="11">
                  <c:v>1229.396</c:v>
                </c:pt>
                <c:pt idx="12">
                  <c:v>1203.67</c:v>
                </c:pt>
                <c:pt idx="13">
                  <c:v>1194.5519999999999</c:v>
                </c:pt>
                <c:pt idx="14">
                  <c:v>1150.845</c:v>
                </c:pt>
                <c:pt idx="15">
                  <c:v>1112.0360000000001</c:v>
                </c:pt>
                <c:pt idx="16">
                  <c:v>958.54499999999996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F-48C8-A492-52C055B65531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lux_370_420_cct_3800_4200!$I$4:$Y$4</c:f>
              <c:numCache>
                <c:formatCode>General</c:formatCode>
                <c:ptCount val="17"/>
                <c:pt idx="0">
                  <c:v>1050.0899999999999</c:v>
                </c:pt>
                <c:pt idx="1">
                  <c:v>1138.778</c:v>
                </c:pt>
                <c:pt idx="2">
                  <c:v>1165.96</c:v>
                </c:pt>
                <c:pt idx="3">
                  <c:v>1185.3399999999999</c:v>
                </c:pt>
                <c:pt idx="4">
                  <c:v>1206.971</c:v>
                </c:pt>
                <c:pt idx="5">
                  <c:v>1211.002</c:v>
                </c:pt>
                <c:pt idx="6">
                  <c:v>1200.6400000000001</c:v>
                </c:pt>
                <c:pt idx="7">
                  <c:v>1179.02</c:v>
                </c:pt>
                <c:pt idx="8">
                  <c:v>1169.4269999999999</c:v>
                </c:pt>
                <c:pt idx="9">
                  <c:v>1183.962</c:v>
                </c:pt>
                <c:pt idx="10">
                  <c:v>1208.68</c:v>
                </c:pt>
                <c:pt idx="11">
                  <c:v>1223.8330000000001</c:v>
                </c:pt>
                <c:pt idx="12">
                  <c:v>1226.4469999999999</c:v>
                </c:pt>
                <c:pt idx="13">
                  <c:v>1209.78</c:v>
                </c:pt>
                <c:pt idx="14">
                  <c:v>1191.0920000000001</c:v>
                </c:pt>
                <c:pt idx="15">
                  <c:v>1157.4870000000001</c:v>
                </c:pt>
                <c:pt idx="16">
                  <c:v>1071.26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AF-48C8-A492-52C055B65531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lux_370_420_cct_3800_4200!$I$5:$Y$5</c:f>
              <c:numCache>
                <c:formatCode>General</c:formatCode>
                <c:ptCount val="17"/>
                <c:pt idx="0">
                  <c:v>1089.2659999999998</c:v>
                </c:pt>
                <c:pt idx="1">
                  <c:v>1127.624</c:v>
                </c:pt>
                <c:pt idx="2">
                  <c:v>1170.693</c:v>
                </c:pt>
                <c:pt idx="3">
                  <c:v>1214.5839999999998</c:v>
                </c:pt>
                <c:pt idx="4">
                  <c:v>1212.835</c:v>
                </c:pt>
                <c:pt idx="5">
                  <c:v>1195.068</c:v>
                </c:pt>
                <c:pt idx="6">
                  <c:v>1161.28</c:v>
                </c:pt>
                <c:pt idx="7">
                  <c:v>1131.345</c:v>
                </c:pt>
                <c:pt idx="8">
                  <c:v>1129.7549999999999</c:v>
                </c:pt>
                <c:pt idx="9">
                  <c:v>1133.778</c:v>
                </c:pt>
                <c:pt idx="10">
                  <c:v>1163.5719999999999</c:v>
                </c:pt>
                <c:pt idx="11">
                  <c:v>1200.6199999999999</c:v>
                </c:pt>
                <c:pt idx="12">
                  <c:v>1224.444</c:v>
                </c:pt>
                <c:pt idx="13">
                  <c:v>1234.6860000000001</c:v>
                </c:pt>
                <c:pt idx="14">
                  <c:v>1201.5360000000001</c:v>
                </c:pt>
                <c:pt idx="15">
                  <c:v>1153.192</c:v>
                </c:pt>
                <c:pt idx="16">
                  <c:v>1105.5940000000001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AF-48C8-A492-52C055B65531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lux_370_420_cct_3800_4200!$I$6:$Y$6</c:f>
              <c:numCache>
                <c:formatCode>General</c:formatCode>
                <c:ptCount val="17"/>
                <c:pt idx="0">
                  <c:v>1100.232</c:v>
                </c:pt>
                <c:pt idx="1">
                  <c:v>1172.5520000000001</c:v>
                </c:pt>
                <c:pt idx="2">
                  <c:v>1188.6120000000001</c:v>
                </c:pt>
                <c:pt idx="3">
                  <c:v>1215.9360000000001</c:v>
                </c:pt>
                <c:pt idx="4">
                  <c:v>1199.3</c:v>
                </c:pt>
                <c:pt idx="5">
                  <c:v>1159.752</c:v>
                </c:pt>
                <c:pt idx="6">
                  <c:v>1118.8869999999999</c:v>
                </c:pt>
                <c:pt idx="7">
                  <c:v>1090.5250000000001</c:v>
                </c:pt>
                <c:pt idx="8">
                  <c:v>1082.2850000000001</c:v>
                </c:pt>
                <c:pt idx="9">
                  <c:v>1094.145</c:v>
                </c:pt>
                <c:pt idx="10">
                  <c:v>1123.9690000000001</c:v>
                </c:pt>
                <c:pt idx="11">
                  <c:v>1166.6279999999999</c:v>
                </c:pt>
                <c:pt idx="12">
                  <c:v>1214.04</c:v>
                </c:pt>
                <c:pt idx="13">
                  <c:v>1238.3999999999999</c:v>
                </c:pt>
                <c:pt idx="14">
                  <c:v>1217.05</c:v>
                </c:pt>
                <c:pt idx="15">
                  <c:v>1161.5999999999999</c:v>
                </c:pt>
                <c:pt idx="16">
                  <c:v>1125.2429999999999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AF-48C8-A492-52C055B65531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lux_370_420_cct_3800_4200!$I$7:$Y$7</c:f>
              <c:numCache>
                <c:formatCode>General</c:formatCode>
                <c:ptCount val="17"/>
                <c:pt idx="0">
                  <c:v>1107.105</c:v>
                </c:pt>
                <c:pt idx="1">
                  <c:v>1169.595</c:v>
                </c:pt>
                <c:pt idx="2">
                  <c:v>1202.2559999999999</c:v>
                </c:pt>
                <c:pt idx="3">
                  <c:v>1203</c:v>
                </c:pt>
                <c:pt idx="4">
                  <c:v>1177.6079999999999</c:v>
                </c:pt>
                <c:pt idx="5">
                  <c:v>1128.1010000000001</c:v>
                </c:pt>
                <c:pt idx="6">
                  <c:v>1087.81</c:v>
                </c:pt>
                <c:pt idx="7">
                  <c:v>1044.9760000000001</c:v>
                </c:pt>
                <c:pt idx="8">
                  <c:v>1033.4480000000001</c:v>
                </c:pt>
                <c:pt idx="9">
                  <c:v>1064.816</c:v>
                </c:pt>
                <c:pt idx="10">
                  <c:v>1099.575</c:v>
                </c:pt>
                <c:pt idx="11">
                  <c:v>1141.8879999999999</c:v>
                </c:pt>
                <c:pt idx="12">
                  <c:v>1195.258</c:v>
                </c:pt>
                <c:pt idx="13">
                  <c:v>1225.8000000000002</c:v>
                </c:pt>
                <c:pt idx="14">
                  <c:v>1228.568</c:v>
                </c:pt>
                <c:pt idx="15">
                  <c:v>1188.6300000000001</c:v>
                </c:pt>
                <c:pt idx="16">
                  <c:v>1107.105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AF-48C8-A492-52C055B65531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lux_370_420_cct_3800_4200!$I$8:$Y$8</c:f>
              <c:numCache>
                <c:formatCode>General</c:formatCode>
                <c:ptCount val="17"/>
                <c:pt idx="0">
                  <c:v>1132.761</c:v>
                </c:pt>
                <c:pt idx="1">
                  <c:v>1192.77</c:v>
                </c:pt>
                <c:pt idx="2">
                  <c:v>1216.5010000000002</c:v>
                </c:pt>
                <c:pt idx="3">
                  <c:v>1206.7250000000001</c:v>
                </c:pt>
                <c:pt idx="4">
                  <c:v>1188.27</c:v>
                </c:pt>
                <c:pt idx="5">
                  <c:v>1128.92</c:v>
                </c:pt>
                <c:pt idx="6">
                  <c:v>1077.6399999999999</c:v>
                </c:pt>
                <c:pt idx="7">
                  <c:v>1038.96</c:v>
                </c:pt>
                <c:pt idx="8">
                  <c:v>1028.1149999999998</c:v>
                </c:pt>
                <c:pt idx="9">
                  <c:v>1044.954</c:v>
                </c:pt>
                <c:pt idx="10">
                  <c:v>1102.8519999999999</c:v>
                </c:pt>
                <c:pt idx="11">
                  <c:v>1143.115</c:v>
                </c:pt>
                <c:pt idx="12">
                  <c:v>1205.7659999999998</c:v>
                </c:pt>
                <c:pt idx="13">
                  <c:v>1228.721</c:v>
                </c:pt>
                <c:pt idx="14">
                  <c:v>1241.317</c:v>
                </c:pt>
                <c:pt idx="15">
                  <c:v>1180.5930000000001</c:v>
                </c:pt>
                <c:pt idx="16">
                  <c:v>1151.951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AF-48C8-A492-52C055B65531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lux_370_420_cct_3800_4200!$I$9:$Y$9</c:f>
              <c:numCache>
                <c:formatCode>General</c:formatCode>
                <c:ptCount val="17"/>
                <c:pt idx="0">
                  <c:v>1103.655</c:v>
                </c:pt>
                <c:pt idx="1">
                  <c:v>1170.018</c:v>
                </c:pt>
                <c:pt idx="2">
                  <c:v>1207.316</c:v>
                </c:pt>
                <c:pt idx="3">
                  <c:v>1234.22</c:v>
                </c:pt>
                <c:pt idx="4">
                  <c:v>1205.277</c:v>
                </c:pt>
                <c:pt idx="5">
                  <c:v>1151.377</c:v>
                </c:pt>
                <c:pt idx="6">
                  <c:v>1106.819</c:v>
                </c:pt>
                <c:pt idx="7">
                  <c:v>1059.9360000000001</c:v>
                </c:pt>
                <c:pt idx="8">
                  <c:v>1043.9549999999999</c:v>
                </c:pt>
                <c:pt idx="9">
                  <c:v>1063.8400000000001</c:v>
                </c:pt>
                <c:pt idx="10">
                  <c:v>1112.3210000000001</c:v>
                </c:pt>
                <c:pt idx="11">
                  <c:v>1158.7839999999999</c:v>
                </c:pt>
                <c:pt idx="12">
                  <c:v>1216.749</c:v>
                </c:pt>
                <c:pt idx="13">
                  <c:v>1231.2</c:v>
                </c:pt>
                <c:pt idx="14">
                  <c:v>1236.664</c:v>
                </c:pt>
                <c:pt idx="15">
                  <c:v>1197.5129999999999</c:v>
                </c:pt>
                <c:pt idx="16">
                  <c:v>1115.04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AF-48C8-A492-52C055B65531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lux_370_420_cct_3800_4200!$I$10:$Y$10</c:f>
              <c:numCache>
                <c:formatCode>General</c:formatCode>
                <c:ptCount val="17"/>
                <c:pt idx="0">
                  <c:v>1099.8989999999999</c:v>
                </c:pt>
                <c:pt idx="1">
                  <c:v>1174.6120000000001</c:v>
                </c:pt>
                <c:pt idx="2">
                  <c:v>1192.95</c:v>
                </c:pt>
                <c:pt idx="3">
                  <c:v>1222.8480000000002</c:v>
                </c:pt>
                <c:pt idx="4">
                  <c:v>1205.33</c:v>
                </c:pt>
                <c:pt idx="5">
                  <c:v>1184.1759999999999</c:v>
                </c:pt>
                <c:pt idx="6">
                  <c:v>1141.1400000000001</c:v>
                </c:pt>
                <c:pt idx="7">
                  <c:v>1112.3210000000001</c:v>
                </c:pt>
                <c:pt idx="8">
                  <c:v>1104.7339999999999</c:v>
                </c:pt>
                <c:pt idx="9">
                  <c:v>1113.2380000000001</c:v>
                </c:pt>
                <c:pt idx="10">
                  <c:v>1141.1400000000001</c:v>
                </c:pt>
                <c:pt idx="11">
                  <c:v>1184.952</c:v>
                </c:pt>
                <c:pt idx="12">
                  <c:v>1215.3800000000001</c:v>
                </c:pt>
                <c:pt idx="13">
                  <c:v>1243.5839999999998</c:v>
                </c:pt>
                <c:pt idx="14">
                  <c:v>1222.3520000000001</c:v>
                </c:pt>
                <c:pt idx="15">
                  <c:v>1201.3920000000001</c:v>
                </c:pt>
                <c:pt idx="16">
                  <c:v>1116.8820000000001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AF-48C8-A492-52C055B65531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lux_370_420_cct_3800_4200!$I$11:$Y$11</c:f>
              <c:numCache>
                <c:formatCode>General</c:formatCode>
                <c:ptCount val="17"/>
                <c:pt idx="0">
                  <c:v>1128.7249999999999</c:v>
                </c:pt>
                <c:pt idx="1">
                  <c:v>1165.94</c:v>
                </c:pt>
                <c:pt idx="2">
                  <c:v>1172.9280000000001</c:v>
                </c:pt>
                <c:pt idx="3">
                  <c:v>1215.6420000000001</c:v>
                </c:pt>
                <c:pt idx="4">
                  <c:v>1213.4459999999999</c:v>
                </c:pt>
                <c:pt idx="5">
                  <c:v>1197.1500000000001</c:v>
                </c:pt>
                <c:pt idx="6">
                  <c:v>1185.7280000000001</c:v>
                </c:pt>
                <c:pt idx="7">
                  <c:v>1157.961</c:v>
                </c:pt>
                <c:pt idx="8">
                  <c:v>1143.95</c:v>
                </c:pt>
                <c:pt idx="9">
                  <c:v>1162.076</c:v>
                </c:pt>
                <c:pt idx="10">
                  <c:v>1171.212</c:v>
                </c:pt>
                <c:pt idx="11">
                  <c:v>1204.7839999999999</c:v>
                </c:pt>
                <c:pt idx="12">
                  <c:v>1226.277</c:v>
                </c:pt>
                <c:pt idx="13">
                  <c:v>1234.1570000000002</c:v>
                </c:pt>
                <c:pt idx="14">
                  <c:v>1198.854</c:v>
                </c:pt>
                <c:pt idx="15">
                  <c:v>1185.3400000000001</c:v>
                </c:pt>
                <c:pt idx="16">
                  <c:v>1085.6199999999999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AF-48C8-A492-52C055B65531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lux_370_420_cct_3800_4200!$I$12:$Y$12</c:f>
              <c:numCache>
                <c:formatCode>General</c:formatCode>
                <c:ptCount val="17"/>
                <c:pt idx="0">
                  <c:v>1054.73</c:v>
                </c:pt>
                <c:pt idx="1">
                  <c:v>1142.6610000000001</c:v>
                </c:pt>
                <c:pt idx="2">
                  <c:v>1168.8440000000001</c:v>
                </c:pt>
                <c:pt idx="3">
                  <c:v>1219.4599999999998</c:v>
                </c:pt>
                <c:pt idx="4">
                  <c:v>1214.0040000000001</c:v>
                </c:pt>
                <c:pt idx="5">
                  <c:v>1218.3340000000001</c:v>
                </c:pt>
                <c:pt idx="6">
                  <c:v>1209.3499999999999</c:v>
                </c:pt>
                <c:pt idx="7">
                  <c:v>1208.145</c:v>
                </c:pt>
                <c:pt idx="8">
                  <c:v>1201.3919999999998</c:v>
                </c:pt>
                <c:pt idx="9">
                  <c:v>1216.749</c:v>
                </c:pt>
                <c:pt idx="10">
                  <c:v>1222.0800000000002</c:v>
                </c:pt>
                <c:pt idx="11">
                  <c:v>1232.9979999999998</c:v>
                </c:pt>
                <c:pt idx="12">
                  <c:v>1228.6109999999999</c:v>
                </c:pt>
                <c:pt idx="13">
                  <c:v>1207.43</c:v>
                </c:pt>
                <c:pt idx="14">
                  <c:v>1187.796</c:v>
                </c:pt>
                <c:pt idx="15">
                  <c:v>1154.31</c:v>
                </c:pt>
                <c:pt idx="16">
                  <c:v>1068.07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AF-48C8-A492-52C055B65531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lux_370_420_cct_3800_4200!$I$13:$Y$13</c:f>
              <c:numCache>
                <c:formatCode>General</c:formatCode>
                <c:ptCount val="17"/>
                <c:pt idx="0">
                  <c:v>981.18</c:v>
                </c:pt>
                <c:pt idx="1">
                  <c:v>1093.9670000000001</c:v>
                </c:pt>
                <c:pt idx="2">
                  <c:v>1139.165</c:v>
                </c:pt>
                <c:pt idx="3">
                  <c:v>1183.1310000000001</c:v>
                </c:pt>
                <c:pt idx="4">
                  <c:v>1225.2439999999999</c:v>
                </c:pt>
                <c:pt idx="5">
                  <c:v>1225.164</c:v>
                </c:pt>
                <c:pt idx="6">
                  <c:v>1232.0639999999999</c:v>
                </c:pt>
                <c:pt idx="7">
                  <c:v>1239.7190000000001</c:v>
                </c:pt>
                <c:pt idx="8">
                  <c:v>1217.723</c:v>
                </c:pt>
                <c:pt idx="9">
                  <c:v>1243.385</c:v>
                </c:pt>
                <c:pt idx="10">
                  <c:v>1240.1279999999999</c:v>
                </c:pt>
                <c:pt idx="11">
                  <c:v>1237.3309999999999</c:v>
                </c:pt>
                <c:pt idx="12">
                  <c:v>1242.114</c:v>
                </c:pt>
                <c:pt idx="13">
                  <c:v>1201.32</c:v>
                </c:pt>
                <c:pt idx="14">
                  <c:v>1153.0349999999999</c:v>
                </c:pt>
                <c:pt idx="15">
                  <c:v>1113.6209999999999</c:v>
                </c:pt>
                <c:pt idx="16">
                  <c:v>1022.76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AF-48C8-A492-52C055B65531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lux_370_420_cct_3800_4200!$I$14:$Y$14</c:f>
              <c:numCache>
                <c:formatCode>General</c:formatCode>
                <c:ptCount val="17"/>
                <c:pt idx="0">
                  <c:v>893.77499999999998</c:v>
                </c:pt>
                <c:pt idx="1">
                  <c:v>1017.302</c:v>
                </c:pt>
                <c:pt idx="2">
                  <c:v>1086.6759999999999</c:v>
                </c:pt>
                <c:pt idx="3">
                  <c:v>1128.4859999999999</c:v>
                </c:pt>
                <c:pt idx="4">
                  <c:v>1158.672</c:v>
                </c:pt>
                <c:pt idx="5">
                  <c:v>1210.0329999999999</c:v>
                </c:pt>
                <c:pt idx="6">
                  <c:v>1216.568</c:v>
                </c:pt>
                <c:pt idx="7">
                  <c:v>1214.338</c:v>
                </c:pt>
                <c:pt idx="8">
                  <c:v>1234.596</c:v>
                </c:pt>
                <c:pt idx="9">
                  <c:v>1216.848</c:v>
                </c:pt>
                <c:pt idx="10">
                  <c:v>1219.942</c:v>
                </c:pt>
                <c:pt idx="11">
                  <c:v>1214.5430000000001</c:v>
                </c:pt>
                <c:pt idx="12">
                  <c:v>1167.56</c:v>
                </c:pt>
                <c:pt idx="13">
                  <c:v>1141.482</c:v>
                </c:pt>
                <c:pt idx="14">
                  <c:v>1113.6209999999999</c:v>
                </c:pt>
                <c:pt idx="15">
                  <c:v>1066.2080000000001</c:v>
                </c:pt>
                <c:pt idx="16">
                  <c:v>974.35500000000002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AF-48C8-A492-52C055B6553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lux_370_420_cct_3800_4200!$I$16:$Y$16</c:f>
              <c:numCache>
                <c:formatCode>General</c:formatCode>
                <c:ptCount val="17"/>
                <c:pt idx="0">
                  <c:v>816.81599999999992</c:v>
                </c:pt>
                <c:pt idx="1">
                  <c:v>934.50000000000011</c:v>
                </c:pt>
                <c:pt idx="2">
                  <c:v>1039.1280000000002</c:v>
                </c:pt>
                <c:pt idx="3">
                  <c:v>1073.556</c:v>
                </c:pt>
                <c:pt idx="4">
                  <c:v>1085.0710000000001</c:v>
                </c:pt>
                <c:pt idx="5">
                  <c:v>1108.548</c:v>
                </c:pt>
                <c:pt idx="6">
                  <c:v>1114.386</c:v>
                </c:pt>
                <c:pt idx="7">
                  <c:v>1130.99</c:v>
                </c:pt>
                <c:pt idx="8">
                  <c:v>1126.0339999999999</c:v>
                </c:pt>
                <c:pt idx="9">
                  <c:v>1136.3400000000001</c:v>
                </c:pt>
                <c:pt idx="10">
                  <c:v>1135.4259999999999</c:v>
                </c:pt>
                <c:pt idx="11">
                  <c:v>1117.6109999999999</c:v>
                </c:pt>
                <c:pt idx="12">
                  <c:v>1095.9960000000001</c:v>
                </c:pt>
                <c:pt idx="13">
                  <c:v>1085.0400000000002</c:v>
                </c:pt>
                <c:pt idx="14">
                  <c:v>1056.528</c:v>
                </c:pt>
                <c:pt idx="15">
                  <c:v>973.2</c:v>
                </c:pt>
                <c:pt idx="16">
                  <c:v>888.096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E-4AF6-B511-6E4A9055D44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lux_370_420_cct_3800_4200!$I$17:$Y$17</c:f>
              <c:numCache>
                <c:formatCode>General</c:formatCode>
                <c:ptCount val="17"/>
                <c:pt idx="0">
                  <c:v>925.78200000000004</c:v>
                </c:pt>
                <c:pt idx="1">
                  <c:v>1028.8609999999999</c:v>
                </c:pt>
                <c:pt idx="2">
                  <c:v>1082.3219999999999</c:v>
                </c:pt>
                <c:pt idx="3">
                  <c:v>1104.768</c:v>
                </c:pt>
                <c:pt idx="4">
                  <c:v>1130.241</c:v>
                </c:pt>
                <c:pt idx="5">
                  <c:v>1150.4219999999998</c:v>
                </c:pt>
                <c:pt idx="6">
                  <c:v>1152.3330000000001</c:v>
                </c:pt>
                <c:pt idx="7">
                  <c:v>1146.6000000000001</c:v>
                </c:pt>
                <c:pt idx="8">
                  <c:v>1149.954</c:v>
                </c:pt>
                <c:pt idx="9">
                  <c:v>1152.9000000000001</c:v>
                </c:pt>
                <c:pt idx="10">
                  <c:v>1161.3779999999999</c:v>
                </c:pt>
                <c:pt idx="11">
                  <c:v>1160.4840000000002</c:v>
                </c:pt>
                <c:pt idx="12">
                  <c:v>1144.828</c:v>
                </c:pt>
                <c:pt idx="13">
                  <c:v>1120</c:v>
                </c:pt>
                <c:pt idx="14">
                  <c:v>1096.077</c:v>
                </c:pt>
                <c:pt idx="15">
                  <c:v>1048.7440000000001</c:v>
                </c:pt>
                <c:pt idx="16">
                  <c:v>965.53599999999994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E-4AF6-B511-6E4A9055D44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lux_370_420_cct_3800_4200!$I$18:$Y$18</c:f>
              <c:numCache>
                <c:formatCode>General</c:formatCode>
                <c:ptCount val="17"/>
                <c:pt idx="0">
                  <c:v>1019.155</c:v>
                </c:pt>
                <c:pt idx="1">
                  <c:v>1079.1200000000001</c:v>
                </c:pt>
                <c:pt idx="2">
                  <c:v>1116.934</c:v>
                </c:pt>
                <c:pt idx="3">
                  <c:v>1149.8309999999999</c:v>
                </c:pt>
                <c:pt idx="4">
                  <c:v>1156.9000000000001</c:v>
                </c:pt>
                <c:pt idx="5">
                  <c:v>1157.646</c:v>
                </c:pt>
                <c:pt idx="6">
                  <c:v>1150.7470000000001</c:v>
                </c:pt>
                <c:pt idx="7">
                  <c:v>1140.72</c:v>
                </c:pt>
                <c:pt idx="8">
                  <c:v>1143.04</c:v>
                </c:pt>
                <c:pt idx="9">
                  <c:v>1143.6600000000001</c:v>
                </c:pt>
                <c:pt idx="10">
                  <c:v>1154.9290000000001</c:v>
                </c:pt>
                <c:pt idx="11">
                  <c:v>1165.338</c:v>
                </c:pt>
                <c:pt idx="12">
                  <c:v>1170.125</c:v>
                </c:pt>
                <c:pt idx="13">
                  <c:v>1152.876</c:v>
                </c:pt>
                <c:pt idx="14">
                  <c:v>1121.3419999999999</c:v>
                </c:pt>
                <c:pt idx="15">
                  <c:v>1094.5360000000001</c:v>
                </c:pt>
                <c:pt idx="16">
                  <c:v>1043.5639999999999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E-4AF6-B511-6E4A9055D44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lux_370_420_cct_3800_4200!$I$19:$Y$19</c:f>
              <c:numCache>
                <c:formatCode>General</c:formatCode>
                <c:ptCount val="17"/>
                <c:pt idx="0">
                  <c:v>1057.8120000000001</c:v>
                </c:pt>
                <c:pt idx="1">
                  <c:v>1094.4840000000002</c:v>
                </c:pt>
                <c:pt idx="2">
                  <c:v>1128.9069999999999</c:v>
                </c:pt>
                <c:pt idx="3">
                  <c:v>1156.0119999999999</c:v>
                </c:pt>
                <c:pt idx="4">
                  <c:v>1160.21</c:v>
                </c:pt>
                <c:pt idx="5">
                  <c:v>1156.2280000000001</c:v>
                </c:pt>
                <c:pt idx="6">
                  <c:v>1138.28</c:v>
                </c:pt>
                <c:pt idx="7">
                  <c:v>1116.848</c:v>
                </c:pt>
                <c:pt idx="8">
                  <c:v>1109.8149999999998</c:v>
                </c:pt>
                <c:pt idx="9">
                  <c:v>1118.53</c:v>
                </c:pt>
                <c:pt idx="10">
                  <c:v>1139.076</c:v>
                </c:pt>
                <c:pt idx="11">
                  <c:v>1157.6759999999999</c:v>
                </c:pt>
                <c:pt idx="12">
                  <c:v>1167.261</c:v>
                </c:pt>
                <c:pt idx="13">
                  <c:v>1169.9870000000001</c:v>
                </c:pt>
                <c:pt idx="14">
                  <c:v>1150.5519999999999</c:v>
                </c:pt>
                <c:pt idx="15">
                  <c:v>1114.116</c:v>
                </c:pt>
                <c:pt idx="16">
                  <c:v>1075.6480000000001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7E-4AF6-B511-6E4A9055D44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lux_370_420_cct_3800_4200!$I$20:$Y$20</c:f>
              <c:numCache>
                <c:formatCode>General</c:formatCode>
                <c:ptCount val="17"/>
                <c:pt idx="0">
                  <c:v>1067.9460000000001</c:v>
                </c:pt>
                <c:pt idx="1">
                  <c:v>1111.7280000000001</c:v>
                </c:pt>
                <c:pt idx="2">
                  <c:v>1139.538</c:v>
                </c:pt>
                <c:pt idx="3">
                  <c:v>1164.32</c:v>
                </c:pt>
                <c:pt idx="4">
                  <c:v>1159.002</c:v>
                </c:pt>
                <c:pt idx="5">
                  <c:v>1139.076</c:v>
                </c:pt>
                <c:pt idx="6">
                  <c:v>1108.232</c:v>
                </c:pt>
                <c:pt idx="7">
                  <c:v>1082.6790000000001</c:v>
                </c:pt>
                <c:pt idx="8">
                  <c:v>1072.54</c:v>
                </c:pt>
                <c:pt idx="9">
                  <c:v>1084.5250000000001</c:v>
                </c:pt>
                <c:pt idx="10">
                  <c:v>1110.8539999999998</c:v>
                </c:pt>
                <c:pt idx="11">
                  <c:v>1142.26</c:v>
                </c:pt>
                <c:pt idx="12">
                  <c:v>1170.2339999999999</c:v>
                </c:pt>
                <c:pt idx="13">
                  <c:v>1171.0260000000001</c:v>
                </c:pt>
                <c:pt idx="14">
                  <c:v>1158.556</c:v>
                </c:pt>
                <c:pt idx="15">
                  <c:v>1127.8969999999999</c:v>
                </c:pt>
                <c:pt idx="16">
                  <c:v>1078.473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7E-4AF6-B511-6E4A9055D44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lux_370_420_cct_3800_4200!$I$21:$Y$21</c:f>
              <c:numCache>
                <c:formatCode>General</c:formatCode>
                <c:ptCount val="17"/>
                <c:pt idx="0">
                  <c:v>1062.06</c:v>
                </c:pt>
                <c:pt idx="1">
                  <c:v>1119.816</c:v>
                </c:pt>
                <c:pt idx="2">
                  <c:v>1146.5039999999999</c:v>
                </c:pt>
                <c:pt idx="3">
                  <c:v>1163.2439999999999</c:v>
                </c:pt>
                <c:pt idx="4">
                  <c:v>1160.838</c:v>
                </c:pt>
                <c:pt idx="5">
                  <c:v>1122.6420000000001</c:v>
                </c:pt>
                <c:pt idx="6">
                  <c:v>1086.9299999999998</c:v>
                </c:pt>
                <c:pt idx="7">
                  <c:v>1048.509</c:v>
                </c:pt>
                <c:pt idx="8">
                  <c:v>1032.81</c:v>
                </c:pt>
                <c:pt idx="9">
                  <c:v>1054.383</c:v>
                </c:pt>
                <c:pt idx="10">
                  <c:v>1097.1490000000001</c:v>
                </c:pt>
                <c:pt idx="11">
                  <c:v>1133.6400000000001</c:v>
                </c:pt>
                <c:pt idx="12">
                  <c:v>1164.8520000000001</c:v>
                </c:pt>
                <c:pt idx="13">
                  <c:v>1179.144</c:v>
                </c:pt>
                <c:pt idx="14">
                  <c:v>1164.192</c:v>
                </c:pt>
                <c:pt idx="15">
                  <c:v>1132.953</c:v>
                </c:pt>
                <c:pt idx="16">
                  <c:v>1086.8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7E-4AF6-B511-6E4A9055D44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lux_370_420_cct_3800_4200!$I$22:$Y$22</c:f>
              <c:numCache>
                <c:formatCode>General</c:formatCode>
                <c:ptCount val="17"/>
                <c:pt idx="0">
                  <c:v>1069.74</c:v>
                </c:pt>
                <c:pt idx="1">
                  <c:v>1126.845</c:v>
                </c:pt>
                <c:pt idx="2">
                  <c:v>1160.1869999999999</c:v>
                </c:pt>
                <c:pt idx="3">
                  <c:v>1178.665</c:v>
                </c:pt>
                <c:pt idx="4">
                  <c:v>1155.192</c:v>
                </c:pt>
                <c:pt idx="5">
                  <c:v>1118.4480000000001</c:v>
                </c:pt>
                <c:pt idx="6">
                  <c:v>1080.336</c:v>
                </c:pt>
                <c:pt idx="7">
                  <c:v>1034.0329999999999</c:v>
                </c:pt>
                <c:pt idx="8">
                  <c:v>1027.0920000000001</c:v>
                </c:pt>
                <c:pt idx="9">
                  <c:v>1039.038</c:v>
                </c:pt>
                <c:pt idx="10">
                  <c:v>1091.7479999999998</c:v>
                </c:pt>
                <c:pt idx="11">
                  <c:v>1130.53</c:v>
                </c:pt>
                <c:pt idx="12">
                  <c:v>1168.836</c:v>
                </c:pt>
                <c:pt idx="13">
                  <c:v>1184.01</c:v>
                </c:pt>
                <c:pt idx="14">
                  <c:v>1176.597</c:v>
                </c:pt>
                <c:pt idx="15">
                  <c:v>1139.2380000000001</c:v>
                </c:pt>
                <c:pt idx="16">
                  <c:v>1072.386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7E-4AF6-B511-6E4A9055D44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lux_370_420_cct_3800_4200!$I$23:$Y$23</c:f>
              <c:numCache>
                <c:formatCode>General</c:formatCode>
                <c:ptCount val="17"/>
                <c:pt idx="0">
                  <c:v>1060.5719999999999</c:v>
                </c:pt>
                <c:pt idx="1">
                  <c:v>1122.9870000000001</c:v>
                </c:pt>
                <c:pt idx="2">
                  <c:v>1166.9259999999999</c:v>
                </c:pt>
                <c:pt idx="3">
                  <c:v>1182.645</c:v>
                </c:pt>
                <c:pt idx="4">
                  <c:v>1171.296</c:v>
                </c:pt>
                <c:pt idx="5">
                  <c:v>1139.124</c:v>
                </c:pt>
                <c:pt idx="6">
                  <c:v>1099.56</c:v>
                </c:pt>
                <c:pt idx="7">
                  <c:v>1054.848</c:v>
                </c:pt>
                <c:pt idx="8">
                  <c:v>1037.0360000000001</c:v>
                </c:pt>
                <c:pt idx="9">
                  <c:v>1058.7840000000001</c:v>
                </c:pt>
                <c:pt idx="10">
                  <c:v>1096.22</c:v>
                </c:pt>
                <c:pt idx="11">
                  <c:v>1135.3320000000001</c:v>
                </c:pt>
                <c:pt idx="12">
                  <c:v>1169.298</c:v>
                </c:pt>
                <c:pt idx="13">
                  <c:v>1186.1400000000001</c:v>
                </c:pt>
                <c:pt idx="14">
                  <c:v>1173.3040000000001</c:v>
                </c:pt>
                <c:pt idx="15">
                  <c:v>1140.201</c:v>
                </c:pt>
                <c:pt idx="16">
                  <c:v>1091.3599999999999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7E-4AF6-B511-6E4A9055D44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lux_370_420_cct_3800_4200!$I$24:$Y$24</c:f>
              <c:numCache>
                <c:formatCode>General</c:formatCode>
                <c:ptCount val="17"/>
                <c:pt idx="0">
                  <c:v>1070.4869999999999</c:v>
                </c:pt>
                <c:pt idx="1">
                  <c:v>1116.972</c:v>
                </c:pt>
                <c:pt idx="2">
                  <c:v>1146.7339999999999</c:v>
                </c:pt>
                <c:pt idx="3">
                  <c:v>1174.6559999999999</c:v>
                </c:pt>
                <c:pt idx="4">
                  <c:v>1179.528</c:v>
                </c:pt>
                <c:pt idx="5">
                  <c:v>1156.4839999999999</c:v>
                </c:pt>
                <c:pt idx="6">
                  <c:v>1124.241</c:v>
                </c:pt>
                <c:pt idx="7">
                  <c:v>1098.078</c:v>
                </c:pt>
                <c:pt idx="8">
                  <c:v>1093.6499999999999</c:v>
                </c:pt>
                <c:pt idx="9">
                  <c:v>1098.078</c:v>
                </c:pt>
                <c:pt idx="10">
                  <c:v>1122.4829999999999</c:v>
                </c:pt>
                <c:pt idx="11">
                  <c:v>1146.24</c:v>
                </c:pt>
                <c:pt idx="12">
                  <c:v>1175.1479999999999</c:v>
                </c:pt>
                <c:pt idx="13">
                  <c:v>1188.6400000000001</c:v>
                </c:pt>
                <c:pt idx="14">
                  <c:v>1165.752</c:v>
                </c:pt>
                <c:pt idx="15">
                  <c:v>1134.0150000000001</c:v>
                </c:pt>
                <c:pt idx="16">
                  <c:v>1082.4660000000001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7E-4AF6-B511-6E4A9055D44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lux_370_420_cct_3800_4200!$I$25:$Y$25</c:f>
              <c:numCache>
                <c:formatCode>General</c:formatCode>
                <c:ptCount val="17"/>
                <c:pt idx="0">
                  <c:v>1062.271</c:v>
                </c:pt>
                <c:pt idx="1">
                  <c:v>1101.4370000000001</c:v>
                </c:pt>
                <c:pt idx="2">
                  <c:v>1136.6030000000001</c:v>
                </c:pt>
                <c:pt idx="3">
                  <c:v>1173.684</c:v>
                </c:pt>
                <c:pt idx="4">
                  <c:v>1178.1869999999999</c:v>
                </c:pt>
                <c:pt idx="5">
                  <c:v>1173.8400000000001</c:v>
                </c:pt>
                <c:pt idx="6">
                  <c:v>1150.22</c:v>
                </c:pt>
                <c:pt idx="7">
                  <c:v>1139.5619999999999</c:v>
                </c:pt>
                <c:pt idx="8">
                  <c:v>1135.7080000000001</c:v>
                </c:pt>
                <c:pt idx="9">
                  <c:v>1141.2539999999999</c:v>
                </c:pt>
                <c:pt idx="10">
                  <c:v>1151.8120000000001</c:v>
                </c:pt>
                <c:pt idx="11">
                  <c:v>1177.49</c:v>
                </c:pt>
                <c:pt idx="12">
                  <c:v>1185.3040000000001</c:v>
                </c:pt>
                <c:pt idx="13">
                  <c:v>1174.4590000000001</c:v>
                </c:pt>
                <c:pt idx="14">
                  <c:v>1152.9569999999999</c:v>
                </c:pt>
                <c:pt idx="15">
                  <c:v>1112.48</c:v>
                </c:pt>
                <c:pt idx="16">
                  <c:v>1072.2180000000001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7E-4AF6-B511-6E4A9055D44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lux_370_420_cct_3800_4200!$I$26:$Y$26</c:f>
              <c:numCache>
                <c:formatCode>General</c:formatCode>
                <c:ptCount val="17"/>
                <c:pt idx="0">
                  <c:v>1027.3969999999999</c:v>
                </c:pt>
                <c:pt idx="1">
                  <c:v>1087.3920000000001</c:v>
                </c:pt>
                <c:pt idx="2">
                  <c:v>1113.039</c:v>
                </c:pt>
                <c:pt idx="3">
                  <c:v>1161.029</c:v>
                </c:pt>
                <c:pt idx="4">
                  <c:v>1171.2749999999999</c:v>
                </c:pt>
                <c:pt idx="5">
                  <c:v>1184.01</c:v>
                </c:pt>
                <c:pt idx="6">
                  <c:v>1175.1479999999999</c:v>
                </c:pt>
                <c:pt idx="7">
                  <c:v>1167.075</c:v>
                </c:pt>
                <c:pt idx="8">
                  <c:v>1161.088</c:v>
                </c:pt>
                <c:pt idx="9">
                  <c:v>1173.0029999999999</c:v>
                </c:pt>
                <c:pt idx="10">
                  <c:v>1183.5719999999999</c:v>
                </c:pt>
                <c:pt idx="11">
                  <c:v>1182.0040000000001</c:v>
                </c:pt>
                <c:pt idx="12">
                  <c:v>1178.75</c:v>
                </c:pt>
                <c:pt idx="13">
                  <c:v>1156.3969999999999</c:v>
                </c:pt>
                <c:pt idx="14">
                  <c:v>1122.2160000000001</c:v>
                </c:pt>
                <c:pt idx="15">
                  <c:v>1094.5360000000001</c:v>
                </c:pt>
                <c:pt idx="16">
                  <c:v>1044.1980000000001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7E-4AF6-B511-6E4A9055D44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lux_370_420_cct_3800_4200!$I$27:$Y$27</c:f>
              <c:numCache>
                <c:formatCode>General</c:formatCode>
                <c:ptCount val="17"/>
                <c:pt idx="0">
                  <c:v>951.279</c:v>
                </c:pt>
                <c:pt idx="1">
                  <c:v>1058.498</c:v>
                </c:pt>
                <c:pt idx="2">
                  <c:v>1098.828</c:v>
                </c:pt>
                <c:pt idx="3">
                  <c:v>1125.8240000000001</c:v>
                </c:pt>
                <c:pt idx="4">
                  <c:v>1152.876</c:v>
                </c:pt>
                <c:pt idx="5">
                  <c:v>1172.7819999999999</c:v>
                </c:pt>
                <c:pt idx="6">
                  <c:v>1174.644</c:v>
                </c:pt>
                <c:pt idx="7">
                  <c:v>1179.78</c:v>
                </c:pt>
                <c:pt idx="8">
                  <c:v>1169.825</c:v>
                </c:pt>
                <c:pt idx="9">
                  <c:v>1182.3240000000001</c:v>
                </c:pt>
                <c:pt idx="10">
                  <c:v>1179.4680000000001</c:v>
                </c:pt>
                <c:pt idx="11">
                  <c:v>1180.0490000000002</c:v>
                </c:pt>
                <c:pt idx="12">
                  <c:v>1162.433</c:v>
                </c:pt>
                <c:pt idx="13">
                  <c:v>1133.8880000000001</c:v>
                </c:pt>
                <c:pt idx="14">
                  <c:v>1102.365</c:v>
                </c:pt>
                <c:pt idx="15">
                  <c:v>1070.846</c:v>
                </c:pt>
                <c:pt idx="16">
                  <c:v>990.56399999999996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7E-4AF6-B511-6E4A9055D44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lux_370_420_cct_3800_4200!$I$28:$Y$28</c:f>
              <c:numCache>
                <c:formatCode>General</c:formatCode>
                <c:ptCount val="17"/>
                <c:pt idx="0">
                  <c:v>865.37300000000005</c:v>
                </c:pt>
                <c:pt idx="1">
                  <c:v>963.67699999999991</c:v>
                </c:pt>
                <c:pt idx="2">
                  <c:v>1053.008</c:v>
                </c:pt>
                <c:pt idx="3">
                  <c:v>1095.424</c:v>
                </c:pt>
                <c:pt idx="4">
                  <c:v>1111.1099999999999</c:v>
                </c:pt>
                <c:pt idx="5">
                  <c:v>1138.81</c:v>
                </c:pt>
                <c:pt idx="6">
                  <c:v>1157.9879999999998</c:v>
                </c:pt>
                <c:pt idx="7">
                  <c:v>1148.7</c:v>
                </c:pt>
                <c:pt idx="8">
                  <c:v>1160.4660000000001</c:v>
                </c:pt>
                <c:pt idx="9">
                  <c:v>1149.75</c:v>
                </c:pt>
                <c:pt idx="10">
                  <c:v>1157.9879999999998</c:v>
                </c:pt>
                <c:pt idx="11">
                  <c:v>1138.81</c:v>
                </c:pt>
                <c:pt idx="12">
                  <c:v>1114.1130000000001</c:v>
                </c:pt>
                <c:pt idx="13">
                  <c:v>1101.6479999999999</c:v>
                </c:pt>
                <c:pt idx="14">
                  <c:v>1069.0349999999999</c:v>
                </c:pt>
                <c:pt idx="15">
                  <c:v>998.95900000000006</c:v>
                </c:pt>
                <c:pt idx="16">
                  <c:v>933.69900000000007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7E-4AF6-B511-6E4A9055D44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lux_370_420_cct_3800_4200!$I$30:$Y$30</c:f>
              <c:numCache>
                <c:formatCode>General</c:formatCode>
                <c:ptCount val="17"/>
                <c:pt idx="0">
                  <c:v>810.8900000000001</c:v>
                </c:pt>
                <c:pt idx="1">
                  <c:v>953.49599999999998</c:v>
                </c:pt>
                <c:pt idx="2">
                  <c:v>1058.46</c:v>
                </c:pt>
                <c:pt idx="3">
                  <c:v>1091.4299999999998</c:v>
                </c:pt>
                <c:pt idx="4">
                  <c:v>1096.7670000000001</c:v>
                </c:pt>
                <c:pt idx="5">
                  <c:v>1124.424</c:v>
                </c:pt>
                <c:pt idx="6">
                  <c:v>1140.636</c:v>
                </c:pt>
                <c:pt idx="7">
                  <c:v>1156.4279999999999</c:v>
                </c:pt>
                <c:pt idx="8">
                  <c:v>1151.2529999999999</c:v>
                </c:pt>
                <c:pt idx="9">
                  <c:v>1161.8880000000001</c:v>
                </c:pt>
                <c:pt idx="10">
                  <c:v>1146.3340000000001</c:v>
                </c:pt>
                <c:pt idx="11">
                  <c:v>1133.6009999999999</c:v>
                </c:pt>
                <c:pt idx="12">
                  <c:v>1107.3510000000001</c:v>
                </c:pt>
                <c:pt idx="13">
                  <c:v>1102.2840000000001</c:v>
                </c:pt>
                <c:pt idx="14">
                  <c:v>1075.098</c:v>
                </c:pt>
                <c:pt idx="15">
                  <c:v>992.35799999999995</c:v>
                </c:pt>
                <c:pt idx="16">
                  <c:v>880.84400000000005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5-4F20-A293-854F6D256B0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lux_370_420_cct_3800_4200!$I$31:$Y$31</c:f>
              <c:numCache>
                <c:formatCode>General</c:formatCode>
                <c:ptCount val="17"/>
                <c:pt idx="0">
                  <c:v>941.67600000000004</c:v>
                </c:pt>
                <c:pt idx="1">
                  <c:v>1047.865</c:v>
                </c:pt>
                <c:pt idx="2">
                  <c:v>1097.2860000000001</c:v>
                </c:pt>
                <c:pt idx="3">
                  <c:v>1118.0039999999999</c:v>
                </c:pt>
                <c:pt idx="4">
                  <c:v>1156.5</c:v>
                </c:pt>
                <c:pt idx="5">
                  <c:v>1162.404</c:v>
                </c:pt>
                <c:pt idx="6">
                  <c:v>1175.1959999999999</c:v>
                </c:pt>
                <c:pt idx="7">
                  <c:v>1168.5429999999999</c:v>
                </c:pt>
                <c:pt idx="8">
                  <c:v>1172.788</c:v>
                </c:pt>
                <c:pt idx="9">
                  <c:v>1174.3120000000001</c:v>
                </c:pt>
                <c:pt idx="10">
                  <c:v>1183.7919999999999</c:v>
                </c:pt>
                <c:pt idx="11">
                  <c:v>1171.992</c:v>
                </c:pt>
                <c:pt idx="12">
                  <c:v>1170.3780000000002</c:v>
                </c:pt>
                <c:pt idx="13">
                  <c:v>1132.953</c:v>
                </c:pt>
                <c:pt idx="14">
                  <c:v>1109.624</c:v>
                </c:pt>
                <c:pt idx="15">
                  <c:v>1066.73</c:v>
                </c:pt>
                <c:pt idx="16">
                  <c:v>981.25199999999995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5-4F20-A293-854F6D256B0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lux_370_420_cct_3800_4200!$I$32:$Y$32</c:f>
              <c:numCache>
                <c:formatCode>General</c:formatCode>
                <c:ptCount val="17"/>
                <c:pt idx="0">
                  <c:v>1013.0400000000001</c:v>
                </c:pt>
                <c:pt idx="1">
                  <c:v>1096.722</c:v>
                </c:pt>
                <c:pt idx="2">
                  <c:v>1117.376</c:v>
                </c:pt>
                <c:pt idx="3">
                  <c:v>1150.3399999999999</c:v>
                </c:pt>
                <c:pt idx="4">
                  <c:v>1170.1339999999998</c:v>
                </c:pt>
                <c:pt idx="5">
                  <c:v>1180.624</c:v>
                </c:pt>
                <c:pt idx="6">
                  <c:v>1170.3240000000001</c:v>
                </c:pt>
                <c:pt idx="7">
                  <c:v>1160.838</c:v>
                </c:pt>
                <c:pt idx="8">
                  <c:v>1160.5229999999999</c:v>
                </c:pt>
                <c:pt idx="9">
                  <c:v>1162.3320000000001</c:v>
                </c:pt>
                <c:pt idx="10">
                  <c:v>1173.864</c:v>
                </c:pt>
                <c:pt idx="11">
                  <c:v>1187.807</c:v>
                </c:pt>
                <c:pt idx="12">
                  <c:v>1182.335</c:v>
                </c:pt>
                <c:pt idx="13">
                  <c:v>1166.1189999999999</c:v>
                </c:pt>
                <c:pt idx="14">
                  <c:v>1133.288</c:v>
                </c:pt>
                <c:pt idx="15">
                  <c:v>1110.4739999999999</c:v>
                </c:pt>
                <c:pt idx="16">
                  <c:v>1061.701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5-4F20-A293-854F6D256B0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lux_370_420_cct_3800_4200!$I$33:$Y$33</c:f>
              <c:numCache>
                <c:formatCode>General</c:formatCode>
                <c:ptCount val="17"/>
                <c:pt idx="0">
                  <c:v>1057.8120000000001</c:v>
                </c:pt>
                <c:pt idx="1">
                  <c:v>1094.893</c:v>
                </c:pt>
                <c:pt idx="2">
                  <c:v>1128.9069999999999</c:v>
                </c:pt>
                <c:pt idx="3">
                  <c:v>1166.9159999999999</c:v>
                </c:pt>
                <c:pt idx="4">
                  <c:v>1171.7169999999999</c:v>
                </c:pt>
                <c:pt idx="5">
                  <c:v>1174.53</c:v>
                </c:pt>
                <c:pt idx="6">
                  <c:v>1148.4639999999999</c:v>
                </c:pt>
                <c:pt idx="7">
                  <c:v>1132.308</c:v>
                </c:pt>
                <c:pt idx="8">
                  <c:v>1124.06</c:v>
                </c:pt>
                <c:pt idx="9">
                  <c:v>1133.1600000000001</c:v>
                </c:pt>
                <c:pt idx="10">
                  <c:v>1147.662</c:v>
                </c:pt>
                <c:pt idx="11">
                  <c:v>1167.27</c:v>
                </c:pt>
                <c:pt idx="12">
                  <c:v>1178.1869999999999</c:v>
                </c:pt>
                <c:pt idx="13">
                  <c:v>1179.8880000000001</c:v>
                </c:pt>
                <c:pt idx="14">
                  <c:v>1149.1089999999999</c:v>
                </c:pt>
                <c:pt idx="15">
                  <c:v>1112.48</c:v>
                </c:pt>
                <c:pt idx="16">
                  <c:v>1095.5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35-4F20-A293-854F6D256B0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lux_370_420_cct_3800_4200!$I$34:$Y$34</c:f>
              <c:numCache>
                <c:formatCode>General</c:formatCode>
                <c:ptCount val="17"/>
                <c:pt idx="0">
                  <c:v>1067.9460000000001</c:v>
                </c:pt>
                <c:pt idx="1">
                  <c:v>1112.165</c:v>
                </c:pt>
                <c:pt idx="2">
                  <c:v>1152.8400000000001</c:v>
                </c:pt>
                <c:pt idx="3">
                  <c:v>1164.32</c:v>
                </c:pt>
                <c:pt idx="4">
                  <c:v>1169.616</c:v>
                </c:pt>
                <c:pt idx="5">
                  <c:v>1147.662</c:v>
                </c:pt>
                <c:pt idx="6">
                  <c:v>1115.451</c:v>
                </c:pt>
                <c:pt idx="7">
                  <c:v>1096.7550000000001</c:v>
                </c:pt>
                <c:pt idx="8">
                  <c:v>1085.0910000000001</c:v>
                </c:pt>
                <c:pt idx="9">
                  <c:v>1097.6899999999998</c:v>
                </c:pt>
                <c:pt idx="10">
                  <c:v>1117.2089999999998</c:v>
                </c:pt>
                <c:pt idx="11">
                  <c:v>1150.8700000000001</c:v>
                </c:pt>
                <c:pt idx="12">
                  <c:v>1169.5319999999999</c:v>
                </c:pt>
                <c:pt idx="13">
                  <c:v>1179.52</c:v>
                </c:pt>
                <c:pt idx="14">
                  <c:v>1157.5279999999998</c:v>
                </c:pt>
                <c:pt idx="15">
                  <c:v>1126.586</c:v>
                </c:pt>
                <c:pt idx="16">
                  <c:v>1076.2949999999998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35-4F20-A293-854F6D256B0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lux_370_420_cct_3800_4200!$I$35:$Y$35</c:f>
              <c:numCache>
                <c:formatCode>General</c:formatCode>
                <c:ptCount val="17"/>
                <c:pt idx="0">
                  <c:v>1085.28</c:v>
                </c:pt>
                <c:pt idx="1">
                  <c:v>1120.269</c:v>
                </c:pt>
                <c:pt idx="2">
                  <c:v>1146.5039999999999</c:v>
                </c:pt>
                <c:pt idx="3">
                  <c:v>1163.8800000000001</c:v>
                </c:pt>
                <c:pt idx="4">
                  <c:v>1161.585</c:v>
                </c:pt>
                <c:pt idx="5">
                  <c:v>1123.4880000000001</c:v>
                </c:pt>
                <c:pt idx="6">
                  <c:v>1087.8590000000002</c:v>
                </c:pt>
                <c:pt idx="7">
                  <c:v>1053.864</c:v>
                </c:pt>
                <c:pt idx="8">
                  <c:v>1039.038</c:v>
                </c:pt>
                <c:pt idx="9">
                  <c:v>1059.768</c:v>
                </c:pt>
                <c:pt idx="10">
                  <c:v>1097.1490000000001</c:v>
                </c:pt>
                <c:pt idx="11">
                  <c:v>1133.6400000000001</c:v>
                </c:pt>
                <c:pt idx="12">
                  <c:v>1164.1109999999999</c:v>
                </c:pt>
                <c:pt idx="13">
                  <c:v>1178.508</c:v>
                </c:pt>
                <c:pt idx="14">
                  <c:v>1162.5840000000001</c:v>
                </c:pt>
                <c:pt idx="15">
                  <c:v>1131.1409999999998</c:v>
                </c:pt>
                <c:pt idx="16">
                  <c:v>1084.52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35-4F20-A293-854F6D256B0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lux_370_420_cct_3800_4200!$I$36:$Y$36</c:f>
              <c:numCache>
                <c:formatCode>General</c:formatCode>
                <c:ptCount val="17"/>
                <c:pt idx="0">
                  <c:v>1069.74</c:v>
                </c:pt>
                <c:pt idx="1">
                  <c:v>1126.845</c:v>
                </c:pt>
                <c:pt idx="2">
                  <c:v>1160.1869999999999</c:v>
                </c:pt>
                <c:pt idx="3">
                  <c:v>1167.835</c:v>
                </c:pt>
                <c:pt idx="4">
                  <c:v>1155.95</c:v>
                </c:pt>
                <c:pt idx="5">
                  <c:v>1119.3109999999999</c:v>
                </c:pt>
                <c:pt idx="6">
                  <c:v>1075.6020000000001</c:v>
                </c:pt>
                <c:pt idx="7">
                  <c:v>1034.0329999999999</c:v>
                </c:pt>
                <c:pt idx="8">
                  <c:v>1027.0920000000001</c:v>
                </c:pt>
                <c:pt idx="9">
                  <c:v>1039.038</c:v>
                </c:pt>
                <c:pt idx="10">
                  <c:v>1086.0079999999998</c:v>
                </c:pt>
                <c:pt idx="11">
                  <c:v>1122.67</c:v>
                </c:pt>
                <c:pt idx="12">
                  <c:v>1158.8319999999999</c:v>
                </c:pt>
                <c:pt idx="13">
                  <c:v>1182.7160000000001</c:v>
                </c:pt>
                <c:pt idx="14">
                  <c:v>1164.2160000000001</c:v>
                </c:pt>
                <c:pt idx="15">
                  <c:v>1137.402</c:v>
                </c:pt>
                <c:pt idx="16">
                  <c:v>1068.9839999999999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35-4F20-A293-854F6D256B0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lux_370_420_cct_3800_4200!$I$37:$Y$37</c:f>
              <c:numCache>
                <c:formatCode>General</c:formatCode>
                <c:ptCount val="17"/>
                <c:pt idx="0">
                  <c:v>1060.5719999999999</c:v>
                </c:pt>
                <c:pt idx="1">
                  <c:v>1122.5340000000001</c:v>
                </c:pt>
                <c:pt idx="2">
                  <c:v>1154.008</c:v>
                </c:pt>
                <c:pt idx="3">
                  <c:v>1173.42</c:v>
                </c:pt>
                <c:pt idx="4">
                  <c:v>1162.6289999999999</c:v>
                </c:pt>
                <c:pt idx="5">
                  <c:v>1131.1019999999999</c:v>
                </c:pt>
                <c:pt idx="6">
                  <c:v>1092.5039999999999</c:v>
                </c:pt>
                <c:pt idx="7">
                  <c:v>1054.848</c:v>
                </c:pt>
                <c:pt idx="8">
                  <c:v>1036.0349999999999</c:v>
                </c:pt>
                <c:pt idx="9">
                  <c:v>1057.8</c:v>
                </c:pt>
                <c:pt idx="10">
                  <c:v>1088.2170000000001</c:v>
                </c:pt>
                <c:pt idx="11">
                  <c:v>1127.7809999999999</c:v>
                </c:pt>
                <c:pt idx="12">
                  <c:v>1167.816</c:v>
                </c:pt>
                <c:pt idx="13">
                  <c:v>1173.0600000000002</c:v>
                </c:pt>
                <c:pt idx="14">
                  <c:v>1171.1600000000001</c:v>
                </c:pt>
                <c:pt idx="15">
                  <c:v>1125.376</c:v>
                </c:pt>
                <c:pt idx="16">
                  <c:v>1071.51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35-4F20-A293-854F6D256B0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lux_370_420_cct_3800_4200!$I$38:$Y$38</c:f>
              <c:numCache>
                <c:formatCode>General</c:formatCode>
                <c:ptCount val="17"/>
                <c:pt idx="0">
                  <c:v>1069.761</c:v>
                </c:pt>
                <c:pt idx="1">
                  <c:v>1116.5350000000001</c:v>
                </c:pt>
                <c:pt idx="2">
                  <c:v>1146.22</c:v>
                </c:pt>
                <c:pt idx="3">
                  <c:v>1163.79</c:v>
                </c:pt>
                <c:pt idx="4">
                  <c:v>1168.83</c:v>
                </c:pt>
                <c:pt idx="5">
                  <c:v>1147.0360000000001</c:v>
                </c:pt>
                <c:pt idx="6">
                  <c:v>1116.972</c:v>
                </c:pt>
                <c:pt idx="7">
                  <c:v>1090.0630000000001</c:v>
                </c:pt>
                <c:pt idx="8">
                  <c:v>1086.0079999999998</c:v>
                </c:pt>
                <c:pt idx="9">
                  <c:v>1088.2170000000001</c:v>
                </c:pt>
                <c:pt idx="10">
                  <c:v>1114.3499999999999</c:v>
                </c:pt>
                <c:pt idx="11">
                  <c:v>1136.6670000000001</c:v>
                </c:pt>
                <c:pt idx="12">
                  <c:v>1164.6870000000001</c:v>
                </c:pt>
                <c:pt idx="13">
                  <c:v>1176.453</c:v>
                </c:pt>
                <c:pt idx="14">
                  <c:v>1151.867</c:v>
                </c:pt>
                <c:pt idx="15">
                  <c:v>1115.8589999999999</c:v>
                </c:pt>
                <c:pt idx="16">
                  <c:v>1085.145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35-4F20-A293-854F6D256B0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lux_370_420_cct_3800_4200!$I$39:$Y$39</c:f>
              <c:numCache>
                <c:formatCode>General</c:formatCode>
                <c:ptCount val="17"/>
                <c:pt idx="0">
                  <c:v>1036.49</c:v>
                </c:pt>
                <c:pt idx="1">
                  <c:v>1100.21</c:v>
                </c:pt>
                <c:pt idx="2">
                  <c:v>1123.836</c:v>
                </c:pt>
                <c:pt idx="3">
                  <c:v>1162.1610000000001</c:v>
                </c:pt>
                <c:pt idx="4">
                  <c:v>1165.979</c:v>
                </c:pt>
                <c:pt idx="5">
                  <c:v>1162.7440000000001</c:v>
                </c:pt>
                <c:pt idx="6">
                  <c:v>1149.424</c:v>
                </c:pt>
                <c:pt idx="7">
                  <c:v>1130.3040000000001</c:v>
                </c:pt>
                <c:pt idx="8">
                  <c:v>1125.241</c:v>
                </c:pt>
                <c:pt idx="9">
                  <c:v>1131.9860000000001</c:v>
                </c:pt>
                <c:pt idx="10">
                  <c:v>1142.204</c:v>
                </c:pt>
                <c:pt idx="11">
                  <c:v>1157.5900000000001</c:v>
                </c:pt>
                <c:pt idx="12">
                  <c:v>1162.6079999999999</c:v>
                </c:pt>
                <c:pt idx="13">
                  <c:v>1159.088</c:v>
                </c:pt>
                <c:pt idx="14">
                  <c:v>1138.5919999999999</c:v>
                </c:pt>
                <c:pt idx="15">
                  <c:v>1095.6480000000001</c:v>
                </c:pt>
                <c:pt idx="16">
                  <c:v>1075.02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35-4F20-A293-854F6D256B0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lux_370_420_cct_3800_4200!$I$40:$Y$40</c:f>
              <c:numCache>
                <c:formatCode>General</c:formatCode>
                <c:ptCount val="17"/>
                <c:pt idx="0">
                  <c:v>1026.1290000000001</c:v>
                </c:pt>
                <c:pt idx="1">
                  <c:v>1086.2639999999999</c:v>
                </c:pt>
                <c:pt idx="2">
                  <c:v>1111.7280000000001</c:v>
                </c:pt>
                <c:pt idx="3">
                  <c:v>1145.8340000000001</c:v>
                </c:pt>
                <c:pt idx="4">
                  <c:v>1159.95</c:v>
                </c:pt>
                <c:pt idx="5">
                  <c:v>1171.748</c:v>
                </c:pt>
                <c:pt idx="6">
                  <c:v>1164.6870000000001</c:v>
                </c:pt>
                <c:pt idx="7">
                  <c:v>1155.42</c:v>
                </c:pt>
                <c:pt idx="8">
                  <c:v>1151.127</c:v>
                </c:pt>
                <c:pt idx="9">
                  <c:v>1160.5650000000001</c:v>
                </c:pt>
                <c:pt idx="10">
                  <c:v>1173.0509999999999</c:v>
                </c:pt>
                <c:pt idx="11">
                  <c:v>1170.24</c:v>
                </c:pt>
                <c:pt idx="12">
                  <c:v>1166.2199999999998</c:v>
                </c:pt>
                <c:pt idx="13">
                  <c:v>1141.914</c:v>
                </c:pt>
                <c:pt idx="14">
                  <c:v>1103.7909999999999</c:v>
                </c:pt>
                <c:pt idx="15">
                  <c:v>1074.1099999999999</c:v>
                </c:pt>
                <c:pt idx="16">
                  <c:v>1047.915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35-4F20-A293-854F6D256B0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lux_370_420_cct_3800_4200!$I$41:$Y$41</c:f>
              <c:numCache>
                <c:formatCode>General</c:formatCode>
                <c:ptCount val="17"/>
                <c:pt idx="0">
                  <c:v>956.93799999999999</c:v>
                </c:pt>
                <c:pt idx="1">
                  <c:v>1038.971</c:v>
                </c:pt>
                <c:pt idx="2">
                  <c:v>1097.6490000000001</c:v>
                </c:pt>
                <c:pt idx="3">
                  <c:v>1109.4199999999998</c:v>
                </c:pt>
                <c:pt idx="4">
                  <c:v>1140.42</c:v>
                </c:pt>
                <c:pt idx="5">
                  <c:v>1159.088</c:v>
                </c:pt>
                <c:pt idx="6">
                  <c:v>1161.7619999999999</c:v>
                </c:pt>
                <c:pt idx="7">
                  <c:v>1166.1299999999999</c:v>
                </c:pt>
                <c:pt idx="8">
                  <c:v>1158.1559999999999</c:v>
                </c:pt>
                <c:pt idx="9">
                  <c:v>1168.6500000000001</c:v>
                </c:pt>
                <c:pt idx="10">
                  <c:v>1165.3440000000001</c:v>
                </c:pt>
                <c:pt idx="11">
                  <c:v>1165.171</c:v>
                </c:pt>
                <c:pt idx="12">
                  <c:v>1148.886</c:v>
                </c:pt>
                <c:pt idx="13">
                  <c:v>1116.05</c:v>
                </c:pt>
                <c:pt idx="14">
                  <c:v>1082.826</c:v>
                </c:pt>
                <c:pt idx="15">
                  <c:v>1049.0809999999999</c:v>
                </c:pt>
                <c:pt idx="16">
                  <c:v>994.44200000000001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35-4F20-A293-854F6D256B0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lux_370_420_cct_3800_4200!$I$42:$Y$42</c:f>
              <c:numCache>
                <c:formatCode>General</c:formatCode>
                <c:ptCount val="17"/>
                <c:pt idx="0">
                  <c:v>871.26499999999999</c:v>
                </c:pt>
                <c:pt idx="1">
                  <c:v>965.69999999999993</c:v>
                </c:pt>
                <c:pt idx="2">
                  <c:v>1051.9849999999999</c:v>
                </c:pt>
                <c:pt idx="3">
                  <c:v>1077.7619999999999</c:v>
                </c:pt>
                <c:pt idx="4">
                  <c:v>1115.4280000000001</c:v>
                </c:pt>
                <c:pt idx="5">
                  <c:v>1122.8799999999999</c:v>
                </c:pt>
                <c:pt idx="6">
                  <c:v>1142.7810000000002</c:v>
                </c:pt>
                <c:pt idx="7">
                  <c:v>1135.68</c:v>
                </c:pt>
                <c:pt idx="8">
                  <c:v>1147.549</c:v>
                </c:pt>
                <c:pt idx="9">
                  <c:v>1136.2</c:v>
                </c:pt>
                <c:pt idx="10">
                  <c:v>1142.28</c:v>
                </c:pt>
                <c:pt idx="11">
                  <c:v>1122.4159999999999</c:v>
                </c:pt>
                <c:pt idx="12">
                  <c:v>1099.008</c:v>
                </c:pt>
                <c:pt idx="13">
                  <c:v>1082.3579999999999</c:v>
                </c:pt>
                <c:pt idx="14">
                  <c:v>1072.2180000000001</c:v>
                </c:pt>
                <c:pt idx="15">
                  <c:v>999.90000000000009</c:v>
                </c:pt>
                <c:pt idx="16">
                  <c:v>914.49599999999998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35-4F20-A293-854F6D256B0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lux_370_420_cct_3800_4200!$I$44:$Y$44</c:f>
              <c:numCache>
                <c:formatCode>General</c:formatCode>
                <c:ptCount val="17"/>
                <c:pt idx="0">
                  <c:v>782.54499999999996</c:v>
                </c:pt>
                <c:pt idx="1">
                  <c:v>916.51700000000005</c:v>
                </c:pt>
                <c:pt idx="2">
                  <c:v>997.21600000000012</c:v>
                </c:pt>
                <c:pt idx="3">
                  <c:v>1055.6289999999999</c:v>
                </c:pt>
                <c:pt idx="4">
                  <c:v>1068.4190000000001</c:v>
                </c:pt>
                <c:pt idx="5">
                  <c:v>1059.894</c:v>
                </c:pt>
                <c:pt idx="6">
                  <c:v>1100.915</c:v>
                </c:pt>
                <c:pt idx="7">
                  <c:v>1106.742</c:v>
                </c:pt>
                <c:pt idx="8">
                  <c:v>1115.671</c:v>
                </c:pt>
                <c:pt idx="9">
                  <c:v>1108.9260000000002</c:v>
                </c:pt>
                <c:pt idx="10">
                  <c:v>1105.0989999999999</c:v>
                </c:pt>
                <c:pt idx="11">
                  <c:v>1066.095</c:v>
                </c:pt>
                <c:pt idx="12">
                  <c:v>1076.086</c:v>
                </c:pt>
                <c:pt idx="13">
                  <c:v>1023.612</c:v>
                </c:pt>
                <c:pt idx="14">
                  <c:v>1010.592</c:v>
                </c:pt>
                <c:pt idx="15">
                  <c:v>951.66</c:v>
                </c:pt>
                <c:pt idx="16">
                  <c:v>840.05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1-4E66-9A34-9E8839D6A8F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lux_370_420_cct_3800_4200!$I$45:$Y$45</c:f>
              <c:numCache>
                <c:formatCode>General</c:formatCode>
                <c:ptCount val="17"/>
                <c:pt idx="0">
                  <c:v>913.16</c:v>
                </c:pt>
                <c:pt idx="1">
                  <c:v>994.01499999999999</c:v>
                </c:pt>
                <c:pt idx="2">
                  <c:v>1050.72</c:v>
                </c:pt>
                <c:pt idx="3">
                  <c:v>1078.3500000000001</c:v>
                </c:pt>
                <c:pt idx="4">
                  <c:v>1107.9680000000001</c:v>
                </c:pt>
                <c:pt idx="5">
                  <c:v>1129.752</c:v>
                </c:pt>
                <c:pt idx="6">
                  <c:v>1135.9000000000001</c:v>
                </c:pt>
                <c:pt idx="7">
                  <c:v>1123.6680000000001</c:v>
                </c:pt>
                <c:pt idx="8">
                  <c:v>1124.9279999999999</c:v>
                </c:pt>
                <c:pt idx="9">
                  <c:v>1127.49</c:v>
                </c:pt>
                <c:pt idx="10">
                  <c:v>1143.268</c:v>
                </c:pt>
                <c:pt idx="11">
                  <c:v>1137.136</c:v>
                </c:pt>
                <c:pt idx="12">
                  <c:v>1119.7439999999999</c:v>
                </c:pt>
                <c:pt idx="13">
                  <c:v>1090.18</c:v>
                </c:pt>
                <c:pt idx="14">
                  <c:v>1060.2720000000002</c:v>
                </c:pt>
                <c:pt idx="15">
                  <c:v>1009.019</c:v>
                </c:pt>
                <c:pt idx="16">
                  <c:v>946.31200000000001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1-4E66-9A34-9E8839D6A8F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lux_370_420_cct_3800_4200!$I$46:$Y$46</c:f>
              <c:numCache>
                <c:formatCode>General</c:formatCode>
                <c:ptCount val="17"/>
                <c:pt idx="0">
                  <c:v>967.43399999999997</c:v>
                </c:pt>
                <c:pt idx="1">
                  <c:v>1033.875</c:v>
                </c:pt>
                <c:pt idx="2">
                  <c:v>1080.0340000000001</c:v>
                </c:pt>
                <c:pt idx="3">
                  <c:v>1118.72</c:v>
                </c:pt>
                <c:pt idx="4">
                  <c:v>1132.74</c:v>
                </c:pt>
                <c:pt idx="5">
                  <c:v>1137.8879999999999</c:v>
                </c:pt>
                <c:pt idx="6">
                  <c:v>1134.345</c:v>
                </c:pt>
                <c:pt idx="7">
                  <c:v>1135.5</c:v>
                </c:pt>
                <c:pt idx="8">
                  <c:v>1130.046</c:v>
                </c:pt>
                <c:pt idx="9">
                  <c:v>1137</c:v>
                </c:pt>
                <c:pt idx="10">
                  <c:v>1135.7549999999999</c:v>
                </c:pt>
                <c:pt idx="11">
                  <c:v>1143.72</c:v>
                </c:pt>
                <c:pt idx="12">
                  <c:v>1142.5999999999999</c:v>
                </c:pt>
                <c:pt idx="13">
                  <c:v>1132.5440000000001</c:v>
                </c:pt>
                <c:pt idx="14">
                  <c:v>1092.8810000000001</c:v>
                </c:pt>
                <c:pt idx="15">
                  <c:v>1044.375</c:v>
                </c:pt>
                <c:pt idx="16">
                  <c:v>983.44800000000009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31-4E66-9A34-9E8839D6A8F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lux_370_420_cct_3800_4200!$I$47:$Y$47</c:f>
              <c:numCache>
                <c:formatCode>General</c:formatCode>
                <c:ptCount val="17"/>
                <c:pt idx="0">
                  <c:v>1032.691</c:v>
                </c:pt>
                <c:pt idx="1">
                  <c:v>1053.1750000000002</c:v>
                </c:pt>
                <c:pt idx="2">
                  <c:v>1108.5629999999999</c:v>
                </c:pt>
                <c:pt idx="3">
                  <c:v>1139.4079999999999</c:v>
                </c:pt>
                <c:pt idx="4">
                  <c:v>1143.0720000000001</c:v>
                </c:pt>
                <c:pt idx="5">
                  <c:v>1151.3620000000001</c:v>
                </c:pt>
                <c:pt idx="6">
                  <c:v>1126.5719999999999</c:v>
                </c:pt>
                <c:pt idx="7">
                  <c:v>1108.9000000000001</c:v>
                </c:pt>
                <c:pt idx="8">
                  <c:v>1097.28</c:v>
                </c:pt>
                <c:pt idx="9">
                  <c:v>1109.7529999999999</c:v>
                </c:pt>
                <c:pt idx="10">
                  <c:v>1124.9579999999999</c:v>
                </c:pt>
                <c:pt idx="11">
                  <c:v>1129.758</c:v>
                </c:pt>
                <c:pt idx="12">
                  <c:v>1145.0159999999998</c:v>
                </c:pt>
                <c:pt idx="13">
                  <c:v>1127.3679999999999</c:v>
                </c:pt>
                <c:pt idx="14">
                  <c:v>1100.4390000000001</c:v>
                </c:pt>
                <c:pt idx="15">
                  <c:v>1069.944</c:v>
                </c:pt>
                <c:pt idx="16">
                  <c:v>1044.9060000000002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31-4E66-9A34-9E8839D6A8F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lux_370_420_cct_3800_4200!$I$48:$Y$48</c:f>
              <c:numCache>
                <c:formatCode>General</c:formatCode>
                <c:ptCount val="17"/>
                <c:pt idx="0">
                  <c:v>1049.93</c:v>
                </c:pt>
                <c:pt idx="1">
                  <c:v>1058.8320000000001</c:v>
                </c:pt>
                <c:pt idx="2">
                  <c:v>1099.2639999999999</c:v>
                </c:pt>
                <c:pt idx="3">
                  <c:v>1143.8820000000001</c:v>
                </c:pt>
                <c:pt idx="4">
                  <c:v>1136.46</c:v>
                </c:pt>
                <c:pt idx="5">
                  <c:v>1127.3789999999999</c:v>
                </c:pt>
                <c:pt idx="6">
                  <c:v>1101.654</c:v>
                </c:pt>
                <c:pt idx="7">
                  <c:v>1076.46</c:v>
                </c:pt>
                <c:pt idx="8">
                  <c:v>1076.2850000000001</c:v>
                </c:pt>
                <c:pt idx="9">
                  <c:v>1076.46</c:v>
                </c:pt>
                <c:pt idx="10">
                  <c:v>1101.654</c:v>
                </c:pt>
                <c:pt idx="11">
                  <c:v>1127.3789999999999</c:v>
                </c:pt>
                <c:pt idx="12">
                  <c:v>1141.395</c:v>
                </c:pt>
                <c:pt idx="13">
                  <c:v>1132.9639999999999</c:v>
                </c:pt>
                <c:pt idx="14">
                  <c:v>1114.624</c:v>
                </c:pt>
                <c:pt idx="15">
                  <c:v>1072.2240000000002</c:v>
                </c:pt>
                <c:pt idx="16">
                  <c:v>1055.124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31-4E66-9A34-9E8839D6A8F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lux_370_420_cct_3800_4200!$I$49:$Y$49</c:f>
              <c:numCache>
                <c:formatCode>General</c:formatCode>
                <c:ptCount val="17"/>
                <c:pt idx="0">
                  <c:v>1041.8710000000001</c:v>
                </c:pt>
                <c:pt idx="1">
                  <c:v>1084.72</c:v>
                </c:pt>
                <c:pt idx="2">
                  <c:v>1107.5159999999998</c:v>
                </c:pt>
                <c:pt idx="3">
                  <c:v>1133.8600000000001</c:v>
                </c:pt>
                <c:pt idx="4">
                  <c:v>1139.25</c:v>
                </c:pt>
                <c:pt idx="5">
                  <c:v>1109.7529999999999</c:v>
                </c:pt>
                <c:pt idx="6">
                  <c:v>1073.664</c:v>
                </c:pt>
                <c:pt idx="7">
                  <c:v>1050.318</c:v>
                </c:pt>
                <c:pt idx="8">
                  <c:v>1035</c:v>
                </c:pt>
                <c:pt idx="9">
                  <c:v>1056.252</c:v>
                </c:pt>
                <c:pt idx="10">
                  <c:v>1081.1199999999999</c:v>
                </c:pt>
                <c:pt idx="11">
                  <c:v>1101.71</c:v>
                </c:pt>
                <c:pt idx="12">
                  <c:v>1131.4089999999999</c:v>
                </c:pt>
                <c:pt idx="13">
                  <c:v>1144.6889999999999</c:v>
                </c:pt>
                <c:pt idx="14">
                  <c:v>1120.3319999999999</c:v>
                </c:pt>
                <c:pt idx="15">
                  <c:v>1064.972</c:v>
                </c:pt>
                <c:pt idx="16">
                  <c:v>1047.8880000000001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31-4E66-9A34-9E8839D6A8F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lux_370_420_cct_3800_4200!$I$50:$Y$50</c:f>
              <c:numCache>
                <c:formatCode>General</c:formatCode>
                <c:ptCount val="17"/>
                <c:pt idx="0">
                  <c:v>1031.259</c:v>
                </c:pt>
                <c:pt idx="1">
                  <c:v>1077.44</c:v>
                </c:pt>
                <c:pt idx="2">
                  <c:v>1122.576</c:v>
                </c:pt>
                <c:pt idx="3">
                  <c:v>1139.8319999999999</c:v>
                </c:pt>
                <c:pt idx="4">
                  <c:v>1136.904</c:v>
                </c:pt>
                <c:pt idx="5">
                  <c:v>1100.7360000000001</c:v>
                </c:pt>
                <c:pt idx="6">
                  <c:v>1058.989</c:v>
                </c:pt>
                <c:pt idx="7">
                  <c:v>1029</c:v>
                </c:pt>
                <c:pt idx="8">
                  <c:v>1029.1379999999999</c:v>
                </c:pt>
                <c:pt idx="9">
                  <c:v>1035</c:v>
                </c:pt>
                <c:pt idx="10">
                  <c:v>1067.4759999999999</c:v>
                </c:pt>
                <c:pt idx="11">
                  <c:v>1109.376</c:v>
                </c:pt>
                <c:pt idx="12">
                  <c:v>1127.25</c:v>
                </c:pt>
                <c:pt idx="13">
                  <c:v>1150.2</c:v>
                </c:pt>
                <c:pt idx="14">
                  <c:v>1133.4960000000001</c:v>
                </c:pt>
                <c:pt idx="15">
                  <c:v>1085.175</c:v>
                </c:pt>
                <c:pt idx="16">
                  <c:v>1027.0899999999999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31-4E66-9A34-9E8839D6A8F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lux_370_420_cct_3800_4200!$I$51:$Y$51</c:f>
              <c:numCache>
                <c:formatCode>General</c:formatCode>
                <c:ptCount val="17"/>
                <c:pt idx="0">
                  <c:v>1051.335</c:v>
                </c:pt>
                <c:pt idx="1">
                  <c:v>1059.213</c:v>
                </c:pt>
                <c:pt idx="2">
                  <c:v>1114.992</c:v>
                </c:pt>
                <c:pt idx="3">
                  <c:v>1145.326</c:v>
                </c:pt>
                <c:pt idx="4">
                  <c:v>1133.626</c:v>
                </c:pt>
                <c:pt idx="5">
                  <c:v>1101.71</c:v>
                </c:pt>
                <c:pt idx="6">
                  <c:v>1079.2559999999999</c:v>
                </c:pt>
                <c:pt idx="7">
                  <c:v>1040.5920000000001</c:v>
                </c:pt>
                <c:pt idx="8">
                  <c:v>1033</c:v>
                </c:pt>
                <c:pt idx="9">
                  <c:v>1042.548</c:v>
                </c:pt>
                <c:pt idx="10">
                  <c:v>1080.1880000000001</c:v>
                </c:pt>
                <c:pt idx="11">
                  <c:v>1102.5509999999999</c:v>
                </c:pt>
                <c:pt idx="12">
                  <c:v>1135.8429999999998</c:v>
                </c:pt>
                <c:pt idx="13">
                  <c:v>1152.3329999999999</c:v>
                </c:pt>
                <c:pt idx="14">
                  <c:v>1128.876</c:v>
                </c:pt>
                <c:pt idx="15">
                  <c:v>1072.9460000000001</c:v>
                </c:pt>
                <c:pt idx="16">
                  <c:v>1053.25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31-4E66-9A34-9E8839D6A8F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lux_370_420_cct_3800_4200!$I$52:$Y$52</c:f>
              <c:numCache>
                <c:formatCode>General</c:formatCode>
                <c:ptCount val="17"/>
                <c:pt idx="0">
                  <c:v>1008.904</c:v>
                </c:pt>
                <c:pt idx="1">
                  <c:v>1063.5840000000001</c:v>
                </c:pt>
                <c:pt idx="2">
                  <c:v>1105.92</c:v>
                </c:pt>
                <c:pt idx="3">
                  <c:v>1129.954</c:v>
                </c:pt>
                <c:pt idx="4">
                  <c:v>1144.2149999999999</c:v>
                </c:pt>
                <c:pt idx="5">
                  <c:v>1119.972</c:v>
                </c:pt>
                <c:pt idx="6">
                  <c:v>1093.75</c:v>
                </c:pt>
                <c:pt idx="7">
                  <c:v>1082.9839999999999</c:v>
                </c:pt>
                <c:pt idx="8">
                  <c:v>1070.3050000000001</c:v>
                </c:pt>
                <c:pt idx="9">
                  <c:v>1068.3599999999999</c:v>
                </c:pt>
                <c:pt idx="10">
                  <c:v>1090.25</c:v>
                </c:pt>
                <c:pt idx="11">
                  <c:v>1114.3999999999999</c:v>
                </c:pt>
                <c:pt idx="12">
                  <c:v>1145.625</c:v>
                </c:pt>
                <c:pt idx="13">
                  <c:v>1139.586</c:v>
                </c:pt>
                <c:pt idx="14">
                  <c:v>1122.3040000000001</c:v>
                </c:pt>
                <c:pt idx="15">
                  <c:v>1079.1360000000002</c:v>
                </c:pt>
                <c:pt idx="16">
                  <c:v>1016.38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31-4E66-9A34-9E8839D6A8F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lux_370_420_cct_3800_4200!$I$53:$Y$53</c:f>
              <c:numCache>
                <c:formatCode>General</c:formatCode>
                <c:ptCount val="17"/>
                <c:pt idx="0">
                  <c:v>990.67500000000007</c:v>
                </c:pt>
                <c:pt idx="1">
                  <c:v>1059.7190000000001</c:v>
                </c:pt>
                <c:pt idx="2">
                  <c:v>1088.5140000000001</c:v>
                </c:pt>
                <c:pt idx="3">
                  <c:v>1121.7979999999998</c:v>
                </c:pt>
                <c:pt idx="4">
                  <c:v>1145.0159999999998</c:v>
                </c:pt>
                <c:pt idx="5">
                  <c:v>1135.5740000000001</c:v>
                </c:pt>
                <c:pt idx="6">
                  <c:v>1119.1759999999999</c:v>
                </c:pt>
                <c:pt idx="7">
                  <c:v>1106.7560000000001</c:v>
                </c:pt>
                <c:pt idx="8">
                  <c:v>1098.664</c:v>
                </c:pt>
                <c:pt idx="9">
                  <c:v>1108.4380000000001</c:v>
                </c:pt>
                <c:pt idx="10">
                  <c:v>1119.972</c:v>
                </c:pt>
                <c:pt idx="11">
                  <c:v>1137.028</c:v>
                </c:pt>
                <c:pt idx="12">
                  <c:v>1131.3120000000001</c:v>
                </c:pt>
                <c:pt idx="13">
                  <c:v>1131.8240000000001</c:v>
                </c:pt>
                <c:pt idx="14">
                  <c:v>1101.8700000000001</c:v>
                </c:pt>
                <c:pt idx="15">
                  <c:v>1067.8990000000001</c:v>
                </c:pt>
                <c:pt idx="16">
                  <c:v>992.00700000000006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31-4E66-9A34-9E8839D6A8F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lux_370_420_cct_3800_4200!$I$54:$Y$54</c:f>
              <c:numCache>
                <c:formatCode>General</c:formatCode>
                <c:ptCount val="17"/>
                <c:pt idx="0">
                  <c:v>974.02799999999991</c:v>
                </c:pt>
                <c:pt idx="1">
                  <c:v>1041.75</c:v>
                </c:pt>
                <c:pt idx="2">
                  <c:v>1060.992</c:v>
                </c:pt>
                <c:pt idx="3">
                  <c:v>1101</c:v>
                </c:pt>
                <c:pt idx="4">
                  <c:v>1119.528</c:v>
                </c:pt>
                <c:pt idx="5">
                  <c:v>1129.4009999999998</c:v>
                </c:pt>
                <c:pt idx="6">
                  <c:v>1126.125</c:v>
                </c:pt>
                <c:pt idx="7">
                  <c:v>1132.8869999999999</c:v>
                </c:pt>
                <c:pt idx="8">
                  <c:v>1128.75</c:v>
                </c:pt>
                <c:pt idx="9">
                  <c:v>1138.06</c:v>
                </c:pt>
                <c:pt idx="10">
                  <c:v>1134.441</c:v>
                </c:pt>
                <c:pt idx="11">
                  <c:v>1138.319</c:v>
                </c:pt>
                <c:pt idx="12">
                  <c:v>1126.912</c:v>
                </c:pt>
                <c:pt idx="13">
                  <c:v>1110.5</c:v>
                </c:pt>
                <c:pt idx="14">
                  <c:v>1068.336</c:v>
                </c:pt>
                <c:pt idx="15">
                  <c:v>1044</c:v>
                </c:pt>
                <c:pt idx="16">
                  <c:v>982.19200000000001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31-4E66-9A34-9E8839D6A8F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lux_370_420_cct_3800_4200!$I$55:$Y$55</c:f>
              <c:numCache>
                <c:formatCode>General</c:formatCode>
                <c:ptCount val="17"/>
                <c:pt idx="0">
                  <c:v>924.11199999999997</c:v>
                </c:pt>
                <c:pt idx="1">
                  <c:v>1007.655</c:v>
                </c:pt>
                <c:pt idx="2">
                  <c:v>1037.182</c:v>
                </c:pt>
                <c:pt idx="3">
                  <c:v>1072.06</c:v>
                </c:pt>
                <c:pt idx="4">
                  <c:v>1105.5</c:v>
                </c:pt>
                <c:pt idx="5">
                  <c:v>1129.039</c:v>
                </c:pt>
                <c:pt idx="6">
                  <c:v>1135.3719999999998</c:v>
                </c:pt>
                <c:pt idx="7">
                  <c:v>1122.5</c:v>
                </c:pt>
                <c:pt idx="8">
                  <c:v>1126.2160000000001</c:v>
                </c:pt>
                <c:pt idx="9">
                  <c:v>1125.625</c:v>
                </c:pt>
                <c:pt idx="10">
                  <c:v>1139.586</c:v>
                </c:pt>
                <c:pt idx="11">
                  <c:v>1135.1659999999999</c:v>
                </c:pt>
                <c:pt idx="12">
                  <c:v>1114</c:v>
                </c:pt>
                <c:pt idx="13">
                  <c:v>1079.1479999999999</c:v>
                </c:pt>
                <c:pt idx="14">
                  <c:v>1039.498</c:v>
                </c:pt>
                <c:pt idx="15">
                  <c:v>1016.521</c:v>
                </c:pt>
                <c:pt idx="16">
                  <c:v>955.48800000000006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31-4E66-9A34-9E8839D6A8F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lux_370_420_cct_3800_4200!$I$56:$Y$56</c:f>
              <c:numCache>
                <c:formatCode>General</c:formatCode>
                <c:ptCount val="17"/>
                <c:pt idx="0">
                  <c:v>813.28499999999997</c:v>
                </c:pt>
                <c:pt idx="1">
                  <c:v>909.01600000000008</c:v>
                </c:pt>
                <c:pt idx="2">
                  <c:v>1008.337</c:v>
                </c:pt>
                <c:pt idx="3">
                  <c:v>1077.386</c:v>
                </c:pt>
                <c:pt idx="4">
                  <c:v>1095.6000000000001</c:v>
                </c:pt>
                <c:pt idx="5">
                  <c:v>1086.712</c:v>
                </c:pt>
                <c:pt idx="6">
                  <c:v>1126.912</c:v>
                </c:pt>
                <c:pt idx="7">
                  <c:v>1125.1380000000001</c:v>
                </c:pt>
                <c:pt idx="8">
                  <c:v>1101.3399999999999</c:v>
                </c:pt>
                <c:pt idx="9">
                  <c:v>1126.74</c:v>
                </c:pt>
                <c:pt idx="10">
                  <c:v>1091.2</c:v>
                </c:pt>
                <c:pt idx="11">
                  <c:v>1084.848</c:v>
                </c:pt>
                <c:pt idx="12">
                  <c:v>1057.0319999999999</c:v>
                </c:pt>
                <c:pt idx="13">
                  <c:v>1037.547</c:v>
                </c:pt>
                <c:pt idx="14">
                  <c:v>1019.931</c:v>
                </c:pt>
                <c:pt idx="15">
                  <c:v>940.98399999999992</c:v>
                </c:pt>
                <c:pt idx="16">
                  <c:v>873.97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31-4E66-9A34-9E8839D6A8F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lux_370_420_cct_4800_5200!$I$2:$Y$2</c:f>
              <c:numCache>
                <c:formatCode>General</c:formatCode>
                <c:ptCount val="17"/>
                <c:pt idx="0">
                  <c:v>757.39099999999996</c:v>
                </c:pt>
                <c:pt idx="1">
                  <c:v>794.61</c:v>
                </c:pt>
                <c:pt idx="2">
                  <c:v>845.12199999999996</c:v>
                </c:pt>
                <c:pt idx="3">
                  <c:v>876.50799999999992</c:v>
                </c:pt>
                <c:pt idx="4">
                  <c:v>926.16</c:v>
                </c:pt>
                <c:pt idx="5">
                  <c:v>925.24499999999989</c:v>
                </c:pt>
                <c:pt idx="6">
                  <c:v>944.2299999999999</c:v>
                </c:pt>
                <c:pt idx="7">
                  <c:v>982.65199999999993</c:v>
                </c:pt>
                <c:pt idx="8">
                  <c:v>964.84399999999994</c:v>
                </c:pt>
                <c:pt idx="9">
                  <c:v>984.67599999999993</c:v>
                </c:pt>
                <c:pt idx="10">
                  <c:v>972.19399999999996</c:v>
                </c:pt>
                <c:pt idx="11">
                  <c:v>960.17899999999997</c:v>
                </c:pt>
                <c:pt idx="12">
                  <c:v>925.75200000000007</c:v>
                </c:pt>
                <c:pt idx="13">
                  <c:v>880.11800000000005</c:v>
                </c:pt>
                <c:pt idx="14">
                  <c:v>853.36400000000003</c:v>
                </c:pt>
                <c:pt idx="15">
                  <c:v>798.66000000000008</c:v>
                </c:pt>
                <c:pt idx="16">
                  <c:v>754.76199999999994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5-4C0E-985E-6147BE97ECBC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lux_370_420_cct_4800_5200!$I$3:$Y$3</c:f>
              <c:numCache>
                <c:formatCode>General</c:formatCode>
                <c:ptCount val="17"/>
                <c:pt idx="0">
                  <c:v>832.41000000000008</c:v>
                </c:pt>
                <c:pt idx="1">
                  <c:v>867.62900000000002</c:v>
                </c:pt>
                <c:pt idx="2">
                  <c:v>888.41000000000008</c:v>
                </c:pt>
                <c:pt idx="3">
                  <c:v>944.55900000000008</c:v>
                </c:pt>
                <c:pt idx="4">
                  <c:v>965.85</c:v>
                </c:pt>
                <c:pt idx="5">
                  <c:v>1006.687</c:v>
                </c:pt>
                <c:pt idx="6">
                  <c:v>1007.304</c:v>
                </c:pt>
                <c:pt idx="7">
                  <c:v>1027.2</c:v>
                </c:pt>
                <c:pt idx="8">
                  <c:v>1031.3679999999999</c:v>
                </c:pt>
                <c:pt idx="9">
                  <c:v>1026.6000000000001</c:v>
                </c:pt>
                <c:pt idx="10">
                  <c:v>1029.8879999999999</c:v>
                </c:pt>
                <c:pt idx="11">
                  <c:v>1010.39</c:v>
                </c:pt>
                <c:pt idx="12">
                  <c:v>971.96</c:v>
                </c:pt>
                <c:pt idx="13">
                  <c:v>950.90400000000011</c:v>
                </c:pt>
                <c:pt idx="14">
                  <c:v>898.63000000000011</c:v>
                </c:pt>
                <c:pt idx="15">
                  <c:v>873.33499999999992</c:v>
                </c:pt>
                <c:pt idx="16">
                  <c:v>779.28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D5-4C0E-985E-6147BE97ECBC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lux_370_420_cct_4800_5200!$I$4:$Y$4</c:f>
              <c:numCache>
                <c:formatCode>General</c:formatCode>
                <c:ptCount val="17"/>
                <c:pt idx="0">
                  <c:v>841.29</c:v>
                </c:pt>
                <c:pt idx="1">
                  <c:v>892.03100000000006</c:v>
                </c:pt>
                <c:pt idx="2">
                  <c:v>930.70799999999997</c:v>
                </c:pt>
                <c:pt idx="3">
                  <c:v>962.09</c:v>
                </c:pt>
                <c:pt idx="4">
                  <c:v>1000.309</c:v>
                </c:pt>
                <c:pt idx="5">
                  <c:v>1030.146</c:v>
                </c:pt>
                <c:pt idx="6">
                  <c:v>1042.52</c:v>
                </c:pt>
                <c:pt idx="7">
                  <c:v>1041.3500000000001</c:v>
                </c:pt>
                <c:pt idx="8">
                  <c:v>1041.0840000000001</c:v>
                </c:pt>
                <c:pt idx="9">
                  <c:v>1045.586</c:v>
                </c:pt>
                <c:pt idx="10">
                  <c:v>1051.9000000000001</c:v>
                </c:pt>
                <c:pt idx="11">
                  <c:v>1039.922</c:v>
                </c:pt>
                <c:pt idx="12">
                  <c:v>1011.6700000000001</c:v>
                </c:pt>
                <c:pt idx="13">
                  <c:v>972.9</c:v>
                </c:pt>
                <c:pt idx="14">
                  <c:v>939.77200000000005</c:v>
                </c:pt>
                <c:pt idx="15">
                  <c:v>895.56099999999992</c:v>
                </c:pt>
                <c:pt idx="16">
                  <c:v>834.04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D5-4C0E-985E-6147BE97ECBC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lux_370_420_cct_4800_5200!$I$5:$Y$5</c:f>
              <c:numCache>
                <c:formatCode>General</c:formatCode>
                <c:ptCount val="17"/>
                <c:pt idx="0">
                  <c:v>849.68399999999997</c:v>
                </c:pt>
                <c:pt idx="1">
                  <c:v>897.13600000000008</c:v>
                </c:pt>
                <c:pt idx="2">
                  <c:v>952.1099999999999</c:v>
                </c:pt>
                <c:pt idx="3">
                  <c:v>1001.9259999999999</c:v>
                </c:pt>
                <c:pt idx="4">
                  <c:v>1027.702</c:v>
                </c:pt>
                <c:pt idx="5">
                  <c:v>1041</c:v>
                </c:pt>
                <c:pt idx="6">
                  <c:v>1042.096</c:v>
                </c:pt>
                <c:pt idx="7">
                  <c:v>1041.3240000000001</c:v>
                </c:pt>
                <c:pt idx="8">
                  <c:v>1054.605</c:v>
                </c:pt>
                <c:pt idx="9">
                  <c:v>1048.623</c:v>
                </c:pt>
                <c:pt idx="10">
                  <c:v>1055.848</c:v>
                </c:pt>
                <c:pt idx="11">
                  <c:v>1056.268</c:v>
                </c:pt>
                <c:pt idx="12">
                  <c:v>1041.7550000000001</c:v>
                </c:pt>
                <c:pt idx="13">
                  <c:v>1014.622</c:v>
                </c:pt>
                <c:pt idx="14">
                  <c:v>960.15600000000006</c:v>
                </c:pt>
                <c:pt idx="15">
                  <c:v>897.88799999999992</c:v>
                </c:pt>
                <c:pt idx="16">
                  <c:v>840.26400000000001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D5-4C0E-985E-6147BE97ECBC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lux_370_420_cct_4800_5200!$I$6:$Y$6</c:f>
              <c:numCache>
                <c:formatCode>General</c:formatCode>
                <c:ptCount val="17"/>
                <c:pt idx="0">
                  <c:v>852.81299999999999</c:v>
                </c:pt>
                <c:pt idx="1">
                  <c:v>938.12400000000002</c:v>
                </c:pt>
                <c:pt idx="2">
                  <c:v>974.60399999999993</c:v>
                </c:pt>
                <c:pt idx="3">
                  <c:v>1024.1279999999999</c:v>
                </c:pt>
                <c:pt idx="4">
                  <c:v>1039.8399999999999</c:v>
                </c:pt>
                <c:pt idx="5">
                  <c:v>1040.568</c:v>
                </c:pt>
                <c:pt idx="6">
                  <c:v>1043.5039999999999</c:v>
                </c:pt>
                <c:pt idx="7">
                  <c:v>1045.2750000000001</c:v>
                </c:pt>
                <c:pt idx="8">
                  <c:v>1049.77</c:v>
                </c:pt>
                <c:pt idx="9">
                  <c:v>1050.7049999999999</c:v>
                </c:pt>
                <c:pt idx="10">
                  <c:v>1052.8210000000001</c:v>
                </c:pt>
                <c:pt idx="11">
                  <c:v>1051.2639999999999</c:v>
                </c:pt>
                <c:pt idx="12">
                  <c:v>1050.56</c:v>
                </c:pt>
                <c:pt idx="13">
                  <c:v>1034.4960000000001</c:v>
                </c:pt>
                <c:pt idx="14">
                  <c:v>984.72600000000011</c:v>
                </c:pt>
                <c:pt idx="15">
                  <c:v>918.80000000000007</c:v>
                </c:pt>
                <c:pt idx="16">
                  <c:v>864.06799999999998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D5-4C0E-985E-6147BE97ECBC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lux_370_420_cct_4800_5200!$I$7:$Y$7</c:f>
              <c:numCache>
                <c:formatCode>General</c:formatCode>
                <c:ptCount val="17"/>
                <c:pt idx="0">
                  <c:v>859.39499999999998</c:v>
                </c:pt>
                <c:pt idx="1">
                  <c:v>934.83</c:v>
                </c:pt>
                <c:pt idx="2">
                  <c:v>982.14600000000007</c:v>
                </c:pt>
                <c:pt idx="3">
                  <c:v>1014.6</c:v>
                </c:pt>
                <c:pt idx="4">
                  <c:v>1030.76</c:v>
                </c:pt>
                <c:pt idx="5">
                  <c:v>1037.269</c:v>
                </c:pt>
                <c:pt idx="6">
                  <c:v>1041.655</c:v>
                </c:pt>
                <c:pt idx="7">
                  <c:v>1028.588</c:v>
                </c:pt>
                <c:pt idx="8">
                  <c:v>1025.5440000000001</c:v>
                </c:pt>
                <c:pt idx="9">
                  <c:v>1047.248</c:v>
                </c:pt>
                <c:pt idx="10">
                  <c:v>1048.895</c:v>
                </c:pt>
                <c:pt idx="11">
                  <c:v>1042.135</c:v>
                </c:pt>
                <c:pt idx="12">
                  <c:v>1038.5260000000001</c:v>
                </c:pt>
                <c:pt idx="13">
                  <c:v>1024.8</c:v>
                </c:pt>
                <c:pt idx="14">
                  <c:v>995.30200000000002</c:v>
                </c:pt>
                <c:pt idx="15">
                  <c:v>945.82800000000009</c:v>
                </c:pt>
                <c:pt idx="16">
                  <c:v>864.56999999999994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D5-4C0E-985E-6147BE97ECBC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lux_370_420_cct_4800_5200!$I$8:$Y$8</c:f>
              <c:numCache>
                <c:formatCode>General</c:formatCode>
                <c:ptCount val="17"/>
                <c:pt idx="0">
                  <c:v>885.00300000000004</c:v>
                </c:pt>
                <c:pt idx="1">
                  <c:v>952.21500000000003</c:v>
                </c:pt>
                <c:pt idx="2">
                  <c:v>989.02100000000007</c:v>
                </c:pt>
                <c:pt idx="3">
                  <c:v>1012.427</c:v>
                </c:pt>
                <c:pt idx="4">
                  <c:v>1035.1799999999998</c:v>
                </c:pt>
                <c:pt idx="5">
                  <c:v>1034.5650000000001</c:v>
                </c:pt>
                <c:pt idx="6">
                  <c:v>1033.048</c:v>
                </c:pt>
                <c:pt idx="7">
                  <c:v>1028.97</c:v>
                </c:pt>
                <c:pt idx="8">
                  <c:v>1027.0920000000001</c:v>
                </c:pt>
                <c:pt idx="9">
                  <c:v>1035.963</c:v>
                </c:pt>
                <c:pt idx="10">
                  <c:v>1059.5659999999998</c:v>
                </c:pt>
                <c:pt idx="11">
                  <c:v>1047.0899999999999</c:v>
                </c:pt>
                <c:pt idx="12">
                  <c:v>1049.0309999999999</c:v>
                </c:pt>
                <c:pt idx="13">
                  <c:v>1025.258</c:v>
                </c:pt>
                <c:pt idx="14">
                  <c:v>1000.395</c:v>
                </c:pt>
                <c:pt idx="15">
                  <c:v>932.71500000000003</c:v>
                </c:pt>
                <c:pt idx="16">
                  <c:v>892.03100000000006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D5-4C0E-985E-6147BE97ECBC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lux_370_420_cct_4800_5200!$I$9:$Y$9</c:f>
              <c:numCache>
                <c:formatCode>General</c:formatCode>
                <c:ptCount val="17"/>
                <c:pt idx="0">
                  <c:v>863.53500000000008</c:v>
                </c:pt>
                <c:pt idx="1">
                  <c:v>935.25299999999993</c:v>
                </c:pt>
                <c:pt idx="2">
                  <c:v>978.60399999999993</c:v>
                </c:pt>
                <c:pt idx="3">
                  <c:v>1025.8690000000001</c:v>
                </c:pt>
                <c:pt idx="4">
                  <c:v>1036.0650000000001</c:v>
                </c:pt>
                <c:pt idx="5">
                  <c:v>1038.626</c:v>
                </c:pt>
                <c:pt idx="6">
                  <c:v>1040.7950000000001</c:v>
                </c:pt>
                <c:pt idx="7">
                  <c:v>1027.7279999999998</c:v>
                </c:pt>
                <c:pt idx="8">
                  <c:v>1026.972</c:v>
                </c:pt>
                <c:pt idx="9">
                  <c:v>1039.44</c:v>
                </c:pt>
                <c:pt idx="10">
                  <c:v>1058.2179999999998</c:v>
                </c:pt>
                <c:pt idx="11">
                  <c:v>1055.9089999999999</c:v>
                </c:pt>
                <c:pt idx="12">
                  <c:v>1054.7070000000001</c:v>
                </c:pt>
                <c:pt idx="13">
                  <c:v>1023.6</c:v>
                </c:pt>
                <c:pt idx="14">
                  <c:v>992.26600000000008</c:v>
                </c:pt>
                <c:pt idx="15">
                  <c:v>939.90599999999995</c:v>
                </c:pt>
                <c:pt idx="16">
                  <c:v>856.29000000000008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D5-4C0E-985E-6147BE97ECBC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lux_370_420_cct_4800_5200!$I$10:$Y$10</c:f>
              <c:numCache>
                <c:formatCode>General</c:formatCode>
                <c:ptCount val="17"/>
                <c:pt idx="0">
                  <c:v>854.14499999999998</c:v>
                </c:pt>
                <c:pt idx="1">
                  <c:v>938.12400000000002</c:v>
                </c:pt>
                <c:pt idx="2">
                  <c:v>970.26599999999996</c:v>
                </c:pt>
                <c:pt idx="3">
                  <c:v>1016.064</c:v>
                </c:pt>
                <c:pt idx="4">
                  <c:v>1028.45</c:v>
                </c:pt>
                <c:pt idx="5">
                  <c:v>1044.4960000000001</c:v>
                </c:pt>
                <c:pt idx="6">
                  <c:v>1045.0439999999999</c:v>
                </c:pt>
                <c:pt idx="7">
                  <c:v>1044.463</c:v>
                </c:pt>
                <c:pt idx="8">
                  <c:v>1047.3330000000001</c:v>
                </c:pt>
                <c:pt idx="9">
                  <c:v>1049.9649999999999</c:v>
                </c:pt>
                <c:pt idx="10">
                  <c:v>1054.482</c:v>
                </c:pt>
                <c:pt idx="11">
                  <c:v>1058.4640000000002</c:v>
                </c:pt>
                <c:pt idx="12">
                  <c:v>1044.53</c:v>
                </c:pt>
                <c:pt idx="13">
                  <c:v>1032.192</c:v>
                </c:pt>
                <c:pt idx="14">
                  <c:v>982.79800000000012</c:v>
                </c:pt>
                <c:pt idx="15">
                  <c:v>944.71600000000001</c:v>
                </c:pt>
                <c:pt idx="16">
                  <c:v>850.81500000000005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D5-4C0E-985E-6147BE97ECBC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lux_370_420_cct_4800_5200!$I$11:$Y$11</c:f>
              <c:numCache>
                <c:formatCode>General</c:formatCode>
                <c:ptCount val="17"/>
                <c:pt idx="0">
                  <c:v>869.37499999999989</c:v>
                </c:pt>
                <c:pt idx="1">
                  <c:v>918.39599999999996</c:v>
                </c:pt>
                <c:pt idx="2">
                  <c:v>946.29899999999998</c:v>
                </c:pt>
                <c:pt idx="3">
                  <c:v>996.63599999999997</c:v>
                </c:pt>
                <c:pt idx="4">
                  <c:v>1020.981</c:v>
                </c:pt>
                <c:pt idx="5">
                  <c:v>1031.2839999999999</c:v>
                </c:pt>
                <c:pt idx="6">
                  <c:v>1045.2719999999999</c:v>
                </c:pt>
                <c:pt idx="7">
                  <c:v>1041.095</c:v>
                </c:pt>
                <c:pt idx="8">
                  <c:v>1033.73</c:v>
                </c:pt>
                <c:pt idx="9">
                  <c:v>1043.5640000000001</c:v>
                </c:pt>
                <c:pt idx="10">
                  <c:v>1032.9280000000001</c:v>
                </c:pt>
                <c:pt idx="11">
                  <c:v>1035.4480000000001</c:v>
                </c:pt>
                <c:pt idx="12">
                  <c:v>1027.702</c:v>
                </c:pt>
                <c:pt idx="13">
                  <c:v>1006.687</c:v>
                </c:pt>
                <c:pt idx="14">
                  <c:v>958.81500000000005</c:v>
                </c:pt>
                <c:pt idx="15">
                  <c:v>929.26</c:v>
                </c:pt>
                <c:pt idx="16">
                  <c:v>834.20999999999992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D5-4C0E-985E-6147BE97ECBC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lux_370_420_cct_4800_5200!$I$12:$Y$12</c:f>
              <c:numCache>
                <c:formatCode>General</c:formatCode>
                <c:ptCount val="17"/>
                <c:pt idx="0">
                  <c:v>832.30000000000007</c:v>
                </c:pt>
                <c:pt idx="1">
                  <c:v>886.73599999999999</c:v>
                </c:pt>
                <c:pt idx="2">
                  <c:v>927.82399999999996</c:v>
                </c:pt>
                <c:pt idx="3">
                  <c:v>981.35199999999998</c:v>
                </c:pt>
                <c:pt idx="4">
                  <c:v>993.27600000000007</c:v>
                </c:pt>
                <c:pt idx="5">
                  <c:v>1019.759</c:v>
                </c:pt>
                <c:pt idx="6">
                  <c:v>1029.79</c:v>
                </c:pt>
                <c:pt idx="7">
                  <c:v>1041.8010000000002</c:v>
                </c:pt>
                <c:pt idx="8">
                  <c:v>1038.825</c:v>
                </c:pt>
                <c:pt idx="9">
                  <c:v>1042.518</c:v>
                </c:pt>
                <c:pt idx="10">
                  <c:v>1033.1400000000001</c:v>
                </c:pt>
                <c:pt idx="11">
                  <c:v>1025.258</c:v>
                </c:pt>
                <c:pt idx="12">
                  <c:v>1000.309</c:v>
                </c:pt>
                <c:pt idx="13">
                  <c:v>966.32</c:v>
                </c:pt>
                <c:pt idx="14">
                  <c:v>937.3</c:v>
                </c:pt>
                <c:pt idx="15">
                  <c:v>894.85500000000002</c:v>
                </c:pt>
                <c:pt idx="16">
                  <c:v>834.04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D5-4C0E-985E-6147BE97ECBC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lux_370_420_cct_4800_5200!$I$13:$Y$13</c:f>
              <c:numCache>
                <c:formatCode>General</c:formatCode>
                <c:ptCount val="17"/>
                <c:pt idx="0">
                  <c:v>829.71</c:v>
                </c:pt>
                <c:pt idx="1">
                  <c:v>863.19099999999992</c:v>
                </c:pt>
                <c:pt idx="2">
                  <c:v>885.49</c:v>
                </c:pt>
                <c:pt idx="3">
                  <c:v>938.63699999999994</c:v>
                </c:pt>
                <c:pt idx="4">
                  <c:v>981.35199999999998</c:v>
                </c:pt>
                <c:pt idx="5">
                  <c:v>993.46199999999999</c:v>
                </c:pt>
                <c:pt idx="6">
                  <c:v>1013.76</c:v>
                </c:pt>
                <c:pt idx="7">
                  <c:v>1030.7570000000001</c:v>
                </c:pt>
                <c:pt idx="8">
                  <c:v>1018.537</c:v>
                </c:pt>
                <c:pt idx="9">
                  <c:v>1036.867</c:v>
                </c:pt>
                <c:pt idx="10">
                  <c:v>1025.28</c:v>
                </c:pt>
                <c:pt idx="11">
                  <c:v>1006.1579999999999</c:v>
                </c:pt>
                <c:pt idx="12">
                  <c:v>991.9559999999999</c:v>
                </c:pt>
                <c:pt idx="13">
                  <c:v>947.09699999999998</c:v>
                </c:pt>
                <c:pt idx="14">
                  <c:v>891.33</c:v>
                </c:pt>
                <c:pt idx="15">
                  <c:v>866.0440000000001</c:v>
                </c:pt>
                <c:pt idx="16">
                  <c:v>822.42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D5-4C0E-985E-6147BE97ECBC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lux_370_420_cct_4800_5200!$I$14:$Y$14</c:f>
              <c:numCache>
                <c:formatCode>General</c:formatCode>
                <c:ptCount val="17"/>
                <c:pt idx="0">
                  <c:v>820.33500000000004</c:v>
                </c:pt>
                <c:pt idx="1">
                  <c:v>849.99199999999996</c:v>
                </c:pt>
                <c:pt idx="2">
                  <c:v>847.65800000000002</c:v>
                </c:pt>
                <c:pt idx="3">
                  <c:v>877.952</c:v>
                </c:pt>
                <c:pt idx="4">
                  <c:v>915.86799999999994</c:v>
                </c:pt>
                <c:pt idx="5">
                  <c:v>956.57100000000003</c:v>
                </c:pt>
                <c:pt idx="6">
                  <c:v>969.30200000000002</c:v>
                </c:pt>
                <c:pt idx="7">
                  <c:v>975.88799999999992</c:v>
                </c:pt>
                <c:pt idx="8">
                  <c:v>998.327</c:v>
                </c:pt>
                <c:pt idx="9">
                  <c:v>983.92</c:v>
                </c:pt>
                <c:pt idx="10">
                  <c:v>987.13599999999997</c:v>
                </c:pt>
                <c:pt idx="11">
                  <c:v>974.61099999999999</c:v>
                </c:pt>
                <c:pt idx="12">
                  <c:v>930.00800000000004</c:v>
                </c:pt>
                <c:pt idx="13">
                  <c:v>888.06</c:v>
                </c:pt>
                <c:pt idx="14">
                  <c:v>851.46199999999999</c:v>
                </c:pt>
                <c:pt idx="15">
                  <c:v>842.27</c:v>
                </c:pt>
                <c:pt idx="16">
                  <c:v>800.44499999999994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D5-4C0E-985E-6147BE97ECB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lux_370_420_cct_4800_5200!$I$16:$Y$16</c:f>
              <c:numCache>
                <c:formatCode>General</c:formatCode>
                <c:ptCount val="17"/>
                <c:pt idx="0">
                  <c:v>770.61599999999999</c:v>
                </c:pt>
                <c:pt idx="1">
                  <c:v>807.6</c:v>
                </c:pt>
                <c:pt idx="2">
                  <c:v>847.03200000000004</c:v>
                </c:pt>
                <c:pt idx="3">
                  <c:v>878.32799999999997</c:v>
                </c:pt>
                <c:pt idx="4">
                  <c:v>907.21199999999999</c:v>
                </c:pt>
                <c:pt idx="5">
                  <c:v>932.05799999999999</c:v>
                </c:pt>
                <c:pt idx="6">
                  <c:v>940.99200000000008</c:v>
                </c:pt>
                <c:pt idx="7">
                  <c:v>962.46499999999992</c:v>
                </c:pt>
                <c:pt idx="8">
                  <c:v>957.64</c:v>
                </c:pt>
                <c:pt idx="9">
                  <c:v>964.07</c:v>
                </c:pt>
                <c:pt idx="10">
                  <c:v>958.61</c:v>
                </c:pt>
                <c:pt idx="11">
                  <c:v>937.30500000000006</c:v>
                </c:pt>
                <c:pt idx="12">
                  <c:v>912.01900000000012</c:v>
                </c:pt>
                <c:pt idx="13">
                  <c:v>886.24800000000005</c:v>
                </c:pt>
                <c:pt idx="14">
                  <c:v>858.86400000000003</c:v>
                </c:pt>
                <c:pt idx="15">
                  <c:v>817.2</c:v>
                </c:pt>
                <c:pt idx="16">
                  <c:v>775.89599999999996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A-47BD-951C-029B61680BF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lux_370_420_cct_4800_5200!$I$17:$Y$17</c:f>
              <c:numCache>
                <c:formatCode>General</c:formatCode>
                <c:ptCount val="17"/>
                <c:pt idx="0">
                  <c:v>807.09199999999998</c:v>
                </c:pt>
                <c:pt idx="1">
                  <c:v>843.17399999999998</c:v>
                </c:pt>
                <c:pt idx="2">
                  <c:v>877.17600000000004</c:v>
                </c:pt>
                <c:pt idx="3">
                  <c:v>918.84800000000007</c:v>
                </c:pt>
                <c:pt idx="4">
                  <c:v>954.19100000000003</c:v>
                </c:pt>
                <c:pt idx="5">
                  <c:v>988.31200000000001</c:v>
                </c:pt>
                <c:pt idx="6">
                  <c:v>1007.01</c:v>
                </c:pt>
                <c:pt idx="7">
                  <c:v>1013.67</c:v>
                </c:pt>
                <c:pt idx="8">
                  <c:v>1019.19</c:v>
                </c:pt>
                <c:pt idx="9">
                  <c:v>1015.5600000000001</c:v>
                </c:pt>
                <c:pt idx="10">
                  <c:v>1012.437</c:v>
                </c:pt>
                <c:pt idx="11">
                  <c:v>996.13800000000003</c:v>
                </c:pt>
                <c:pt idx="12">
                  <c:v>964.75400000000002</c:v>
                </c:pt>
                <c:pt idx="13">
                  <c:v>930.048</c:v>
                </c:pt>
                <c:pt idx="14">
                  <c:v>891.32399999999996</c:v>
                </c:pt>
                <c:pt idx="15">
                  <c:v>855.64300000000003</c:v>
                </c:pt>
                <c:pt idx="16">
                  <c:v>810.23800000000006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7A-47BD-951C-029B61680BF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lux_370_420_cct_4800_5200!$I$18:$Y$18</c:f>
              <c:numCache>
                <c:formatCode>General</c:formatCode>
                <c:ptCount val="17"/>
                <c:pt idx="0">
                  <c:v>841.31799999999998</c:v>
                </c:pt>
                <c:pt idx="1">
                  <c:v>870.81599999999992</c:v>
                </c:pt>
                <c:pt idx="2">
                  <c:v>918.47599999999989</c:v>
                </c:pt>
                <c:pt idx="3">
                  <c:v>963.02799999999991</c:v>
                </c:pt>
                <c:pt idx="4">
                  <c:v>991.875</c:v>
                </c:pt>
                <c:pt idx="5">
                  <c:v>1016.6260000000001</c:v>
                </c:pt>
                <c:pt idx="6">
                  <c:v>1029.4690000000001</c:v>
                </c:pt>
                <c:pt idx="7">
                  <c:v>1037.82</c:v>
                </c:pt>
                <c:pt idx="8">
                  <c:v>1047.5360000000001</c:v>
                </c:pt>
                <c:pt idx="9">
                  <c:v>1042.9649999999999</c:v>
                </c:pt>
                <c:pt idx="10">
                  <c:v>1042.0150000000001</c:v>
                </c:pt>
                <c:pt idx="11">
                  <c:v>1030.087</c:v>
                </c:pt>
                <c:pt idx="12">
                  <c:v>1006.25</c:v>
                </c:pt>
                <c:pt idx="13">
                  <c:v>967.26900000000001</c:v>
                </c:pt>
                <c:pt idx="14">
                  <c:v>922.50700000000006</c:v>
                </c:pt>
                <c:pt idx="15">
                  <c:v>882.096</c:v>
                </c:pt>
                <c:pt idx="16">
                  <c:v>846.39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7A-47BD-951C-029B61680BF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lux_370_420_cct_4800_5200!$I$19:$Y$19</c:f>
              <c:numCache>
                <c:formatCode>General</c:formatCode>
                <c:ptCount val="17"/>
                <c:pt idx="0">
                  <c:v>848.92500000000007</c:v>
                </c:pt>
                <c:pt idx="1">
                  <c:v>894.89200000000005</c:v>
                </c:pt>
                <c:pt idx="2">
                  <c:v>944.68399999999997</c:v>
                </c:pt>
                <c:pt idx="3">
                  <c:v>984.95799999999997</c:v>
                </c:pt>
                <c:pt idx="4">
                  <c:v>1014.062</c:v>
                </c:pt>
                <c:pt idx="5">
                  <c:v>1033.8719999999998</c:v>
                </c:pt>
                <c:pt idx="6">
                  <c:v>1045.1479999999999</c:v>
                </c:pt>
                <c:pt idx="7">
                  <c:v>1050.4090000000001</c:v>
                </c:pt>
                <c:pt idx="8">
                  <c:v>1057.538</c:v>
                </c:pt>
                <c:pt idx="9">
                  <c:v>1058.819</c:v>
                </c:pt>
                <c:pt idx="10">
                  <c:v>1061.068</c:v>
                </c:pt>
                <c:pt idx="11">
                  <c:v>1051.972</c:v>
                </c:pt>
                <c:pt idx="12">
                  <c:v>1032.6510000000001</c:v>
                </c:pt>
                <c:pt idx="13">
                  <c:v>1002.2869999999999</c:v>
                </c:pt>
                <c:pt idx="14">
                  <c:v>959.11400000000003</c:v>
                </c:pt>
                <c:pt idx="15">
                  <c:v>904.70800000000008</c:v>
                </c:pt>
                <c:pt idx="16">
                  <c:v>853.04100000000005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7A-47BD-951C-029B61680BF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lux_370_420_cct_4800_5200!$I$20:$Y$20</c:f>
              <c:numCache>
                <c:formatCode>General</c:formatCode>
                <c:ptCount val="17"/>
                <c:pt idx="0">
                  <c:v>850.50900000000001</c:v>
                </c:pt>
                <c:pt idx="1">
                  <c:v>913.32999999999993</c:v>
                </c:pt>
                <c:pt idx="2">
                  <c:v>960.15200000000004</c:v>
                </c:pt>
                <c:pt idx="3">
                  <c:v>1010.496</c:v>
                </c:pt>
                <c:pt idx="4">
                  <c:v>1032.6420000000001</c:v>
                </c:pt>
                <c:pt idx="5">
                  <c:v>1041.9639999999999</c:v>
                </c:pt>
                <c:pt idx="6">
                  <c:v>1047.9260000000002</c:v>
                </c:pt>
                <c:pt idx="7">
                  <c:v>1048.528</c:v>
                </c:pt>
                <c:pt idx="8">
                  <c:v>1050.92</c:v>
                </c:pt>
                <c:pt idx="9">
                  <c:v>1054.989</c:v>
                </c:pt>
                <c:pt idx="10">
                  <c:v>1060.162</c:v>
                </c:pt>
                <c:pt idx="11">
                  <c:v>1057.088</c:v>
                </c:pt>
                <c:pt idx="12">
                  <c:v>1048.788</c:v>
                </c:pt>
                <c:pt idx="13">
                  <c:v>1018.467</c:v>
                </c:pt>
                <c:pt idx="14">
                  <c:v>977.62799999999993</c:v>
                </c:pt>
                <c:pt idx="15">
                  <c:v>929.49899999999991</c:v>
                </c:pt>
                <c:pt idx="16">
                  <c:v>862.125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7A-47BD-951C-029B61680BF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lux_370_420_cct_4800_5200!$I$21:$Y$21</c:f>
              <c:numCache>
                <c:formatCode>General</c:formatCode>
                <c:ptCount val="17"/>
                <c:pt idx="0">
                  <c:v>848.904</c:v>
                </c:pt>
                <c:pt idx="1">
                  <c:v>919.58999999999992</c:v>
                </c:pt>
                <c:pt idx="2">
                  <c:v>964.80000000000007</c:v>
                </c:pt>
                <c:pt idx="3">
                  <c:v>1011.24</c:v>
                </c:pt>
                <c:pt idx="4">
                  <c:v>1042.0650000000001</c:v>
                </c:pt>
                <c:pt idx="5">
                  <c:v>1048.1940000000002</c:v>
                </c:pt>
                <c:pt idx="6">
                  <c:v>1048.8409999999999</c:v>
                </c:pt>
                <c:pt idx="7">
                  <c:v>1034.8029999999999</c:v>
                </c:pt>
                <c:pt idx="8">
                  <c:v>1028.83</c:v>
                </c:pt>
                <c:pt idx="9">
                  <c:v>1041.6559999999999</c:v>
                </c:pt>
                <c:pt idx="10">
                  <c:v>1059.989</c:v>
                </c:pt>
                <c:pt idx="11">
                  <c:v>1060.038</c:v>
                </c:pt>
                <c:pt idx="12">
                  <c:v>1046.2919999999999</c:v>
                </c:pt>
                <c:pt idx="13">
                  <c:v>1026.5040000000001</c:v>
                </c:pt>
                <c:pt idx="14">
                  <c:v>983.024</c:v>
                </c:pt>
                <c:pt idx="15">
                  <c:v>938.16300000000012</c:v>
                </c:pt>
                <c:pt idx="16">
                  <c:v>881.22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7A-47BD-951C-029B61680BF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lux_370_420_cct_4800_5200!$I$22:$Y$22</c:f>
              <c:numCache>
                <c:formatCode>General</c:formatCode>
                <c:ptCount val="17"/>
                <c:pt idx="0">
                  <c:v>856.17000000000007</c:v>
                </c:pt>
                <c:pt idx="1">
                  <c:v>923.04900000000009</c:v>
                </c:pt>
                <c:pt idx="2">
                  <c:v>971.47199999999998</c:v>
                </c:pt>
                <c:pt idx="3">
                  <c:v>1018.6800000000001</c:v>
                </c:pt>
                <c:pt idx="4">
                  <c:v>1030.8800000000001</c:v>
                </c:pt>
                <c:pt idx="5">
                  <c:v>1041.6410000000001</c:v>
                </c:pt>
                <c:pt idx="6">
                  <c:v>1043.2470000000001</c:v>
                </c:pt>
                <c:pt idx="7">
                  <c:v>1026.0249999999999</c:v>
                </c:pt>
                <c:pt idx="8">
                  <c:v>1028.1149999999998</c:v>
                </c:pt>
                <c:pt idx="9">
                  <c:v>1033.0319999999999</c:v>
                </c:pt>
                <c:pt idx="10">
                  <c:v>1060.365</c:v>
                </c:pt>
                <c:pt idx="11">
                  <c:v>1058.9010000000001</c:v>
                </c:pt>
                <c:pt idx="12">
                  <c:v>1049.83</c:v>
                </c:pt>
                <c:pt idx="13">
                  <c:v>1027.4360000000001</c:v>
                </c:pt>
                <c:pt idx="14">
                  <c:v>988.976</c:v>
                </c:pt>
                <c:pt idx="15">
                  <c:v>938.65499999999997</c:v>
                </c:pt>
                <c:pt idx="16">
                  <c:v>865.99799999999993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7A-47BD-951C-029B61680BF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lux_370_420_cct_4800_5200!$I$23:$Y$23</c:f>
              <c:numCache>
                <c:formatCode>General</c:formatCode>
                <c:ptCount val="17"/>
                <c:pt idx="0">
                  <c:v>851.88</c:v>
                </c:pt>
                <c:pt idx="1">
                  <c:v>920.94899999999996</c:v>
                </c:pt>
                <c:pt idx="2">
                  <c:v>973.43200000000002</c:v>
                </c:pt>
                <c:pt idx="3">
                  <c:v>1012.7800000000001</c:v>
                </c:pt>
                <c:pt idx="4">
                  <c:v>1032.3539999999998</c:v>
                </c:pt>
                <c:pt idx="5">
                  <c:v>1043.7</c:v>
                </c:pt>
                <c:pt idx="6">
                  <c:v>1041.5900000000001</c:v>
                </c:pt>
                <c:pt idx="7">
                  <c:v>1026.3119999999999</c:v>
                </c:pt>
                <c:pt idx="8">
                  <c:v>1024.0229999999999</c:v>
                </c:pt>
                <c:pt idx="9">
                  <c:v>1038.1199999999999</c:v>
                </c:pt>
                <c:pt idx="10">
                  <c:v>1056.2729999999999</c:v>
                </c:pt>
                <c:pt idx="11">
                  <c:v>1058.346</c:v>
                </c:pt>
                <c:pt idx="12">
                  <c:v>1046.2919999999999</c:v>
                </c:pt>
                <c:pt idx="13">
                  <c:v>1026.5040000000001</c:v>
                </c:pt>
                <c:pt idx="14">
                  <c:v>980.88</c:v>
                </c:pt>
                <c:pt idx="15">
                  <c:v>933.63299999999992</c:v>
                </c:pt>
                <c:pt idx="16">
                  <c:v>874.76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7A-47BD-951C-029B61680BF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lux_370_420_cct_4800_5200!$I$24:$Y$24</c:f>
              <c:numCache>
                <c:formatCode>General</c:formatCode>
                <c:ptCount val="17"/>
                <c:pt idx="0">
                  <c:v>852.68700000000013</c:v>
                </c:pt>
                <c:pt idx="1">
                  <c:v>915.5150000000001</c:v>
                </c:pt>
                <c:pt idx="2">
                  <c:v>959.12400000000002</c:v>
                </c:pt>
                <c:pt idx="3">
                  <c:v>1005.024</c:v>
                </c:pt>
                <c:pt idx="4">
                  <c:v>1032.2639999999999</c:v>
                </c:pt>
                <c:pt idx="5">
                  <c:v>1039.3920000000001</c:v>
                </c:pt>
                <c:pt idx="6">
                  <c:v>1041.615</c:v>
                </c:pt>
                <c:pt idx="7">
                  <c:v>1038.6220000000001</c:v>
                </c:pt>
                <c:pt idx="8">
                  <c:v>1045.1489999999999</c:v>
                </c:pt>
                <c:pt idx="9">
                  <c:v>1046.0539999999999</c:v>
                </c:pt>
                <c:pt idx="10">
                  <c:v>1053.921</c:v>
                </c:pt>
                <c:pt idx="11">
                  <c:v>1048.3319999999999</c:v>
                </c:pt>
                <c:pt idx="12">
                  <c:v>1043.874</c:v>
                </c:pt>
                <c:pt idx="13">
                  <c:v>1024.48</c:v>
                </c:pt>
                <c:pt idx="14">
                  <c:v>976.08600000000001</c:v>
                </c:pt>
                <c:pt idx="15">
                  <c:v>929.0619999999999</c:v>
                </c:pt>
                <c:pt idx="16">
                  <c:v>862.125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7A-47BD-951C-029B61680BF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lux_370_420_cct_4800_5200!$I$25:$Y$25</c:f>
              <c:numCache>
                <c:formatCode>General</c:formatCode>
                <c:ptCount val="17"/>
                <c:pt idx="0">
                  <c:v>842.06500000000005</c:v>
                </c:pt>
                <c:pt idx="1">
                  <c:v>891.2109999999999</c:v>
                </c:pt>
                <c:pt idx="2">
                  <c:v>941.798</c:v>
                </c:pt>
                <c:pt idx="3">
                  <c:v>990.94799999999998</c:v>
                </c:pt>
                <c:pt idx="4">
                  <c:v>1019.025</c:v>
                </c:pt>
                <c:pt idx="5">
                  <c:v>1034.4100000000001</c:v>
                </c:pt>
                <c:pt idx="6">
                  <c:v>1034.0039999999999</c:v>
                </c:pt>
                <c:pt idx="7">
                  <c:v>1042.2719999999999</c:v>
                </c:pt>
                <c:pt idx="8">
                  <c:v>1045.0930000000001</c:v>
                </c:pt>
                <c:pt idx="9">
                  <c:v>1044.8100000000002</c:v>
                </c:pt>
                <c:pt idx="10">
                  <c:v>1040.3719999999998</c:v>
                </c:pt>
                <c:pt idx="11">
                  <c:v>1041.71</c:v>
                </c:pt>
                <c:pt idx="12">
                  <c:v>1030.0240000000001</c:v>
                </c:pt>
                <c:pt idx="13">
                  <c:v>996.697</c:v>
                </c:pt>
                <c:pt idx="14">
                  <c:v>958.63300000000004</c:v>
                </c:pt>
                <c:pt idx="15">
                  <c:v>907.57099999999991</c:v>
                </c:pt>
                <c:pt idx="16">
                  <c:v>857.15700000000004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7A-47BD-951C-029B61680BF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lux_370_420_cct_4800_5200!$I$26:$Y$26</c:f>
              <c:numCache>
                <c:formatCode>General</c:formatCode>
                <c:ptCount val="17"/>
                <c:pt idx="0">
                  <c:v>835.92899999999997</c:v>
                </c:pt>
                <c:pt idx="1">
                  <c:v>868.93599999999992</c:v>
                </c:pt>
                <c:pt idx="2">
                  <c:v>908.96</c:v>
                </c:pt>
                <c:pt idx="3">
                  <c:v>961.50099999999998</c:v>
                </c:pt>
                <c:pt idx="4">
                  <c:v>987.27500000000009</c:v>
                </c:pt>
                <c:pt idx="5">
                  <c:v>1019.025</c:v>
                </c:pt>
                <c:pt idx="6">
                  <c:v>1027.7280000000001</c:v>
                </c:pt>
                <c:pt idx="7">
                  <c:v>1032.954</c:v>
                </c:pt>
                <c:pt idx="8">
                  <c:v>1030.992</c:v>
                </c:pt>
                <c:pt idx="9">
                  <c:v>1035.1769999999999</c:v>
                </c:pt>
                <c:pt idx="10">
                  <c:v>1034.046</c:v>
                </c:pt>
                <c:pt idx="11">
                  <c:v>1019.19</c:v>
                </c:pt>
                <c:pt idx="12">
                  <c:v>998.77500000000009</c:v>
                </c:pt>
                <c:pt idx="13">
                  <c:v>963.245</c:v>
                </c:pt>
                <c:pt idx="14">
                  <c:v>922.50700000000006</c:v>
                </c:pt>
                <c:pt idx="15">
                  <c:v>883.6</c:v>
                </c:pt>
                <c:pt idx="16">
                  <c:v>849.24299999999994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57A-47BD-951C-029B61680BF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lux_370_420_cct_4800_5200!$I$27:$Y$27</c:f>
              <c:numCache>
                <c:formatCode>General</c:formatCode>
                <c:ptCount val="17"/>
                <c:pt idx="0">
                  <c:v>824.98500000000001</c:v>
                </c:pt>
                <c:pt idx="1">
                  <c:v>860.24400000000003</c:v>
                </c:pt>
                <c:pt idx="2">
                  <c:v>879.92699999999991</c:v>
                </c:pt>
                <c:pt idx="3">
                  <c:v>920.19199999999989</c:v>
                </c:pt>
                <c:pt idx="4">
                  <c:v>952.17899999999997</c:v>
                </c:pt>
                <c:pt idx="5">
                  <c:v>982.72199999999998</c:v>
                </c:pt>
                <c:pt idx="6">
                  <c:v>1000.3770000000001</c:v>
                </c:pt>
                <c:pt idx="7">
                  <c:v>1015.692</c:v>
                </c:pt>
                <c:pt idx="8">
                  <c:v>1012.7800000000001</c:v>
                </c:pt>
                <c:pt idx="9">
                  <c:v>1022.052</c:v>
                </c:pt>
                <c:pt idx="10">
                  <c:v>1013.04</c:v>
                </c:pt>
                <c:pt idx="11">
                  <c:v>997.25599999999997</c:v>
                </c:pt>
                <c:pt idx="12">
                  <c:v>966.26300000000003</c:v>
                </c:pt>
                <c:pt idx="13">
                  <c:v>932.28800000000001</c:v>
                </c:pt>
                <c:pt idx="14">
                  <c:v>888.57300000000009</c:v>
                </c:pt>
                <c:pt idx="15">
                  <c:v>867.79</c:v>
                </c:pt>
                <c:pt idx="16">
                  <c:v>825.56700000000001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7A-47BD-951C-029B61680BF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lux_370_420_cct_4800_5200!$I$28:$Y$28</c:f>
              <c:numCache>
                <c:formatCode>General</c:formatCode>
                <c:ptCount val="17"/>
                <c:pt idx="0">
                  <c:v>806.19299999999998</c:v>
                </c:pt>
                <c:pt idx="1">
                  <c:v>824.34300000000007</c:v>
                </c:pt>
                <c:pt idx="2">
                  <c:v>845.68</c:v>
                </c:pt>
                <c:pt idx="3">
                  <c:v>878.75099999999998</c:v>
                </c:pt>
                <c:pt idx="4">
                  <c:v>906.47699999999998</c:v>
                </c:pt>
                <c:pt idx="5">
                  <c:v>931.07</c:v>
                </c:pt>
                <c:pt idx="6">
                  <c:v>955.18799999999999</c:v>
                </c:pt>
                <c:pt idx="7">
                  <c:v>958.65000000000009</c:v>
                </c:pt>
                <c:pt idx="8">
                  <c:v>975.93200000000002</c:v>
                </c:pt>
                <c:pt idx="9">
                  <c:v>967.05000000000007</c:v>
                </c:pt>
                <c:pt idx="10">
                  <c:v>970.90499999999997</c:v>
                </c:pt>
                <c:pt idx="11">
                  <c:v>949.87</c:v>
                </c:pt>
                <c:pt idx="12">
                  <c:v>921.92100000000005</c:v>
                </c:pt>
                <c:pt idx="13">
                  <c:v>890.81000000000006</c:v>
                </c:pt>
                <c:pt idx="14">
                  <c:v>852.15899999999999</c:v>
                </c:pt>
                <c:pt idx="15">
                  <c:v>819.85799999999995</c:v>
                </c:pt>
                <c:pt idx="16">
                  <c:v>787.90099999999995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7A-47BD-951C-029B61680BF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lux_370_420_cct_4800_5200!$I$30:$Y$30</c:f>
              <c:numCache>
                <c:formatCode>General</c:formatCode>
                <c:ptCount val="17"/>
                <c:pt idx="0">
                  <c:v>764.25399999999991</c:v>
                </c:pt>
                <c:pt idx="1">
                  <c:v>824.36400000000003</c:v>
                </c:pt>
                <c:pt idx="2">
                  <c:v>862.34399999999994</c:v>
                </c:pt>
                <c:pt idx="3">
                  <c:v>892.84199999999998</c:v>
                </c:pt>
                <c:pt idx="4">
                  <c:v>916.83900000000006</c:v>
                </c:pt>
                <c:pt idx="5">
                  <c:v>945.23099999999999</c:v>
                </c:pt>
                <c:pt idx="6">
                  <c:v>962.96199999999999</c:v>
                </c:pt>
                <c:pt idx="7">
                  <c:v>983.89200000000005</c:v>
                </c:pt>
                <c:pt idx="8">
                  <c:v>978.86699999999996</c:v>
                </c:pt>
                <c:pt idx="9">
                  <c:v>985.53</c:v>
                </c:pt>
                <c:pt idx="10">
                  <c:v>967.62400000000002</c:v>
                </c:pt>
                <c:pt idx="11">
                  <c:v>950.06100000000004</c:v>
                </c:pt>
                <c:pt idx="12">
                  <c:v>921.24900000000002</c:v>
                </c:pt>
                <c:pt idx="13">
                  <c:v>900.07799999999997</c:v>
                </c:pt>
                <c:pt idx="14">
                  <c:v>873.67200000000003</c:v>
                </c:pt>
                <c:pt idx="15">
                  <c:v>833.23799999999994</c:v>
                </c:pt>
                <c:pt idx="16">
                  <c:v>769.23199999999997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2-4695-8B93-C268FF406BB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lux_370_420_cct_4800_5200!$I$31:$Y$31</c:f>
              <c:numCache>
                <c:formatCode>General</c:formatCode>
                <c:ptCount val="17"/>
                <c:pt idx="0">
                  <c:v>821.202</c:v>
                </c:pt>
                <c:pt idx="1">
                  <c:v>858.529</c:v>
                </c:pt>
                <c:pt idx="2">
                  <c:v>888.73400000000004</c:v>
                </c:pt>
                <c:pt idx="3">
                  <c:v>930.00900000000001</c:v>
                </c:pt>
                <c:pt idx="4">
                  <c:v>976.08600000000001</c:v>
                </c:pt>
                <c:pt idx="5">
                  <c:v>998.28</c:v>
                </c:pt>
                <c:pt idx="6">
                  <c:v>1026.6079999999999</c:v>
                </c:pt>
                <c:pt idx="7">
                  <c:v>1032.01</c:v>
                </c:pt>
                <c:pt idx="8">
                  <c:v>1038.923</c:v>
                </c:pt>
                <c:pt idx="9">
                  <c:v>1033.933</c:v>
                </c:pt>
                <c:pt idx="10">
                  <c:v>1031.52</c:v>
                </c:pt>
                <c:pt idx="11">
                  <c:v>1005.612</c:v>
                </c:pt>
                <c:pt idx="12">
                  <c:v>985.85199999999998</c:v>
                </c:pt>
                <c:pt idx="13">
                  <c:v>939.97500000000014</c:v>
                </c:pt>
                <c:pt idx="14">
                  <c:v>901.86800000000005</c:v>
                </c:pt>
                <c:pt idx="15">
                  <c:v>870.19099999999992</c:v>
                </c:pt>
                <c:pt idx="16">
                  <c:v>823.23900000000003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72-4695-8B93-C268FF406BB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lux_370_420_cct_4800_5200!$I$32:$Y$32</c:f>
              <c:numCache>
                <c:formatCode>General</c:formatCode>
                <c:ptCount val="17"/>
                <c:pt idx="0">
                  <c:v>836.01</c:v>
                </c:pt>
                <c:pt idx="1">
                  <c:v>884.71199999999999</c:v>
                </c:pt>
                <c:pt idx="2">
                  <c:v>918.91800000000012</c:v>
                </c:pt>
                <c:pt idx="3">
                  <c:v>963.53700000000003</c:v>
                </c:pt>
                <c:pt idx="4">
                  <c:v>1002.806</c:v>
                </c:pt>
                <c:pt idx="5">
                  <c:v>1036.3109999999999</c:v>
                </c:pt>
                <c:pt idx="6">
                  <c:v>1046.424</c:v>
                </c:pt>
                <c:pt idx="7">
                  <c:v>1054.7639999999999</c:v>
                </c:pt>
                <c:pt idx="8">
                  <c:v>1062.8589999999999</c:v>
                </c:pt>
                <c:pt idx="9">
                  <c:v>1059.9929999999999</c:v>
                </c:pt>
                <c:pt idx="10">
                  <c:v>1058.46</c:v>
                </c:pt>
                <c:pt idx="11">
                  <c:v>1049.3710000000001</c:v>
                </c:pt>
                <c:pt idx="12">
                  <c:v>1016.75</c:v>
                </c:pt>
                <c:pt idx="13">
                  <c:v>978.298</c:v>
                </c:pt>
                <c:pt idx="14">
                  <c:v>932.178</c:v>
                </c:pt>
                <c:pt idx="15">
                  <c:v>894.64400000000001</c:v>
                </c:pt>
                <c:pt idx="16">
                  <c:v>860.79499999999996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72-4695-8B93-C268FF406BB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lux_370_420_cct_4800_5200!$I$33:$Y$33</c:f>
              <c:numCache>
                <c:formatCode>General</c:formatCode>
                <c:ptCount val="17"/>
                <c:pt idx="0">
                  <c:v>848.92500000000007</c:v>
                </c:pt>
                <c:pt idx="1">
                  <c:v>894.89200000000005</c:v>
                </c:pt>
                <c:pt idx="2">
                  <c:v>944.68399999999997</c:v>
                </c:pt>
                <c:pt idx="3">
                  <c:v>993.76800000000003</c:v>
                </c:pt>
                <c:pt idx="4">
                  <c:v>1024.201</c:v>
                </c:pt>
                <c:pt idx="5">
                  <c:v>1050.3150000000001</c:v>
                </c:pt>
                <c:pt idx="6">
                  <c:v>1053.0260000000001</c:v>
                </c:pt>
                <c:pt idx="7">
                  <c:v>1064.1480000000001</c:v>
                </c:pt>
                <c:pt idx="8">
                  <c:v>1070.2440000000001</c:v>
                </c:pt>
                <c:pt idx="9">
                  <c:v>1071.816</c:v>
                </c:pt>
                <c:pt idx="10">
                  <c:v>1069.066</c:v>
                </c:pt>
                <c:pt idx="11">
                  <c:v>1060.69</c:v>
                </c:pt>
                <c:pt idx="12">
                  <c:v>1041.0229999999999</c:v>
                </c:pt>
                <c:pt idx="13">
                  <c:v>1010.1239999999999</c:v>
                </c:pt>
                <c:pt idx="14">
                  <c:v>957.67100000000005</c:v>
                </c:pt>
                <c:pt idx="15">
                  <c:v>903.07200000000012</c:v>
                </c:pt>
                <c:pt idx="16">
                  <c:v>868.34999999999991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72-4695-8B93-C268FF406BB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lux_370_420_cct_4800_5200!$I$34:$Y$34</c:f>
              <c:numCache>
                <c:formatCode>General</c:formatCode>
                <c:ptCount val="17"/>
                <c:pt idx="0">
                  <c:v>850.14600000000007</c:v>
                </c:pt>
                <c:pt idx="1">
                  <c:v>913.32999999999993</c:v>
                </c:pt>
                <c:pt idx="2">
                  <c:v>971.36</c:v>
                </c:pt>
                <c:pt idx="3">
                  <c:v>1011.104</c:v>
                </c:pt>
                <c:pt idx="4">
                  <c:v>1042.1759999999999</c:v>
                </c:pt>
                <c:pt idx="5">
                  <c:v>1050.6200000000001</c:v>
                </c:pt>
                <c:pt idx="6">
                  <c:v>1053.921</c:v>
                </c:pt>
                <c:pt idx="7">
                  <c:v>1061.2249999999999</c:v>
                </c:pt>
                <c:pt idx="8">
                  <c:v>1062.2670000000001</c:v>
                </c:pt>
                <c:pt idx="9">
                  <c:v>1067.77</c:v>
                </c:pt>
                <c:pt idx="10">
                  <c:v>1065.348</c:v>
                </c:pt>
                <c:pt idx="11">
                  <c:v>1064.2539999999999</c:v>
                </c:pt>
                <c:pt idx="12">
                  <c:v>1047.384</c:v>
                </c:pt>
                <c:pt idx="13">
                  <c:v>1025.6960000000001</c:v>
                </c:pt>
                <c:pt idx="14">
                  <c:v>976.59999999999991</c:v>
                </c:pt>
                <c:pt idx="15">
                  <c:v>928.1880000000001</c:v>
                </c:pt>
                <c:pt idx="16">
                  <c:v>860.31000000000006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72-4695-8B93-C268FF406BB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lux_370_420_cct_4800_5200!$I$35:$Y$35</c:f>
              <c:numCache>
                <c:formatCode>General</c:formatCode>
                <c:ptCount val="17"/>
                <c:pt idx="0">
                  <c:v>866.4</c:v>
                </c:pt>
                <c:pt idx="1">
                  <c:v>919.58999999999992</c:v>
                </c:pt>
                <c:pt idx="2">
                  <c:v>964.80000000000007</c:v>
                </c:pt>
                <c:pt idx="3">
                  <c:v>1011.24</c:v>
                </c:pt>
                <c:pt idx="4">
                  <c:v>1042.0650000000001</c:v>
                </c:pt>
                <c:pt idx="5">
                  <c:v>1049.04</c:v>
                </c:pt>
                <c:pt idx="6">
                  <c:v>1049.77</c:v>
                </c:pt>
                <c:pt idx="7">
                  <c:v>1040.088</c:v>
                </c:pt>
                <c:pt idx="8">
                  <c:v>1034.0329999999999</c:v>
                </c:pt>
                <c:pt idx="9">
                  <c:v>1046.9760000000001</c:v>
                </c:pt>
                <c:pt idx="10">
                  <c:v>1059.989</c:v>
                </c:pt>
                <c:pt idx="11">
                  <c:v>1059.192</c:v>
                </c:pt>
                <c:pt idx="12">
                  <c:v>1045.5509999999999</c:v>
                </c:pt>
                <c:pt idx="13">
                  <c:v>1025.8679999999999</c:v>
                </c:pt>
                <c:pt idx="14">
                  <c:v>981.952</c:v>
                </c:pt>
                <c:pt idx="15">
                  <c:v>936.35100000000011</c:v>
                </c:pt>
                <c:pt idx="16">
                  <c:v>879.32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72-4695-8B93-C268FF406BB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lux_370_420_cct_4800_5200!$I$36:$Y$36</c:f>
              <c:numCache>
                <c:formatCode>General</c:formatCode>
                <c:ptCount val="17"/>
                <c:pt idx="0">
                  <c:v>855.41399999999999</c:v>
                </c:pt>
                <c:pt idx="1">
                  <c:v>923.04900000000009</c:v>
                </c:pt>
                <c:pt idx="2">
                  <c:v>971.47199999999998</c:v>
                </c:pt>
                <c:pt idx="3">
                  <c:v>1009.967</c:v>
                </c:pt>
                <c:pt idx="4">
                  <c:v>1031.6379999999999</c:v>
                </c:pt>
                <c:pt idx="5">
                  <c:v>1042.5039999999999</c:v>
                </c:pt>
                <c:pt idx="6">
                  <c:v>1037.7619999999999</c:v>
                </c:pt>
                <c:pt idx="7">
                  <c:v>1026.0249999999999</c:v>
                </c:pt>
                <c:pt idx="8">
                  <c:v>1027.0920000000001</c:v>
                </c:pt>
                <c:pt idx="9">
                  <c:v>1033.0319999999999</c:v>
                </c:pt>
                <c:pt idx="10">
                  <c:v>1053.8440000000001</c:v>
                </c:pt>
                <c:pt idx="11">
                  <c:v>1050.682</c:v>
                </c:pt>
                <c:pt idx="12">
                  <c:v>1040.768</c:v>
                </c:pt>
                <c:pt idx="13">
                  <c:v>1026.1420000000001</c:v>
                </c:pt>
                <c:pt idx="14">
                  <c:v>978.85199999999998</c:v>
                </c:pt>
                <c:pt idx="15">
                  <c:v>936.81899999999996</c:v>
                </c:pt>
                <c:pt idx="16">
                  <c:v>863.73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72-4695-8B93-C268FF406BB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lux_370_420_cct_4800_5200!$I$37:$Y$37</c:f>
              <c:numCache>
                <c:formatCode>General</c:formatCode>
                <c:ptCount val="17"/>
                <c:pt idx="0">
                  <c:v>851.13599999999997</c:v>
                </c:pt>
                <c:pt idx="1">
                  <c:v>920.04300000000001</c:v>
                </c:pt>
                <c:pt idx="2">
                  <c:v>962.12</c:v>
                </c:pt>
                <c:pt idx="3">
                  <c:v>1004.88</c:v>
                </c:pt>
                <c:pt idx="4">
                  <c:v>1024.0619999999999</c:v>
                </c:pt>
                <c:pt idx="5">
                  <c:v>1036.3500000000001</c:v>
                </c:pt>
                <c:pt idx="6">
                  <c:v>1034.9060000000002</c:v>
                </c:pt>
                <c:pt idx="7">
                  <c:v>1026.3119999999999</c:v>
                </c:pt>
                <c:pt idx="8">
                  <c:v>1023.022</c:v>
                </c:pt>
                <c:pt idx="9">
                  <c:v>1037.136</c:v>
                </c:pt>
                <c:pt idx="10">
                  <c:v>1048.528</c:v>
                </c:pt>
                <c:pt idx="11">
                  <c:v>1051.25</c:v>
                </c:pt>
                <c:pt idx="12">
                  <c:v>1044.81</c:v>
                </c:pt>
                <c:pt idx="13">
                  <c:v>1015.5600000000001</c:v>
                </c:pt>
                <c:pt idx="14">
                  <c:v>979.27199999999993</c:v>
                </c:pt>
                <c:pt idx="15">
                  <c:v>921.08799999999997</c:v>
                </c:pt>
                <c:pt idx="16">
                  <c:v>858.70399999999995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72-4695-8B93-C268FF406BB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lux_370_420_cct_4800_5200!$I$38:$Y$38</c:f>
              <c:numCache>
                <c:formatCode>General</c:formatCode>
                <c:ptCount val="17"/>
                <c:pt idx="0">
                  <c:v>851.23500000000013</c:v>
                </c:pt>
                <c:pt idx="1">
                  <c:v>914.20400000000006</c:v>
                </c:pt>
                <c:pt idx="2">
                  <c:v>958.61</c:v>
                </c:pt>
                <c:pt idx="3">
                  <c:v>996.15599999999995</c:v>
                </c:pt>
                <c:pt idx="4">
                  <c:v>1022.8140000000001</c:v>
                </c:pt>
                <c:pt idx="5">
                  <c:v>1030.82</c:v>
                </c:pt>
                <c:pt idx="6">
                  <c:v>1034.816</c:v>
                </c:pt>
                <c:pt idx="7">
                  <c:v>1030.991</c:v>
                </c:pt>
                <c:pt idx="8">
                  <c:v>1037.7619999999999</c:v>
                </c:pt>
                <c:pt idx="9">
                  <c:v>1037.452</c:v>
                </c:pt>
                <c:pt idx="10">
                  <c:v>1046.1780000000001</c:v>
                </c:pt>
                <c:pt idx="11">
                  <c:v>1040.165</c:v>
                </c:pt>
                <c:pt idx="12">
                  <c:v>1034.348</c:v>
                </c:pt>
                <c:pt idx="13">
                  <c:v>1014.246</c:v>
                </c:pt>
                <c:pt idx="14">
                  <c:v>964.55500000000006</c:v>
                </c:pt>
                <c:pt idx="15">
                  <c:v>914.15099999999995</c:v>
                </c:pt>
                <c:pt idx="16">
                  <c:v>864.31999999999994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72-4695-8B93-C268FF406BB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lux_370_420_cct_4800_5200!$I$39:$Y$39</c:f>
              <c:numCache>
                <c:formatCode>General</c:formatCode>
                <c:ptCount val="17"/>
                <c:pt idx="0">
                  <c:v>820.75000000000011</c:v>
                </c:pt>
                <c:pt idx="1">
                  <c:v>889.57499999999993</c:v>
                </c:pt>
                <c:pt idx="2">
                  <c:v>931.05599999999993</c:v>
                </c:pt>
                <c:pt idx="3">
                  <c:v>981.04499999999996</c:v>
                </c:pt>
                <c:pt idx="4">
                  <c:v>1008.293</c:v>
                </c:pt>
                <c:pt idx="5">
                  <c:v>1024.46</c:v>
                </c:pt>
                <c:pt idx="6">
                  <c:v>1032.412</c:v>
                </c:pt>
                <c:pt idx="7">
                  <c:v>1033.5890000000002</c:v>
                </c:pt>
                <c:pt idx="8">
                  <c:v>1035.2559999999999</c:v>
                </c:pt>
                <c:pt idx="9">
                  <c:v>1036.1120000000001</c:v>
                </c:pt>
                <c:pt idx="10">
                  <c:v>1031.4639999999999</c:v>
                </c:pt>
                <c:pt idx="11">
                  <c:v>1023.856</c:v>
                </c:pt>
                <c:pt idx="12">
                  <c:v>1010.6039999999999</c:v>
                </c:pt>
                <c:pt idx="13">
                  <c:v>983.78699999999992</c:v>
                </c:pt>
                <c:pt idx="14">
                  <c:v>946.76400000000001</c:v>
                </c:pt>
                <c:pt idx="15">
                  <c:v>894.05200000000002</c:v>
                </c:pt>
                <c:pt idx="16">
                  <c:v>859.39499999999998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72-4695-8B93-C268FF406BB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lux_370_420_cct_4800_5200!$I$40:$Y$40</c:f>
              <c:numCache>
                <c:formatCode>General</c:formatCode>
                <c:ptCount val="17"/>
                <c:pt idx="0">
                  <c:v>834.66100000000006</c:v>
                </c:pt>
                <c:pt idx="1">
                  <c:v>867.80799999999999</c:v>
                </c:pt>
                <c:pt idx="2">
                  <c:v>907.649</c:v>
                </c:pt>
                <c:pt idx="3">
                  <c:v>948.6579999999999</c:v>
                </c:pt>
                <c:pt idx="4">
                  <c:v>978.12</c:v>
                </c:pt>
                <c:pt idx="5">
                  <c:v>1008.9340000000001</c:v>
                </c:pt>
                <c:pt idx="6">
                  <c:v>1019.014</c:v>
                </c:pt>
                <c:pt idx="7">
                  <c:v>1022.385</c:v>
                </c:pt>
                <c:pt idx="8">
                  <c:v>1021.8960000000001</c:v>
                </c:pt>
                <c:pt idx="9">
                  <c:v>1024.5899999999999</c:v>
                </c:pt>
                <c:pt idx="10">
                  <c:v>1024.5899999999999</c:v>
                </c:pt>
                <c:pt idx="11">
                  <c:v>1009.332</c:v>
                </c:pt>
                <c:pt idx="12">
                  <c:v>987.81000000000006</c:v>
                </c:pt>
                <c:pt idx="13">
                  <c:v>951.678</c:v>
                </c:pt>
                <c:pt idx="14">
                  <c:v>907.255</c:v>
                </c:pt>
                <c:pt idx="15">
                  <c:v>867.28</c:v>
                </c:pt>
                <c:pt idx="16">
                  <c:v>851.73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072-4695-8B93-C268FF406BB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lux_370_420_cct_4800_5200!$I$41:$Y$41</c:f>
              <c:numCache>
                <c:formatCode>General</c:formatCode>
                <c:ptCount val="17"/>
                <c:pt idx="0">
                  <c:v>829.19</c:v>
                </c:pt>
                <c:pt idx="1">
                  <c:v>844.18499999999995</c:v>
                </c:pt>
                <c:pt idx="2">
                  <c:v>878.74800000000005</c:v>
                </c:pt>
                <c:pt idx="3">
                  <c:v>906.98400000000004</c:v>
                </c:pt>
                <c:pt idx="4">
                  <c:v>942.21600000000001</c:v>
                </c:pt>
                <c:pt idx="5">
                  <c:v>971.06799999999998</c:v>
                </c:pt>
                <c:pt idx="6">
                  <c:v>989.22900000000004</c:v>
                </c:pt>
                <c:pt idx="7">
                  <c:v>1004.85</c:v>
                </c:pt>
                <c:pt idx="8">
                  <c:v>1002.972</c:v>
                </c:pt>
                <c:pt idx="9">
                  <c:v>1010.5200000000001</c:v>
                </c:pt>
                <c:pt idx="10">
                  <c:v>1001.169</c:v>
                </c:pt>
                <c:pt idx="11">
                  <c:v>984.89299999999992</c:v>
                </c:pt>
                <c:pt idx="12">
                  <c:v>954.66600000000005</c:v>
                </c:pt>
                <c:pt idx="13">
                  <c:v>917.59199999999998</c:v>
                </c:pt>
                <c:pt idx="14">
                  <c:v>873.07199999999989</c:v>
                </c:pt>
                <c:pt idx="15">
                  <c:v>850.58799999999997</c:v>
                </c:pt>
                <c:pt idx="16">
                  <c:v>829.19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072-4695-8B93-C268FF406BB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lux_370_420_cct_4800_5200!$I$42:$Y$42</c:f>
              <c:numCache>
                <c:formatCode>General</c:formatCode>
                <c:ptCount val="17"/>
                <c:pt idx="0">
                  <c:v>810.83199999999999</c:v>
                </c:pt>
                <c:pt idx="1">
                  <c:v>825.90000000000009</c:v>
                </c:pt>
                <c:pt idx="2">
                  <c:v>844.31600000000003</c:v>
                </c:pt>
                <c:pt idx="3">
                  <c:v>864.43100000000004</c:v>
                </c:pt>
                <c:pt idx="4">
                  <c:v>909.84100000000012</c:v>
                </c:pt>
                <c:pt idx="5">
                  <c:v>918.72</c:v>
                </c:pt>
                <c:pt idx="6">
                  <c:v>942.88199999999995</c:v>
                </c:pt>
                <c:pt idx="7">
                  <c:v>948.48</c:v>
                </c:pt>
                <c:pt idx="8">
                  <c:v>965.26299999999992</c:v>
                </c:pt>
                <c:pt idx="9">
                  <c:v>956.28</c:v>
                </c:pt>
                <c:pt idx="10">
                  <c:v>958.41300000000001</c:v>
                </c:pt>
                <c:pt idx="11">
                  <c:v>935.88799999999992</c:v>
                </c:pt>
                <c:pt idx="12">
                  <c:v>909.48</c:v>
                </c:pt>
                <c:pt idx="13">
                  <c:v>875.15500000000009</c:v>
                </c:pt>
                <c:pt idx="14">
                  <c:v>855.09899999999993</c:v>
                </c:pt>
                <c:pt idx="15">
                  <c:v>820.5</c:v>
                </c:pt>
                <c:pt idx="16">
                  <c:v>771.40800000000002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072-4695-8B93-C268FF406BB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lux_370_420_cct_4800_5200!$I$44:$Y$44</c:f>
              <c:numCache>
                <c:formatCode>General</c:formatCode>
                <c:ptCount val="17"/>
                <c:pt idx="0">
                  <c:v>734.31499999999994</c:v>
                </c:pt>
                <c:pt idx="1">
                  <c:v>797.404</c:v>
                </c:pt>
                <c:pt idx="2">
                  <c:v>819.4559999999999</c:v>
                </c:pt>
                <c:pt idx="3">
                  <c:v>870.76099999999997</c:v>
                </c:pt>
                <c:pt idx="4">
                  <c:v>901.54900000000009</c:v>
                </c:pt>
                <c:pt idx="5">
                  <c:v>898.66800000000001</c:v>
                </c:pt>
                <c:pt idx="6">
                  <c:v>938.78499999999997</c:v>
                </c:pt>
                <c:pt idx="7">
                  <c:v>949.49400000000003</c:v>
                </c:pt>
                <c:pt idx="8">
                  <c:v>960.26800000000003</c:v>
                </c:pt>
                <c:pt idx="9">
                  <c:v>953.86200000000008</c:v>
                </c:pt>
                <c:pt idx="10">
                  <c:v>944.53800000000001</c:v>
                </c:pt>
                <c:pt idx="11">
                  <c:v>904.39199999999994</c:v>
                </c:pt>
                <c:pt idx="12">
                  <c:v>907.41200000000003</c:v>
                </c:pt>
                <c:pt idx="13">
                  <c:v>848.28200000000004</c:v>
                </c:pt>
                <c:pt idx="14">
                  <c:v>833.53599999999994</c:v>
                </c:pt>
                <c:pt idx="15">
                  <c:v>809.22199999999998</c:v>
                </c:pt>
                <c:pt idx="16">
                  <c:v>740.93999999999994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18B-8603-F755B57085D8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lux_370_420_cct_4800_5200!$I$45:$Y$45</c:f>
              <c:numCache>
                <c:formatCode>General</c:formatCode>
                <c:ptCount val="17"/>
                <c:pt idx="0">
                  <c:v>800.08799999999997</c:v>
                </c:pt>
                <c:pt idx="1">
                  <c:v>819.08199999999999</c:v>
                </c:pt>
                <c:pt idx="2">
                  <c:v>856.09799999999996</c:v>
                </c:pt>
                <c:pt idx="3">
                  <c:v>901.35500000000002</c:v>
                </c:pt>
                <c:pt idx="4">
                  <c:v>940.03200000000004</c:v>
                </c:pt>
                <c:pt idx="5">
                  <c:v>972.98400000000004</c:v>
                </c:pt>
                <c:pt idx="6">
                  <c:v>995.29399999999998</c:v>
                </c:pt>
                <c:pt idx="7">
                  <c:v>997.54200000000003</c:v>
                </c:pt>
                <c:pt idx="8">
                  <c:v>1003.752</c:v>
                </c:pt>
                <c:pt idx="9">
                  <c:v>1000.09</c:v>
                </c:pt>
                <c:pt idx="10">
                  <c:v>1002.0479999999999</c:v>
                </c:pt>
                <c:pt idx="11">
                  <c:v>982.072</c:v>
                </c:pt>
                <c:pt idx="12">
                  <c:v>951.80799999999999</c:v>
                </c:pt>
                <c:pt idx="13">
                  <c:v>914.55</c:v>
                </c:pt>
                <c:pt idx="14">
                  <c:v>872.01799999999992</c:v>
                </c:pt>
                <c:pt idx="15">
                  <c:v>834.08600000000001</c:v>
                </c:pt>
                <c:pt idx="16">
                  <c:v>804.52800000000002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18B-8603-F755B57085D8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lux_370_420_cct_4800_5200!$I$46:$Y$46</c:f>
              <c:numCache>
                <c:formatCode>General</c:formatCode>
                <c:ptCount val="17"/>
                <c:pt idx="0">
                  <c:v>804.154</c:v>
                </c:pt>
                <c:pt idx="1">
                  <c:v>837.75</c:v>
                </c:pt>
                <c:pt idx="2">
                  <c:v>890.87300000000005</c:v>
                </c:pt>
                <c:pt idx="3">
                  <c:v>939.00800000000004</c:v>
                </c:pt>
                <c:pt idx="4">
                  <c:v>970.92</c:v>
                </c:pt>
                <c:pt idx="5">
                  <c:v>997.27199999999993</c:v>
                </c:pt>
                <c:pt idx="6">
                  <c:v>1013.085</c:v>
                </c:pt>
                <c:pt idx="7">
                  <c:v>1034.25</c:v>
                </c:pt>
                <c:pt idx="8">
                  <c:v>1039.3680000000002</c:v>
                </c:pt>
                <c:pt idx="9">
                  <c:v>1040.25</c:v>
                </c:pt>
                <c:pt idx="10">
                  <c:v>1027.1849999999999</c:v>
                </c:pt>
                <c:pt idx="11">
                  <c:v>1012.824</c:v>
                </c:pt>
                <c:pt idx="12">
                  <c:v>988.31999999999994</c:v>
                </c:pt>
                <c:pt idx="13">
                  <c:v>958.46400000000006</c:v>
                </c:pt>
                <c:pt idx="14">
                  <c:v>908.59300000000007</c:v>
                </c:pt>
                <c:pt idx="15">
                  <c:v>851.99999999999989</c:v>
                </c:pt>
                <c:pt idx="16">
                  <c:v>808.23599999999999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AC-418B-8603-F755B57085D8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lux_370_420_cct_4800_5200!$I$47:$Y$47</c:f>
              <c:numCache>
                <c:formatCode>General</c:formatCode>
                <c:ptCount val="17"/>
                <c:pt idx="0">
                  <c:v>834.80799999999999</c:v>
                </c:pt>
                <c:pt idx="1">
                  <c:v>866.26199999999994</c:v>
                </c:pt>
                <c:pt idx="2">
                  <c:v>931.05599999999993</c:v>
                </c:pt>
                <c:pt idx="3">
                  <c:v>971.28</c:v>
                </c:pt>
                <c:pt idx="4">
                  <c:v>994.68</c:v>
                </c:pt>
                <c:pt idx="5">
                  <c:v>1024.2539999999999</c:v>
                </c:pt>
                <c:pt idx="6">
                  <c:v>1031.346</c:v>
                </c:pt>
                <c:pt idx="7">
                  <c:v>1042.366</c:v>
                </c:pt>
                <c:pt idx="8">
                  <c:v>1046.3040000000001</c:v>
                </c:pt>
                <c:pt idx="9">
                  <c:v>1050.896</c:v>
                </c:pt>
                <c:pt idx="10">
                  <c:v>1049.1000000000001</c:v>
                </c:pt>
                <c:pt idx="11">
                  <c:v>1027.9779999999998</c:v>
                </c:pt>
                <c:pt idx="12">
                  <c:v>1016.712</c:v>
                </c:pt>
                <c:pt idx="13">
                  <c:v>974.1930000000001</c:v>
                </c:pt>
                <c:pt idx="14">
                  <c:v>927.28800000000001</c:v>
                </c:pt>
                <c:pt idx="15">
                  <c:v>880.16800000000001</c:v>
                </c:pt>
                <c:pt idx="16">
                  <c:v>840.04300000000001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AC-418B-8603-F755B57085D8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lux_370_420_cct_4800_5200!$I$48:$Y$48</c:f>
              <c:numCache>
                <c:formatCode>General</c:formatCode>
                <c:ptCount val="17"/>
                <c:pt idx="0">
                  <c:v>841.42799999999988</c:v>
                </c:pt>
                <c:pt idx="1">
                  <c:v>876.096</c:v>
                </c:pt>
                <c:pt idx="2">
                  <c:v>929.79200000000003</c:v>
                </c:pt>
                <c:pt idx="3">
                  <c:v>992.83799999999997</c:v>
                </c:pt>
                <c:pt idx="4">
                  <c:v>1008.855</c:v>
                </c:pt>
                <c:pt idx="5">
                  <c:v>1029.732</c:v>
                </c:pt>
                <c:pt idx="6">
                  <c:v>1038.6770000000001</c:v>
                </c:pt>
                <c:pt idx="7">
                  <c:v>1039.18</c:v>
                </c:pt>
                <c:pt idx="8">
                  <c:v>1052.4100000000001</c:v>
                </c:pt>
                <c:pt idx="9">
                  <c:v>1046.636</c:v>
                </c:pt>
                <c:pt idx="10">
                  <c:v>1051.095</c:v>
                </c:pt>
                <c:pt idx="11">
                  <c:v>1045.0650000000001</c:v>
                </c:pt>
                <c:pt idx="12">
                  <c:v>1028.595</c:v>
                </c:pt>
                <c:pt idx="13">
                  <c:v>993.90200000000004</c:v>
                </c:pt>
                <c:pt idx="14">
                  <c:v>951.29600000000005</c:v>
                </c:pt>
                <c:pt idx="15">
                  <c:v>895.96799999999996</c:v>
                </c:pt>
                <c:pt idx="16">
                  <c:v>856.63900000000001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AC-418B-8603-F755B57085D8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lux_370_420_cct_4800_5200!$I$49:$Y$49</c:f>
              <c:numCache>
                <c:formatCode>General</c:formatCode>
                <c:ptCount val="17"/>
                <c:pt idx="0">
                  <c:v>836.07399999999996</c:v>
                </c:pt>
                <c:pt idx="1">
                  <c:v>896.35</c:v>
                </c:pt>
                <c:pt idx="2">
                  <c:v>935.56799999999998</c:v>
                </c:pt>
                <c:pt idx="3">
                  <c:v>986.71299999999997</c:v>
                </c:pt>
                <c:pt idx="4">
                  <c:v>1021.5000000000001</c:v>
                </c:pt>
                <c:pt idx="5">
                  <c:v>1035.5419999999999</c:v>
                </c:pt>
                <c:pt idx="6">
                  <c:v>1035.452</c:v>
                </c:pt>
                <c:pt idx="7">
                  <c:v>1036.472</c:v>
                </c:pt>
                <c:pt idx="8">
                  <c:v>1028</c:v>
                </c:pt>
                <c:pt idx="9">
                  <c:v>1042.4059999999999</c:v>
                </c:pt>
                <c:pt idx="10">
                  <c:v>1046.636</c:v>
                </c:pt>
                <c:pt idx="11">
                  <c:v>1032.748</c:v>
                </c:pt>
                <c:pt idx="12">
                  <c:v>1022.776</c:v>
                </c:pt>
                <c:pt idx="13">
                  <c:v>1007.097</c:v>
                </c:pt>
                <c:pt idx="14">
                  <c:v>958.53</c:v>
                </c:pt>
                <c:pt idx="15">
                  <c:v>894.86</c:v>
                </c:pt>
                <c:pt idx="16">
                  <c:v>864.81399999999996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AC-418B-8603-F755B57085D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lux_370_420_cct_4800_5200!$I$50:$Y$50</c:f>
              <c:numCache>
                <c:formatCode>General</c:formatCode>
                <c:ptCount val="17"/>
                <c:pt idx="0">
                  <c:v>829.63099999999997</c:v>
                </c:pt>
                <c:pt idx="1">
                  <c:v>886.79500000000007</c:v>
                </c:pt>
                <c:pt idx="2">
                  <c:v>943.48799999999994</c:v>
                </c:pt>
                <c:pt idx="3">
                  <c:v>986.904</c:v>
                </c:pt>
                <c:pt idx="4">
                  <c:v>1015.746</c:v>
                </c:pt>
                <c:pt idx="5">
                  <c:v>1025.568</c:v>
                </c:pt>
                <c:pt idx="6">
                  <c:v>1022.2120000000001</c:v>
                </c:pt>
                <c:pt idx="7">
                  <c:v>1022</c:v>
                </c:pt>
                <c:pt idx="8">
                  <c:v>1030.1609999999998</c:v>
                </c:pt>
                <c:pt idx="9">
                  <c:v>1028</c:v>
                </c:pt>
                <c:pt idx="10">
                  <c:v>1038.2429999999999</c:v>
                </c:pt>
                <c:pt idx="11">
                  <c:v>1044.576</c:v>
                </c:pt>
                <c:pt idx="12">
                  <c:v>1021.5000000000001</c:v>
                </c:pt>
                <c:pt idx="13">
                  <c:v>1009.5840000000001</c:v>
                </c:pt>
                <c:pt idx="14">
                  <c:v>965.87399999999991</c:v>
                </c:pt>
                <c:pt idx="15">
                  <c:v>907.72500000000002</c:v>
                </c:pt>
                <c:pt idx="16">
                  <c:v>843.654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AC-418B-8603-F755B57085D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lux_370_420_cct_4800_5200!$I$51:$Y$51</c:f>
              <c:numCache>
                <c:formatCode>General</c:formatCode>
                <c:ptCount val="17"/>
                <c:pt idx="0">
                  <c:v>849.11099999999999</c:v>
                </c:pt>
                <c:pt idx="1">
                  <c:v>873.15300000000002</c:v>
                </c:pt>
                <c:pt idx="2">
                  <c:v>932.36400000000003</c:v>
                </c:pt>
                <c:pt idx="3">
                  <c:v>980.98</c:v>
                </c:pt>
                <c:pt idx="4">
                  <c:v>997.65000000000009</c:v>
                </c:pt>
                <c:pt idx="5">
                  <c:v>1009.1999999999999</c:v>
                </c:pt>
                <c:pt idx="6">
                  <c:v>1022.404</c:v>
                </c:pt>
                <c:pt idx="7">
                  <c:v>1013.2080000000001</c:v>
                </c:pt>
                <c:pt idx="8">
                  <c:v>1020</c:v>
                </c:pt>
                <c:pt idx="9">
                  <c:v>1023.9659999999999</c:v>
                </c:pt>
                <c:pt idx="10">
                  <c:v>1042.9079999999999</c:v>
                </c:pt>
                <c:pt idx="11">
                  <c:v>1031.9070000000002</c:v>
                </c:pt>
                <c:pt idx="12">
                  <c:v>1022.037</c:v>
                </c:pt>
                <c:pt idx="13">
                  <c:v>1006.46</c:v>
                </c:pt>
                <c:pt idx="14">
                  <c:v>955.86</c:v>
                </c:pt>
                <c:pt idx="15">
                  <c:v>890.43</c:v>
                </c:pt>
                <c:pt idx="16">
                  <c:v>856.38800000000003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AC-418B-8603-F755B57085D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lux_370_420_cct_4800_5200!$I$52:$Y$52</c:f>
              <c:numCache>
                <c:formatCode>General</c:formatCode>
                <c:ptCount val="17"/>
                <c:pt idx="0">
                  <c:v>808.83199999999988</c:v>
                </c:pt>
                <c:pt idx="1">
                  <c:v>876.52800000000002</c:v>
                </c:pt>
                <c:pt idx="2">
                  <c:v>927.23199999999997</c:v>
                </c:pt>
                <c:pt idx="3">
                  <c:v>966.21</c:v>
                </c:pt>
                <c:pt idx="4">
                  <c:v>998.28</c:v>
                </c:pt>
                <c:pt idx="5">
                  <c:v>1003.756</c:v>
                </c:pt>
                <c:pt idx="6">
                  <c:v>1013.2499999999999</c:v>
                </c:pt>
                <c:pt idx="7">
                  <c:v>1025.2</c:v>
                </c:pt>
                <c:pt idx="8">
                  <c:v>1023.155</c:v>
                </c:pt>
                <c:pt idx="9">
                  <c:v>1020.4680000000001</c:v>
                </c:pt>
                <c:pt idx="10">
                  <c:v>1027.25</c:v>
                </c:pt>
                <c:pt idx="11">
                  <c:v>1022.0640000000001</c:v>
                </c:pt>
                <c:pt idx="12">
                  <c:v>1021.5450000000001</c:v>
                </c:pt>
                <c:pt idx="13">
                  <c:v>989.68799999999999</c:v>
                </c:pt>
                <c:pt idx="14">
                  <c:v>949.24800000000005</c:v>
                </c:pt>
                <c:pt idx="15">
                  <c:v>894.2399999999999</c:v>
                </c:pt>
                <c:pt idx="16">
                  <c:v>819.51200000000006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AC-418B-8603-F755B57085D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lux_370_420_cct_4800_5200!$I$53:$Y$53</c:f>
              <c:numCache>
                <c:formatCode>General</c:formatCode>
                <c:ptCount val="17"/>
                <c:pt idx="0">
                  <c:v>788.54399999999998</c:v>
                </c:pt>
                <c:pt idx="1">
                  <c:v>860.94499999999994</c:v>
                </c:pt>
                <c:pt idx="2">
                  <c:v>903.91499999999996</c:v>
                </c:pt>
                <c:pt idx="3">
                  <c:v>946.34300000000007</c:v>
                </c:pt>
                <c:pt idx="4">
                  <c:v>986.904</c:v>
                </c:pt>
                <c:pt idx="5">
                  <c:v>997.44400000000007</c:v>
                </c:pt>
                <c:pt idx="6">
                  <c:v>1003.756</c:v>
                </c:pt>
                <c:pt idx="7">
                  <c:v>1011.7230000000001</c:v>
                </c:pt>
                <c:pt idx="8">
                  <c:v>1012.5110000000001</c:v>
                </c:pt>
                <c:pt idx="9">
                  <c:v>1015.0870000000001</c:v>
                </c:pt>
                <c:pt idx="10">
                  <c:v>1011.7159999999999</c:v>
                </c:pt>
                <c:pt idx="11">
                  <c:v>1008.349</c:v>
                </c:pt>
                <c:pt idx="12">
                  <c:v>984.80200000000002</c:v>
                </c:pt>
                <c:pt idx="13">
                  <c:v>966.3950000000001</c:v>
                </c:pt>
                <c:pt idx="14">
                  <c:v>924.90300000000002</c:v>
                </c:pt>
                <c:pt idx="15">
                  <c:v>880.98599999999999</c:v>
                </c:pt>
                <c:pt idx="16">
                  <c:v>804.52800000000002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AC-418B-8603-F755B57085D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lux_370_420_cct_4800_5200!$I$54:$Y$54</c:f>
              <c:numCache>
                <c:formatCode>General</c:formatCode>
                <c:ptCount val="17"/>
                <c:pt idx="0">
                  <c:v>796.9319999999999</c:v>
                </c:pt>
                <c:pt idx="1">
                  <c:v>835.50000000000011</c:v>
                </c:pt>
                <c:pt idx="2">
                  <c:v>867.45600000000002</c:v>
                </c:pt>
                <c:pt idx="3">
                  <c:v>911.5</c:v>
                </c:pt>
                <c:pt idx="4">
                  <c:v>941.74399999999991</c:v>
                </c:pt>
                <c:pt idx="5">
                  <c:v>969.51400000000001</c:v>
                </c:pt>
                <c:pt idx="6">
                  <c:v>982.67399999999998</c:v>
                </c:pt>
                <c:pt idx="7">
                  <c:v>1001.345</c:v>
                </c:pt>
                <c:pt idx="8">
                  <c:v>1002.75</c:v>
                </c:pt>
                <c:pt idx="9">
                  <c:v>1003.5620000000001</c:v>
                </c:pt>
                <c:pt idx="10">
                  <c:v>989.60399999999993</c:v>
                </c:pt>
                <c:pt idx="11">
                  <c:v>980.34299999999996</c:v>
                </c:pt>
                <c:pt idx="12">
                  <c:v>956.51199999999994</c:v>
                </c:pt>
                <c:pt idx="13">
                  <c:v>930</c:v>
                </c:pt>
                <c:pt idx="14">
                  <c:v>883.43999999999994</c:v>
                </c:pt>
                <c:pt idx="15">
                  <c:v>851.625</c:v>
                </c:pt>
                <c:pt idx="16">
                  <c:v>809.178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AC-418B-8603-F755B57085D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lux_370_420_cct_4800_5200!$I$55:$Y$55</c:f>
              <c:numCache>
                <c:formatCode>General</c:formatCode>
                <c:ptCount val="17"/>
                <c:pt idx="0">
                  <c:v>803.048</c:v>
                </c:pt>
                <c:pt idx="1">
                  <c:v>821.46899999999994</c:v>
                </c:pt>
                <c:pt idx="2">
                  <c:v>832.21600000000001</c:v>
                </c:pt>
                <c:pt idx="3">
                  <c:v>875.81100000000004</c:v>
                </c:pt>
                <c:pt idx="4">
                  <c:v>911.5</c:v>
                </c:pt>
                <c:pt idx="5">
                  <c:v>944.67200000000003</c:v>
                </c:pt>
                <c:pt idx="6">
                  <c:v>964.40400000000011</c:v>
                </c:pt>
                <c:pt idx="7">
                  <c:v>967.5</c:v>
                </c:pt>
                <c:pt idx="8">
                  <c:v>977.79499999999996</c:v>
                </c:pt>
                <c:pt idx="9">
                  <c:v>973.75</c:v>
                </c:pt>
                <c:pt idx="10">
                  <c:v>978.25</c:v>
                </c:pt>
                <c:pt idx="11">
                  <c:v>960.82500000000005</c:v>
                </c:pt>
                <c:pt idx="12">
                  <c:v>929.5</c:v>
                </c:pt>
                <c:pt idx="13">
                  <c:v>892.20199999999988</c:v>
                </c:pt>
                <c:pt idx="14">
                  <c:v>844.5680000000001</c:v>
                </c:pt>
                <c:pt idx="15">
                  <c:v>831.01699999999994</c:v>
                </c:pt>
                <c:pt idx="16">
                  <c:v>804.82399999999996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AC-418B-8603-F755B57085D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lux_370_420_cct_4800_5200!$I$56:$Y$56</c:f>
              <c:numCache>
                <c:formatCode>General</c:formatCode>
                <c:ptCount val="17"/>
                <c:pt idx="0">
                  <c:v>756.83999999999992</c:v>
                </c:pt>
                <c:pt idx="1">
                  <c:v>781.44</c:v>
                </c:pt>
                <c:pt idx="2">
                  <c:v>811.92099999999994</c:v>
                </c:pt>
                <c:pt idx="3">
                  <c:v>864.05799999999988</c:v>
                </c:pt>
                <c:pt idx="4">
                  <c:v>893.6400000000001</c:v>
                </c:pt>
                <c:pt idx="5">
                  <c:v>889.12799999999993</c:v>
                </c:pt>
                <c:pt idx="6">
                  <c:v>929.79200000000003</c:v>
                </c:pt>
                <c:pt idx="7">
                  <c:v>941.44199999999989</c:v>
                </c:pt>
                <c:pt idx="8">
                  <c:v>928.03</c:v>
                </c:pt>
                <c:pt idx="9">
                  <c:v>951.58799999999997</c:v>
                </c:pt>
                <c:pt idx="10">
                  <c:v>918.096</c:v>
                </c:pt>
                <c:pt idx="11">
                  <c:v>910.09800000000007</c:v>
                </c:pt>
                <c:pt idx="12">
                  <c:v>878.52800000000002</c:v>
                </c:pt>
                <c:pt idx="13">
                  <c:v>845.28099999999995</c:v>
                </c:pt>
                <c:pt idx="14">
                  <c:v>819.423</c:v>
                </c:pt>
                <c:pt idx="15">
                  <c:v>779.36800000000005</c:v>
                </c:pt>
                <c:pt idx="16">
                  <c:v>742.79499999999996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AC-418B-8603-F755B57085D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lux_370_420_cct_6000_7000!$I$2:$Y$2</c:f>
              <c:numCache>
                <c:formatCode>General</c:formatCode>
                <c:ptCount val="17"/>
                <c:pt idx="0">
                  <c:v>754.76199999999994</c:v>
                </c:pt>
                <c:pt idx="1">
                  <c:v>787.86</c:v>
                </c:pt>
                <c:pt idx="2">
                  <c:v>835.61200000000008</c:v>
                </c:pt>
                <c:pt idx="3">
                  <c:v>864.59500000000003</c:v>
                </c:pt>
                <c:pt idx="4">
                  <c:v>911.47199999999998</c:v>
                </c:pt>
                <c:pt idx="5">
                  <c:v>910.45500000000004</c:v>
                </c:pt>
                <c:pt idx="6">
                  <c:v>929.66</c:v>
                </c:pt>
                <c:pt idx="7">
                  <c:v>966.45999999999992</c:v>
                </c:pt>
                <c:pt idx="8">
                  <c:v>946.77199999999993</c:v>
                </c:pt>
                <c:pt idx="9">
                  <c:v>964.43599999999992</c:v>
                </c:pt>
                <c:pt idx="10">
                  <c:v>951.95</c:v>
                </c:pt>
                <c:pt idx="11">
                  <c:v>938.53099999999995</c:v>
                </c:pt>
                <c:pt idx="12">
                  <c:v>904.53600000000006</c:v>
                </c:pt>
                <c:pt idx="13">
                  <c:v>859.18</c:v>
                </c:pt>
                <c:pt idx="14">
                  <c:v>833.39300000000003</c:v>
                </c:pt>
                <c:pt idx="15">
                  <c:v>780.57</c:v>
                </c:pt>
                <c:pt idx="16">
                  <c:v>738.51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2-4F23-BF89-5CB3C58E630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lux_370_420_cct_6000_7000!$I$3:$Y$3</c:f>
              <c:numCache>
                <c:formatCode>General</c:formatCode>
                <c:ptCount val="17"/>
                <c:pt idx="0">
                  <c:v>826.47</c:v>
                </c:pt>
                <c:pt idx="1">
                  <c:v>858.75300000000004</c:v>
                </c:pt>
                <c:pt idx="2">
                  <c:v>877.82499999999993</c:v>
                </c:pt>
                <c:pt idx="3">
                  <c:v>931.44600000000003</c:v>
                </c:pt>
                <c:pt idx="4">
                  <c:v>952.69</c:v>
                </c:pt>
                <c:pt idx="5">
                  <c:v>992.93299999999999</c:v>
                </c:pt>
                <c:pt idx="6">
                  <c:v>993.20399999999995</c:v>
                </c:pt>
                <c:pt idx="7">
                  <c:v>1012.2</c:v>
                </c:pt>
                <c:pt idx="8">
                  <c:v>1015.482</c:v>
                </c:pt>
                <c:pt idx="9">
                  <c:v>1010.4</c:v>
                </c:pt>
                <c:pt idx="10">
                  <c:v>1011.456</c:v>
                </c:pt>
                <c:pt idx="11">
                  <c:v>989.23</c:v>
                </c:pt>
                <c:pt idx="12">
                  <c:v>950.33999999999992</c:v>
                </c:pt>
                <c:pt idx="13">
                  <c:v>928.06200000000001</c:v>
                </c:pt>
                <c:pt idx="14">
                  <c:v>877.09500000000003</c:v>
                </c:pt>
                <c:pt idx="15">
                  <c:v>852.41300000000001</c:v>
                </c:pt>
                <c:pt idx="16">
                  <c:v>760.92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72-4F23-BF89-5CB3C58E630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lux_370_420_cct_6000_7000!$I$4:$Y$4</c:f>
              <c:numCache>
                <c:formatCode>General</c:formatCode>
                <c:ptCount val="17"/>
                <c:pt idx="0">
                  <c:v>834.91</c:v>
                </c:pt>
                <c:pt idx="1">
                  <c:v>883.2059999999999</c:v>
                </c:pt>
                <c:pt idx="2">
                  <c:v>919.58400000000006</c:v>
                </c:pt>
                <c:pt idx="3">
                  <c:v>950.33999999999992</c:v>
                </c:pt>
                <c:pt idx="4">
                  <c:v>989.48900000000003</c:v>
                </c:pt>
                <c:pt idx="5">
                  <c:v>1018.537</c:v>
                </c:pt>
                <c:pt idx="6">
                  <c:v>1031.8</c:v>
                </c:pt>
                <c:pt idx="7">
                  <c:v>1031.4660000000001</c:v>
                </c:pt>
                <c:pt idx="8">
                  <c:v>1029.6119999999999</c:v>
                </c:pt>
                <c:pt idx="9">
                  <c:v>1032.8780000000002</c:v>
                </c:pt>
                <c:pt idx="10">
                  <c:v>1035.82</c:v>
                </c:pt>
                <c:pt idx="11">
                  <c:v>1020.981</c:v>
                </c:pt>
                <c:pt idx="12">
                  <c:v>990.57100000000003</c:v>
                </c:pt>
                <c:pt idx="13">
                  <c:v>950.33999999999992</c:v>
                </c:pt>
                <c:pt idx="14">
                  <c:v>916.7</c:v>
                </c:pt>
                <c:pt idx="15">
                  <c:v>873.67500000000007</c:v>
                </c:pt>
                <c:pt idx="16">
                  <c:v>814.31999999999994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72-4F23-BF89-5CB3C58E630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lux_370_420_cct_6000_7000!$I$5:$Y$5</c:f>
              <c:numCache>
                <c:formatCode>General</c:formatCode>
                <c:ptCount val="17"/>
                <c:pt idx="0">
                  <c:v>842.14800000000002</c:v>
                </c:pt>
                <c:pt idx="1">
                  <c:v>887.7360000000001</c:v>
                </c:pt>
                <c:pt idx="2">
                  <c:v>941.38199999999995</c:v>
                </c:pt>
                <c:pt idx="3">
                  <c:v>991.346</c:v>
                </c:pt>
                <c:pt idx="4">
                  <c:v>1017.9259999999999</c:v>
                </c:pt>
                <c:pt idx="5">
                  <c:v>1033.366</c:v>
                </c:pt>
                <c:pt idx="6">
                  <c:v>1035.9840000000002</c:v>
                </c:pt>
                <c:pt idx="7">
                  <c:v>1036.4580000000001</c:v>
                </c:pt>
                <c:pt idx="8">
                  <c:v>1047.925</c:v>
                </c:pt>
                <c:pt idx="9">
                  <c:v>1040.5129999999999</c:v>
                </c:pt>
                <c:pt idx="10">
                  <c:v>1043.624</c:v>
                </c:pt>
                <c:pt idx="11">
                  <c:v>1040.306</c:v>
                </c:pt>
                <c:pt idx="12">
                  <c:v>1022.814</c:v>
                </c:pt>
                <c:pt idx="13">
                  <c:v>992.404</c:v>
                </c:pt>
                <c:pt idx="14">
                  <c:v>937.80599999999993</c:v>
                </c:pt>
                <c:pt idx="15">
                  <c:v>876.45600000000002</c:v>
                </c:pt>
                <c:pt idx="16">
                  <c:v>820.48199999999997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72-4F23-BF89-5CB3C58E630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lux_370_420_cct_6000_7000!$I$6:$Y$6</c:f>
              <c:numCache>
                <c:formatCode>General</c:formatCode>
                <c:ptCount val="17"/>
                <c:pt idx="0">
                  <c:v>846.15300000000002</c:v>
                </c:pt>
                <c:pt idx="1">
                  <c:v>928.64800000000002</c:v>
                </c:pt>
                <c:pt idx="2">
                  <c:v>963.51800000000003</c:v>
                </c:pt>
                <c:pt idx="3">
                  <c:v>1014.3359999999999</c:v>
                </c:pt>
                <c:pt idx="4">
                  <c:v>1032.47</c:v>
                </c:pt>
                <c:pt idx="5">
                  <c:v>1035.22</c:v>
                </c:pt>
                <c:pt idx="6">
                  <c:v>1040.116</c:v>
                </c:pt>
                <c:pt idx="7">
                  <c:v>1043.4649999999999</c:v>
                </c:pt>
                <c:pt idx="8">
                  <c:v>1046.0539999999999</c:v>
                </c:pt>
                <c:pt idx="9">
                  <c:v>1045.2750000000001</c:v>
                </c:pt>
                <c:pt idx="10">
                  <c:v>1043.5039999999999</c:v>
                </c:pt>
                <c:pt idx="11">
                  <c:v>1036.748</c:v>
                </c:pt>
                <c:pt idx="12">
                  <c:v>1031.8</c:v>
                </c:pt>
                <c:pt idx="13">
                  <c:v>1013.184</c:v>
                </c:pt>
                <c:pt idx="14">
                  <c:v>961.59</c:v>
                </c:pt>
                <c:pt idx="15">
                  <c:v>896.00000000000011</c:v>
                </c:pt>
                <c:pt idx="16">
                  <c:v>843.17399999999998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72-4F23-BF89-5CB3C58E630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lux_370_420_cct_6000_7000!$I$7:$Y$7</c:f>
              <c:numCache>
                <c:formatCode>General</c:formatCode>
                <c:ptCount val="17"/>
                <c:pt idx="0">
                  <c:v>852.84</c:v>
                </c:pt>
                <c:pt idx="1">
                  <c:v>925.947</c:v>
                </c:pt>
                <c:pt idx="2">
                  <c:v>973.03800000000001</c:v>
                </c:pt>
                <c:pt idx="3">
                  <c:v>1006.8</c:v>
                </c:pt>
                <c:pt idx="4">
                  <c:v>1025.1120000000001</c:v>
                </c:pt>
                <c:pt idx="5">
                  <c:v>1034.836</c:v>
                </c:pt>
                <c:pt idx="6">
                  <c:v>1042.56</c:v>
                </c:pt>
                <c:pt idx="7">
                  <c:v>1030.5159999999998</c:v>
                </c:pt>
                <c:pt idx="8">
                  <c:v>1025.5440000000001</c:v>
                </c:pt>
                <c:pt idx="9">
                  <c:v>1044.3200000000002</c:v>
                </c:pt>
                <c:pt idx="10">
                  <c:v>1042.56</c:v>
                </c:pt>
                <c:pt idx="11">
                  <c:v>1030.7809999999999</c:v>
                </c:pt>
                <c:pt idx="12">
                  <c:v>1021.582</c:v>
                </c:pt>
                <c:pt idx="13">
                  <c:v>1004.4</c:v>
                </c:pt>
                <c:pt idx="14">
                  <c:v>972.53199999999993</c:v>
                </c:pt>
                <c:pt idx="15">
                  <c:v>922.56299999999999</c:v>
                </c:pt>
                <c:pt idx="16">
                  <c:v>842.14499999999998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72-4F23-BF89-5CB3C58E630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lux_370_420_cct_6000_7000!$I$8:$Y$8</c:f>
              <c:numCache>
                <c:formatCode>General</c:formatCode>
                <c:ptCount val="17"/>
                <c:pt idx="0">
                  <c:v>878.577</c:v>
                </c:pt>
                <c:pt idx="1">
                  <c:v>943.51499999999999</c:v>
                </c:pt>
                <c:pt idx="2">
                  <c:v>980.23199999999997</c:v>
                </c:pt>
                <c:pt idx="3">
                  <c:v>1005.7059999999999</c:v>
                </c:pt>
                <c:pt idx="4">
                  <c:v>1030.806</c:v>
                </c:pt>
                <c:pt idx="5">
                  <c:v>1032.895</c:v>
                </c:pt>
                <c:pt idx="6">
                  <c:v>1034.9060000000002</c:v>
                </c:pt>
                <c:pt idx="7">
                  <c:v>1030.9680000000001</c:v>
                </c:pt>
                <c:pt idx="8">
                  <c:v>1029.1379999999999</c:v>
                </c:pt>
                <c:pt idx="9">
                  <c:v>1033.9649999999999</c:v>
                </c:pt>
                <c:pt idx="10">
                  <c:v>1052.979</c:v>
                </c:pt>
                <c:pt idx="11">
                  <c:v>1035.4000000000001</c:v>
                </c:pt>
                <c:pt idx="12">
                  <c:v>1032.2639999999999</c:v>
                </c:pt>
                <c:pt idx="13">
                  <c:v>1005.7059999999999</c:v>
                </c:pt>
                <c:pt idx="14">
                  <c:v>978.68100000000004</c:v>
                </c:pt>
                <c:pt idx="15">
                  <c:v>910.71900000000005</c:v>
                </c:pt>
                <c:pt idx="16">
                  <c:v>871.09299999999996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72-4F23-BF89-5CB3C58E630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lux_370_420_cct_6000_7000!$I$9:$Y$9</c:f>
              <c:numCache>
                <c:formatCode>General</c:formatCode>
                <c:ptCount val="17"/>
                <c:pt idx="0">
                  <c:v>857.32499999999993</c:v>
                </c:pt>
                <c:pt idx="1">
                  <c:v>927.21600000000012</c:v>
                </c:pt>
                <c:pt idx="2">
                  <c:v>971.01400000000001</c:v>
                </c:pt>
                <c:pt idx="3">
                  <c:v>1019.1479999999999</c:v>
                </c:pt>
                <c:pt idx="4">
                  <c:v>1031.046</c:v>
                </c:pt>
                <c:pt idx="5">
                  <c:v>1036.98</c:v>
                </c:pt>
                <c:pt idx="6">
                  <c:v>1041.712</c:v>
                </c:pt>
                <c:pt idx="7">
                  <c:v>1029.6799999999998</c:v>
                </c:pt>
                <c:pt idx="8">
                  <c:v>1026.972</c:v>
                </c:pt>
                <c:pt idx="9">
                  <c:v>1036.5119999999999</c:v>
                </c:pt>
                <c:pt idx="10">
                  <c:v>1051.799</c:v>
                </c:pt>
                <c:pt idx="11">
                  <c:v>1044.3869999999999</c:v>
                </c:pt>
                <c:pt idx="12">
                  <c:v>1038.2159999999999</c:v>
                </c:pt>
                <c:pt idx="13">
                  <c:v>1003.8000000000001</c:v>
                </c:pt>
                <c:pt idx="14">
                  <c:v>970.50799999999992</c:v>
                </c:pt>
                <c:pt idx="15">
                  <c:v>917.91</c:v>
                </c:pt>
                <c:pt idx="16">
                  <c:v>835.93500000000006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72-4F23-BF89-5CB3C58E630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lux_370_420_cct_6000_7000!$I$10:$Y$10</c:f>
              <c:numCache>
                <c:formatCode>General</c:formatCode>
                <c:ptCount val="17"/>
                <c:pt idx="0">
                  <c:v>848.48400000000004</c:v>
                </c:pt>
                <c:pt idx="1">
                  <c:v>931.11999999999989</c:v>
                </c:pt>
                <c:pt idx="2">
                  <c:v>962.55400000000009</c:v>
                </c:pt>
                <c:pt idx="3">
                  <c:v>1009.152</c:v>
                </c:pt>
                <c:pt idx="4">
                  <c:v>1023.0899999999999</c:v>
                </c:pt>
                <c:pt idx="5">
                  <c:v>1041.3920000000001</c:v>
                </c:pt>
                <c:pt idx="6">
                  <c:v>1043.328</c:v>
                </c:pt>
                <c:pt idx="7">
                  <c:v>1043.5459999999998</c:v>
                </c:pt>
                <c:pt idx="8">
                  <c:v>1045.451</c:v>
                </c:pt>
                <c:pt idx="9">
                  <c:v>1045.3799999999999</c:v>
                </c:pt>
                <c:pt idx="10">
                  <c:v>1046.76</c:v>
                </c:pt>
                <c:pt idx="11">
                  <c:v>1045.2719999999999</c:v>
                </c:pt>
                <c:pt idx="12">
                  <c:v>1027.78</c:v>
                </c:pt>
                <c:pt idx="13">
                  <c:v>1012.0319999999999</c:v>
                </c:pt>
                <c:pt idx="14">
                  <c:v>961.59</c:v>
                </c:pt>
                <c:pt idx="15">
                  <c:v>923.70399999999995</c:v>
                </c:pt>
                <c:pt idx="16">
                  <c:v>832.5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72-4F23-BF89-5CB3C58E630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lux_370_420_cct_6000_7000!$I$11:$Y$11</c:f>
              <c:numCache>
                <c:formatCode>General</c:formatCode>
                <c:ptCount val="17"/>
                <c:pt idx="0">
                  <c:v>864.17499999999995</c:v>
                </c:pt>
                <c:pt idx="1">
                  <c:v>911.80000000000007</c:v>
                </c:pt>
                <c:pt idx="2">
                  <c:v>938.7</c:v>
                </c:pt>
                <c:pt idx="3">
                  <c:v>988.17200000000003</c:v>
                </c:pt>
                <c:pt idx="4">
                  <c:v>1013.649</c:v>
                </c:pt>
                <c:pt idx="5">
                  <c:v>1025.038</c:v>
                </c:pt>
                <c:pt idx="6">
                  <c:v>1040.616</c:v>
                </c:pt>
                <c:pt idx="7">
                  <c:v>1036.1569999999999</c:v>
                </c:pt>
                <c:pt idx="8">
                  <c:v>1027.885</c:v>
                </c:pt>
                <c:pt idx="9">
                  <c:v>1034.511</c:v>
                </c:pt>
                <c:pt idx="10">
                  <c:v>1020.7040000000001</c:v>
                </c:pt>
                <c:pt idx="11">
                  <c:v>1020.18</c:v>
                </c:pt>
                <c:pt idx="12">
                  <c:v>1008.761</c:v>
                </c:pt>
                <c:pt idx="13">
                  <c:v>987.11400000000003</c:v>
                </c:pt>
                <c:pt idx="14">
                  <c:v>938.25300000000004</c:v>
                </c:pt>
                <c:pt idx="15">
                  <c:v>908.69600000000003</c:v>
                </c:pt>
                <c:pt idx="16">
                  <c:v>815.92000000000007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72-4F23-BF89-5CB3C58E630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lux_370_420_cct_6000_7000!$I$12:$Y$12</c:f>
              <c:numCache>
                <c:formatCode>General</c:formatCode>
                <c:ptCount val="17"/>
                <c:pt idx="0">
                  <c:v>831.43</c:v>
                </c:pt>
                <c:pt idx="1">
                  <c:v>882.14700000000005</c:v>
                </c:pt>
                <c:pt idx="2">
                  <c:v>920.81999999999994</c:v>
                </c:pt>
                <c:pt idx="3">
                  <c:v>973.15800000000002</c:v>
                </c:pt>
                <c:pt idx="4">
                  <c:v>984.62</c:v>
                </c:pt>
                <c:pt idx="5">
                  <c:v>1011.8159999999999</c:v>
                </c:pt>
                <c:pt idx="6">
                  <c:v>1021.7499999999999</c:v>
                </c:pt>
                <c:pt idx="7">
                  <c:v>1033.1970000000001</c:v>
                </c:pt>
                <c:pt idx="8">
                  <c:v>1029.348</c:v>
                </c:pt>
                <c:pt idx="9">
                  <c:v>1030.329</c:v>
                </c:pt>
                <c:pt idx="10">
                  <c:v>1019.0699999999999</c:v>
                </c:pt>
                <c:pt idx="11">
                  <c:v>1008.15</c:v>
                </c:pt>
                <c:pt idx="12">
                  <c:v>980.83299999999997</c:v>
                </c:pt>
                <c:pt idx="13">
                  <c:v>946.1099999999999</c:v>
                </c:pt>
                <c:pt idx="14">
                  <c:v>917.524</c:v>
                </c:pt>
                <c:pt idx="15">
                  <c:v>876.14600000000007</c:v>
                </c:pt>
                <c:pt idx="16">
                  <c:v>817.51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72-4F23-BF89-5CB3C58E630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lux_370_420_cct_6000_7000!$I$13:$Y$13</c:f>
              <c:numCache>
                <c:formatCode>General</c:formatCode>
                <c:ptCount val="17"/>
                <c:pt idx="0">
                  <c:v>831.87</c:v>
                </c:pt>
                <c:pt idx="1">
                  <c:v>861.60599999999999</c:v>
                </c:pt>
                <c:pt idx="2">
                  <c:v>881.11</c:v>
                </c:pt>
                <c:pt idx="3">
                  <c:v>931.44600000000003</c:v>
                </c:pt>
                <c:pt idx="4">
                  <c:v>972.19399999999996</c:v>
                </c:pt>
                <c:pt idx="5">
                  <c:v>984.46899999999994</c:v>
                </c:pt>
                <c:pt idx="6">
                  <c:v>1003.9680000000001</c:v>
                </c:pt>
                <c:pt idx="7">
                  <c:v>1019.759</c:v>
                </c:pt>
                <c:pt idx="8">
                  <c:v>1006.317</c:v>
                </c:pt>
                <c:pt idx="9">
                  <c:v>1023.4250000000001</c:v>
                </c:pt>
                <c:pt idx="10">
                  <c:v>1009.728</c:v>
                </c:pt>
                <c:pt idx="11">
                  <c:v>988.70100000000002</c:v>
                </c:pt>
                <c:pt idx="12">
                  <c:v>973.15800000000002</c:v>
                </c:pt>
                <c:pt idx="13">
                  <c:v>928.4849999999999</c:v>
                </c:pt>
                <c:pt idx="14">
                  <c:v>873.81000000000006</c:v>
                </c:pt>
                <c:pt idx="15">
                  <c:v>849.56000000000006</c:v>
                </c:pt>
                <c:pt idx="16">
                  <c:v>807.57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72-4F23-BF89-5CB3C58E630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lux_370_420_cct_6000_7000!$I$14:$Y$14</c:f>
              <c:numCache>
                <c:formatCode>General</c:formatCode>
                <c:ptCount val="17"/>
                <c:pt idx="0">
                  <c:v>824.92499999999995</c:v>
                </c:pt>
                <c:pt idx="1">
                  <c:v>850.85</c:v>
                </c:pt>
                <c:pt idx="2">
                  <c:v>845.12199999999996</c:v>
                </c:pt>
                <c:pt idx="3">
                  <c:v>872.17599999999993</c:v>
                </c:pt>
                <c:pt idx="4">
                  <c:v>908.596</c:v>
                </c:pt>
                <c:pt idx="5">
                  <c:v>946.64900000000011</c:v>
                </c:pt>
                <c:pt idx="6">
                  <c:v>957.73400000000004</c:v>
                </c:pt>
                <c:pt idx="7">
                  <c:v>963.33799999999997</c:v>
                </c:pt>
                <c:pt idx="8">
                  <c:v>984.36799999999994</c:v>
                </c:pt>
                <c:pt idx="9">
                  <c:v>967.85599999999999</c:v>
                </c:pt>
                <c:pt idx="10">
                  <c:v>969.78399999999999</c:v>
                </c:pt>
                <c:pt idx="11">
                  <c:v>957.02199999999993</c:v>
                </c:pt>
                <c:pt idx="12">
                  <c:v>912.23199999999997</c:v>
                </c:pt>
                <c:pt idx="13">
                  <c:v>871.09299999999996</c:v>
                </c:pt>
                <c:pt idx="14">
                  <c:v>835.29499999999996</c:v>
                </c:pt>
                <c:pt idx="15">
                  <c:v>827.39799999999991</c:v>
                </c:pt>
                <c:pt idx="16">
                  <c:v>788.20500000000004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72-4F23-BF89-5CB3C58E630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lux_370_420_cct_6000_7000!$I$16:$Y$16</c:f>
              <c:numCache>
                <c:formatCode>General</c:formatCode>
                <c:ptCount val="17"/>
                <c:pt idx="0">
                  <c:v>775.63200000000006</c:v>
                </c:pt>
                <c:pt idx="1">
                  <c:v>811.2</c:v>
                </c:pt>
                <c:pt idx="2">
                  <c:v>849.12</c:v>
                </c:pt>
                <c:pt idx="3">
                  <c:v>879.12000000000012</c:v>
                </c:pt>
                <c:pt idx="4">
                  <c:v>906.33799999999997</c:v>
                </c:pt>
                <c:pt idx="5">
                  <c:v>930.62700000000007</c:v>
                </c:pt>
                <c:pt idx="6">
                  <c:v>938.96400000000006</c:v>
                </c:pt>
                <c:pt idx="7">
                  <c:v>958.72</c:v>
                </c:pt>
                <c:pt idx="8">
                  <c:v>953.33600000000001</c:v>
                </c:pt>
                <c:pt idx="9">
                  <c:v>958.72</c:v>
                </c:pt>
                <c:pt idx="10">
                  <c:v>952.44200000000001</c:v>
                </c:pt>
                <c:pt idx="11">
                  <c:v>929.19600000000003</c:v>
                </c:pt>
                <c:pt idx="12">
                  <c:v>903.71600000000001</c:v>
                </c:pt>
                <c:pt idx="13">
                  <c:v>877.14</c:v>
                </c:pt>
                <c:pt idx="14">
                  <c:v>850.51199999999994</c:v>
                </c:pt>
                <c:pt idx="15">
                  <c:v>808.5</c:v>
                </c:pt>
                <c:pt idx="16">
                  <c:v>767.18400000000008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B-44AA-A6A3-F706C7DEE37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lux_370_420_cct_6000_7000!$I$17:$Y$17</c:f>
              <c:numCache>
                <c:formatCode>General</c:formatCode>
                <c:ptCount val="17"/>
                <c:pt idx="0">
                  <c:v>811.95399999999995</c:v>
                </c:pt>
                <c:pt idx="1">
                  <c:v>846.54399999999998</c:v>
                </c:pt>
                <c:pt idx="2">
                  <c:v>878.3549999999999</c:v>
                </c:pt>
                <c:pt idx="3">
                  <c:v>918.39999999999986</c:v>
                </c:pt>
                <c:pt idx="4">
                  <c:v>953.18500000000006</c:v>
                </c:pt>
                <c:pt idx="5">
                  <c:v>986.63499999999999</c:v>
                </c:pt>
                <c:pt idx="6">
                  <c:v>1003.995</c:v>
                </c:pt>
                <c:pt idx="7">
                  <c:v>1009.2600000000001</c:v>
                </c:pt>
                <c:pt idx="8">
                  <c:v>1013.4209999999999</c:v>
                </c:pt>
                <c:pt idx="9">
                  <c:v>1008.63</c:v>
                </c:pt>
                <c:pt idx="10">
                  <c:v>1004.598</c:v>
                </c:pt>
                <c:pt idx="11">
                  <c:v>987.19399999999996</c:v>
                </c:pt>
                <c:pt idx="12">
                  <c:v>955.197</c:v>
                </c:pt>
                <c:pt idx="13">
                  <c:v>919.74399999999991</c:v>
                </c:pt>
                <c:pt idx="14">
                  <c:v>881.89200000000005</c:v>
                </c:pt>
                <c:pt idx="15">
                  <c:v>846.54399999999998</c:v>
                </c:pt>
                <c:pt idx="16">
                  <c:v>801.08600000000001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B-44AA-A6A3-F706C7DEE37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lux_370_420_cct_6000_7000!$I$18:$Y$18</c:f>
              <c:numCache>
                <c:formatCode>General</c:formatCode>
                <c:ptCount val="17"/>
                <c:pt idx="0">
                  <c:v>846.39</c:v>
                </c:pt>
                <c:pt idx="1">
                  <c:v>873.44799999999998</c:v>
                </c:pt>
                <c:pt idx="2">
                  <c:v>919.80200000000002</c:v>
                </c:pt>
                <c:pt idx="3">
                  <c:v>963.02799999999991</c:v>
                </c:pt>
                <c:pt idx="4">
                  <c:v>990.72500000000002</c:v>
                </c:pt>
                <c:pt idx="5">
                  <c:v>1014.062</c:v>
                </c:pt>
                <c:pt idx="6">
                  <c:v>1026.681</c:v>
                </c:pt>
                <c:pt idx="7">
                  <c:v>1033.4099999999999</c:v>
                </c:pt>
                <c:pt idx="8">
                  <c:v>1042.2719999999999</c:v>
                </c:pt>
                <c:pt idx="9">
                  <c:v>1037.085</c:v>
                </c:pt>
                <c:pt idx="10">
                  <c:v>1033.6510000000001</c:v>
                </c:pt>
                <c:pt idx="11">
                  <c:v>1021.1129999999999</c:v>
                </c:pt>
                <c:pt idx="12">
                  <c:v>996.47500000000002</c:v>
                </c:pt>
                <c:pt idx="13">
                  <c:v>956.7059999999999</c:v>
                </c:pt>
                <c:pt idx="14">
                  <c:v>912.01900000000012</c:v>
                </c:pt>
                <c:pt idx="15">
                  <c:v>872.31999999999994</c:v>
                </c:pt>
                <c:pt idx="16">
                  <c:v>836.88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0B-44AA-A6A3-F706C7DEE37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lux_370_420_cct_6000_7000!$I$19:$Y$19</c:f>
              <c:numCache>
                <c:formatCode>General</c:formatCode>
                <c:ptCount val="17"/>
                <c:pt idx="0">
                  <c:v>854.41300000000001</c:v>
                </c:pt>
                <c:pt idx="1">
                  <c:v>898.1640000000001</c:v>
                </c:pt>
                <c:pt idx="2">
                  <c:v>946.60799999999995</c:v>
                </c:pt>
                <c:pt idx="3">
                  <c:v>985.51699999999994</c:v>
                </c:pt>
                <c:pt idx="4">
                  <c:v>1014.062</c:v>
                </c:pt>
                <c:pt idx="5">
                  <c:v>1032.424</c:v>
                </c:pt>
                <c:pt idx="6">
                  <c:v>1043.556</c:v>
                </c:pt>
                <c:pt idx="7">
                  <c:v>1047.886</c:v>
                </c:pt>
                <c:pt idx="8">
                  <c:v>1053.2530000000002</c:v>
                </c:pt>
                <c:pt idx="9">
                  <c:v>1052.932</c:v>
                </c:pt>
                <c:pt idx="10">
                  <c:v>1053.904</c:v>
                </c:pt>
                <c:pt idx="11">
                  <c:v>1042.56</c:v>
                </c:pt>
                <c:pt idx="12">
                  <c:v>1021.754</c:v>
                </c:pt>
                <c:pt idx="13">
                  <c:v>991.66600000000005</c:v>
                </c:pt>
                <c:pt idx="14">
                  <c:v>948.53200000000004</c:v>
                </c:pt>
                <c:pt idx="15">
                  <c:v>894.48299999999995</c:v>
                </c:pt>
                <c:pt idx="16">
                  <c:v>844.12299999999993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0B-44AA-A6A3-F706C7DEE37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lux_370_420_cct_6000_7000!$I$20:$Y$20</c:f>
              <c:numCache>
                <c:formatCode>General</c:formatCode>
                <c:ptCount val="17"/>
                <c:pt idx="0">
                  <c:v>855.59100000000012</c:v>
                </c:pt>
                <c:pt idx="1">
                  <c:v>916.82599999999991</c:v>
                </c:pt>
                <c:pt idx="2">
                  <c:v>961.69399999999996</c:v>
                </c:pt>
                <c:pt idx="3">
                  <c:v>1011.104</c:v>
                </c:pt>
                <c:pt idx="4">
                  <c:v>1032.6420000000001</c:v>
                </c:pt>
                <c:pt idx="5">
                  <c:v>1041.1680000000001</c:v>
                </c:pt>
                <c:pt idx="6">
                  <c:v>1046.1780000000001</c:v>
                </c:pt>
                <c:pt idx="7">
                  <c:v>1046.682</c:v>
                </c:pt>
                <c:pt idx="8">
                  <c:v>1047.1600000000001</c:v>
                </c:pt>
                <c:pt idx="9">
                  <c:v>1049.451</c:v>
                </c:pt>
                <c:pt idx="10">
                  <c:v>1051.422</c:v>
                </c:pt>
                <c:pt idx="11">
                  <c:v>1046.74</c:v>
                </c:pt>
                <c:pt idx="12">
                  <c:v>1037.556</c:v>
                </c:pt>
                <c:pt idx="13">
                  <c:v>1007.01</c:v>
                </c:pt>
                <c:pt idx="14">
                  <c:v>966.31999999999994</c:v>
                </c:pt>
                <c:pt idx="15">
                  <c:v>919.01100000000008</c:v>
                </c:pt>
                <c:pt idx="16">
                  <c:v>852.32399999999996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0B-44AA-A6A3-F706C7DEE37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lux_370_420_cct_6000_7000!$I$21:$Y$21</c:f>
              <c:numCache>
                <c:formatCode>General</c:formatCode>
                <c:ptCount val="17"/>
                <c:pt idx="0">
                  <c:v>854.11199999999997</c:v>
                </c:pt>
                <c:pt idx="1">
                  <c:v>923.66700000000003</c:v>
                </c:pt>
                <c:pt idx="2">
                  <c:v>967.48</c:v>
                </c:pt>
                <c:pt idx="3">
                  <c:v>1011.876</c:v>
                </c:pt>
                <c:pt idx="4">
                  <c:v>1042.0650000000001</c:v>
                </c:pt>
                <c:pt idx="5">
                  <c:v>1048.1940000000002</c:v>
                </c:pt>
                <c:pt idx="6">
                  <c:v>1048.8409999999999</c:v>
                </c:pt>
                <c:pt idx="7">
                  <c:v>1034.8029999999999</c:v>
                </c:pt>
                <c:pt idx="8">
                  <c:v>1026.8399999999999</c:v>
                </c:pt>
                <c:pt idx="9">
                  <c:v>1036.761</c:v>
                </c:pt>
                <c:pt idx="10">
                  <c:v>1052.557</c:v>
                </c:pt>
                <c:pt idx="11">
                  <c:v>1049.8860000000002</c:v>
                </c:pt>
                <c:pt idx="12">
                  <c:v>1035.1769999999999</c:v>
                </c:pt>
                <c:pt idx="13">
                  <c:v>1015.056</c:v>
                </c:pt>
                <c:pt idx="14">
                  <c:v>972.30400000000009</c:v>
                </c:pt>
                <c:pt idx="15">
                  <c:v>927.29100000000005</c:v>
                </c:pt>
                <c:pt idx="16">
                  <c:v>871.34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0B-44AA-A6A3-F706C7DEE37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lux_370_420_cct_6000_7000!$I$22:$Y$22</c:f>
              <c:numCache>
                <c:formatCode>General</c:formatCode>
                <c:ptCount val="17"/>
                <c:pt idx="0">
                  <c:v>861.83999999999992</c:v>
                </c:pt>
                <c:pt idx="1">
                  <c:v>927.63900000000001</c:v>
                </c:pt>
                <c:pt idx="2">
                  <c:v>974.20699999999999</c:v>
                </c:pt>
                <c:pt idx="3">
                  <c:v>1019.986</c:v>
                </c:pt>
                <c:pt idx="4">
                  <c:v>1031.6379999999999</c:v>
                </c:pt>
                <c:pt idx="5">
                  <c:v>1041.6410000000001</c:v>
                </c:pt>
                <c:pt idx="6">
                  <c:v>1044.1980000000001</c:v>
                </c:pt>
                <c:pt idx="7">
                  <c:v>1024.0229999999999</c:v>
                </c:pt>
                <c:pt idx="8">
                  <c:v>1026.069</c:v>
                </c:pt>
                <c:pt idx="9">
                  <c:v>1029.028</c:v>
                </c:pt>
                <c:pt idx="10">
                  <c:v>1051.806</c:v>
                </c:pt>
                <c:pt idx="11">
                  <c:v>1048.5450000000001</c:v>
                </c:pt>
                <c:pt idx="12">
                  <c:v>1038.46</c:v>
                </c:pt>
                <c:pt idx="13">
                  <c:v>1015.7900000000001</c:v>
                </c:pt>
                <c:pt idx="14">
                  <c:v>978.03600000000006</c:v>
                </c:pt>
                <c:pt idx="15">
                  <c:v>927.63900000000001</c:v>
                </c:pt>
                <c:pt idx="16">
                  <c:v>856.17000000000007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0B-44AA-A6A3-F706C7DEE37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lux_370_420_cct_6000_7000!$I$23:$Y$23</c:f>
              <c:numCache>
                <c:formatCode>General</c:formatCode>
                <c:ptCount val="17"/>
                <c:pt idx="0">
                  <c:v>858.20399999999995</c:v>
                </c:pt>
                <c:pt idx="1">
                  <c:v>925.02599999999995</c:v>
                </c:pt>
                <c:pt idx="2">
                  <c:v>976.68399999999997</c:v>
                </c:pt>
                <c:pt idx="3">
                  <c:v>1014.703</c:v>
                </c:pt>
                <c:pt idx="4">
                  <c:v>1033.1010000000001</c:v>
                </c:pt>
                <c:pt idx="5">
                  <c:v>1043.7</c:v>
                </c:pt>
                <c:pt idx="6">
                  <c:v>1041.5900000000001</c:v>
                </c:pt>
                <c:pt idx="7">
                  <c:v>1025.328</c:v>
                </c:pt>
                <c:pt idx="8">
                  <c:v>1022.021</c:v>
                </c:pt>
                <c:pt idx="9">
                  <c:v>1033.2</c:v>
                </c:pt>
                <c:pt idx="10">
                  <c:v>1047.9119999999998</c:v>
                </c:pt>
                <c:pt idx="11">
                  <c:v>1048.1940000000002</c:v>
                </c:pt>
                <c:pt idx="12">
                  <c:v>1035.1769999999999</c:v>
                </c:pt>
                <c:pt idx="13">
                  <c:v>1015.056</c:v>
                </c:pt>
                <c:pt idx="14">
                  <c:v>970.16000000000008</c:v>
                </c:pt>
                <c:pt idx="15">
                  <c:v>923.21399999999994</c:v>
                </c:pt>
                <c:pt idx="16">
                  <c:v>865.2600000000001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0B-44AA-A6A3-F706C7DEE37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lux_370_420_cct_6000_7000!$I$24:$Y$24</c:f>
              <c:numCache>
                <c:formatCode>General</c:formatCode>
                <c:ptCount val="17"/>
                <c:pt idx="0">
                  <c:v>859.94700000000012</c:v>
                </c:pt>
                <c:pt idx="1">
                  <c:v>920.75900000000013</c:v>
                </c:pt>
                <c:pt idx="2">
                  <c:v>962.72199999999998</c:v>
                </c:pt>
                <c:pt idx="3">
                  <c:v>1006.848</c:v>
                </c:pt>
                <c:pt idx="4">
                  <c:v>1033.68</c:v>
                </c:pt>
                <c:pt idx="5">
                  <c:v>1039.3920000000001</c:v>
                </c:pt>
                <c:pt idx="6">
                  <c:v>1040.7359999999999</c:v>
                </c:pt>
                <c:pt idx="7">
                  <c:v>1036.7640000000001</c:v>
                </c:pt>
                <c:pt idx="8">
                  <c:v>1041.345</c:v>
                </c:pt>
                <c:pt idx="9">
                  <c:v>1040.48</c:v>
                </c:pt>
                <c:pt idx="10">
                  <c:v>1046.01</c:v>
                </c:pt>
                <c:pt idx="11">
                  <c:v>1038.78</c:v>
                </c:pt>
                <c:pt idx="12">
                  <c:v>1032.6420000000001</c:v>
                </c:pt>
                <c:pt idx="13">
                  <c:v>1013.5360000000001</c:v>
                </c:pt>
                <c:pt idx="14">
                  <c:v>965.80600000000004</c:v>
                </c:pt>
                <c:pt idx="15">
                  <c:v>919.44800000000009</c:v>
                </c:pt>
                <c:pt idx="16">
                  <c:v>853.77599999999995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0B-44AA-A6A3-F706C7DEE37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lux_370_420_cct_6000_7000!$I$25:$Y$25</c:f>
              <c:numCache>
                <c:formatCode>General</c:formatCode>
                <c:ptCount val="17"/>
                <c:pt idx="0">
                  <c:v>850.29700000000003</c:v>
                </c:pt>
                <c:pt idx="1">
                  <c:v>896.93700000000001</c:v>
                </c:pt>
                <c:pt idx="2">
                  <c:v>945.64599999999996</c:v>
                </c:pt>
                <c:pt idx="3">
                  <c:v>992.64</c:v>
                </c:pt>
                <c:pt idx="4">
                  <c:v>1019.025</c:v>
                </c:pt>
                <c:pt idx="5">
                  <c:v>1032.95</c:v>
                </c:pt>
                <c:pt idx="6">
                  <c:v>1030.82</c:v>
                </c:pt>
                <c:pt idx="7">
                  <c:v>1038.0420000000001</c:v>
                </c:pt>
                <c:pt idx="8">
                  <c:v>1039.0519999999999</c:v>
                </c:pt>
                <c:pt idx="9">
                  <c:v>1037.1959999999999</c:v>
                </c:pt>
                <c:pt idx="10">
                  <c:v>1030.82</c:v>
                </c:pt>
                <c:pt idx="11">
                  <c:v>1031.49</c:v>
                </c:pt>
                <c:pt idx="12">
                  <c:v>1018.378</c:v>
                </c:pt>
                <c:pt idx="13">
                  <c:v>986.07600000000002</c:v>
                </c:pt>
                <c:pt idx="14">
                  <c:v>948.53200000000004</c:v>
                </c:pt>
                <c:pt idx="15">
                  <c:v>898.1640000000001</c:v>
                </c:pt>
                <c:pt idx="16">
                  <c:v>849.95400000000006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0B-44AA-A6A3-F706C7DEE37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lux_370_420_cct_6000_7000!$I$26:$Y$26</c:f>
              <c:numCache>
                <c:formatCode>General</c:formatCode>
                <c:ptCount val="17"/>
                <c:pt idx="0">
                  <c:v>845.75600000000009</c:v>
                </c:pt>
                <c:pt idx="1">
                  <c:v>876.45600000000002</c:v>
                </c:pt>
                <c:pt idx="2">
                  <c:v>913.76700000000005</c:v>
                </c:pt>
                <c:pt idx="3">
                  <c:v>964.04599999999994</c:v>
                </c:pt>
                <c:pt idx="4">
                  <c:v>988.42500000000007</c:v>
                </c:pt>
                <c:pt idx="5">
                  <c:v>1018.378</c:v>
                </c:pt>
                <c:pt idx="6">
                  <c:v>1024.92</c:v>
                </c:pt>
                <c:pt idx="7">
                  <c:v>1028.508</c:v>
                </c:pt>
                <c:pt idx="8">
                  <c:v>1024.9759999999999</c:v>
                </c:pt>
                <c:pt idx="9">
                  <c:v>1027.7670000000001</c:v>
                </c:pt>
                <c:pt idx="10">
                  <c:v>1024.92</c:v>
                </c:pt>
                <c:pt idx="11">
                  <c:v>1008.9340000000001</c:v>
                </c:pt>
                <c:pt idx="12">
                  <c:v>988.42500000000007</c:v>
                </c:pt>
                <c:pt idx="13">
                  <c:v>953.68799999999999</c:v>
                </c:pt>
                <c:pt idx="14">
                  <c:v>913.32999999999993</c:v>
                </c:pt>
                <c:pt idx="15">
                  <c:v>875.70400000000006</c:v>
                </c:pt>
                <c:pt idx="16">
                  <c:v>842.90299999999991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0B-44AA-A6A3-F706C7DEE37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lux_370_420_cct_6000_7000!$I$27:$Y$27</c:f>
              <c:numCache>
                <c:formatCode>General</c:formatCode>
                <c:ptCount val="17"/>
                <c:pt idx="0">
                  <c:v>837.49800000000005</c:v>
                </c:pt>
                <c:pt idx="1">
                  <c:v>870.19099999999992</c:v>
                </c:pt>
                <c:pt idx="2">
                  <c:v>886.60799999999995</c:v>
                </c:pt>
                <c:pt idx="3">
                  <c:v>924.22400000000005</c:v>
                </c:pt>
                <c:pt idx="4">
                  <c:v>954.19100000000003</c:v>
                </c:pt>
                <c:pt idx="5">
                  <c:v>982.72199999999998</c:v>
                </c:pt>
                <c:pt idx="6">
                  <c:v>998.56799999999998</c:v>
                </c:pt>
                <c:pt idx="7">
                  <c:v>1011.876</c:v>
                </c:pt>
                <c:pt idx="8">
                  <c:v>1007.011</c:v>
                </c:pt>
                <c:pt idx="9">
                  <c:v>1015.056</c:v>
                </c:pt>
                <c:pt idx="10">
                  <c:v>1005.201</c:v>
                </c:pt>
                <c:pt idx="11">
                  <c:v>988.87099999999998</c:v>
                </c:pt>
                <c:pt idx="12">
                  <c:v>957.20900000000006</c:v>
                </c:pt>
                <c:pt idx="13">
                  <c:v>923.32799999999997</c:v>
                </c:pt>
                <c:pt idx="14">
                  <c:v>881.49899999999991</c:v>
                </c:pt>
                <c:pt idx="15">
                  <c:v>861.95899999999995</c:v>
                </c:pt>
                <c:pt idx="16">
                  <c:v>821.202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40B-44AA-A6A3-F706C7DEE37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lux_370_420_cct_6000_7000!$I$28:$Y$28</c:f>
              <c:numCache>
                <c:formatCode>General</c:formatCode>
                <c:ptCount val="17"/>
                <c:pt idx="0">
                  <c:v>820.71900000000005</c:v>
                </c:pt>
                <c:pt idx="1">
                  <c:v>836.303</c:v>
                </c:pt>
                <c:pt idx="2">
                  <c:v>854.20499999999993</c:v>
                </c:pt>
                <c:pt idx="3">
                  <c:v>884.58600000000001</c:v>
                </c:pt>
                <c:pt idx="4">
                  <c:v>909.48</c:v>
                </c:pt>
                <c:pt idx="5">
                  <c:v>932.95</c:v>
                </c:pt>
                <c:pt idx="6">
                  <c:v>954.17399999999998</c:v>
                </c:pt>
                <c:pt idx="7">
                  <c:v>956.02499999999998</c:v>
                </c:pt>
                <c:pt idx="8">
                  <c:v>970.55200000000002</c:v>
                </c:pt>
                <c:pt idx="9">
                  <c:v>961.27499999999998</c:v>
                </c:pt>
                <c:pt idx="10">
                  <c:v>964.82100000000003</c:v>
                </c:pt>
                <c:pt idx="11">
                  <c:v>942.34999999999991</c:v>
                </c:pt>
                <c:pt idx="12">
                  <c:v>914.62800000000004</c:v>
                </c:pt>
                <c:pt idx="13">
                  <c:v>883.80799999999988</c:v>
                </c:pt>
                <c:pt idx="14">
                  <c:v>847.38499999999999</c:v>
                </c:pt>
                <c:pt idx="15">
                  <c:v>815.971</c:v>
                </c:pt>
                <c:pt idx="16">
                  <c:v>785.74899999999991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40B-44AA-A6A3-F706C7DEE37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lux_370_420_cct_6000_7000!$I$30:$Y$30</c:f>
              <c:numCache>
                <c:formatCode>General</c:formatCode>
                <c:ptCount val="17"/>
                <c:pt idx="0">
                  <c:v>769.75600000000009</c:v>
                </c:pt>
                <c:pt idx="1">
                  <c:v>828.03599999999994</c:v>
                </c:pt>
                <c:pt idx="2">
                  <c:v>865.17599999999993</c:v>
                </c:pt>
                <c:pt idx="3">
                  <c:v>894.04800000000012</c:v>
                </c:pt>
                <c:pt idx="4">
                  <c:v>916.39799999999991</c:v>
                </c:pt>
                <c:pt idx="5">
                  <c:v>944.26499999999999</c:v>
                </c:pt>
                <c:pt idx="6">
                  <c:v>961.40800000000002</c:v>
                </c:pt>
                <c:pt idx="7">
                  <c:v>980.61599999999999</c:v>
                </c:pt>
                <c:pt idx="8">
                  <c:v>975.024</c:v>
                </c:pt>
                <c:pt idx="9">
                  <c:v>980.61599999999999</c:v>
                </c:pt>
                <c:pt idx="10">
                  <c:v>961.92600000000004</c:v>
                </c:pt>
                <c:pt idx="11">
                  <c:v>942.81600000000003</c:v>
                </c:pt>
                <c:pt idx="12">
                  <c:v>913.31100000000004</c:v>
                </c:pt>
                <c:pt idx="13">
                  <c:v>891.23400000000004</c:v>
                </c:pt>
                <c:pt idx="14">
                  <c:v>865.53</c:v>
                </c:pt>
                <c:pt idx="15">
                  <c:v>824.67</c:v>
                </c:pt>
                <c:pt idx="16">
                  <c:v>761.1099999999999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6-4959-92A0-C1536758168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lux_370_420_cct_6000_7000!$I$31:$Y$31</c:f>
              <c:numCache>
                <c:formatCode>General</c:formatCode>
                <c:ptCount val="17"/>
                <c:pt idx="0">
                  <c:v>826.149</c:v>
                </c:pt>
                <c:pt idx="1">
                  <c:v>862.30199999999991</c:v>
                </c:pt>
                <c:pt idx="2">
                  <c:v>890.32600000000002</c:v>
                </c:pt>
                <c:pt idx="3">
                  <c:v>930.00900000000001</c:v>
                </c:pt>
                <c:pt idx="4">
                  <c:v>975.572</c:v>
                </c:pt>
                <c:pt idx="5">
                  <c:v>997.15200000000004</c:v>
                </c:pt>
                <c:pt idx="6">
                  <c:v>1024.152</c:v>
                </c:pt>
                <c:pt idx="7">
                  <c:v>1028.164</c:v>
                </c:pt>
                <c:pt idx="8">
                  <c:v>1033.6990000000001</c:v>
                </c:pt>
                <c:pt idx="9">
                  <c:v>1027.5229999999999</c:v>
                </c:pt>
                <c:pt idx="10">
                  <c:v>1024.152</c:v>
                </c:pt>
                <c:pt idx="11">
                  <c:v>997.15200000000004</c:v>
                </c:pt>
                <c:pt idx="12">
                  <c:v>976.59999999999991</c:v>
                </c:pt>
                <c:pt idx="13">
                  <c:v>930.46199999999988</c:v>
                </c:pt>
                <c:pt idx="14">
                  <c:v>892.71399999999994</c:v>
                </c:pt>
                <c:pt idx="15">
                  <c:v>860.93</c:v>
                </c:pt>
                <c:pt idx="16">
                  <c:v>814.50900000000001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06-4959-92A0-C1536758168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lux_370_420_cct_6000_7000!$I$32:$Y$32</c:f>
              <c:numCache>
                <c:formatCode>General</c:formatCode>
                <c:ptCount val="17"/>
                <c:pt idx="0">
                  <c:v>841.3649999999999</c:v>
                </c:pt>
                <c:pt idx="1">
                  <c:v>887.76799999999992</c:v>
                </c:pt>
                <c:pt idx="2">
                  <c:v>920.24399999999991</c:v>
                </c:pt>
                <c:pt idx="3">
                  <c:v>964.04599999999994</c:v>
                </c:pt>
                <c:pt idx="4">
                  <c:v>1002.225</c:v>
                </c:pt>
                <c:pt idx="5">
                  <c:v>1035.0049999999999</c:v>
                </c:pt>
                <c:pt idx="6">
                  <c:v>1044.3</c:v>
                </c:pt>
                <c:pt idx="7">
                  <c:v>1051.7759999999998</c:v>
                </c:pt>
                <c:pt idx="8">
                  <c:v>1058.2809999999999</c:v>
                </c:pt>
                <c:pt idx="9">
                  <c:v>1054.0170000000001</c:v>
                </c:pt>
                <c:pt idx="10">
                  <c:v>1050.672</c:v>
                </c:pt>
                <c:pt idx="11">
                  <c:v>1040.8820000000001</c:v>
                </c:pt>
                <c:pt idx="12">
                  <c:v>1006.873</c:v>
                </c:pt>
                <c:pt idx="13">
                  <c:v>967.60900000000004</c:v>
                </c:pt>
                <c:pt idx="14">
                  <c:v>922.01199999999994</c:v>
                </c:pt>
                <c:pt idx="15">
                  <c:v>885.476</c:v>
                </c:pt>
                <c:pt idx="16">
                  <c:v>851.428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06-4959-92A0-C1536758168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lux_370_420_cct_6000_7000!$I$33:$Y$33</c:f>
              <c:numCache>
                <c:formatCode>General</c:formatCode>
                <c:ptCount val="17"/>
                <c:pt idx="0">
                  <c:v>854.41300000000001</c:v>
                </c:pt>
                <c:pt idx="1">
                  <c:v>898.57299999999998</c:v>
                </c:pt>
                <c:pt idx="2">
                  <c:v>947.08900000000006</c:v>
                </c:pt>
                <c:pt idx="3">
                  <c:v>994.89599999999996</c:v>
                </c:pt>
                <c:pt idx="4">
                  <c:v>1024.201</c:v>
                </c:pt>
                <c:pt idx="5">
                  <c:v>1049.58</c:v>
                </c:pt>
                <c:pt idx="6">
                  <c:v>1052.2239999999999</c:v>
                </c:pt>
                <c:pt idx="7">
                  <c:v>1062.4440000000002</c:v>
                </c:pt>
                <c:pt idx="8">
                  <c:v>1066.7720000000002</c:v>
                </c:pt>
                <c:pt idx="9">
                  <c:v>1066.704</c:v>
                </c:pt>
                <c:pt idx="10">
                  <c:v>1061.848</c:v>
                </c:pt>
                <c:pt idx="11">
                  <c:v>1051.2</c:v>
                </c:pt>
                <c:pt idx="12">
                  <c:v>1031.318</c:v>
                </c:pt>
                <c:pt idx="13">
                  <c:v>999.40800000000002</c:v>
                </c:pt>
                <c:pt idx="14">
                  <c:v>947.56999999999994</c:v>
                </c:pt>
                <c:pt idx="15">
                  <c:v>893.25600000000009</c:v>
                </c:pt>
                <c:pt idx="16">
                  <c:v>859.94999999999993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06-4959-92A0-C1536758168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lux_370_420_cct_6000_7000!$I$34:$Y$34</c:f>
              <c:numCache>
                <c:formatCode>General</c:formatCode>
                <c:ptCount val="17"/>
                <c:pt idx="0">
                  <c:v>855.59100000000012</c:v>
                </c:pt>
                <c:pt idx="1">
                  <c:v>916.82599999999991</c:v>
                </c:pt>
                <c:pt idx="2">
                  <c:v>973.44</c:v>
                </c:pt>
                <c:pt idx="3">
                  <c:v>1011.712</c:v>
                </c:pt>
                <c:pt idx="4">
                  <c:v>1042.1759999999999</c:v>
                </c:pt>
                <c:pt idx="5">
                  <c:v>1050.6200000000001</c:v>
                </c:pt>
                <c:pt idx="6">
                  <c:v>1053.0419999999999</c:v>
                </c:pt>
                <c:pt idx="7">
                  <c:v>1060.29</c:v>
                </c:pt>
                <c:pt idx="8">
                  <c:v>1059.414</c:v>
                </c:pt>
                <c:pt idx="9">
                  <c:v>1063.095</c:v>
                </c:pt>
                <c:pt idx="10">
                  <c:v>1057.4370000000001</c:v>
                </c:pt>
                <c:pt idx="11">
                  <c:v>1054.6299999999999</c:v>
                </c:pt>
                <c:pt idx="12">
                  <c:v>1036.854</c:v>
                </c:pt>
                <c:pt idx="13">
                  <c:v>1014.144</c:v>
                </c:pt>
                <c:pt idx="14">
                  <c:v>965.29199999999992</c:v>
                </c:pt>
                <c:pt idx="15">
                  <c:v>917.7</c:v>
                </c:pt>
                <c:pt idx="16">
                  <c:v>850.87199999999996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06-4959-92A0-C1536758168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lux_370_420_cct_6000_7000!$I$35:$Y$35</c:f>
              <c:numCache>
                <c:formatCode>General</c:formatCode>
                <c:ptCount val="17"/>
                <c:pt idx="0">
                  <c:v>872.1</c:v>
                </c:pt>
                <c:pt idx="1">
                  <c:v>923.66700000000003</c:v>
                </c:pt>
                <c:pt idx="2">
                  <c:v>968.01600000000008</c:v>
                </c:pt>
                <c:pt idx="3">
                  <c:v>1013.148</c:v>
                </c:pt>
                <c:pt idx="4">
                  <c:v>1043.559</c:v>
                </c:pt>
                <c:pt idx="5">
                  <c:v>1049.8860000000002</c:v>
                </c:pt>
                <c:pt idx="6">
                  <c:v>1050.6990000000001</c:v>
                </c:pt>
                <c:pt idx="7">
                  <c:v>1040.088</c:v>
                </c:pt>
                <c:pt idx="8">
                  <c:v>1033.0319999999999</c:v>
                </c:pt>
                <c:pt idx="9">
                  <c:v>1042.056</c:v>
                </c:pt>
                <c:pt idx="10">
                  <c:v>1053.4859999999999</c:v>
                </c:pt>
                <c:pt idx="11">
                  <c:v>1049.8860000000002</c:v>
                </c:pt>
                <c:pt idx="12">
                  <c:v>1035.1769999999999</c:v>
                </c:pt>
                <c:pt idx="13">
                  <c:v>1014.42</c:v>
                </c:pt>
                <c:pt idx="14">
                  <c:v>971.23200000000008</c:v>
                </c:pt>
                <c:pt idx="15">
                  <c:v>925.93200000000002</c:v>
                </c:pt>
                <c:pt idx="16">
                  <c:v>869.43999999999994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06-4959-92A0-C153675816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lux_370_420_cct_6000_7000!$I$36:$Y$36</c:f>
              <c:numCache>
                <c:formatCode>General</c:formatCode>
                <c:ptCount val="17"/>
                <c:pt idx="0">
                  <c:v>861.46199999999999</c:v>
                </c:pt>
                <c:pt idx="1">
                  <c:v>927.63900000000001</c:v>
                </c:pt>
                <c:pt idx="2">
                  <c:v>974.75400000000002</c:v>
                </c:pt>
                <c:pt idx="3">
                  <c:v>1011.908</c:v>
                </c:pt>
                <c:pt idx="4">
                  <c:v>1033.154</c:v>
                </c:pt>
                <c:pt idx="5">
                  <c:v>1043.367</c:v>
                </c:pt>
                <c:pt idx="6">
                  <c:v>1039.654</c:v>
                </c:pt>
                <c:pt idx="7">
                  <c:v>1025.0240000000001</c:v>
                </c:pt>
                <c:pt idx="8">
                  <c:v>1026.069</c:v>
                </c:pt>
                <c:pt idx="9">
                  <c:v>1029.028</c:v>
                </c:pt>
                <c:pt idx="10">
                  <c:v>1046.2760000000001</c:v>
                </c:pt>
                <c:pt idx="11">
                  <c:v>1041.2550000000001</c:v>
                </c:pt>
                <c:pt idx="12">
                  <c:v>1030.24</c:v>
                </c:pt>
                <c:pt idx="13">
                  <c:v>1015.1429999999999</c:v>
                </c:pt>
                <c:pt idx="14">
                  <c:v>968.01200000000006</c:v>
                </c:pt>
                <c:pt idx="15">
                  <c:v>926.26199999999994</c:v>
                </c:pt>
                <c:pt idx="16">
                  <c:v>854.28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06-4959-92A0-C1536758168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lux_370_420_cct_6000_7000!$I$37:$Y$37</c:f>
              <c:numCache>
                <c:formatCode>General</c:formatCode>
                <c:ptCount val="17"/>
                <c:pt idx="0">
                  <c:v>857.46</c:v>
                </c:pt>
                <c:pt idx="1">
                  <c:v>924.57299999999998</c:v>
                </c:pt>
                <c:pt idx="2">
                  <c:v>965.87200000000007</c:v>
                </c:pt>
                <c:pt idx="3">
                  <c:v>1006.788</c:v>
                </c:pt>
                <c:pt idx="4">
                  <c:v>1024.8030000000001</c:v>
                </c:pt>
                <c:pt idx="5">
                  <c:v>1037.1959999999999</c:v>
                </c:pt>
                <c:pt idx="6">
                  <c:v>1035.835</c:v>
                </c:pt>
                <c:pt idx="7">
                  <c:v>1025.328</c:v>
                </c:pt>
                <c:pt idx="8">
                  <c:v>1021.02</c:v>
                </c:pt>
                <c:pt idx="9">
                  <c:v>1032.2159999999999</c:v>
                </c:pt>
                <c:pt idx="10">
                  <c:v>1041.144</c:v>
                </c:pt>
                <c:pt idx="11">
                  <c:v>1041.1579999999999</c:v>
                </c:pt>
                <c:pt idx="12">
                  <c:v>1034.4359999999999</c:v>
                </c:pt>
                <c:pt idx="13">
                  <c:v>1004.22</c:v>
                </c:pt>
                <c:pt idx="14">
                  <c:v>969.08800000000008</c:v>
                </c:pt>
                <c:pt idx="15">
                  <c:v>911.23199999999997</c:v>
                </c:pt>
                <c:pt idx="16">
                  <c:v>849.72799999999995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06-4959-92A0-C1536758168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lux_370_420_cct_6000_7000!$I$38:$Y$38</c:f>
              <c:numCache>
                <c:formatCode>General</c:formatCode>
                <c:ptCount val="17"/>
                <c:pt idx="0">
                  <c:v>859.221</c:v>
                </c:pt>
                <c:pt idx="1">
                  <c:v>919.88499999999999</c:v>
                </c:pt>
                <c:pt idx="2">
                  <c:v>962.20800000000008</c:v>
                </c:pt>
                <c:pt idx="3">
                  <c:v>998.56799999999998</c:v>
                </c:pt>
                <c:pt idx="4">
                  <c:v>1024.2180000000001</c:v>
                </c:pt>
                <c:pt idx="5">
                  <c:v>1031.616</c:v>
                </c:pt>
                <c:pt idx="6">
                  <c:v>1034.816</c:v>
                </c:pt>
                <c:pt idx="7">
                  <c:v>1029.145</c:v>
                </c:pt>
                <c:pt idx="8">
                  <c:v>1034.924</c:v>
                </c:pt>
                <c:pt idx="9">
                  <c:v>1032.837</c:v>
                </c:pt>
                <c:pt idx="10">
                  <c:v>1039.1860000000001</c:v>
                </c:pt>
                <c:pt idx="11">
                  <c:v>1030.673</c:v>
                </c:pt>
                <c:pt idx="12">
                  <c:v>1023.893</c:v>
                </c:pt>
                <c:pt idx="13">
                  <c:v>1003.3919999999999</c:v>
                </c:pt>
                <c:pt idx="14">
                  <c:v>954.375</c:v>
                </c:pt>
                <c:pt idx="15">
                  <c:v>905.1</c:v>
                </c:pt>
                <c:pt idx="16">
                  <c:v>855.92500000000007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06-4959-92A0-C1536758168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lux_370_420_cct_6000_7000!$I$39:$Y$39</c:f>
              <c:numCache>
                <c:formatCode>General</c:formatCode>
                <c:ptCount val="17"/>
                <c:pt idx="0">
                  <c:v>829.46</c:v>
                </c:pt>
                <c:pt idx="1">
                  <c:v>895.70999999999992</c:v>
                </c:pt>
                <c:pt idx="2">
                  <c:v>934.86400000000003</c:v>
                </c:pt>
                <c:pt idx="3">
                  <c:v>983.28099999999995</c:v>
                </c:pt>
                <c:pt idx="4">
                  <c:v>1008.9340000000001</c:v>
                </c:pt>
                <c:pt idx="5">
                  <c:v>1024.46</c:v>
                </c:pt>
                <c:pt idx="6">
                  <c:v>1030.82</c:v>
                </c:pt>
                <c:pt idx="7">
                  <c:v>1030.2250000000001</c:v>
                </c:pt>
                <c:pt idx="8">
                  <c:v>1030.114</c:v>
                </c:pt>
                <c:pt idx="9">
                  <c:v>1029.384</c:v>
                </c:pt>
                <c:pt idx="10">
                  <c:v>1022.7629999999999</c:v>
                </c:pt>
                <c:pt idx="11">
                  <c:v>1014.509</c:v>
                </c:pt>
                <c:pt idx="12">
                  <c:v>999.79200000000003</c:v>
                </c:pt>
                <c:pt idx="13">
                  <c:v>973.28</c:v>
                </c:pt>
                <c:pt idx="14">
                  <c:v>936.76800000000003</c:v>
                </c:pt>
                <c:pt idx="15">
                  <c:v>885.16399999999999</c:v>
                </c:pt>
                <c:pt idx="16">
                  <c:v>852.15000000000009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06-4959-92A0-C1536758168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lux_370_420_cct_6000_7000!$I$40:$Y$40</c:f>
              <c:numCache>
                <c:formatCode>General</c:formatCode>
                <c:ptCount val="17"/>
                <c:pt idx="0">
                  <c:v>844.80500000000006</c:v>
                </c:pt>
                <c:pt idx="1">
                  <c:v>875.70400000000006</c:v>
                </c:pt>
                <c:pt idx="2">
                  <c:v>912.89300000000003</c:v>
                </c:pt>
                <c:pt idx="3">
                  <c:v>952.17899999999997</c:v>
                </c:pt>
                <c:pt idx="4">
                  <c:v>979.26</c:v>
                </c:pt>
                <c:pt idx="5">
                  <c:v>1008.293</c:v>
                </c:pt>
                <c:pt idx="6">
                  <c:v>1016.923</c:v>
                </c:pt>
                <c:pt idx="7">
                  <c:v>1018.7099999999999</c:v>
                </c:pt>
                <c:pt idx="8">
                  <c:v>1015.9200000000001</c:v>
                </c:pt>
                <c:pt idx="9">
                  <c:v>1017.2399999999999</c:v>
                </c:pt>
                <c:pt idx="10">
                  <c:v>1016.226</c:v>
                </c:pt>
                <c:pt idx="11">
                  <c:v>999.79200000000003</c:v>
                </c:pt>
                <c:pt idx="12">
                  <c:v>978.12</c:v>
                </c:pt>
                <c:pt idx="13">
                  <c:v>942.21600000000001</c:v>
                </c:pt>
                <c:pt idx="14">
                  <c:v>899.06599999999992</c:v>
                </c:pt>
                <c:pt idx="15">
                  <c:v>859.88</c:v>
                </c:pt>
                <c:pt idx="16">
                  <c:v>845.66899999999998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06-4959-92A0-C1536758168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lux_370_420_cct_6000_7000!$I$41:$Y$41</c:f>
              <c:numCache>
                <c:formatCode>General</c:formatCode>
                <c:ptCount val="17"/>
                <c:pt idx="0">
                  <c:v>841.7890000000001</c:v>
                </c:pt>
                <c:pt idx="1">
                  <c:v>853.95799999999997</c:v>
                </c:pt>
                <c:pt idx="2">
                  <c:v>885.822</c:v>
                </c:pt>
                <c:pt idx="3">
                  <c:v>911.40399999999988</c:v>
                </c:pt>
                <c:pt idx="4">
                  <c:v>944.70600000000002</c:v>
                </c:pt>
                <c:pt idx="5">
                  <c:v>972.17399999999998</c:v>
                </c:pt>
                <c:pt idx="6">
                  <c:v>988.03499999999997</c:v>
                </c:pt>
                <c:pt idx="7">
                  <c:v>1001.7</c:v>
                </c:pt>
                <c:pt idx="8">
                  <c:v>997.88400000000001</c:v>
                </c:pt>
                <c:pt idx="9">
                  <c:v>1004.22</c:v>
                </c:pt>
                <c:pt idx="10">
                  <c:v>994.005</c:v>
                </c:pt>
                <c:pt idx="11">
                  <c:v>977.15099999999995</c:v>
                </c:pt>
                <c:pt idx="12">
                  <c:v>946.69799999999998</c:v>
                </c:pt>
                <c:pt idx="13">
                  <c:v>909.63599999999997</c:v>
                </c:pt>
                <c:pt idx="14">
                  <c:v>866.49299999999994</c:v>
                </c:pt>
                <c:pt idx="15">
                  <c:v>844.85900000000004</c:v>
                </c:pt>
                <c:pt idx="16">
                  <c:v>824.79499999999996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06-4959-92A0-C1536758168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lux_370_420_cct_6000_7000!$I$42:$Y$42</c:f>
              <c:numCache>
                <c:formatCode>General</c:formatCode>
                <c:ptCount val="17"/>
                <c:pt idx="0">
                  <c:v>825.46599999999989</c:v>
                </c:pt>
                <c:pt idx="1">
                  <c:v>837.90000000000009</c:v>
                </c:pt>
                <c:pt idx="2">
                  <c:v>853.1819999999999</c:v>
                </c:pt>
                <c:pt idx="3">
                  <c:v>870.17599999999993</c:v>
                </c:pt>
                <c:pt idx="4">
                  <c:v>913.2890000000001</c:v>
                </c:pt>
                <c:pt idx="5">
                  <c:v>920.57600000000002</c:v>
                </c:pt>
                <c:pt idx="6">
                  <c:v>942.88199999999995</c:v>
                </c:pt>
                <c:pt idx="7">
                  <c:v>946.4</c:v>
                </c:pt>
                <c:pt idx="8">
                  <c:v>960.99899999999991</c:v>
                </c:pt>
                <c:pt idx="9">
                  <c:v>951.07999999999993</c:v>
                </c:pt>
                <c:pt idx="10">
                  <c:v>952.40100000000007</c:v>
                </c:pt>
                <c:pt idx="11">
                  <c:v>929.39200000000005</c:v>
                </c:pt>
                <c:pt idx="12">
                  <c:v>902.69600000000003</c:v>
                </c:pt>
                <c:pt idx="13">
                  <c:v>869.02700000000004</c:v>
                </c:pt>
                <c:pt idx="14">
                  <c:v>850.64</c:v>
                </c:pt>
                <c:pt idx="15">
                  <c:v>816.9</c:v>
                </c:pt>
                <c:pt idx="16">
                  <c:v>769.56000000000006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06-4959-92A0-C1536758168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lux_370_420_cct_6000_7000!$I$44:$Y$44</c:f>
              <c:numCache>
                <c:formatCode>General</c:formatCode>
                <c:ptCount val="17"/>
                <c:pt idx="0">
                  <c:v>742.26499999999999</c:v>
                </c:pt>
                <c:pt idx="1">
                  <c:v>804.24599999999998</c:v>
                </c:pt>
                <c:pt idx="2">
                  <c:v>824.38400000000001</c:v>
                </c:pt>
                <c:pt idx="3">
                  <c:v>874.85099999999989</c:v>
                </c:pt>
                <c:pt idx="4">
                  <c:v>904.255</c:v>
                </c:pt>
                <c:pt idx="5">
                  <c:v>901.053</c:v>
                </c:pt>
                <c:pt idx="6">
                  <c:v>940.35400000000004</c:v>
                </c:pt>
                <c:pt idx="7">
                  <c:v>950.58600000000001</c:v>
                </c:pt>
                <c:pt idx="8">
                  <c:v>959.71100000000001</c:v>
                </c:pt>
                <c:pt idx="9">
                  <c:v>951.67800000000011</c:v>
                </c:pt>
                <c:pt idx="10">
                  <c:v>941.4</c:v>
                </c:pt>
                <c:pt idx="11">
                  <c:v>900.57599999999991</c:v>
                </c:pt>
                <c:pt idx="12">
                  <c:v>902.45099999999991</c:v>
                </c:pt>
                <c:pt idx="13">
                  <c:v>842.37199999999996</c:v>
                </c:pt>
                <c:pt idx="14">
                  <c:v>827.2</c:v>
                </c:pt>
                <c:pt idx="15">
                  <c:v>803.00199999999995</c:v>
                </c:pt>
                <c:pt idx="16">
                  <c:v>735.64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23-4559-B8A0-56E6BCDB2048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lux_370_420_cct_6000_7000!$I$45:$Y$45</c:f>
              <c:numCache>
                <c:formatCode>General</c:formatCode>
                <c:ptCount val="17"/>
                <c:pt idx="0">
                  <c:v>807.19200000000001</c:v>
                </c:pt>
                <c:pt idx="1">
                  <c:v>824.87900000000002</c:v>
                </c:pt>
                <c:pt idx="2">
                  <c:v>860.07799999999997</c:v>
                </c:pt>
                <c:pt idx="3">
                  <c:v>904.54</c:v>
                </c:pt>
                <c:pt idx="4">
                  <c:v>942.08</c:v>
                </c:pt>
                <c:pt idx="5">
                  <c:v>974.68799999999999</c:v>
                </c:pt>
                <c:pt idx="6">
                  <c:v>994.68000000000006</c:v>
                </c:pt>
                <c:pt idx="7">
                  <c:v>994.99400000000003</c:v>
                </c:pt>
                <c:pt idx="8">
                  <c:v>1001.16</c:v>
                </c:pt>
                <c:pt idx="9">
                  <c:v>995.63099999999997</c:v>
                </c:pt>
                <c:pt idx="10">
                  <c:v>996.52200000000005</c:v>
                </c:pt>
                <c:pt idx="11">
                  <c:v>975.82399999999996</c:v>
                </c:pt>
                <c:pt idx="12">
                  <c:v>944.64</c:v>
                </c:pt>
                <c:pt idx="13">
                  <c:v>907.72500000000002</c:v>
                </c:pt>
                <c:pt idx="14">
                  <c:v>864.85400000000004</c:v>
                </c:pt>
                <c:pt idx="15">
                  <c:v>826.24300000000005</c:v>
                </c:pt>
                <c:pt idx="16">
                  <c:v>796.83200000000011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23-4559-B8A0-56E6BCDB2048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lux_370_420_cct_6000_7000!$I$46:$Y$46</c:f>
              <c:numCache>
                <c:formatCode>General</c:formatCode>
                <c:ptCount val="17"/>
                <c:pt idx="0">
                  <c:v>809.178</c:v>
                </c:pt>
                <c:pt idx="1">
                  <c:v>843.375</c:v>
                </c:pt>
                <c:pt idx="2">
                  <c:v>895.74599999999987</c:v>
                </c:pt>
                <c:pt idx="3">
                  <c:v>942.59199999999998</c:v>
                </c:pt>
                <c:pt idx="4">
                  <c:v>973.24</c:v>
                </c:pt>
                <c:pt idx="5">
                  <c:v>997.92000000000007</c:v>
                </c:pt>
                <c:pt idx="6">
                  <c:v>1013.085</c:v>
                </c:pt>
                <c:pt idx="7">
                  <c:v>1032</c:v>
                </c:pt>
                <c:pt idx="8">
                  <c:v>1036.3200000000002</c:v>
                </c:pt>
                <c:pt idx="9">
                  <c:v>1035.75</c:v>
                </c:pt>
                <c:pt idx="10">
                  <c:v>1020.135</c:v>
                </c:pt>
                <c:pt idx="11">
                  <c:v>1005.048</c:v>
                </c:pt>
                <c:pt idx="12">
                  <c:v>980.19999999999993</c:v>
                </c:pt>
                <c:pt idx="13">
                  <c:v>950.27200000000005</c:v>
                </c:pt>
                <c:pt idx="14">
                  <c:v>900.61899999999991</c:v>
                </c:pt>
                <c:pt idx="15">
                  <c:v>844.125</c:v>
                </c:pt>
                <c:pt idx="16">
                  <c:v>800.072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23-4559-B8A0-56E6BCDB2048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lux_370_420_cct_6000_7000!$I$47:$Y$47</c:f>
              <c:numCache>
                <c:formatCode>General</c:formatCode>
                <c:ptCount val="17"/>
                <c:pt idx="0">
                  <c:v>842.4860000000001</c:v>
                </c:pt>
                <c:pt idx="1">
                  <c:v>871.98800000000006</c:v>
                </c:pt>
                <c:pt idx="2">
                  <c:v>936.43500000000006</c:v>
                </c:pt>
                <c:pt idx="3">
                  <c:v>974.68799999999999</c:v>
                </c:pt>
                <c:pt idx="4">
                  <c:v>997.27199999999993</c:v>
                </c:pt>
                <c:pt idx="5">
                  <c:v>1026.471</c:v>
                </c:pt>
                <c:pt idx="6">
                  <c:v>1032.96</c:v>
                </c:pt>
                <c:pt idx="7">
                  <c:v>1042.366</c:v>
                </c:pt>
                <c:pt idx="8">
                  <c:v>1044.576</c:v>
                </c:pt>
                <c:pt idx="9">
                  <c:v>1047.4839999999999</c:v>
                </c:pt>
                <c:pt idx="10">
                  <c:v>1043.451</c:v>
                </c:pt>
                <c:pt idx="11">
                  <c:v>1020.708</c:v>
                </c:pt>
                <c:pt idx="12">
                  <c:v>1008.288</c:v>
                </c:pt>
                <c:pt idx="13">
                  <c:v>965.28100000000006</c:v>
                </c:pt>
                <c:pt idx="14">
                  <c:v>919.17899999999997</c:v>
                </c:pt>
                <c:pt idx="15">
                  <c:v>872.39700000000005</c:v>
                </c:pt>
                <c:pt idx="16">
                  <c:v>833.06299999999999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23-4559-B8A0-56E6BCDB2048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lux_370_420_cct_6000_7000!$I$48:$Y$48</c:f>
              <c:numCache>
                <c:formatCode>General</c:formatCode>
                <c:ptCount val="17"/>
                <c:pt idx="0">
                  <c:v>849.59</c:v>
                </c:pt>
                <c:pt idx="1">
                  <c:v>883.00800000000004</c:v>
                </c:pt>
                <c:pt idx="2">
                  <c:v>934.91200000000003</c:v>
                </c:pt>
                <c:pt idx="3">
                  <c:v>995.90800000000002</c:v>
                </c:pt>
                <c:pt idx="4">
                  <c:v>1010.9699999999999</c:v>
                </c:pt>
                <c:pt idx="5">
                  <c:v>1030.539</c:v>
                </c:pt>
                <c:pt idx="6">
                  <c:v>1039.5639999999999</c:v>
                </c:pt>
                <c:pt idx="7">
                  <c:v>1039.18</c:v>
                </c:pt>
                <c:pt idx="8">
                  <c:v>1049.5450000000001</c:v>
                </c:pt>
                <c:pt idx="9">
                  <c:v>1041.9760000000001</c:v>
                </c:pt>
                <c:pt idx="10">
                  <c:v>1043.999</c:v>
                </c:pt>
                <c:pt idx="11">
                  <c:v>1036.9949999999999</c:v>
                </c:pt>
                <c:pt idx="12">
                  <c:v>1018.725</c:v>
                </c:pt>
                <c:pt idx="13">
                  <c:v>983.66799999999989</c:v>
                </c:pt>
                <c:pt idx="14">
                  <c:v>942.08</c:v>
                </c:pt>
                <c:pt idx="15">
                  <c:v>887.32799999999997</c:v>
                </c:pt>
                <c:pt idx="16">
                  <c:v>848.10599999999999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23-4559-B8A0-56E6BCDB2048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lux_370_420_cct_6000_7000!$I$49:$Y$49</c:f>
              <c:numCache>
                <c:formatCode>General</c:formatCode>
                <c:ptCount val="17"/>
                <c:pt idx="0">
                  <c:v>844.0329999999999</c:v>
                </c:pt>
                <c:pt idx="1">
                  <c:v>903.63</c:v>
                </c:pt>
                <c:pt idx="2">
                  <c:v>941.976</c:v>
                </c:pt>
                <c:pt idx="3">
                  <c:v>991.17200000000003</c:v>
                </c:pt>
                <c:pt idx="4">
                  <c:v>1024.5</c:v>
                </c:pt>
                <c:pt idx="5">
                  <c:v>1038.1010000000001</c:v>
                </c:pt>
                <c:pt idx="6">
                  <c:v>1037.316</c:v>
                </c:pt>
                <c:pt idx="7">
                  <c:v>1036.472</c:v>
                </c:pt>
                <c:pt idx="8">
                  <c:v>1026</c:v>
                </c:pt>
                <c:pt idx="9">
                  <c:v>1038.45</c:v>
                </c:pt>
                <c:pt idx="10">
                  <c:v>1040.1120000000001</c:v>
                </c:pt>
                <c:pt idx="11">
                  <c:v>1025.1790000000001</c:v>
                </c:pt>
                <c:pt idx="12">
                  <c:v>1013.9080000000001</c:v>
                </c:pt>
                <c:pt idx="13">
                  <c:v>997.54200000000003</c:v>
                </c:pt>
                <c:pt idx="14">
                  <c:v>949.98599999999999</c:v>
                </c:pt>
                <c:pt idx="15">
                  <c:v>887.32900000000006</c:v>
                </c:pt>
                <c:pt idx="16">
                  <c:v>856.77100000000007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23-4559-B8A0-56E6BCDB204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lux_370_420_cct_6000_7000!$I$50:$Y$50</c:f>
              <c:numCache>
                <c:formatCode>General</c:formatCode>
                <c:ptCount val="17"/>
                <c:pt idx="0">
                  <c:v>839.4849999999999</c:v>
                </c:pt>
                <c:pt idx="1">
                  <c:v>895.43999999999994</c:v>
                </c:pt>
                <c:pt idx="2">
                  <c:v>950.04</c:v>
                </c:pt>
                <c:pt idx="3">
                  <c:v>991.44</c:v>
                </c:pt>
                <c:pt idx="4">
                  <c:v>1019.556</c:v>
                </c:pt>
                <c:pt idx="5">
                  <c:v>1029.0240000000001</c:v>
                </c:pt>
                <c:pt idx="6">
                  <c:v>1025.0409999999999</c:v>
                </c:pt>
                <c:pt idx="7">
                  <c:v>1020.9999999999999</c:v>
                </c:pt>
                <c:pt idx="8">
                  <c:v>1029.1379999999999</c:v>
                </c:pt>
                <c:pt idx="9">
                  <c:v>1024</c:v>
                </c:pt>
                <c:pt idx="10">
                  <c:v>1031.6420000000001</c:v>
                </c:pt>
                <c:pt idx="11">
                  <c:v>1035.9360000000001</c:v>
                </c:pt>
                <c:pt idx="12">
                  <c:v>1011.75</c:v>
                </c:pt>
                <c:pt idx="13">
                  <c:v>1000.5120000000001</c:v>
                </c:pt>
                <c:pt idx="14">
                  <c:v>957.13799999999992</c:v>
                </c:pt>
                <c:pt idx="15">
                  <c:v>899.53500000000008</c:v>
                </c:pt>
                <c:pt idx="16">
                  <c:v>836.83200000000011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23-4559-B8A0-56E6BCDB204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lux_370_420_cct_6000_7000!$I$51:$Y$51</c:f>
              <c:numCache>
                <c:formatCode>General</c:formatCode>
                <c:ptCount val="17"/>
                <c:pt idx="0">
                  <c:v>859.06899999999996</c:v>
                </c:pt>
                <c:pt idx="1">
                  <c:v>882.01300000000003</c:v>
                </c:pt>
                <c:pt idx="2">
                  <c:v>939.30599999999993</c:v>
                </c:pt>
                <c:pt idx="3">
                  <c:v>986.07600000000002</c:v>
                </c:pt>
                <c:pt idx="4">
                  <c:v>1001.345</c:v>
                </c:pt>
                <c:pt idx="5">
                  <c:v>1013.4050000000001</c:v>
                </c:pt>
                <c:pt idx="6">
                  <c:v>1025.2</c:v>
                </c:pt>
                <c:pt idx="7">
                  <c:v>1013.2080000000001</c:v>
                </c:pt>
                <c:pt idx="8">
                  <c:v>1018.9999999999999</c:v>
                </c:pt>
                <c:pt idx="9">
                  <c:v>1020.054</c:v>
                </c:pt>
                <c:pt idx="10">
                  <c:v>1036.384</c:v>
                </c:pt>
                <c:pt idx="11">
                  <c:v>1024.338</c:v>
                </c:pt>
                <c:pt idx="12">
                  <c:v>1013.169</c:v>
                </c:pt>
                <c:pt idx="13">
                  <c:v>996.26800000000003</c:v>
                </c:pt>
                <c:pt idx="14">
                  <c:v>947.31600000000003</c:v>
                </c:pt>
                <c:pt idx="15">
                  <c:v>882.45600000000002</c:v>
                </c:pt>
                <c:pt idx="16">
                  <c:v>849.11099999999999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23-4559-B8A0-56E6BCDB204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lux_370_420_cct_6000_7000!$I$52:$Y$52</c:f>
              <c:numCache>
                <c:formatCode>General</c:formatCode>
                <c:ptCount val="17"/>
                <c:pt idx="0">
                  <c:v>818.8</c:v>
                </c:pt>
                <c:pt idx="1">
                  <c:v>885.59999999999991</c:v>
                </c:pt>
                <c:pt idx="2">
                  <c:v>934.91200000000003</c:v>
                </c:pt>
                <c:pt idx="3">
                  <c:v>972.23</c:v>
                </c:pt>
                <c:pt idx="4">
                  <c:v>1002.51</c:v>
                </c:pt>
                <c:pt idx="5">
                  <c:v>1006.9399999999999</c:v>
                </c:pt>
                <c:pt idx="6">
                  <c:v>1014.9999999999999</c:v>
                </c:pt>
                <c:pt idx="7">
                  <c:v>1025.2</c:v>
                </c:pt>
                <c:pt idx="8">
                  <c:v>1021.269</c:v>
                </c:pt>
                <c:pt idx="9">
                  <c:v>1016.7840000000001</c:v>
                </c:pt>
                <c:pt idx="10">
                  <c:v>1021.125</c:v>
                </c:pt>
                <c:pt idx="11">
                  <c:v>1015.696</c:v>
                </c:pt>
                <c:pt idx="12">
                  <c:v>1012.38</c:v>
                </c:pt>
                <c:pt idx="13">
                  <c:v>981.26</c:v>
                </c:pt>
                <c:pt idx="14">
                  <c:v>941.56799999999998</c:v>
                </c:pt>
                <c:pt idx="15">
                  <c:v>887.7600000000001</c:v>
                </c:pt>
                <c:pt idx="16">
                  <c:v>813.46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23-4559-B8A0-56E6BCDB204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lux_370_420_cct_6000_7000!$I$53:$Y$53</c:f>
              <c:numCache>
                <c:formatCode>General</c:formatCode>
                <c:ptCount val="17"/>
                <c:pt idx="0">
                  <c:v>799.5329999999999</c:v>
                </c:pt>
                <c:pt idx="1">
                  <c:v>871.17</c:v>
                </c:pt>
                <c:pt idx="2">
                  <c:v>911.54700000000003</c:v>
                </c:pt>
                <c:pt idx="3">
                  <c:v>952.47</c:v>
                </c:pt>
                <c:pt idx="4">
                  <c:v>990.79199999999992</c:v>
                </c:pt>
                <c:pt idx="5">
                  <c:v>999.625</c:v>
                </c:pt>
                <c:pt idx="6">
                  <c:v>1004.552</c:v>
                </c:pt>
                <c:pt idx="7">
                  <c:v>1010.8819999999999</c:v>
                </c:pt>
                <c:pt idx="8">
                  <c:v>1009.099</c:v>
                </c:pt>
                <c:pt idx="9">
                  <c:v>1010.8819999999999</c:v>
                </c:pt>
                <c:pt idx="10">
                  <c:v>1005.348</c:v>
                </c:pt>
                <c:pt idx="11">
                  <c:v>1001.079</c:v>
                </c:pt>
                <c:pt idx="12">
                  <c:v>976.52099999999996</c:v>
                </c:pt>
                <c:pt idx="13">
                  <c:v>958.04</c:v>
                </c:pt>
                <c:pt idx="14">
                  <c:v>917.74799999999993</c:v>
                </c:pt>
                <c:pt idx="15">
                  <c:v>874.44200000000001</c:v>
                </c:pt>
                <c:pt idx="16">
                  <c:v>799.8660000000001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23-4559-B8A0-56E6BCDB204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lux_370_420_cct_6000_7000!$I$54:$Y$54</c:f>
              <c:numCache>
                <c:formatCode>General</c:formatCode>
                <c:ptCount val="17"/>
                <c:pt idx="0">
                  <c:v>809.80600000000004</c:v>
                </c:pt>
                <c:pt idx="1">
                  <c:v>845.99999999999989</c:v>
                </c:pt>
                <c:pt idx="2">
                  <c:v>876.096</c:v>
                </c:pt>
                <c:pt idx="3">
                  <c:v>918.5</c:v>
                </c:pt>
                <c:pt idx="4">
                  <c:v>946.85599999999999</c:v>
                </c:pt>
                <c:pt idx="5">
                  <c:v>972.69899999999996</c:v>
                </c:pt>
                <c:pt idx="6">
                  <c:v>984.06</c:v>
                </c:pt>
                <c:pt idx="7">
                  <c:v>1000.6060000000001</c:v>
                </c:pt>
                <c:pt idx="8">
                  <c:v>1000.5</c:v>
                </c:pt>
                <c:pt idx="9">
                  <c:v>999.86699999999996</c:v>
                </c:pt>
                <c:pt idx="10">
                  <c:v>984.06</c:v>
                </c:pt>
                <c:pt idx="11">
                  <c:v>974.61</c:v>
                </c:pt>
                <c:pt idx="12">
                  <c:v>950.26400000000001</c:v>
                </c:pt>
                <c:pt idx="13">
                  <c:v>924</c:v>
                </c:pt>
                <c:pt idx="14">
                  <c:v>878.25599999999997</c:v>
                </c:pt>
                <c:pt idx="15">
                  <c:v>846.75</c:v>
                </c:pt>
                <c:pt idx="16">
                  <c:v>805.41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23-4559-B8A0-56E6BCDB204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lux_370_420_cct_6000_7000!$I$55:$Y$55</c:f>
              <c:numCache>
                <c:formatCode>General</c:formatCode>
                <c:ptCount val="17"/>
                <c:pt idx="0">
                  <c:v>820.21600000000001</c:v>
                </c:pt>
                <c:pt idx="1">
                  <c:v>834.42700000000002</c:v>
                </c:pt>
                <c:pt idx="2">
                  <c:v>842.63799999999992</c:v>
                </c:pt>
                <c:pt idx="3">
                  <c:v>884.67100000000005</c:v>
                </c:pt>
                <c:pt idx="4">
                  <c:v>918.5</c:v>
                </c:pt>
                <c:pt idx="5">
                  <c:v>949.12799999999993</c:v>
                </c:pt>
                <c:pt idx="6">
                  <c:v>967.41399999999999</c:v>
                </c:pt>
                <c:pt idx="7">
                  <c:v>967.5</c:v>
                </c:pt>
                <c:pt idx="8">
                  <c:v>975.88400000000001</c:v>
                </c:pt>
                <c:pt idx="9">
                  <c:v>971.25</c:v>
                </c:pt>
                <c:pt idx="10">
                  <c:v>974.63800000000003</c:v>
                </c:pt>
                <c:pt idx="11">
                  <c:v>956.36900000000003</c:v>
                </c:pt>
                <c:pt idx="12">
                  <c:v>924.5</c:v>
                </c:pt>
                <c:pt idx="13">
                  <c:v>886.88599999999985</c:v>
                </c:pt>
                <c:pt idx="14">
                  <c:v>840.322</c:v>
                </c:pt>
                <c:pt idx="15">
                  <c:v>827.60699999999997</c:v>
                </c:pt>
                <c:pt idx="16">
                  <c:v>802.4559999999999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823-4559-B8A0-56E6BCDB204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lux_370_420_cct_6000_7000!$I$56:$Y$56</c:f>
              <c:numCache>
                <c:formatCode>General</c:formatCode>
                <c:ptCount val="17"/>
                <c:pt idx="0">
                  <c:v>776.98</c:v>
                </c:pt>
                <c:pt idx="1">
                  <c:v>795.94399999999996</c:v>
                </c:pt>
                <c:pt idx="2">
                  <c:v>823.51499999999999</c:v>
                </c:pt>
                <c:pt idx="3">
                  <c:v>874.40600000000006</c:v>
                </c:pt>
                <c:pt idx="4">
                  <c:v>901.56</c:v>
                </c:pt>
                <c:pt idx="5">
                  <c:v>895.18600000000004</c:v>
                </c:pt>
                <c:pt idx="6">
                  <c:v>933.88800000000003</c:v>
                </c:pt>
                <c:pt idx="7">
                  <c:v>943.57799999999997</c:v>
                </c:pt>
                <c:pt idx="8">
                  <c:v>928.03</c:v>
                </c:pt>
                <c:pt idx="9">
                  <c:v>949.452</c:v>
                </c:pt>
                <c:pt idx="10">
                  <c:v>916.11199999999997</c:v>
                </c:pt>
                <c:pt idx="11">
                  <c:v>906.83600000000001</c:v>
                </c:pt>
                <c:pt idx="12">
                  <c:v>875.56</c:v>
                </c:pt>
                <c:pt idx="13">
                  <c:v>841.45100000000002</c:v>
                </c:pt>
                <c:pt idx="14">
                  <c:v>817.03599999999994</c:v>
                </c:pt>
                <c:pt idx="15">
                  <c:v>777.59199999999998</c:v>
                </c:pt>
                <c:pt idx="16">
                  <c:v>741.47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823-4559-B8A0-56E6BCDB204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lux_425_900_cct_1_10000!$I$2:$Y$2</c:f>
              <c:numCache>
                <c:formatCode>General</c:formatCode>
                <c:ptCount val="17"/>
                <c:pt idx="0">
                  <c:v>239</c:v>
                </c:pt>
                <c:pt idx="1">
                  <c:v>270</c:v>
                </c:pt>
                <c:pt idx="2">
                  <c:v>317</c:v>
                </c:pt>
                <c:pt idx="3">
                  <c:v>361</c:v>
                </c:pt>
                <c:pt idx="4">
                  <c:v>408</c:v>
                </c:pt>
                <c:pt idx="5">
                  <c:v>435</c:v>
                </c:pt>
                <c:pt idx="6">
                  <c:v>470</c:v>
                </c:pt>
                <c:pt idx="7">
                  <c:v>506</c:v>
                </c:pt>
                <c:pt idx="8">
                  <c:v>502</c:v>
                </c:pt>
                <c:pt idx="9">
                  <c:v>506</c:v>
                </c:pt>
                <c:pt idx="10">
                  <c:v>482</c:v>
                </c:pt>
                <c:pt idx="11">
                  <c:v>451</c:v>
                </c:pt>
                <c:pt idx="12">
                  <c:v>408</c:v>
                </c:pt>
                <c:pt idx="13">
                  <c:v>361</c:v>
                </c:pt>
                <c:pt idx="14">
                  <c:v>317</c:v>
                </c:pt>
                <c:pt idx="15">
                  <c:v>270</c:v>
                </c:pt>
                <c:pt idx="16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676-8764-72100320B99A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lux_425_900_cct_1_10000!$I$3:$Y$3</c:f>
              <c:numCache>
                <c:formatCode>General</c:formatCode>
                <c:ptCount val="17"/>
                <c:pt idx="0">
                  <c:v>270</c:v>
                </c:pt>
                <c:pt idx="1">
                  <c:v>317</c:v>
                </c:pt>
                <c:pt idx="2">
                  <c:v>365</c:v>
                </c:pt>
                <c:pt idx="3">
                  <c:v>423</c:v>
                </c:pt>
                <c:pt idx="4">
                  <c:v>470</c:v>
                </c:pt>
                <c:pt idx="5">
                  <c:v>529</c:v>
                </c:pt>
                <c:pt idx="6">
                  <c:v>564</c:v>
                </c:pt>
                <c:pt idx="7">
                  <c:v>600</c:v>
                </c:pt>
                <c:pt idx="8">
                  <c:v>611</c:v>
                </c:pt>
                <c:pt idx="9">
                  <c:v>600</c:v>
                </c:pt>
                <c:pt idx="10">
                  <c:v>576</c:v>
                </c:pt>
                <c:pt idx="11">
                  <c:v>529</c:v>
                </c:pt>
                <c:pt idx="12">
                  <c:v>470</c:v>
                </c:pt>
                <c:pt idx="13">
                  <c:v>423</c:v>
                </c:pt>
                <c:pt idx="14">
                  <c:v>365</c:v>
                </c:pt>
                <c:pt idx="15">
                  <c:v>317</c:v>
                </c:pt>
                <c:pt idx="16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4-4676-8764-72100320B99A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lux_425_900_cct_1_10000!$I$4:$Y$4</c:f>
              <c:numCache>
                <c:formatCode>General</c:formatCode>
                <c:ptCount val="17"/>
                <c:pt idx="0">
                  <c:v>290</c:v>
                </c:pt>
                <c:pt idx="1">
                  <c:v>353</c:v>
                </c:pt>
                <c:pt idx="2">
                  <c:v>412</c:v>
                </c:pt>
                <c:pt idx="3">
                  <c:v>470</c:v>
                </c:pt>
                <c:pt idx="4">
                  <c:v>541</c:v>
                </c:pt>
                <c:pt idx="5">
                  <c:v>611</c:v>
                </c:pt>
                <c:pt idx="6">
                  <c:v>670</c:v>
                </c:pt>
                <c:pt idx="7">
                  <c:v>706</c:v>
                </c:pt>
                <c:pt idx="8">
                  <c:v>717</c:v>
                </c:pt>
                <c:pt idx="9">
                  <c:v>706</c:v>
                </c:pt>
                <c:pt idx="10">
                  <c:v>670</c:v>
                </c:pt>
                <c:pt idx="11">
                  <c:v>611</c:v>
                </c:pt>
                <c:pt idx="12">
                  <c:v>541</c:v>
                </c:pt>
                <c:pt idx="13">
                  <c:v>470</c:v>
                </c:pt>
                <c:pt idx="14">
                  <c:v>412</c:v>
                </c:pt>
                <c:pt idx="15">
                  <c:v>353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84-4676-8764-72100320B99A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lux_425_900_cct_1_10000!$I$5:$Y$5</c:f>
              <c:numCache>
                <c:formatCode>General</c:formatCode>
                <c:ptCount val="17"/>
                <c:pt idx="0">
                  <c:v>314</c:v>
                </c:pt>
                <c:pt idx="1">
                  <c:v>376</c:v>
                </c:pt>
                <c:pt idx="2">
                  <c:v>447</c:v>
                </c:pt>
                <c:pt idx="3">
                  <c:v>529</c:v>
                </c:pt>
                <c:pt idx="4">
                  <c:v>611</c:v>
                </c:pt>
                <c:pt idx="5">
                  <c:v>694</c:v>
                </c:pt>
                <c:pt idx="6">
                  <c:v>764</c:v>
                </c:pt>
                <c:pt idx="7">
                  <c:v>811</c:v>
                </c:pt>
                <c:pt idx="8">
                  <c:v>835</c:v>
                </c:pt>
                <c:pt idx="9">
                  <c:v>811</c:v>
                </c:pt>
                <c:pt idx="10">
                  <c:v>764</c:v>
                </c:pt>
                <c:pt idx="11">
                  <c:v>694</c:v>
                </c:pt>
                <c:pt idx="12">
                  <c:v>611</c:v>
                </c:pt>
                <c:pt idx="13">
                  <c:v>529</c:v>
                </c:pt>
                <c:pt idx="14">
                  <c:v>447</c:v>
                </c:pt>
                <c:pt idx="15">
                  <c:v>376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84-4676-8764-72100320B99A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lux_425_900_cct_1_10000!$I$6:$Y$6</c:f>
              <c:numCache>
                <c:formatCode>General</c:formatCode>
                <c:ptCount val="17"/>
                <c:pt idx="0">
                  <c:v>333</c:v>
                </c:pt>
                <c:pt idx="1">
                  <c:v>412</c:v>
                </c:pt>
                <c:pt idx="2">
                  <c:v>482</c:v>
                </c:pt>
                <c:pt idx="3">
                  <c:v>576</c:v>
                </c:pt>
                <c:pt idx="4">
                  <c:v>670</c:v>
                </c:pt>
                <c:pt idx="5">
                  <c:v>764</c:v>
                </c:pt>
                <c:pt idx="6">
                  <c:v>847</c:v>
                </c:pt>
                <c:pt idx="7">
                  <c:v>905</c:v>
                </c:pt>
                <c:pt idx="8">
                  <c:v>929</c:v>
                </c:pt>
                <c:pt idx="9">
                  <c:v>905</c:v>
                </c:pt>
                <c:pt idx="10">
                  <c:v>847</c:v>
                </c:pt>
                <c:pt idx="11">
                  <c:v>764</c:v>
                </c:pt>
                <c:pt idx="12">
                  <c:v>670</c:v>
                </c:pt>
                <c:pt idx="13">
                  <c:v>576</c:v>
                </c:pt>
                <c:pt idx="14">
                  <c:v>482</c:v>
                </c:pt>
                <c:pt idx="15">
                  <c:v>400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84-4676-8764-72100320B99A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lux_425_900_cct_1_10000!$I$7:$Y$7</c:f>
              <c:numCache>
                <c:formatCode>General</c:formatCode>
                <c:ptCount val="17"/>
                <c:pt idx="0">
                  <c:v>345</c:v>
                </c:pt>
                <c:pt idx="1">
                  <c:v>423</c:v>
                </c:pt>
                <c:pt idx="2">
                  <c:v>506</c:v>
                </c:pt>
                <c:pt idx="3">
                  <c:v>600</c:v>
                </c:pt>
                <c:pt idx="4">
                  <c:v>706</c:v>
                </c:pt>
                <c:pt idx="5">
                  <c:v>811</c:v>
                </c:pt>
                <c:pt idx="6">
                  <c:v>905</c:v>
                </c:pt>
                <c:pt idx="7">
                  <c:v>964</c:v>
                </c:pt>
                <c:pt idx="8">
                  <c:v>988</c:v>
                </c:pt>
                <c:pt idx="9">
                  <c:v>976</c:v>
                </c:pt>
                <c:pt idx="10">
                  <c:v>905</c:v>
                </c:pt>
                <c:pt idx="11">
                  <c:v>811</c:v>
                </c:pt>
                <c:pt idx="12">
                  <c:v>706</c:v>
                </c:pt>
                <c:pt idx="13">
                  <c:v>600</c:v>
                </c:pt>
                <c:pt idx="14">
                  <c:v>506</c:v>
                </c:pt>
                <c:pt idx="15">
                  <c:v>423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84-4676-8764-72100320B99A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lux_425_900_cct_1_10000!$I$8:$Y$8</c:f>
              <c:numCache>
                <c:formatCode>General</c:formatCode>
                <c:ptCount val="17"/>
                <c:pt idx="0">
                  <c:v>357</c:v>
                </c:pt>
                <c:pt idx="1">
                  <c:v>435</c:v>
                </c:pt>
                <c:pt idx="2">
                  <c:v>517</c:v>
                </c:pt>
                <c:pt idx="3">
                  <c:v>611</c:v>
                </c:pt>
                <c:pt idx="4">
                  <c:v>729</c:v>
                </c:pt>
                <c:pt idx="5">
                  <c:v>835</c:v>
                </c:pt>
                <c:pt idx="6">
                  <c:v>929</c:v>
                </c:pt>
                <c:pt idx="7">
                  <c:v>999</c:v>
                </c:pt>
                <c:pt idx="8">
                  <c:v>1023</c:v>
                </c:pt>
                <c:pt idx="9">
                  <c:v>999</c:v>
                </c:pt>
                <c:pt idx="10">
                  <c:v>941</c:v>
                </c:pt>
                <c:pt idx="11">
                  <c:v>835</c:v>
                </c:pt>
                <c:pt idx="12">
                  <c:v>729</c:v>
                </c:pt>
                <c:pt idx="13">
                  <c:v>611</c:v>
                </c:pt>
                <c:pt idx="14">
                  <c:v>517</c:v>
                </c:pt>
                <c:pt idx="15">
                  <c:v>423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84-4676-8764-72100320B99A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lux_425_900_cct_1_10000!$I$9:$Y$9</c:f>
              <c:numCache>
                <c:formatCode>General</c:formatCode>
                <c:ptCount val="17"/>
                <c:pt idx="0">
                  <c:v>345</c:v>
                </c:pt>
                <c:pt idx="1">
                  <c:v>423</c:v>
                </c:pt>
                <c:pt idx="2">
                  <c:v>506</c:v>
                </c:pt>
                <c:pt idx="3">
                  <c:v>611</c:v>
                </c:pt>
                <c:pt idx="4">
                  <c:v>717</c:v>
                </c:pt>
                <c:pt idx="5">
                  <c:v>823</c:v>
                </c:pt>
                <c:pt idx="6">
                  <c:v>917</c:v>
                </c:pt>
                <c:pt idx="7">
                  <c:v>976</c:v>
                </c:pt>
                <c:pt idx="8">
                  <c:v>999</c:v>
                </c:pt>
                <c:pt idx="9">
                  <c:v>976</c:v>
                </c:pt>
                <c:pt idx="10">
                  <c:v>917</c:v>
                </c:pt>
                <c:pt idx="11">
                  <c:v>823</c:v>
                </c:pt>
                <c:pt idx="12">
                  <c:v>717</c:v>
                </c:pt>
                <c:pt idx="13">
                  <c:v>600</c:v>
                </c:pt>
                <c:pt idx="14">
                  <c:v>506</c:v>
                </c:pt>
                <c:pt idx="15">
                  <c:v>423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84-4676-8764-72100320B99A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lux_425_900_cct_1_10000!$I$10:$Y$10</c:f>
              <c:numCache>
                <c:formatCode>General</c:formatCode>
                <c:ptCount val="17"/>
                <c:pt idx="0">
                  <c:v>333</c:v>
                </c:pt>
                <c:pt idx="1">
                  <c:v>412</c:v>
                </c:pt>
                <c:pt idx="2">
                  <c:v>482</c:v>
                </c:pt>
                <c:pt idx="3">
                  <c:v>576</c:v>
                </c:pt>
                <c:pt idx="4">
                  <c:v>670</c:v>
                </c:pt>
                <c:pt idx="5">
                  <c:v>776</c:v>
                </c:pt>
                <c:pt idx="6">
                  <c:v>858</c:v>
                </c:pt>
                <c:pt idx="7">
                  <c:v>917</c:v>
                </c:pt>
                <c:pt idx="8">
                  <c:v>941</c:v>
                </c:pt>
                <c:pt idx="9">
                  <c:v>917</c:v>
                </c:pt>
                <c:pt idx="10">
                  <c:v>858</c:v>
                </c:pt>
                <c:pt idx="11">
                  <c:v>776</c:v>
                </c:pt>
                <c:pt idx="12">
                  <c:v>670</c:v>
                </c:pt>
                <c:pt idx="13">
                  <c:v>576</c:v>
                </c:pt>
                <c:pt idx="14">
                  <c:v>482</c:v>
                </c:pt>
                <c:pt idx="15">
                  <c:v>412</c:v>
                </c:pt>
                <c:pt idx="16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84-4676-8764-72100320B99A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lux_425_900_cct_1_10000!$I$11:$Y$11</c:f>
              <c:numCache>
                <c:formatCode>General</c:formatCode>
                <c:ptCount val="17"/>
                <c:pt idx="0">
                  <c:v>325</c:v>
                </c:pt>
                <c:pt idx="1">
                  <c:v>388</c:v>
                </c:pt>
                <c:pt idx="2">
                  <c:v>447</c:v>
                </c:pt>
                <c:pt idx="3">
                  <c:v>529</c:v>
                </c:pt>
                <c:pt idx="4">
                  <c:v>611</c:v>
                </c:pt>
                <c:pt idx="5">
                  <c:v>694</c:v>
                </c:pt>
                <c:pt idx="6">
                  <c:v>776</c:v>
                </c:pt>
                <c:pt idx="7">
                  <c:v>823</c:v>
                </c:pt>
                <c:pt idx="8">
                  <c:v>835</c:v>
                </c:pt>
                <c:pt idx="9">
                  <c:v>823</c:v>
                </c:pt>
                <c:pt idx="10">
                  <c:v>764</c:v>
                </c:pt>
                <c:pt idx="11">
                  <c:v>694</c:v>
                </c:pt>
                <c:pt idx="12">
                  <c:v>611</c:v>
                </c:pt>
                <c:pt idx="13">
                  <c:v>529</c:v>
                </c:pt>
                <c:pt idx="14">
                  <c:v>447</c:v>
                </c:pt>
                <c:pt idx="15">
                  <c:v>388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84-4676-8764-72100320B99A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lux_425_900_cct_1_10000!$I$12:$Y$12</c:f>
              <c:numCache>
                <c:formatCode>General</c:formatCode>
                <c:ptCount val="17"/>
                <c:pt idx="0">
                  <c:v>290</c:v>
                </c:pt>
                <c:pt idx="1">
                  <c:v>353</c:v>
                </c:pt>
                <c:pt idx="2">
                  <c:v>412</c:v>
                </c:pt>
                <c:pt idx="3">
                  <c:v>482</c:v>
                </c:pt>
                <c:pt idx="4">
                  <c:v>541</c:v>
                </c:pt>
                <c:pt idx="5">
                  <c:v>611</c:v>
                </c:pt>
                <c:pt idx="6">
                  <c:v>670</c:v>
                </c:pt>
                <c:pt idx="7">
                  <c:v>717</c:v>
                </c:pt>
                <c:pt idx="8">
                  <c:v>729</c:v>
                </c:pt>
                <c:pt idx="9">
                  <c:v>717</c:v>
                </c:pt>
                <c:pt idx="10">
                  <c:v>670</c:v>
                </c:pt>
                <c:pt idx="11">
                  <c:v>611</c:v>
                </c:pt>
                <c:pt idx="12">
                  <c:v>541</c:v>
                </c:pt>
                <c:pt idx="13">
                  <c:v>470</c:v>
                </c:pt>
                <c:pt idx="14">
                  <c:v>412</c:v>
                </c:pt>
                <c:pt idx="15">
                  <c:v>353</c:v>
                </c:pt>
                <c:pt idx="16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84-4676-8764-72100320B99A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lux_425_900_cct_1_10000!$I$13:$Y$13</c:f>
              <c:numCache>
                <c:formatCode>General</c:formatCode>
                <c:ptCount val="17"/>
                <c:pt idx="0">
                  <c:v>270</c:v>
                </c:pt>
                <c:pt idx="1">
                  <c:v>317</c:v>
                </c:pt>
                <c:pt idx="2">
                  <c:v>365</c:v>
                </c:pt>
                <c:pt idx="3">
                  <c:v>423</c:v>
                </c:pt>
                <c:pt idx="4">
                  <c:v>482</c:v>
                </c:pt>
                <c:pt idx="5">
                  <c:v>529</c:v>
                </c:pt>
                <c:pt idx="6">
                  <c:v>576</c:v>
                </c:pt>
                <c:pt idx="7">
                  <c:v>611</c:v>
                </c:pt>
                <c:pt idx="8">
                  <c:v>611</c:v>
                </c:pt>
                <c:pt idx="9">
                  <c:v>611</c:v>
                </c:pt>
                <c:pt idx="10">
                  <c:v>576</c:v>
                </c:pt>
                <c:pt idx="11">
                  <c:v>529</c:v>
                </c:pt>
                <c:pt idx="12">
                  <c:v>482</c:v>
                </c:pt>
                <c:pt idx="13">
                  <c:v>423</c:v>
                </c:pt>
                <c:pt idx="14">
                  <c:v>365</c:v>
                </c:pt>
                <c:pt idx="15">
                  <c:v>317</c:v>
                </c:pt>
                <c:pt idx="16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84-4676-8764-72100320B99A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lux_425_900_cct_1_10000!$I$14:$Y$14</c:f>
              <c:numCache>
                <c:formatCode>General</c:formatCode>
                <c:ptCount val="17"/>
                <c:pt idx="0">
                  <c:v>255</c:v>
                </c:pt>
                <c:pt idx="1">
                  <c:v>286</c:v>
                </c:pt>
                <c:pt idx="2">
                  <c:v>317</c:v>
                </c:pt>
                <c:pt idx="3">
                  <c:v>361</c:v>
                </c:pt>
                <c:pt idx="4">
                  <c:v>404</c:v>
                </c:pt>
                <c:pt idx="5">
                  <c:v>451</c:v>
                </c:pt>
                <c:pt idx="6">
                  <c:v>482</c:v>
                </c:pt>
                <c:pt idx="7">
                  <c:v>502</c:v>
                </c:pt>
                <c:pt idx="8">
                  <c:v>517</c:v>
                </c:pt>
                <c:pt idx="9">
                  <c:v>502</c:v>
                </c:pt>
                <c:pt idx="10">
                  <c:v>482</c:v>
                </c:pt>
                <c:pt idx="11">
                  <c:v>451</c:v>
                </c:pt>
                <c:pt idx="12">
                  <c:v>404</c:v>
                </c:pt>
                <c:pt idx="13">
                  <c:v>361</c:v>
                </c:pt>
                <c:pt idx="14">
                  <c:v>317</c:v>
                </c:pt>
                <c:pt idx="15">
                  <c:v>286</c:v>
                </c:pt>
                <c:pt idx="16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84-4676-8764-72100320B99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lux_425_900_cct_1_10000!$I$16:$Y$16</c:f>
              <c:numCache>
                <c:formatCode>General</c:formatCode>
                <c:ptCount val="17"/>
                <c:pt idx="0">
                  <c:v>264</c:v>
                </c:pt>
                <c:pt idx="1">
                  <c:v>300</c:v>
                </c:pt>
                <c:pt idx="2">
                  <c:v>348</c:v>
                </c:pt>
                <c:pt idx="3">
                  <c:v>396</c:v>
                </c:pt>
                <c:pt idx="4">
                  <c:v>437</c:v>
                </c:pt>
                <c:pt idx="5">
                  <c:v>477</c:v>
                </c:pt>
                <c:pt idx="6">
                  <c:v>507</c:v>
                </c:pt>
                <c:pt idx="7">
                  <c:v>535</c:v>
                </c:pt>
                <c:pt idx="8">
                  <c:v>538</c:v>
                </c:pt>
                <c:pt idx="9">
                  <c:v>535</c:v>
                </c:pt>
                <c:pt idx="10">
                  <c:v>514</c:v>
                </c:pt>
                <c:pt idx="11">
                  <c:v>477</c:v>
                </c:pt>
                <c:pt idx="12">
                  <c:v>437</c:v>
                </c:pt>
                <c:pt idx="13">
                  <c:v>396</c:v>
                </c:pt>
                <c:pt idx="14">
                  <c:v>348</c:v>
                </c:pt>
                <c:pt idx="15">
                  <c:v>300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7-4BA0-AC87-CA34E4DF668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lux_425_900_cct_1_10000!$I$17:$Y$17</c:f>
              <c:numCache>
                <c:formatCode>General</c:formatCode>
                <c:ptCount val="17"/>
                <c:pt idx="0">
                  <c:v>286</c:v>
                </c:pt>
                <c:pt idx="1">
                  <c:v>337</c:v>
                </c:pt>
                <c:pt idx="2">
                  <c:v>393</c:v>
                </c:pt>
                <c:pt idx="3">
                  <c:v>448</c:v>
                </c:pt>
                <c:pt idx="4">
                  <c:v>503</c:v>
                </c:pt>
                <c:pt idx="5">
                  <c:v>559</c:v>
                </c:pt>
                <c:pt idx="6">
                  <c:v>603</c:v>
                </c:pt>
                <c:pt idx="7">
                  <c:v>630</c:v>
                </c:pt>
                <c:pt idx="8">
                  <c:v>641</c:v>
                </c:pt>
                <c:pt idx="9">
                  <c:v>630</c:v>
                </c:pt>
                <c:pt idx="10">
                  <c:v>603</c:v>
                </c:pt>
                <c:pt idx="11">
                  <c:v>559</c:v>
                </c:pt>
                <c:pt idx="12">
                  <c:v>503</c:v>
                </c:pt>
                <c:pt idx="13">
                  <c:v>448</c:v>
                </c:pt>
                <c:pt idx="14">
                  <c:v>393</c:v>
                </c:pt>
                <c:pt idx="15">
                  <c:v>337</c:v>
                </c:pt>
                <c:pt idx="1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7-4BA0-AC87-CA34E4DF668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lux_425_900_cct_1_10000!$I$18:$Y$18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442</c:v>
                </c:pt>
                <c:pt idx="3">
                  <c:v>509</c:v>
                </c:pt>
                <c:pt idx="4">
                  <c:v>575</c:v>
                </c:pt>
                <c:pt idx="5">
                  <c:v>641</c:v>
                </c:pt>
                <c:pt idx="6">
                  <c:v>697</c:v>
                </c:pt>
                <c:pt idx="7">
                  <c:v>735</c:v>
                </c:pt>
                <c:pt idx="8">
                  <c:v>752</c:v>
                </c:pt>
                <c:pt idx="9">
                  <c:v>735</c:v>
                </c:pt>
                <c:pt idx="10">
                  <c:v>697</c:v>
                </c:pt>
                <c:pt idx="11">
                  <c:v>641</c:v>
                </c:pt>
                <c:pt idx="12">
                  <c:v>575</c:v>
                </c:pt>
                <c:pt idx="13">
                  <c:v>503</c:v>
                </c:pt>
                <c:pt idx="14">
                  <c:v>437</c:v>
                </c:pt>
                <c:pt idx="15">
                  <c:v>376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7-4BA0-AC87-CA34E4DF668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lux_425_900_cct_1_10000!$I$19:$Y$19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559</c:v>
                </c:pt>
                <c:pt idx="4">
                  <c:v>641</c:v>
                </c:pt>
                <c:pt idx="5">
                  <c:v>724</c:v>
                </c:pt>
                <c:pt idx="6">
                  <c:v>796</c:v>
                </c:pt>
                <c:pt idx="7">
                  <c:v>841</c:v>
                </c:pt>
                <c:pt idx="8">
                  <c:v>857</c:v>
                </c:pt>
                <c:pt idx="9">
                  <c:v>841</c:v>
                </c:pt>
                <c:pt idx="10">
                  <c:v>796</c:v>
                </c:pt>
                <c:pt idx="11">
                  <c:v>724</c:v>
                </c:pt>
                <c:pt idx="12">
                  <c:v>641</c:v>
                </c:pt>
                <c:pt idx="13">
                  <c:v>559</c:v>
                </c:pt>
                <c:pt idx="14">
                  <c:v>481</c:v>
                </c:pt>
                <c:pt idx="15">
                  <c:v>409</c:v>
                </c:pt>
                <c:pt idx="16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67-4BA0-AC87-CA34E4DF668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lux_425_900_cct_1_10000!$I$20:$Y$20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608</c:v>
                </c:pt>
                <c:pt idx="4">
                  <c:v>702</c:v>
                </c:pt>
                <c:pt idx="5">
                  <c:v>796</c:v>
                </c:pt>
                <c:pt idx="6">
                  <c:v>874</c:v>
                </c:pt>
                <c:pt idx="7">
                  <c:v>923</c:v>
                </c:pt>
                <c:pt idx="8">
                  <c:v>940</c:v>
                </c:pt>
                <c:pt idx="9">
                  <c:v>923</c:v>
                </c:pt>
                <c:pt idx="10">
                  <c:v>874</c:v>
                </c:pt>
                <c:pt idx="11">
                  <c:v>796</c:v>
                </c:pt>
                <c:pt idx="12">
                  <c:v>702</c:v>
                </c:pt>
                <c:pt idx="13">
                  <c:v>603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67-4BA0-AC87-CA34E4DF668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lux_425_900_cct_1_10000!$I$21:$Y$21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747</c:v>
                </c:pt>
                <c:pt idx="5">
                  <c:v>846</c:v>
                </c:pt>
                <c:pt idx="6">
                  <c:v>929</c:v>
                </c:pt>
                <c:pt idx="7">
                  <c:v>979</c:v>
                </c:pt>
                <c:pt idx="8">
                  <c:v>995</c:v>
                </c:pt>
                <c:pt idx="9">
                  <c:v>979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67-4BA0-AC87-CA34E4DF668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lux_425_900_cct_1_10000!$I$22:$Y$22</c:f>
              <c:numCache>
                <c:formatCode>General</c:formatCode>
                <c:ptCount val="17"/>
                <c:pt idx="0">
                  <c:v>378</c:v>
                </c:pt>
                <c:pt idx="1">
                  <c:v>459</c:v>
                </c:pt>
                <c:pt idx="2">
                  <c:v>547</c:v>
                </c:pt>
                <c:pt idx="3">
                  <c:v>653</c:v>
                </c:pt>
                <c:pt idx="4">
                  <c:v>758</c:v>
                </c:pt>
                <c:pt idx="5">
                  <c:v>863</c:v>
                </c:pt>
                <c:pt idx="6">
                  <c:v>951</c:v>
                </c:pt>
                <c:pt idx="7">
                  <c:v>1001</c:v>
                </c:pt>
                <c:pt idx="8">
                  <c:v>1023</c:v>
                </c:pt>
                <c:pt idx="9">
                  <c:v>1001</c:v>
                </c:pt>
                <c:pt idx="10">
                  <c:v>951</c:v>
                </c:pt>
                <c:pt idx="11">
                  <c:v>863</c:v>
                </c:pt>
                <c:pt idx="12">
                  <c:v>758</c:v>
                </c:pt>
                <c:pt idx="13">
                  <c:v>647</c:v>
                </c:pt>
                <c:pt idx="14">
                  <c:v>547</c:v>
                </c:pt>
                <c:pt idx="15">
                  <c:v>459</c:v>
                </c:pt>
                <c:pt idx="16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67-4BA0-AC87-CA34E4DF668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lux_425_900_cct_1_10000!$I$23:$Y$23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542</c:v>
                </c:pt>
                <c:pt idx="3">
                  <c:v>641</c:v>
                </c:pt>
                <c:pt idx="4">
                  <c:v>747</c:v>
                </c:pt>
                <c:pt idx="5">
                  <c:v>852</c:v>
                </c:pt>
                <c:pt idx="6">
                  <c:v>935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267-4BA0-AC87-CA34E4DF668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lux_425_900_cct_1_10000!$I$24:$Y$24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608</c:v>
                </c:pt>
                <c:pt idx="4">
                  <c:v>708</c:v>
                </c:pt>
                <c:pt idx="5">
                  <c:v>802</c:v>
                </c:pt>
                <c:pt idx="6">
                  <c:v>879</c:v>
                </c:pt>
                <c:pt idx="7">
                  <c:v>929</c:v>
                </c:pt>
                <c:pt idx="8">
                  <c:v>951</c:v>
                </c:pt>
                <c:pt idx="9">
                  <c:v>929</c:v>
                </c:pt>
                <c:pt idx="10">
                  <c:v>879</c:v>
                </c:pt>
                <c:pt idx="11">
                  <c:v>796</c:v>
                </c:pt>
                <c:pt idx="12">
                  <c:v>702</c:v>
                </c:pt>
                <c:pt idx="13">
                  <c:v>608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67-4BA0-AC87-CA34E4DF668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lux_425_900_cct_1_10000!$I$25:$Y$25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564</c:v>
                </c:pt>
                <c:pt idx="4">
                  <c:v>647</c:v>
                </c:pt>
                <c:pt idx="5">
                  <c:v>730</c:v>
                </c:pt>
                <c:pt idx="6">
                  <c:v>796</c:v>
                </c:pt>
                <c:pt idx="7">
                  <c:v>846</c:v>
                </c:pt>
                <c:pt idx="8">
                  <c:v>863</c:v>
                </c:pt>
                <c:pt idx="9">
                  <c:v>846</c:v>
                </c:pt>
                <c:pt idx="10">
                  <c:v>796</c:v>
                </c:pt>
                <c:pt idx="11">
                  <c:v>730</c:v>
                </c:pt>
                <c:pt idx="12">
                  <c:v>647</c:v>
                </c:pt>
                <c:pt idx="13">
                  <c:v>559</c:v>
                </c:pt>
                <c:pt idx="14">
                  <c:v>481</c:v>
                </c:pt>
                <c:pt idx="15">
                  <c:v>409</c:v>
                </c:pt>
                <c:pt idx="16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267-4BA0-AC87-CA34E4DF668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lux_425_900_cct_1_10000!$I$26:$Y$26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437</c:v>
                </c:pt>
                <c:pt idx="3">
                  <c:v>509</c:v>
                </c:pt>
                <c:pt idx="4">
                  <c:v>575</c:v>
                </c:pt>
                <c:pt idx="5">
                  <c:v>647</c:v>
                </c:pt>
                <c:pt idx="6">
                  <c:v>702</c:v>
                </c:pt>
                <c:pt idx="7">
                  <c:v>741</c:v>
                </c:pt>
                <c:pt idx="8">
                  <c:v>752</c:v>
                </c:pt>
                <c:pt idx="9">
                  <c:v>741</c:v>
                </c:pt>
                <c:pt idx="10">
                  <c:v>702</c:v>
                </c:pt>
                <c:pt idx="11">
                  <c:v>641</c:v>
                </c:pt>
                <c:pt idx="12">
                  <c:v>575</c:v>
                </c:pt>
                <c:pt idx="13">
                  <c:v>503</c:v>
                </c:pt>
                <c:pt idx="14">
                  <c:v>437</c:v>
                </c:pt>
                <c:pt idx="15">
                  <c:v>376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67-4BA0-AC87-CA34E4DF668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lux_425_900_cct_1_10000!$I$27:$Y$27</c:f>
              <c:numCache>
                <c:formatCode>General</c:formatCode>
                <c:ptCount val="17"/>
                <c:pt idx="0">
                  <c:v>291</c:v>
                </c:pt>
                <c:pt idx="1">
                  <c:v>343</c:v>
                </c:pt>
                <c:pt idx="2">
                  <c:v>393</c:v>
                </c:pt>
                <c:pt idx="3">
                  <c:v>448</c:v>
                </c:pt>
                <c:pt idx="4">
                  <c:v>503</c:v>
                </c:pt>
                <c:pt idx="5">
                  <c:v>559</c:v>
                </c:pt>
                <c:pt idx="6">
                  <c:v>603</c:v>
                </c:pt>
                <c:pt idx="7">
                  <c:v>636</c:v>
                </c:pt>
                <c:pt idx="8">
                  <c:v>641</c:v>
                </c:pt>
                <c:pt idx="9">
                  <c:v>636</c:v>
                </c:pt>
                <c:pt idx="10">
                  <c:v>603</c:v>
                </c:pt>
                <c:pt idx="11">
                  <c:v>559</c:v>
                </c:pt>
                <c:pt idx="12">
                  <c:v>503</c:v>
                </c:pt>
                <c:pt idx="13">
                  <c:v>448</c:v>
                </c:pt>
                <c:pt idx="14">
                  <c:v>393</c:v>
                </c:pt>
                <c:pt idx="15">
                  <c:v>343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67-4BA0-AC87-CA34E4DF668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lux_425_900_cct_1_10000!$I$28:$Y$28</c:f>
              <c:numCache>
                <c:formatCode>General</c:formatCode>
                <c:ptCount val="17"/>
                <c:pt idx="0">
                  <c:v>269</c:v>
                </c:pt>
                <c:pt idx="1">
                  <c:v>299</c:v>
                </c:pt>
                <c:pt idx="2">
                  <c:v>341</c:v>
                </c:pt>
                <c:pt idx="3">
                  <c:v>389</c:v>
                </c:pt>
                <c:pt idx="4">
                  <c:v>429</c:v>
                </c:pt>
                <c:pt idx="5">
                  <c:v>470</c:v>
                </c:pt>
                <c:pt idx="6">
                  <c:v>507</c:v>
                </c:pt>
                <c:pt idx="7">
                  <c:v>525</c:v>
                </c:pt>
                <c:pt idx="8">
                  <c:v>538</c:v>
                </c:pt>
                <c:pt idx="9">
                  <c:v>525</c:v>
                </c:pt>
                <c:pt idx="10">
                  <c:v>507</c:v>
                </c:pt>
                <c:pt idx="11">
                  <c:v>470</c:v>
                </c:pt>
                <c:pt idx="12">
                  <c:v>429</c:v>
                </c:pt>
                <c:pt idx="13">
                  <c:v>389</c:v>
                </c:pt>
                <c:pt idx="14">
                  <c:v>341</c:v>
                </c:pt>
                <c:pt idx="15">
                  <c:v>299</c:v>
                </c:pt>
                <c:pt idx="16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67-4BA0-AC87-CA34E4DF668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lux_425_900_cct_1_10000!$I$30:$Y$30</c:f>
              <c:numCache>
                <c:formatCode>General</c:formatCode>
                <c:ptCount val="17"/>
                <c:pt idx="0">
                  <c:v>262</c:v>
                </c:pt>
                <c:pt idx="1">
                  <c:v>306</c:v>
                </c:pt>
                <c:pt idx="2">
                  <c:v>354</c:v>
                </c:pt>
                <c:pt idx="3">
                  <c:v>402</c:v>
                </c:pt>
                <c:pt idx="4">
                  <c:v>441</c:v>
                </c:pt>
                <c:pt idx="5">
                  <c:v>483</c:v>
                </c:pt>
                <c:pt idx="6">
                  <c:v>518</c:v>
                </c:pt>
                <c:pt idx="7">
                  <c:v>546</c:v>
                </c:pt>
                <c:pt idx="8">
                  <c:v>549</c:v>
                </c:pt>
                <c:pt idx="9">
                  <c:v>546</c:v>
                </c:pt>
                <c:pt idx="10">
                  <c:v>518</c:v>
                </c:pt>
                <c:pt idx="11">
                  <c:v>483</c:v>
                </c:pt>
                <c:pt idx="12">
                  <c:v>441</c:v>
                </c:pt>
                <c:pt idx="13">
                  <c:v>402</c:v>
                </c:pt>
                <c:pt idx="14">
                  <c:v>354</c:v>
                </c:pt>
                <c:pt idx="15">
                  <c:v>306</c:v>
                </c:pt>
                <c:pt idx="16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6-4C10-A0AA-26CAC03880E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lux_425_900_cct_1_10000!$I$31:$Y$31</c:f>
              <c:numCache>
                <c:formatCode>General</c:formatCode>
                <c:ptCount val="17"/>
                <c:pt idx="0">
                  <c:v>291</c:v>
                </c:pt>
                <c:pt idx="1">
                  <c:v>343</c:v>
                </c:pt>
                <c:pt idx="2">
                  <c:v>398</c:v>
                </c:pt>
                <c:pt idx="3">
                  <c:v>453</c:v>
                </c:pt>
                <c:pt idx="4">
                  <c:v>514</c:v>
                </c:pt>
                <c:pt idx="5">
                  <c:v>564</c:v>
                </c:pt>
                <c:pt idx="6">
                  <c:v>614</c:v>
                </c:pt>
                <c:pt idx="7">
                  <c:v>641</c:v>
                </c:pt>
                <c:pt idx="8">
                  <c:v>653</c:v>
                </c:pt>
                <c:pt idx="9">
                  <c:v>641</c:v>
                </c:pt>
                <c:pt idx="10">
                  <c:v>614</c:v>
                </c:pt>
                <c:pt idx="11">
                  <c:v>564</c:v>
                </c:pt>
                <c:pt idx="12">
                  <c:v>514</c:v>
                </c:pt>
                <c:pt idx="13">
                  <c:v>453</c:v>
                </c:pt>
                <c:pt idx="14">
                  <c:v>398</c:v>
                </c:pt>
                <c:pt idx="15">
                  <c:v>343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06-4C10-A0AA-26CAC03880E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lux_425_900_cct_1_10000!$I$32:$Y$32</c:f>
              <c:numCache>
                <c:formatCode>General</c:formatCode>
                <c:ptCount val="17"/>
                <c:pt idx="0">
                  <c:v>315</c:v>
                </c:pt>
                <c:pt idx="1">
                  <c:v>382</c:v>
                </c:pt>
                <c:pt idx="2">
                  <c:v>442</c:v>
                </c:pt>
                <c:pt idx="3">
                  <c:v>509</c:v>
                </c:pt>
                <c:pt idx="4">
                  <c:v>581</c:v>
                </c:pt>
                <c:pt idx="5">
                  <c:v>653</c:v>
                </c:pt>
                <c:pt idx="6">
                  <c:v>708</c:v>
                </c:pt>
                <c:pt idx="7">
                  <c:v>747</c:v>
                </c:pt>
                <c:pt idx="8">
                  <c:v>763</c:v>
                </c:pt>
                <c:pt idx="9">
                  <c:v>747</c:v>
                </c:pt>
                <c:pt idx="10">
                  <c:v>708</c:v>
                </c:pt>
                <c:pt idx="11">
                  <c:v>653</c:v>
                </c:pt>
                <c:pt idx="12">
                  <c:v>581</c:v>
                </c:pt>
                <c:pt idx="13">
                  <c:v>509</c:v>
                </c:pt>
                <c:pt idx="14">
                  <c:v>442</c:v>
                </c:pt>
                <c:pt idx="15">
                  <c:v>382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6-4C10-A0AA-26CAC03880E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lux_425_900_cct_1_10000!$I$33:$Y$33</c:f>
              <c:numCache>
                <c:formatCode>General</c:formatCode>
                <c:ptCount val="17"/>
                <c:pt idx="0">
                  <c:v>343</c:v>
                </c:pt>
                <c:pt idx="1">
                  <c:v>409</c:v>
                </c:pt>
                <c:pt idx="2">
                  <c:v>481</c:v>
                </c:pt>
                <c:pt idx="3">
                  <c:v>564</c:v>
                </c:pt>
                <c:pt idx="4">
                  <c:v>647</c:v>
                </c:pt>
                <c:pt idx="5">
                  <c:v>735</c:v>
                </c:pt>
                <c:pt idx="6">
                  <c:v>802</c:v>
                </c:pt>
                <c:pt idx="7">
                  <c:v>852</c:v>
                </c:pt>
                <c:pt idx="8">
                  <c:v>868</c:v>
                </c:pt>
                <c:pt idx="9">
                  <c:v>852</c:v>
                </c:pt>
                <c:pt idx="10">
                  <c:v>802</c:v>
                </c:pt>
                <c:pt idx="11">
                  <c:v>730</c:v>
                </c:pt>
                <c:pt idx="12">
                  <c:v>647</c:v>
                </c:pt>
                <c:pt idx="13">
                  <c:v>564</c:v>
                </c:pt>
                <c:pt idx="14">
                  <c:v>481</c:v>
                </c:pt>
                <c:pt idx="15">
                  <c:v>409</c:v>
                </c:pt>
                <c:pt idx="16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06-4C10-A0AA-26CAC03880E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lux_425_900_cct_1_10000!$I$34:$Y$34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520</c:v>
                </c:pt>
                <c:pt idx="3">
                  <c:v>608</c:v>
                </c:pt>
                <c:pt idx="4">
                  <c:v>708</c:v>
                </c:pt>
                <c:pt idx="5">
                  <c:v>802</c:v>
                </c:pt>
                <c:pt idx="6">
                  <c:v>879</c:v>
                </c:pt>
                <c:pt idx="7">
                  <c:v>935</c:v>
                </c:pt>
                <c:pt idx="8">
                  <c:v>951</c:v>
                </c:pt>
                <c:pt idx="9">
                  <c:v>935</c:v>
                </c:pt>
                <c:pt idx="10">
                  <c:v>879</c:v>
                </c:pt>
                <c:pt idx="11">
                  <c:v>802</c:v>
                </c:pt>
                <c:pt idx="12">
                  <c:v>702</c:v>
                </c:pt>
                <c:pt idx="13">
                  <c:v>608</c:v>
                </c:pt>
                <c:pt idx="14">
                  <c:v>514</c:v>
                </c:pt>
                <c:pt idx="15">
                  <c:v>437</c:v>
                </c:pt>
                <c:pt idx="16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06-4C10-A0AA-26CAC03880E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lux_425_900_cct_1_10000!$I$35:$Y$35</c:f>
              <c:numCache>
                <c:formatCode>General</c:formatCode>
                <c:ptCount val="17"/>
                <c:pt idx="0">
                  <c:v>380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747</c:v>
                </c:pt>
                <c:pt idx="5">
                  <c:v>846</c:v>
                </c:pt>
                <c:pt idx="6">
                  <c:v>929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929</c:v>
                </c:pt>
                <c:pt idx="11">
                  <c:v>846</c:v>
                </c:pt>
                <c:pt idx="12">
                  <c:v>741</c:v>
                </c:pt>
                <c:pt idx="13">
                  <c:v>636</c:v>
                </c:pt>
                <c:pt idx="14">
                  <c:v>536</c:v>
                </c:pt>
                <c:pt idx="15">
                  <c:v>453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06-4C10-A0AA-26CAC03880E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lux_425_900_cct_1_10000!$I$36:$Y$36</c:f>
              <c:numCache>
                <c:formatCode>General</c:formatCode>
                <c:ptCount val="17"/>
                <c:pt idx="0">
                  <c:v>378</c:v>
                </c:pt>
                <c:pt idx="1">
                  <c:v>459</c:v>
                </c:pt>
                <c:pt idx="2">
                  <c:v>547</c:v>
                </c:pt>
                <c:pt idx="3">
                  <c:v>647</c:v>
                </c:pt>
                <c:pt idx="4">
                  <c:v>758</c:v>
                </c:pt>
                <c:pt idx="5">
                  <c:v>863</c:v>
                </c:pt>
                <c:pt idx="6">
                  <c:v>946</c:v>
                </c:pt>
                <c:pt idx="7">
                  <c:v>1001</c:v>
                </c:pt>
                <c:pt idx="8">
                  <c:v>1023</c:v>
                </c:pt>
                <c:pt idx="9">
                  <c:v>1001</c:v>
                </c:pt>
                <c:pt idx="10">
                  <c:v>946</c:v>
                </c:pt>
                <c:pt idx="11">
                  <c:v>857</c:v>
                </c:pt>
                <c:pt idx="12">
                  <c:v>752</c:v>
                </c:pt>
                <c:pt idx="13">
                  <c:v>647</c:v>
                </c:pt>
                <c:pt idx="14">
                  <c:v>542</c:v>
                </c:pt>
                <c:pt idx="15">
                  <c:v>459</c:v>
                </c:pt>
                <c:pt idx="16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06-4C10-A0AA-26CAC03880E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lux_425_900_cct_1_10000!$I$37:$Y$37</c:f>
              <c:numCache>
                <c:formatCode>General</c:formatCode>
                <c:ptCount val="17"/>
                <c:pt idx="0">
                  <c:v>372</c:v>
                </c:pt>
                <c:pt idx="1">
                  <c:v>453</c:v>
                </c:pt>
                <c:pt idx="2">
                  <c:v>536</c:v>
                </c:pt>
                <c:pt idx="3">
                  <c:v>636</c:v>
                </c:pt>
                <c:pt idx="4">
                  <c:v>741</c:v>
                </c:pt>
                <c:pt idx="5">
                  <c:v>846</c:v>
                </c:pt>
                <c:pt idx="6">
                  <c:v>929</c:v>
                </c:pt>
                <c:pt idx="7">
                  <c:v>984</c:v>
                </c:pt>
                <c:pt idx="8">
                  <c:v>1001</c:v>
                </c:pt>
                <c:pt idx="9">
                  <c:v>984</c:v>
                </c:pt>
                <c:pt idx="10">
                  <c:v>923</c:v>
                </c:pt>
                <c:pt idx="11">
                  <c:v>841</c:v>
                </c:pt>
                <c:pt idx="12">
                  <c:v>741</c:v>
                </c:pt>
                <c:pt idx="13">
                  <c:v>630</c:v>
                </c:pt>
                <c:pt idx="14">
                  <c:v>536</c:v>
                </c:pt>
                <c:pt idx="15">
                  <c:v>448</c:v>
                </c:pt>
                <c:pt idx="16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06-4C10-A0AA-26CAC03880E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lux_425_900_cct_1_10000!$I$38:$Y$38</c:f>
              <c:numCache>
                <c:formatCode>General</c:formatCode>
                <c:ptCount val="17"/>
                <c:pt idx="0">
                  <c:v>363</c:v>
                </c:pt>
                <c:pt idx="1">
                  <c:v>437</c:v>
                </c:pt>
                <c:pt idx="2">
                  <c:v>514</c:v>
                </c:pt>
                <c:pt idx="3">
                  <c:v>603</c:v>
                </c:pt>
                <c:pt idx="4">
                  <c:v>702</c:v>
                </c:pt>
                <c:pt idx="5">
                  <c:v>796</c:v>
                </c:pt>
                <c:pt idx="6">
                  <c:v>874</c:v>
                </c:pt>
                <c:pt idx="7">
                  <c:v>923</c:v>
                </c:pt>
                <c:pt idx="8">
                  <c:v>946</c:v>
                </c:pt>
                <c:pt idx="9">
                  <c:v>923</c:v>
                </c:pt>
                <c:pt idx="10">
                  <c:v>874</c:v>
                </c:pt>
                <c:pt idx="11">
                  <c:v>791</c:v>
                </c:pt>
                <c:pt idx="12">
                  <c:v>697</c:v>
                </c:pt>
                <c:pt idx="13">
                  <c:v>603</c:v>
                </c:pt>
                <c:pt idx="14">
                  <c:v>509</c:v>
                </c:pt>
                <c:pt idx="15">
                  <c:v>431</c:v>
                </c:pt>
                <c:pt idx="16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06-4C10-A0AA-26CAC03880E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lux_425_900_cct_1_10000!$I$39:$Y$39</c:f>
              <c:numCache>
                <c:formatCode>General</c:formatCode>
                <c:ptCount val="17"/>
                <c:pt idx="0">
                  <c:v>335</c:v>
                </c:pt>
                <c:pt idx="1">
                  <c:v>409</c:v>
                </c:pt>
                <c:pt idx="2">
                  <c:v>476</c:v>
                </c:pt>
                <c:pt idx="3">
                  <c:v>559</c:v>
                </c:pt>
                <c:pt idx="4">
                  <c:v>641</c:v>
                </c:pt>
                <c:pt idx="5">
                  <c:v>724</c:v>
                </c:pt>
                <c:pt idx="6">
                  <c:v>796</c:v>
                </c:pt>
                <c:pt idx="7">
                  <c:v>841</c:v>
                </c:pt>
                <c:pt idx="8">
                  <c:v>857</c:v>
                </c:pt>
                <c:pt idx="9">
                  <c:v>841</c:v>
                </c:pt>
                <c:pt idx="10">
                  <c:v>791</c:v>
                </c:pt>
                <c:pt idx="11">
                  <c:v>719</c:v>
                </c:pt>
                <c:pt idx="12">
                  <c:v>636</c:v>
                </c:pt>
                <c:pt idx="13">
                  <c:v>553</c:v>
                </c:pt>
                <c:pt idx="14">
                  <c:v>476</c:v>
                </c:pt>
                <c:pt idx="15">
                  <c:v>404</c:v>
                </c:pt>
                <c:pt idx="16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06-4C10-A0AA-26CAC03880E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lux_425_900_cct_1_10000!$I$40:$Y$40</c:f>
              <c:numCache>
                <c:formatCode>General</c:formatCode>
                <c:ptCount val="17"/>
                <c:pt idx="0">
                  <c:v>317</c:v>
                </c:pt>
                <c:pt idx="1">
                  <c:v>376</c:v>
                </c:pt>
                <c:pt idx="2">
                  <c:v>437</c:v>
                </c:pt>
                <c:pt idx="3">
                  <c:v>503</c:v>
                </c:pt>
                <c:pt idx="4">
                  <c:v>570</c:v>
                </c:pt>
                <c:pt idx="5">
                  <c:v>641</c:v>
                </c:pt>
                <c:pt idx="6">
                  <c:v>697</c:v>
                </c:pt>
                <c:pt idx="7">
                  <c:v>735</c:v>
                </c:pt>
                <c:pt idx="8">
                  <c:v>747</c:v>
                </c:pt>
                <c:pt idx="9">
                  <c:v>735</c:v>
                </c:pt>
                <c:pt idx="10">
                  <c:v>697</c:v>
                </c:pt>
                <c:pt idx="11">
                  <c:v>636</c:v>
                </c:pt>
                <c:pt idx="12">
                  <c:v>570</c:v>
                </c:pt>
                <c:pt idx="13">
                  <c:v>498</c:v>
                </c:pt>
                <c:pt idx="14">
                  <c:v>431</c:v>
                </c:pt>
                <c:pt idx="15">
                  <c:v>370</c:v>
                </c:pt>
                <c:pt idx="16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06-4C10-A0AA-26CAC03880E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lux_425_900_cct_1_10000!$I$41:$Y$41</c:f>
              <c:numCache>
                <c:formatCode>General</c:formatCode>
                <c:ptCount val="17"/>
                <c:pt idx="0">
                  <c:v>293</c:v>
                </c:pt>
                <c:pt idx="1">
                  <c:v>337</c:v>
                </c:pt>
                <c:pt idx="2">
                  <c:v>393</c:v>
                </c:pt>
                <c:pt idx="3">
                  <c:v>442</c:v>
                </c:pt>
                <c:pt idx="4">
                  <c:v>498</c:v>
                </c:pt>
                <c:pt idx="5">
                  <c:v>553</c:v>
                </c:pt>
                <c:pt idx="6">
                  <c:v>597</c:v>
                </c:pt>
                <c:pt idx="7">
                  <c:v>630</c:v>
                </c:pt>
                <c:pt idx="8">
                  <c:v>636</c:v>
                </c:pt>
                <c:pt idx="9">
                  <c:v>630</c:v>
                </c:pt>
                <c:pt idx="10">
                  <c:v>597</c:v>
                </c:pt>
                <c:pt idx="11">
                  <c:v>553</c:v>
                </c:pt>
                <c:pt idx="12">
                  <c:v>498</c:v>
                </c:pt>
                <c:pt idx="13">
                  <c:v>442</c:v>
                </c:pt>
                <c:pt idx="14">
                  <c:v>387</c:v>
                </c:pt>
                <c:pt idx="15">
                  <c:v>337</c:v>
                </c:pt>
                <c:pt idx="16">
                  <c:v>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06-4C10-A0AA-26CAC03880E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lux_425_900_cct_1_10000!$I$42:$Y$42</c:f>
              <c:numCache>
                <c:formatCode>General</c:formatCode>
                <c:ptCount val="17"/>
                <c:pt idx="0">
                  <c:v>271</c:v>
                </c:pt>
                <c:pt idx="1">
                  <c:v>300</c:v>
                </c:pt>
                <c:pt idx="2">
                  <c:v>341</c:v>
                </c:pt>
                <c:pt idx="3">
                  <c:v>383</c:v>
                </c:pt>
                <c:pt idx="4">
                  <c:v>431</c:v>
                </c:pt>
                <c:pt idx="5">
                  <c:v>464</c:v>
                </c:pt>
                <c:pt idx="6">
                  <c:v>501</c:v>
                </c:pt>
                <c:pt idx="7">
                  <c:v>520</c:v>
                </c:pt>
                <c:pt idx="8">
                  <c:v>533</c:v>
                </c:pt>
                <c:pt idx="9">
                  <c:v>520</c:v>
                </c:pt>
                <c:pt idx="10">
                  <c:v>501</c:v>
                </c:pt>
                <c:pt idx="11">
                  <c:v>464</c:v>
                </c:pt>
                <c:pt idx="12">
                  <c:v>424</c:v>
                </c:pt>
                <c:pt idx="13">
                  <c:v>383</c:v>
                </c:pt>
                <c:pt idx="14">
                  <c:v>343</c:v>
                </c:pt>
                <c:pt idx="15">
                  <c:v>300</c:v>
                </c:pt>
                <c:pt idx="16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06-4C10-A0AA-26CAC03880E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lux_425_900_cct_1_10000!$I$44:$Y$44</c:f>
              <c:numCache>
                <c:formatCode>General</c:formatCode>
                <c:ptCount val="17"/>
                <c:pt idx="0">
                  <c:v>265</c:v>
                </c:pt>
                <c:pt idx="1">
                  <c:v>311</c:v>
                </c:pt>
                <c:pt idx="2">
                  <c:v>352</c:v>
                </c:pt>
                <c:pt idx="3">
                  <c:v>409</c:v>
                </c:pt>
                <c:pt idx="4">
                  <c:v>451</c:v>
                </c:pt>
                <c:pt idx="5">
                  <c:v>477</c:v>
                </c:pt>
                <c:pt idx="6">
                  <c:v>523</c:v>
                </c:pt>
                <c:pt idx="7">
                  <c:v>546</c:v>
                </c:pt>
                <c:pt idx="8">
                  <c:v>557</c:v>
                </c:pt>
                <c:pt idx="9">
                  <c:v>546</c:v>
                </c:pt>
                <c:pt idx="10">
                  <c:v>523</c:v>
                </c:pt>
                <c:pt idx="11">
                  <c:v>477</c:v>
                </c:pt>
                <c:pt idx="12">
                  <c:v>451</c:v>
                </c:pt>
                <c:pt idx="13">
                  <c:v>394</c:v>
                </c:pt>
                <c:pt idx="14">
                  <c:v>352</c:v>
                </c:pt>
                <c:pt idx="15">
                  <c:v>311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6-4E62-A892-16E861532C18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lux_425_900_cct_1_10000!$I$45:$Y$45</c:f>
              <c:numCache>
                <c:formatCode>General</c:formatCode>
                <c:ptCount val="17"/>
                <c:pt idx="0">
                  <c:v>296</c:v>
                </c:pt>
                <c:pt idx="1">
                  <c:v>341</c:v>
                </c:pt>
                <c:pt idx="2">
                  <c:v>398</c:v>
                </c:pt>
                <c:pt idx="3">
                  <c:v>455</c:v>
                </c:pt>
                <c:pt idx="4">
                  <c:v>512</c:v>
                </c:pt>
                <c:pt idx="5">
                  <c:v>568</c:v>
                </c:pt>
                <c:pt idx="6">
                  <c:v>614</c:v>
                </c:pt>
                <c:pt idx="7">
                  <c:v>637</c:v>
                </c:pt>
                <c:pt idx="8">
                  <c:v>648</c:v>
                </c:pt>
                <c:pt idx="9">
                  <c:v>637</c:v>
                </c:pt>
                <c:pt idx="10">
                  <c:v>614</c:v>
                </c:pt>
                <c:pt idx="11">
                  <c:v>568</c:v>
                </c:pt>
                <c:pt idx="12">
                  <c:v>512</c:v>
                </c:pt>
                <c:pt idx="13">
                  <c:v>455</c:v>
                </c:pt>
                <c:pt idx="14">
                  <c:v>398</c:v>
                </c:pt>
                <c:pt idx="15">
                  <c:v>341</c:v>
                </c:pt>
                <c:pt idx="16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26-4E62-A892-16E861532C18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lux_425_900_cct_1_10000!$I$46:$Y$46</c:f>
              <c:numCache>
                <c:formatCode>General</c:formatCode>
                <c:ptCount val="17"/>
                <c:pt idx="0">
                  <c:v>314</c:v>
                </c:pt>
                <c:pt idx="1">
                  <c:v>375</c:v>
                </c:pt>
                <c:pt idx="2">
                  <c:v>443</c:v>
                </c:pt>
                <c:pt idx="3">
                  <c:v>512</c:v>
                </c:pt>
                <c:pt idx="4">
                  <c:v>580</c:v>
                </c:pt>
                <c:pt idx="5">
                  <c:v>648</c:v>
                </c:pt>
                <c:pt idx="6">
                  <c:v>705</c:v>
                </c:pt>
                <c:pt idx="7">
                  <c:v>750</c:v>
                </c:pt>
                <c:pt idx="8">
                  <c:v>762</c:v>
                </c:pt>
                <c:pt idx="9">
                  <c:v>750</c:v>
                </c:pt>
                <c:pt idx="10">
                  <c:v>705</c:v>
                </c:pt>
                <c:pt idx="11">
                  <c:v>648</c:v>
                </c:pt>
                <c:pt idx="12">
                  <c:v>580</c:v>
                </c:pt>
                <c:pt idx="13">
                  <c:v>512</c:v>
                </c:pt>
                <c:pt idx="14">
                  <c:v>443</c:v>
                </c:pt>
                <c:pt idx="15">
                  <c:v>375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26-4E62-A892-16E861532C18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lux_425_900_cct_1_10000!$I$47:$Y$47</c:f>
              <c:numCache>
                <c:formatCode>General</c:formatCode>
                <c:ptCount val="17"/>
                <c:pt idx="0">
                  <c:v>349</c:v>
                </c:pt>
                <c:pt idx="1">
                  <c:v>409</c:v>
                </c:pt>
                <c:pt idx="2">
                  <c:v>489</c:v>
                </c:pt>
                <c:pt idx="3">
                  <c:v>568</c:v>
                </c:pt>
                <c:pt idx="4">
                  <c:v>648</c:v>
                </c:pt>
                <c:pt idx="5">
                  <c:v>739</c:v>
                </c:pt>
                <c:pt idx="6">
                  <c:v>807</c:v>
                </c:pt>
                <c:pt idx="7">
                  <c:v>853</c:v>
                </c:pt>
                <c:pt idx="8">
                  <c:v>864</c:v>
                </c:pt>
                <c:pt idx="9">
                  <c:v>853</c:v>
                </c:pt>
                <c:pt idx="10">
                  <c:v>807</c:v>
                </c:pt>
                <c:pt idx="11">
                  <c:v>727</c:v>
                </c:pt>
                <c:pt idx="12">
                  <c:v>648</c:v>
                </c:pt>
                <c:pt idx="13">
                  <c:v>557</c:v>
                </c:pt>
                <c:pt idx="14">
                  <c:v>477</c:v>
                </c:pt>
                <c:pt idx="15">
                  <c:v>409</c:v>
                </c:pt>
                <c:pt idx="16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26-4E62-A892-16E861532C18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lux_425_900_cct_1_10000!$I$48:$Y$48</c:f>
              <c:numCache>
                <c:formatCode>General</c:formatCode>
                <c:ptCount val="17"/>
                <c:pt idx="0">
                  <c:v>371</c:v>
                </c:pt>
                <c:pt idx="1">
                  <c:v>432</c:v>
                </c:pt>
                <c:pt idx="2">
                  <c:v>512</c:v>
                </c:pt>
                <c:pt idx="3">
                  <c:v>614</c:v>
                </c:pt>
                <c:pt idx="4">
                  <c:v>705</c:v>
                </c:pt>
                <c:pt idx="5">
                  <c:v>807</c:v>
                </c:pt>
                <c:pt idx="6">
                  <c:v>887</c:v>
                </c:pt>
                <c:pt idx="7">
                  <c:v>932</c:v>
                </c:pt>
                <c:pt idx="8">
                  <c:v>955</c:v>
                </c:pt>
                <c:pt idx="9">
                  <c:v>932</c:v>
                </c:pt>
                <c:pt idx="10">
                  <c:v>887</c:v>
                </c:pt>
                <c:pt idx="11">
                  <c:v>807</c:v>
                </c:pt>
                <c:pt idx="12">
                  <c:v>705</c:v>
                </c:pt>
                <c:pt idx="13">
                  <c:v>602</c:v>
                </c:pt>
                <c:pt idx="14">
                  <c:v>512</c:v>
                </c:pt>
                <c:pt idx="15">
                  <c:v>432</c:v>
                </c:pt>
                <c:pt idx="16">
                  <c:v>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26-4E62-A892-16E861532C18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lux_425_900_cct_1_10000!$I$49:$Y$49</c:f>
              <c:numCache>
                <c:formatCode>General</c:formatCode>
                <c:ptCount val="17"/>
                <c:pt idx="0">
                  <c:v>379</c:v>
                </c:pt>
                <c:pt idx="1">
                  <c:v>455</c:v>
                </c:pt>
                <c:pt idx="2">
                  <c:v>534</c:v>
                </c:pt>
                <c:pt idx="3">
                  <c:v>637</c:v>
                </c:pt>
                <c:pt idx="4">
                  <c:v>750</c:v>
                </c:pt>
                <c:pt idx="5">
                  <c:v>853</c:v>
                </c:pt>
                <c:pt idx="6">
                  <c:v>932</c:v>
                </c:pt>
                <c:pt idx="7">
                  <c:v>989</c:v>
                </c:pt>
                <c:pt idx="8">
                  <c:v>1000</c:v>
                </c:pt>
                <c:pt idx="9">
                  <c:v>989</c:v>
                </c:pt>
                <c:pt idx="10">
                  <c:v>932</c:v>
                </c:pt>
                <c:pt idx="11">
                  <c:v>841</c:v>
                </c:pt>
                <c:pt idx="12">
                  <c:v>739</c:v>
                </c:pt>
                <c:pt idx="13">
                  <c:v>637</c:v>
                </c:pt>
                <c:pt idx="14">
                  <c:v>534</c:v>
                </c:pt>
                <c:pt idx="15">
                  <c:v>443</c:v>
                </c:pt>
                <c:pt idx="16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26-4E62-A892-16E861532C1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lux_425_900_cct_1_10000!$I$50:$Y$50</c:f>
              <c:numCache>
                <c:formatCode>General</c:formatCode>
                <c:ptCount val="17"/>
                <c:pt idx="0">
                  <c:v>379</c:v>
                </c:pt>
                <c:pt idx="1">
                  <c:v>455</c:v>
                </c:pt>
                <c:pt idx="2">
                  <c:v>546</c:v>
                </c:pt>
                <c:pt idx="3">
                  <c:v>648</c:v>
                </c:pt>
                <c:pt idx="4">
                  <c:v>762</c:v>
                </c:pt>
                <c:pt idx="5">
                  <c:v>864</c:v>
                </c:pt>
                <c:pt idx="6">
                  <c:v>943</c:v>
                </c:pt>
                <c:pt idx="7">
                  <c:v>1000</c:v>
                </c:pt>
                <c:pt idx="8">
                  <c:v>1023</c:v>
                </c:pt>
                <c:pt idx="9">
                  <c:v>1000</c:v>
                </c:pt>
                <c:pt idx="10">
                  <c:v>943</c:v>
                </c:pt>
                <c:pt idx="11">
                  <c:v>864</c:v>
                </c:pt>
                <c:pt idx="12">
                  <c:v>750</c:v>
                </c:pt>
                <c:pt idx="13">
                  <c:v>648</c:v>
                </c:pt>
                <c:pt idx="14">
                  <c:v>546</c:v>
                </c:pt>
                <c:pt idx="15">
                  <c:v>455</c:v>
                </c:pt>
                <c:pt idx="16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26-4E62-A892-16E861532C1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lux_425_900_cct_1_10000!$I$51:$Y$51</c:f>
              <c:numCache>
                <c:formatCode>General</c:formatCode>
                <c:ptCount val="17"/>
                <c:pt idx="0">
                  <c:v>383</c:v>
                </c:pt>
                <c:pt idx="1">
                  <c:v>443</c:v>
                </c:pt>
                <c:pt idx="2">
                  <c:v>534</c:v>
                </c:pt>
                <c:pt idx="3">
                  <c:v>637</c:v>
                </c:pt>
                <c:pt idx="4">
                  <c:v>739</c:v>
                </c:pt>
                <c:pt idx="5">
                  <c:v>841</c:v>
                </c:pt>
                <c:pt idx="6">
                  <c:v>932</c:v>
                </c:pt>
                <c:pt idx="7">
                  <c:v>978</c:v>
                </c:pt>
                <c:pt idx="8">
                  <c:v>1000</c:v>
                </c:pt>
                <c:pt idx="9">
                  <c:v>978</c:v>
                </c:pt>
                <c:pt idx="10">
                  <c:v>932</c:v>
                </c:pt>
                <c:pt idx="11">
                  <c:v>841</c:v>
                </c:pt>
                <c:pt idx="12">
                  <c:v>739</c:v>
                </c:pt>
                <c:pt idx="13">
                  <c:v>637</c:v>
                </c:pt>
                <c:pt idx="14">
                  <c:v>534</c:v>
                </c:pt>
                <c:pt idx="15">
                  <c:v>443</c:v>
                </c:pt>
                <c:pt idx="16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26-4E62-A892-16E861532C1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lux_425_900_cct_1_10000!$I$52:$Y$52</c:f>
              <c:numCache>
                <c:formatCode>General</c:formatCode>
                <c:ptCount val="17"/>
                <c:pt idx="0">
                  <c:v>356</c:v>
                </c:pt>
                <c:pt idx="1">
                  <c:v>432</c:v>
                </c:pt>
                <c:pt idx="2">
                  <c:v>512</c:v>
                </c:pt>
                <c:pt idx="3">
                  <c:v>602</c:v>
                </c:pt>
                <c:pt idx="4">
                  <c:v>705</c:v>
                </c:pt>
                <c:pt idx="5">
                  <c:v>796</c:v>
                </c:pt>
                <c:pt idx="6">
                  <c:v>875</c:v>
                </c:pt>
                <c:pt idx="7">
                  <c:v>932</c:v>
                </c:pt>
                <c:pt idx="8">
                  <c:v>943</c:v>
                </c:pt>
                <c:pt idx="9">
                  <c:v>921</c:v>
                </c:pt>
                <c:pt idx="10">
                  <c:v>875</c:v>
                </c:pt>
                <c:pt idx="11">
                  <c:v>796</c:v>
                </c:pt>
                <c:pt idx="12">
                  <c:v>705</c:v>
                </c:pt>
                <c:pt idx="13">
                  <c:v>602</c:v>
                </c:pt>
                <c:pt idx="14">
                  <c:v>512</c:v>
                </c:pt>
                <c:pt idx="15">
                  <c:v>432</c:v>
                </c:pt>
                <c:pt idx="16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26-4E62-A892-16E861532C1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lux_425_900_cct_1_10000!$I$53:$Y$53</c:f>
              <c:numCache>
                <c:formatCode>General</c:formatCode>
                <c:ptCount val="17"/>
                <c:pt idx="0">
                  <c:v>333</c:v>
                </c:pt>
                <c:pt idx="1">
                  <c:v>409</c:v>
                </c:pt>
                <c:pt idx="2">
                  <c:v>477</c:v>
                </c:pt>
                <c:pt idx="3">
                  <c:v>557</c:v>
                </c:pt>
                <c:pt idx="4">
                  <c:v>648</c:v>
                </c:pt>
                <c:pt idx="5">
                  <c:v>727</c:v>
                </c:pt>
                <c:pt idx="6">
                  <c:v>796</c:v>
                </c:pt>
                <c:pt idx="7">
                  <c:v>841</c:v>
                </c:pt>
                <c:pt idx="8">
                  <c:v>853</c:v>
                </c:pt>
                <c:pt idx="9">
                  <c:v>841</c:v>
                </c:pt>
                <c:pt idx="10">
                  <c:v>796</c:v>
                </c:pt>
                <c:pt idx="11">
                  <c:v>727</c:v>
                </c:pt>
                <c:pt idx="12">
                  <c:v>637</c:v>
                </c:pt>
                <c:pt idx="13">
                  <c:v>557</c:v>
                </c:pt>
                <c:pt idx="14">
                  <c:v>477</c:v>
                </c:pt>
                <c:pt idx="15">
                  <c:v>409</c:v>
                </c:pt>
                <c:pt idx="16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26-4E62-A892-16E861532C18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lux_425_900_cct_1_10000!$I$54:$Y$54</c:f>
              <c:numCache>
                <c:formatCode>General</c:formatCode>
                <c:ptCount val="17"/>
                <c:pt idx="0">
                  <c:v>314</c:v>
                </c:pt>
                <c:pt idx="1">
                  <c:v>375</c:v>
                </c:pt>
                <c:pt idx="2">
                  <c:v>432</c:v>
                </c:pt>
                <c:pt idx="3">
                  <c:v>500</c:v>
                </c:pt>
                <c:pt idx="4">
                  <c:v>568</c:v>
                </c:pt>
                <c:pt idx="5">
                  <c:v>637</c:v>
                </c:pt>
                <c:pt idx="6">
                  <c:v>693</c:v>
                </c:pt>
                <c:pt idx="7">
                  <c:v>739</c:v>
                </c:pt>
                <c:pt idx="8">
                  <c:v>750</c:v>
                </c:pt>
                <c:pt idx="9">
                  <c:v>739</c:v>
                </c:pt>
                <c:pt idx="10">
                  <c:v>693</c:v>
                </c:pt>
                <c:pt idx="11">
                  <c:v>637</c:v>
                </c:pt>
                <c:pt idx="12">
                  <c:v>568</c:v>
                </c:pt>
                <c:pt idx="13">
                  <c:v>500</c:v>
                </c:pt>
                <c:pt idx="14">
                  <c:v>432</c:v>
                </c:pt>
                <c:pt idx="15">
                  <c:v>375</c:v>
                </c:pt>
                <c:pt idx="16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26-4E62-A892-16E861532C1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lux_425_900_cct_1_10000!$I$55:$Y$55</c:f>
              <c:numCache>
                <c:formatCode>General</c:formatCode>
                <c:ptCount val="17"/>
                <c:pt idx="0">
                  <c:v>296</c:v>
                </c:pt>
                <c:pt idx="1">
                  <c:v>341</c:v>
                </c:pt>
                <c:pt idx="2">
                  <c:v>386</c:v>
                </c:pt>
                <c:pt idx="3">
                  <c:v>443</c:v>
                </c:pt>
                <c:pt idx="4">
                  <c:v>500</c:v>
                </c:pt>
                <c:pt idx="5">
                  <c:v>557</c:v>
                </c:pt>
                <c:pt idx="6">
                  <c:v>602</c:v>
                </c:pt>
                <c:pt idx="7">
                  <c:v>625</c:v>
                </c:pt>
                <c:pt idx="8">
                  <c:v>637</c:v>
                </c:pt>
                <c:pt idx="9">
                  <c:v>625</c:v>
                </c:pt>
                <c:pt idx="10">
                  <c:v>602</c:v>
                </c:pt>
                <c:pt idx="11">
                  <c:v>557</c:v>
                </c:pt>
                <c:pt idx="12">
                  <c:v>500</c:v>
                </c:pt>
                <c:pt idx="13">
                  <c:v>443</c:v>
                </c:pt>
                <c:pt idx="14">
                  <c:v>386</c:v>
                </c:pt>
                <c:pt idx="15">
                  <c:v>341</c:v>
                </c:pt>
                <c:pt idx="16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26-4E62-A892-16E861532C18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lux_425_900_cct_1_10000!$I$56:$Y$56</c:f>
              <c:numCache>
                <c:formatCode>General</c:formatCode>
                <c:ptCount val="17"/>
                <c:pt idx="0">
                  <c:v>265</c:v>
                </c:pt>
                <c:pt idx="1">
                  <c:v>296</c:v>
                </c:pt>
                <c:pt idx="2">
                  <c:v>341</c:v>
                </c:pt>
                <c:pt idx="3">
                  <c:v>398</c:v>
                </c:pt>
                <c:pt idx="4">
                  <c:v>440</c:v>
                </c:pt>
                <c:pt idx="5">
                  <c:v>466</c:v>
                </c:pt>
                <c:pt idx="6">
                  <c:v>512</c:v>
                </c:pt>
                <c:pt idx="7">
                  <c:v>534</c:v>
                </c:pt>
                <c:pt idx="8">
                  <c:v>530</c:v>
                </c:pt>
                <c:pt idx="9">
                  <c:v>534</c:v>
                </c:pt>
                <c:pt idx="10">
                  <c:v>496</c:v>
                </c:pt>
                <c:pt idx="11">
                  <c:v>466</c:v>
                </c:pt>
                <c:pt idx="12">
                  <c:v>424</c:v>
                </c:pt>
                <c:pt idx="13">
                  <c:v>383</c:v>
                </c:pt>
                <c:pt idx="14">
                  <c:v>341</c:v>
                </c:pt>
                <c:pt idx="15">
                  <c:v>296</c:v>
                </c:pt>
                <c:pt idx="1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26-4E62-A892-16E861532C1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0</xdr:row>
      <xdr:rowOff>205739</xdr:rowOff>
    </xdr:from>
    <xdr:to>
      <xdr:col>34</xdr:col>
      <xdr:colOff>448723</xdr:colOff>
      <xdr:row>16</xdr:row>
      <xdr:rowOff>88899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48F8197-92F0-45BC-A5B0-1D78FD000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1681</xdr:colOff>
      <xdr:row>14</xdr:row>
      <xdr:rowOff>205739</xdr:rowOff>
    </xdr:from>
    <xdr:to>
      <xdr:col>34</xdr:col>
      <xdr:colOff>448721</xdr:colOff>
      <xdr:row>30</xdr:row>
      <xdr:rowOff>88899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318226C8-7579-4957-B689-1A2135B86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1681</xdr:colOff>
      <xdr:row>28</xdr:row>
      <xdr:rowOff>205739</xdr:rowOff>
    </xdr:from>
    <xdr:to>
      <xdr:col>34</xdr:col>
      <xdr:colOff>448721</xdr:colOff>
      <xdr:row>44</xdr:row>
      <xdr:rowOff>88899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86DAF9CC-FC77-4E0D-821D-00065243E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205289</xdr:rowOff>
    </xdr:from>
    <xdr:to>
      <xdr:col>34</xdr:col>
      <xdr:colOff>447040</xdr:colOff>
      <xdr:row>58</xdr:row>
      <xdr:rowOff>88449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AA81DFCC-186E-455E-AEF3-AA3B428020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652C400-3A35-4194-80EB-D5A5D1069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99F3DA4-218C-450B-9F0D-A28820EA7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6662B907-CA79-4B2D-B3B7-F540AC1AC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B1320574-976A-40AC-8C90-D046EC7BA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3C29863-93CD-48C5-B012-DA7FD948EC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C61D38BA-C822-432A-B266-278A595B8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E6FE29D3-9039-4CD9-B9A0-A46021501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38A49DC7-0838-4C88-A824-C025B0ABD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BFF3F0E-1FCC-4FC8-8096-13D4A321D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5DB99C5D-7DFE-4701-AB0B-ABCE4A040C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FE64B419-1752-4FE8-B28E-810335F9C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32F00352-EE79-42A2-A800-BFC25993D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83F63B3-1049-4EE2-A629-43D5DA64C1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1CEE2709-8F04-4FDD-BEC4-DFC3153F7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84720A-A436-47C9-91E3-568BD68DC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1CBF9E95-AF4E-4B9C-B93C-2D480998F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FA907E3-BF5D-4A3C-B0A7-DE9CB7206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9B02AEE-3B07-49C5-85AA-0849394E7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B73EAEA3-25C8-4040-892D-F89B29C03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84DC89A6-4438-44C8-BC4C-FE070C952B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24BF8BD1-99C4-4707-8644-2F52AC20D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5347865-78D0-45B0-B77D-72A669098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65153C53-32C4-43CE-A927-361A71E6A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E088A887-FC56-4F34-A427-A05BCF86A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0</xdr:row>
      <xdr:rowOff>205739</xdr:rowOff>
    </xdr:from>
    <xdr:to>
      <xdr:col>34</xdr:col>
      <xdr:colOff>448723</xdr:colOff>
      <xdr:row>16</xdr:row>
      <xdr:rowOff>88899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B4918F6-71A0-4BD4-AB58-37BF7AA4D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1681</xdr:colOff>
      <xdr:row>14</xdr:row>
      <xdr:rowOff>205739</xdr:rowOff>
    </xdr:from>
    <xdr:to>
      <xdr:col>34</xdr:col>
      <xdr:colOff>448721</xdr:colOff>
      <xdr:row>30</xdr:row>
      <xdr:rowOff>88899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155F3F7-0D20-415C-A287-20CBF1C9A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1681</xdr:colOff>
      <xdr:row>28</xdr:row>
      <xdr:rowOff>205739</xdr:rowOff>
    </xdr:from>
    <xdr:to>
      <xdr:col>34</xdr:col>
      <xdr:colOff>448721</xdr:colOff>
      <xdr:row>44</xdr:row>
      <xdr:rowOff>88899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E0C45115-756A-4FDC-988C-D326287B9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205289</xdr:rowOff>
    </xdr:from>
    <xdr:to>
      <xdr:col>34</xdr:col>
      <xdr:colOff>447040</xdr:colOff>
      <xdr:row>58</xdr:row>
      <xdr:rowOff>88449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BBD2A4D2-98B3-4975-9BD8-97E84D1E1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D8E2137-D57D-4B21-916E-C74E3555A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C92B709-6BE5-4A53-917D-64AFB84F4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A135F84-A1F6-4EFD-AB23-CDC8423DD5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DDC4DDF9-202E-4639-8193-1ED3D1AFF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F60B22B7-0ACB-44C5-A35C-D134C7D19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5A3E441E-4DE0-43A3-94A2-CD33A1BFA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B1E6723C-E617-4748-83D7-36BDDA26A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5F27877F-D198-4F9A-A261-78C15671F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0</xdr:row>
      <xdr:rowOff>205739</xdr:rowOff>
    </xdr:from>
    <xdr:to>
      <xdr:col>34</xdr:col>
      <xdr:colOff>448723</xdr:colOff>
      <xdr:row>16</xdr:row>
      <xdr:rowOff>88899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82E627F-2807-45F4-865F-4BD892038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1681</xdr:colOff>
      <xdr:row>14</xdr:row>
      <xdr:rowOff>205739</xdr:rowOff>
    </xdr:from>
    <xdr:to>
      <xdr:col>34</xdr:col>
      <xdr:colOff>448721</xdr:colOff>
      <xdr:row>30</xdr:row>
      <xdr:rowOff>88899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4808FA6E-418E-4944-B0EF-9DC3C8025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1681</xdr:colOff>
      <xdr:row>28</xdr:row>
      <xdr:rowOff>205739</xdr:rowOff>
    </xdr:from>
    <xdr:to>
      <xdr:col>34</xdr:col>
      <xdr:colOff>448721</xdr:colOff>
      <xdr:row>44</xdr:row>
      <xdr:rowOff>88899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5149F3FB-2287-46F3-91F5-2AA50B90A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205289</xdr:rowOff>
    </xdr:from>
    <xdr:to>
      <xdr:col>34</xdr:col>
      <xdr:colOff>447040</xdr:colOff>
      <xdr:row>58</xdr:row>
      <xdr:rowOff>88449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A01D3245-9171-4F54-8379-C4E628F8A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239</v>
      </c>
      <c r="J2" s="2">
        <f ca="1">INDIRECT("C"&amp;(17*ROW(1:1)+ROW('(default)'!$C$3)-19+IF(COLUMN(D:D)&gt;19,50000,COLUMN(D:D)-1)))</f>
        <v>270</v>
      </c>
      <c r="K2" s="2">
        <f ca="1">INDIRECT("C"&amp;(17*ROW(1:1)+ROW('(default)'!$C$3)-19+IF(COLUMN(E:E)&gt;19,50000,COLUMN(E:E)-1)))</f>
        <v>317</v>
      </c>
      <c r="L2" s="2">
        <f ca="1">INDIRECT("C"&amp;(17*ROW(1:1)+ROW('(default)'!$C$3)-19+IF(COLUMN(F:F)&gt;19,50000,COLUMN(F:F)-1)))</f>
        <v>361</v>
      </c>
      <c r="M2" s="2">
        <f ca="1">INDIRECT("C"&amp;(17*ROW(1:1)+ROW('(default)'!$C$3)-19+IF(COLUMN(G:G)&gt;19,50000,COLUMN(G:G)-1)))</f>
        <v>408</v>
      </c>
      <c r="N2" s="2">
        <f ca="1">INDIRECT("C"&amp;(17*ROW(1:1)+ROW('(default)'!$C$3)-19+IF(COLUMN(H:H)&gt;19,50000,COLUMN(H:H)-1)))</f>
        <v>435</v>
      </c>
      <c r="O2" s="2">
        <f ca="1">INDIRECT("C"&amp;(17*ROW(1:1)+ROW('(default)'!$C$3)-19+IF(COLUMN(I:I)&gt;19,50000,COLUMN(I:I)-1)))</f>
        <v>470</v>
      </c>
      <c r="P2" s="2">
        <f ca="1">INDIRECT("C"&amp;(17*ROW(1:1)+ROW('(default)'!$C$3)-19+IF(COLUMN(J:J)&gt;19,50000,COLUMN(J:J)-1)))</f>
        <v>506</v>
      </c>
      <c r="Q2" s="2">
        <f ca="1">INDIRECT("C"&amp;(17*ROW(1:1)+ROW('(default)'!$C$3)-19+IF(COLUMN(K:K)&gt;19,50000,COLUMN(K:K)-1)))</f>
        <v>502</v>
      </c>
      <c r="R2" s="2">
        <f ca="1">INDIRECT("C"&amp;(17*ROW(1:1)+ROW('(default)'!$C$3)-19+IF(COLUMN(L:L)&gt;19,50000,COLUMN(L:L)-1)))</f>
        <v>506</v>
      </c>
      <c r="S2" s="2">
        <f ca="1">INDIRECT("C"&amp;(17*ROW(1:1)+ROW('(default)'!$C$3)-19+IF(COLUMN(M:M)&gt;19,50000,COLUMN(M:M)-1)))</f>
        <v>482</v>
      </c>
      <c r="T2" s="2">
        <f ca="1">INDIRECT("C"&amp;(17*ROW(1:1)+ROW('(default)'!$C$3)-19+IF(COLUMN(N:N)&gt;19,50000,COLUMN(N:N)-1)))</f>
        <v>451</v>
      </c>
      <c r="U2" s="2">
        <f ca="1">INDIRECT("C"&amp;(17*ROW(1:1)+ROW('(default)'!$C$3)-19+IF(COLUMN(O:O)&gt;19,50000,COLUMN(O:O)-1)))</f>
        <v>408</v>
      </c>
      <c r="V2" s="2">
        <f ca="1">INDIRECT("C"&amp;(17*ROW(1:1)+ROW('(default)'!$C$3)-19+IF(COLUMN(P:P)&gt;19,50000,COLUMN(P:P)-1)))</f>
        <v>361</v>
      </c>
      <c r="W2" s="2">
        <f ca="1">INDIRECT("C"&amp;(17*ROW(1:1)+ROW('(default)'!$C$3)-19+IF(COLUMN(Q:Q)&gt;19,50000,COLUMN(Q:Q)-1)))</f>
        <v>317</v>
      </c>
      <c r="X2" s="2">
        <f ca="1">INDIRECT("C"&amp;(17*ROW(1:1)+ROW('(default)'!$C$3)-19+IF(COLUMN(R:R)&gt;19,50000,COLUMN(R:R)-1)))</f>
        <v>270</v>
      </c>
      <c r="Y2" s="3">
        <f ca="1">INDIRECT("C"&amp;(17*ROW(1:1)+ROW('(default)'!$C$3)-19+IF(COLUMN(S:S)&gt;19,50000,COLUMN(S:S)-1)))</f>
        <v>239</v>
      </c>
      <c r="AG2" s="1"/>
    </row>
    <row r="3" spans="2:33" x14ac:dyDescent="0.3">
      <c r="B3" s="5">
        <v>0</v>
      </c>
      <c r="C3" s="8">
        <v>239</v>
      </c>
      <c r="D3" s="8">
        <v>264</v>
      </c>
      <c r="E3" s="8">
        <v>262</v>
      </c>
      <c r="F3" s="8">
        <v>265</v>
      </c>
      <c r="I3" s="2">
        <f ca="1">INDIRECT("C"&amp;(17*ROW(2:2)+ROW('(default)'!$C$3)-19+IF(COLUMN(C:C)&gt;19,50000,COLUMN(C:C)-1)))</f>
        <v>270</v>
      </c>
      <c r="J3" s="2">
        <f ca="1">INDIRECT("C"&amp;(17*ROW(2:2)+ROW('(default)'!$C$3)-19+IF(COLUMN(D:D)&gt;19,50000,COLUMN(D:D)-1)))</f>
        <v>317</v>
      </c>
      <c r="K3" s="2">
        <f ca="1">INDIRECT("C"&amp;(17*ROW(2:2)+ROW('(default)'!$C$3)-19+IF(COLUMN(E:E)&gt;19,50000,COLUMN(E:E)-1)))</f>
        <v>365</v>
      </c>
      <c r="L3" s="2">
        <f ca="1">INDIRECT("C"&amp;(17*ROW(2:2)+ROW('(default)'!$C$3)-19+IF(COLUMN(F:F)&gt;19,50000,COLUMN(F:F)-1)))</f>
        <v>423</v>
      </c>
      <c r="M3" s="2">
        <f ca="1">INDIRECT("C"&amp;(17*ROW(2:2)+ROW('(default)'!$C$3)-19+IF(COLUMN(G:G)&gt;19,50000,COLUMN(G:G)-1)))</f>
        <v>470</v>
      </c>
      <c r="N3" s="2">
        <f ca="1">INDIRECT("C"&amp;(17*ROW(2:2)+ROW('(default)'!$C$3)-19+IF(COLUMN(H:H)&gt;19,50000,COLUMN(H:H)-1)))</f>
        <v>529</v>
      </c>
      <c r="O3" s="2">
        <f ca="1">INDIRECT("C"&amp;(17*ROW(2:2)+ROW('(default)'!$C$3)-19+IF(COLUMN(I:I)&gt;19,50000,COLUMN(I:I)-1)))</f>
        <v>564</v>
      </c>
      <c r="P3" s="2">
        <f ca="1">INDIRECT("C"&amp;(17*ROW(2:2)+ROW('(default)'!$C$3)-19+IF(COLUMN(J:J)&gt;19,50000,COLUMN(J:J)-1)))</f>
        <v>600</v>
      </c>
      <c r="Q3" s="2">
        <f ca="1">INDIRECT("C"&amp;(17*ROW(2:2)+ROW('(default)'!$C$3)-19+IF(COLUMN(K:K)&gt;19,50000,COLUMN(K:K)-1)))</f>
        <v>611</v>
      </c>
      <c r="R3" s="2">
        <f ca="1">INDIRECT("C"&amp;(17*ROW(2:2)+ROW('(default)'!$C$3)-19+IF(COLUMN(L:L)&gt;19,50000,COLUMN(L:L)-1)))</f>
        <v>600</v>
      </c>
      <c r="S3" s="2">
        <f ca="1">INDIRECT("C"&amp;(17*ROW(2:2)+ROW('(default)'!$C$3)-19+IF(COLUMN(M:M)&gt;19,50000,COLUMN(M:M)-1)))</f>
        <v>576</v>
      </c>
      <c r="T3" s="2">
        <f ca="1">INDIRECT("C"&amp;(17*ROW(2:2)+ROW('(default)'!$C$3)-19+IF(COLUMN(N:N)&gt;19,50000,COLUMN(N:N)-1)))</f>
        <v>529</v>
      </c>
      <c r="U3" s="2">
        <f ca="1">INDIRECT("C"&amp;(17*ROW(2:2)+ROW('(default)'!$C$3)-19+IF(COLUMN(O:O)&gt;19,50000,COLUMN(O:O)-1)))</f>
        <v>470</v>
      </c>
      <c r="V3" s="2">
        <f ca="1">INDIRECT("C"&amp;(17*ROW(2:2)+ROW('(default)'!$C$3)-19+IF(COLUMN(P:P)&gt;19,50000,COLUMN(P:P)-1)))</f>
        <v>423</v>
      </c>
      <c r="W3" s="2">
        <f ca="1">INDIRECT("C"&amp;(17*ROW(2:2)+ROW('(default)'!$C$3)-19+IF(COLUMN(Q:Q)&gt;19,50000,COLUMN(Q:Q)-1)))</f>
        <v>365</v>
      </c>
      <c r="X3" s="2">
        <f ca="1">INDIRECT("C"&amp;(17*ROW(2:2)+ROW('(default)'!$C$3)-19+IF(COLUMN(R:R)&gt;19,50000,COLUMN(R:R)-1)))</f>
        <v>317</v>
      </c>
      <c r="Y3" s="2">
        <f ca="1">INDIRECT("C"&amp;(17*ROW(2:2)+ROW('(default)'!$C$3)-19+IF(COLUMN(S:S)&gt;19,50000,COLUMN(S:S)-1)))</f>
        <v>255</v>
      </c>
      <c r="AG3" s="1"/>
    </row>
    <row r="4" spans="2:33" x14ac:dyDescent="0.3">
      <c r="B4" s="5">
        <v>1</v>
      </c>
      <c r="C4" s="6">
        <v>270</v>
      </c>
      <c r="D4" s="6">
        <v>300</v>
      </c>
      <c r="E4" s="6">
        <v>306</v>
      </c>
      <c r="F4" s="6">
        <v>311</v>
      </c>
      <c r="I4" s="2">
        <f ca="1">INDIRECT("C"&amp;(17*ROW(3:3)+ROW('(default)'!$C$3)-19+IF(COLUMN(C:C)&gt;19,50000,COLUMN(C:C)-1)))</f>
        <v>290</v>
      </c>
      <c r="J4" s="2">
        <f ca="1">INDIRECT("C"&amp;(17*ROW(3:3)+ROW('(default)'!$C$3)-19+IF(COLUMN(D:D)&gt;19,50000,COLUMN(D:D)-1)))</f>
        <v>353</v>
      </c>
      <c r="K4" s="2">
        <f ca="1">INDIRECT("C"&amp;(17*ROW(3:3)+ROW('(default)'!$C$3)-19+IF(COLUMN(E:E)&gt;19,50000,COLUMN(E:E)-1)))</f>
        <v>412</v>
      </c>
      <c r="L4" s="2">
        <f ca="1">INDIRECT("C"&amp;(17*ROW(3:3)+ROW('(default)'!$C$3)-19+IF(COLUMN(F:F)&gt;19,50000,COLUMN(F:F)-1)))</f>
        <v>470</v>
      </c>
      <c r="M4" s="2">
        <f ca="1">INDIRECT("C"&amp;(17*ROW(3:3)+ROW('(default)'!$C$3)-19+IF(COLUMN(G:G)&gt;19,50000,COLUMN(G:G)-1)))</f>
        <v>541</v>
      </c>
      <c r="N4" s="2">
        <f ca="1">INDIRECT("C"&amp;(17*ROW(3:3)+ROW('(default)'!$C$3)-19+IF(COLUMN(H:H)&gt;19,50000,COLUMN(H:H)-1)))</f>
        <v>611</v>
      </c>
      <c r="O4" s="2">
        <f ca="1">INDIRECT("C"&amp;(17*ROW(3:3)+ROW('(default)'!$C$3)-19+IF(COLUMN(I:I)&gt;19,50000,COLUMN(I:I)-1)))</f>
        <v>670</v>
      </c>
      <c r="P4" s="2">
        <f ca="1">INDIRECT("C"&amp;(17*ROW(3:3)+ROW('(default)'!$C$3)-19+IF(COLUMN(J:J)&gt;19,50000,COLUMN(J:J)-1)))</f>
        <v>706</v>
      </c>
      <c r="Q4" s="2">
        <f ca="1">INDIRECT("C"&amp;(17*ROW(3:3)+ROW('(default)'!$C$3)-19+IF(COLUMN(K:K)&gt;19,50000,COLUMN(K:K)-1)))</f>
        <v>717</v>
      </c>
      <c r="R4" s="2">
        <f ca="1">INDIRECT("C"&amp;(17*ROW(3:3)+ROW('(default)'!$C$3)-19+IF(COLUMN(L:L)&gt;19,50000,COLUMN(L:L)-1)))</f>
        <v>706</v>
      </c>
      <c r="S4" s="2">
        <f ca="1">INDIRECT("C"&amp;(17*ROW(3:3)+ROW('(default)'!$C$3)-19+IF(COLUMN(M:M)&gt;19,50000,COLUMN(M:M)-1)))</f>
        <v>670</v>
      </c>
      <c r="T4" s="2">
        <f ca="1">INDIRECT("C"&amp;(17*ROW(3:3)+ROW('(default)'!$C$3)-19+IF(COLUMN(N:N)&gt;19,50000,COLUMN(N:N)-1)))</f>
        <v>611</v>
      </c>
      <c r="U4" s="2">
        <f ca="1">INDIRECT("C"&amp;(17*ROW(3:3)+ROW('(default)'!$C$3)-19+IF(COLUMN(O:O)&gt;19,50000,COLUMN(O:O)-1)))</f>
        <v>541</v>
      </c>
      <c r="V4" s="2">
        <f ca="1">INDIRECT("C"&amp;(17*ROW(3:3)+ROW('(default)'!$C$3)-19+IF(COLUMN(P:P)&gt;19,50000,COLUMN(P:P)-1)))</f>
        <v>470</v>
      </c>
      <c r="W4" s="2">
        <f ca="1">INDIRECT("C"&amp;(17*ROW(3:3)+ROW('(default)'!$C$3)-19+IF(COLUMN(Q:Q)&gt;19,50000,COLUMN(Q:Q)-1)))</f>
        <v>412</v>
      </c>
      <c r="X4" s="2">
        <f ca="1">INDIRECT("C"&amp;(17*ROW(3:3)+ROW('(default)'!$C$3)-19+IF(COLUMN(R:R)&gt;19,50000,COLUMN(R:R)-1)))</f>
        <v>353</v>
      </c>
      <c r="Y4" s="2">
        <f ca="1">INDIRECT("C"&amp;(17*ROW(3:3)+ROW('(default)'!$C$3)-19+IF(COLUMN(S:S)&gt;19,50000,COLUMN(S:S)-1)))</f>
        <v>290</v>
      </c>
      <c r="AG4" s="1"/>
    </row>
    <row r="5" spans="2:33" x14ac:dyDescent="0.3">
      <c r="B5" s="5">
        <v>2</v>
      </c>
      <c r="C5" s="6">
        <v>317</v>
      </c>
      <c r="D5" s="6">
        <v>348</v>
      </c>
      <c r="E5" s="6">
        <v>354</v>
      </c>
      <c r="F5" s="6">
        <v>352</v>
      </c>
      <c r="I5" s="2">
        <f ca="1">INDIRECT("C"&amp;(17*ROW(4:4)+ROW('(default)'!$C$3)-19+IF(COLUMN(C:C)&gt;19,50000,COLUMN(C:C)-1)))</f>
        <v>314</v>
      </c>
      <c r="J5" s="2">
        <f ca="1">INDIRECT("C"&amp;(17*ROW(4:4)+ROW('(default)'!$C$3)-19+IF(COLUMN(D:D)&gt;19,50000,COLUMN(D:D)-1)))</f>
        <v>376</v>
      </c>
      <c r="K5" s="2">
        <f ca="1">INDIRECT("C"&amp;(17*ROW(4:4)+ROW('(default)'!$C$3)-19+IF(COLUMN(E:E)&gt;19,50000,COLUMN(E:E)-1)))</f>
        <v>447</v>
      </c>
      <c r="L5" s="2">
        <f ca="1">INDIRECT("C"&amp;(17*ROW(4:4)+ROW('(default)'!$C$3)-19+IF(COLUMN(F:F)&gt;19,50000,COLUMN(F:F)-1)))</f>
        <v>529</v>
      </c>
      <c r="M5" s="2">
        <f ca="1">INDIRECT("C"&amp;(17*ROW(4:4)+ROW('(default)'!$C$3)-19+IF(COLUMN(G:G)&gt;19,50000,COLUMN(G:G)-1)))</f>
        <v>611</v>
      </c>
      <c r="N5" s="2">
        <f ca="1">INDIRECT("C"&amp;(17*ROW(4:4)+ROW('(default)'!$C$3)-19+IF(COLUMN(H:H)&gt;19,50000,COLUMN(H:H)-1)))</f>
        <v>694</v>
      </c>
      <c r="O5" s="2">
        <f ca="1">INDIRECT("C"&amp;(17*ROW(4:4)+ROW('(default)'!$C$3)-19+IF(COLUMN(I:I)&gt;19,50000,COLUMN(I:I)-1)))</f>
        <v>764</v>
      </c>
      <c r="P5" s="2">
        <f ca="1">INDIRECT("C"&amp;(17*ROW(4:4)+ROW('(default)'!$C$3)-19+IF(COLUMN(J:J)&gt;19,50000,COLUMN(J:J)-1)))</f>
        <v>811</v>
      </c>
      <c r="Q5" s="2">
        <f ca="1">INDIRECT("C"&amp;(17*ROW(4:4)+ROW('(default)'!$C$3)-19+IF(COLUMN(K:K)&gt;19,50000,COLUMN(K:K)-1)))</f>
        <v>835</v>
      </c>
      <c r="R5" s="2">
        <f ca="1">INDIRECT("C"&amp;(17*ROW(4:4)+ROW('(default)'!$C$3)-19+IF(COLUMN(L:L)&gt;19,50000,COLUMN(L:L)-1)))</f>
        <v>811</v>
      </c>
      <c r="S5" s="2">
        <f ca="1">INDIRECT("C"&amp;(17*ROW(4:4)+ROW('(default)'!$C$3)-19+IF(COLUMN(M:M)&gt;19,50000,COLUMN(M:M)-1)))</f>
        <v>764</v>
      </c>
      <c r="T5" s="2">
        <f ca="1">INDIRECT("C"&amp;(17*ROW(4:4)+ROW('(default)'!$C$3)-19+IF(COLUMN(N:N)&gt;19,50000,COLUMN(N:N)-1)))</f>
        <v>694</v>
      </c>
      <c r="U5" s="2">
        <f ca="1">INDIRECT("C"&amp;(17*ROW(4:4)+ROW('(default)'!$C$3)-19+IF(COLUMN(O:O)&gt;19,50000,COLUMN(O:O)-1)))</f>
        <v>611</v>
      </c>
      <c r="V5" s="2">
        <f ca="1">INDIRECT("C"&amp;(17*ROW(4:4)+ROW('(default)'!$C$3)-19+IF(COLUMN(P:P)&gt;19,50000,COLUMN(P:P)-1)))</f>
        <v>529</v>
      </c>
      <c r="W5" s="2">
        <f ca="1">INDIRECT("C"&amp;(17*ROW(4:4)+ROW('(default)'!$C$3)-19+IF(COLUMN(Q:Q)&gt;19,50000,COLUMN(Q:Q)-1)))</f>
        <v>447</v>
      </c>
      <c r="X5" s="2">
        <f ca="1">INDIRECT("C"&amp;(17*ROW(4:4)+ROW('(default)'!$C$3)-19+IF(COLUMN(R:R)&gt;19,50000,COLUMN(R:R)-1)))</f>
        <v>376</v>
      </c>
      <c r="Y5" s="2">
        <f ca="1">INDIRECT("C"&amp;(17*ROW(4:4)+ROW('(default)'!$C$3)-19+IF(COLUMN(S:S)&gt;19,50000,COLUMN(S:S)-1)))</f>
        <v>314</v>
      </c>
      <c r="AG5" s="1"/>
    </row>
    <row r="6" spans="2:33" x14ac:dyDescent="0.3">
      <c r="B6" s="5">
        <v>3</v>
      </c>
      <c r="C6" s="6">
        <v>361</v>
      </c>
      <c r="D6" s="6">
        <v>396</v>
      </c>
      <c r="E6" s="6">
        <v>402</v>
      </c>
      <c r="F6" s="6">
        <v>409</v>
      </c>
      <c r="I6" s="2">
        <f ca="1">INDIRECT("C"&amp;(17*ROW(5:5)+ROW('(default)'!$C$3)-19+IF(COLUMN(C:C)&gt;19,50000,COLUMN(C:C)-1)))</f>
        <v>333</v>
      </c>
      <c r="J6" s="2">
        <f ca="1">INDIRECT("C"&amp;(17*ROW(5:5)+ROW('(default)'!$C$3)-19+IF(COLUMN(D:D)&gt;19,50000,COLUMN(D:D)-1)))</f>
        <v>412</v>
      </c>
      <c r="K6" s="2">
        <f ca="1">INDIRECT("C"&amp;(17*ROW(5:5)+ROW('(default)'!$C$3)-19+IF(COLUMN(E:E)&gt;19,50000,COLUMN(E:E)-1)))</f>
        <v>482</v>
      </c>
      <c r="L6" s="2">
        <f ca="1">INDIRECT("C"&amp;(17*ROW(5:5)+ROW('(default)'!$C$3)-19+IF(COLUMN(F:F)&gt;19,50000,COLUMN(F:F)-1)))</f>
        <v>576</v>
      </c>
      <c r="M6" s="2">
        <f ca="1">INDIRECT("C"&amp;(17*ROW(5:5)+ROW('(default)'!$C$3)-19+IF(COLUMN(G:G)&gt;19,50000,COLUMN(G:G)-1)))</f>
        <v>670</v>
      </c>
      <c r="N6" s="2">
        <f ca="1">INDIRECT("C"&amp;(17*ROW(5:5)+ROW('(default)'!$C$3)-19+IF(COLUMN(H:H)&gt;19,50000,COLUMN(H:H)-1)))</f>
        <v>764</v>
      </c>
      <c r="O6" s="2">
        <f ca="1">INDIRECT("C"&amp;(17*ROW(5:5)+ROW('(default)'!$C$3)-19+IF(COLUMN(I:I)&gt;19,50000,COLUMN(I:I)-1)))</f>
        <v>847</v>
      </c>
      <c r="P6" s="2">
        <f ca="1">INDIRECT("C"&amp;(17*ROW(5:5)+ROW('(default)'!$C$3)-19+IF(COLUMN(J:J)&gt;19,50000,COLUMN(J:J)-1)))</f>
        <v>905</v>
      </c>
      <c r="Q6" s="2">
        <f ca="1">INDIRECT("C"&amp;(17*ROW(5:5)+ROW('(default)'!$C$3)-19+IF(COLUMN(K:K)&gt;19,50000,COLUMN(K:K)-1)))</f>
        <v>929</v>
      </c>
      <c r="R6" s="2">
        <f ca="1">INDIRECT("C"&amp;(17*ROW(5:5)+ROW('(default)'!$C$3)-19+IF(COLUMN(L:L)&gt;19,50000,COLUMN(L:L)-1)))</f>
        <v>905</v>
      </c>
      <c r="S6" s="2">
        <f ca="1">INDIRECT("C"&amp;(17*ROW(5:5)+ROW('(default)'!$C$3)-19+IF(COLUMN(M:M)&gt;19,50000,COLUMN(M:M)-1)))</f>
        <v>847</v>
      </c>
      <c r="T6" s="2">
        <f ca="1">INDIRECT("C"&amp;(17*ROW(5:5)+ROW('(default)'!$C$3)-19+IF(COLUMN(N:N)&gt;19,50000,COLUMN(N:N)-1)))</f>
        <v>764</v>
      </c>
      <c r="U6" s="2">
        <f ca="1">INDIRECT("C"&amp;(17*ROW(5:5)+ROW('(default)'!$C$3)-19+IF(COLUMN(O:O)&gt;19,50000,COLUMN(O:O)-1)))</f>
        <v>670</v>
      </c>
      <c r="V6" s="2">
        <f ca="1">INDIRECT("C"&amp;(17*ROW(5:5)+ROW('(default)'!$C$3)-19+IF(COLUMN(P:P)&gt;19,50000,COLUMN(P:P)-1)))</f>
        <v>576</v>
      </c>
      <c r="W6" s="2">
        <f ca="1">INDIRECT("C"&amp;(17*ROW(5:5)+ROW('(default)'!$C$3)-19+IF(COLUMN(Q:Q)&gt;19,50000,COLUMN(Q:Q)-1)))</f>
        <v>482</v>
      </c>
      <c r="X6" s="2">
        <f ca="1">INDIRECT("C"&amp;(17*ROW(5:5)+ROW('(default)'!$C$3)-19+IF(COLUMN(R:R)&gt;19,50000,COLUMN(R:R)-1)))</f>
        <v>400</v>
      </c>
      <c r="Y6" s="2">
        <f ca="1">INDIRECT("C"&amp;(17*ROW(5:5)+ROW('(default)'!$C$3)-19+IF(COLUMN(S:S)&gt;19,50000,COLUMN(S:S)-1)))</f>
        <v>337</v>
      </c>
      <c r="AG6" s="1"/>
    </row>
    <row r="7" spans="2:33" x14ac:dyDescent="0.3">
      <c r="B7" s="5">
        <v>4</v>
      </c>
      <c r="C7" s="6">
        <v>408</v>
      </c>
      <c r="D7" s="6">
        <v>437</v>
      </c>
      <c r="E7" s="6">
        <v>441</v>
      </c>
      <c r="F7" s="6">
        <v>451</v>
      </c>
      <c r="I7" s="2">
        <f ca="1">INDIRECT("C"&amp;(17*ROW(6:6)+ROW('(default)'!$C$3)-19+IF(COLUMN(C:C)&gt;19,50000,COLUMN(C:C)-1)))</f>
        <v>345</v>
      </c>
      <c r="J7" s="2">
        <f ca="1">INDIRECT("C"&amp;(17*ROW(6:6)+ROW('(default)'!$C$3)-19+IF(COLUMN(D:D)&gt;19,50000,COLUMN(D:D)-1)))</f>
        <v>423</v>
      </c>
      <c r="K7" s="2">
        <f ca="1">INDIRECT("C"&amp;(17*ROW(6:6)+ROW('(default)'!$C$3)-19+IF(COLUMN(E:E)&gt;19,50000,COLUMN(E:E)-1)))</f>
        <v>506</v>
      </c>
      <c r="L7" s="2">
        <f ca="1">INDIRECT("C"&amp;(17*ROW(6:6)+ROW('(default)'!$C$3)-19+IF(COLUMN(F:F)&gt;19,50000,COLUMN(F:F)-1)))</f>
        <v>600</v>
      </c>
      <c r="M7" s="2">
        <f ca="1">INDIRECT("C"&amp;(17*ROW(6:6)+ROW('(default)'!$C$3)-19+IF(COLUMN(G:G)&gt;19,50000,COLUMN(G:G)-1)))</f>
        <v>706</v>
      </c>
      <c r="N7" s="2">
        <f ca="1">INDIRECT("C"&amp;(17*ROW(6:6)+ROW('(default)'!$C$3)-19+IF(COLUMN(H:H)&gt;19,50000,COLUMN(H:H)-1)))</f>
        <v>811</v>
      </c>
      <c r="O7" s="2">
        <f ca="1">INDIRECT("C"&amp;(17*ROW(6:6)+ROW('(default)'!$C$3)-19+IF(COLUMN(I:I)&gt;19,50000,COLUMN(I:I)-1)))</f>
        <v>905</v>
      </c>
      <c r="P7" s="2">
        <f ca="1">INDIRECT("C"&amp;(17*ROW(6:6)+ROW('(default)'!$C$3)-19+IF(COLUMN(J:J)&gt;19,50000,COLUMN(J:J)-1)))</f>
        <v>964</v>
      </c>
      <c r="Q7" s="2">
        <f ca="1">INDIRECT("C"&amp;(17*ROW(6:6)+ROW('(default)'!$C$3)-19+IF(COLUMN(K:K)&gt;19,50000,COLUMN(K:K)-1)))</f>
        <v>988</v>
      </c>
      <c r="R7" s="2">
        <f ca="1">INDIRECT("C"&amp;(17*ROW(6:6)+ROW('(default)'!$C$3)-19+IF(COLUMN(L:L)&gt;19,50000,COLUMN(L:L)-1)))</f>
        <v>976</v>
      </c>
      <c r="S7" s="2">
        <f ca="1">INDIRECT("C"&amp;(17*ROW(6:6)+ROW('(default)'!$C$3)-19+IF(COLUMN(M:M)&gt;19,50000,COLUMN(M:M)-1)))</f>
        <v>905</v>
      </c>
      <c r="T7" s="2">
        <f ca="1">INDIRECT("C"&amp;(17*ROW(6:6)+ROW('(default)'!$C$3)-19+IF(COLUMN(N:N)&gt;19,50000,COLUMN(N:N)-1)))</f>
        <v>811</v>
      </c>
      <c r="U7" s="2">
        <f ca="1">INDIRECT("C"&amp;(17*ROW(6:6)+ROW('(default)'!$C$3)-19+IF(COLUMN(O:O)&gt;19,50000,COLUMN(O:O)-1)))</f>
        <v>706</v>
      </c>
      <c r="V7" s="2">
        <f ca="1">INDIRECT("C"&amp;(17*ROW(6:6)+ROW('(default)'!$C$3)-19+IF(COLUMN(P:P)&gt;19,50000,COLUMN(P:P)-1)))</f>
        <v>600</v>
      </c>
      <c r="W7" s="2">
        <f ca="1">INDIRECT("C"&amp;(17*ROW(6:6)+ROW('(default)'!$C$3)-19+IF(COLUMN(Q:Q)&gt;19,50000,COLUMN(Q:Q)-1)))</f>
        <v>506</v>
      </c>
      <c r="X7" s="2">
        <f ca="1">INDIRECT("C"&amp;(17*ROW(6:6)+ROW('(default)'!$C$3)-19+IF(COLUMN(R:R)&gt;19,50000,COLUMN(R:R)-1)))</f>
        <v>423</v>
      </c>
      <c r="Y7" s="2">
        <f ca="1">INDIRECT("C"&amp;(17*ROW(6:6)+ROW('(default)'!$C$3)-19+IF(COLUMN(S:S)&gt;19,50000,COLUMN(S:S)-1)))</f>
        <v>345</v>
      </c>
      <c r="AG7" s="1"/>
    </row>
    <row r="8" spans="2:33" x14ac:dyDescent="0.3">
      <c r="B8" s="5">
        <v>5</v>
      </c>
      <c r="C8" s="6">
        <v>435</v>
      </c>
      <c r="D8" s="6">
        <v>477</v>
      </c>
      <c r="E8" s="6">
        <v>483</v>
      </c>
      <c r="F8" s="6">
        <v>477</v>
      </c>
      <c r="I8" s="2">
        <f ca="1">INDIRECT("C"&amp;(17*ROW(7:7)+ROW('(default)'!$C$3)-19+IF(COLUMN(C:C)&gt;19,50000,COLUMN(C:C)-1)))</f>
        <v>357</v>
      </c>
      <c r="J8" s="2">
        <f ca="1">INDIRECT("C"&amp;(17*ROW(7:7)+ROW('(default)'!$C$3)-19+IF(COLUMN(D:D)&gt;19,50000,COLUMN(D:D)-1)))</f>
        <v>435</v>
      </c>
      <c r="K8" s="2">
        <f ca="1">INDIRECT("C"&amp;(17*ROW(7:7)+ROW('(default)'!$C$3)-19+IF(COLUMN(E:E)&gt;19,50000,COLUMN(E:E)-1)))</f>
        <v>517</v>
      </c>
      <c r="L8" s="2">
        <f ca="1">INDIRECT("C"&amp;(17*ROW(7:7)+ROW('(default)'!$C$3)-19+IF(COLUMN(F:F)&gt;19,50000,COLUMN(F:F)-1)))</f>
        <v>611</v>
      </c>
      <c r="M8" s="2">
        <f ca="1">INDIRECT("C"&amp;(17*ROW(7:7)+ROW('(default)'!$C$3)-19+IF(COLUMN(G:G)&gt;19,50000,COLUMN(G:G)-1)))</f>
        <v>729</v>
      </c>
      <c r="N8" s="2">
        <f ca="1">INDIRECT("C"&amp;(17*ROW(7:7)+ROW('(default)'!$C$3)-19+IF(COLUMN(H:H)&gt;19,50000,COLUMN(H:H)-1)))</f>
        <v>835</v>
      </c>
      <c r="O8" s="2">
        <f ca="1">INDIRECT("C"&amp;(17*ROW(7:7)+ROW('(default)'!$C$3)-19+IF(COLUMN(I:I)&gt;19,50000,COLUMN(I:I)-1)))</f>
        <v>929</v>
      </c>
      <c r="P8" s="2">
        <f ca="1">INDIRECT("C"&amp;(17*ROW(7:7)+ROW('(default)'!$C$3)-19+IF(COLUMN(J:J)&gt;19,50000,COLUMN(J:J)-1)))</f>
        <v>999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999</v>
      </c>
      <c r="S8" s="2">
        <f ca="1">INDIRECT("C"&amp;(17*ROW(7:7)+ROW('(default)'!$C$3)-19+IF(COLUMN(M:M)&gt;19,50000,COLUMN(M:M)-1)))</f>
        <v>941</v>
      </c>
      <c r="T8" s="2">
        <f ca="1">INDIRECT("C"&amp;(17*ROW(7:7)+ROW('(default)'!$C$3)-19+IF(COLUMN(N:N)&gt;19,50000,COLUMN(N:N)-1)))</f>
        <v>835</v>
      </c>
      <c r="U8" s="2">
        <f ca="1">INDIRECT("C"&amp;(17*ROW(7:7)+ROW('(default)'!$C$3)-19+IF(COLUMN(O:O)&gt;19,50000,COLUMN(O:O)-1)))</f>
        <v>729</v>
      </c>
      <c r="V8" s="2">
        <f ca="1">INDIRECT("C"&amp;(17*ROW(7:7)+ROW('(default)'!$C$3)-19+IF(COLUMN(P:P)&gt;19,50000,COLUMN(P:P)-1)))</f>
        <v>611</v>
      </c>
      <c r="W8" s="2">
        <f ca="1">INDIRECT("C"&amp;(17*ROW(7:7)+ROW('(default)'!$C$3)-19+IF(COLUMN(Q:Q)&gt;19,50000,COLUMN(Q:Q)-1)))</f>
        <v>517</v>
      </c>
      <c r="X8" s="2">
        <f ca="1">INDIRECT("C"&amp;(17*ROW(7:7)+ROW('(default)'!$C$3)-19+IF(COLUMN(R:R)&gt;19,50000,COLUMN(R:R)-1)))</f>
        <v>423</v>
      </c>
      <c r="Y8" s="2">
        <f ca="1">INDIRECT("C"&amp;(17*ROW(7:7)+ROW('(default)'!$C$3)-19+IF(COLUMN(S:S)&gt;19,50000,COLUMN(S:S)-1)))</f>
        <v>361</v>
      </c>
      <c r="AG8" s="1"/>
    </row>
    <row r="9" spans="2:33" x14ac:dyDescent="0.3">
      <c r="B9" s="5">
        <v>6</v>
      </c>
      <c r="C9" s="6">
        <v>470</v>
      </c>
      <c r="D9" s="6">
        <v>507</v>
      </c>
      <c r="E9" s="6">
        <v>518</v>
      </c>
      <c r="F9" s="6">
        <v>523</v>
      </c>
      <c r="I9" s="2">
        <f ca="1">INDIRECT("C"&amp;(17*ROW(8:8)+ROW('(default)'!$C$3)-19+IF(COLUMN(C:C)&gt;19,50000,COLUMN(C:C)-1)))</f>
        <v>345</v>
      </c>
      <c r="J9" s="2">
        <f ca="1">INDIRECT("C"&amp;(17*ROW(8:8)+ROW('(default)'!$C$3)-19+IF(COLUMN(D:D)&gt;19,50000,COLUMN(D:D)-1)))</f>
        <v>423</v>
      </c>
      <c r="K9" s="2">
        <f ca="1">INDIRECT("C"&amp;(17*ROW(8:8)+ROW('(default)'!$C$3)-19+IF(COLUMN(E:E)&gt;19,50000,COLUMN(E:E)-1)))</f>
        <v>506</v>
      </c>
      <c r="L9" s="2">
        <f ca="1">INDIRECT("C"&amp;(17*ROW(8:8)+ROW('(default)'!$C$3)-19+IF(COLUMN(F:F)&gt;19,50000,COLUMN(F:F)-1)))</f>
        <v>611</v>
      </c>
      <c r="M9" s="2">
        <f ca="1">INDIRECT("C"&amp;(17*ROW(8:8)+ROW('(default)'!$C$3)-19+IF(COLUMN(G:G)&gt;19,50000,COLUMN(G:G)-1)))</f>
        <v>717</v>
      </c>
      <c r="N9" s="2">
        <f ca="1">INDIRECT("C"&amp;(17*ROW(8:8)+ROW('(default)'!$C$3)-19+IF(COLUMN(H:H)&gt;19,50000,COLUMN(H:H)-1)))</f>
        <v>823</v>
      </c>
      <c r="O9" s="2">
        <f ca="1">INDIRECT("C"&amp;(17*ROW(8:8)+ROW('(default)'!$C$3)-19+IF(COLUMN(I:I)&gt;19,50000,COLUMN(I:I)-1)))</f>
        <v>917</v>
      </c>
      <c r="P9" s="2">
        <f ca="1">INDIRECT("C"&amp;(17*ROW(8:8)+ROW('(default)'!$C$3)-19+IF(COLUMN(J:J)&gt;19,50000,COLUMN(J:J)-1)))</f>
        <v>976</v>
      </c>
      <c r="Q9" s="2">
        <f ca="1">INDIRECT("C"&amp;(17*ROW(8:8)+ROW('(default)'!$C$3)-19+IF(COLUMN(K:K)&gt;19,50000,COLUMN(K:K)-1)))</f>
        <v>999</v>
      </c>
      <c r="R9" s="2">
        <f ca="1">INDIRECT("C"&amp;(17*ROW(8:8)+ROW('(default)'!$C$3)-19+IF(COLUMN(L:L)&gt;19,50000,COLUMN(L:L)-1)))</f>
        <v>976</v>
      </c>
      <c r="S9" s="2">
        <f ca="1">INDIRECT("C"&amp;(17*ROW(8:8)+ROW('(default)'!$C$3)-19+IF(COLUMN(M:M)&gt;19,50000,COLUMN(M:M)-1)))</f>
        <v>917</v>
      </c>
      <c r="T9" s="2">
        <f ca="1">INDIRECT("C"&amp;(17*ROW(8:8)+ROW('(default)'!$C$3)-19+IF(COLUMN(N:N)&gt;19,50000,COLUMN(N:N)-1)))</f>
        <v>823</v>
      </c>
      <c r="U9" s="2">
        <f ca="1">INDIRECT("C"&amp;(17*ROW(8:8)+ROW('(default)'!$C$3)-19+IF(COLUMN(O:O)&gt;19,50000,COLUMN(O:O)-1)))</f>
        <v>717</v>
      </c>
      <c r="V9" s="2">
        <f ca="1">INDIRECT("C"&amp;(17*ROW(8:8)+ROW('(default)'!$C$3)-19+IF(COLUMN(P:P)&gt;19,50000,COLUMN(P:P)-1)))</f>
        <v>600</v>
      </c>
      <c r="W9" s="2">
        <f ca="1">INDIRECT("C"&amp;(17*ROW(8:8)+ROW('(default)'!$C$3)-19+IF(COLUMN(Q:Q)&gt;19,50000,COLUMN(Q:Q)-1)))</f>
        <v>506</v>
      </c>
      <c r="X9" s="2">
        <f ca="1">INDIRECT("C"&amp;(17*ROW(8:8)+ROW('(default)'!$C$3)-19+IF(COLUMN(R:R)&gt;19,50000,COLUMN(R:R)-1)))</f>
        <v>423</v>
      </c>
      <c r="Y9" s="2">
        <f ca="1">INDIRECT("C"&amp;(17*ROW(8:8)+ROW('(default)'!$C$3)-19+IF(COLUMN(S:S)&gt;19,50000,COLUMN(S:S)-1)))</f>
        <v>345</v>
      </c>
      <c r="AG9" s="1"/>
    </row>
    <row r="10" spans="2:33" x14ac:dyDescent="0.3">
      <c r="B10" s="5">
        <v>7</v>
      </c>
      <c r="C10" s="6">
        <v>506</v>
      </c>
      <c r="D10" s="6">
        <v>535</v>
      </c>
      <c r="E10" s="6">
        <v>546</v>
      </c>
      <c r="F10" s="6">
        <v>546</v>
      </c>
      <c r="I10" s="2">
        <f ca="1">INDIRECT("C"&amp;(17*ROW(9:9)+ROW('(default)'!$C$3)-19+IF(COLUMN(C:C)&gt;19,50000,COLUMN(C:C)-1)))</f>
        <v>333</v>
      </c>
      <c r="J10" s="2">
        <f ca="1">INDIRECT("C"&amp;(17*ROW(9:9)+ROW('(default)'!$C$3)-19+IF(COLUMN(D:D)&gt;19,50000,COLUMN(D:D)-1)))</f>
        <v>412</v>
      </c>
      <c r="K10" s="2">
        <f ca="1">INDIRECT("C"&amp;(17*ROW(9:9)+ROW('(default)'!$C$3)-19+IF(COLUMN(E:E)&gt;19,50000,COLUMN(E:E)-1)))</f>
        <v>482</v>
      </c>
      <c r="L10" s="2">
        <f ca="1">INDIRECT("C"&amp;(17*ROW(9:9)+ROW('(default)'!$C$3)-19+IF(COLUMN(F:F)&gt;19,50000,COLUMN(F:F)-1)))</f>
        <v>576</v>
      </c>
      <c r="M10" s="2">
        <f ca="1">INDIRECT("C"&amp;(17*ROW(9:9)+ROW('(default)'!$C$3)-19+IF(COLUMN(G:G)&gt;19,50000,COLUMN(G:G)-1)))</f>
        <v>670</v>
      </c>
      <c r="N10" s="2">
        <f ca="1">INDIRECT("C"&amp;(17*ROW(9:9)+ROW('(default)'!$C$3)-19+IF(COLUMN(H:H)&gt;19,50000,COLUMN(H:H)-1)))</f>
        <v>776</v>
      </c>
      <c r="O10" s="2">
        <f ca="1">INDIRECT("C"&amp;(17*ROW(9:9)+ROW('(default)'!$C$3)-19+IF(COLUMN(I:I)&gt;19,50000,COLUMN(I:I)-1)))</f>
        <v>858</v>
      </c>
      <c r="P10" s="2">
        <f ca="1">INDIRECT("C"&amp;(17*ROW(9:9)+ROW('(default)'!$C$3)-19+IF(COLUMN(J:J)&gt;19,50000,COLUMN(J:J)-1)))</f>
        <v>917</v>
      </c>
      <c r="Q10" s="2">
        <f ca="1">INDIRECT("C"&amp;(17*ROW(9:9)+ROW('(default)'!$C$3)-19+IF(COLUMN(K:K)&gt;19,50000,COLUMN(K:K)-1)))</f>
        <v>941</v>
      </c>
      <c r="R10" s="2">
        <f ca="1">INDIRECT("C"&amp;(17*ROW(9:9)+ROW('(default)'!$C$3)-19+IF(COLUMN(L:L)&gt;19,50000,COLUMN(L:L)-1)))</f>
        <v>917</v>
      </c>
      <c r="S10" s="2">
        <f ca="1">INDIRECT("C"&amp;(17*ROW(9:9)+ROW('(default)'!$C$3)-19+IF(COLUMN(M:M)&gt;19,50000,COLUMN(M:M)-1)))</f>
        <v>858</v>
      </c>
      <c r="T10" s="2">
        <f ca="1">INDIRECT("C"&amp;(17*ROW(9:9)+ROW('(default)'!$C$3)-19+IF(COLUMN(N:N)&gt;19,50000,COLUMN(N:N)-1)))</f>
        <v>776</v>
      </c>
      <c r="U10" s="2">
        <f ca="1">INDIRECT("C"&amp;(17*ROW(9:9)+ROW('(default)'!$C$3)-19+IF(COLUMN(O:O)&gt;19,50000,COLUMN(O:O)-1)))</f>
        <v>670</v>
      </c>
      <c r="V10" s="2">
        <f ca="1">INDIRECT("C"&amp;(17*ROW(9:9)+ROW('(default)'!$C$3)-19+IF(COLUMN(P:P)&gt;19,50000,COLUMN(P:P)-1)))</f>
        <v>576</v>
      </c>
      <c r="W10" s="2">
        <f ca="1">INDIRECT("C"&amp;(17*ROW(9:9)+ROW('(default)'!$C$3)-19+IF(COLUMN(Q:Q)&gt;19,50000,COLUMN(Q:Q)-1)))</f>
        <v>482</v>
      </c>
      <c r="X10" s="2">
        <f ca="1">INDIRECT("C"&amp;(17*ROW(9:9)+ROW('(default)'!$C$3)-19+IF(COLUMN(R:R)&gt;19,50000,COLUMN(R:R)-1)))</f>
        <v>412</v>
      </c>
      <c r="Y10" s="2">
        <f ca="1">INDIRECT("C"&amp;(17*ROW(9:9)+ROW('(default)'!$C$3)-19+IF(COLUMN(S:S)&gt;19,50000,COLUMN(S:S)-1)))</f>
        <v>333</v>
      </c>
      <c r="AG10" s="1"/>
    </row>
    <row r="11" spans="2:33" x14ac:dyDescent="0.3">
      <c r="B11" s="5">
        <v>8</v>
      </c>
      <c r="C11" s="6">
        <v>502</v>
      </c>
      <c r="D11" s="6">
        <v>538</v>
      </c>
      <c r="E11" s="6">
        <v>549</v>
      </c>
      <c r="F11" s="6">
        <v>557</v>
      </c>
      <c r="I11" s="2">
        <f ca="1">INDIRECT("C"&amp;(17*ROW(10:10)+ROW('(default)'!$C$3)-19+IF(COLUMN(C:C)&gt;19,50000,COLUMN(C:C)-1)))</f>
        <v>325</v>
      </c>
      <c r="J11" s="2">
        <f ca="1">INDIRECT("C"&amp;(17*ROW(10:10)+ROW('(default)'!$C$3)-19+IF(COLUMN(D:D)&gt;19,50000,COLUMN(D:D)-1)))</f>
        <v>388</v>
      </c>
      <c r="K11" s="2">
        <f ca="1">INDIRECT("C"&amp;(17*ROW(10:10)+ROW('(default)'!$C$3)-19+IF(COLUMN(E:E)&gt;19,50000,COLUMN(E:E)-1)))</f>
        <v>447</v>
      </c>
      <c r="L11" s="2">
        <f ca="1">INDIRECT("C"&amp;(17*ROW(10:10)+ROW('(default)'!$C$3)-19+IF(COLUMN(F:F)&gt;19,50000,COLUMN(F:F)-1)))</f>
        <v>529</v>
      </c>
      <c r="M11" s="2">
        <f ca="1">INDIRECT("C"&amp;(17*ROW(10:10)+ROW('(default)'!$C$3)-19+IF(COLUMN(G:G)&gt;19,50000,COLUMN(G:G)-1)))</f>
        <v>611</v>
      </c>
      <c r="N11" s="2">
        <f ca="1">INDIRECT("C"&amp;(17*ROW(10:10)+ROW('(default)'!$C$3)-19+IF(COLUMN(H:H)&gt;19,50000,COLUMN(H:H)-1)))</f>
        <v>694</v>
      </c>
      <c r="O11" s="2">
        <f ca="1">INDIRECT("C"&amp;(17*ROW(10:10)+ROW('(default)'!$C$3)-19+IF(COLUMN(I:I)&gt;19,50000,COLUMN(I:I)-1)))</f>
        <v>776</v>
      </c>
      <c r="P11" s="2">
        <f ca="1">INDIRECT("C"&amp;(17*ROW(10:10)+ROW('(default)'!$C$3)-19+IF(COLUMN(J:J)&gt;19,50000,COLUMN(J:J)-1)))</f>
        <v>823</v>
      </c>
      <c r="Q11" s="2">
        <f ca="1">INDIRECT("C"&amp;(17*ROW(10:10)+ROW('(default)'!$C$3)-19+IF(COLUMN(K:K)&gt;19,50000,COLUMN(K:K)-1)))</f>
        <v>835</v>
      </c>
      <c r="R11" s="2">
        <f ca="1">INDIRECT("C"&amp;(17*ROW(10:10)+ROW('(default)'!$C$3)-19+IF(COLUMN(L:L)&gt;19,50000,COLUMN(L:L)-1)))</f>
        <v>823</v>
      </c>
      <c r="S11" s="2">
        <f ca="1">INDIRECT("C"&amp;(17*ROW(10:10)+ROW('(default)'!$C$3)-19+IF(COLUMN(M:M)&gt;19,50000,COLUMN(M:M)-1)))</f>
        <v>764</v>
      </c>
      <c r="T11" s="2">
        <f ca="1">INDIRECT("C"&amp;(17*ROW(10:10)+ROW('(default)'!$C$3)-19+IF(COLUMN(N:N)&gt;19,50000,COLUMN(N:N)-1)))</f>
        <v>694</v>
      </c>
      <c r="U11" s="2">
        <f ca="1">INDIRECT("C"&amp;(17*ROW(10:10)+ROW('(default)'!$C$3)-19+IF(COLUMN(O:O)&gt;19,50000,COLUMN(O:O)-1)))</f>
        <v>611</v>
      </c>
      <c r="V11" s="2">
        <f ca="1">INDIRECT("C"&amp;(17*ROW(10:10)+ROW('(default)'!$C$3)-19+IF(COLUMN(P:P)&gt;19,50000,COLUMN(P:P)-1)))</f>
        <v>529</v>
      </c>
      <c r="W11" s="2">
        <f ca="1">INDIRECT("C"&amp;(17*ROW(10:10)+ROW('(default)'!$C$3)-19+IF(COLUMN(Q:Q)&gt;19,50000,COLUMN(Q:Q)-1)))</f>
        <v>447</v>
      </c>
      <c r="X11" s="2">
        <f ca="1">INDIRECT("C"&amp;(17*ROW(10:10)+ROW('(default)'!$C$3)-19+IF(COLUMN(R:R)&gt;19,50000,COLUMN(R:R)-1)))</f>
        <v>388</v>
      </c>
      <c r="Y11" s="2">
        <f ca="1">INDIRECT("C"&amp;(17*ROW(10:10)+ROW('(default)'!$C$3)-19+IF(COLUMN(S:S)&gt;19,50000,COLUMN(S:S)-1)))</f>
        <v>310</v>
      </c>
      <c r="AG11" s="1"/>
    </row>
    <row r="12" spans="2:33" x14ac:dyDescent="0.3">
      <c r="B12" s="5">
        <v>9</v>
      </c>
      <c r="C12" s="6">
        <v>506</v>
      </c>
      <c r="D12" s="6">
        <v>535</v>
      </c>
      <c r="E12" s="6">
        <v>546</v>
      </c>
      <c r="F12" s="6">
        <v>546</v>
      </c>
      <c r="I12" s="2">
        <f ca="1">INDIRECT("C"&amp;(17*ROW(11:11)+ROW('(default)'!$C$3)-19+IF(COLUMN(C:C)&gt;19,50000,COLUMN(C:C)-1)))</f>
        <v>290</v>
      </c>
      <c r="J12" s="2">
        <f ca="1">INDIRECT("C"&amp;(17*ROW(11:11)+ROW('(default)'!$C$3)-19+IF(COLUMN(D:D)&gt;19,50000,COLUMN(D:D)-1)))</f>
        <v>353</v>
      </c>
      <c r="K12" s="2">
        <f ca="1">INDIRECT("C"&amp;(17*ROW(11:11)+ROW('(default)'!$C$3)-19+IF(COLUMN(E:E)&gt;19,50000,COLUMN(E:E)-1)))</f>
        <v>412</v>
      </c>
      <c r="L12" s="2">
        <f ca="1">INDIRECT("C"&amp;(17*ROW(11:11)+ROW('(default)'!$C$3)-19+IF(COLUMN(F:F)&gt;19,50000,COLUMN(F:F)-1)))</f>
        <v>482</v>
      </c>
      <c r="M12" s="2">
        <f ca="1">INDIRECT("C"&amp;(17*ROW(11:11)+ROW('(default)'!$C$3)-19+IF(COLUMN(G:G)&gt;19,50000,COLUMN(G:G)-1)))</f>
        <v>541</v>
      </c>
      <c r="N12" s="2">
        <f ca="1">INDIRECT("C"&amp;(17*ROW(11:11)+ROW('(default)'!$C$3)-19+IF(COLUMN(H:H)&gt;19,50000,COLUMN(H:H)-1)))</f>
        <v>611</v>
      </c>
      <c r="O12" s="2">
        <f ca="1">INDIRECT("C"&amp;(17*ROW(11:11)+ROW('(default)'!$C$3)-19+IF(COLUMN(I:I)&gt;19,50000,COLUMN(I:I)-1)))</f>
        <v>670</v>
      </c>
      <c r="P12" s="2">
        <f ca="1">INDIRECT("C"&amp;(17*ROW(11:11)+ROW('(default)'!$C$3)-19+IF(COLUMN(J:J)&gt;19,50000,COLUMN(J:J)-1)))</f>
        <v>717</v>
      </c>
      <c r="Q12" s="2">
        <f ca="1">INDIRECT("C"&amp;(17*ROW(11:11)+ROW('(default)'!$C$3)-19+IF(COLUMN(K:K)&gt;19,50000,COLUMN(K:K)-1)))</f>
        <v>729</v>
      </c>
      <c r="R12" s="2">
        <f ca="1">INDIRECT("C"&amp;(17*ROW(11:11)+ROW('(default)'!$C$3)-19+IF(COLUMN(L:L)&gt;19,50000,COLUMN(L:L)-1)))</f>
        <v>717</v>
      </c>
      <c r="S12" s="2">
        <f ca="1">INDIRECT("C"&amp;(17*ROW(11:11)+ROW('(default)'!$C$3)-19+IF(COLUMN(M:M)&gt;19,50000,COLUMN(M:M)-1)))</f>
        <v>670</v>
      </c>
      <c r="T12" s="2">
        <f ca="1">INDIRECT("C"&amp;(17*ROW(11:11)+ROW('(default)'!$C$3)-19+IF(COLUMN(N:N)&gt;19,50000,COLUMN(N:N)-1)))</f>
        <v>611</v>
      </c>
      <c r="U12" s="2">
        <f ca="1">INDIRECT("C"&amp;(17*ROW(11:11)+ROW('(default)'!$C$3)-19+IF(COLUMN(O:O)&gt;19,50000,COLUMN(O:O)-1)))</f>
        <v>541</v>
      </c>
      <c r="V12" s="2">
        <f ca="1">INDIRECT("C"&amp;(17*ROW(11:11)+ROW('(default)'!$C$3)-19+IF(COLUMN(P:P)&gt;19,50000,COLUMN(P:P)-1)))</f>
        <v>470</v>
      </c>
      <c r="W12" s="2">
        <f ca="1">INDIRECT("C"&amp;(17*ROW(11:11)+ROW('(default)'!$C$3)-19+IF(COLUMN(Q:Q)&gt;19,50000,COLUMN(Q:Q)-1)))</f>
        <v>412</v>
      </c>
      <c r="X12" s="2">
        <f ca="1">INDIRECT("C"&amp;(17*ROW(11:11)+ROW('(default)'!$C$3)-19+IF(COLUMN(R:R)&gt;19,50000,COLUMN(R:R)-1)))</f>
        <v>353</v>
      </c>
      <c r="Y12" s="2">
        <f ca="1">INDIRECT("C"&amp;(17*ROW(11:11)+ROW('(default)'!$C$3)-19+IF(COLUMN(S:S)&gt;19,50000,COLUMN(S:S)-1)))</f>
        <v>290</v>
      </c>
      <c r="AG12" s="1"/>
    </row>
    <row r="13" spans="2:33" x14ac:dyDescent="0.3">
      <c r="B13" s="5">
        <v>10</v>
      </c>
      <c r="C13" s="6">
        <v>482</v>
      </c>
      <c r="D13" s="6">
        <v>514</v>
      </c>
      <c r="E13" s="6">
        <v>518</v>
      </c>
      <c r="F13" s="6">
        <v>523</v>
      </c>
      <c r="I13" s="2">
        <f ca="1">INDIRECT("C"&amp;(17*ROW(12:12)+ROW('(default)'!$C$3)-19+IF(COLUMN(C:C)&gt;19,50000,COLUMN(C:C)-1)))</f>
        <v>270</v>
      </c>
      <c r="J13" s="2">
        <f ca="1">INDIRECT("C"&amp;(17*ROW(12:12)+ROW('(default)'!$C$3)-19+IF(COLUMN(D:D)&gt;19,50000,COLUMN(D:D)-1)))</f>
        <v>317</v>
      </c>
      <c r="K13" s="2">
        <f ca="1">INDIRECT("C"&amp;(17*ROW(12:12)+ROW('(default)'!$C$3)-19+IF(COLUMN(E:E)&gt;19,50000,COLUMN(E:E)-1)))</f>
        <v>365</v>
      </c>
      <c r="L13" s="2">
        <f ca="1">INDIRECT("C"&amp;(17*ROW(12:12)+ROW('(default)'!$C$3)-19+IF(COLUMN(F:F)&gt;19,50000,COLUMN(F:F)-1)))</f>
        <v>423</v>
      </c>
      <c r="M13" s="2">
        <f ca="1">INDIRECT("C"&amp;(17*ROW(12:12)+ROW('(default)'!$C$3)-19+IF(COLUMN(G:G)&gt;19,50000,COLUMN(G:G)-1)))</f>
        <v>482</v>
      </c>
      <c r="N13" s="2">
        <f ca="1">INDIRECT("C"&amp;(17*ROW(12:12)+ROW('(default)'!$C$3)-19+IF(COLUMN(H:H)&gt;19,50000,COLUMN(H:H)-1)))</f>
        <v>529</v>
      </c>
      <c r="O13" s="2">
        <f ca="1">INDIRECT("C"&amp;(17*ROW(12:12)+ROW('(default)'!$C$3)-19+IF(COLUMN(I:I)&gt;19,50000,COLUMN(I:I)-1)))</f>
        <v>576</v>
      </c>
      <c r="P13" s="2">
        <f ca="1">INDIRECT("C"&amp;(17*ROW(12:12)+ROW('(default)'!$C$3)-19+IF(COLUMN(J:J)&gt;19,50000,COLUMN(J:J)-1)))</f>
        <v>611</v>
      </c>
      <c r="Q13" s="2">
        <f ca="1">INDIRECT("C"&amp;(17*ROW(12:12)+ROW('(default)'!$C$3)-19+IF(COLUMN(K:K)&gt;19,50000,COLUMN(K:K)-1)))</f>
        <v>611</v>
      </c>
      <c r="R13" s="2">
        <f ca="1">INDIRECT("C"&amp;(17*ROW(12:12)+ROW('(default)'!$C$3)-19+IF(COLUMN(L:L)&gt;19,50000,COLUMN(L:L)-1)))</f>
        <v>611</v>
      </c>
      <c r="S13" s="2">
        <f ca="1">INDIRECT("C"&amp;(17*ROW(12:12)+ROW('(default)'!$C$3)-19+IF(COLUMN(M:M)&gt;19,50000,COLUMN(M:M)-1)))</f>
        <v>576</v>
      </c>
      <c r="T13" s="2">
        <f ca="1">INDIRECT("C"&amp;(17*ROW(12:12)+ROW('(default)'!$C$3)-19+IF(COLUMN(N:N)&gt;19,50000,COLUMN(N:N)-1)))</f>
        <v>529</v>
      </c>
      <c r="U13" s="2">
        <f ca="1">INDIRECT("C"&amp;(17*ROW(12:12)+ROW('(default)'!$C$3)-19+IF(COLUMN(O:O)&gt;19,50000,COLUMN(O:O)-1)))</f>
        <v>482</v>
      </c>
      <c r="V13" s="2">
        <f ca="1">INDIRECT("C"&amp;(17*ROW(12:12)+ROW('(default)'!$C$3)-19+IF(COLUMN(P:P)&gt;19,50000,COLUMN(P:P)-1)))</f>
        <v>423</v>
      </c>
      <c r="W13" s="2">
        <f ca="1">INDIRECT("C"&amp;(17*ROW(12:12)+ROW('(default)'!$C$3)-19+IF(COLUMN(Q:Q)&gt;19,50000,COLUMN(Q:Q)-1)))</f>
        <v>365</v>
      </c>
      <c r="X13" s="2">
        <f ca="1">INDIRECT("C"&amp;(17*ROW(12:12)+ROW('(default)'!$C$3)-19+IF(COLUMN(R:R)&gt;19,50000,COLUMN(R:R)-1)))</f>
        <v>317</v>
      </c>
      <c r="Y13" s="2">
        <f ca="1">INDIRECT("C"&amp;(17*ROW(12:12)+ROW('(default)'!$C$3)-19+IF(COLUMN(S:S)&gt;19,50000,COLUMN(S:S)-1)))</f>
        <v>270</v>
      </c>
      <c r="AG13" s="1"/>
    </row>
    <row r="14" spans="2:33" x14ac:dyDescent="0.3">
      <c r="B14" s="5">
        <v>11</v>
      </c>
      <c r="C14" s="6">
        <v>451</v>
      </c>
      <c r="D14" s="6">
        <v>477</v>
      </c>
      <c r="E14" s="6">
        <v>483</v>
      </c>
      <c r="F14" s="6">
        <v>477</v>
      </c>
      <c r="I14" s="3">
        <f ca="1">INDIRECT("C"&amp;(17*ROW(13:13)+ROW('(default)'!$C$3)-19+IF(COLUMN(C:C)&gt;19,50000,COLUMN(C:C)-1)))</f>
        <v>255</v>
      </c>
      <c r="J14" s="2">
        <f ca="1">INDIRECT("C"&amp;(17*ROW(13:13)+ROW('(default)'!$C$3)-19+IF(COLUMN(D:D)&gt;19,50000,COLUMN(D:D)-1)))</f>
        <v>286</v>
      </c>
      <c r="K14" s="2">
        <f ca="1">INDIRECT("C"&amp;(17*ROW(13:13)+ROW('(default)'!$C$3)-19+IF(COLUMN(E:E)&gt;19,50000,COLUMN(E:E)-1)))</f>
        <v>317</v>
      </c>
      <c r="L14" s="2">
        <f ca="1">INDIRECT("C"&amp;(17*ROW(13:13)+ROW('(default)'!$C$3)-19+IF(COLUMN(F:F)&gt;19,50000,COLUMN(F:F)-1)))</f>
        <v>361</v>
      </c>
      <c r="M14" s="2">
        <f ca="1">INDIRECT("C"&amp;(17*ROW(13:13)+ROW('(default)'!$C$3)-19+IF(COLUMN(G:G)&gt;19,50000,COLUMN(G:G)-1)))</f>
        <v>404</v>
      </c>
      <c r="N14" s="2">
        <f ca="1">INDIRECT("C"&amp;(17*ROW(13:13)+ROW('(default)'!$C$3)-19+IF(COLUMN(H:H)&gt;19,50000,COLUMN(H:H)-1)))</f>
        <v>451</v>
      </c>
      <c r="O14" s="2">
        <f ca="1">INDIRECT("C"&amp;(17*ROW(13:13)+ROW('(default)'!$C$3)-19+IF(COLUMN(I:I)&gt;19,50000,COLUMN(I:I)-1)))</f>
        <v>482</v>
      </c>
      <c r="P14" s="2">
        <f ca="1">INDIRECT("C"&amp;(17*ROW(13:13)+ROW('(default)'!$C$3)-19+IF(COLUMN(J:J)&gt;19,50000,COLUMN(J:J)-1)))</f>
        <v>502</v>
      </c>
      <c r="Q14" s="2">
        <f ca="1">INDIRECT("C"&amp;(17*ROW(13:13)+ROW('(default)'!$C$3)-19+IF(COLUMN(K:K)&gt;19,50000,COLUMN(K:K)-1)))</f>
        <v>517</v>
      </c>
      <c r="R14" s="2">
        <f ca="1">INDIRECT("C"&amp;(17*ROW(13:13)+ROW('(default)'!$C$3)-19+IF(COLUMN(L:L)&gt;19,50000,COLUMN(L:L)-1)))</f>
        <v>502</v>
      </c>
      <c r="S14" s="2">
        <f ca="1">INDIRECT("C"&amp;(17*ROW(13:13)+ROW('(default)'!$C$3)-19+IF(COLUMN(M:M)&gt;19,50000,COLUMN(M:M)-1)))</f>
        <v>482</v>
      </c>
      <c r="T14" s="2">
        <f ca="1">INDIRECT("C"&amp;(17*ROW(13:13)+ROW('(default)'!$C$3)-19+IF(COLUMN(N:N)&gt;19,50000,COLUMN(N:N)-1)))</f>
        <v>451</v>
      </c>
      <c r="U14" s="2">
        <f ca="1">INDIRECT("C"&amp;(17*ROW(13:13)+ROW('(default)'!$C$3)-19+IF(COLUMN(O:O)&gt;19,50000,COLUMN(O:O)-1)))</f>
        <v>404</v>
      </c>
      <c r="V14" s="2">
        <f ca="1">INDIRECT("C"&amp;(17*ROW(13:13)+ROW('(default)'!$C$3)-19+IF(COLUMN(P:P)&gt;19,50000,COLUMN(P:P)-1)))</f>
        <v>361</v>
      </c>
      <c r="W14" s="2">
        <f ca="1">INDIRECT("C"&amp;(17*ROW(13:13)+ROW('(default)'!$C$3)-19+IF(COLUMN(Q:Q)&gt;19,50000,COLUMN(Q:Q)-1)))</f>
        <v>317</v>
      </c>
      <c r="X14" s="2">
        <f ca="1">INDIRECT("C"&amp;(17*ROW(13:13)+ROW('(default)'!$C$3)-19+IF(COLUMN(R:R)&gt;19,50000,COLUMN(R:R)-1)))</f>
        <v>286</v>
      </c>
      <c r="Y14" s="3">
        <f ca="1">INDIRECT("C"&amp;(17*ROW(13:13)+ROW('(default)'!$C$3)-19+IF(COLUMN(S:S)&gt;19,50000,COLUMN(S:S)-1)))</f>
        <v>255</v>
      </c>
      <c r="AG14" s="1"/>
    </row>
    <row r="15" spans="2:33" x14ac:dyDescent="0.3">
      <c r="B15" s="5">
        <v>12</v>
      </c>
      <c r="C15" s="6">
        <v>408</v>
      </c>
      <c r="D15" s="6">
        <v>437</v>
      </c>
      <c r="E15" s="6">
        <v>441</v>
      </c>
      <c r="F15" s="6">
        <v>451</v>
      </c>
      <c r="AG15" s="1"/>
    </row>
    <row r="16" spans="2:33" x14ac:dyDescent="0.3">
      <c r="B16" s="5">
        <v>13</v>
      </c>
      <c r="C16" s="6">
        <v>361</v>
      </c>
      <c r="D16" s="6">
        <v>396</v>
      </c>
      <c r="E16" s="6">
        <v>402</v>
      </c>
      <c r="F16" s="6">
        <v>394</v>
      </c>
      <c r="H16" t="s">
        <v>1</v>
      </c>
      <c r="I16" s="10">
        <f ca="1">INDIRECT("D"&amp;(17*ROW(1:1)+ROW('(default)'!$D$3)-19+IF(COLUMN(C:C)&gt;19,50000,COLUMN(C:C)-1)))</f>
        <v>264</v>
      </c>
      <c r="J16" s="2">
        <f ca="1">INDIRECT("D"&amp;(17*ROW(1:1)+ROW('(default)'!$D$3)-19+IF(COLUMN(D:D)&gt;19,50000,COLUMN(D:D)-1)))</f>
        <v>300</v>
      </c>
      <c r="K16" s="2">
        <f ca="1">INDIRECT("D"&amp;(17*ROW(1:1)+ROW('(default)'!$D$3)-19+IF(COLUMN(E:E)&gt;19,50000,COLUMN(E:E)-1)))</f>
        <v>348</v>
      </c>
      <c r="L16" s="2">
        <f ca="1">INDIRECT("D"&amp;(17*ROW(1:1)+ROW('(default)'!$D$3)-19+IF(COLUMN(F:F)&gt;19,50000,COLUMN(F:F)-1)))</f>
        <v>396</v>
      </c>
      <c r="M16" s="2">
        <f ca="1">INDIRECT("D"&amp;(17*ROW(1:1)+ROW('(default)'!$D$3)-19+IF(COLUMN(G:G)&gt;19,50000,COLUMN(G:G)-1)))</f>
        <v>437</v>
      </c>
      <c r="N16" s="2">
        <f ca="1">INDIRECT("D"&amp;(17*ROW(1:1)+ROW('(default)'!$D$3)-19+IF(COLUMN(H:H)&gt;19,50000,COLUMN(H:H)-1)))</f>
        <v>477</v>
      </c>
      <c r="O16" s="2">
        <f ca="1">INDIRECT("D"&amp;(17*ROW(1:1)+ROW('(default)'!$D$3)-19+IF(COLUMN(I:I)&gt;19,50000,COLUMN(I:I)-1)))</f>
        <v>507</v>
      </c>
      <c r="P16" s="2">
        <f ca="1">INDIRECT("D"&amp;(17*ROW(1:1)+ROW('(default)'!$D$3)-19+IF(COLUMN(J:J)&gt;19,50000,COLUMN(J:J)-1)))</f>
        <v>535</v>
      </c>
      <c r="Q16" s="2">
        <f ca="1">INDIRECT("D"&amp;(17*ROW(1:1)+ROW('(default)'!$D$3)-19+IF(COLUMN(K:K)&gt;19,50000,COLUMN(K:K)-1)))</f>
        <v>538</v>
      </c>
      <c r="R16" s="2">
        <f ca="1">INDIRECT("D"&amp;(17*ROW(1:1)+ROW('(default)'!$D$3)-19+IF(COLUMN(L:L)&gt;19,50000,COLUMN(L:L)-1)))</f>
        <v>535</v>
      </c>
      <c r="S16" s="2">
        <f ca="1">INDIRECT("D"&amp;(17*ROW(1:1)+ROW('(default)'!$D$3)-19+IF(COLUMN(M:M)&gt;19,50000,COLUMN(M:M)-1)))</f>
        <v>514</v>
      </c>
      <c r="T16" s="2">
        <f ca="1">INDIRECT("D"&amp;(17*ROW(1:1)+ROW('(default)'!$D$3)-19+IF(COLUMN(N:N)&gt;19,50000,COLUMN(N:N)-1)))</f>
        <v>477</v>
      </c>
      <c r="U16" s="2">
        <f ca="1">INDIRECT("D"&amp;(17*ROW(1:1)+ROW('(default)'!$D$3)-19+IF(COLUMN(O:O)&gt;19,50000,COLUMN(O:O)-1)))</f>
        <v>437</v>
      </c>
      <c r="V16" s="2">
        <f ca="1">INDIRECT("D"&amp;(17*ROW(1:1)+ROW('(default)'!$D$3)-19+IF(COLUMN(P:P)&gt;19,50000,COLUMN(P:P)-1)))</f>
        <v>396</v>
      </c>
      <c r="W16" s="2">
        <f ca="1">INDIRECT("D"&amp;(17*ROW(1:1)+ROW('(default)'!$D$3)-19+IF(COLUMN(Q:Q)&gt;19,50000,COLUMN(Q:Q)-1)))</f>
        <v>348</v>
      </c>
      <c r="X16" s="2">
        <f ca="1">INDIRECT("D"&amp;(17*ROW(1:1)+ROW('(default)'!$D$3)-19+IF(COLUMN(R:R)&gt;19,50000,COLUMN(R:R)-1)))</f>
        <v>300</v>
      </c>
      <c r="Y16" s="10">
        <f ca="1">INDIRECT("D"&amp;(17*ROW(1:1)+ROW('(default)'!$D$3)-19+IF(COLUMN(S:S)&gt;19,50000,COLUMN(S:S)-1)))</f>
        <v>264</v>
      </c>
      <c r="AG16" s="1"/>
    </row>
    <row r="17" spans="2:33" x14ac:dyDescent="0.3">
      <c r="B17" s="5">
        <v>14</v>
      </c>
      <c r="C17" s="6">
        <v>317</v>
      </c>
      <c r="D17" s="6">
        <v>348</v>
      </c>
      <c r="E17" s="6">
        <v>354</v>
      </c>
      <c r="F17" s="6">
        <v>352</v>
      </c>
      <c r="I17" s="2">
        <f ca="1">INDIRECT("D"&amp;(17*ROW(2:2)+ROW('(default)'!$D$3)-19+IF(COLUMN(C:C)&gt;19,50000,COLUMN(C:C)-1)))</f>
        <v>286</v>
      </c>
      <c r="J17" s="2">
        <f ca="1">INDIRECT("D"&amp;(17*ROW(2:2)+ROW('(default)'!$D$3)-19+IF(COLUMN(D:D)&gt;19,50000,COLUMN(D:D)-1)))</f>
        <v>337</v>
      </c>
      <c r="K17" s="2">
        <f ca="1">INDIRECT("D"&amp;(17*ROW(2:2)+ROW('(default)'!$D$3)-19+IF(COLUMN(E:E)&gt;19,50000,COLUMN(E:E)-1)))</f>
        <v>393</v>
      </c>
      <c r="L17" s="2">
        <f ca="1">INDIRECT("D"&amp;(17*ROW(2:2)+ROW('(default)'!$D$3)-19+IF(COLUMN(F:F)&gt;19,50000,COLUMN(F:F)-1)))</f>
        <v>448</v>
      </c>
      <c r="M17" s="2">
        <f ca="1">INDIRECT("D"&amp;(17*ROW(2:2)+ROW('(default)'!$D$3)-19+IF(COLUMN(G:G)&gt;19,50000,COLUMN(G:G)-1)))</f>
        <v>503</v>
      </c>
      <c r="N17" s="2">
        <f ca="1">INDIRECT("D"&amp;(17*ROW(2:2)+ROW('(default)'!$D$3)-19+IF(COLUMN(H:H)&gt;19,50000,COLUMN(H:H)-1)))</f>
        <v>559</v>
      </c>
      <c r="O17" s="2">
        <f ca="1">INDIRECT("D"&amp;(17*ROW(2:2)+ROW('(default)'!$D$3)-19+IF(COLUMN(I:I)&gt;19,50000,COLUMN(I:I)-1)))</f>
        <v>603</v>
      </c>
      <c r="P17" s="2">
        <f ca="1">INDIRECT("D"&amp;(17*ROW(2:2)+ROW('(default)'!$D$3)-19+IF(COLUMN(J:J)&gt;19,50000,COLUMN(J:J)-1)))</f>
        <v>630</v>
      </c>
      <c r="Q17" s="2">
        <f ca="1">INDIRECT("D"&amp;(17*ROW(2:2)+ROW('(default)'!$D$3)-19+IF(COLUMN(K:K)&gt;19,50000,COLUMN(K:K)-1)))</f>
        <v>641</v>
      </c>
      <c r="R17" s="2">
        <f ca="1">INDIRECT("D"&amp;(17*ROW(2:2)+ROW('(default)'!$D$3)-19+IF(COLUMN(L:L)&gt;19,50000,COLUMN(L:L)-1)))</f>
        <v>630</v>
      </c>
      <c r="S17" s="2">
        <f ca="1">INDIRECT("D"&amp;(17*ROW(2:2)+ROW('(default)'!$D$3)-19+IF(COLUMN(M:M)&gt;19,50000,COLUMN(M:M)-1)))</f>
        <v>603</v>
      </c>
      <c r="T17" s="2">
        <f ca="1">INDIRECT("D"&amp;(17*ROW(2:2)+ROW('(default)'!$D$3)-19+IF(COLUMN(N:N)&gt;19,50000,COLUMN(N:N)-1)))</f>
        <v>559</v>
      </c>
      <c r="U17" s="2">
        <f ca="1">INDIRECT("D"&amp;(17*ROW(2:2)+ROW('(default)'!$D$3)-19+IF(COLUMN(O:O)&gt;19,50000,COLUMN(O:O)-1)))</f>
        <v>503</v>
      </c>
      <c r="V17" s="2">
        <f ca="1">INDIRECT("D"&amp;(17*ROW(2:2)+ROW('(default)'!$D$3)-19+IF(COLUMN(P:P)&gt;19,50000,COLUMN(P:P)-1)))</f>
        <v>448</v>
      </c>
      <c r="W17" s="2">
        <f ca="1">INDIRECT("D"&amp;(17*ROW(2:2)+ROW('(default)'!$D$3)-19+IF(COLUMN(Q:Q)&gt;19,50000,COLUMN(Q:Q)-1)))</f>
        <v>393</v>
      </c>
      <c r="X17" s="2">
        <f ca="1">INDIRECT("D"&amp;(17*ROW(2:2)+ROW('(default)'!$D$3)-19+IF(COLUMN(R:R)&gt;19,50000,COLUMN(R:R)-1)))</f>
        <v>337</v>
      </c>
      <c r="Y17" s="2">
        <f ca="1">INDIRECT("D"&amp;(17*ROW(2:2)+ROW('(default)'!$D$3)-19+IF(COLUMN(S:S)&gt;19,50000,COLUMN(S:S)-1)))</f>
        <v>286</v>
      </c>
      <c r="AG17" s="1"/>
    </row>
    <row r="18" spans="2:33" x14ac:dyDescent="0.3">
      <c r="B18" s="5">
        <v>15</v>
      </c>
      <c r="C18" s="6">
        <v>270</v>
      </c>
      <c r="D18" s="6">
        <v>300</v>
      </c>
      <c r="E18" s="6">
        <v>306</v>
      </c>
      <c r="F18" s="6">
        <v>311</v>
      </c>
      <c r="I18" s="2">
        <f ca="1">INDIRECT("D"&amp;(17*ROW(3:3)+ROW('(default)'!$D$3)-19+IF(COLUMN(C:C)&gt;19,50000,COLUMN(C:C)-1)))</f>
        <v>317</v>
      </c>
      <c r="J18" s="2">
        <f ca="1">INDIRECT("D"&amp;(17*ROW(3:3)+ROW('(default)'!$D$3)-19+IF(COLUMN(D:D)&gt;19,50000,COLUMN(D:D)-1)))</f>
        <v>376</v>
      </c>
      <c r="K18" s="2">
        <f ca="1">INDIRECT("D"&amp;(17*ROW(3:3)+ROW('(default)'!$D$3)-19+IF(COLUMN(E:E)&gt;19,50000,COLUMN(E:E)-1)))</f>
        <v>442</v>
      </c>
      <c r="L18" s="2">
        <f ca="1">INDIRECT("D"&amp;(17*ROW(3:3)+ROW('(default)'!$D$3)-19+IF(COLUMN(F:F)&gt;19,50000,COLUMN(F:F)-1)))</f>
        <v>509</v>
      </c>
      <c r="M18" s="2">
        <f ca="1">INDIRECT("D"&amp;(17*ROW(3:3)+ROW('(default)'!$D$3)-19+IF(COLUMN(G:G)&gt;19,50000,COLUMN(G:G)-1)))</f>
        <v>575</v>
      </c>
      <c r="N18" s="2">
        <f ca="1">INDIRECT("D"&amp;(17*ROW(3:3)+ROW('(default)'!$D$3)-19+IF(COLUMN(H:H)&gt;19,50000,COLUMN(H:H)-1)))</f>
        <v>641</v>
      </c>
      <c r="O18" s="2">
        <f ca="1">INDIRECT("D"&amp;(17*ROW(3:3)+ROW('(default)'!$D$3)-19+IF(COLUMN(I:I)&gt;19,50000,COLUMN(I:I)-1)))</f>
        <v>697</v>
      </c>
      <c r="P18" s="2">
        <f ca="1">INDIRECT("D"&amp;(17*ROW(3:3)+ROW('(default)'!$D$3)-19+IF(COLUMN(J:J)&gt;19,50000,COLUMN(J:J)-1)))</f>
        <v>735</v>
      </c>
      <c r="Q18" s="2">
        <f ca="1">INDIRECT("D"&amp;(17*ROW(3:3)+ROW('(default)'!$D$3)-19+IF(COLUMN(K:K)&gt;19,50000,COLUMN(K:K)-1)))</f>
        <v>752</v>
      </c>
      <c r="R18" s="2">
        <f ca="1">INDIRECT("D"&amp;(17*ROW(3:3)+ROW('(default)'!$D$3)-19+IF(COLUMN(L:L)&gt;19,50000,COLUMN(L:L)-1)))</f>
        <v>735</v>
      </c>
      <c r="S18" s="2">
        <f ca="1">INDIRECT("D"&amp;(17*ROW(3:3)+ROW('(default)'!$D$3)-19+IF(COLUMN(M:M)&gt;19,50000,COLUMN(M:M)-1)))</f>
        <v>697</v>
      </c>
      <c r="T18" s="2">
        <f ca="1">INDIRECT("D"&amp;(17*ROW(3:3)+ROW('(default)'!$D$3)-19+IF(COLUMN(N:N)&gt;19,50000,COLUMN(N:N)-1)))</f>
        <v>641</v>
      </c>
      <c r="U18" s="2">
        <f ca="1">INDIRECT("D"&amp;(17*ROW(3:3)+ROW('(default)'!$D$3)-19+IF(COLUMN(O:O)&gt;19,50000,COLUMN(O:O)-1)))</f>
        <v>575</v>
      </c>
      <c r="V18" s="2">
        <f ca="1">INDIRECT("D"&amp;(17*ROW(3:3)+ROW('(default)'!$D$3)-19+IF(COLUMN(P:P)&gt;19,50000,COLUMN(P:P)-1)))</f>
        <v>503</v>
      </c>
      <c r="W18" s="2">
        <f ca="1">INDIRECT("D"&amp;(17*ROW(3:3)+ROW('(default)'!$D$3)-19+IF(COLUMN(Q:Q)&gt;19,50000,COLUMN(Q:Q)-1)))</f>
        <v>437</v>
      </c>
      <c r="X18" s="2">
        <f ca="1">INDIRECT("D"&amp;(17*ROW(3:3)+ROW('(default)'!$D$3)-19+IF(COLUMN(R:R)&gt;19,50000,COLUMN(R:R)-1)))</f>
        <v>376</v>
      </c>
      <c r="Y18" s="2">
        <f ca="1">INDIRECT("D"&amp;(17*ROW(3:3)+ROW('(default)'!$D$3)-19+IF(COLUMN(S:S)&gt;19,50000,COLUMN(S:S)-1)))</f>
        <v>317</v>
      </c>
      <c r="AG18" s="1"/>
    </row>
    <row r="19" spans="2:33" x14ac:dyDescent="0.3">
      <c r="B19" s="5">
        <v>16</v>
      </c>
      <c r="C19" s="6">
        <v>239</v>
      </c>
      <c r="D19" s="6">
        <v>264</v>
      </c>
      <c r="E19" s="6">
        <v>262</v>
      </c>
      <c r="F19" s="6">
        <v>265</v>
      </c>
      <c r="I19" s="2">
        <f ca="1">INDIRECT("D"&amp;(17*ROW(4:4)+ROW('(default)'!$D$3)-19+IF(COLUMN(C:C)&gt;19,50000,COLUMN(C:C)-1)))</f>
        <v>343</v>
      </c>
      <c r="J19" s="2">
        <f ca="1">INDIRECT("D"&amp;(17*ROW(4:4)+ROW('(default)'!$D$3)-19+IF(COLUMN(D:D)&gt;19,50000,COLUMN(D:D)-1)))</f>
        <v>409</v>
      </c>
      <c r="K19" s="2">
        <f ca="1">INDIRECT("D"&amp;(17*ROW(4:4)+ROW('(default)'!$D$3)-19+IF(COLUMN(E:E)&gt;19,50000,COLUMN(E:E)-1)))</f>
        <v>481</v>
      </c>
      <c r="L19" s="2">
        <f ca="1">INDIRECT("D"&amp;(17*ROW(4:4)+ROW('(default)'!$D$3)-19+IF(COLUMN(F:F)&gt;19,50000,COLUMN(F:F)-1)))</f>
        <v>559</v>
      </c>
      <c r="M19" s="2">
        <f ca="1">INDIRECT("D"&amp;(17*ROW(4:4)+ROW('(default)'!$D$3)-19+IF(COLUMN(G:G)&gt;19,50000,COLUMN(G:G)-1)))</f>
        <v>641</v>
      </c>
      <c r="N19" s="2">
        <f ca="1">INDIRECT("D"&amp;(17*ROW(4:4)+ROW('(default)'!$D$3)-19+IF(COLUMN(H:H)&gt;19,50000,COLUMN(H:H)-1)))</f>
        <v>724</v>
      </c>
      <c r="O19" s="2">
        <f ca="1">INDIRECT("D"&amp;(17*ROW(4:4)+ROW('(default)'!$D$3)-19+IF(COLUMN(I:I)&gt;19,50000,COLUMN(I:I)-1)))</f>
        <v>796</v>
      </c>
      <c r="P19" s="2">
        <f ca="1">INDIRECT("D"&amp;(17*ROW(4:4)+ROW('(default)'!$D$3)-19+IF(COLUMN(J:J)&gt;19,50000,COLUMN(J:J)-1)))</f>
        <v>841</v>
      </c>
      <c r="Q19" s="2">
        <f ca="1">INDIRECT("D"&amp;(17*ROW(4:4)+ROW('(default)'!$D$3)-19+IF(COLUMN(K:K)&gt;19,50000,COLUMN(K:K)-1)))</f>
        <v>857</v>
      </c>
      <c r="R19" s="2">
        <f ca="1">INDIRECT("D"&amp;(17*ROW(4:4)+ROW('(default)'!$D$3)-19+IF(COLUMN(L:L)&gt;19,50000,COLUMN(L:L)-1)))</f>
        <v>841</v>
      </c>
      <c r="S19" s="2">
        <f ca="1">INDIRECT("D"&amp;(17*ROW(4:4)+ROW('(default)'!$D$3)-19+IF(COLUMN(M:M)&gt;19,50000,COLUMN(M:M)-1)))</f>
        <v>796</v>
      </c>
      <c r="T19" s="2">
        <f ca="1">INDIRECT("D"&amp;(17*ROW(4:4)+ROW('(default)'!$D$3)-19+IF(COLUMN(N:N)&gt;19,50000,COLUMN(N:N)-1)))</f>
        <v>724</v>
      </c>
      <c r="U19" s="2">
        <f ca="1">INDIRECT("D"&amp;(17*ROW(4:4)+ROW('(default)'!$D$3)-19+IF(COLUMN(O:O)&gt;19,50000,COLUMN(O:O)-1)))</f>
        <v>641</v>
      </c>
      <c r="V19" s="2">
        <f ca="1">INDIRECT("D"&amp;(17*ROW(4:4)+ROW('(default)'!$D$3)-19+IF(COLUMN(P:P)&gt;19,50000,COLUMN(P:P)-1)))</f>
        <v>559</v>
      </c>
      <c r="W19" s="2">
        <f ca="1">INDIRECT("D"&amp;(17*ROW(4:4)+ROW('(default)'!$D$3)-19+IF(COLUMN(Q:Q)&gt;19,50000,COLUMN(Q:Q)-1)))</f>
        <v>481</v>
      </c>
      <c r="X19" s="2">
        <f ca="1">INDIRECT("D"&amp;(17*ROW(4:4)+ROW('(default)'!$D$3)-19+IF(COLUMN(R:R)&gt;19,50000,COLUMN(R:R)-1)))</f>
        <v>409</v>
      </c>
      <c r="Y19" s="2">
        <f ca="1">INDIRECT("D"&amp;(17*ROW(4:4)+ROW('(default)'!$D$3)-19+IF(COLUMN(S:S)&gt;19,50000,COLUMN(S:S)-1)))</f>
        <v>343</v>
      </c>
      <c r="AG19" s="1"/>
    </row>
    <row r="20" spans="2:33" x14ac:dyDescent="0.3">
      <c r="B20" s="5">
        <v>17</v>
      </c>
      <c r="C20" s="6">
        <v>270</v>
      </c>
      <c r="D20" s="6">
        <v>286</v>
      </c>
      <c r="E20" s="6">
        <v>291</v>
      </c>
      <c r="F20" s="6">
        <v>296</v>
      </c>
      <c r="I20" s="2">
        <f ca="1">INDIRECT("D"&amp;(17*ROW(5:5)+ROW('(default)'!$D$3)-19+IF(COLUMN(C:C)&gt;19,50000,COLUMN(C:C)-1)))</f>
        <v>363</v>
      </c>
      <c r="J20" s="2">
        <f ca="1">INDIRECT("D"&amp;(17*ROW(5:5)+ROW('(default)'!$D$3)-19+IF(COLUMN(D:D)&gt;19,50000,COLUMN(D:D)-1)))</f>
        <v>437</v>
      </c>
      <c r="K20" s="2">
        <f ca="1">INDIRECT("D"&amp;(17*ROW(5:5)+ROW('(default)'!$D$3)-19+IF(COLUMN(E:E)&gt;19,50000,COLUMN(E:E)-1)))</f>
        <v>514</v>
      </c>
      <c r="L20" s="2">
        <f ca="1">INDIRECT("D"&amp;(17*ROW(5:5)+ROW('(default)'!$D$3)-19+IF(COLUMN(F:F)&gt;19,50000,COLUMN(F:F)-1)))</f>
        <v>608</v>
      </c>
      <c r="M20" s="2">
        <f ca="1">INDIRECT("D"&amp;(17*ROW(5:5)+ROW('(default)'!$D$3)-19+IF(COLUMN(G:G)&gt;19,50000,COLUMN(G:G)-1)))</f>
        <v>702</v>
      </c>
      <c r="N20" s="2">
        <f ca="1">INDIRECT("D"&amp;(17*ROW(5:5)+ROW('(default)'!$D$3)-19+IF(COLUMN(H:H)&gt;19,50000,COLUMN(H:H)-1)))</f>
        <v>796</v>
      </c>
      <c r="O20" s="2">
        <f ca="1">INDIRECT("D"&amp;(17*ROW(5:5)+ROW('(default)'!$D$3)-19+IF(COLUMN(I:I)&gt;19,50000,COLUMN(I:I)-1)))</f>
        <v>874</v>
      </c>
      <c r="P20" s="2">
        <f ca="1">INDIRECT("D"&amp;(17*ROW(5:5)+ROW('(default)'!$D$3)-19+IF(COLUMN(J:J)&gt;19,50000,COLUMN(J:J)-1)))</f>
        <v>923</v>
      </c>
      <c r="Q20" s="2">
        <f ca="1">INDIRECT("D"&amp;(17*ROW(5:5)+ROW('(default)'!$D$3)-19+IF(COLUMN(K:K)&gt;19,50000,COLUMN(K:K)-1)))</f>
        <v>940</v>
      </c>
      <c r="R20" s="2">
        <f ca="1">INDIRECT("D"&amp;(17*ROW(5:5)+ROW('(default)'!$D$3)-19+IF(COLUMN(L:L)&gt;19,50000,COLUMN(L:L)-1)))</f>
        <v>923</v>
      </c>
      <c r="S20" s="2">
        <f ca="1">INDIRECT("D"&amp;(17*ROW(5:5)+ROW('(default)'!$D$3)-19+IF(COLUMN(M:M)&gt;19,50000,COLUMN(M:M)-1)))</f>
        <v>874</v>
      </c>
      <c r="T20" s="2">
        <f ca="1">INDIRECT("D"&amp;(17*ROW(5:5)+ROW('(default)'!$D$3)-19+IF(COLUMN(N:N)&gt;19,50000,COLUMN(N:N)-1)))</f>
        <v>796</v>
      </c>
      <c r="U20" s="2">
        <f ca="1">INDIRECT("D"&amp;(17*ROW(5:5)+ROW('(default)'!$D$3)-19+IF(COLUMN(O:O)&gt;19,50000,COLUMN(O:O)-1)))</f>
        <v>702</v>
      </c>
      <c r="V20" s="2">
        <f ca="1">INDIRECT("D"&amp;(17*ROW(5:5)+ROW('(default)'!$D$3)-19+IF(COLUMN(P:P)&gt;19,50000,COLUMN(P:P)-1)))</f>
        <v>603</v>
      </c>
      <c r="W20" s="2">
        <f ca="1">INDIRECT("D"&amp;(17*ROW(5:5)+ROW('(default)'!$D$3)-19+IF(COLUMN(Q:Q)&gt;19,50000,COLUMN(Q:Q)-1)))</f>
        <v>514</v>
      </c>
      <c r="X20" s="2">
        <f ca="1">INDIRECT("D"&amp;(17*ROW(5:5)+ROW('(default)'!$D$3)-19+IF(COLUMN(R:R)&gt;19,50000,COLUMN(R:R)-1)))</f>
        <v>437</v>
      </c>
      <c r="Y20" s="2">
        <f ca="1">INDIRECT("D"&amp;(17*ROW(5:5)+ROW('(default)'!$D$3)-19+IF(COLUMN(S:S)&gt;19,50000,COLUMN(S:S)-1)))</f>
        <v>363</v>
      </c>
      <c r="AG20" s="1"/>
    </row>
    <row r="21" spans="2:33" x14ac:dyDescent="0.3">
      <c r="B21" s="5">
        <v>18</v>
      </c>
      <c r="C21" s="6">
        <v>317</v>
      </c>
      <c r="D21" s="6">
        <v>337</v>
      </c>
      <c r="E21" s="6">
        <v>343</v>
      </c>
      <c r="F21" s="6">
        <v>341</v>
      </c>
      <c r="I21" s="2">
        <f ca="1">INDIRECT("D"&amp;(17*ROW(6:6)+ROW('(default)'!$D$3)-19+IF(COLUMN(C:C)&gt;19,50000,COLUMN(C:C)-1)))</f>
        <v>372</v>
      </c>
      <c r="J21" s="2">
        <f ca="1">INDIRECT("D"&amp;(17*ROW(6:6)+ROW('(default)'!$D$3)-19+IF(COLUMN(D:D)&gt;19,50000,COLUMN(D:D)-1)))</f>
        <v>453</v>
      </c>
      <c r="K21" s="2">
        <f ca="1">INDIRECT("D"&amp;(17*ROW(6:6)+ROW('(default)'!$D$3)-19+IF(COLUMN(E:E)&gt;19,50000,COLUMN(E:E)-1)))</f>
        <v>536</v>
      </c>
      <c r="L21" s="2">
        <f ca="1">INDIRECT("D"&amp;(17*ROW(6:6)+ROW('(default)'!$D$3)-19+IF(COLUMN(F:F)&gt;19,50000,COLUMN(F:F)-1)))</f>
        <v>636</v>
      </c>
      <c r="M21" s="2">
        <f ca="1">INDIRECT("D"&amp;(17*ROW(6:6)+ROW('(default)'!$D$3)-19+IF(COLUMN(G:G)&gt;19,50000,COLUMN(G:G)-1)))</f>
        <v>747</v>
      </c>
      <c r="N21" s="2">
        <f ca="1">INDIRECT("D"&amp;(17*ROW(6:6)+ROW('(default)'!$D$3)-19+IF(COLUMN(H:H)&gt;19,50000,COLUMN(H:H)-1)))</f>
        <v>846</v>
      </c>
      <c r="O21" s="2">
        <f ca="1">INDIRECT("D"&amp;(17*ROW(6:6)+ROW('(default)'!$D$3)-19+IF(COLUMN(I:I)&gt;19,50000,COLUMN(I:I)-1)))</f>
        <v>929</v>
      </c>
      <c r="P21" s="2">
        <f ca="1">INDIRECT("D"&amp;(17*ROW(6:6)+ROW('(default)'!$D$3)-19+IF(COLUMN(J:J)&gt;19,50000,COLUMN(J:J)-1)))</f>
        <v>979</v>
      </c>
      <c r="Q21" s="2">
        <f ca="1">INDIRECT("D"&amp;(17*ROW(6:6)+ROW('(default)'!$D$3)-19+IF(COLUMN(K:K)&gt;19,50000,COLUMN(K:K)-1)))</f>
        <v>995</v>
      </c>
      <c r="R21" s="2">
        <f ca="1">INDIRECT("D"&amp;(17*ROW(6:6)+ROW('(default)'!$D$3)-19+IF(COLUMN(L:L)&gt;19,50000,COLUMN(L:L)-1)))</f>
        <v>979</v>
      </c>
      <c r="S21" s="2">
        <f ca="1">INDIRECT("D"&amp;(17*ROW(6:6)+ROW('(default)'!$D$3)-19+IF(COLUMN(M:M)&gt;19,50000,COLUMN(M:M)-1)))</f>
        <v>929</v>
      </c>
      <c r="T21" s="2">
        <f ca="1">INDIRECT("D"&amp;(17*ROW(6:6)+ROW('(default)'!$D$3)-19+IF(COLUMN(N:N)&gt;19,50000,COLUMN(N:N)-1)))</f>
        <v>846</v>
      </c>
      <c r="U21" s="2">
        <f ca="1">INDIRECT("D"&amp;(17*ROW(6:6)+ROW('(default)'!$D$3)-19+IF(COLUMN(O:O)&gt;19,50000,COLUMN(O:O)-1)))</f>
        <v>741</v>
      </c>
      <c r="V21" s="2">
        <f ca="1">INDIRECT("D"&amp;(17*ROW(6:6)+ROW('(default)'!$D$3)-19+IF(COLUMN(P:P)&gt;19,50000,COLUMN(P:P)-1)))</f>
        <v>636</v>
      </c>
      <c r="W21" s="2">
        <f ca="1">INDIRECT("D"&amp;(17*ROW(6:6)+ROW('(default)'!$D$3)-19+IF(COLUMN(Q:Q)&gt;19,50000,COLUMN(Q:Q)-1)))</f>
        <v>536</v>
      </c>
      <c r="X21" s="2">
        <f ca="1">INDIRECT("D"&amp;(17*ROW(6:6)+ROW('(default)'!$D$3)-19+IF(COLUMN(R:R)&gt;19,50000,COLUMN(R:R)-1)))</f>
        <v>453</v>
      </c>
      <c r="Y21" s="2">
        <f ca="1">INDIRECT("D"&amp;(17*ROW(6:6)+ROW('(default)'!$D$3)-19+IF(COLUMN(S:S)&gt;19,50000,COLUMN(S:S)-1)))</f>
        <v>380</v>
      </c>
      <c r="AG21" s="1"/>
    </row>
    <row r="22" spans="2:33" x14ac:dyDescent="0.3">
      <c r="B22" s="5">
        <v>19</v>
      </c>
      <c r="C22" s="6">
        <v>365</v>
      </c>
      <c r="D22" s="6">
        <v>393</v>
      </c>
      <c r="E22" s="6">
        <v>398</v>
      </c>
      <c r="F22" s="6">
        <v>398</v>
      </c>
      <c r="I22" s="2">
        <f ca="1">INDIRECT("D"&amp;(17*ROW(7:7)+ROW('(default)'!$D$3)-19+IF(COLUMN(C:C)&gt;19,50000,COLUMN(C:C)-1)))</f>
        <v>378</v>
      </c>
      <c r="J22" s="2">
        <f ca="1">INDIRECT("D"&amp;(17*ROW(7:7)+ROW('(default)'!$D$3)-19+IF(COLUMN(D:D)&gt;19,50000,COLUMN(D:D)-1)))</f>
        <v>459</v>
      </c>
      <c r="K22" s="2">
        <f ca="1">INDIRECT("D"&amp;(17*ROW(7:7)+ROW('(default)'!$D$3)-19+IF(COLUMN(E:E)&gt;19,50000,COLUMN(E:E)-1)))</f>
        <v>547</v>
      </c>
      <c r="L22" s="2">
        <f ca="1">INDIRECT("D"&amp;(17*ROW(7:7)+ROW('(default)'!$D$3)-19+IF(COLUMN(F:F)&gt;19,50000,COLUMN(F:F)-1)))</f>
        <v>653</v>
      </c>
      <c r="M22" s="2">
        <f ca="1">INDIRECT("D"&amp;(17*ROW(7:7)+ROW('(default)'!$D$3)-19+IF(COLUMN(G:G)&gt;19,50000,COLUMN(G:G)-1)))</f>
        <v>758</v>
      </c>
      <c r="N22" s="2">
        <f ca="1">INDIRECT("D"&amp;(17*ROW(7:7)+ROW('(default)'!$D$3)-19+IF(COLUMN(H:H)&gt;19,50000,COLUMN(H:H)-1)))</f>
        <v>863</v>
      </c>
      <c r="O22" s="2">
        <f ca="1">INDIRECT("D"&amp;(17*ROW(7:7)+ROW('(default)'!$D$3)-19+IF(COLUMN(I:I)&gt;19,50000,COLUMN(I:I)-1)))</f>
        <v>951</v>
      </c>
      <c r="P22" s="2">
        <f ca="1">INDIRECT("D"&amp;(17*ROW(7:7)+ROW('(default)'!$D$3)-19+IF(COLUMN(J:J)&gt;19,50000,COLUMN(J:J)-1)))</f>
        <v>1001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1001</v>
      </c>
      <c r="S22" s="2">
        <f ca="1">INDIRECT("D"&amp;(17*ROW(7:7)+ROW('(default)'!$D$3)-19+IF(COLUMN(M:M)&gt;19,50000,COLUMN(M:M)-1)))</f>
        <v>951</v>
      </c>
      <c r="T22" s="2">
        <f ca="1">INDIRECT("D"&amp;(17*ROW(7:7)+ROW('(default)'!$D$3)-19+IF(COLUMN(N:N)&gt;19,50000,COLUMN(N:N)-1)))</f>
        <v>863</v>
      </c>
      <c r="U22" s="2">
        <f ca="1">INDIRECT("D"&amp;(17*ROW(7:7)+ROW('(default)'!$D$3)-19+IF(COLUMN(O:O)&gt;19,50000,COLUMN(O:O)-1)))</f>
        <v>758</v>
      </c>
      <c r="V22" s="2">
        <f ca="1">INDIRECT("D"&amp;(17*ROW(7:7)+ROW('(default)'!$D$3)-19+IF(COLUMN(P:P)&gt;19,50000,COLUMN(P:P)-1)))</f>
        <v>647</v>
      </c>
      <c r="W22" s="2">
        <f ca="1">INDIRECT("D"&amp;(17*ROW(7:7)+ROW('(default)'!$D$3)-19+IF(COLUMN(Q:Q)&gt;19,50000,COLUMN(Q:Q)-1)))</f>
        <v>547</v>
      </c>
      <c r="X22" s="2">
        <f ca="1">INDIRECT("D"&amp;(17*ROW(7:7)+ROW('(default)'!$D$3)-19+IF(COLUMN(R:R)&gt;19,50000,COLUMN(R:R)-1)))</f>
        <v>459</v>
      </c>
      <c r="Y22" s="2">
        <f ca="1">INDIRECT("D"&amp;(17*ROW(7:7)+ROW('(default)'!$D$3)-19+IF(COLUMN(S:S)&gt;19,50000,COLUMN(S:S)-1)))</f>
        <v>378</v>
      </c>
      <c r="AG22" s="1"/>
    </row>
    <row r="23" spans="2:33" x14ac:dyDescent="0.3">
      <c r="B23" s="5">
        <v>20</v>
      </c>
      <c r="C23" s="6">
        <v>423</v>
      </c>
      <c r="D23" s="6">
        <v>448</v>
      </c>
      <c r="E23" s="6">
        <v>453</v>
      </c>
      <c r="F23" s="6">
        <v>455</v>
      </c>
      <c r="I23" s="2">
        <f ca="1">INDIRECT("D"&amp;(17*ROW(8:8)+ROW('(default)'!$D$3)-19+IF(COLUMN(C:C)&gt;19,50000,COLUMN(C:C)-1)))</f>
        <v>372</v>
      </c>
      <c r="J23" s="2">
        <f ca="1">INDIRECT("D"&amp;(17*ROW(8:8)+ROW('(default)'!$D$3)-19+IF(COLUMN(D:D)&gt;19,50000,COLUMN(D:D)-1)))</f>
        <v>453</v>
      </c>
      <c r="K23" s="2">
        <f ca="1">INDIRECT("D"&amp;(17*ROW(8:8)+ROW('(default)'!$D$3)-19+IF(COLUMN(E:E)&gt;19,50000,COLUMN(E:E)-1)))</f>
        <v>542</v>
      </c>
      <c r="L23" s="2">
        <f ca="1">INDIRECT("D"&amp;(17*ROW(8:8)+ROW('(default)'!$D$3)-19+IF(COLUMN(F:F)&gt;19,50000,COLUMN(F:F)-1)))</f>
        <v>641</v>
      </c>
      <c r="M23" s="2">
        <f ca="1">INDIRECT("D"&amp;(17*ROW(8:8)+ROW('(default)'!$D$3)-19+IF(COLUMN(G:G)&gt;19,50000,COLUMN(G:G)-1)))</f>
        <v>747</v>
      </c>
      <c r="N23" s="2">
        <f ca="1">INDIRECT("D"&amp;(17*ROW(8:8)+ROW('(default)'!$D$3)-19+IF(COLUMN(H:H)&gt;19,50000,COLUMN(H:H)-1)))</f>
        <v>852</v>
      </c>
      <c r="O23" s="2">
        <f ca="1">INDIRECT("D"&amp;(17*ROW(8:8)+ROW('(default)'!$D$3)-19+IF(COLUMN(I:I)&gt;19,50000,COLUMN(I:I)-1)))</f>
        <v>935</v>
      </c>
      <c r="P23" s="2">
        <f ca="1">INDIRECT("D"&amp;(17*ROW(8:8)+ROW('(default)'!$D$3)-19+IF(COLUMN(J:J)&gt;19,50000,COLUMN(J:J)-1)))</f>
        <v>984</v>
      </c>
      <c r="Q23" s="2">
        <f ca="1">INDIRECT("D"&amp;(17*ROW(8:8)+ROW('(default)'!$D$3)-19+IF(COLUMN(K:K)&gt;19,50000,COLUMN(K:K)-1)))</f>
        <v>1001</v>
      </c>
      <c r="R23" s="2">
        <f ca="1">INDIRECT("D"&amp;(17*ROW(8:8)+ROW('(default)'!$D$3)-19+IF(COLUMN(L:L)&gt;19,50000,COLUMN(L:L)-1)))</f>
        <v>984</v>
      </c>
      <c r="S23" s="2">
        <f ca="1">INDIRECT("D"&amp;(17*ROW(8:8)+ROW('(default)'!$D$3)-19+IF(COLUMN(M:M)&gt;19,50000,COLUMN(M:M)-1)))</f>
        <v>929</v>
      </c>
      <c r="T23" s="2">
        <f ca="1">INDIRECT("D"&amp;(17*ROW(8:8)+ROW('(default)'!$D$3)-19+IF(COLUMN(N:N)&gt;19,50000,COLUMN(N:N)-1)))</f>
        <v>846</v>
      </c>
      <c r="U23" s="2">
        <f ca="1">INDIRECT("D"&amp;(17*ROW(8:8)+ROW('(default)'!$D$3)-19+IF(COLUMN(O:O)&gt;19,50000,COLUMN(O:O)-1)))</f>
        <v>741</v>
      </c>
      <c r="V23" s="2">
        <f ca="1">INDIRECT("D"&amp;(17*ROW(8:8)+ROW('(default)'!$D$3)-19+IF(COLUMN(P:P)&gt;19,50000,COLUMN(P:P)-1)))</f>
        <v>636</v>
      </c>
      <c r="W23" s="2">
        <f ca="1">INDIRECT("D"&amp;(17*ROW(8:8)+ROW('(default)'!$D$3)-19+IF(COLUMN(Q:Q)&gt;19,50000,COLUMN(Q:Q)-1)))</f>
        <v>536</v>
      </c>
      <c r="X23" s="2">
        <f ca="1">INDIRECT("D"&amp;(17*ROW(8:8)+ROW('(default)'!$D$3)-19+IF(COLUMN(R:R)&gt;19,50000,COLUMN(R:R)-1)))</f>
        <v>453</v>
      </c>
      <c r="Y23" s="2">
        <f ca="1">INDIRECT("D"&amp;(17*ROW(8:8)+ROW('(default)'!$D$3)-19+IF(COLUMN(S:S)&gt;19,50000,COLUMN(S:S)-1)))</f>
        <v>380</v>
      </c>
      <c r="AG23" s="1"/>
    </row>
    <row r="24" spans="2:33" x14ac:dyDescent="0.3">
      <c r="B24" s="5">
        <v>21</v>
      </c>
      <c r="C24" s="6">
        <v>470</v>
      </c>
      <c r="D24" s="6">
        <v>503</v>
      </c>
      <c r="E24" s="6">
        <v>514</v>
      </c>
      <c r="F24" s="6">
        <v>512</v>
      </c>
      <c r="I24" s="2">
        <f ca="1">INDIRECT("D"&amp;(17*ROW(9:9)+ROW('(default)'!$D$3)-19+IF(COLUMN(C:C)&gt;19,50000,COLUMN(C:C)-1)))</f>
        <v>363</v>
      </c>
      <c r="J24" s="2">
        <f ca="1">INDIRECT("D"&amp;(17*ROW(9:9)+ROW('(default)'!$D$3)-19+IF(COLUMN(D:D)&gt;19,50000,COLUMN(D:D)-1)))</f>
        <v>437</v>
      </c>
      <c r="K24" s="2">
        <f ca="1">INDIRECT("D"&amp;(17*ROW(9:9)+ROW('(default)'!$D$3)-19+IF(COLUMN(E:E)&gt;19,50000,COLUMN(E:E)-1)))</f>
        <v>514</v>
      </c>
      <c r="L24" s="2">
        <f ca="1">INDIRECT("D"&amp;(17*ROW(9:9)+ROW('(default)'!$D$3)-19+IF(COLUMN(F:F)&gt;19,50000,COLUMN(F:F)-1)))</f>
        <v>608</v>
      </c>
      <c r="M24" s="2">
        <f ca="1">INDIRECT("D"&amp;(17*ROW(9:9)+ROW('(default)'!$D$3)-19+IF(COLUMN(G:G)&gt;19,50000,COLUMN(G:G)-1)))</f>
        <v>708</v>
      </c>
      <c r="N24" s="2">
        <f ca="1">INDIRECT("D"&amp;(17*ROW(9:9)+ROW('(default)'!$D$3)-19+IF(COLUMN(H:H)&gt;19,50000,COLUMN(H:H)-1)))</f>
        <v>802</v>
      </c>
      <c r="O24" s="2">
        <f ca="1">INDIRECT("D"&amp;(17*ROW(9:9)+ROW('(default)'!$D$3)-19+IF(COLUMN(I:I)&gt;19,50000,COLUMN(I:I)-1)))</f>
        <v>879</v>
      </c>
      <c r="P24" s="2">
        <f ca="1">INDIRECT("D"&amp;(17*ROW(9:9)+ROW('(default)'!$D$3)-19+IF(COLUMN(J:J)&gt;19,50000,COLUMN(J:J)-1)))</f>
        <v>929</v>
      </c>
      <c r="Q24" s="2">
        <f ca="1">INDIRECT("D"&amp;(17*ROW(9:9)+ROW('(default)'!$D$3)-19+IF(COLUMN(K:K)&gt;19,50000,COLUMN(K:K)-1)))</f>
        <v>951</v>
      </c>
      <c r="R24" s="2">
        <f ca="1">INDIRECT("D"&amp;(17*ROW(9:9)+ROW('(default)'!$D$3)-19+IF(COLUMN(L:L)&gt;19,50000,COLUMN(L:L)-1)))</f>
        <v>929</v>
      </c>
      <c r="S24" s="2">
        <f ca="1">INDIRECT("D"&amp;(17*ROW(9:9)+ROW('(default)'!$D$3)-19+IF(COLUMN(M:M)&gt;19,50000,COLUMN(M:M)-1)))</f>
        <v>879</v>
      </c>
      <c r="T24" s="2">
        <f ca="1">INDIRECT("D"&amp;(17*ROW(9:9)+ROW('(default)'!$D$3)-19+IF(COLUMN(N:N)&gt;19,50000,COLUMN(N:N)-1)))</f>
        <v>796</v>
      </c>
      <c r="U24" s="2">
        <f ca="1">INDIRECT("D"&amp;(17*ROW(9:9)+ROW('(default)'!$D$3)-19+IF(COLUMN(O:O)&gt;19,50000,COLUMN(O:O)-1)))</f>
        <v>702</v>
      </c>
      <c r="V24" s="2">
        <f ca="1">INDIRECT("D"&amp;(17*ROW(9:9)+ROW('(default)'!$D$3)-19+IF(COLUMN(P:P)&gt;19,50000,COLUMN(P:P)-1)))</f>
        <v>608</v>
      </c>
      <c r="W24" s="2">
        <f ca="1">INDIRECT("D"&amp;(17*ROW(9:9)+ROW('(default)'!$D$3)-19+IF(COLUMN(Q:Q)&gt;19,50000,COLUMN(Q:Q)-1)))</f>
        <v>514</v>
      </c>
      <c r="X24" s="2">
        <f ca="1">INDIRECT("D"&amp;(17*ROW(9:9)+ROW('(default)'!$D$3)-19+IF(COLUMN(R:R)&gt;19,50000,COLUMN(R:R)-1)))</f>
        <v>437</v>
      </c>
      <c r="Y24" s="2">
        <f ca="1">INDIRECT("D"&amp;(17*ROW(9:9)+ROW('(default)'!$D$3)-19+IF(COLUMN(S:S)&gt;19,50000,COLUMN(S:S)-1)))</f>
        <v>363</v>
      </c>
      <c r="AG24" s="1"/>
    </row>
    <row r="25" spans="2:33" x14ac:dyDescent="0.3">
      <c r="B25" s="5">
        <v>22</v>
      </c>
      <c r="C25" s="6">
        <v>529</v>
      </c>
      <c r="D25" s="6">
        <v>559</v>
      </c>
      <c r="E25" s="6">
        <v>564</v>
      </c>
      <c r="F25" s="6">
        <v>568</v>
      </c>
      <c r="I25" s="2">
        <f ca="1">INDIRECT("D"&amp;(17*ROW(10:10)+ROW('(default)'!$D$3)-19+IF(COLUMN(C:C)&gt;19,50000,COLUMN(C:C)-1)))</f>
        <v>343</v>
      </c>
      <c r="J25" s="2">
        <f ca="1">INDIRECT("D"&amp;(17*ROW(10:10)+ROW('(default)'!$D$3)-19+IF(COLUMN(D:D)&gt;19,50000,COLUMN(D:D)-1)))</f>
        <v>409</v>
      </c>
      <c r="K25" s="2">
        <f ca="1">INDIRECT("D"&amp;(17*ROW(10:10)+ROW('(default)'!$D$3)-19+IF(COLUMN(E:E)&gt;19,50000,COLUMN(E:E)-1)))</f>
        <v>481</v>
      </c>
      <c r="L25" s="2">
        <f ca="1">INDIRECT("D"&amp;(17*ROW(10:10)+ROW('(default)'!$D$3)-19+IF(COLUMN(F:F)&gt;19,50000,COLUMN(F:F)-1)))</f>
        <v>564</v>
      </c>
      <c r="M25" s="2">
        <f ca="1">INDIRECT("D"&amp;(17*ROW(10:10)+ROW('(default)'!$D$3)-19+IF(COLUMN(G:G)&gt;19,50000,COLUMN(G:G)-1)))</f>
        <v>647</v>
      </c>
      <c r="N25" s="2">
        <f ca="1">INDIRECT("D"&amp;(17*ROW(10:10)+ROW('(default)'!$D$3)-19+IF(COLUMN(H:H)&gt;19,50000,COLUMN(H:H)-1)))</f>
        <v>730</v>
      </c>
      <c r="O25" s="2">
        <f ca="1">INDIRECT("D"&amp;(17*ROW(10:10)+ROW('(default)'!$D$3)-19+IF(COLUMN(I:I)&gt;19,50000,COLUMN(I:I)-1)))</f>
        <v>796</v>
      </c>
      <c r="P25" s="2">
        <f ca="1">INDIRECT("D"&amp;(17*ROW(10:10)+ROW('(default)'!$D$3)-19+IF(COLUMN(J:J)&gt;19,50000,COLUMN(J:J)-1)))</f>
        <v>846</v>
      </c>
      <c r="Q25" s="2">
        <f ca="1">INDIRECT("D"&amp;(17*ROW(10:10)+ROW('(default)'!$D$3)-19+IF(COLUMN(K:K)&gt;19,50000,COLUMN(K:K)-1)))</f>
        <v>863</v>
      </c>
      <c r="R25" s="2">
        <f ca="1">INDIRECT("D"&amp;(17*ROW(10:10)+ROW('(default)'!$D$3)-19+IF(COLUMN(L:L)&gt;19,50000,COLUMN(L:L)-1)))</f>
        <v>846</v>
      </c>
      <c r="S25" s="2">
        <f ca="1">INDIRECT("D"&amp;(17*ROW(10:10)+ROW('(default)'!$D$3)-19+IF(COLUMN(M:M)&gt;19,50000,COLUMN(M:M)-1)))</f>
        <v>796</v>
      </c>
      <c r="T25" s="2">
        <f ca="1">INDIRECT("D"&amp;(17*ROW(10:10)+ROW('(default)'!$D$3)-19+IF(COLUMN(N:N)&gt;19,50000,COLUMN(N:N)-1)))</f>
        <v>730</v>
      </c>
      <c r="U25" s="2">
        <f ca="1">INDIRECT("D"&amp;(17*ROW(10:10)+ROW('(default)'!$D$3)-19+IF(COLUMN(O:O)&gt;19,50000,COLUMN(O:O)-1)))</f>
        <v>647</v>
      </c>
      <c r="V25" s="2">
        <f ca="1">INDIRECT("D"&amp;(17*ROW(10:10)+ROW('(default)'!$D$3)-19+IF(COLUMN(P:P)&gt;19,50000,COLUMN(P:P)-1)))</f>
        <v>559</v>
      </c>
      <c r="W25" s="2">
        <f ca="1">INDIRECT("D"&amp;(17*ROW(10:10)+ROW('(default)'!$D$3)-19+IF(COLUMN(Q:Q)&gt;19,50000,COLUMN(Q:Q)-1)))</f>
        <v>481</v>
      </c>
      <c r="X25" s="2">
        <f ca="1">INDIRECT("D"&amp;(17*ROW(10:10)+ROW('(default)'!$D$3)-19+IF(COLUMN(R:R)&gt;19,50000,COLUMN(R:R)-1)))</f>
        <v>409</v>
      </c>
      <c r="Y25" s="2">
        <f ca="1">INDIRECT("D"&amp;(17*ROW(10:10)+ROW('(default)'!$D$3)-19+IF(COLUMN(S:S)&gt;19,50000,COLUMN(S:S)-1)))</f>
        <v>343</v>
      </c>
      <c r="AG25" s="1"/>
    </row>
    <row r="26" spans="2:33" x14ac:dyDescent="0.3">
      <c r="B26" s="5">
        <v>23</v>
      </c>
      <c r="C26" s="6">
        <v>564</v>
      </c>
      <c r="D26" s="6">
        <v>603</v>
      </c>
      <c r="E26" s="6">
        <v>614</v>
      </c>
      <c r="F26" s="6">
        <v>614</v>
      </c>
      <c r="I26" s="2">
        <f ca="1">INDIRECT("D"&amp;(17*ROW(11:11)+ROW('(default)'!$D$3)-19+IF(COLUMN(C:C)&gt;19,50000,COLUMN(C:C)-1)))</f>
        <v>317</v>
      </c>
      <c r="J26" s="2">
        <f ca="1">INDIRECT("D"&amp;(17*ROW(11:11)+ROW('(default)'!$D$3)-19+IF(COLUMN(D:D)&gt;19,50000,COLUMN(D:D)-1)))</f>
        <v>376</v>
      </c>
      <c r="K26" s="2">
        <f ca="1">INDIRECT("D"&amp;(17*ROW(11:11)+ROW('(default)'!$D$3)-19+IF(COLUMN(E:E)&gt;19,50000,COLUMN(E:E)-1)))</f>
        <v>437</v>
      </c>
      <c r="L26" s="2">
        <f ca="1">INDIRECT("D"&amp;(17*ROW(11:11)+ROW('(default)'!$D$3)-19+IF(COLUMN(F:F)&gt;19,50000,COLUMN(F:F)-1)))</f>
        <v>509</v>
      </c>
      <c r="M26" s="2">
        <f ca="1">INDIRECT("D"&amp;(17*ROW(11:11)+ROW('(default)'!$D$3)-19+IF(COLUMN(G:G)&gt;19,50000,COLUMN(G:G)-1)))</f>
        <v>575</v>
      </c>
      <c r="N26" s="2">
        <f ca="1">INDIRECT("D"&amp;(17*ROW(11:11)+ROW('(default)'!$D$3)-19+IF(COLUMN(H:H)&gt;19,50000,COLUMN(H:H)-1)))</f>
        <v>647</v>
      </c>
      <c r="O26" s="2">
        <f ca="1">INDIRECT("D"&amp;(17*ROW(11:11)+ROW('(default)'!$D$3)-19+IF(COLUMN(I:I)&gt;19,50000,COLUMN(I:I)-1)))</f>
        <v>702</v>
      </c>
      <c r="P26" s="2">
        <f ca="1">INDIRECT("D"&amp;(17*ROW(11:11)+ROW('(default)'!$D$3)-19+IF(COLUMN(J:J)&gt;19,50000,COLUMN(J:J)-1)))</f>
        <v>741</v>
      </c>
      <c r="Q26" s="2">
        <f ca="1">INDIRECT("D"&amp;(17*ROW(11:11)+ROW('(default)'!$D$3)-19+IF(COLUMN(K:K)&gt;19,50000,COLUMN(K:K)-1)))</f>
        <v>752</v>
      </c>
      <c r="R26" s="2">
        <f ca="1">INDIRECT("D"&amp;(17*ROW(11:11)+ROW('(default)'!$D$3)-19+IF(COLUMN(L:L)&gt;19,50000,COLUMN(L:L)-1)))</f>
        <v>741</v>
      </c>
      <c r="S26" s="2">
        <f ca="1">INDIRECT("D"&amp;(17*ROW(11:11)+ROW('(default)'!$D$3)-19+IF(COLUMN(M:M)&gt;19,50000,COLUMN(M:M)-1)))</f>
        <v>702</v>
      </c>
      <c r="T26" s="2">
        <f ca="1">INDIRECT("D"&amp;(17*ROW(11:11)+ROW('(default)'!$D$3)-19+IF(COLUMN(N:N)&gt;19,50000,COLUMN(N:N)-1)))</f>
        <v>641</v>
      </c>
      <c r="U26" s="2">
        <f ca="1">INDIRECT("D"&amp;(17*ROW(11:11)+ROW('(default)'!$D$3)-19+IF(COLUMN(O:O)&gt;19,50000,COLUMN(O:O)-1)))</f>
        <v>575</v>
      </c>
      <c r="V26" s="2">
        <f ca="1">INDIRECT("D"&amp;(17*ROW(11:11)+ROW('(default)'!$D$3)-19+IF(COLUMN(P:P)&gt;19,50000,COLUMN(P:P)-1)))</f>
        <v>503</v>
      </c>
      <c r="W26" s="2">
        <f ca="1">INDIRECT("D"&amp;(17*ROW(11:11)+ROW('(default)'!$D$3)-19+IF(COLUMN(Q:Q)&gt;19,50000,COLUMN(Q:Q)-1)))</f>
        <v>437</v>
      </c>
      <c r="X26" s="2">
        <f ca="1">INDIRECT("D"&amp;(17*ROW(11:11)+ROW('(default)'!$D$3)-19+IF(COLUMN(R:R)&gt;19,50000,COLUMN(R:R)-1)))</f>
        <v>376</v>
      </c>
      <c r="Y26" s="2">
        <f ca="1">INDIRECT("D"&amp;(17*ROW(11:11)+ROW('(default)'!$D$3)-19+IF(COLUMN(S:S)&gt;19,50000,COLUMN(S:S)-1)))</f>
        <v>317</v>
      </c>
      <c r="AG26" s="1"/>
    </row>
    <row r="27" spans="2:33" x14ac:dyDescent="0.3">
      <c r="B27" s="5">
        <v>24</v>
      </c>
      <c r="C27" s="6">
        <v>600</v>
      </c>
      <c r="D27" s="6">
        <v>630</v>
      </c>
      <c r="E27" s="6">
        <v>641</v>
      </c>
      <c r="F27" s="6">
        <v>637</v>
      </c>
      <c r="I27" s="2">
        <f ca="1">INDIRECT("D"&amp;(17*ROW(12:12)+ROW('(default)'!$D$3)-19+IF(COLUMN(C:C)&gt;19,50000,COLUMN(C:C)-1)))</f>
        <v>291</v>
      </c>
      <c r="J27" s="2">
        <f ca="1">INDIRECT("D"&amp;(17*ROW(12:12)+ROW('(default)'!$D$3)-19+IF(COLUMN(D:D)&gt;19,50000,COLUMN(D:D)-1)))</f>
        <v>343</v>
      </c>
      <c r="K27" s="2">
        <f ca="1">INDIRECT("D"&amp;(17*ROW(12:12)+ROW('(default)'!$D$3)-19+IF(COLUMN(E:E)&gt;19,50000,COLUMN(E:E)-1)))</f>
        <v>393</v>
      </c>
      <c r="L27" s="2">
        <f ca="1">INDIRECT("D"&amp;(17*ROW(12:12)+ROW('(default)'!$D$3)-19+IF(COLUMN(F:F)&gt;19,50000,COLUMN(F:F)-1)))</f>
        <v>448</v>
      </c>
      <c r="M27" s="2">
        <f ca="1">INDIRECT("D"&amp;(17*ROW(12:12)+ROW('(default)'!$D$3)-19+IF(COLUMN(G:G)&gt;19,50000,COLUMN(G:G)-1)))</f>
        <v>503</v>
      </c>
      <c r="N27" s="2">
        <f ca="1">INDIRECT("D"&amp;(17*ROW(12:12)+ROW('(default)'!$D$3)-19+IF(COLUMN(H:H)&gt;19,50000,COLUMN(H:H)-1)))</f>
        <v>559</v>
      </c>
      <c r="O27" s="2">
        <f ca="1">INDIRECT("D"&amp;(17*ROW(12:12)+ROW('(default)'!$D$3)-19+IF(COLUMN(I:I)&gt;19,50000,COLUMN(I:I)-1)))</f>
        <v>603</v>
      </c>
      <c r="P27" s="2">
        <f ca="1">INDIRECT("D"&amp;(17*ROW(12:12)+ROW('(default)'!$D$3)-19+IF(COLUMN(J:J)&gt;19,50000,COLUMN(J:J)-1)))</f>
        <v>636</v>
      </c>
      <c r="Q27" s="2">
        <f ca="1">INDIRECT("D"&amp;(17*ROW(12:12)+ROW('(default)'!$D$3)-19+IF(COLUMN(K:K)&gt;19,50000,COLUMN(K:K)-1)))</f>
        <v>641</v>
      </c>
      <c r="R27" s="2">
        <f ca="1">INDIRECT("D"&amp;(17*ROW(12:12)+ROW('(default)'!$D$3)-19+IF(COLUMN(L:L)&gt;19,50000,COLUMN(L:L)-1)))</f>
        <v>636</v>
      </c>
      <c r="S27" s="2">
        <f ca="1">INDIRECT("D"&amp;(17*ROW(12:12)+ROW('(default)'!$D$3)-19+IF(COLUMN(M:M)&gt;19,50000,COLUMN(M:M)-1)))</f>
        <v>603</v>
      </c>
      <c r="T27" s="2">
        <f ca="1">INDIRECT("D"&amp;(17*ROW(12:12)+ROW('(default)'!$D$3)-19+IF(COLUMN(N:N)&gt;19,50000,COLUMN(N:N)-1)))</f>
        <v>559</v>
      </c>
      <c r="U27" s="2">
        <f ca="1">INDIRECT("D"&amp;(17*ROW(12:12)+ROW('(default)'!$D$3)-19+IF(COLUMN(O:O)&gt;19,50000,COLUMN(O:O)-1)))</f>
        <v>503</v>
      </c>
      <c r="V27" s="2">
        <f ca="1">INDIRECT("D"&amp;(17*ROW(12:12)+ROW('(default)'!$D$3)-19+IF(COLUMN(P:P)&gt;19,50000,COLUMN(P:P)-1)))</f>
        <v>448</v>
      </c>
      <c r="W27" s="2">
        <f ca="1">INDIRECT("D"&amp;(17*ROW(12:12)+ROW('(default)'!$D$3)-19+IF(COLUMN(Q:Q)&gt;19,50000,COLUMN(Q:Q)-1)))</f>
        <v>393</v>
      </c>
      <c r="X27" s="2">
        <f ca="1">INDIRECT("D"&amp;(17*ROW(12:12)+ROW('(default)'!$D$3)-19+IF(COLUMN(R:R)&gt;19,50000,COLUMN(R:R)-1)))</f>
        <v>343</v>
      </c>
      <c r="Y27" s="2">
        <f ca="1">INDIRECT("D"&amp;(17*ROW(12:12)+ROW('(default)'!$D$3)-19+IF(COLUMN(S:S)&gt;19,50000,COLUMN(S:S)-1)))</f>
        <v>291</v>
      </c>
      <c r="AG27" s="1"/>
    </row>
    <row r="28" spans="2:33" x14ac:dyDescent="0.3">
      <c r="B28" s="5">
        <v>25</v>
      </c>
      <c r="C28" s="6">
        <v>611</v>
      </c>
      <c r="D28" s="6">
        <v>641</v>
      </c>
      <c r="E28" s="6">
        <v>653</v>
      </c>
      <c r="F28" s="6">
        <v>648</v>
      </c>
      <c r="I28" s="10">
        <f ca="1">INDIRECT("D"&amp;(17*ROW(13:13)+ROW('(default)'!$D$3)-19+IF(COLUMN(C:C)&gt;19,50000,COLUMN(C:C)-1)))</f>
        <v>269</v>
      </c>
      <c r="J28" s="2">
        <f ca="1">INDIRECT("D"&amp;(17*ROW(13:13)+ROW('(default)'!$D$3)-19+IF(COLUMN(D:D)&gt;19,50000,COLUMN(D:D)-1)))</f>
        <v>299</v>
      </c>
      <c r="K28" s="2">
        <f ca="1">INDIRECT("D"&amp;(17*ROW(13:13)+ROW('(default)'!$D$3)-19+IF(COLUMN(E:E)&gt;19,50000,COLUMN(E:E)-1)))</f>
        <v>341</v>
      </c>
      <c r="L28" s="2">
        <f ca="1">INDIRECT("D"&amp;(17*ROW(13:13)+ROW('(default)'!$D$3)-19+IF(COLUMN(F:F)&gt;19,50000,COLUMN(F:F)-1)))</f>
        <v>389</v>
      </c>
      <c r="M28" s="2">
        <f ca="1">INDIRECT("D"&amp;(17*ROW(13:13)+ROW('(default)'!$D$3)-19+IF(COLUMN(G:G)&gt;19,50000,COLUMN(G:G)-1)))</f>
        <v>429</v>
      </c>
      <c r="N28" s="2">
        <f ca="1">INDIRECT("D"&amp;(17*ROW(13:13)+ROW('(default)'!$D$3)-19+IF(COLUMN(H:H)&gt;19,50000,COLUMN(H:H)-1)))</f>
        <v>470</v>
      </c>
      <c r="O28" s="2">
        <f ca="1">INDIRECT("D"&amp;(17*ROW(13:13)+ROW('(default)'!$D$3)-19+IF(COLUMN(I:I)&gt;19,50000,COLUMN(I:I)-1)))</f>
        <v>507</v>
      </c>
      <c r="P28" s="2">
        <f ca="1">INDIRECT("D"&amp;(17*ROW(13:13)+ROW('(default)'!$D$3)-19+IF(COLUMN(J:J)&gt;19,50000,COLUMN(J:J)-1)))</f>
        <v>525</v>
      </c>
      <c r="Q28" s="2">
        <f ca="1">INDIRECT("D"&amp;(17*ROW(13:13)+ROW('(default)'!$D$3)-19+IF(COLUMN(K:K)&gt;19,50000,COLUMN(K:K)-1)))</f>
        <v>538</v>
      </c>
      <c r="R28" s="2">
        <f ca="1">INDIRECT("D"&amp;(17*ROW(13:13)+ROW('(default)'!$D$3)-19+IF(COLUMN(L:L)&gt;19,50000,COLUMN(L:L)-1)))</f>
        <v>525</v>
      </c>
      <c r="S28" s="2">
        <f ca="1">INDIRECT("D"&amp;(17*ROW(13:13)+ROW('(default)'!$D$3)-19+IF(COLUMN(M:M)&gt;19,50000,COLUMN(M:M)-1)))</f>
        <v>507</v>
      </c>
      <c r="T28" s="2">
        <f ca="1">INDIRECT("D"&amp;(17*ROW(13:13)+ROW('(default)'!$D$3)-19+IF(COLUMN(N:N)&gt;19,50000,COLUMN(N:N)-1)))</f>
        <v>470</v>
      </c>
      <c r="U28" s="2">
        <f ca="1">INDIRECT("D"&amp;(17*ROW(13:13)+ROW('(default)'!$D$3)-19+IF(COLUMN(O:O)&gt;19,50000,COLUMN(O:O)-1)))</f>
        <v>429</v>
      </c>
      <c r="V28" s="2">
        <f ca="1">INDIRECT("D"&amp;(17*ROW(13:13)+ROW('(default)'!$D$3)-19+IF(COLUMN(P:P)&gt;19,50000,COLUMN(P:P)-1)))</f>
        <v>389</v>
      </c>
      <c r="W28" s="2">
        <f ca="1">INDIRECT("D"&amp;(17*ROW(13:13)+ROW('(default)'!$D$3)-19+IF(COLUMN(Q:Q)&gt;19,50000,COLUMN(Q:Q)-1)))</f>
        <v>341</v>
      </c>
      <c r="X28" s="2">
        <f ca="1">INDIRECT("D"&amp;(17*ROW(13:13)+ROW('(default)'!$D$3)-19+IF(COLUMN(R:R)&gt;19,50000,COLUMN(R:R)-1)))</f>
        <v>299</v>
      </c>
      <c r="Y28" s="10">
        <f ca="1">INDIRECT("D"&amp;(17*ROW(13:13)+ROW('(default)'!$D$3)-19+IF(COLUMN(S:S)&gt;19,50000,COLUMN(S:S)-1)))</f>
        <v>269</v>
      </c>
      <c r="AG28" s="1"/>
    </row>
    <row r="29" spans="2:33" x14ac:dyDescent="0.3">
      <c r="B29" s="5">
        <v>26</v>
      </c>
      <c r="C29" s="6">
        <v>600</v>
      </c>
      <c r="D29" s="6">
        <v>630</v>
      </c>
      <c r="E29" s="6">
        <v>641</v>
      </c>
      <c r="F29" s="6">
        <v>637</v>
      </c>
      <c r="AG29" s="1"/>
    </row>
    <row r="30" spans="2:33" x14ac:dyDescent="0.3">
      <c r="B30" s="5">
        <v>27</v>
      </c>
      <c r="C30" s="6">
        <v>576</v>
      </c>
      <c r="D30" s="6">
        <v>603</v>
      </c>
      <c r="E30" s="6">
        <v>614</v>
      </c>
      <c r="F30" s="6">
        <v>614</v>
      </c>
      <c r="H30" t="s">
        <v>2</v>
      </c>
      <c r="I30" s="11">
        <f ca="1">INDIRECT("E"&amp;(17*ROW(1:1)+ROW('(default)'!$E$3)-19+IF(COLUMN(C:C)&gt;19,50000,COLUMN(C:C)-1)))</f>
        <v>262</v>
      </c>
      <c r="J30" s="2">
        <f ca="1">INDIRECT("E"&amp;(17*ROW(1:1)+ROW('(default)'!$E$3)-19+IF(COLUMN(D:D)&gt;19,50000,COLUMN(D:D)-1)))</f>
        <v>306</v>
      </c>
      <c r="K30" s="2">
        <f ca="1">INDIRECT("E"&amp;(17*ROW(1:1)+ROW('(default)'!$E$3)-19+IF(COLUMN(E:E)&gt;19,50000,COLUMN(E:E)-1)))</f>
        <v>354</v>
      </c>
      <c r="L30" s="2">
        <f ca="1">INDIRECT("E"&amp;(17*ROW(1:1)+ROW('(default)'!$E$3)-19+IF(COLUMN(F:F)&gt;19,50000,COLUMN(F:F)-1)))</f>
        <v>402</v>
      </c>
      <c r="M30" s="2">
        <f ca="1">INDIRECT("E"&amp;(17*ROW(1:1)+ROW('(default)'!$E$3)-19+IF(COLUMN(G:G)&gt;19,50000,COLUMN(G:G)-1)))</f>
        <v>441</v>
      </c>
      <c r="N30" s="2">
        <f ca="1">INDIRECT("E"&amp;(17*ROW(1:1)+ROW('(default)'!$E$3)-19+IF(COLUMN(H:H)&gt;19,50000,COLUMN(H:H)-1)))</f>
        <v>483</v>
      </c>
      <c r="O30" s="2">
        <f ca="1">INDIRECT("E"&amp;(17*ROW(1:1)+ROW('(default)'!$E$3)-19+IF(COLUMN(I:I)&gt;19,50000,COLUMN(I:I)-1)))</f>
        <v>518</v>
      </c>
      <c r="P30" s="2">
        <f ca="1">INDIRECT("E"&amp;(17*ROW(1:1)+ROW('(default)'!$E$3)-19+IF(COLUMN(J:J)&gt;19,50000,COLUMN(J:J)-1)))</f>
        <v>546</v>
      </c>
      <c r="Q30" s="2">
        <f ca="1">INDIRECT("E"&amp;(17*ROW(1:1)+ROW('(default)'!$E$3)-19+IF(COLUMN(K:K)&gt;19,50000,COLUMN(K:K)-1)))</f>
        <v>549</v>
      </c>
      <c r="R30" s="2">
        <f ca="1">INDIRECT("E"&amp;(17*ROW(1:1)+ROW('(default)'!$E$3)-19+IF(COLUMN(L:L)&gt;19,50000,COLUMN(L:L)-1)))</f>
        <v>546</v>
      </c>
      <c r="S30" s="2">
        <f ca="1">INDIRECT("E"&amp;(17*ROW(1:1)+ROW('(default)'!$E$3)-19+IF(COLUMN(M:M)&gt;19,50000,COLUMN(M:M)-1)))</f>
        <v>518</v>
      </c>
      <c r="T30" s="2">
        <f ca="1">INDIRECT("E"&amp;(17*ROW(1:1)+ROW('(default)'!$E$3)-19+IF(COLUMN(N:N)&gt;19,50000,COLUMN(N:N)-1)))</f>
        <v>483</v>
      </c>
      <c r="U30" s="2">
        <f ca="1">INDIRECT("E"&amp;(17*ROW(1:1)+ROW('(default)'!$E$3)-19+IF(COLUMN(O:O)&gt;19,50000,COLUMN(O:O)-1)))</f>
        <v>441</v>
      </c>
      <c r="V30" s="2">
        <f ca="1">INDIRECT("E"&amp;(17*ROW(1:1)+ROW('(default)'!$E$3)-19+IF(COLUMN(P:P)&gt;19,50000,COLUMN(P:P)-1)))</f>
        <v>402</v>
      </c>
      <c r="W30" s="2">
        <f ca="1">INDIRECT("E"&amp;(17*ROW(1:1)+ROW('(default)'!$E$3)-19+IF(COLUMN(Q:Q)&gt;19,50000,COLUMN(Q:Q)-1)))</f>
        <v>354</v>
      </c>
      <c r="X30" s="2">
        <f ca="1">INDIRECT("E"&amp;(17*ROW(1:1)+ROW('(default)'!$E$3)-19+IF(COLUMN(R:R)&gt;19,50000,COLUMN(R:R)-1)))</f>
        <v>306</v>
      </c>
      <c r="Y30" s="11">
        <f ca="1">INDIRECT("E"&amp;(17*ROW(1:1)+ROW('(default)'!$E$3)-19+IF(COLUMN(S:S)&gt;19,50000,COLUMN(S:S)-1)))</f>
        <v>262</v>
      </c>
      <c r="AG30" s="1"/>
    </row>
    <row r="31" spans="2:33" x14ac:dyDescent="0.3">
      <c r="B31" s="5">
        <v>28</v>
      </c>
      <c r="C31" s="6">
        <v>529</v>
      </c>
      <c r="D31" s="6">
        <v>559</v>
      </c>
      <c r="E31" s="6">
        <v>564</v>
      </c>
      <c r="F31" s="6">
        <v>568</v>
      </c>
      <c r="I31" s="2">
        <f ca="1">INDIRECT("E"&amp;(17*ROW(2:2)+ROW('(default)'!$E$3)-19+IF(COLUMN(C:C)&gt;19,50000,COLUMN(C:C)-1)))</f>
        <v>291</v>
      </c>
      <c r="J31" s="2">
        <f ca="1">INDIRECT("E"&amp;(17*ROW(2:2)+ROW('(default)'!$E$3)-19+IF(COLUMN(D:D)&gt;19,50000,COLUMN(D:D)-1)))</f>
        <v>343</v>
      </c>
      <c r="K31" s="2">
        <f ca="1">INDIRECT("E"&amp;(17*ROW(2:2)+ROW('(default)'!$E$3)-19+IF(COLUMN(E:E)&gt;19,50000,COLUMN(E:E)-1)))</f>
        <v>398</v>
      </c>
      <c r="L31" s="2">
        <f ca="1">INDIRECT("E"&amp;(17*ROW(2:2)+ROW('(default)'!$E$3)-19+IF(COLUMN(F:F)&gt;19,50000,COLUMN(F:F)-1)))</f>
        <v>453</v>
      </c>
      <c r="M31" s="2">
        <f ca="1">INDIRECT("E"&amp;(17*ROW(2:2)+ROW('(default)'!$E$3)-19+IF(COLUMN(G:G)&gt;19,50000,COLUMN(G:G)-1)))</f>
        <v>514</v>
      </c>
      <c r="N31" s="2">
        <f ca="1">INDIRECT("E"&amp;(17*ROW(2:2)+ROW('(default)'!$E$3)-19+IF(COLUMN(H:H)&gt;19,50000,COLUMN(H:H)-1)))</f>
        <v>564</v>
      </c>
      <c r="O31" s="2">
        <f ca="1">INDIRECT("E"&amp;(17*ROW(2:2)+ROW('(default)'!$E$3)-19+IF(COLUMN(I:I)&gt;19,50000,COLUMN(I:I)-1)))</f>
        <v>614</v>
      </c>
      <c r="P31" s="2">
        <f ca="1">INDIRECT("E"&amp;(17*ROW(2:2)+ROW('(default)'!$E$3)-19+IF(COLUMN(J:J)&gt;19,50000,COLUMN(J:J)-1)))</f>
        <v>641</v>
      </c>
      <c r="Q31" s="2">
        <f ca="1">INDIRECT("E"&amp;(17*ROW(2:2)+ROW('(default)'!$E$3)-19+IF(COLUMN(K:K)&gt;19,50000,COLUMN(K:K)-1)))</f>
        <v>653</v>
      </c>
      <c r="R31" s="2">
        <f ca="1">INDIRECT("E"&amp;(17*ROW(2:2)+ROW('(default)'!$E$3)-19+IF(COLUMN(L:L)&gt;19,50000,COLUMN(L:L)-1)))</f>
        <v>641</v>
      </c>
      <c r="S31" s="2">
        <f ca="1">INDIRECT("E"&amp;(17*ROW(2:2)+ROW('(default)'!$E$3)-19+IF(COLUMN(M:M)&gt;19,50000,COLUMN(M:M)-1)))</f>
        <v>614</v>
      </c>
      <c r="T31" s="2">
        <f ca="1">INDIRECT("E"&amp;(17*ROW(2:2)+ROW('(default)'!$E$3)-19+IF(COLUMN(N:N)&gt;19,50000,COLUMN(N:N)-1)))</f>
        <v>564</v>
      </c>
      <c r="U31" s="2">
        <f ca="1">INDIRECT("E"&amp;(17*ROW(2:2)+ROW('(default)'!$E$3)-19+IF(COLUMN(O:O)&gt;19,50000,COLUMN(O:O)-1)))</f>
        <v>514</v>
      </c>
      <c r="V31" s="2">
        <f ca="1">INDIRECT("E"&amp;(17*ROW(2:2)+ROW('(default)'!$E$3)-19+IF(COLUMN(P:P)&gt;19,50000,COLUMN(P:P)-1)))</f>
        <v>453</v>
      </c>
      <c r="W31" s="2">
        <f ca="1">INDIRECT("E"&amp;(17*ROW(2:2)+ROW('(default)'!$E$3)-19+IF(COLUMN(Q:Q)&gt;19,50000,COLUMN(Q:Q)-1)))</f>
        <v>398</v>
      </c>
      <c r="X31" s="2">
        <f ca="1">INDIRECT("E"&amp;(17*ROW(2:2)+ROW('(default)'!$E$3)-19+IF(COLUMN(R:R)&gt;19,50000,COLUMN(R:R)-1)))</f>
        <v>343</v>
      </c>
      <c r="Y31" s="2">
        <f ca="1">INDIRECT("E"&amp;(17*ROW(2:2)+ROW('(default)'!$E$3)-19+IF(COLUMN(S:S)&gt;19,50000,COLUMN(S:S)-1)))</f>
        <v>291</v>
      </c>
      <c r="AG31" s="1"/>
    </row>
    <row r="32" spans="2:33" x14ac:dyDescent="0.3">
      <c r="B32" s="5">
        <v>29</v>
      </c>
      <c r="C32" s="6">
        <v>470</v>
      </c>
      <c r="D32" s="6">
        <v>503</v>
      </c>
      <c r="E32" s="6">
        <v>514</v>
      </c>
      <c r="F32" s="6">
        <v>512</v>
      </c>
      <c r="I32" s="2">
        <f ca="1">INDIRECT("E"&amp;(17*ROW(3:3)+ROW('(default)'!$E$3)-19+IF(COLUMN(C:C)&gt;19,50000,COLUMN(C:C)-1)))</f>
        <v>315</v>
      </c>
      <c r="J32" s="2">
        <f ca="1">INDIRECT("E"&amp;(17*ROW(3:3)+ROW('(default)'!$E$3)-19+IF(COLUMN(D:D)&gt;19,50000,COLUMN(D:D)-1)))</f>
        <v>382</v>
      </c>
      <c r="K32" s="2">
        <f ca="1">INDIRECT("E"&amp;(17*ROW(3:3)+ROW('(default)'!$E$3)-19+IF(COLUMN(E:E)&gt;19,50000,COLUMN(E:E)-1)))</f>
        <v>442</v>
      </c>
      <c r="L32" s="2">
        <f ca="1">INDIRECT("E"&amp;(17*ROW(3:3)+ROW('(default)'!$E$3)-19+IF(COLUMN(F:F)&gt;19,50000,COLUMN(F:F)-1)))</f>
        <v>509</v>
      </c>
      <c r="M32" s="2">
        <f ca="1">INDIRECT("E"&amp;(17*ROW(3:3)+ROW('(default)'!$E$3)-19+IF(COLUMN(G:G)&gt;19,50000,COLUMN(G:G)-1)))</f>
        <v>581</v>
      </c>
      <c r="N32" s="2">
        <f ca="1">INDIRECT("E"&amp;(17*ROW(3:3)+ROW('(default)'!$E$3)-19+IF(COLUMN(H:H)&gt;19,50000,COLUMN(H:H)-1)))</f>
        <v>653</v>
      </c>
      <c r="O32" s="2">
        <f ca="1">INDIRECT("E"&amp;(17*ROW(3:3)+ROW('(default)'!$E$3)-19+IF(COLUMN(I:I)&gt;19,50000,COLUMN(I:I)-1)))</f>
        <v>708</v>
      </c>
      <c r="P32" s="2">
        <f ca="1">INDIRECT("E"&amp;(17*ROW(3:3)+ROW('(default)'!$E$3)-19+IF(COLUMN(J:J)&gt;19,50000,COLUMN(J:J)-1)))</f>
        <v>747</v>
      </c>
      <c r="Q32" s="2">
        <f ca="1">INDIRECT("E"&amp;(17*ROW(3:3)+ROW('(default)'!$E$3)-19+IF(COLUMN(K:K)&gt;19,50000,COLUMN(K:K)-1)))</f>
        <v>763</v>
      </c>
      <c r="R32" s="2">
        <f ca="1">INDIRECT("E"&amp;(17*ROW(3:3)+ROW('(default)'!$E$3)-19+IF(COLUMN(L:L)&gt;19,50000,COLUMN(L:L)-1)))</f>
        <v>747</v>
      </c>
      <c r="S32" s="2">
        <f ca="1">INDIRECT("E"&amp;(17*ROW(3:3)+ROW('(default)'!$E$3)-19+IF(COLUMN(M:M)&gt;19,50000,COLUMN(M:M)-1)))</f>
        <v>708</v>
      </c>
      <c r="T32" s="2">
        <f ca="1">INDIRECT("E"&amp;(17*ROW(3:3)+ROW('(default)'!$E$3)-19+IF(COLUMN(N:N)&gt;19,50000,COLUMN(N:N)-1)))</f>
        <v>653</v>
      </c>
      <c r="U32" s="2">
        <f ca="1">INDIRECT("E"&amp;(17*ROW(3:3)+ROW('(default)'!$E$3)-19+IF(COLUMN(O:O)&gt;19,50000,COLUMN(O:O)-1)))</f>
        <v>581</v>
      </c>
      <c r="V32" s="2">
        <f ca="1">INDIRECT("E"&amp;(17*ROW(3:3)+ROW('(default)'!$E$3)-19+IF(COLUMN(P:P)&gt;19,50000,COLUMN(P:P)-1)))</f>
        <v>509</v>
      </c>
      <c r="W32" s="2">
        <f ca="1">INDIRECT("E"&amp;(17*ROW(3:3)+ROW('(default)'!$E$3)-19+IF(COLUMN(Q:Q)&gt;19,50000,COLUMN(Q:Q)-1)))</f>
        <v>442</v>
      </c>
      <c r="X32" s="2">
        <f ca="1">INDIRECT("E"&amp;(17*ROW(3:3)+ROW('(default)'!$E$3)-19+IF(COLUMN(R:R)&gt;19,50000,COLUMN(R:R)-1)))</f>
        <v>382</v>
      </c>
      <c r="Y32" s="2">
        <f ca="1">INDIRECT("E"&amp;(17*ROW(3:3)+ROW('(default)'!$E$3)-19+IF(COLUMN(S:S)&gt;19,50000,COLUMN(S:S)-1)))</f>
        <v>323</v>
      </c>
      <c r="AG32" s="1"/>
    </row>
    <row r="33" spans="2:33" x14ac:dyDescent="0.3">
      <c r="B33" s="5">
        <v>30</v>
      </c>
      <c r="C33" s="6">
        <v>423</v>
      </c>
      <c r="D33" s="6">
        <v>448</v>
      </c>
      <c r="E33" s="6">
        <v>453</v>
      </c>
      <c r="F33" s="6">
        <v>455</v>
      </c>
      <c r="I33" s="2">
        <f ca="1">INDIRECT("E"&amp;(17*ROW(4:4)+ROW('(default)'!$E$3)-19+IF(COLUMN(C:C)&gt;19,50000,COLUMN(C:C)-1)))</f>
        <v>343</v>
      </c>
      <c r="J33" s="2">
        <f ca="1">INDIRECT("E"&amp;(17*ROW(4:4)+ROW('(default)'!$E$3)-19+IF(COLUMN(D:D)&gt;19,50000,COLUMN(D:D)-1)))</f>
        <v>409</v>
      </c>
      <c r="K33" s="2">
        <f ca="1">INDIRECT("E"&amp;(17*ROW(4:4)+ROW('(default)'!$E$3)-19+IF(COLUMN(E:E)&gt;19,50000,COLUMN(E:E)-1)))</f>
        <v>481</v>
      </c>
      <c r="L33" s="2">
        <f ca="1">INDIRECT("E"&amp;(17*ROW(4:4)+ROW('(default)'!$E$3)-19+IF(COLUMN(F:F)&gt;19,50000,COLUMN(F:F)-1)))</f>
        <v>564</v>
      </c>
      <c r="M33" s="2">
        <f ca="1">INDIRECT("E"&amp;(17*ROW(4:4)+ROW('(default)'!$E$3)-19+IF(COLUMN(G:G)&gt;19,50000,COLUMN(G:G)-1)))</f>
        <v>647</v>
      </c>
      <c r="N33" s="2">
        <f ca="1">INDIRECT("E"&amp;(17*ROW(4:4)+ROW('(default)'!$E$3)-19+IF(COLUMN(H:H)&gt;19,50000,COLUMN(H:H)-1)))</f>
        <v>735</v>
      </c>
      <c r="O33" s="2">
        <f ca="1">INDIRECT("E"&amp;(17*ROW(4:4)+ROW('(default)'!$E$3)-19+IF(COLUMN(I:I)&gt;19,50000,COLUMN(I:I)-1)))</f>
        <v>802</v>
      </c>
      <c r="P33" s="2">
        <f ca="1">INDIRECT("E"&amp;(17*ROW(4:4)+ROW('(default)'!$E$3)-19+IF(COLUMN(J:J)&gt;19,50000,COLUMN(J:J)-1)))</f>
        <v>852</v>
      </c>
      <c r="Q33" s="2">
        <f ca="1">INDIRECT("E"&amp;(17*ROW(4:4)+ROW('(default)'!$E$3)-19+IF(COLUMN(K:K)&gt;19,50000,COLUMN(K:K)-1)))</f>
        <v>868</v>
      </c>
      <c r="R33" s="2">
        <f ca="1">INDIRECT("E"&amp;(17*ROW(4:4)+ROW('(default)'!$E$3)-19+IF(COLUMN(L:L)&gt;19,50000,COLUMN(L:L)-1)))</f>
        <v>852</v>
      </c>
      <c r="S33" s="2">
        <f ca="1">INDIRECT("E"&amp;(17*ROW(4:4)+ROW('(default)'!$E$3)-19+IF(COLUMN(M:M)&gt;19,50000,COLUMN(M:M)-1)))</f>
        <v>802</v>
      </c>
      <c r="T33" s="2">
        <f ca="1">INDIRECT("E"&amp;(17*ROW(4:4)+ROW('(default)'!$E$3)-19+IF(COLUMN(N:N)&gt;19,50000,COLUMN(N:N)-1)))</f>
        <v>730</v>
      </c>
      <c r="U33" s="2">
        <f ca="1">INDIRECT("E"&amp;(17*ROW(4:4)+ROW('(default)'!$E$3)-19+IF(COLUMN(O:O)&gt;19,50000,COLUMN(O:O)-1)))</f>
        <v>647</v>
      </c>
      <c r="V33" s="2">
        <f ca="1">INDIRECT("E"&amp;(17*ROW(4:4)+ROW('(default)'!$E$3)-19+IF(COLUMN(P:P)&gt;19,50000,COLUMN(P:P)-1)))</f>
        <v>564</v>
      </c>
      <c r="W33" s="2">
        <f ca="1">INDIRECT("E"&amp;(17*ROW(4:4)+ROW('(default)'!$E$3)-19+IF(COLUMN(Q:Q)&gt;19,50000,COLUMN(Q:Q)-1)))</f>
        <v>481</v>
      </c>
      <c r="X33" s="2">
        <f ca="1">INDIRECT("E"&amp;(17*ROW(4:4)+ROW('(default)'!$E$3)-19+IF(COLUMN(R:R)&gt;19,50000,COLUMN(R:R)-1)))</f>
        <v>409</v>
      </c>
      <c r="Y33" s="2">
        <f ca="1">INDIRECT("E"&amp;(17*ROW(4:4)+ROW('(default)'!$E$3)-19+IF(COLUMN(S:S)&gt;19,50000,COLUMN(S:S)-1)))</f>
        <v>350</v>
      </c>
      <c r="AG33" s="1"/>
    </row>
    <row r="34" spans="2:33" x14ac:dyDescent="0.3">
      <c r="B34" s="5">
        <v>31</v>
      </c>
      <c r="C34" s="6">
        <v>365</v>
      </c>
      <c r="D34" s="6">
        <v>393</v>
      </c>
      <c r="E34" s="6">
        <v>398</v>
      </c>
      <c r="F34" s="6">
        <v>398</v>
      </c>
      <c r="I34" s="2">
        <f ca="1">INDIRECT("E"&amp;(17*ROW(5:5)+ROW('(default)'!$E$3)-19+IF(COLUMN(C:C)&gt;19,50000,COLUMN(C:C)-1)))</f>
        <v>363</v>
      </c>
      <c r="J34" s="2">
        <f ca="1">INDIRECT("E"&amp;(17*ROW(5:5)+ROW('(default)'!$E$3)-19+IF(COLUMN(D:D)&gt;19,50000,COLUMN(D:D)-1)))</f>
        <v>437</v>
      </c>
      <c r="K34" s="2">
        <f ca="1">INDIRECT("E"&amp;(17*ROW(5:5)+ROW('(default)'!$E$3)-19+IF(COLUMN(E:E)&gt;19,50000,COLUMN(E:E)-1)))</f>
        <v>520</v>
      </c>
      <c r="L34" s="2">
        <f ca="1">INDIRECT("E"&amp;(17*ROW(5:5)+ROW('(default)'!$E$3)-19+IF(COLUMN(F:F)&gt;19,50000,COLUMN(F:F)-1)))</f>
        <v>608</v>
      </c>
      <c r="M34" s="2">
        <f ca="1">INDIRECT("E"&amp;(17*ROW(5:5)+ROW('(default)'!$E$3)-19+IF(COLUMN(G:G)&gt;19,50000,COLUMN(G:G)-1)))</f>
        <v>708</v>
      </c>
      <c r="N34" s="2">
        <f ca="1">INDIRECT("E"&amp;(17*ROW(5:5)+ROW('(default)'!$E$3)-19+IF(COLUMN(H:H)&gt;19,50000,COLUMN(H:H)-1)))</f>
        <v>802</v>
      </c>
      <c r="O34" s="2">
        <f ca="1">INDIRECT("E"&amp;(17*ROW(5:5)+ROW('(default)'!$E$3)-19+IF(COLUMN(I:I)&gt;19,50000,COLUMN(I:I)-1)))</f>
        <v>879</v>
      </c>
      <c r="P34" s="2">
        <f ca="1">INDIRECT("E"&amp;(17*ROW(5:5)+ROW('(default)'!$E$3)-19+IF(COLUMN(J:J)&gt;19,50000,COLUMN(J:J)-1)))</f>
        <v>935</v>
      </c>
      <c r="Q34" s="2">
        <f ca="1">INDIRECT("E"&amp;(17*ROW(5:5)+ROW('(default)'!$E$3)-19+IF(COLUMN(K:K)&gt;19,50000,COLUMN(K:K)-1)))</f>
        <v>951</v>
      </c>
      <c r="R34" s="2">
        <f ca="1">INDIRECT("E"&amp;(17*ROW(5:5)+ROW('(default)'!$E$3)-19+IF(COLUMN(L:L)&gt;19,50000,COLUMN(L:L)-1)))</f>
        <v>935</v>
      </c>
      <c r="S34" s="2">
        <f ca="1">INDIRECT("E"&amp;(17*ROW(5:5)+ROW('(default)'!$E$3)-19+IF(COLUMN(M:M)&gt;19,50000,COLUMN(M:M)-1)))</f>
        <v>879</v>
      </c>
      <c r="T34" s="2">
        <f ca="1">INDIRECT("E"&amp;(17*ROW(5:5)+ROW('(default)'!$E$3)-19+IF(COLUMN(N:N)&gt;19,50000,COLUMN(N:N)-1)))</f>
        <v>802</v>
      </c>
      <c r="U34" s="2">
        <f ca="1">INDIRECT("E"&amp;(17*ROW(5:5)+ROW('(default)'!$E$3)-19+IF(COLUMN(O:O)&gt;19,50000,COLUMN(O:O)-1)))</f>
        <v>702</v>
      </c>
      <c r="V34" s="2">
        <f ca="1">INDIRECT("E"&amp;(17*ROW(5:5)+ROW('(default)'!$E$3)-19+IF(COLUMN(P:P)&gt;19,50000,COLUMN(P:P)-1)))</f>
        <v>608</v>
      </c>
      <c r="W34" s="2">
        <f ca="1">INDIRECT("E"&amp;(17*ROW(5:5)+ROW('(default)'!$E$3)-19+IF(COLUMN(Q:Q)&gt;19,50000,COLUMN(Q:Q)-1)))</f>
        <v>514</v>
      </c>
      <c r="X34" s="2">
        <f ca="1">INDIRECT("E"&amp;(17*ROW(5:5)+ROW('(default)'!$E$3)-19+IF(COLUMN(R:R)&gt;19,50000,COLUMN(R:R)-1)))</f>
        <v>437</v>
      </c>
      <c r="Y34" s="2">
        <f ca="1">INDIRECT("E"&amp;(17*ROW(5:5)+ROW('(default)'!$E$3)-19+IF(COLUMN(S:S)&gt;19,50000,COLUMN(S:S)-1)))</f>
        <v>363</v>
      </c>
      <c r="AG34" s="1"/>
    </row>
    <row r="35" spans="2:33" x14ac:dyDescent="0.3">
      <c r="B35" s="5">
        <v>32</v>
      </c>
      <c r="C35" s="6">
        <v>317</v>
      </c>
      <c r="D35" s="6">
        <v>337</v>
      </c>
      <c r="E35" s="6">
        <v>343</v>
      </c>
      <c r="F35" s="6">
        <v>341</v>
      </c>
      <c r="I35" s="2">
        <f ca="1">INDIRECT("E"&amp;(17*ROW(6:6)+ROW('(default)'!$E$3)-19+IF(COLUMN(C:C)&gt;19,50000,COLUMN(C:C)-1)))</f>
        <v>380</v>
      </c>
      <c r="J35" s="2">
        <f ca="1">INDIRECT("E"&amp;(17*ROW(6:6)+ROW('(default)'!$E$3)-19+IF(COLUMN(D:D)&gt;19,50000,COLUMN(D:D)-1)))</f>
        <v>453</v>
      </c>
      <c r="K35" s="2">
        <f ca="1">INDIRECT("E"&amp;(17*ROW(6:6)+ROW('(default)'!$E$3)-19+IF(COLUMN(E:E)&gt;19,50000,COLUMN(E:E)-1)))</f>
        <v>536</v>
      </c>
      <c r="L35" s="2">
        <f ca="1">INDIRECT("E"&amp;(17*ROW(6:6)+ROW('(default)'!$E$3)-19+IF(COLUMN(F:F)&gt;19,50000,COLUMN(F:F)-1)))</f>
        <v>636</v>
      </c>
      <c r="M35" s="2">
        <f ca="1">INDIRECT("E"&amp;(17*ROW(6:6)+ROW('(default)'!$E$3)-19+IF(COLUMN(G:G)&gt;19,50000,COLUMN(G:G)-1)))</f>
        <v>747</v>
      </c>
      <c r="N35" s="2">
        <f ca="1">INDIRECT("E"&amp;(17*ROW(6:6)+ROW('(default)'!$E$3)-19+IF(COLUMN(H:H)&gt;19,50000,COLUMN(H:H)-1)))</f>
        <v>846</v>
      </c>
      <c r="O35" s="2">
        <f ca="1">INDIRECT("E"&amp;(17*ROW(6:6)+ROW('(default)'!$E$3)-19+IF(COLUMN(I:I)&gt;19,50000,COLUMN(I:I)-1)))</f>
        <v>929</v>
      </c>
      <c r="P35" s="2">
        <f ca="1">INDIRECT("E"&amp;(17*ROW(6:6)+ROW('(default)'!$E$3)-19+IF(COLUMN(J:J)&gt;19,50000,COLUMN(J:J)-1)))</f>
        <v>984</v>
      </c>
      <c r="Q35" s="2">
        <f ca="1">INDIRECT("E"&amp;(17*ROW(6:6)+ROW('(default)'!$E$3)-19+IF(COLUMN(K:K)&gt;19,50000,COLUMN(K:K)-1)))</f>
        <v>1001</v>
      </c>
      <c r="R35" s="2">
        <f ca="1">INDIRECT("E"&amp;(17*ROW(6:6)+ROW('(default)'!$E$3)-19+IF(COLUMN(L:L)&gt;19,50000,COLUMN(L:L)-1)))</f>
        <v>984</v>
      </c>
      <c r="S35" s="2">
        <f ca="1">INDIRECT("E"&amp;(17*ROW(6:6)+ROW('(default)'!$E$3)-19+IF(COLUMN(M:M)&gt;19,50000,COLUMN(M:M)-1)))</f>
        <v>929</v>
      </c>
      <c r="T35" s="2">
        <f ca="1">INDIRECT("E"&amp;(17*ROW(6:6)+ROW('(default)'!$E$3)-19+IF(COLUMN(N:N)&gt;19,50000,COLUMN(N:N)-1)))</f>
        <v>846</v>
      </c>
      <c r="U35" s="2">
        <f ca="1">INDIRECT("E"&amp;(17*ROW(6:6)+ROW('(default)'!$E$3)-19+IF(COLUMN(O:O)&gt;19,50000,COLUMN(O:O)-1)))</f>
        <v>741</v>
      </c>
      <c r="V35" s="2">
        <f ca="1">INDIRECT("E"&amp;(17*ROW(6:6)+ROW('(default)'!$E$3)-19+IF(COLUMN(P:P)&gt;19,50000,COLUMN(P:P)-1)))</f>
        <v>636</v>
      </c>
      <c r="W35" s="2">
        <f ca="1">INDIRECT("E"&amp;(17*ROW(6:6)+ROW('(default)'!$E$3)-19+IF(COLUMN(Q:Q)&gt;19,50000,COLUMN(Q:Q)-1)))</f>
        <v>536</v>
      </c>
      <c r="X35" s="2">
        <f ca="1">INDIRECT("E"&amp;(17*ROW(6:6)+ROW('(default)'!$E$3)-19+IF(COLUMN(R:R)&gt;19,50000,COLUMN(R:R)-1)))</f>
        <v>453</v>
      </c>
      <c r="Y35" s="2">
        <f ca="1">INDIRECT("E"&amp;(17*ROW(6:6)+ROW('(default)'!$E$3)-19+IF(COLUMN(S:S)&gt;19,50000,COLUMN(S:S)-1)))</f>
        <v>380</v>
      </c>
      <c r="AG35" s="1"/>
    </row>
    <row r="36" spans="2:33" x14ac:dyDescent="0.3">
      <c r="B36" s="5">
        <v>33</v>
      </c>
      <c r="C36" s="6">
        <v>255</v>
      </c>
      <c r="D36" s="6">
        <v>286</v>
      </c>
      <c r="E36" s="6">
        <v>291</v>
      </c>
      <c r="F36" s="6">
        <v>296</v>
      </c>
      <c r="I36" s="2">
        <f ca="1">INDIRECT("E"&amp;(17*ROW(7:7)+ROW('(default)'!$E$3)-19+IF(COLUMN(C:C)&gt;19,50000,COLUMN(C:C)-1)))</f>
        <v>378</v>
      </c>
      <c r="J36" s="2">
        <f ca="1">INDIRECT("E"&amp;(17*ROW(7:7)+ROW('(default)'!$E$3)-19+IF(COLUMN(D:D)&gt;19,50000,COLUMN(D:D)-1)))</f>
        <v>459</v>
      </c>
      <c r="K36" s="2">
        <f ca="1">INDIRECT("E"&amp;(17*ROW(7:7)+ROW('(default)'!$E$3)-19+IF(COLUMN(E:E)&gt;19,50000,COLUMN(E:E)-1)))</f>
        <v>547</v>
      </c>
      <c r="L36" s="2">
        <f ca="1">INDIRECT("E"&amp;(17*ROW(7:7)+ROW('(default)'!$E$3)-19+IF(COLUMN(F:F)&gt;19,50000,COLUMN(F:F)-1)))</f>
        <v>647</v>
      </c>
      <c r="M36" s="2">
        <f ca="1">INDIRECT("E"&amp;(17*ROW(7:7)+ROW('(default)'!$E$3)-19+IF(COLUMN(G:G)&gt;19,50000,COLUMN(G:G)-1)))</f>
        <v>758</v>
      </c>
      <c r="N36" s="2">
        <f ca="1">INDIRECT("E"&amp;(17*ROW(7:7)+ROW('(default)'!$E$3)-19+IF(COLUMN(H:H)&gt;19,50000,COLUMN(H:H)-1)))</f>
        <v>863</v>
      </c>
      <c r="O36" s="2">
        <f ca="1">INDIRECT("E"&amp;(17*ROW(7:7)+ROW('(default)'!$E$3)-19+IF(COLUMN(I:I)&gt;19,50000,COLUMN(I:I)-1)))</f>
        <v>946</v>
      </c>
      <c r="P36" s="2">
        <f ca="1">INDIRECT("E"&amp;(17*ROW(7:7)+ROW('(default)'!$E$3)-19+IF(COLUMN(J:J)&gt;19,50000,COLUMN(J:J)-1)))</f>
        <v>1001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1001</v>
      </c>
      <c r="S36" s="2">
        <f ca="1">INDIRECT("E"&amp;(17*ROW(7:7)+ROW('(default)'!$E$3)-19+IF(COLUMN(M:M)&gt;19,50000,COLUMN(M:M)-1)))</f>
        <v>946</v>
      </c>
      <c r="T36" s="2">
        <f ca="1">INDIRECT("E"&amp;(17*ROW(7:7)+ROW('(default)'!$E$3)-19+IF(COLUMN(N:N)&gt;19,50000,COLUMN(N:N)-1)))</f>
        <v>857</v>
      </c>
      <c r="U36" s="2">
        <f ca="1">INDIRECT("E"&amp;(17*ROW(7:7)+ROW('(default)'!$E$3)-19+IF(COLUMN(O:O)&gt;19,50000,COLUMN(O:O)-1)))</f>
        <v>752</v>
      </c>
      <c r="V36" s="2">
        <f ca="1">INDIRECT("E"&amp;(17*ROW(7:7)+ROW('(default)'!$E$3)-19+IF(COLUMN(P:P)&gt;19,50000,COLUMN(P:P)-1)))</f>
        <v>647</v>
      </c>
      <c r="W36" s="2">
        <f ca="1">INDIRECT("E"&amp;(17*ROW(7:7)+ROW('(default)'!$E$3)-19+IF(COLUMN(Q:Q)&gt;19,50000,COLUMN(Q:Q)-1)))</f>
        <v>542</v>
      </c>
      <c r="X36" s="2">
        <f ca="1">INDIRECT("E"&amp;(17*ROW(7:7)+ROW('(default)'!$E$3)-19+IF(COLUMN(R:R)&gt;19,50000,COLUMN(R:R)-1)))</f>
        <v>459</v>
      </c>
      <c r="Y36" s="2">
        <f ca="1">INDIRECT("E"&amp;(17*ROW(7:7)+ROW('(default)'!$E$3)-19+IF(COLUMN(S:S)&gt;19,50000,COLUMN(S:S)-1)))</f>
        <v>378</v>
      </c>
      <c r="AG36" s="1"/>
    </row>
    <row r="37" spans="2:33" x14ac:dyDescent="0.3">
      <c r="B37" s="5">
        <v>34</v>
      </c>
      <c r="C37" s="6">
        <v>290</v>
      </c>
      <c r="D37" s="6">
        <v>317</v>
      </c>
      <c r="E37" s="6">
        <v>315</v>
      </c>
      <c r="F37" s="6">
        <v>314</v>
      </c>
      <c r="I37" s="2">
        <f ca="1">INDIRECT("E"&amp;(17*ROW(8:8)+ROW('(default)'!$E$3)-19+IF(COLUMN(C:C)&gt;19,50000,COLUMN(C:C)-1)))</f>
        <v>372</v>
      </c>
      <c r="J37" s="2">
        <f ca="1">INDIRECT("E"&amp;(17*ROW(8:8)+ROW('(default)'!$E$3)-19+IF(COLUMN(D:D)&gt;19,50000,COLUMN(D:D)-1)))</f>
        <v>453</v>
      </c>
      <c r="K37" s="2">
        <f ca="1">INDIRECT("E"&amp;(17*ROW(8:8)+ROW('(default)'!$E$3)-19+IF(COLUMN(E:E)&gt;19,50000,COLUMN(E:E)-1)))</f>
        <v>536</v>
      </c>
      <c r="L37" s="2">
        <f ca="1">INDIRECT("E"&amp;(17*ROW(8:8)+ROW('(default)'!$E$3)-19+IF(COLUMN(F:F)&gt;19,50000,COLUMN(F:F)-1)))</f>
        <v>636</v>
      </c>
      <c r="M37" s="2">
        <f ca="1">INDIRECT("E"&amp;(17*ROW(8:8)+ROW('(default)'!$E$3)-19+IF(COLUMN(G:G)&gt;19,50000,COLUMN(G:G)-1)))</f>
        <v>741</v>
      </c>
      <c r="N37" s="2">
        <f ca="1">INDIRECT("E"&amp;(17*ROW(8:8)+ROW('(default)'!$E$3)-19+IF(COLUMN(H:H)&gt;19,50000,COLUMN(H:H)-1)))</f>
        <v>846</v>
      </c>
      <c r="O37" s="2">
        <f ca="1">INDIRECT("E"&amp;(17*ROW(8:8)+ROW('(default)'!$E$3)-19+IF(COLUMN(I:I)&gt;19,50000,COLUMN(I:I)-1)))</f>
        <v>929</v>
      </c>
      <c r="P37" s="2">
        <f ca="1">INDIRECT("E"&amp;(17*ROW(8:8)+ROW('(default)'!$E$3)-19+IF(COLUMN(J:J)&gt;19,50000,COLUMN(J:J)-1)))</f>
        <v>984</v>
      </c>
      <c r="Q37" s="2">
        <f ca="1">INDIRECT("E"&amp;(17*ROW(8:8)+ROW('(default)'!$E$3)-19+IF(COLUMN(K:K)&gt;19,50000,COLUMN(K:K)-1)))</f>
        <v>1001</v>
      </c>
      <c r="R37" s="2">
        <f ca="1">INDIRECT("E"&amp;(17*ROW(8:8)+ROW('(default)'!$E$3)-19+IF(COLUMN(L:L)&gt;19,50000,COLUMN(L:L)-1)))</f>
        <v>984</v>
      </c>
      <c r="S37" s="2">
        <f ca="1">INDIRECT("E"&amp;(17*ROW(8:8)+ROW('(default)'!$E$3)-19+IF(COLUMN(M:M)&gt;19,50000,COLUMN(M:M)-1)))</f>
        <v>923</v>
      </c>
      <c r="T37" s="2">
        <f ca="1">INDIRECT("E"&amp;(17*ROW(8:8)+ROW('(default)'!$E$3)-19+IF(COLUMN(N:N)&gt;19,50000,COLUMN(N:N)-1)))</f>
        <v>841</v>
      </c>
      <c r="U37" s="2">
        <f ca="1">INDIRECT("E"&amp;(17*ROW(8:8)+ROW('(default)'!$E$3)-19+IF(COLUMN(O:O)&gt;19,50000,COLUMN(O:O)-1)))</f>
        <v>741</v>
      </c>
      <c r="V37" s="2">
        <f ca="1">INDIRECT("E"&amp;(17*ROW(8:8)+ROW('(default)'!$E$3)-19+IF(COLUMN(P:P)&gt;19,50000,COLUMN(P:P)-1)))</f>
        <v>630</v>
      </c>
      <c r="W37" s="2">
        <f ca="1">INDIRECT("E"&amp;(17*ROW(8:8)+ROW('(default)'!$E$3)-19+IF(COLUMN(Q:Q)&gt;19,50000,COLUMN(Q:Q)-1)))</f>
        <v>536</v>
      </c>
      <c r="X37" s="2">
        <f ca="1">INDIRECT("E"&amp;(17*ROW(8:8)+ROW('(default)'!$E$3)-19+IF(COLUMN(R:R)&gt;19,50000,COLUMN(R:R)-1)))</f>
        <v>448</v>
      </c>
      <c r="Y37" s="2">
        <f ca="1">INDIRECT("E"&amp;(17*ROW(8:8)+ROW('(default)'!$E$3)-19+IF(COLUMN(S:S)&gt;19,50000,COLUMN(S:S)-1)))</f>
        <v>374</v>
      </c>
      <c r="AG37" s="1"/>
    </row>
    <row r="38" spans="2:33" x14ac:dyDescent="0.3">
      <c r="B38" s="5">
        <v>35</v>
      </c>
      <c r="C38" s="6">
        <v>353</v>
      </c>
      <c r="D38" s="6">
        <v>376</v>
      </c>
      <c r="E38" s="6">
        <v>382</v>
      </c>
      <c r="F38" s="6">
        <v>375</v>
      </c>
      <c r="I38" s="2">
        <f ca="1">INDIRECT("E"&amp;(17*ROW(9:9)+ROW('(default)'!$E$3)-19+IF(COLUMN(C:C)&gt;19,50000,COLUMN(C:C)-1)))</f>
        <v>363</v>
      </c>
      <c r="J38" s="2">
        <f ca="1">INDIRECT("E"&amp;(17*ROW(9:9)+ROW('(default)'!$E$3)-19+IF(COLUMN(D:D)&gt;19,50000,COLUMN(D:D)-1)))</f>
        <v>437</v>
      </c>
      <c r="K38" s="2">
        <f ca="1">INDIRECT("E"&amp;(17*ROW(9:9)+ROW('(default)'!$E$3)-19+IF(COLUMN(E:E)&gt;19,50000,COLUMN(E:E)-1)))</f>
        <v>514</v>
      </c>
      <c r="L38" s="2">
        <f ca="1">INDIRECT("E"&amp;(17*ROW(9:9)+ROW('(default)'!$E$3)-19+IF(COLUMN(F:F)&gt;19,50000,COLUMN(F:F)-1)))</f>
        <v>603</v>
      </c>
      <c r="M38" s="2">
        <f ca="1">INDIRECT("E"&amp;(17*ROW(9:9)+ROW('(default)'!$E$3)-19+IF(COLUMN(G:G)&gt;19,50000,COLUMN(G:G)-1)))</f>
        <v>702</v>
      </c>
      <c r="N38" s="2">
        <f ca="1">INDIRECT("E"&amp;(17*ROW(9:9)+ROW('(default)'!$E$3)-19+IF(COLUMN(H:H)&gt;19,50000,COLUMN(H:H)-1)))</f>
        <v>796</v>
      </c>
      <c r="O38" s="2">
        <f ca="1">INDIRECT("E"&amp;(17*ROW(9:9)+ROW('(default)'!$E$3)-19+IF(COLUMN(I:I)&gt;19,50000,COLUMN(I:I)-1)))</f>
        <v>874</v>
      </c>
      <c r="P38" s="2">
        <f ca="1">INDIRECT("E"&amp;(17*ROW(9:9)+ROW('(default)'!$E$3)-19+IF(COLUMN(J:J)&gt;19,50000,COLUMN(J:J)-1)))</f>
        <v>923</v>
      </c>
      <c r="Q38" s="2">
        <f ca="1">INDIRECT("E"&amp;(17*ROW(9:9)+ROW('(default)'!$E$3)-19+IF(COLUMN(K:K)&gt;19,50000,COLUMN(K:K)-1)))</f>
        <v>946</v>
      </c>
      <c r="R38" s="2">
        <f ca="1">INDIRECT("E"&amp;(17*ROW(9:9)+ROW('(default)'!$E$3)-19+IF(COLUMN(L:L)&gt;19,50000,COLUMN(L:L)-1)))</f>
        <v>923</v>
      </c>
      <c r="S38" s="2">
        <f ca="1">INDIRECT("E"&amp;(17*ROW(9:9)+ROW('(default)'!$E$3)-19+IF(COLUMN(M:M)&gt;19,50000,COLUMN(M:M)-1)))</f>
        <v>874</v>
      </c>
      <c r="T38" s="2">
        <f ca="1">INDIRECT("E"&amp;(17*ROW(9:9)+ROW('(default)'!$E$3)-19+IF(COLUMN(N:N)&gt;19,50000,COLUMN(N:N)-1)))</f>
        <v>791</v>
      </c>
      <c r="U38" s="2">
        <f ca="1">INDIRECT("E"&amp;(17*ROW(9:9)+ROW('(default)'!$E$3)-19+IF(COLUMN(O:O)&gt;19,50000,COLUMN(O:O)-1)))</f>
        <v>697</v>
      </c>
      <c r="V38" s="2">
        <f ca="1">INDIRECT("E"&amp;(17*ROW(9:9)+ROW('(default)'!$E$3)-19+IF(COLUMN(P:P)&gt;19,50000,COLUMN(P:P)-1)))</f>
        <v>603</v>
      </c>
      <c r="W38" s="2">
        <f ca="1">INDIRECT("E"&amp;(17*ROW(9:9)+ROW('(default)'!$E$3)-19+IF(COLUMN(Q:Q)&gt;19,50000,COLUMN(Q:Q)-1)))</f>
        <v>509</v>
      </c>
      <c r="X38" s="2">
        <f ca="1">INDIRECT("E"&amp;(17*ROW(9:9)+ROW('(default)'!$E$3)-19+IF(COLUMN(R:R)&gt;19,50000,COLUMN(R:R)-1)))</f>
        <v>431</v>
      </c>
      <c r="Y38" s="2">
        <f ca="1">INDIRECT("E"&amp;(17*ROW(9:9)+ROW('(default)'!$E$3)-19+IF(COLUMN(S:S)&gt;19,50000,COLUMN(S:S)-1)))</f>
        <v>365</v>
      </c>
      <c r="AG38" s="1"/>
    </row>
    <row r="39" spans="2:33" x14ac:dyDescent="0.3">
      <c r="B39" s="5">
        <v>36</v>
      </c>
      <c r="C39" s="6">
        <v>412</v>
      </c>
      <c r="D39" s="6">
        <v>442</v>
      </c>
      <c r="E39" s="6">
        <v>442</v>
      </c>
      <c r="F39" s="6">
        <v>443</v>
      </c>
      <c r="I39" s="2">
        <f ca="1">INDIRECT("E"&amp;(17*ROW(10:10)+ROW('(default)'!$E$3)-19+IF(COLUMN(C:C)&gt;19,50000,COLUMN(C:C)-1)))</f>
        <v>335</v>
      </c>
      <c r="J39" s="2">
        <f ca="1">INDIRECT("E"&amp;(17*ROW(10:10)+ROW('(default)'!$E$3)-19+IF(COLUMN(D:D)&gt;19,50000,COLUMN(D:D)-1)))</f>
        <v>409</v>
      </c>
      <c r="K39" s="2">
        <f ca="1">INDIRECT("E"&amp;(17*ROW(10:10)+ROW('(default)'!$E$3)-19+IF(COLUMN(E:E)&gt;19,50000,COLUMN(E:E)-1)))</f>
        <v>476</v>
      </c>
      <c r="L39" s="2">
        <f ca="1">INDIRECT("E"&amp;(17*ROW(10:10)+ROW('(default)'!$E$3)-19+IF(COLUMN(F:F)&gt;19,50000,COLUMN(F:F)-1)))</f>
        <v>559</v>
      </c>
      <c r="M39" s="2">
        <f ca="1">INDIRECT("E"&amp;(17*ROW(10:10)+ROW('(default)'!$E$3)-19+IF(COLUMN(G:G)&gt;19,50000,COLUMN(G:G)-1)))</f>
        <v>641</v>
      </c>
      <c r="N39" s="2">
        <f ca="1">INDIRECT("E"&amp;(17*ROW(10:10)+ROW('(default)'!$E$3)-19+IF(COLUMN(H:H)&gt;19,50000,COLUMN(H:H)-1)))</f>
        <v>724</v>
      </c>
      <c r="O39" s="2">
        <f ca="1">INDIRECT("E"&amp;(17*ROW(10:10)+ROW('(default)'!$E$3)-19+IF(COLUMN(I:I)&gt;19,50000,COLUMN(I:I)-1)))</f>
        <v>796</v>
      </c>
      <c r="P39" s="2">
        <f ca="1">INDIRECT("E"&amp;(17*ROW(10:10)+ROW('(default)'!$E$3)-19+IF(COLUMN(J:J)&gt;19,50000,COLUMN(J:J)-1)))</f>
        <v>841</v>
      </c>
      <c r="Q39" s="2">
        <f ca="1">INDIRECT("E"&amp;(17*ROW(10:10)+ROW('(default)'!$E$3)-19+IF(COLUMN(K:K)&gt;19,50000,COLUMN(K:K)-1)))</f>
        <v>857</v>
      </c>
      <c r="R39" s="2">
        <f ca="1">INDIRECT("E"&amp;(17*ROW(10:10)+ROW('(default)'!$E$3)-19+IF(COLUMN(L:L)&gt;19,50000,COLUMN(L:L)-1)))</f>
        <v>841</v>
      </c>
      <c r="S39" s="2">
        <f ca="1">INDIRECT("E"&amp;(17*ROW(10:10)+ROW('(default)'!$E$3)-19+IF(COLUMN(M:M)&gt;19,50000,COLUMN(M:M)-1)))</f>
        <v>791</v>
      </c>
      <c r="T39" s="2">
        <f ca="1">INDIRECT("E"&amp;(17*ROW(10:10)+ROW('(default)'!$E$3)-19+IF(COLUMN(N:N)&gt;19,50000,COLUMN(N:N)-1)))</f>
        <v>719</v>
      </c>
      <c r="U39" s="2">
        <f ca="1">INDIRECT("E"&amp;(17*ROW(10:10)+ROW('(default)'!$E$3)-19+IF(COLUMN(O:O)&gt;19,50000,COLUMN(O:O)-1)))</f>
        <v>636</v>
      </c>
      <c r="V39" s="2">
        <f ca="1">INDIRECT("E"&amp;(17*ROW(10:10)+ROW('(default)'!$E$3)-19+IF(COLUMN(P:P)&gt;19,50000,COLUMN(P:P)-1)))</f>
        <v>553</v>
      </c>
      <c r="W39" s="2">
        <f ca="1">INDIRECT("E"&amp;(17*ROW(10:10)+ROW('(default)'!$E$3)-19+IF(COLUMN(Q:Q)&gt;19,50000,COLUMN(Q:Q)-1)))</f>
        <v>476</v>
      </c>
      <c r="X39" s="2">
        <f ca="1">INDIRECT("E"&amp;(17*ROW(10:10)+ROW('(default)'!$E$3)-19+IF(COLUMN(R:R)&gt;19,50000,COLUMN(R:R)-1)))</f>
        <v>404</v>
      </c>
      <c r="Y39" s="2">
        <f ca="1">INDIRECT("E"&amp;(17*ROW(10:10)+ROW('(default)'!$E$3)-19+IF(COLUMN(S:S)&gt;19,50000,COLUMN(S:S)-1)))</f>
        <v>345</v>
      </c>
      <c r="AG39" s="1"/>
    </row>
    <row r="40" spans="2:33" x14ac:dyDescent="0.3">
      <c r="B40" s="5">
        <v>37</v>
      </c>
      <c r="C40" s="6">
        <v>470</v>
      </c>
      <c r="D40" s="6">
        <v>509</v>
      </c>
      <c r="E40" s="6">
        <v>509</v>
      </c>
      <c r="F40" s="6">
        <v>512</v>
      </c>
      <c r="I40" s="2">
        <f ca="1">INDIRECT("E"&amp;(17*ROW(11:11)+ROW('(default)'!$E$3)-19+IF(COLUMN(C:C)&gt;19,50000,COLUMN(C:C)-1)))</f>
        <v>317</v>
      </c>
      <c r="J40" s="2">
        <f ca="1">INDIRECT("E"&amp;(17*ROW(11:11)+ROW('(default)'!$E$3)-19+IF(COLUMN(D:D)&gt;19,50000,COLUMN(D:D)-1)))</f>
        <v>376</v>
      </c>
      <c r="K40" s="2">
        <f ca="1">INDIRECT("E"&amp;(17*ROW(11:11)+ROW('(default)'!$E$3)-19+IF(COLUMN(E:E)&gt;19,50000,COLUMN(E:E)-1)))</f>
        <v>437</v>
      </c>
      <c r="L40" s="2">
        <f ca="1">INDIRECT("E"&amp;(17*ROW(11:11)+ROW('(default)'!$E$3)-19+IF(COLUMN(F:F)&gt;19,50000,COLUMN(F:F)-1)))</f>
        <v>503</v>
      </c>
      <c r="M40" s="2">
        <f ca="1">INDIRECT("E"&amp;(17*ROW(11:11)+ROW('(default)'!$E$3)-19+IF(COLUMN(G:G)&gt;19,50000,COLUMN(G:G)-1)))</f>
        <v>570</v>
      </c>
      <c r="N40" s="2">
        <f ca="1">INDIRECT("E"&amp;(17*ROW(11:11)+ROW('(default)'!$E$3)-19+IF(COLUMN(H:H)&gt;19,50000,COLUMN(H:H)-1)))</f>
        <v>641</v>
      </c>
      <c r="O40" s="2">
        <f ca="1">INDIRECT("E"&amp;(17*ROW(11:11)+ROW('(default)'!$E$3)-19+IF(COLUMN(I:I)&gt;19,50000,COLUMN(I:I)-1)))</f>
        <v>697</v>
      </c>
      <c r="P40" s="2">
        <f ca="1">INDIRECT("E"&amp;(17*ROW(11:11)+ROW('(default)'!$E$3)-19+IF(COLUMN(J:J)&gt;19,50000,COLUMN(J:J)-1)))</f>
        <v>735</v>
      </c>
      <c r="Q40" s="2">
        <f ca="1">INDIRECT("E"&amp;(17*ROW(11:11)+ROW('(default)'!$E$3)-19+IF(COLUMN(K:K)&gt;19,50000,COLUMN(K:K)-1)))</f>
        <v>747</v>
      </c>
      <c r="R40" s="2">
        <f ca="1">INDIRECT("E"&amp;(17*ROW(11:11)+ROW('(default)'!$E$3)-19+IF(COLUMN(L:L)&gt;19,50000,COLUMN(L:L)-1)))</f>
        <v>735</v>
      </c>
      <c r="S40" s="2">
        <f ca="1">INDIRECT("E"&amp;(17*ROW(11:11)+ROW('(default)'!$E$3)-19+IF(COLUMN(M:M)&gt;19,50000,COLUMN(M:M)-1)))</f>
        <v>697</v>
      </c>
      <c r="T40" s="2">
        <f ca="1">INDIRECT("E"&amp;(17*ROW(11:11)+ROW('(default)'!$E$3)-19+IF(COLUMN(N:N)&gt;19,50000,COLUMN(N:N)-1)))</f>
        <v>636</v>
      </c>
      <c r="U40" s="2">
        <f ca="1">INDIRECT("E"&amp;(17*ROW(11:11)+ROW('(default)'!$E$3)-19+IF(COLUMN(O:O)&gt;19,50000,COLUMN(O:O)-1)))</f>
        <v>570</v>
      </c>
      <c r="V40" s="2">
        <f ca="1">INDIRECT("E"&amp;(17*ROW(11:11)+ROW('(default)'!$E$3)-19+IF(COLUMN(P:P)&gt;19,50000,COLUMN(P:P)-1)))</f>
        <v>498</v>
      </c>
      <c r="W40" s="2">
        <f ca="1">INDIRECT("E"&amp;(17*ROW(11:11)+ROW('(default)'!$E$3)-19+IF(COLUMN(Q:Q)&gt;19,50000,COLUMN(Q:Q)-1)))</f>
        <v>431</v>
      </c>
      <c r="X40" s="2">
        <f ca="1">INDIRECT("E"&amp;(17*ROW(11:11)+ROW('(default)'!$E$3)-19+IF(COLUMN(R:R)&gt;19,50000,COLUMN(R:R)-1)))</f>
        <v>370</v>
      </c>
      <c r="Y40" s="2">
        <f ca="1">INDIRECT("E"&amp;(17*ROW(11:11)+ROW('(default)'!$E$3)-19+IF(COLUMN(S:S)&gt;19,50000,COLUMN(S:S)-1)))</f>
        <v>319</v>
      </c>
      <c r="AG40" s="1"/>
    </row>
    <row r="41" spans="2:33" x14ac:dyDescent="0.3">
      <c r="B41" s="5">
        <v>38</v>
      </c>
      <c r="C41" s="6">
        <v>541</v>
      </c>
      <c r="D41" s="6">
        <v>575</v>
      </c>
      <c r="E41" s="6">
        <v>581</v>
      </c>
      <c r="F41" s="6">
        <v>580</v>
      </c>
      <c r="I41" s="2">
        <f ca="1">INDIRECT("E"&amp;(17*ROW(12:12)+ROW('(default)'!$E$3)-19+IF(COLUMN(C:C)&gt;19,50000,COLUMN(C:C)-1)))</f>
        <v>293</v>
      </c>
      <c r="J41" s="2">
        <f ca="1">INDIRECT("E"&amp;(17*ROW(12:12)+ROW('(default)'!$E$3)-19+IF(COLUMN(D:D)&gt;19,50000,COLUMN(D:D)-1)))</f>
        <v>337</v>
      </c>
      <c r="K41" s="2">
        <f ca="1">INDIRECT("E"&amp;(17*ROW(12:12)+ROW('(default)'!$E$3)-19+IF(COLUMN(E:E)&gt;19,50000,COLUMN(E:E)-1)))</f>
        <v>393</v>
      </c>
      <c r="L41" s="2">
        <f ca="1">INDIRECT("E"&amp;(17*ROW(12:12)+ROW('(default)'!$E$3)-19+IF(COLUMN(F:F)&gt;19,50000,COLUMN(F:F)-1)))</f>
        <v>442</v>
      </c>
      <c r="M41" s="2">
        <f ca="1">INDIRECT("E"&amp;(17*ROW(12:12)+ROW('(default)'!$E$3)-19+IF(COLUMN(G:G)&gt;19,50000,COLUMN(G:G)-1)))</f>
        <v>498</v>
      </c>
      <c r="N41" s="2">
        <f ca="1">INDIRECT("E"&amp;(17*ROW(12:12)+ROW('(default)'!$E$3)-19+IF(COLUMN(H:H)&gt;19,50000,COLUMN(H:H)-1)))</f>
        <v>553</v>
      </c>
      <c r="O41" s="2">
        <f ca="1">INDIRECT("E"&amp;(17*ROW(12:12)+ROW('(default)'!$E$3)-19+IF(COLUMN(I:I)&gt;19,50000,COLUMN(I:I)-1)))</f>
        <v>597</v>
      </c>
      <c r="P41" s="2">
        <f ca="1">INDIRECT("E"&amp;(17*ROW(12:12)+ROW('(default)'!$E$3)-19+IF(COLUMN(J:J)&gt;19,50000,COLUMN(J:J)-1)))</f>
        <v>630</v>
      </c>
      <c r="Q41" s="2">
        <f ca="1">INDIRECT("E"&amp;(17*ROW(12:12)+ROW('(default)'!$E$3)-19+IF(COLUMN(K:K)&gt;19,50000,COLUMN(K:K)-1)))</f>
        <v>636</v>
      </c>
      <c r="R41" s="2">
        <f ca="1">INDIRECT("E"&amp;(17*ROW(12:12)+ROW('(default)'!$E$3)-19+IF(COLUMN(L:L)&gt;19,50000,COLUMN(L:L)-1)))</f>
        <v>630</v>
      </c>
      <c r="S41" s="2">
        <f ca="1">INDIRECT("E"&amp;(17*ROW(12:12)+ROW('(default)'!$E$3)-19+IF(COLUMN(M:M)&gt;19,50000,COLUMN(M:M)-1)))</f>
        <v>597</v>
      </c>
      <c r="T41" s="2">
        <f ca="1">INDIRECT("E"&amp;(17*ROW(12:12)+ROW('(default)'!$E$3)-19+IF(COLUMN(N:N)&gt;19,50000,COLUMN(N:N)-1)))</f>
        <v>553</v>
      </c>
      <c r="U41" s="2">
        <f ca="1">INDIRECT("E"&amp;(17*ROW(12:12)+ROW('(default)'!$E$3)-19+IF(COLUMN(O:O)&gt;19,50000,COLUMN(O:O)-1)))</f>
        <v>498</v>
      </c>
      <c r="V41" s="2">
        <f ca="1">INDIRECT("E"&amp;(17*ROW(12:12)+ROW('(default)'!$E$3)-19+IF(COLUMN(P:P)&gt;19,50000,COLUMN(P:P)-1)))</f>
        <v>442</v>
      </c>
      <c r="W41" s="2">
        <f ca="1">INDIRECT("E"&amp;(17*ROW(12:12)+ROW('(default)'!$E$3)-19+IF(COLUMN(Q:Q)&gt;19,50000,COLUMN(Q:Q)-1)))</f>
        <v>387</v>
      </c>
      <c r="X41" s="2">
        <f ca="1">INDIRECT("E"&amp;(17*ROW(12:12)+ROW('(default)'!$E$3)-19+IF(COLUMN(R:R)&gt;19,50000,COLUMN(R:R)-1)))</f>
        <v>337</v>
      </c>
      <c r="Y41" s="2">
        <f ca="1">INDIRECT("E"&amp;(17*ROW(12:12)+ROW('(default)'!$E$3)-19+IF(COLUMN(S:S)&gt;19,50000,COLUMN(S:S)-1)))</f>
        <v>293</v>
      </c>
      <c r="AG41" s="1"/>
    </row>
    <row r="42" spans="2:33" x14ac:dyDescent="0.3">
      <c r="B42" s="5">
        <v>39</v>
      </c>
      <c r="C42" s="6">
        <v>611</v>
      </c>
      <c r="D42" s="6">
        <v>641</v>
      </c>
      <c r="E42" s="6">
        <v>653</v>
      </c>
      <c r="F42" s="6">
        <v>648</v>
      </c>
      <c r="I42" s="11">
        <f ca="1">INDIRECT("E"&amp;(17*ROW(13:13)+ROW('(default)'!$E$3)-19+IF(COLUMN(C:C)&gt;19,50000,COLUMN(C:C)-1)))</f>
        <v>271</v>
      </c>
      <c r="J42" s="2">
        <f ca="1">INDIRECT("E"&amp;(17*ROW(13:13)+ROW('(default)'!$E$3)-19+IF(COLUMN(D:D)&gt;19,50000,COLUMN(D:D)-1)))</f>
        <v>300</v>
      </c>
      <c r="K42" s="2">
        <f ca="1">INDIRECT("E"&amp;(17*ROW(13:13)+ROW('(default)'!$E$3)-19+IF(COLUMN(E:E)&gt;19,50000,COLUMN(E:E)-1)))</f>
        <v>341</v>
      </c>
      <c r="L42" s="2">
        <f ca="1">INDIRECT("E"&amp;(17*ROW(13:13)+ROW('(default)'!$E$3)-19+IF(COLUMN(F:F)&gt;19,50000,COLUMN(F:F)-1)))</f>
        <v>383</v>
      </c>
      <c r="M42" s="2">
        <f ca="1">INDIRECT("E"&amp;(17*ROW(13:13)+ROW('(default)'!$E$3)-19+IF(COLUMN(G:G)&gt;19,50000,COLUMN(G:G)-1)))</f>
        <v>431</v>
      </c>
      <c r="N42" s="2">
        <f ca="1">INDIRECT("E"&amp;(17*ROW(13:13)+ROW('(default)'!$E$3)-19+IF(COLUMN(H:H)&gt;19,50000,COLUMN(H:H)-1)))</f>
        <v>464</v>
      </c>
      <c r="O42" s="2">
        <f ca="1">INDIRECT("E"&amp;(17*ROW(13:13)+ROW('(default)'!$E$3)-19+IF(COLUMN(I:I)&gt;19,50000,COLUMN(I:I)-1)))</f>
        <v>501</v>
      </c>
      <c r="P42" s="2">
        <f ca="1">INDIRECT("E"&amp;(17*ROW(13:13)+ROW('(default)'!$E$3)-19+IF(COLUMN(J:J)&gt;19,50000,COLUMN(J:J)-1)))</f>
        <v>520</v>
      </c>
      <c r="Q42" s="2">
        <f ca="1">INDIRECT("E"&amp;(17*ROW(13:13)+ROW('(default)'!$E$3)-19+IF(COLUMN(K:K)&gt;19,50000,COLUMN(K:K)-1)))</f>
        <v>533</v>
      </c>
      <c r="R42" s="2">
        <f ca="1">INDIRECT("E"&amp;(17*ROW(13:13)+ROW('(default)'!$E$3)-19+IF(COLUMN(L:L)&gt;19,50000,COLUMN(L:L)-1)))</f>
        <v>520</v>
      </c>
      <c r="S42" s="2">
        <f ca="1">INDIRECT("E"&amp;(17*ROW(13:13)+ROW('(default)'!$E$3)-19+IF(COLUMN(M:M)&gt;19,50000,COLUMN(M:M)-1)))</f>
        <v>501</v>
      </c>
      <c r="T42" s="2">
        <f ca="1">INDIRECT("E"&amp;(17*ROW(13:13)+ROW('(default)'!$E$3)-19+IF(COLUMN(N:N)&gt;19,50000,COLUMN(N:N)-1)))</f>
        <v>464</v>
      </c>
      <c r="U42" s="2">
        <f ca="1">INDIRECT("E"&amp;(17*ROW(13:13)+ROW('(default)'!$E$3)-19+IF(COLUMN(O:O)&gt;19,50000,COLUMN(O:O)-1)))</f>
        <v>424</v>
      </c>
      <c r="V42" s="2">
        <f ca="1">INDIRECT("E"&amp;(17*ROW(13:13)+ROW('(default)'!$E$3)-19+IF(COLUMN(P:P)&gt;19,50000,COLUMN(P:P)-1)))</f>
        <v>383</v>
      </c>
      <c r="W42" s="2">
        <f ca="1">INDIRECT("E"&amp;(17*ROW(13:13)+ROW('(default)'!$E$3)-19+IF(COLUMN(Q:Q)&gt;19,50000,COLUMN(Q:Q)-1)))</f>
        <v>343</v>
      </c>
      <c r="X42" s="2">
        <f ca="1">INDIRECT("E"&amp;(17*ROW(13:13)+ROW('(default)'!$E$3)-19+IF(COLUMN(R:R)&gt;19,50000,COLUMN(R:R)-1)))</f>
        <v>300</v>
      </c>
      <c r="Y42" s="11">
        <f ca="1">INDIRECT("E"&amp;(17*ROW(13:13)+ROW('(default)'!$E$3)-19+IF(COLUMN(S:S)&gt;19,50000,COLUMN(S:S)-1)))</f>
        <v>264</v>
      </c>
      <c r="AG42" s="1"/>
    </row>
    <row r="43" spans="2:33" x14ac:dyDescent="0.3">
      <c r="B43" s="5">
        <v>40</v>
      </c>
      <c r="C43" s="6">
        <v>670</v>
      </c>
      <c r="D43" s="6">
        <v>697</v>
      </c>
      <c r="E43" s="6">
        <v>708</v>
      </c>
      <c r="F43" s="6">
        <v>705</v>
      </c>
      <c r="AG43" s="1"/>
    </row>
    <row r="44" spans="2:33" x14ac:dyDescent="0.3">
      <c r="B44" s="5">
        <v>41</v>
      </c>
      <c r="C44" s="6">
        <v>706</v>
      </c>
      <c r="D44" s="6">
        <v>735</v>
      </c>
      <c r="E44" s="6">
        <v>747</v>
      </c>
      <c r="F44" s="6">
        <v>750</v>
      </c>
      <c r="H44" t="s">
        <v>3</v>
      </c>
      <c r="I44" s="13">
        <f ca="1">INDIRECT("F"&amp;(17*ROW(1:1)+ROW('(default)'!$F$3)-19+IF(COLUMN(C:C)&gt;19,50000,COLUMN(C:C)-1)))</f>
        <v>265</v>
      </c>
      <c r="J44" s="2">
        <f ca="1">INDIRECT("F"&amp;(17*ROW(1:1)+ROW('(default)'!$F$3)-19+IF(COLUMN(D:D)&gt;19,50000,COLUMN(D:D)-1)))</f>
        <v>311</v>
      </c>
      <c r="K44" s="2">
        <f ca="1">INDIRECT("F"&amp;(17*ROW(1:1)+ROW('(default)'!$F$3)-19+IF(COLUMN(E:E)&gt;19,50000,COLUMN(E:E)-1)))</f>
        <v>352</v>
      </c>
      <c r="L44" s="2">
        <f ca="1">INDIRECT("F"&amp;(17*ROW(1:1)+ROW('(default)'!$F$3)-19+IF(COLUMN(F:F)&gt;19,50000,COLUMN(F:F)-1)))</f>
        <v>409</v>
      </c>
      <c r="M44" s="2">
        <f ca="1">INDIRECT("F"&amp;(17*ROW(1:1)+ROW('(default)'!$F$3)-19+IF(COLUMN(G:G)&gt;19,50000,COLUMN(G:G)-1)))</f>
        <v>451</v>
      </c>
      <c r="N44" s="2">
        <f ca="1">INDIRECT("F"&amp;(17*ROW(1:1)+ROW('(default)'!$F$3)-19+IF(COLUMN(H:H)&gt;19,50000,COLUMN(H:H)-1)))</f>
        <v>477</v>
      </c>
      <c r="O44" s="2">
        <f ca="1">INDIRECT("F"&amp;(17*ROW(1:1)+ROW('(default)'!$F$3)-19+IF(COLUMN(I:I)&gt;19,50000,COLUMN(I:I)-1)))</f>
        <v>523</v>
      </c>
      <c r="P44" s="2">
        <f ca="1">INDIRECT("F"&amp;(17*ROW(1:1)+ROW('(default)'!$F$3)-19+IF(COLUMN(J:J)&gt;19,50000,COLUMN(J:J)-1)))</f>
        <v>546</v>
      </c>
      <c r="Q44" s="2">
        <f ca="1">INDIRECT("F"&amp;(17*ROW(1:1)+ROW('(default)'!$F$3)-19+IF(COLUMN(K:K)&gt;19,50000,COLUMN(K:K)-1)))</f>
        <v>557</v>
      </c>
      <c r="R44" s="2">
        <f ca="1">INDIRECT("F"&amp;(17*ROW(1:1)+ROW('(default)'!$F$3)-19+IF(COLUMN(L:L)&gt;19,50000,COLUMN(L:L)-1)))</f>
        <v>546</v>
      </c>
      <c r="S44" s="2">
        <f ca="1">INDIRECT("F"&amp;(17*ROW(1:1)+ROW('(default)'!$F$3)-19+IF(COLUMN(M:M)&gt;19,50000,COLUMN(M:M)-1)))</f>
        <v>523</v>
      </c>
      <c r="T44" s="2">
        <f ca="1">INDIRECT("F"&amp;(17*ROW(1:1)+ROW('(default)'!$F$3)-19+IF(COLUMN(N:N)&gt;19,50000,COLUMN(N:N)-1)))</f>
        <v>477</v>
      </c>
      <c r="U44" s="2">
        <f ca="1">INDIRECT("F"&amp;(17*ROW(1:1)+ROW('(default)'!$F$3)-19+IF(COLUMN(O:O)&gt;19,50000,COLUMN(O:O)-1)))</f>
        <v>451</v>
      </c>
      <c r="V44" s="2">
        <f ca="1">INDIRECT("F"&amp;(17*ROW(1:1)+ROW('(default)'!$F$3)-19+IF(COLUMN(P:P)&gt;19,50000,COLUMN(P:P)-1)))</f>
        <v>394</v>
      </c>
      <c r="W44" s="2">
        <f ca="1">INDIRECT("F"&amp;(17*ROW(1:1)+ROW('(default)'!$F$3)-19+IF(COLUMN(Q:Q)&gt;19,50000,COLUMN(Q:Q)-1)))</f>
        <v>352</v>
      </c>
      <c r="X44" s="2">
        <f ca="1">INDIRECT("F"&amp;(17*ROW(1:1)+ROW('(default)'!$F$3)-19+IF(COLUMN(R:R)&gt;19,50000,COLUMN(R:R)-1)))</f>
        <v>311</v>
      </c>
      <c r="Y44" s="13">
        <f ca="1">INDIRECT("F"&amp;(17*ROW(1:1)+ROW('(default)'!$F$3)-19+IF(COLUMN(S:S)&gt;19,50000,COLUMN(S:S)-1)))</f>
        <v>265</v>
      </c>
      <c r="AG44" s="1"/>
    </row>
    <row r="45" spans="2:33" x14ac:dyDescent="0.3">
      <c r="B45" s="5">
        <v>42</v>
      </c>
      <c r="C45" s="6">
        <v>717</v>
      </c>
      <c r="D45" s="6">
        <v>752</v>
      </c>
      <c r="E45" s="6">
        <v>763</v>
      </c>
      <c r="F45" s="6">
        <v>762</v>
      </c>
      <c r="I45" s="2">
        <f ca="1">INDIRECT("F"&amp;(17*ROW(2:2)+ROW('(default)'!$F$3)-19+IF(COLUMN(C:C)&gt;19,50000,COLUMN(C:C)-1)))</f>
        <v>296</v>
      </c>
      <c r="J45" s="2">
        <f ca="1">INDIRECT("F"&amp;(17*ROW(2:2)+ROW('(default)'!$F$3)-19+IF(COLUMN(D:D)&gt;19,50000,COLUMN(D:D)-1)))</f>
        <v>341</v>
      </c>
      <c r="K45" s="2">
        <f ca="1">INDIRECT("F"&amp;(17*ROW(2:2)+ROW('(default)'!$F$3)-19+IF(COLUMN(E:E)&gt;19,50000,COLUMN(E:E)-1)))</f>
        <v>398</v>
      </c>
      <c r="L45" s="2">
        <f ca="1">INDIRECT("F"&amp;(17*ROW(2:2)+ROW('(default)'!$F$3)-19+IF(COLUMN(F:F)&gt;19,50000,COLUMN(F:F)-1)))</f>
        <v>455</v>
      </c>
      <c r="M45" s="2">
        <f ca="1">INDIRECT("F"&amp;(17*ROW(2:2)+ROW('(default)'!$F$3)-19+IF(COLUMN(G:G)&gt;19,50000,COLUMN(G:G)-1)))</f>
        <v>512</v>
      </c>
      <c r="N45" s="2">
        <f ca="1">INDIRECT("F"&amp;(17*ROW(2:2)+ROW('(default)'!$F$3)-19+IF(COLUMN(H:H)&gt;19,50000,COLUMN(H:H)-1)))</f>
        <v>568</v>
      </c>
      <c r="O45" s="2">
        <f ca="1">INDIRECT("F"&amp;(17*ROW(2:2)+ROW('(default)'!$F$3)-19+IF(COLUMN(I:I)&gt;19,50000,COLUMN(I:I)-1)))</f>
        <v>614</v>
      </c>
      <c r="P45" s="2">
        <f ca="1">INDIRECT("F"&amp;(17*ROW(2:2)+ROW('(default)'!$F$3)-19+IF(COLUMN(J:J)&gt;19,50000,COLUMN(J:J)-1)))</f>
        <v>637</v>
      </c>
      <c r="Q45" s="2">
        <f ca="1">INDIRECT("F"&amp;(17*ROW(2:2)+ROW('(default)'!$F$3)-19+IF(COLUMN(K:K)&gt;19,50000,COLUMN(K:K)-1)))</f>
        <v>648</v>
      </c>
      <c r="R45" s="2">
        <f ca="1">INDIRECT("F"&amp;(17*ROW(2:2)+ROW('(default)'!$F$3)-19+IF(COLUMN(L:L)&gt;19,50000,COLUMN(L:L)-1)))</f>
        <v>637</v>
      </c>
      <c r="S45" s="2">
        <f ca="1">INDIRECT("F"&amp;(17*ROW(2:2)+ROW('(default)'!$F$3)-19+IF(COLUMN(M:M)&gt;19,50000,COLUMN(M:M)-1)))</f>
        <v>614</v>
      </c>
      <c r="T45" s="2">
        <f ca="1">INDIRECT("F"&amp;(17*ROW(2:2)+ROW('(default)'!$F$3)-19+IF(COLUMN(N:N)&gt;19,50000,COLUMN(N:N)-1)))</f>
        <v>568</v>
      </c>
      <c r="U45" s="2">
        <f ca="1">INDIRECT("F"&amp;(17*ROW(2:2)+ROW('(default)'!$F$3)-19+IF(COLUMN(O:O)&gt;19,50000,COLUMN(O:O)-1)))</f>
        <v>512</v>
      </c>
      <c r="V45" s="2">
        <f ca="1">INDIRECT("F"&amp;(17*ROW(2:2)+ROW('(default)'!$F$3)-19+IF(COLUMN(P:P)&gt;19,50000,COLUMN(P:P)-1)))</f>
        <v>455</v>
      </c>
      <c r="W45" s="2">
        <f ca="1">INDIRECT("F"&amp;(17*ROW(2:2)+ROW('(default)'!$F$3)-19+IF(COLUMN(Q:Q)&gt;19,50000,COLUMN(Q:Q)-1)))</f>
        <v>398</v>
      </c>
      <c r="X45" s="2">
        <f ca="1">INDIRECT("F"&amp;(17*ROW(2:2)+ROW('(default)'!$F$3)-19+IF(COLUMN(R:R)&gt;19,50000,COLUMN(R:R)-1)))</f>
        <v>341</v>
      </c>
      <c r="Y45" s="2">
        <f ca="1">INDIRECT("F"&amp;(17*ROW(2:2)+ROW('(default)'!$F$3)-19+IF(COLUMN(S:S)&gt;19,50000,COLUMN(S:S)-1)))</f>
        <v>296</v>
      </c>
      <c r="AG45" s="1"/>
    </row>
    <row r="46" spans="2:33" x14ac:dyDescent="0.3">
      <c r="B46" s="5">
        <v>43</v>
      </c>
      <c r="C46" s="6">
        <v>706</v>
      </c>
      <c r="D46" s="6">
        <v>735</v>
      </c>
      <c r="E46" s="6">
        <v>747</v>
      </c>
      <c r="F46" s="6">
        <v>750</v>
      </c>
      <c r="I46" s="2">
        <f ca="1">INDIRECT("F"&amp;(17*ROW(3:3)+ROW('(default)'!$F$3)-19+IF(COLUMN(C:C)&gt;19,50000,COLUMN(C:C)-1)))</f>
        <v>314</v>
      </c>
      <c r="J46" s="2">
        <f ca="1">INDIRECT("F"&amp;(17*ROW(3:3)+ROW('(default)'!$F$3)-19+IF(COLUMN(D:D)&gt;19,50000,COLUMN(D:D)-1)))</f>
        <v>375</v>
      </c>
      <c r="K46" s="2">
        <f ca="1">INDIRECT("F"&amp;(17*ROW(3:3)+ROW('(default)'!$F$3)-19+IF(COLUMN(E:E)&gt;19,50000,COLUMN(E:E)-1)))</f>
        <v>443</v>
      </c>
      <c r="L46" s="2">
        <f ca="1">INDIRECT("F"&amp;(17*ROW(3:3)+ROW('(default)'!$F$3)-19+IF(COLUMN(F:F)&gt;19,50000,COLUMN(F:F)-1)))</f>
        <v>512</v>
      </c>
      <c r="M46" s="2">
        <f ca="1">INDIRECT("F"&amp;(17*ROW(3:3)+ROW('(default)'!$F$3)-19+IF(COLUMN(G:G)&gt;19,50000,COLUMN(G:G)-1)))</f>
        <v>580</v>
      </c>
      <c r="N46" s="2">
        <f ca="1">INDIRECT("F"&amp;(17*ROW(3:3)+ROW('(default)'!$F$3)-19+IF(COLUMN(H:H)&gt;19,50000,COLUMN(H:H)-1)))</f>
        <v>648</v>
      </c>
      <c r="O46" s="2">
        <f ca="1">INDIRECT("F"&amp;(17*ROW(3:3)+ROW('(default)'!$F$3)-19+IF(COLUMN(I:I)&gt;19,50000,COLUMN(I:I)-1)))</f>
        <v>705</v>
      </c>
      <c r="P46" s="2">
        <f ca="1">INDIRECT("F"&amp;(17*ROW(3:3)+ROW('(default)'!$F$3)-19+IF(COLUMN(J:J)&gt;19,50000,COLUMN(J:J)-1)))</f>
        <v>750</v>
      </c>
      <c r="Q46" s="2">
        <f ca="1">INDIRECT("F"&amp;(17*ROW(3:3)+ROW('(default)'!$F$3)-19+IF(COLUMN(K:K)&gt;19,50000,COLUMN(K:K)-1)))</f>
        <v>762</v>
      </c>
      <c r="R46" s="2">
        <f ca="1">INDIRECT("F"&amp;(17*ROW(3:3)+ROW('(default)'!$F$3)-19+IF(COLUMN(L:L)&gt;19,50000,COLUMN(L:L)-1)))</f>
        <v>750</v>
      </c>
      <c r="S46" s="2">
        <f ca="1">INDIRECT("F"&amp;(17*ROW(3:3)+ROW('(default)'!$F$3)-19+IF(COLUMN(M:M)&gt;19,50000,COLUMN(M:M)-1)))</f>
        <v>705</v>
      </c>
      <c r="T46" s="2">
        <f ca="1">INDIRECT("F"&amp;(17*ROW(3:3)+ROW('(default)'!$F$3)-19+IF(COLUMN(N:N)&gt;19,50000,COLUMN(N:N)-1)))</f>
        <v>648</v>
      </c>
      <c r="U46" s="2">
        <f ca="1">INDIRECT("F"&amp;(17*ROW(3:3)+ROW('(default)'!$F$3)-19+IF(COLUMN(O:O)&gt;19,50000,COLUMN(O:O)-1)))</f>
        <v>580</v>
      </c>
      <c r="V46" s="2">
        <f ca="1">INDIRECT("F"&amp;(17*ROW(3:3)+ROW('(default)'!$F$3)-19+IF(COLUMN(P:P)&gt;19,50000,COLUMN(P:P)-1)))</f>
        <v>512</v>
      </c>
      <c r="W46" s="2">
        <f ca="1">INDIRECT("F"&amp;(17*ROW(3:3)+ROW('(default)'!$F$3)-19+IF(COLUMN(Q:Q)&gt;19,50000,COLUMN(Q:Q)-1)))</f>
        <v>443</v>
      </c>
      <c r="X46" s="2">
        <f ca="1">INDIRECT("F"&amp;(17*ROW(3:3)+ROW('(default)'!$F$3)-19+IF(COLUMN(R:R)&gt;19,50000,COLUMN(R:R)-1)))</f>
        <v>375</v>
      </c>
      <c r="Y46" s="2">
        <f ca="1">INDIRECT("F"&amp;(17*ROW(3:3)+ROW('(default)'!$F$3)-19+IF(COLUMN(S:S)&gt;19,50000,COLUMN(S:S)-1)))</f>
        <v>314</v>
      </c>
      <c r="AG46" s="1"/>
    </row>
    <row r="47" spans="2:33" x14ac:dyDescent="0.3">
      <c r="B47" s="5">
        <v>44</v>
      </c>
      <c r="C47" s="6">
        <v>670</v>
      </c>
      <c r="D47" s="6">
        <v>697</v>
      </c>
      <c r="E47" s="6">
        <v>708</v>
      </c>
      <c r="F47" s="6">
        <v>705</v>
      </c>
      <c r="I47" s="2">
        <f ca="1">INDIRECT("F"&amp;(17*ROW(4:4)+ROW('(default)'!$F$3)-19+IF(COLUMN(C:C)&gt;19,50000,COLUMN(C:C)-1)))</f>
        <v>349</v>
      </c>
      <c r="J47" s="2">
        <f ca="1">INDIRECT("F"&amp;(17*ROW(4:4)+ROW('(default)'!$F$3)-19+IF(COLUMN(D:D)&gt;19,50000,COLUMN(D:D)-1)))</f>
        <v>409</v>
      </c>
      <c r="K47" s="2">
        <f ca="1">INDIRECT("F"&amp;(17*ROW(4:4)+ROW('(default)'!$F$3)-19+IF(COLUMN(E:E)&gt;19,50000,COLUMN(E:E)-1)))</f>
        <v>489</v>
      </c>
      <c r="L47" s="2">
        <f ca="1">INDIRECT("F"&amp;(17*ROW(4:4)+ROW('(default)'!$F$3)-19+IF(COLUMN(F:F)&gt;19,50000,COLUMN(F:F)-1)))</f>
        <v>568</v>
      </c>
      <c r="M47" s="2">
        <f ca="1">INDIRECT("F"&amp;(17*ROW(4:4)+ROW('(default)'!$F$3)-19+IF(COLUMN(G:G)&gt;19,50000,COLUMN(G:G)-1)))</f>
        <v>648</v>
      </c>
      <c r="N47" s="2">
        <f ca="1">INDIRECT("F"&amp;(17*ROW(4:4)+ROW('(default)'!$F$3)-19+IF(COLUMN(H:H)&gt;19,50000,COLUMN(H:H)-1)))</f>
        <v>739</v>
      </c>
      <c r="O47" s="2">
        <f ca="1">INDIRECT("F"&amp;(17*ROW(4:4)+ROW('(default)'!$F$3)-19+IF(COLUMN(I:I)&gt;19,50000,COLUMN(I:I)-1)))</f>
        <v>807</v>
      </c>
      <c r="P47" s="2">
        <f ca="1">INDIRECT("F"&amp;(17*ROW(4:4)+ROW('(default)'!$F$3)-19+IF(COLUMN(J:J)&gt;19,50000,COLUMN(J:J)-1)))</f>
        <v>853</v>
      </c>
      <c r="Q47" s="2">
        <f ca="1">INDIRECT("F"&amp;(17*ROW(4:4)+ROW('(default)'!$F$3)-19+IF(COLUMN(K:K)&gt;19,50000,COLUMN(K:K)-1)))</f>
        <v>864</v>
      </c>
      <c r="R47" s="2">
        <f ca="1">INDIRECT("F"&amp;(17*ROW(4:4)+ROW('(default)'!$F$3)-19+IF(COLUMN(L:L)&gt;19,50000,COLUMN(L:L)-1)))</f>
        <v>853</v>
      </c>
      <c r="S47" s="2">
        <f ca="1">INDIRECT("F"&amp;(17*ROW(4:4)+ROW('(default)'!$F$3)-19+IF(COLUMN(M:M)&gt;19,50000,COLUMN(M:M)-1)))</f>
        <v>807</v>
      </c>
      <c r="T47" s="2">
        <f ca="1">INDIRECT("F"&amp;(17*ROW(4:4)+ROW('(default)'!$F$3)-19+IF(COLUMN(N:N)&gt;19,50000,COLUMN(N:N)-1)))</f>
        <v>727</v>
      </c>
      <c r="U47" s="2">
        <f ca="1">INDIRECT("F"&amp;(17*ROW(4:4)+ROW('(default)'!$F$3)-19+IF(COLUMN(O:O)&gt;19,50000,COLUMN(O:O)-1)))</f>
        <v>648</v>
      </c>
      <c r="V47" s="2">
        <f ca="1">INDIRECT("F"&amp;(17*ROW(4:4)+ROW('(default)'!$F$3)-19+IF(COLUMN(P:P)&gt;19,50000,COLUMN(P:P)-1)))</f>
        <v>557</v>
      </c>
      <c r="W47" s="2">
        <f ca="1">INDIRECT("F"&amp;(17*ROW(4:4)+ROW('(default)'!$F$3)-19+IF(COLUMN(Q:Q)&gt;19,50000,COLUMN(Q:Q)-1)))</f>
        <v>477</v>
      </c>
      <c r="X47" s="2">
        <f ca="1">INDIRECT("F"&amp;(17*ROW(4:4)+ROW('(default)'!$F$3)-19+IF(COLUMN(R:R)&gt;19,50000,COLUMN(R:R)-1)))</f>
        <v>409</v>
      </c>
      <c r="Y47" s="2">
        <f ca="1">INDIRECT("F"&amp;(17*ROW(4:4)+ROW('(default)'!$F$3)-19+IF(COLUMN(S:S)&gt;19,50000,COLUMN(S:S)-1)))</f>
        <v>349</v>
      </c>
      <c r="AG47" s="1"/>
    </row>
    <row r="48" spans="2:33" x14ac:dyDescent="0.3">
      <c r="B48" s="5">
        <v>45</v>
      </c>
      <c r="C48" s="6">
        <v>611</v>
      </c>
      <c r="D48" s="6">
        <v>641</v>
      </c>
      <c r="E48" s="6">
        <v>653</v>
      </c>
      <c r="F48" s="6">
        <v>648</v>
      </c>
      <c r="I48" s="2">
        <f ca="1">INDIRECT("F"&amp;(17*ROW(5:5)+ROW('(default)'!$F$3)-19+IF(COLUMN(C:C)&gt;19,50000,COLUMN(C:C)-1)))</f>
        <v>371</v>
      </c>
      <c r="J48" s="2">
        <f ca="1">INDIRECT("F"&amp;(17*ROW(5:5)+ROW('(default)'!$F$3)-19+IF(COLUMN(D:D)&gt;19,50000,COLUMN(D:D)-1)))</f>
        <v>432</v>
      </c>
      <c r="K48" s="2">
        <f ca="1">INDIRECT("F"&amp;(17*ROW(5:5)+ROW('(default)'!$F$3)-19+IF(COLUMN(E:E)&gt;19,50000,COLUMN(E:E)-1)))</f>
        <v>512</v>
      </c>
      <c r="L48" s="2">
        <f ca="1">INDIRECT("F"&amp;(17*ROW(5:5)+ROW('(default)'!$F$3)-19+IF(COLUMN(F:F)&gt;19,50000,COLUMN(F:F)-1)))</f>
        <v>614</v>
      </c>
      <c r="M48" s="2">
        <f ca="1">INDIRECT("F"&amp;(17*ROW(5:5)+ROW('(default)'!$F$3)-19+IF(COLUMN(G:G)&gt;19,50000,COLUMN(G:G)-1)))</f>
        <v>705</v>
      </c>
      <c r="N48" s="2">
        <f ca="1">INDIRECT("F"&amp;(17*ROW(5:5)+ROW('(default)'!$F$3)-19+IF(COLUMN(H:H)&gt;19,50000,COLUMN(H:H)-1)))</f>
        <v>807</v>
      </c>
      <c r="O48" s="2">
        <f ca="1">INDIRECT("F"&amp;(17*ROW(5:5)+ROW('(default)'!$F$3)-19+IF(COLUMN(I:I)&gt;19,50000,COLUMN(I:I)-1)))</f>
        <v>887</v>
      </c>
      <c r="P48" s="2">
        <f ca="1">INDIRECT("F"&amp;(17*ROW(5:5)+ROW('(default)'!$F$3)-19+IF(COLUMN(J:J)&gt;19,50000,COLUMN(J:J)-1)))</f>
        <v>932</v>
      </c>
      <c r="Q48" s="2">
        <f ca="1">INDIRECT("F"&amp;(17*ROW(5:5)+ROW('(default)'!$F$3)-19+IF(COLUMN(K:K)&gt;19,50000,COLUMN(K:K)-1)))</f>
        <v>955</v>
      </c>
      <c r="R48" s="2">
        <f ca="1">INDIRECT("F"&amp;(17*ROW(5:5)+ROW('(default)'!$F$3)-19+IF(COLUMN(L:L)&gt;19,50000,COLUMN(L:L)-1)))</f>
        <v>932</v>
      </c>
      <c r="S48" s="2">
        <f ca="1">INDIRECT("F"&amp;(17*ROW(5:5)+ROW('(default)'!$F$3)-19+IF(COLUMN(M:M)&gt;19,50000,COLUMN(M:M)-1)))</f>
        <v>887</v>
      </c>
      <c r="T48" s="2">
        <f ca="1">INDIRECT("F"&amp;(17*ROW(5:5)+ROW('(default)'!$F$3)-19+IF(COLUMN(N:N)&gt;19,50000,COLUMN(N:N)-1)))</f>
        <v>807</v>
      </c>
      <c r="U48" s="2">
        <f ca="1">INDIRECT("F"&amp;(17*ROW(5:5)+ROW('(default)'!$F$3)-19+IF(COLUMN(O:O)&gt;19,50000,COLUMN(O:O)-1)))</f>
        <v>705</v>
      </c>
      <c r="V48" s="2">
        <f ca="1">INDIRECT("F"&amp;(17*ROW(5:5)+ROW('(default)'!$F$3)-19+IF(COLUMN(P:P)&gt;19,50000,COLUMN(P:P)-1)))</f>
        <v>602</v>
      </c>
      <c r="W48" s="2">
        <f ca="1">INDIRECT("F"&amp;(17*ROW(5:5)+ROW('(default)'!$F$3)-19+IF(COLUMN(Q:Q)&gt;19,50000,COLUMN(Q:Q)-1)))</f>
        <v>512</v>
      </c>
      <c r="X48" s="2">
        <f ca="1">INDIRECT("F"&amp;(17*ROW(5:5)+ROW('(default)'!$F$3)-19+IF(COLUMN(R:R)&gt;19,50000,COLUMN(R:R)-1)))</f>
        <v>432</v>
      </c>
      <c r="Y48" s="2">
        <f ca="1">INDIRECT("F"&amp;(17*ROW(5:5)+ROW('(default)'!$F$3)-19+IF(COLUMN(S:S)&gt;19,50000,COLUMN(S:S)-1)))</f>
        <v>371</v>
      </c>
      <c r="AG48" s="1"/>
    </row>
    <row r="49" spans="2:33" x14ac:dyDescent="0.3">
      <c r="B49" s="5">
        <v>46</v>
      </c>
      <c r="C49" s="6">
        <v>541</v>
      </c>
      <c r="D49" s="6">
        <v>575</v>
      </c>
      <c r="E49" s="6">
        <v>581</v>
      </c>
      <c r="F49" s="6">
        <v>580</v>
      </c>
      <c r="I49" s="2">
        <f ca="1">INDIRECT("F"&amp;(17*ROW(6:6)+ROW('(default)'!$F$3)-19+IF(COLUMN(C:C)&gt;19,50000,COLUMN(C:C)-1)))</f>
        <v>379</v>
      </c>
      <c r="J49" s="2">
        <f ca="1">INDIRECT("F"&amp;(17*ROW(6:6)+ROW('(default)'!$F$3)-19+IF(COLUMN(D:D)&gt;19,50000,COLUMN(D:D)-1)))</f>
        <v>455</v>
      </c>
      <c r="K49" s="2">
        <f ca="1">INDIRECT("F"&amp;(17*ROW(6:6)+ROW('(default)'!$F$3)-19+IF(COLUMN(E:E)&gt;19,50000,COLUMN(E:E)-1)))</f>
        <v>534</v>
      </c>
      <c r="L49" s="2">
        <f ca="1">INDIRECT("F"&amp;(17*ROW(6:6)+ROW('(default)'!$F$3)-19+IF(COLUMN(F:F)&gt;19,50000,COLUMN(F:F)-1)))</f>
        <v>637</v>
      </c>
      <c r="M49" s="2">
        <f ca="1">INDIRECT("F"&amp;(17*ROW(6:6)+ROW('(default)'!$F$3)-19+IF(COLUMN(G:G)&gt;19,50000,COLUMN(G:G)-1)))</f>
        <v>750</v>
      </c>
      <c r="N49" s="2">
        <f ca="1">INDIRECT("F"&amp;(17*ROW(6:6)+ROW('(default)'!$F$3)-19+IF(COLUMN(H:H)&gt;19,50000,COLUMN(H:H)-1)))</f>
        <v>853</v>
      </c>
      <c r="O49" s="2">
        <f ca="1">INDIRECT("F"&amp;(17*ROW(6:6)+ROW('(default)'!$F$3)-19+IF(COLUMN(I:I)&gt;19,50000,COLUMN(I:I)-1)))</f>
        <v>932</v>
      </c>
      <c r="P49" s="2">
        <f ca="1">INDIRECT("F"&amp;(17*ROW(6:6)+ROW('(default)'!$F$3)-19+IF(COLUMN(J:J)&gt;19,50000,COLUMN(J:J)-1)))</f>
        <v>989</v>
      </c>
      <c r="Q49" s="2">
        <f ca="1">INDIRECT("F"&amp;(17*ROW(6:6)+ROW('(default)'!$F$3)-19+IF(COLUMN(K:K)&gt;19,50000,COLUMN(K:K)-1)))</f>
        <v>1000</v>
      </c>
      <c r="R49" s="2">
        <f ca="1">INDIRECT("F"&amp;(17*ROW(6:6)+ROW('(default)'!$F$3)-19+IF(COLUMN(L:L)&gt;19,50000,COLUMN(L:L)-1)))</f>
        <v>989</v>
      </c>
      <c r="S49" s="2">
        <f ca="1">INDIRECT("F"&amp;(17*ROW(6:6)+ROW('(default)'!$F$3)-19+IF(COLUMN(M:M)&gt;19,50000,COLUMN(M:M)-1)))</f>
        <v>932</v>
      </c>
      <c r="T49" s="2">
        <f ca="1">INDIRECT("F"&amp;(17*ROW(6:6)+ROW('(default)'!$F$3)-19+IF(COLUMN(N:N)&gt;19,50000,COLUMN(N:N)-1)))</f>
        <v>841</v>
      </c>
      <c r="U49" s="2">
        <f ca="1">INDIRECT("F"&amp;(17*ROW(6:6)+ROW('(default)'!$F$3)-19+IF(COLUMN(O:O)&gt;19,50000,COLUMN(O:O)-1)))</f>
        <v>739</v>
      </c>
      <c r="V49" s="2">
        <f ca="1">INDIRECT("F"&amp;(17*ROW(6:6)+ROW('(default)'!$F$3)-19+IF(COLUMN(P:P)&gt;19,50000,COLUMN(P:P)-1)))</f>
        <v>637</v>
      </c>
      <c r="W49" s="2">
        <f ca="1">INDIRECT("F"&amp;(17*ROW(6:6)+ROW('(default)'!$F$3)-19+IF(COLUMN(Q:Q)&gt;19,50000,COLUMN(Q:Q)-1)))</f>
        <v>534</v>
      </c>
      <c r="X49" s="2">
        <f ca="1">INDIRECT("F"&amp;(17*ROW(6:6)+ROW('(default)'!$F$3)-19+IF(COLUMN(R:R)&gt;19,50000,COLUMN(R:R)-1)))</f>
        <v>443</v>
      </c>
      <c r="Y49" s="2">
        <f ca="1">INDIRECT("F"&amp;(17*ROW(6:6)+ROW('(default)'!$F$3)-19+IF(COLUMN(S:S)&gt;19,50000,COLUMN(S:S)-1)))</f>
        <v>383</v>
      </c>
      <c r="AG49" s="1"/>
    </row>
    <row r="50" spans="2:33" x14ac:dyDescent="0.3">
      <c r="B50" s="5">
        <v>47</v>
      </c>
      <c r="C50" s="6">
        <v>470</v>
      </c>
      <c r="D50" s="6">
        <v>503</v>
      </c>
      <c r="E50" s="6">
        <v>509</v>
      </c>
      <c r="F50" s="6">
        <v>512</v>
      </c>
      <c r="I50" s="2">
        <f ca="1">INDIRECT("F"&amp;(17*ROW(7:7)+ROW('(default)'!$F$3)-19+IF(COLUMN(C:C)&gt;19,50000,COLUMN(C:C)-1)))</f>
        <v>379</v>
      </c>
      <c r="J50" s="2">
        <f ca="1">INDIRECT("F"&amp;(17*ROW(7:7)+ROW('(default)'!$F$3)-19+IF(COLUMN(D:D)&gt;19,50000,COLUMN(D:D)-1)))</f>
        <v>455</v>
      </c>
      <c r="K50" s="2">
        <f ca="1">INDIRECT("F"&amp;(17*ROW(7:7)+ROW('(default)'!$F$3)-19+IF(COLUMN(E:E)&gt;19,50000,COLUMN(E:E)-1)))</f>
        <v>546</v>
      </c>
      <c r="L50" s="2">
        <f ca="1">INDIRECT("F"&amp;(17*ROW(7:7)+ROW('(default)'!$F$3)-19+IF(COLUMN(F:F)&gt;19,50000,COLUMN(F:F)-1)))</f>
        <v>648</v>
      </c>
      <c r="M50" s="2">
        <f ca="1">INDIRECT("F"&amp;(17*ROW(7:7)+ROW('(default)'!$F$3)-19+IF(COLUMN(G:G)&gt;19,50000,COLUMN(G:G)-1)))</f>
        <v>762</v>
      </c>
      <c r="N50" s="2">
        <f ca="1">INDIRECT("F"&amp;(17*ROW(7:7)+ROW('(default)'!$F$3)-19+IF(COLUMN(H:H)&gt;19,50000,COLUMN(H:H)-1)))</f>
        <v>864</v>
      </c>
      <c r="O50" s="2">
        <f ca="1">INDIRECT("F"&amp;(17*ROW(7:7)+ROW('(default)'!$F$3)-19+IF(COLUMN(I:I)&gt;19,50000,COLUMN(I:I)-1)))</f>
        <v>943</v>
      </c>
      <c r="P50" s="2">
        <f ca="1">INDIRECT("F"&amp;(17*ROW(7:7)+ROW('(default)'!$F$3)-19+IF(COLUMN(J:J)&gt;19,50000,COLUMN(J:J)-1)))</f>
        <v>1000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1000</v>
      </c>
      <c r="S50" s="2">
        <f ca="1">INDIRECT("F"&amp;(17*ROW(7:7)+ROW('(default)'!$F$3)-19+IF(COLUMN(M:M)&gt;19,50000,COLUMN(M:M)-1)))</f>
        <v>943</v>
      </c>
      <c r="T50" s="2">
        <f ca="1">INDIRECT("F"&amp;(17*ROW(7:7)+ROW('(default)'!$F$3)-19+IF(COLUMN(N:N)&gt;19,50000,COLUMN(N:N)-1)))</f>
        <v>864</v>
      </c>
      <c r="U50" s="2">
        <f ca="1">INDIRECT("F"&amp;(17*ROW(7:7)+ROW('(default)'!$F$3)-19+IF(COLUMN(O:O)&gt;19,50000,COLUMN(O:O)-1)))</f>
        <v>750</v>
      </c>
      <c r="V50" s="2">
        <f ca="1">INDIRECT("F"&amp;(17*ROW(7:7)+ROW('(default)'!$F$3)-19+IF(COLUMN(P:P)&gt;19,50000,COLUMN(P:P)-1)))</f>
        <v>648</v>
      </c>
      <c r="W50" s="2">
        <f ca="1">INDIRECT("F"&amp;(17*ROW(7:7)+ROW('(default)'!$F$3)-19+IF(COLUMN(Q:Q)&gt;19,50000,COLUMN(Q:Q)-1)))</f>
        <v>546</v>
      </c>
      <c r="X50" s="2">
        <f ca="1">INDIRECT("F"&amp;(17*ROW(7:7)+ROW('(default)'!$F$3)-19+IF(COLUMN(R:R)&gt;19,50000,COLUMN(R:R)-1)))</f>
        <v>455</v>
      </c>
      <c r="Y50" s="2">
        <f ca="1">INDIRECT("F"&amp;(17*ROW(7:7)+ROW('(default)'!$F$3)-19+IF(COLUMN(S:S)&gt;19,50000,COLUMN(S:S)-1)))</f>
        <v>379</v>
      </c>
      <c r="AG50" s="1"/>
    </row>
    <row r="51" spans="2:33" x14ac:dyDescent="0.3">
      <c r="B51" s="5">
        <v>48</v>
      </c>
      <c r="C51" s="6">
        <v>412</v>
      </c>
      <c r="D51" s="6">
        <v>437</v>
      </c>
      <c r="E51" s="6">
        <v>442</v>
      </c>
      <c r="F51" s="6">
        <v>443</v>
      </c>
      <c r="I51" s="2">
        <f ca="1">INDIRECT("F"&amp;(17*ROW(8:8)+ROW('(default)'!$F$3)-19+IF(COLUMN(C:C)&gt;19,50000,COLUMN(C:C)-1)))</f>
        <v>383</v>
      </c>
      <c r="J51" s="2">
        <f ca="1">INDIRECT("F"&amp;(17*ROW(8:8)+ROW('(default)'!$F$3)-19+IF(COLUMN(D:D)&gt;19,50000,COLUMN(D:D)-1)))</f>
        <v>443</v>
      </c>
      <c r="K51" s="2">
        <f ca="1">INDIRECT("F"&amp;(17*ROW(8:8)+ROW('(default)'!$F$3)-19+IF(COLUMN(E:E)&gt;19,50000,COLUMN(E:E)-1)))</f>
        <v>534</v>
      </c>
      <c r="L51" s="2">
        <f ca="1">INDIRECT("F"&amp;(17*ROW(8:8)+ROW('(default)'!$F$3)-19+IF(COLUMN(F:F)&gt;19,50000,COLUMN(F:F)-1)))</f>
        <v>637</v>
      </c>
      <c r="M51" s="2">
        <f ca="1">INDIRECT("F"&amp;(17*ROW(8:8)+ROW('(default)'!$F$3)-19+IF(COLUMN(G:G)&gt;19,50000,COLUMN(G:G)-1)))</f>
        <v>739</v>
      </c>
      <c r="N51" s="2">
        <f ca="1">INDIRECT("F"&amp;(17*ROW(8:8)+ROW('(default)'!$F$3)-19+IF(COLUMN(H:H)&gt;19,50000,COLUMN(H:H)-1)))</f>
        <v>841</v>
      </c>
      <c r="O51" s="2">
        <f ca="1">INDIRECT("F"&amp;(17*ROW(8:8)+ROW('(default)'!$F$3)-19+IF(COLUMN(I:I)&gt;19,50000,COLUMN(I:I)-1)))</f>
        <v>932</v>
      </c>
      <c r="P51" s="2">
        <f ca="1">INDIRECT("F"&amp;(17*ROW(8:8)+ROW('(default)'!$F$3)-19+IF(COLUMN(J:J)&gt;19,50000,COLUMN(J:J)-1)))</f>
        <v>978</v>
      </c>
      <c r="Q51" s="2">
        <f ca="1">INDIRECT("F"&amp;(17*ROW(8:8)+ROW('(default)'!$F$3)-19+IF(COLUMN(K:K)&gt;19,50000,COLUMN(K:K)-1)))</f>
        <v>1000</v>
      </c>
      <c r="R51" s="2">
        <f ca="1">INDIRECT("F"&amp;(17*ROW(8:8)+ROW('(default)'!$F$3)-19+IF(COLUMN(L:L)&gt;19,50000,COLUMN(L:L)-1)))</f>
        <v>978</v>
      </c>
      <c r="S51" s="2">
        <f ca="1">INDIRECT("F"&amp;(17*ROW(8:8)+ROW('(default)'!$F$3)-19+IF(COLUMN(M:M)&gt;19,50000,COLUMN(M:M)-1)))</f>
        <v>932</v>
      </c>
      <c r="T51" s="2">
        <f ca="1">INDIRECT("F"&amp;(17*ROW(8:8)+ROW('(default)'!$F$3)-19+IF(COLUMN(N:N)&gt;19,50000,COLUMN(N:N)-1)))</f>
        <v>841</v>
      </c>
      <c r="U51" s="2">
        <f ca="1">INDIRECT("F"&amp;(17*ROW(8:8)+ROW('(default)'!$F$3)-19+IF(COLUMN(O:O)&gt;19,50000,COLUMN(O:O)-1)))</f>
        <v>739</v>
      </c>
      <c r="V51" s="2">
        <f ca="1">INDIRECT("F"&amp;(17*ROW(8:8)+ROW('(default)'!$F$3)-19+IF(COLUMN(P:P)&gt;19,50000,COLUMN(P:P)-1)))</f>
        <v>637</v>
      </c>
      <c r="W51" s="2">
        <f ca="1">INDIRECT("F"&amp;(17*ROW(8:8)+ROW('(default)'!$F$3)-19+IF(COLUMN(Q:Q)&gt;19,50000,COLUMN(Q:Q)-1)))</f>
        <v>534</v>
      </c>
      <c r="X51" s="2">
        <f ca="1">INDIRECT("F"&amp;(17*ROW(8:8)+ROW('(default)'!$F$3)-19+IF(COLUMN(R:R)&gt;19,50000,COLUMN(R:R)-1)))</f>
        <v>443</v>
      </c>
      <c r="Y51" s="2">
        <f ca="1">INDIRECT("F"&amp;(17*ROW(8:8)+ROW('(default)'!$F$3)-19+IF(COLUMN(S:S)&gt;19,50000,COLUMN(S:S)-1)))</f>
        <v>383</v>
      </c>
      <c r="AG51" s="1"/>
    </row>
    <row r="52" spans="2:33" x14ac:dyDescent="0.3">
      <c r="B52" s="5">
        <v>49</v>
      </c>
      <c r="C52" s="6">
        <v>353</v>
      </c>
      <c r="D52" s="6">
        <v>376</v>
      </c>
      <c r="E52" s="6">
        <v>382</v>
      </c>
      <c r="F52" s="6">
        <v>375</v>
      </c>
      <c r="I52" s="2">
        <f ca="1">INDIRECT("F"&amp;(17*ROW(9:9)+ROW('(default)'!$F$3)-19+IF(COLUMN(C:C)&gt;19,50000,COLUMN(C:C)-1)))</f>
        <v>356</v>
      </c>
      <c r="J52" s="2">
        <f ca="1">INDIRECT("F"&amp;(17*ROW(9:9)+ROW('(default)'!$F$3)-19+IF(COLUMN(D:D)&gt;19,50000,COLUMN(D:D)-1)))</f>
        <v>432</v>
      </c>
      <c r="K52" s="2">
        <f ca="1">INDIRECT("F"&amp;(17*ROW(9:9)+ROW('(default)'!$F$3)-19+IF(COLUMN(E:E)&gt;19,50000,COLUMN(E:E)-1)))</f>
        <v>512</v>
      </c>
      <c r="L52" s="2">
        <f ca="1">INDIRECT("F"&amp;(17*ROW(9:9)+ROW('(default)'!$F$3)-19+IF(COLUMN(F:F)&gt;19,50000,COLUMN(F:F)-1)))</f>
        <v>602</v>
      </c>
      <c r="M52" s="2">
        <f ca="1">INDIRECT("F"&amp;(17*ROW(9:9)+ROW('(default)'!$F$3)-19+IF(COLUMN(G:G)&gt;19,50000,COLUMN(G:G)-1)))</f>
        <v>705</v>
      </c>
      <c r="N52" s="2">
        <f ca="1">INDIRECT("F"&amp;(17*ROW(9:9)+ROW('(default)'!$F$3)-19+IF(COLUMN(H:H)&gt;19,50000,COLUMN(H:H)-1)))</f>
        <v>796</v>
      </c>
      <c r="O52" s="2">
        <f ca="1">INDIRECT("F"&amp;(17*ROW(9:9)+ROW('(default)'!$F$3)-19+IF(COLUMN(I:I)&gt;19,50000,COLUMN(I:I)-1)))</f>
        <v>875</v>
      </c>
      <c r="P52" s="2">
        <f ca="1">INDIRECT("F"&amp;(17*ROW(9:9)+ROW('(default)'!$F$3)-19+IF(COLUMN(J:J)&gt;19,50000,COLUMN(J:J)-1)))</f>
        <v>932</v>
      </c>
      <c r="Q52" s="2">
        <f ca="1">INDIRECT("F"&amp;(17*ROW(9:9)+ROW('(default)'!$F$3)-19+IF(COLUMN(K:K)&gt;19,50000,COLUMN(K:K)-1)))</f>
        <v>943</v>
      </c>
      <c r="R52" s="2">
        <f ca="1">INDIRECT("F"&amp;(17*ROW(9:9)+ROW('(default)'!$F$3)-19+IF(COLUMN(L:L)&gt;19,50000,COLUMN(L:L)-1)))</f>
        <v>921</v>
      </c>
      <c r="S52" s="2">
        <f ca="1">INDIRECT("F"&amp;(17*ROW(9:9)+ROW('(default)'!$F$3)-19+IF(COLUMN(M:M)&gt;19,50000,COLUMN(M:M)-1)))</f>
        <v>875</v>
      </c>
      <c r="T52" s="2">
        <f ca="1">INDIRECT("F"&amp;(17*ROW(9:9)+ROW('(default)'!$F$3)-19+IF(COLUMN(N:N)&gt;19,50000,COLUMN(N:N)-1)))</f>
        <v>796</v>
      </c>
      <c r="U52" s="2">
        <f ca="1">INDIRECT("F"&amp;(17*ROW(9:9)+ROW('(default)'!$F$3)-19+IF(COLUMN(O:O)&gt;19,50000,COLUMN(O:O)-1)))</f>
        <v>705</v>
      </c>
      <c r="V52" s="2">
        <f ca="1">INDIRECT("F"&amp;(17*ROW(9:9)+ROW('(default)'!$F$3)-19+IF(COLUMN(P:P)&gt;19,50000,COLUMN(P:P)-1)))</f>
        <v>602</v>
      </c>
      <c r="W52" s="2">
        <f ca="1">INDIRECT("F"&amp;(17*ROW(9:9)+ROW('(default)'!$F$3)-19+IF(COLUMN(Q:Q)&gt;19,50000,COLUMN(Q:Q)-1)))</f>
        <v>512</v>
      </c>
      <c r="X52" s="2">
        <f ca="1">INDIRECT("F"&amp;(17*ROW(9:9)+ROW('(default)'!$F$3)-19+IF(COLUMN(R:R)&gt;19,50000,COLUMN(R:R)-1)))</f>
        <v>432</v>
      </c>
      <c r="Y52" s="2">
        <f ca="1">INDIRECT("F"&amp;(17*ROW(9:9)+ROW('(default)'!$F$3)-19+IF(COLUMN(S:S)&gt;19,50000,COLUMN(S:S)-1)))</f>
        <v>356</v>
      </c>
      <c r="AG52" s="1"/>
    </row>
    <row r="53" spans="2:33" x14ac:dyDescent="0.3">
      <c r="B53" s="5">
        <v>50</v>
      </c>
      <c r="C53" s="6">
        <v>290</v>
      </c>
      <c r="D53" s="6">
        <v>317</v>
      </c>
      <c r="E53" s="6">
        <v>323</v>
      </c>
      <c r="F53" s="6">
        <v>314</v>
      </c>
      <c r="I53" s="2">
        <f ca="1">INDIRECT("F"&amp;(17*ROW(10:10)+ROW('(default)'!$F$3)-19+IF(COLUMN(C:C)&gt;19,50000,COLUMN(C:C)-1)))</f>
        <v>333</v>
      </c>
      <c r="J53" s="2">
        <f ca="1">INDIRECT("F"&amp;(17*ROW(10:10)+ROW('(default)'!$F$3)-19+IF(COLUMN(D:D)&gt;19,50000,COLUMN(D:D)-1)))</f>
        <v>409</v>
      </c>
      <c r="K53" s="2">
        <f ca="1">INDIRECT("F"&amp;(17*ROW(10:10)+ROW('(default)'!$F$3)-19+IF(COLUMN(E:E)&gt;19,50000,COLUMN(E:E)-1)))</f>
        <v>477</v>
      </c>
      <c r="L53" s="2">
        <f ca="1">INDIRECT("F"&amp;(17*ROW(10:10)+ROW('(default)'!$F$3)-19+IF(COLUMN(F:F)&gt;19,50000,COLUMN(F:F)-1)))</f>
        <v>557</v>
      </c>
      <c r="M53" s="2">
        <f ca="1">INDIRECT("F"&amp;(17*ROW(10:10)+ROW('(default)'!$F$3)-19+IF(COLUMN(G:G)&gt;19,50000,COLUMN(G:G)-1)))</f>
        <v>648</v>
      </c>
      <c r="N53" s="2">
        <f ca="1">INDIRECT("F"&amp;(17*ROW(10:10)+ROW('(default)'!$F$3)-19+IF(COLUMN(H:H)&gt;19,50000,COLUMN(H:H)-1)))</f>
        <v>727</v>
      </c>
      <c r="O53" s="2">
        <f ca="1">INDIRECT("F"&amp;(17*ROW(10:10)+ROW('(default)'!$F$3)-19+IF(COLUMN(I:I)&gt;19,50000,COLUMN(I:I)-1)))</f>
        <v>796</v>
      </c>
      <c r="P53" s="2">
        <f ca="1">INDIRECT("F"&amp;(17*ROW(10:10)+ROW('(default)'!$F$3)-19+IF(COLUMN(J:J)&gt;19,50000,COLUMN(J:J)-1)))</f>
        <v>841</v>
      </c>
      <c r="Q53" s="2">
        <f ca="1">INDIRECT("F"&amp;(17*ROW(10:10)+ROW('(default)'!$F$3)-19+IF(COLUMN(K:K)&gt;19,50000,COLUMN(K:K)-1)))</f>
        <v>853</v>
      </c>
      <c r="R53" s="2">
        <f ca="1">INDIRECT("F"&amp;(17*ROW(10:10)+ROW('(default)'!$F$3)-19+IF(COLUMN(L:L)&gt;19,50000,COLUMN(L:L)-1)))</f>
        <v>841</v>
      </c>
      <c r="S53" s="2">
        <f ca="1">INDIRECT("F"&amp;(17*ROW(10:10)+ROW('(default)'!$F$3)-19+IF(COLUMN(M:M)&gt;19,50000,COLUMN(M:M)-1)))</f>
        <v>796</v>
      </c>
      <c r="T53" s="2">
        <f ca="1">INDIRECT("F"&amp;(17*ROW(10:10)+ROW('(default)'!$F$3)-19+IF(COLUMN(N:N)&gt;19,50000,COLUMN(N:N)-1)))</f>
        <v>727</v>
      </c>
      <c r="U53" s="2">
        <f ca="1">INDIRECT("F"&amp;(17*ROW(10:10)+ROW('(default)'!$F$3)-19+IF(COLUMN(O:O)&gt;19,50000,COLUMN(O:O)-1)))</f>
        <v>637</v>
      </c>
      <c r="V53" s="2">
        <f ca="1">INDIRECT("F"&amp;(17*ROW(10:10)+ROW('(default)'!$F$3)-19+IF(COLUMN(P:P)&gt;19,50000,COLUMN(P:P)-1)))</f>
        <v>557</v>
      </c>
      <c r="W53" s="2">
        <f ca="1">INDIRECT("F"&amp;(17*ROW(10:10)+ROW('(default)'!$F$3)-19+IF(COLUMN(Q:Q)&gt;19,50000,COLUMN(Q:Q)-1)))</f>
        <v>477</v>
      </c>
      <c r="X53" s="2">
        <f ca="1">INDIRECT("F"&amp;(17*ROW(10:10)+ROW('(default)'!$F$3)-19+IF(COLUMN(R:R)&gt;19,50000,COLUMN(R:R)-1)))</f>
        <v>409</v>
      </c>
      <c r="Y53" s="2">
        <f ca="1">INDIRECT("F"&amp;(17*ROW(10:10)+ROW('(default)'!$F$3)-19+IF(COLUMN(S:S)&gt;19,50000,COLUMN(S:S)-1)))</f>
        <v>333</v>
      </c>
      <c r="AG53" s="1"/>
    </row>
    <row r="54" spans="2:33" x14ac:dyDescent="0.3">
      <c r="B54" s="5">
        <v>51</v>
      </c>
      <c r="C54" s="6">
        <v>314</v>
      </c>
      <c r="D54" s="6">
        <v>343</v>
      </c>
      <c r="E54" s="6">
        <v>343</v>
      </c>
      <c r="F54" s="6">
        <v>349</v>
      </c>
      <c r="I54" s="2">
        <f ca="1">INDIRECT("F"&amp;(17*ROW(11:11)+ROW('(default)'!$F$3)-19+IF(COLUMN(C:C)&gt;19,50000,COLUMN(C:C)-1)))</f>
        <v>314</v>
      </c>
      <c r="J54" s="2">
        <f ca="1">INDIRECT("F"&amp;(17*ROW(11:11)+ROW('(default)'!$F$3)-19+IF(COLUMN(D:D)&gt;19,50000,COLUMN(D:D)-1)))</f>
        <v>375</v>
      </c>
      <c r="K54" s="2">
        <f ca="1">INDIRECT("F"&amp;(17*ROW(11:11)+ROW('(default)'!$F$3)-19+IF(COLUMN(E:E)&gt;19,50000,COLUMN(E:E)-1)))</f>
        <v>432</v>
      </c>
      <c r="L54" s="2">
        <f ca="1">INDIRECT("F"&amp;(17*ROW(11:11)+ROW('(default)'!$F$3)-19+IF(COLUMN(F:F)&gt;19,50000,COLUMN(F:F)-1)))</f>
        <v>500</v>
      </c>
      <c r="M54" s="2">
        <f ca="1">INDIRECT("F"&amp;(17*ROW(11:11)+ROW('(default)'!$F$3)-19+IF(COLUMN(G:G)&gt;19,50000,COLUMN(G:G)-1)))</f>
        <v>568</v>
      </c>
      <c r="N54" s="2">
        <f ca="1">INDIRECT("F"&amp;(17*ROW(11:11)+ROW('(default)'!$F$3)-19+IF(COLUMN(H:H)&gt;19,50000,COLUMN(H:H)-1)))</f>
        <v>637</v>
      </c>
      <c r="O54" s="2">
        <f ca="1">INDIRECT("F"&amp;(17*ROW(11:11)+ROW('(default)'!$F$3)-19+IF(COLUMN(I:I)&gt;19,50000,COLUMN(I:I)-1)))</f>
        <v>693</v>
      </c>
      <c r="P54" s="2">
        <f ca="1">INDIRECT("F"&amp;(17*ROW(11:11)+ROW('(default)'!$F$3)-19+IF(COLUMN(J:J)&gt;19,50000,COLUMN(J:J)-1)))</f>
        <v>739</v>
      </c>
      <c r="Q54" s="2">
        <f ca="1">INDIRECT("F"&amp;(17*ROW(11:11)+ROW('(default)'!$F$3)-19+IF(COLUMN(K:K)&gt;19,50000,COLUMN(K:K)-1)))</f>
        <v>750</v>
      </c>
      <c r="R54" s="2">
        <f ca="1">INDIRECT("F"&amp;(17*ROW(11:11)+ROW('(default)'!$F$3)-19+IF(COLUMN(L:L)&gt;19,50000,COLUMN(L:L)-1)))</f>
        <v>739</v>
      </c>
      <c r="S54" s="2">
        <f ca="1">INDIRECT("F"&amp;(17*ROW(11:11)+ROW('(default)'!$F$3)-19+IF(COLUMN(M:M)&gt;19,50000,COLUMN(M:M)-1)))</f>
        <v>693</v>
      </c>
      <c r="T54" s="2">
        <f ca="1">INDIRECT("F"&amp;(17*ROW(11:11)+ROW('(default)'!$F$3)-19+IF(COLUMN(N:N)&gt;19,50000,COLUMN(N:N)-1)))</f>
        <v>637</v>
      </c>
      <c r="U54" s="2">
        <f ca="1">INDIRECT("F"&amp;(17*ROW(11:11)+ROW('(default)'!$F$3)-19+IF(COLUMN(O:O)&gt;19,50000,COLUMN(O:O)-1)))</f>
        <v>568</v>
      </c>
      <c r="V54" s="2">
        <f ca="1">INDIRECT("F"&amp;(17*ROW(11:11)+ROW('(default)'!$F$3)-19+IF(COLUMN(P:P)&gt;19,50000,COLUMN(P:P)-1)))</f>
        <v>500</v>
      </c>
      <c r="W54" s="2">
        <f ca="1">INDIRECT("F"&amp;(17*ROW(11:11)+ROW('(default)'!$F$3)-19+IF(COLUMN(Q:Q)&gt;19,50000,COLUMN(Q:Q)-1)))</f>
        <v>432</v>
      </c>
      <c r="X54" s="2">
        <f ca="1">INDIRECT("F"&amp;(17*ROW(11:11)+ROW('(default)'!$F$3)-19+IF(COLUMN(R:R)&gt;19,50000,COLUMN(R:R)-1)))</f>
        <v>375</v>
      </c>
      <c r="Y54" s="2">
        <f ca="1">INDIRECT("F"&amp;(17*ROW(11:11)+ROW('(default)'!$F$3)-19+IF(COLUMN(S:S)&gt;19,50000,COLUMN(S:S)-1)))</f>
        <v>314</v>
      </c>
      <c r="AG54" s="1"/>
    </row>
    <row r="55" spans="2:33" x14ac:dyDescent="0.3">
      <c r="B55" s="5">
        <v>52</v>
      </c>
      <c r="C55" s="6">
        <v>376</v>
      </c>
      <c r="D55" s="6">
        <v>409</v>
      </c>
      <c r="E55" s="6">
        <v>409</v>
      </c>
      <c r="F55" s="6">
        <v>409</v>
      </c>
      <c r="I55" s="2">
        <f ca="1">INDIRECT("F"&amp;(17*ROW(12:12)+ROW('(default)'!$F$3)-19+IF(COLUMN(C:C)&gt;19,50000,COLUMN(C:C)-1)))</f>
        <v>296</v>
      </c>
      <c r="J55" s="2">
        <f ca="1">INDIRECT("F"&amp;(17*ROW(12:12)+ROW('(default)'!$F$3)-19+IF(COLUMN(D:D)&gt;19,50000,COLUMN(D:D)-1)))</f>
        <v>341</v>
      </c>
      <c r="K55" s="2">
        <f ca="1">INDIRECT("F"&amp;(17*ROW(12:12)+ROW('(default)'!$F$3)-19+IF(COLUMN(E:E)&gt;19,50000,COLUMN(E:E)-1)))</f>
        <v>386</v>
      </c>
      <c r="L55" s="2">
        <f ca="1">INDIRECT("F"&amp;(17*ROW(12:12)+ROW('(default)'!$F$3)-19+IF(COLUMN(F:F)&gt;19,50000,COLUMN(F:F)-1)))</f>
        <v>443</v>
      </c>
      <c r="M55" s="2">
        <f ca="1">INDIRECT("F"&amp;(17*ROW(12:12)+ROW('(default)'!$F$3)-19+IF(COLUMN(G:G)&gt;19,50000,COLUMN(G:G)-1)))</f>
        <v>500</v>
      </c>
      <c r="N55" s="2">
        <f ca="1">INDIRECT("F"&amp;(17*ROW(12:12)+ROW('(default)'!$F$3)-19+IF(COLUMN(H:H)&gt;19,50000,COLUMN(H:H)-1)))</f>
        <v>557</v>
      </c>
      <c r="O55" s="2">
        <f ca="1">INDIRECT("F"&amp;(17*ROW(12:12)+ROW('(default)'!$F$3)-19+IF(COLUMN(I:I)&gt;19,50000,COLUMN(I:I)-1)))</f>
        <v>602</v>
      </c>
      <c r="P55" s="2">
        <f ca="1">INDIRECT("F"&amp;(17*ROW(12:12)+ROW('(default)'!$F$3)-19+IF(COLUMN(J:J)&gt;19,50000,COLUMN(J:J)-1)))</f>
        <v>625</v>
      </c>
      <c r="Q55" s="2">
        <f ca="1">INDIRECT("F"&amp;(17*ROW(12:12)+ROW('(default)'!$F$3)-19+IF(COLUMN(K:K)&gt;19,50000,COLUMN(K:K)-1)))</f>
        <v>637</v>
      </c>
      <c r="R55" s="2">
        <f ca="1">INDIRECT("F"&amp;(17*ROW(12:12)+ROW('(default)'!$F$3)-19+IF(COLUMN(L:L)&gt;19,50000,COLUMN(L:L)-1)))</f>
        <v>625</v>
      </c>
      <c r="S55" s="2">
        <f ca="1">INDIRECT("F"&amp;(17*ROW(12:12)+ROW('(default)'!$F$3)-19+IF(COLUMN(M:M)&gt;19,50000,COLUMN(M:M)-1)))</f>
        <v>602</v>
      </c>
      <c r="T55" s="2">
        <f ca="1">INDIRECT("F"&amp;(17*ROW(12:12)+ROW('(default)'!$F$3)-19+IF(COLUMN(N:N)&gt;19,50000,COLUMN(N:N)-1)))</f>
        <v>557</v>
      </c>
      <c r="U55" s="2">
        <f ca="1">INDIRECT("F"&amp;(17*ROW(12:12)+ROW('(default)'!$F$3)-19+IF(COLUMN(O:O)&gt;19,50000,COLUMN(O:O)-1)))</f>
        <v>500</v>
      </c>
      <c r="V55" s="2">
        <f ca="1">INDIRECT("F"&amp;(17*ROW(12:12)+ROW('(default)'!$F$3)-19+IF(COLUMN(P:P)&gt;19,50000,COLUMN(P:P)-1)))</f>
        <v>443</v>
      </c>
      <c r="W55" s="2">
        <f ca="1">INDIRECT("F"&amp;(17*ROW(12:12)+ROW('(default)'!$F$3)-19+IF(COLUMN(Q:Q)&gt;19,50000,COLUMN(Q:Q)-1)))</f>
        <v>386</v>
      </c>
      <c r="X55" s="2">
        <f ca="1">INDIRECT("F"&amp;(17*ROW(12:12)+ROW('(default)'!$F$3)-19+IF(COLUMN(R:R)&gt;19,50000,COLUMN(R:R)-1)))</f>
        <v>341</v>
      </c>
      <c r="Y55" s="2">
        <f ca="1">INDIRECT("F"&amp;(17*ROW(12:12)+ROW('(default)'!$F$3)-19+IF(COLUMN(S:S)&gt;19,50000,COLUMN(S:S)-1)))</f>
        <v>296</v>
      </c>
      <c r="AG55" s="1"/>
    </row>
    <row r="56" spans="2:33" x14ac:dyDescent="0.3">
      <c r="B56" s="5">
        <v>53</v>
      </c>
      <c r="C56" s="6">
        <v>447</v>
      </c>
      <c r="D56" s="6">
        <v>481</v>
      </c>
      <c r="E56" s="6">
        <v>481</v>
      </c>
      <c r="F56" s="6">
        <v>489</v>
      </c>
      <c r="I56" s="13">
        <f ca="1">INDIRECT("F"&amp;(17*ROW(13:13)+ROW('(default)'!$F$3)-19+IF(COLUMN(C:C)&gt;19,50000,COLUMN(C:C)-1)))</f>
        <v>265</v>
      </c>
      <c r="J56" s="2">
        <f ca="1">INDIRECT("F"&amp;(17*ROW(13:13)+ROW('(default)'!$F$3)-19+IF(COLUMN(D:D)&gt;19,50000,COLUMN(D:D)-1)))</f>
        <v>296</v>
      </c>
      <c r="K56" s="2">
        <f ca="1">INDIRECT("F"&amp;(17*ROW(13:13)+ROW('(default)'!$F$3)-19+IF(COLUMN(E:E)&gt;19,50000,COLUMN(E:E)-1)))</f>
        <v>341</v>
      </c>
      <c r="L56" s="2">
        <f ca="1">INDIRECT("F"&amp;(17*ROW(13:13)+ROW('(default)'!$F$3)-19+IF(COLUMN(F:F)&gt;19,50000,COLUMN(F:F)-1)))</f>
        <v>398</v>
      </c>
      <c r="M56" s="2">
        <f ca="1">INDIRECT("F"&amp;(17*ROW(13:13)+ROW('(default)'!$F$3)-19+IF(COLUMN(G:G)&gt;19,50000,COLUMN(G:G)-1)))</f>
        <v>440</v>
      </c>
      <c r="N56" s="2">
        <f ca="1">INDIRECT("F"&amp;(17*ROW(13:13)+ROW('(default)'!$F$3)-19+IF(COLUMN(H:H)&gt;19,50000,COLUMN(H:H)-1)))</f>
        <v>466</v>
      </c>
      <c r="O56" s="2">
        <f ca="1">INDIRECT("F"&amp;(17*ROW(13:13)+ROW('(default)'!$F$3)-19+IF(COLUMN(I:I)&gt;19,50000,COLUMN(I:I)-1)))</f>
        <v>512</v>
      </c>
      <c r="P56" s="2">
        <f ca="1">INDIRECT("F"&amp;(17*ROW(13:13)+ROW('(default)'!$F$3)-19+IF(COLUMN(J:J)&gt;19,50000,COLUMN(J:J)-1)))</f>
        <v>534</v>
      </c>
      <c r="Q56" s="2">
        <f ca="1">INDIRECT("F"&amp;(17*ROW(13:13)+ROW('(default)'!$F$3)-19+IF(COLUMN(K:K)&gt;19,50000,COLUMN(K:K)-1)))</f>
        <v>530</v>
      </c>
      <c r="R56" s="2">
        <f ca="1">INDIRECT("F"&amp;(17*ROW(13:13)+ROW('(default)'!$F$3)-19+IF(COLUMN(L:L)&gt;19,50000,COLUMN(L:L)-1)))</f>
        <v>534</v>
      </c>
      <c r="S56" s="2">
        <f ca="1">INDIRECT("F"&amp;(17*ROW(13:13)+ROW('(default)'!$F$3)-19+IF(COLUMN(M:M)&gt;19,50000,COLUMN(M:M)-1)))</f>
        <v>496</v>
      </c>
      <c r="T56" s="2">
        <f ca="1">INDIRECT("F"&amp;(17*ROW(13:13)+ROW('(default)'!$F$3)-19+IF(COLUMN(N:N)&gt;19,50000,COLUMN(N:N)-1)))</f>
        <v>466</v>
      </c>
      <c r="U56" s="2">
        <f ca="1">INDIRECT("F"&amp;(17*ROW(13:13)+ROW('(default)'!$F$3)-19+IF(COLUMN(O:O)&gt;19,50000,COLUMN(O:O)-1)))</f>
        <v>424</v>
      </c>
      <c r="V56" s="2">
        <f ca="1">INDIRECT("F"&amp;(17*ROW(13:13)+ROW('(default)'!$F$3)-19+IF(COLUMN(P:P)&gt;19,50000,COLUMN(P:P)-1)))</f>
        <v>383</v>
      </c>
      <c r="W56" s="2">
        <f ca="1">INDIRECT("F"&amp;(17*ROW(13:13)+ROW('(default)'!$F$3)-19+IF(COLUMN(Q:Q)&gt;19,50000,COLUMN(Q:Q)-1)))</f>
        <v>341</v>
      </c>
      <c r="X56" s="2">
        <f ca="1">INDIRECT("F"&amp;(17*ROW(13:13)+ROW('(default)'!$F$3)-19+IF(COLUMN(R:R)&gt;19,50000,COLUMN(R:R)-1)))</f>
        <v>296</v>
      </c>
      <c r="Y56" s="13">
        <f ca="1">INDIRECT("F"&amp;(17*ROW(13:13)+ROW('(default)'!$F$3)-19+IF(COLUMN(S:S)&gt;19,50000,COLUMN(S:S)-1)))</f>
        <v>265</v>
      </c>
      <c r="AG56" s="1"/>
    </row>
    <row r="57" spans="2:33" x14ac:dyDescent="0.3">
      <c r="B57" s="5">
        <v>54</v>
      </c>
      <c r="C57" s="6">
        <v>529</v>
      </c>
      <c r="D57" s="6">
        <v>559</v>
      </c>
      <c r="E57" s="6">
        <v>564</v>
      </c>
      <c r="F57" s="6">
        <v>568</v>
      </c>
      <c r="AG57" s="1"/>
    </row>
    <row r="58" spans="2:33" x14ac:dyDescent="0.3">
      <c r="B58" s="5">
        <v>55</v>
      </c>
      <c r="C58" s="6">
        <v>611</v>
      </c>
      <c r="D58" s="6">
        <v>641</v>
      </c>
      <c r="E58" s="6">
        <v>647</v>
      </c>
      <c r="F58" s="6">
        <v>648</v>
      </c>
      <c r="AG58" s="1"/>
    </row>
    <row r="59" spans="2:33" x14ac:dyDescent="0.3">
      <c r="B59" s="5">
        <v>56</v>
      </c>
      <c r="C59" s="6">
        <v>694</v>
      </c>
      <c r="D59" s="6">
        <v>724</v>
      </c>
      <c r="E59" s="6">
        <v>735</v>
      </c>
      <c r="F59" s="6">
        <v>739</v>
      </c>
      <c r="AG59" s="1"/>
    </row>
    <row r="60" spans="2:33" x14ac:dyDescent="0.3">
      <c r="B60" s="5">
        <v>57</v>
      </c>
      <c r="C60" s="6">
        <v>764</v>
      </c>
      <c r="D60" s="6">
        <v>796</v>
      </c>
      <c r="E60" s="6">
        <v>802</v>
      </c>
      <c r="F60" s="6">
        <v>807</v>
      </c>
      <c r="AG60" s="1"/>
    </row>
    <row r="61" spans="2:33" x14ac:dyDescent="0.3">
      <c r="B61" s="5">
        <v>58</v>
      </c>
      <c r="C61" s="6">
        <v>811</v>
      </c>
      <c r="D61" s="6">
        <v>841</v>
      </c>
      <c r="E61" s="6">
        <v>852</v>
      </c>
      <c r="F61" s="6">
        <v>853</v>
      </c>
      <c r="AG61" s="1"/>
    </row>
    <row r="62" spans="2:33" x14ac:dyDescent="0.3">
      <c r="B62" s="5">
        <v>59</v>
      </c>
      <c r="C62" s="6">
        <v>835</v>
      </c>
      <c r="D62" s="6">
        <v>857</v>
      </c>
      <c r="E62" s="6">
        <v>868</v>
      </c>
      <c r="F62" s="6">
        <v>864</v>
      </c>
      <c r="AG62" s="1"/>
    </row>
    <row r="63" spans="2:33" x14ac:dyDescent="0.3">
      <c r="B63" s="5">
        <v>60</v>
      </c>
      <c r="C63" s="6">
        <v>811</v>
      </c>
      <c r="D63" s="6">
        <v>841</v>
      </c>
      <c r="E63" s="6">
        <v>852</v>
      </c>
      <c r="F63" s="6">
        <v>853</v>
      </c>
      <c r="AG63" s="1"/>
    </row>
    <row r="64" spans="2:33" x14ac:dyDescent="0.3">
      <c r="B64" s="5">
        <v>61</v>
      </c>
      <c r="C64" s="6">
        <v>764</v>
      </c>
      <c r="D64" s="6">
        <v>796</v>
      </c>
      <c r="E64" s="6">
        <v>802</v>
      </c>
      <c r="F64" s="6">
        <v>807</v>
      </c>
      <c r="AG64" s="1"/>
    </row>
    <row r="65" spans="2:33" x14ac:dyDescent="0.3">
      <c r="B65" s="5">
        <v>62</v>
      </c>
      <c r="C65" s="6">
        <v>694</v>
      </c>
      <c r="D65" s="6">
        <v>724</v>
      </c>
      <c r="E65" s="6">
        <v>730</v>
      </c>
      <c r="F65" s="6">
        <v>727</v>
      </c>
      <c r="AG65" s="1"/>
    </row>
    <row r="66" spans="2:33" x14ac:dyDescent="0.3">
      <c r="B66" s="5">
        <v>63</v>
      </c>
      <c r="C66" s="6">
        <v>611</v>
      </c>
      <c r="D66" s="6">
        <v>641</v>
      </c>
      <c r="E66" s="6">
        <v>647</v>
      </c>
      <c r="F66" s="6">
        <v>648</v>
      </c>
      <c r="AG66" s="1"/>
    </row>
    <row r="67" spans="2:33" x14ac:dyDescent="0.3">
      <c r="B67" s="5">
        <v>64</v>
      </c>
      <c r="C67" s="6">
        <v>529</v>
      </c>
      <c r="D67" s="6">
        <v>559</v>
      </c>
      <c r="E67" s="6">
        <v>564</v>
      </c>
      <c r="F67" s="6">
        <v>557</v>
      </c>
      <c r="AG67" s="1"/>
    </row>
    <row r="68" spans="2:33" x14ac:dyDescent="0.3">
      <c r="B68" s="5">
        <v>65</v>
      </c>
      <c r="C68" s="6">
        <v>447</v>
      </c>
      <c r="D68" s="6">
        <v>481</v>
      </c>
      <c r="E68" s="6">
        <v>481</v>
      </c>
      <c r="F68" s="6">
        <v>477</v>
      </c>
      <c r="AG68" s="1"/>
    </row>
    <row r="69" spans="2:33" x14ac:dyDescent="0.3">
      <c r="B69" s="5">
        <v>66</v>
      </c>
      <c r="C69" s="6">
        <v>376</v>
      </c>
      <c r="D69" s="6">
        <v>409</v>
      </c>
      <c r="E69" s="6">
        <v>409</v>
      </c>
      <c r="F69" s="6">
        <v>409</v>
      </c>
      <c r="AG69" s="1"/>
    </row>
    <row r="70" spans="2:33" x14ac:dyDescent="0.3">
      <c r="B70" s="5">
        <v>67</v>
      </c>
      <c r="C70" s="6">
        <v>314</v>
      </c>
      <c r="D70" s="6">
        <v>343</v>
      </c>
      <c r="E70" s="6">
        <v>350</v>
      </c>
      <c r="F70" s="6">
        <v>349</v>
      </c>
      <c r="AG70" s="1"/>
    </row>
    <row r="71" spans="2:33" x14ac:dyDescent="0.3">
      <c r="B71" s="5">
        <v>68</v>
      </c>
      <c r="C71" s="6">
        <v>333</v>
      </c>
      <c r="D71" s="6">
        <v>363</v>
      </c>
      <c r="E71" s="6">
        <v>363</v>
      </c>
      <c r="F71" s="6">
        <v>371</v>
      </c>
      <c r="AG71" s="1"/>
    </row>
    <row r="72" spans="2:33" x14ac:dyDescent="0.3">
      <c r="B72" s="5">
        <v>69</v>
      </c>
      <c r="C72" s="6">
        <v>412</v>
      </c>
      <c r="D72" s="6">
        <v>437</v>
      </c>
      <c r="E72" s="6">
        <v>437</v>
      </c>
      <c r="F72" s="6">
        <v>432</v>
      </c>
      <c r="AG72" s="1"/>
    </row>
    <row r="73" spans="2:33" x14ac:dyDescent="0.3">
      <c r="B73" s="5">
        <v>70</v>
      </c>
      <c r="C73" s="6">
        <v>482</v>
      </c>
      <c r="D73" s="6">
        <v>514</v>
      </c>
      <c r="E73" s="6">
        <v>520</v>
      </c>
      <c r="F73" s="6">
        <v>512</v>
      </c>
      <c r="AG73" s="1"/>
    </row>
    <row r="74" spans="2:33" x14ac:dyDescent="0.3">
      <c r="B74" s="5">
        <v>71</v>
      </c>
      <c r="C74" s="6">
        <v>576</v>
      </c>
      <c r="D74" s="6">
        <v>608</v>
      </c>
      <c r="E74" s="6">
        <v>608</v>
      </c>
      <c r="F74" s="6">
        <v>614</v>
      </c>
      <c r="AG74" s="1"/>
    </row>
    <row r="75" spans="2:33" x14ac:dyDescent="0.3">
      <c r="B75" s="5">
        <v>72</v>
      </c>
      <c r="C75" s="6">
        <v>670</v>
      </c>
      <c r="D75" s="6">
        <v>702</v>
      </c>
      <c r="E75" s="6">
        <v>708</v>
      </c>
      <c r="F75" s="6">
        <v>705</v>
      </c>
      <c r="AG75" s="1"/>
    </row>
    <row r="76" spans="2:33" x14ac:dyDescent="0.3">
      <c r="B76" s="5">
        <v>73</v>
      </c>
      <c r="C76" s="6">
        <v>764</v>
      </c>
      <c r="D76" s="6">
        <v>796</v>
      </c>
      <c r="E76" s="6">
        <v>802</v>
      </c>
      <c r="F76" s="6">
        <v>807</v>
      </c>
      <c r="AG76" s="1"/>
    </row>
    <row r="77" spans="2:33" x14ac:dyDescent="0.3">
      <c r="B77" s="5">
        <v>74</v>
      </c>
      <c r="C77" s="6">
        <v>847</v>
      </c>
      <c r="D77" s="6">
        <v>874</v>
      </c>
      <c r="E77" s="6">
        <v>879</v>
      </c>
      <c r="F77" s="6">
        <v>887</v>
      </c>
      <c r="AG77" s="1"/>
    </row>
    <row r="78" spans="2:33" x14ac:dyDescent="0.3">
      <c r="B78" s="5">
        <v>75</v>
      </c>
      <c r="C78" s="6">
        <v>905</v>
      </c>
      <c r="D78" s="6">
        <v>923</v>
      </c>
      <c r="E78" s="6">
        <v>935</v>
      </c>
      <c r="F78" s="6">
        <v>932</v>
      </c>
      <c r="AG78" s="1"/>
    </row>
    <row r="79" spans="2:33" x14ac:dyDescent="0.3">
      <c r="B79" s="5">
        <v>76</v>
      </c>
      <c r="C79" s="6">
        <v>929</v>
      </c>
      <c r="D79" s="6">
        <v>940</v>
      </c>
      <c r="E79" s="6">
        <v>951</v>
      </c>
      <c r="F79" s="6">
        <v>955</v>
      </c>
      <c r="AG79" s="1"/>
    </row>
    <row r="80" spans="2:33" x14ac:dyDescent="0.3">
      <c r="B80" s="5">
        <v>77</v>
      </c>
      <c r="C80" s="6">
        <v>905</v>
      </c>
      <c r="D80" s="6">
        <v>923</v>
      </c>
      <c r="E80" s="6">
        <v>935</v>
      </c>
      <c r="F80" s="6">
        <v>932</v>
      </c>
      <c r="AG80" s="1"/>
    </row>
    <row r="81" spans="2:33" x14ac:dyDescent="0.3">
      <c r="B81" s="5">
        <v>78</v>
      </c>
      <c r="C81" s="6">
        <v>847</v>
      </c>
      <c r="D81" s="6">
        <v>874</v>
      </c>
      <c r="E81" s="6">
        <v>879</v>
      </c>
      <c r="F81" s="6">
        <v>887</v>
      </c>
      <c r="AG81" s="1"/>
    </row>
    <row r="82" spans="2:33" x14ac:dyDescent="0.3">
      <c r="B82" s="5">
        <v>79</v>
      </c>
      <c r="C82" s="6">
        <v>764</v>
      </c>
      <c r="D82" s="6">
        <v>796</v>
      </c>
      <c r="E82" s="6">
        <v>802</v>
      </c>
      <c r="F82" s="6">
        <v>807</v>
      </c>
      <c r="AG82" s="1"/>
    </row>
    <row r="83" spans="2:33" x14ac:dyDescent="0.3">
      <c r="B83" s="5">
        <v>80</v>
      </c>
      <c r="C83" s="6">
        <v>670</v>
      </c>
      <c r="D83" s="6">
        <v>702</v>
      </c>
      <c r="E83" s="6">
        <v>702</v>
      </c>
      <c r="F83" s="6">
        <v>705</v>
      </c>
      <c r="AG83" s="1"/>
    </row>
    <row r="84" spans="2:33" x14ac:dyDescent="0.3">
      <c r="B84" s="5">
        <v>81</v>
      </c>
      <c r="C84" s="6">
        <v>576</v>
      </c>
      <c r="D84" s="6">
        <v>603</v>
      </c>
      <c r="E84" s="6">
        <v>608</v>
      </c>
      <c r="F84" s="6">
        <v>602</v>
      </c>
      <c r="AG84" s="1"/>
    </row>
    <row r="85" spans="2:33" x14ac:dyDescent="0.3">
      <c r="B85" s="5">
        <v>82</v>
      </c>
      <c r="C85" s="6">
        <v>482</v>
      </c>
      <c r="D85" s="6">
        <v>514</v>
      </c>
      <c r="E85" s="6">
        <v>514</v>
      </c>
      <c r="F85" s="6">
        <v>512</v>
      </c>
      <c r="AG85" s="1"/>
    </row>
    <row r="86" spans="2:33" x14ac:dyDescent="0.3">
      <c r="B86" s="5">
        <v>83</v>
      </c>
      <c r="C86" s="6">
        <v>400</v>
      </c>
      <c r="D86" s="6">
        <v>437</v>
      </c>
      <c r="E86" s="6">
        <v>437</v>
      </c>
      <c r="F86" s="6">
        <v>432</v>
      </c>
      <c r="AG86" s="1"/>
    </row>
    <row r="87" spans="2:33" x14ac:dyDescent="0.3">
      <c r="B87" s="5">
        <v>84</v>
      </c>
      <c r="C87" s="6">
        <v>337</v>
      </c>
      <c r="D87" s="6">
        <v>363</v>
      </c>
      <c r="E87" s="6">
        <v>363</v>
      </c>
      <c r="F87" s="6">
        <v>371</v>
      </c>
      <c r="AG87" s="1"/>
    </row>
    <row r="88" spans="2:33" x14ac:dyDescent="0.3">
      <c r="B88" s="5">
        <v>85</v>
      </c>
      <c r="C88" s="6">
        <v>345</v>
      </c>
      <c r="D88" s="6">
        <v>372</v>
      </c>
      <c r="E88" s="6">
        <v>380</v>
      </c>
      <c r="F88" s="6">
        <v>379</v>
      </c>
      <c r="AG88" s="1"/>
    </row>
    <row r="89" spans="2:33" x14ac:dyDescent="0.3">
      <c r="B89" s="5">
        <v>86</v>
      </c>
      <c r="C89" s="6">
        <v>423</v>
      </c>
      <c r="D89" s="6">
        <v>453</v>
      </c>
      <c r="E89" s="6">
        <v>453</v>
      </c>
      <c r="F89" s="6">
        <v>455</v>
      </c>
      <c r="AG89" s="1"/>
    </row>
    <row r="90" spans="2:33" x14ac:dyDescent="0.3">
      <c r="B90" s="5">
        <v>87</v>
      </c>
      <c r="C90" s="6">
        <v>506</v>
      </c>
      <c r="D90" s="6">
        <v>536</v>
      </c>
      <c r="E90" s="6">
        <v>536</v>
      </c>
      <c r="F90" s="6">
        <v>534</v>
      </c>
      <c r="AG90" s="1"/>
    </row>
    <row r="91" spans="2:33" x14ac:dyDescent="0.3">
      <c r="B91" s="5">
        <v>88</v>
      </c>
      <c r="C91" s="6">
        <v>600</v>
      </c>
      <c r="D91" s="6">
        <v>636</v>
      </c>
      <c r="E91" s="6">
        <v>636</v>
      </c>
      <c r="F91" s="6">
        <v>637</v>
      </c>
      <c r="AG91" s="1"/>
    </row>
    <row r="92" spans="2:33" x14ac:dyDescent="0.3">
      <c r="B92" s="5">
        <v>89</v>
      </c>
      <c r="C92" s="6">
        <v>706</v>
      </c>
      <c r="D92" s="6">
        <v>747</v>
      </c>
      <c r="E92" s="6">
        <v>747</v>
      </c>
      <c r="F92" s="6">
        <v>750</v>
      </c>
      <c r="AG92" s="1"/>
    </row>
    <row r="93" spans="2:33" x14ac:dyDescent="0.3">
      <c r="B93" s="5">
        <v>90</v>
      </c>
      <c r="C93" s="6">
        <v>811</v>
      </c>
      <c r="D93" s="6">
        <v>846</v>
      </c>
      <c r="E93" s="6">
        <v>846</v>
      </c>
      <c r="F93" s="6">
        <v>853</v>
      </c>
      <c r="AG93" s="1"/>
    </row>
    <row r="94" spans="2:33" x14ac:dyDescent="0.3">
      <c r="B94" s="5">
        <v>91</v>
      </c>
      <c r="C94" s="6">
        <v>905</v>
      </c>
      <c r="D94" s="6">
        <v>929</v>
      </c>
      <c r="E94" s="6">
        <v>929</v>
      </c>
      <c r="F94" s="6">
        <v>932</v>
      </c>
      <c r="AG94" s="1"/>
    </row>
    <row r="95" spans="2:33" x14ac:dyDescent="0.3">
      <c r="B95" s="5">
        <v>92</v>
      </c>
      <c r="C95" s="6">
        <v>964</v>
      </c>
      <c r="D95" s="6">
        <v>979</v>
      </c>
      <c r="E95" s="6">
        <v>984</v>
      </c>
      <c r="F95" s="6">
        <v>989</v>
      </c>
      <c r="AG95" s="1"/>
    </row>
    <row r="96" spans="2:33" x14ac:dyDescent="0.3">
      <c r="B96" s="5">
        <v>93</v>
      </c>
      <c r="C96" s="6">
        <v>988</v>
      </c>
      <c r="D96" s="6">
        <v>995</v>
      </c>
      <c r="E96" s="6">
        <v>1001</v>
      </c>
      <c r="F96" s="6">
        <v>1000</v>
      </c>
      <c r="AG96" s="1"/>
    </row>
    <row r="97" spans="2:33" x14ac:dyDescent="0.3">
      <c r="B97" s="5">
        <v>94</v>
      </c>
      <c r="C97" s="6">
        <v>976</v>
      </c>
      <c r="D97" s="6">
        <v>979</v>
      </c>
      <c r="E97" s="6">
        <v>984</v>
      </c>
      <c r="F97" s="6">
        <v>989</v>
      </c>
      <c r="AG97" s="1"/>
    </row>
    <row r="98" spans="2:33" x14ac:dyDescent="0.3">
      <c r="B98" s="5">
        <v>95</v>
      </c>
      <c r="C98" s="6">
        <v>905</v>
      </c>
      <c r="D98" s="6">
        <v>929</v>
      </c>
      <c r="E98" s="6">
        <v>929</v>
      </c>
      <c r="F98" s="6">
        <v>932</v>
      </c>
      <c r="AG98" s="1"/>
    </row>
    <row r="99" spans="2:33" x14ac:dyDescent="0.3">
      <c r="B99" s="5">
        <v>96</v>
      </c>
      <c r="C99" s="6">
        <v>811</v>
      </c>
      <c r="D99" s="6">
        <v>846</v>
      </c>
      <c r="E99" s="6">
        <v>846</v>
      </c>
      <c r="F99" s="6">
        <v>841</v>
      </c>
      <c r="AG99" s="1"/>
    </row>
    <row r="100" spans="2:33" x14ac:dyDescent="0.3">
      <c r="B100" s="5">
        <v>97</v>
      </c>
      <c r="C100" s="6">
        <v>706</v>
      </c>
      <c r="D100" s="6">
        <v>741</v>
      </c>
      <c r="E100" s="6">
        <v>741</v>
      </c>
      <c r="F100" s="6">
        <v>739</v>
      </c>
      <c r="AG100" s="1"/>
    </row>
    <row r="101" spans="2:33" x14ac:dyDescent="0.3">
      <c r="B101" s="5">
        <v>98</v>
      </c>
      <c r="C101" s="6">
        <v>600</v>
      </c>
      <c r="D101" s="6">
        <v>636</v>
      </c>
      <c r="E101" s="6">
        <v>636</v>
      </c>
      <c r="F101" s="6">
        <v>637</v>
      </c>
      <c r="AG101" s="1"/>
    </row>
    <row r="102" spans="2:33" x14ac:dyDescent="0.3">
      <c r="B102" s="5">
        <v>99</v>
      </c>
      <c r="C102" s="6">
        <v>506</v>
      </c>
      <c r="D102" s="6">
        <v>536</v>
      </c>
      <c r="E102" s="6">
        <v>536</v>
      </c>
      <c r="F102" s="6">
        <v>534</v>
      </c>
      <c r="AG102" s="1"/>
    </row>
    <row r="103" spans="2:33" x14ac:dyDescent="0.3">
      <c r="B103" s="5">
        <v>100</v>
      </c>
      <c r="C103" s="6">
        <v>423</v>
      </c>
      <c r="D103" s="6">
        <v>453</v>
      </c>
      <c r="E103" s="6">
        <v>453</v>
      </c>
      <c r="F103" s="6">
        <v>443</v>
      </c>
      <c r="AG103" s="1"/>
    </row>
    <row r="104" spans="2:33" x14ac:dyDescent="0.3">
      <c r="B104" s="5">
        <v>101</v>
      </c>
      <c r="C104" s="6">
        <v>345</v>
      </c>
      <c r="D104" s="6">
        <v>380</v>
      </c>
      <c r="E104" s="6">
        <v>380</v>
      </c>
      <c r="F104" s="6">
        <v>383</v>
      </c>
      <c r="AG104" s="1"/>
    </row>
    <row r="105" spans="2:33" x14ac:dyDescent="0.3">
      <c r="B105" s="5">
        <v>102</v>
      </c>
      <c r="C105" s="6">
        <v>357</v>
      </c>
      <c r="D105" s="6">
        <v>378</v>
      </c>
      <c r="E105" s="6">
        <v>378</v>
      </c>
      <c r="F105" s="6">
        <v>379</v>
      </c>
      <c r="AG105" s="1"/>
    </row>
    <row r="106" spans="2:33" x14ac:dyDescent="0.3">
      <c r="B106" s="5">
        <v>103</v>
      </c>
      <c r="C106" s="6">
        <v>435</v>
      </c>
      <c r="D106" s="6">
        <v>459</v>
      </c>
      <c r="E106" s="6">
        <v>459</v>
      </c>
      <c r="F106" s="6">
        <v>455</v>
      </c>
      <c r="AG106" s="1"/>
    </row>
    <row r="107" spans="2:33" x14ac:dyDescent="0.3">
      <c r="B107" s="5">
        <v>104</v>
      </c>
      <c r="C107" s="6">
        <v>517</v>
      </c>
      <c r="D107" s="6">
        <v>547</v>
      </c>
      <c r="E107" s="6">
        <v>547</v>
      </c>
      <c r="F107" s="6">
        <v>546</v>
      </c>
      <c r="AG107" s="1"/>
    </row>
    <row r="108" spans="2:33" x14ac:dyDescent="0.3">
      <c r="B108" s="5">
        <v>105</v>
      </c>
      <c r="C108" s="6">
        <v>611</v>
      </c>
      <c r="D108" s="6">
        <v>653</v>
      </c>
      <c r="E108" s="6">
        <v>647</v>
      </c>
      <c r="F108" s="6">
        <v>648</v>
      </c>
      <c r="AG108" s="1"/>
    </row>
    <row r="109" spans="2:33" x14ac:dyDescent="0.3">
      <c r="B109" s="5">
        <v>106</v>
      </c>
      <c r="C109" s="6">
        <v>729</v>
      </c>
      <c r="D109" s="6">
        <v>758</v>
      </c>
      <c r="E109" s="6">
        <v>758</v>
      </c>
      <c r="F109" s="6">
        <v>762</v>
      </c>
      <c r="AG109" s="1"/>
    </row>
    <row r="110" spans="2:33" x14ac:dyDescent="0.3">
      <c r="B110" s="5">
        <v>107</v>
      </c>
      <c r="C110" s="6">
        <v>835</v>
      </c>
      <c r="D110" s="6">
        <v>863</v>
      </c>
      <c r="E110" s="6">
        <v>863</v>
      </c>
      <c r="F110" s="6">
        <v>864</v>
      </c>
      <c r="AG110" s="1"/>
    </row>
    <row r="111" spans="2:33" x14ac:dyDescent="0.3">
      <c r="B111" s="5">
        <v>108</v>
      </c>
      <c r="C111" s="6">
        <v>929</v>
      </c>
      <c r="D111" s="6">
        <v>951</v>
      </c>
      <c r="E111" s="6">
        <v>946</v>
      </c>
      <c r="F111" s="6">
        <v>943</v>
      </c>
      <c r="AG111" s="1"/>
    </row>
    <row r="112" spans="2:33" x14ac:dyDescent="0.3">
      <c r="B112" s="5">
        <v>109</v>
      </c>
      <c r="C112" s="6">
        <v>999</v>
      </c>
      <c r="D112" s="6">
        <v>1001</v>
      </c>
      <c r="E112" s="6">
        <v>1001</v>
      </c>
      <c r="F112" s="6">
        <v>1000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999</v>
      </c>
      <c r="D114" s="6">
        <v>1001</v>
      </c>
      <c r="E114" s="6">
        <v>1001</v>
      </c>
      <c r="F114" s="6">
        <v>1000</v>
      </c>
      <c r="AG114" s="1"/>
    </row>
    <row r="115" spans="2:33" x14ac:dyDescent="0.3">
      <c r="B115" s="5">
        <v>112</v>
      </c>
      <c r="C115" s="6">
        <v>941</v>
      </c>
      <c r="D115" s="6">
        <v>951</v>
      </c>
      <c r="E115" s="6">
        <v>946</v>
      </c>
      <c r="F115" s="6">
        <v>943</v>
      </c>
      <c r="AG115" s="1"/>
    </row>
    <row r="116" spans="2:33" x14ac:dyDescent="0.3">
      <c r="B116" s="5">
        <v>113</v>
      </c>
      <c r="C116" s="6">
        <v>835</v>
      </c>
      <c r="D116" s="6">
        <v>863</v>
      </c>
      <c r="E116" s="6">
        <v>857</v>
      </c>
      <c r="F116" s="6">
        <v>864</v>
      </c>
      <c r="AG116" s="1"/>
    </row>
    <row r="117" spans="2:33" x14ac:dyDescent="0.3">
      <c r="B117" s="5">
        <v>114</v>
      </c>
      <c r="C117" s="6">
        <v>729</v>
      </c>
      <c r="D117" s="6">
        <v>758</v>
      </c>
      <c r="E117" s="6">
        <v>752</v>
      </c>
      <c r="F117" s="6">
        <v>750</v>
      </c>
      <c r="AG117" s="1"/>
    </row>
    <row r="118" spans="2:33" x14ac:dyDescent="0.3">
      <c r="B118" s="5">
        <v>115</v>
      </c>
      <c r="C118" s="6">
        <v>611</v>
      </c>
      <c r="D118" s="6">
        <v>647</v>
      </c>
      <c r="E118" s="6">
        <v>647</v>
      </c>
      <c r="F118" s="6">
        <v>648</v>
      </c>
      <c r="AG118" s="1"/>
    </row>
    <row r="119" spans="2:33" x14ac:dyDescent="0.3">
      <c r="B119" s="5">
        <v>116</v>
      </c>
      <c r="C119" s="6">
        <v>517</v>
      </c>
      <c r="D119" s="6">
        <v>547</v>
      </c>
      <c r="E119" s="6">
        <v>542</v>
      </c>
      <c r="F119" s="6">
        <v>546</v>
      </c>
      <c r="AG119" s="1"/>
    </row>
    <row r="120" spans="2:33" x14ac:dyDescent="0.3">
      <c r="B120" s="5">
        <v>117</v>
      </c>
      <c r="C120" s="6">
        <v>423</v>
      </c>
      <c r="D120" s="6">
        <v>459</v>
      </c>
      <c r="E120" s="6">
        <v>459</v>
      </c>
      <c r="F120" s="6">
        <v>455</v>
      </c>
      <c r="AG120" s="1"/>
    </row>
    <row r="121" spans="2:33" x14ac:dyDescent="0.3">
      <c r="B121" s="5">
        <v>118</v>
      </c>
      <c r="C121" s="6">
        <v>361</v>
      </c>
      <c r="D121" s="6">
        <v>378</v>
      </c>
      <c r="E121" s="6">
        <v>378</v>
      </c>
      <c r="F121" s="6">
        <v>379</v>
      </c>
      <c r="AG121" s="1"/>
    </row>
    <row r="122" spans="2:33" x14ac:dyDescent="0.3">
      <c r="B122" s="5">
        <v>119</v>
      </c>
      <c r="C122" s="6">
        <v>345</v>
      </c>
      <c r="D122" s="6">
        <v>372</v>
      </c>
      <c r="E122" s="6">
        <v>372</v>
      </c>
      <c r="F122" s="6">
        <v>383</v>
      </c>
      <c r="AG122" s="1"/>
    </row>
    <row r="123" spans="2:33" x14ac:dyDescent="0.3">
      <c r="B123" s="5">
        <v>120</v>
      </c>
      <c r="C123" s="6">
        <v>423</v>
      </c>
      <c r="D123" s="6">
        <v>453</v>
      </c>
      <c r="E123" s="6">
        <v>453</v>
      </c>
      <c r="F123" s="6">
        <v>443</v>
      </c>
      <c r="AG123" s="1"/>
    </row>
    <row r="124" spans="2:33" x14ac:dyDescent="0.3">
      <c r="B124" s="5">
        <v>121</v>
      </c>
      <c r="C124" s="6">
        <v>506</v>
      </c>
      <c r="D124" s="6">
        <v>542</v>
      </c>
      <c r="E124" s="6">
        <v>536</v>
      </c>
      <c r="F124" s="6">
        <v>534</v>
      </c>
      <c r="AG124" s="1"/>
    </row>
    <row r="125" spans="2:33" x14ac:dyDescent="0.3">
      <c r="B125" s="5">
        <v>122</v>
      </c>
      <c r="C125" s="6">
        <v>611</v>
      </c>
      <c r="D125" s="6">
        <v>641</v>
      </c>
      <c r="E125" s="6">
        <v>636</v>
      </c>
      <c r="F125" s="6">
        <v>637</v>
      </c>
      <c r="AG125" s="1"/>
    </row>
    <row r="126" spans="2:33" x14ac:dyDescent="0.3">
      <c r="B126" s="5">
        <v>123</v>
      </c>
      <c r="C126" s="6">
        <v>717</v>
      </c>
      <c r="D126" s="6">
        <v>747</v>
      </c>
      <c r="E126" s="6">
        <v>741</v>
      </c>
      <c r="F126" s="6">
        <v>739</v>
      </c>
      <c r="AG126" s="1"/>
    </row>
    <row r="127" spans="2:33" x14ac:dyDescent="0.3">
      <c r="B127" s="5">
        <v>124</v>
      </c>
      <c r="C127" s="6">
        <v>823</v>
      </c>
      <c r="D127" s="6">
        <v>852</v>
      </c>
      <c r="E127" s="6">
        <v>846</v>
      </c>
      <c r="F127" s="6">
        <v>841</v>
      </c>
      <c r="AG127" s="1"/>
    </row>
    <row r="128" spans="2:33" x14ac:dyDescent="0.3">
      <c r="B128" s="5">
        <v>125</v>
      </c>
      <c r="C128" s="6">
        <v>917</v>
      </c>
      <c r="D128" s="6">
        <v>935</v>
      </c>
      <c r="E128" s="6">
        <v>929</v>
      </c>
      <c r="F128" s="6">
        <v>932</v>
      </c>
      <c r="AG128" s="1"/>
    </row>
    <row r="129" spans="2:33" x14ac:dyDescent="0.3">
      <c r="B129" s="5">
        <v>126</v>
      </c>
      <c r="C129" s="6">
        <v>976</v>
      </c>
      <c r="D129" s="6">
        <v>984</v>
      </c>
      <c r="E129" s="6">
        <v>984</v>
      </c>
      <c r="F129" s="6">
        <v>978</v>
      </c>
      <c r="AG129" s="1"/>
    </row>
    <row r="130" spans="2:33" x14ac:dyDescent="0.3">
      <c r="B130" s="5">
        <v>127</v>
      </c>
      <c r="C130" s="6">
        <v>999</v>
      </c>
      <c r="D130" s="6">
        <v>1001</v>
      </c>
      <c r="E130" s="6">
        <v>1001</v>
      </c>
      <c r="F130" s="6">
        <v>1000</v>
      </c>
      <c r="AG130" s="1"/>
    </row>
    <row r="131" spans="2:33" x14ac:dyDescent="0.3">
      <c r="B131" s="5">
        <v>128</v>
      </c>
      <c r="C131" s="6">
        <v>976</v>
      </c>
      <c r="D131" s="6">
        <v>984</v>
      </c>
      <c r="E131" s="6">
        <v>984</v>
      </c>
      <c r="F131" s="6">
        <v>978</v>
      </c>
      <c r="AG131" s="1"/>
    </row>
    <row r="132" spans="2:33" x14ac:dyDescent="0.3">
      <c r="B132" s="5">
        <v>129</v>
      </c>
      <c r="C132" s="6">
        <v>917</v>
      </c>
      <c r="D132" s="6">
        <v>929</v>
      </c>
      <c r="E132" s="6">
        <v>923</v>
      </c>
      <c r="F132" s="6">
        <v>932</v>
      </c>
      <c r="AG132" s="1"/>
    </row>
    <row r="133" spans="2:33" x14ac:dyDescent="0.3">
      <c r="B133" s="5">
        <v>130</v>
      </c>
      <c r="C133" s="6">
        <v>823</v>
      </c>
      <c r="D133" s="6">
        <v>846</v>
      </c>
      <c r="E133" s="6">
        <v>841</v>
      </c>
      <c r="F133" s="6">
        <v>841</v>
      </c>
      <c r="AG133" s="1"/>
    </row>
    <row r="134" spans="2:33" x14ac:dyDescent="0.3">
      <c r="B134" s="5">
        <v>131</v>
      </c>
      <c r="C134" s="6">
        <v>717</v>
      </c>
      <c r="D134" s="6">
        <v>741</v>
      </c>
      <c r="E134" s="6">
        <v>741</v>
      </c>
      <c r="F134" s="6">
        <v>739</v>
      </c>
      <c r="AG134" s="1"/>
    </row>
    <row r="135" spans="2:33" x14ac:dyDescent="0.3">
      <c r="B135" s="5">
        <v>132</v>
      </c>
      <c r="C135" s="6">
        <v>600</v>
      </c>
      <c r="D135" s="6">
        <v>636</v>
      </c>
      <c r="E135" s="6">
        <v>630</v>
      </c>
      <c r="F135" s="6">
        <v>637</v>
      </c>
      <c r="AG135" s="1"/>
    </row>
    <row r="136" spans="2:33" x14ac:dyDescent="0.3">
      <c r="B136" s="5">
        <v>133</v>
      </c>
      <c r="C136" s="6">
        <v>506</v>
      </c>
      <c r="D136" s="6">
        <v>536</v>
      </c>
      <c r="E136" s="6">
        <v>536</v>
      </c>
      <c r="F136" s="6">
        <v>534</v>
      </c>
      <c r="AG136" s="1"/>
    </row>
    <row r="137" spans="2:33" x14ac:dyDescent="0.3">
      <c r="B137" s="5">
        <v>134</v>
      </c>
      <c r="C137" s="6">
        <v>423</v>
      </c>
      <c r="D137" s="6">
        <v>453</v>
      </c>
      <c r="E137" s="6">
        <v>448</v>
      </c>
      <c r="F137" s="6">
        <v>443</v>
      </c>
      <c r="AG137" s="1"/>
    </row>
    <row r="138" spans="2:33" x14ac:dyDescent="0.3">
      <c r="B138" s="5">
        <v>135</v>
      </c>
      <c r="C138" s="6">
        <v>345</v>
      </c>
      <c r="D138" s="6">
        <v>380</v>
      </c>
      <c r="E138" s="6">
        <v>374</v>
      </c>
      <c r="F138" s="6">
        <v>383</v>
      </c>
      <c r="AG138" s="1"/>
    </row>
    <row r="139" spans="2:33" x14ac:dyDescent="0.3">
      <c r="B139" s="5">
        <v>136</v>
      </c>
      <c r="C139" s="6">
        <v>333</v>
      </c>
      <c r="D139" s="6">
        <v>363</v>
      </c>
      <c r="E139" s="6">
        <v>363</v>
      </c>
      <c r="F139" s="6">
        <v>356</v>
      </c>
      <c r="AG139" s="1"/>
    </row>
    <row r="140" spans="2:33" x14ac:dyDescent="0.3">
      <c r="B140" s="5">
        <v>137</v>
      </c>
      <c r="C140" s="6">
        <v>412</v>
      </c>
      <c r="D140" s="6">
        <v>437</v>
      </c>
      <c r="E140" s="6">
        <v>437</v>
      </c>
      <c r="F140" s="6">
        <v>432</v>
      </c>
      <c r="AG140" s="1"/>
    </row>
    <row r="141" spans="2:33" x14ac:dyDescent="0.3">
      <c r="B141" s="5">
        <v>138</v>
      </c>
      <c r="C141" s="6">
        <v>482</v>
      </c>
      <c r="D141" s="6">
        <v>514</v>
      </c>
      <c r="E141" s="6">
        <v>514</v>
      </c>
      <c r="F141" s="6">
        <v>512</v>
      </c>
      <c r="AG141" s="1"/>
    </row>
    <row r="142" spans="2:33" x14ac:dyDescent="0.3">
      <c r="B142" s="5">
        <v>139</v>
      </c>
      <c r="C142" s="6">
        <v>576</v>
      </c>
      <c r="D142" s="6">
        <v>608</v>
      </c>
      <c r="E142" s="6">
        <v>603</v>
      </c>
      <c r="F142" s="6">
        <v>602</v>
      </c>
      <c r="AG142" s="1"/>
    </row>
    <row r="143" spans="2:33" x14ac:dyDescent="0.3">
      <c r="B143" s="5">
        <v>140</v>
      </c>
      <c r="C143" s="6">
        <v>670</v>
      </c>
      <c r="D143" s="6">
        <v>708</v>
      </c>
      <c r="E143" s="6">
        <v>702</v>
      </c>
      <c r="F143" s="6">
        <v>705</v>
      </c>
      <c r="AG143" s="1"/>
    </row>
    <row r="144" spans="2:33" x14ac:dyDescent="0.3">
      <c r="B144" s="5">
        <v>141</v>
      </c>
      <c r="C144" s="6">
        <v>776</v>
      </c>
      <c r="D144" s="6">
        <v>802</v>
      </c>
      <c r="E144" s="6">
        <v>796</v>
      </c>
      <c r="F144" s="6">
        <v>796</v>
      </c>
      <c r="AG144" s="1"/>
    </row>
    <row r="145" spans="2:33" x14ac:dyDescent="0.3">
      <c r="B145" s="5">
        <v>142</v>
      </c>
      <c r="C145" s="6">
        <v>858</v>
      </c>
      <c r="D145" s="6">
        <v>879</v>
      </c>
      <c r="E145" s="6">
        <v>874</v>
      </c>
      <c r="F145" s="6">
        <v>875</v>
      </c>
      <c r="AG145" s="1"/>
    </row>
    <row r="146" spans="2:33" x14ac:dyDescent="0.3">
      <c r="B146" s="5">
        <v>143</v>
      </c>
      <c r="C146" s="6">
        <v>917</v>
      </c>
      <c r="D146" s="6">
        <v>929</v>
      </c>
      <c r="E146" s="6">
        <v>923</v>
      </c>
      <c r="F146" s="6">
        <v>932</v>
      </c>
      <c r="AG146" s="1"/>
    </row>
    <row r="147" spans="2:33" x14ac:dyDescent="0.3">
      <c r="B147" s="5">
        <v>144</v>
      </c>
      <c r="C147" s="6">
        <v>941</v>
      </c>
      <c r="D147" s="6">
        <v>951</v>
      </c>
      <c r="E147" s="6">
        <v>946</v>
      </c>
      <c r="F147" s="6">
        <v>943</v>
      </c>
      <c r="AG147" s="1"/>
    </row>
    <row r="148" spans="2:33" x14ac:dyDescent="0.3">
      <c r="B148" s="5">
        <v>145</v>
      </c>
      <c r="C148" s="6">
        <v>917</v>
      </c>
      <c r="D148" s="6">
        <v>929</v>
      </c>
      <c r="E148" s="6">
        <v>923</v>
      </c>
      <c r="F148" s="6">
        <v>921</v>
      </c>
      <c r="AG148" s="1"/>
    </row>
    <row r="149" spans="2:33" x14ac:dyDescent="0.3">
      <c r="B149" s="5">
        <v>146</v>
      </c>
      <c r="C149" s="6">
        <v>858</v>
      </c>
      <c r="D149" s="6">
        <v>879</v>
      </c>
      <c r="E149" s="6">
        <v>874</v>
      </c>
      <c r="F149" s="6">
        <v>875</v>
      </c>
      <c r="AG149" s="1"/>
    </row>
    <row r="150" spans="2:33" x14ac:dyDescent="0.3">
      <c r="B150" s="5">
        <v>147</v>
      </c>
      <c r="C150" s="6">
        <v>776</v>
      </c>
      <c r="D150" s="6">
        <v>796</v>
      </c>
      <c r="E150" s="6">
        <v>791</v>
      </c>
      <c r="F150" s="6">
        <v>796</v>
      </c>
      <c r="AG150" s="1"/>
    </row>
    <row r="151" spans="2:33" x14ac:dyDescent="0.3">
      <c r="B151" s="5">
        <v>148</v>
      </c>
      <c r="C151" s="6">
        <v>670</v>
      </c>
      <c r="D151" s="6">
        <v>702</v>
      </c>
      <c r="E151" s="6">
        <v>697</v>
      </c>
      <c r="F151" s="6">
        <v>705</v>
      </c>
      <c r="AG151" s="1"/>
    </row>
    <row r="152" spans="2:33" x14ac:dyDescent="0.3">
      <c r="B152" s="5">
        <v>149</v>
      </c>
      <c r="C152" s="6">
        <v>576</v>
      </c>
      <c r="D152" s="6">
        <v>608</v>
      </c>
      <c r="E152" s="6">
        <v>603</v>
      </c>
      <c r="F152" s="6">
        <v>602</v>
      </c>
      <c r="AG152" s="1"/>
    </row>
    <row r="153" spans="2:33" x14ac:dyDescent="0.3">
      <c r="B153" s="5">
        <v>150</v>
      </c>
      <c r="C153" s="6">
        <v>482</v>
      </c>
      <c r="D153" s="6">
        <v>514</v>
      </c>
      <c r="E153" s="6">
        <v>509</v>
      </c>
      <c r="F153" s="6">
        <v>512</v>
      </c>
      <c r="AG153" s="1"/>
    </row>
    <row r="154" spans="2:33" x14ac:dyDescent="0.3">
      <c r="B154" s="5">
        <v>151</v>
      </c>
      <c r="C154" s="6">
        <v>412</v>
      </c>
      <c r="D154" s="6">
        <v>437</v>
      </c>
      <c r="E154" s="6">
        <v>431</v>
      </c>
      <c r="F154" s="6">
        <v>432</v>
      </c>
      <c r="AG154" s="1"/>
    </row>
    <row r="155" spans="2:33" x14ac:dyDescent="0.3">
      <c r="B155" s="5">
        <v>152</v>
      </c>
      <c r="C155" s="6">
        <v>333</v>
      </c>
      <c r="D155" s="6">
        <v>363</v>
      </c>
      <c r="E155" s="6">
        <v>365</v>
      </c>
      <c r="F155" s="6">
        <v>356</v>
      </c>
      <c r="AG155" s="1"/>
    </row>
    <row r="156" spans="2:33" x14ac:dyDescent="0.3">
      <c r="B156" s="5">
        <v>153</v>
      </c>
      <c r="C156" s="6">
        <v>325</v>
      </c>
      <c r="D156" s="6">
        <v>343</v>
      </c>
      <c r="E156" s="6">
        <v>335</v>
      </c>
      <c r="F156" s="6">
        <v>333</v>
      </c>
      <c r="AG156" s="1"/>
    </row>
    <row r="157" spans="2:33" x14ac:dyDescent="0.3">
      <c r="B157" s="5">
        <v>154</v>
      </c>
      <c r="C157" s="6">
        <v>388</v>
      </c>
      <c r="D157" s="6">
        <v>409</v>
      </c>
      <c r="E157" s="6">
        <v>409</v>
      </c>
      <c r="F157" s="6">
        <v>409</v>
      </c>
      <c r="AG157" s="1"/>
    </row>
    <row r="158" spans="2:33" x14ac:dyDescent="0.3">
      <c r="B158" s="5">
        <v>155</v>
      </c>
      <c r="C158" s="6">
        <v>447</v>
      </c>
      <c r="D158" s="6">
        <v>481</v>
      </c>
      <c r="E158" s="6">
        <v>476</v>
      </c>
      <c r="F158" s="6">
        <v>477</v>
      </c>
      <c r="AG158" s="1"/>
    </row>
    <row r="159" spans="2:33" x14ac:dyDescent="0.3">
      <c r="B159" s="5">
        <v>156</v>
      </c>
      <c r="C159" s="6">
        <v>529</v>
      </c>
      <c r="D159" s="6">
        <v>564</v>
      </c>
      <c r="E159" s="6">
        <v>559</v>
      </c>
      <c r="F159" s="6">
        <v>557</v>
      </c>
      <c r="AG159" s="1"/>
    </row>
    <row r="160" spans="2:33" x14ac:dyDescent="0.3">
      <c r="B160" s="5">
        <v>157</v>
      </c>
      <c r="C160" s="6">
        <v>611</v>
      </c>
      <c r="D160" s="6">
        <v>647</v>
      </c>
      <c r="E160" s="6">
        <v>641</v>
      </c>
      <c r="F160" s="6">
        <v>648</v>
      </c>
      <c r="AG160" s="1"/>
    </row>
    <row r="161" spans="2:33" x14ac:dyDescent="0.3">
      <c r="B161" s="5">
        <v>158</v>
      </c>
      <c r="C161" s="6">
        <v>694</v>
      </c>
      <c r="D161" s="6">
        <v>730</v>
      </c>
      <c r="E161" s="6">
        <v>724</v>
      </c>
      <c r="F161" s="6">
        <v>727</v>
      </c>
      <c r="AG161" s="1"/>
    </row>
    <row r="162" spans="2:33" x14ac:dyDescent="0.3">
      <c r="B162" s="5">
        <v>159</v>
      </c>
      <c r="C162" s="6">
        <v>776</v>
      </c>
      <c r="D162" s="6">
        <v>796</v>
      </c>
      <c r="E162" s="6">
        <v>796</v>
      </c>
      <c r="F162" s="6">
        <v>796</v>
      </c>
      <c r="AG162" s="1"/>
    </row>
    <row r="163" spans="2:33" x14ac:dyDescent="0.3">
      <c r="B163" s="5">
        <v>160</v>
      </c>
      <c r="C163" s="6">
        <v>823</v>
      </c>
      <c r="D163" s="6">
        <v>846</v>
      </c>
      <c r="E163" s="6">
        <v>841</v>
      </c>
      <c r="F163" s="6">
        <v>841</v>
      </c>
      <c r="AG163" s="1"/>
    </row>
    <row r="164" spans="2:33" x14ac:dyDescent="0.3">
      <c r="B164" s="5">
        <v>161</v>
      </c>
      <c r="C164" s="6">
        <v>835</v>
      </c>
      <c r="D164" s="6">
        <v>863</v>
      </c>
      <c r="E164" s="6">
        <v>857</v>
      </c>
      <c r="F164" s="6">
        <v>853</v>
      </c>
      <c r="AG164" s="1"/>
    </row>
    <row r="165" spans="2:33" x14ac:dyDescent="0.3">
      <c r="B165" s="5">
        <v>162</v>
      </c>
      <c r="C165" s="6">
        <v>823</v>
      </c>
      <c r="D165" s="6">
        <v>846</v>
      </c>
      <c r="E165" s="6">
        <v>841</v>
      </c>
      <c r="F165" s="6">
        <v>841</v>
      </c>
      <c r="AG165" s="1"/>
    </row>
    <row r="166" spans="2:33" x14ac:dyDescent="0.3">
      <c r="B166" s="5">
        <v>163</v>
      </c>
      <c r="C166" s="6">
        <v>764</v>
      </c>
      <c r="D166" s="6">
        <v>796</v>
      </c>
      <c r="E166" s="6">
        <v>791</v>
      </c>
      <c r="F166" s="6">
        <v>796</v>
      </c>
      <c r="AG166" s="1"/>
    </row>
    <row r="167" spans="2:33" x14ac:dyDescent="0.3">
      <c r="B167" s="5">
        <v>164</v>
      </c>
      <c r="C167" s="6">
        <v>694</v>
      </c>
      <c r="D167" s="6">
        <v>730</v>
      </c>
      <c r="E167" s="6">
        <v>719</v>
      </c>
      <c r="F167" s="6">
        <v>727</v>
      </c>
      <c r="AG167" s="1"/>
    </row>
    <row r="168" spans="2:33" x14ac:dyDescent="0.3">
      <c r="B168" s="5">
        <v>165</v>
      </c>
      <c r="C168" s="6">
        <v>611</v>
      </c>
      <c r="D168" s="6">
        <v>647</v>
      </c>
      <c r="E168" s="6">
        <v>636</v>
      </c>
      <c r="F168" s="6">
        <v>637</v>
      </c>
      <c r="AG168" s="1"/>
    </row>
    <row r="169" spans="2:33" x14ac:dyDescent="0.3">
      <c r="B169" s="5">
        <v>166</v>
      </c>
      <c r="C169" s="6">
        <v>529</v>
      </c>
      <c r="D169" s="6">
        <v>559</v>
      </c>
      <c r="E169" s="6">
        <v>553</v>
      </c>
      <c r="F169" s="6">
        <v>557</v>
      </c>
      <c r="AG169" s="1"/>
    </row>
    <row r="170" spans="2:33" x14ac:dyDescent="0.3">
      <c r="B170" s="5">
        <v>167</v>
      </c>
      <c r="C170" s="6">
        <v>447</v>
      </c>
      <c r="D170" s="6">
        <v>481</v>
      </c>
      <c r="E170" s="6">
        <v>476</v>
      </c>
      <c r="F170" s="6">
        <v>477</v>
      </c>
      <c r="AG170" s="1"/>
    </row>
    <row r="171" spans="2:33" x14ac:dyDescent="0.3">
      <c r="B171" s="5">
        <v>168</v>
      </c>
      <c r="C171" s="6">
        <v>388</v>
      </c>
      <c r="D171" s="6">
        <v>409</v>
      </c>
      <c r="E171" s="6">
        <v>404</v>
      </c>
      <c r="F171" s="6">
        <v>409</v>
      </c>
      <c r="AG171" s="1"/>
    </row>
    <row r="172" spans="2:33" x14ac:dyDescent="0.3">
      <c r="B172" s="5">
        <v>169</v>
      </c>
      <c r="C172" s="6">
        <v>310</v>
      </c>
      <c r="D172" s="6">
        <v>343</v>
      </c>
      <c r="E172" s="6">
        <v>345</v>
      </c>
      <c r="F172" s="6">
        <v>333</v>
      </c>
      <c r="AG172" s="1"/>
    </row>
    <row r="173" spans="2:33" x14ac:dyDescent="0.3">
      <c r="B173" s="5">
        <v>170</v>
      </c>
      <c r="C173" s="6">
        <v>290</v>
      </c>
      <c r="D173" s="6">
        <v>317</v>
      </c>
      <c r="E173" s="6">
        <v>317</v>
      </c>
      <c r="F173" s="6">
        <v>314</v>
      </c>
      <c r="AG173" s="1"/>
    </row>
    <row r="174" spans="2:33" x14ac:dyDescent="0.3">
      <c r="B174" s="5">
        <v>171</v>
      </c>
      <c r="C174" s="6">
        <v>353</v>
      </c>
      <c r="D174" s="6">
        <v>376</v>
      </c>
      <c r="E174" s="6">
        <v>376</v>
      </c>
      <c r="F174" s="6">
        <v>375</v>
      </c>
      <c r="AG174" s="1"/>
    </row>
    <row r="175" spans="2:33" x14ac:dyDescent="0.3">
      <c r="B175" s="5">
        <v>172</v>
      </c>
      <c r="C175" s="6">
        <v>412</v>
      </c>
      <c r="D175" s="6">
        <v>437</v>
      </c>
      <c r="E175" s="6">
        <v>437</v>
      </c>
      <c r="F175" s="6">
        <v>432</v>
      </c>
      <c r="AG175" s="1"/>
    </row>
    <row r="176" spans="2:33" x14ac:dyDescent="0.3">
      <c r="B176" s="5">
        <v>173</v>
      </c>
      <c r="C176" s="6">
        <v>482</v>
      </c>
      <c r="D176" s="6">
        <v>509</v>
      </c>
      <c r="E176" s="6">
        <v>503</v>
      </c>
      <c r="F176" s="6">
        <v>500</v>
      </c>
      <c r="AG176" s="1"/>
    </row>
    <row r="177" spans="2:33" x14ac:dyDescent="0.3">
      <c r="B177" s="5">
        <v>174</v>
      </c>
      <c r="C177" s="6">
        <v>541</v>
      </c>
      <c r="D177" s="6">
        <v>575</v>
      </c>
      <c r="E177" s="6">
        <v>570</v>
      </c>
      <c r="F177" s="6">
        <v>568</v>
      </c>
      <c r="AG177" s="1"/>
    </row>
    <row r="178" spans="2:33" x14ac:dyDescent="0.3">
      <c r="B178" s="5">
        <v>175</v>
      </c>
      <c r="C178" s="6">
        <v>611</v>
      </c>
      <c r="D178" s="6">
        <v>647</v>
      </c>
      <c r="E178" s="6">
        <v>641</v>
      </c>
      <c r="F178" s="6">
        <v>637</v>
      </c>
      <c r="AG178" s="1"/>
    </row>
    <row r="179" spans="2:33" x14ac:dyDescent="0.3">
      <c r="B179" s="5">
        <v>176</v>
      </c>
      <c r="C179" s="6">
        <v>670</v>
      </c>
      <c r="D179" s="6">
        <v>702</v>
      </c>
      <c r="E179" s="6">
        <v>697</v>
      </c>
      <c r="F179" s="6">
        <v>693</v>
      </c>
      <c r="AG179" s="1"/>
    </row>
    <row r="180" spans="2:33" x14ac:dyDescent="0.3">
      <c r="B180" s="5">
        <v>177</v>
      </c>
      <c r="C180" s="6">
        <v>717</v>
      </c>
      <c r="D180" s="6">
        <v>741</v>
      </c>
      <c r="E180" s="6">
        <v>735</v>
      </c>
      <c r="F180" s="6">
        <v>739</v>
      </c>
      <c r="AG180" s="1"/>
    </row>
    <row r="181" spans="2:33" x14ac:dyDescent="0.3">
      <c r="B181" s="5">
        <v>178</v>
      </c>
      <c r="C181" s="6">
        <v>729</v>
      </c>
      <c r="D181" s="6">
        <v>752</v>
      </c>
      <c r="E181" s="6">
        <v>747</v>
      </c>
      <c r="F181" s="6">
        <v>750</v>
      </c>
      <c r="AG181" s="1"/>
    </row>
    <row r="182" spans="2:33" x14ac:dyDescent="0.3">
      <c r="B182" s="5">
        <v>179</v>
      </c>
      <c r="C182" s="6">
        <v>717</v>
      </c>
      <c r="D182" s="6">
        <v>741</v>
      </c>
      <c r="E182" s="6">
        <v>735</v>
      </c>
      <c r="F182" s="6">
        <v>739</v>
      </c>
      <c r="AG182" s="1"/>
    </row>
    <row r="183" spans="2:33" x14ac:dyDescent="0.3">
      <c r="B183" s="5">
        <v>180</v>
      </c>
      <c r="C183" s="6">
        <v>670</v>
      </c>
      <c r="D183" s="6">
        <v>702</v>
      </c>
      <c r="E183" s="6">
        <v>697</v>
      </c>
      <c r="F183" s="6">
        <v>693</v>
      </c>
      <c r="AG183" s="1"/>
    </row>
    <row r="184" spans="2:33" x14ac:dyDescent="0.3">
      <c r="B184" s="5">
        <v>181</v>
      </c>
      <c r="C184" s="6">
        <v>611</v>
      </c>
      <c r="D184" s="6">
        <v>641</v>
      </c>
      <c r="E184" s="6">
        <v>636</v>
      </c>
      <c r="F184" s="6">
        <v>637</v>
      </c>
      <c r="AG184" s="1"/>
    </row>
    <row r="185" spans="2:33" x14ac:dyDescent="0.3">
      <c r="B185" s="5">
        <v>182</v>
      </c>
      <c r="C185" s="6">
        <v>541</v>
      </c>
      <c r="D185" s="6">
        <v>575</v>
      </c>
      <c r="E185" s="6">
        <v>570</v>
      </c>
      <c r="F185" s="6">
        <v>568</v>
      </c>
      <c r="AG185" s="1"/>
    </row>
    <row r="186" spans="2:33" x14ac:dyDescent="0.3">
      <c r="B186" s="5">
        <v>183</v>
      </c>
      <c r="C186" s="6">
        <v>470</v>
      </c>
      <c r="D186" s="6">
        <v>503</v>
      </c>
      <c r="E186" s="6">
        <v>498</v>
      </c>
      <c r="F186" s="6">
        <v>500</v>
      </c>
      <c r="AG186" s="1"/>
    </row>
    <row r="187" spans="2:33" x14ac:dyDescent="0.3">
      <c r="B187" s="5">
        <v>184</v>
      </c>
      <c r="C187" s="6">
        <v>412</v>
      </c>
      <c r="D187" s="6">
        <v>437</v>
      </c>
      <c r="E187" s="6">
        <v>431</v>
      </c>
      <c r="F187" s="6">
        <v>432</v>
      </c>
      <c r="AG187" s="1"/>
    </row>
    <row r="188" spans="2:33" x14ac:dyDescent="0.3">
      <c r="B188" s="5">
        <v>185</v>
      </c>
      <c r="C188" s="6">
        <v>353</v>
      </c>
      <c r="D188" s="6">
        <v>376</v>
      </c>
      <c r="E188" s="6">
        <v>370</v>
      </c>
      <c r="F188" s="6">
        <v>375</v>
      </c>
      <c r="AG188" s="1"/>
    </row>
    <row r="189" spans="2:33" x14ac:dyDescent="0.3">
      <c r="B189" s="5">
        <v>186</v>
      </c>
      <c r="C189" s="6">
        <v>290</v>
      </c>
      <c r="D189" s="6">
        <v>317</v>
      </c>
      <c r="E189" s="6">
        <v>319</v>
      </c>
      <c r="F189" s="6">
        <v>314</v>
      </c>
      <c r="AG189" s="1"/>
    </row>
    <row r="190" spans="2:33" x14ac:dyDescent="0.3">
      <c r="B190" s="5">
        <v>187</v>
      </c>
      <c r="C190" s="6">
        <v>270</v>
      </c>
      <c r="D190" s="6">
        <v>291</v>
      </c>
      <c r="E190" s="6">
        <v>293</v>
      </c>
      <c r="F190" s="6">
        <v>296</v>
      </c>
      <c r="AG190" s="1"/>
    </row>
    <row r="191" spans="2:33" x14ac:dyDescent="0.3">
      <c r="B191" s="5">
        <v>188</v>
      </c>
      <c r="C191" s="6">
        <v>317</v>
      </c>
      <c r="D191" s="6">
        <v>343</v>
      </c>
      <c r="E191" s="6">
        <v>337</v>
      </c>
      <c r="F191" s="6">
        <v>341</v>
      </c>
      <c r="AG191" s="1"/>
    </row>
    <row r="192" spans="2:33" x14ac:dyDescent="0.3">
      <c r="B192" s="5">
        <v>189</v>
      </c>
      <c r="C192" s="6">
        <v>365</v>
      </c>
      <c r="D192" s="6">
        <v>393</v>
      </c>
      <c r="E192" s="6">
        <v>393</v>
      </c>
      <c r="F192" s="6">
        <v>386</v>
      </c>
      <c r="AG192" s="1"/>
    </row>
    <row r="193" spans="2:33" x14ac:dyDescent="0.3">
      <c r="B193" s="5">
        <v>190</v>
      </c>
      <c r="C193" s="6">
        <v>423</v>
      </c>
      <c r="D193" s="6">
        <v>448</v>
      </c>
      <c r="E193" s="6">
        <v>442</v>
      </c>
      <c r="F193" s="6">
        <v>443</v>
      </c>
      <c r="AG193" s="1"/>
    </row>
    <row r="194" spans="2:33" x14ac:dyDescent="0.3">
      <c r="B194" s="5">
        <v>191</v>
      </c>
      <c r="C194" s="6">
        <v>482</v>
      </c>
      <c r="D194" s="6">
        <v>503</v>
      </c>
      <c r="E194" s="6">
        <v>498</v>
      </c>
      <c r="F194" s="6">
        <v>500</v>
      </c>
      <c r="AG194" s="1"/>
    </row>
    <row r="195" spans="2:33" x14ac:dyDescent="0.3">
      <c r="B195" s="5">
        <v>192</v>
      </c>
      <c r="C195" s="6">
        <v>529</v>
      </c>
      <c r="D195" s="6">
        <v>559</v>
      </c>
      <c r="E195" s="6">
        <v>553</v>
      </c>
      <c r="F195" s="6">
        <v>557</v>
      </c>
      <c r="AG195" s="1"/>
    </row>
    <row r="196" spans="2:33" x14ac:dyDescent="0.3">
      <c r="B196" s="5">
        <v>193</v>
      </c>
      <c r="C196" s="6">
        <v>576</v>
      </c>
      <c r="D196" s="6">
        <v>603</v>
      </c>
      <c r="E196" s="6">
        <v>597</v>
      </c>
      <c r="F196" s="6">
        <v>602</v>
      </c>
      <c r="AG196" s="1"/>
    </row>
    <row r="197" spans="2:33" x14ac:dyDescent="0.3">
      <c r="B197" s="5">
        <v>194</v>
      </c>
      <c r="C197" s="6">
        <v>611</v>
      </c>
      <c r="D197" s="6">
        <v>636</v>
      </c>
      <c r="E197" s="6">
        <v>630</v>
      </c>
      <c r="F197" s="6">
        <v>625</v>
      </c>
      <c r="AG197" s="1"/>
    </row>
    <row r="198" spans="2:33" x14ac:dyDescent="0.3">
      <c r="B198" s="5">
        <v>195</v>
      </c>
      <c r="C198" s="6">
        <v>611</v>
      </c>
      <c r="D198" s="6">
        <v>641</v>
      </c>
      <c r="E198" s="6">
        <v>636</v>
      </c>
      <c r="F198" s="6">
        <v>637</v>
      </c>
      <c r="AG198" s="1"/>
    </row>
    <row r="199" spans="2:33" x14ac:dyDescent="0.3">
      <c r="B199" s="5">
        <v>196</v>
      </c>
      <c r="C199" s="6">
        <v>611</v>
      </c>
      <c r="D199" s="6">
        <v>636</v>
      </c>
      <c r="E199" s="6">
        <v>630</v>
      </c>
      <c r="F199" s="6">
        <v>625</v>
      </c>
      <c r="AG199" s="1"/>
    </row>
    <row r="200" spans="2:33" x14ac:dyDescent="0.3">
      <c r="B200" s="5">
        <v>197</v>
      </c>
      <c r="C200" s="6">
        <v>576</v>
      </c>
      <c r="D200" s="6">
        <v>603</v>
      </c>
      <c r="E200" s="6">
        <v>597</v>
      </c>
      <c r="F200" s="6">
        <v>602</v>
      </c>
      <c r="AG200" s="1"/>
    </row>
    <row r="201" spans="2:33" x14ac:dyDescent="0.3">
      <c r="B201" s="5">
        <v>198</v>
      </c>
      <c r="C201" s="6">
        <v>529</v>
      </c>
      <c r="D201" s="6">
        <v>559</v>
      </c>
      <c r="E201" s="6">
        <v>553</v>
      </c>
      <c r="F201" s="6">
        <v>557</v>
      </c>
      <c r="AG201" s="1"/>
    </row>
    <row r="202" spans="2:33" x14ac:dyDescent="0.3">
      <c r="B202" s="5">
        <v>199</v>
      </c>
      <c r="C202" s="6">
        <v>482</v>
      </c>
      <c r="D202" s="6">
        <v>503</v>
      </c>
      <c r="E202" s="6">
        <v>498</v>
      </c>
      <c r="F202" s="6">
        <v>500</v>
      </c>
      <c r="AG202" s="1"/>
    </row>
    <row r="203" spans="2:33" x14ac:dyDescent="0.3">
      <c r="B203" s="5">
        <v>200</v>
      </c>
      <c r="C203" s="6">
        <v>423</v>
      </c>
      <c r="D203" s="6">
        <v>448</v>
      </c>
      <c r="E203" s="6">
        <v>442</v>
      </c>
      <c r="F203" s="6">
        <v>443</v>
      </c>
      <c r="AG203" s="1"/>
    </row>
    <row r="204" spans="2:33" x14ac:dyDescent="0.3">
      <c r="B204" s="5">
        <v>201</v>
      </c>
      <c r="C204" s="6">
        <v>365</v>
      </c>
      <c r="D204" s="6">
        <v>393</v>
      </c>
      <c r="E204" s="6">
        <v>387</v>
      </c>
      <c r="F204" s="6">
        <v>386</v>
      </c>
      <c r="AG204" s="1"/>
    </row>
    <row r="205" spans="2:33" x14ac:dyDescent="0.3">
      <c r="B205" s="5">
        <v>202</v>
      </c>
      <c r="C205" s="6">
        <v>317</v>
      </c>
      <c r="D205" s="6">
        <v>343</v>
      </c>
      <c r="E205" s="6">
        <v>337</v>
      </c>
      <c r="F205" s="6">
        <v>341</v>
      </c>
      <c r="AG205" s="1"/>
    </row>
    <row r="206" spans="2:33" x14ac:dyDescent="0.3">
      <c r="B206" s="5">
        <v>203</v>
      </c>
      <c r="C206" s="6">
        <v>270</v>
      </c>
      <c r="D206" s="6">
        <v>291</v>
      </c>
      <c r="E206" s="6">
        <v>293</v>
      </c>
      <c r="F206" s="6">
        <v>296</v>
      </c>
      <c r="AG206" s="1"/>
    </row>
    <row r="207" spans="2:33" x14ac:dyDescent="0.3">
      <c r="B207" s="5">
        <v>204</v>
      </c>
      <c r="C207" s="6">
        <v>255</v>
      </c>
      <c r="D207" s="6">
        <v>269</v>
      </c>
      <c r="E207" s="6">
        <v>271</v>
      </c>
      <c r="F207" s="6">
        <v>265</v>
      </c>
      <c r="AG207" s="1"/>
    </row>
    <row r="208" spans="2:33" x14ac:dyDescent="0.3">
      <c r="B208" s="5">
        <v>205</v>
      </c>
      <c r="C208" s="6">
        <v>286</v>
      </c>
      <c r="D208" s="6">
        <v>299</v>
      </c>
      <c r="E208" s="6">
        <v>300</v>
      </c>
      <c r="F208" s="6">
        <v>296</v>
      </c>
      <c r="AG208" s="1"/>
    </row>
    <row r="209" spans="2:33" x14ac:dyDescent="0.3">
      <c r="B209" s="5">
        <v>206</v>
      </c>
      <c r="C209" s="6">
        <v>317</v>
      </c>
      <c r="D209" s="6">
        <v>341</v>
      </c>
      <c r="E209" s="6">
        <v>341</v>
      </c>
      <c r="F209" s="6">
        <v>341</v>
      </c>
      <c r="AG209" s="1"/>
    </row>
    <row r="210" spans="2:33" x14ac:dyDescent="0.3">
      <c r="B210" s="5">
        <v>207</v>
      </c>
      <c r="C210" s="6">
        <v>361</v>
      </c>
      <c r="D210" s="6">
        <v>389</v>
      </c>
      <c r="E210" s="6">
        <v>383</v>
      </c>
      <c r="F210" s="6">
        <v>398</v>
      </c>
      <c r="AG210" s="1"/>
    </row>
    <row r="211" spans="2:33" x14ac:dyDescent="0.3">
      <c r="B211" s="5">
        <v>208</v>
      </c>
      <c r="C211" s="6">
        <v>404</v>
      </c>
      <c r="D211" s="6">
        <v>429</v>
      </c>
      <c r="E211" s="6">
        <v>431</v>
      </c>
      <c r="F211" s="6">
        <v>440</v>
      </c>
      <c r="AG211" s="1"/>
    </row>
    <row r="212" spans="2:33" x14ac:dyDescent="0.3">
      <c r="B212" s="5">
        <v>209</v>
      </c>
      <c r="C212" s="6">
        <v>451</v>
      </c>
      <c r="D212" s="6">
        <v>470</v>
      </c>
      <c r="E212" s="6">
        <v>464</v>
      </c>
      <c r="F212" s="6">
        <v>466</v>
      </c>
      <c r="AG212" s="1"/>
    </row>
    <row r="213" spans="2:33" x14ac:dyDescent="0.3">
      <c r="B213" s="5">
        <v>210</v>
      </c>
      <c r="C213" s="6">
        <v>482</v>
      </c>
      <c r="D213" s="6">
        <v>507</v>
      </c>
      <c r="E213" s="6">
        <v>501</v>
      </c>
      <c r="F213" s="6">
        <v>512</v>
      </c>
      <c r="AG213" s="1"/>
    </row>
    <row r="214" spans="2:33" x14ac:dyDescent="0.3">
      <c r="B214" s="5">
        <v>211</v>
      </c>
      <c r="C214" s="6">
        <v>502</v>
      </c>
      <c r="D214" s="6">
        <v>525</v>
      </c>
      <c r="E214" s="6">
        <v>520</v>
      </c>
      <c r="F214" s="6">
        <v>534</v>
      </c>
      <c r="AG214" s="1"/>
    </row>
    <row r="215" spans="2:33" x14ac:dyDescent="0.3">
      <c r="B215" s="5">
        <v>212</v>
      </c>
      <c r="C215" s="6">
        <v>517</v>
      </c>
      <c r="D215" s="6">
        <v>538</v>
      </c>
      <c r="E215" s="6">
        <v>533</v>
      </c>
      <c r="F215" s="6">
        <v>530</v>
      </c>
      <c r="AG215" s="1"/>
    </row>
    <row r="216" spans="2:33" x14ac:dyDescent="0.3">
      <c r="B216" s="5">
        <v>213</v>
      </c>
      <c r="C216" s="6">
        <v>502</v>
      </c>
      <c r="D216" s="6">
        <v>525</v>
      </c>
      <c r="E216" s="6">
        <v>520</v>
      </c>
      <c r="F216" s="6">
        <v>534</v>
      </c>
      <c r="AG216" s="1"/>
    </row>
    <row r="217" spans="2:33" x14ac:dyDescent="0.3">
      <c r="B217" s="5">
        <v>214</v>
      </c>
      <c r="C217" s="6">
        <v>482</v>
      </c>
      <c r="D217" s="6">
        <v>507</v>
      </c>
      <c r="E217" s="6">
        <v>501</v>
      </c>
      <c r="F217" s="6">
        <v>496</v>
      </c>
      <c r="AG217" s="1"/>
    </row>
    <row r="218" spans="2:33" x14ac:dyDescent="0.3">
      <c r="B218" s="5">
        <v>215</v>
      </c>
      <c r="C218" s="6">
        <v>451</v>
      </c>
      <c r="D218" s="6">
        <v>470</v>
      </c>
      <c r="E218" s="6">
        <v>464</v>
      </c>
      <c r="F218" s="6">
        <v>466</v>
      </c>
      <c r="AG218" s="1"/>
    </row>
    <row r="219" spans="2:33" x14ac:dyDescent="0.3">
      <c r="B219" s="5">
        <v>216</v>
      </c>
      <c r="C219" s="6">
        <v>404</v>
      </c>
      <c r="D219" s="6">
        <v>429</v>
      </c>
      <c r="E219" s="6">
        <v>424</v>
      </c>
      <c r="F219" s="6">
        <v>424</v>
      </c>
      <c r="AG219" s="1"/>
    </row>
    <row r="220" spans="2:33" x14ac:dyDescent="0.3">
      <c r="B220" s="5">
        <v>217</v>
      </c>
      <c r="C220" s="6">
        <v>361</v>
      </c>
      <c r="D220" s="6">
        <v>389</v>
      </c>
      <c r="E220" s="6">
        <v>383</v>
      </c>
      <c r="F220" s="6">
        <v>383</v>
      </c>
      <c r="AG220" s="1"/>
    </row>
    <row r="221" spans="2:33" x14ac:dyDescent="0.3">
      <c r="B221" s="5">
        <v>218</v>
      </c>
      <c r="C221" s="6">
        <v>317</v>
      </c>
      <c r="D221" s="6">
        <v>341</v>
      </c>
      <c r="E221" s="6">
        <v>343</v>
      </c>
      <c r="F221" s="6">
        <v>341</v>
      </c>
      <c r="AG221" s="1"/>
    </row>
    <row r="222" spans="2:33" x14ac:dyDescent="0.3">
      <c r="B222" s="5">
        <v>219</v>
      </c>
      <c r="C222" s="6">
        <v>286</v>
      </c>
      <c r="D222" s="6">
        <v>299</v>
      </c>
      <c r="E222" s="6">
        <v>300</v>
      </c>
      <c r="F222" s="6">
        <v>296</v>
      </c>
      <c r="AG222" s="1"/>
    </row>
    <row r="223" spans="2:33" x14ac:dyDescent="0.3">
      <c r="B223" s="5">
        <v>220</v>
      </c>
      <c r="C223" s="6">
        <v>255</v>
      </c>
      <c r="D223" s="6">
        <v>269</v>
      </c>
      <c r="E223" s="6">
        <v>264</v>
      </c>
      <c r="F223" s="6">
        <v>265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1107.95859</v>
      </c>
      <c r="J2" s="2">
        <f ca="1">goldenOTP_check!J2*J58</f>
        <v>1079.89011</v>
      </c>
      <c r="K2" s="2">
        <f ca="1">goldenOTP_check!K2*K58</f>
        <v>1115.5404349999999</v>
      </c>
      <c r="L2" s="2">
        <f ca="1">goldenOTP_check!L2*L58</f>
        <v>1119.2335699999999</v>
      </c>
      <c r="M2" s="2">
        <f ca="1">goldenOTP_check!M2*M58</f>
        <v>1126.4822879999999</v>
      </c>
      <c r="N2" s="2">
        <f ca="1">goldenOTP_check!N2*N58</f>
        <v>1091.43849</v>
      </c>
      <c r="O2" s="2">
        <f ca="1">goldenOTP_check!O2*O58</f>
        <v>1102.85688</v>
      </c>
      <c r="P2" s="2">
        <f ca="1">goldenOTP_check!P2*P58</f>
        <v>1136.265504</v>
      </c>
      <c r="Q2" s="2">
        <f ca="1">goldenOTP_check!Q2*Q58</f>
        <v>1107.38941</v>
      </c>
      <c r="R2" s="2">
        <f ca="1">goldenOTP_check!R2*R58</f>
        <v>1132.3763879999999</v>
      </c>
      <c r="S2" s="2">
        <f ca="1">goldenOTP_check!S2*S58</f>
        <v>1121.983694</v>
      </c>
      <c r="T2" s="2">
        <f ca="1">goldenOTP_check!T2*T58</f>
        <v>1120.8648880000001</v>
      </c>
      <c r="U2" s="2">
        <f ca="1">goldenOTP_check!U2*U58</f>
        <v>1106.676336</v>
      </c>
      <c r="V2" s="2">
        <f ca="1">goldenOTP_check!V2*V58</f>
        <v>1095.057761</v>
      </c>
      <c r="W2" s="2">
        <f ca="1">goldenOTP_check!W2*W58</f>
        <v>1089.780381</v>
      </c>
      <c r="X2" s="2">
        <f ca="1">goldenOTP_check!X2*X58</f>
        <v>1049.06502</v>
      </c>
      <c r="Y2" s="3">
        <f ca="1">goldenOTP_check!Y2*Y58</f>
        <v>1050.8285080000001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1127.1787200000001</v>
      </c>
      <c r="J3" s="2">
        <f ca="1">goldenOTP_check!J3*J59</f>
        <v>1146.107794</v>
      </c>
      <c r="K3" s="2">
        <f ca="1">goldenOTP_check!K3*K59</f>
        <v>1141.9360799999999</v>
      </c>
      <c r="L3" s="2">
        <f ca="1">goldenOTP_check!L3*L59</f>
        <v>1149.9339599999998</v>
      </c>
      <c r="M3" s="2">
        <f ca="1">goldenOTP_check!M3*M59</f>
        <v>1131.1184499999999</v>
      </c>
      <c r="N3" s="2">
        <f ca="1">goldenOTP_check!N3*N59</f>
        <v>1148.4997329999999</v>
      </c>
      <c r="O3" s="2">
        <f ca="1">goldenOTP_check!O3*O59</f>
        <v>1128.3575759999999</v>
      </c>
      <c r="P3" s="2">
        <f ca="1">goldenOTP_check!P3*P59</f>
        <v>1134.5346</v>
      </c>
      <c r="Q3" s="2">
        <f ca="1">goldenOTP_check!Q3*Q59</f>
        <v>1129.9161900000001</v>
      </c>
      <c r="R3" s="2">
        <f ca="1">goldenOTP_check!R3*R59</f>
        <v>1128.1596</v>
      </c>
      <c r="S3" s="2">
        <f ca="1">goldenOTP_check!S3*S59</f>
        <v>1140.545664</v>
      </c>
      <c r="T3" s="2">
        <f ca="1">goldenOTP_check!T3*T59</f>
        <v>1132.5837099999999</v>
      </c>
      <c r="U3" s="2">
        <f ca="1">goldenOTP_check!U3*U59</f>
        <v>1109.64086</v>
      </c>
      <c r="V3" s="2">
        <f ca="1">goldenOTP_check!V3*V59</f>
        <v>1123.0556939999999</v>
      </c>
      <c r="W3" s="2">
        <f ca="1">goldenOTP_check!W3*W59</f>
        <v>1111.9947649999999</v>
      </c>
      <c r="X3" s="2">
        <f ca="1">goldenOTP_check!X3*X59</f>
        <v>1113.1077769999999</v>
      </c>
      <c r="Y3" s="2">
        <f ca="1">goldenOTP_check!Y3*Y59</f>
        <v>1026.98037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1118.7599700000001</v>
      </c>
      <c r="J4" s="2">
        <f ca="1">goldenOTP_check!J4*J60</f>
        <v>1162.5476080000001</v>
      </c>
      <c r="K4" s="2">
        <f ca="1">goldenOTP_check!K4*K60</f>
        <v>1153.9333080000001</v>
      </c>
      <c r="L4" s="2">
        <f ca="1">goldenOTP_check!L4*L60</f>
        <v>1133.65833</v>
      </c>
      <c r="M4" s="2">
        <f ca="1">goldenOTP_check!M4*M60</f>
        <v>1143.0275049999998</v>
      </c>
      <c r="N4" s="2">
        <f ca="1">goldenOTP_check!N4*N60</f>
        <v>1140.91419</v>
      </c>
      <c r="O4" s="2">
        <f ca="1">goldenOTP_check!O4*O60</f>
        <v>1126.0676599999999</v>
      </c>
      <c r="P4" s="2">
        <f ca="1">goldenOTP_check!P4*P60</f>
        <v>1102.979564</v>
      </c>
      <c r="Q4" s="2">
        <f ca="1">goldenOTP_check!Q4*Q60</f>
        <v>1089.486519</v>
      </c>
      <c r="R4" s="2">
        <f ca="1">goldenOTP_check!R4*R60</f>
        <v>1094.62123</v>
      </c>
      <c r="S4" s="2">
        <f ca="1">goldenOTP_check!S4*S60</f>
        <v>1108.53979</v>
      </c>
      <c r="T4" s="2">
        <f ca="1">goldenOTP_check!T4*T60</f>
        <v>1119.4717559999999</v>
      </c>
      <c r="U4" s="2">
        <f ca="1">goldenOTP_check!U4*U60</f>
        <v>1117.570209</v>
      </c>
      <c r="V4" s="2">
        <f ca="1">goldenOTP_check!V4*V60</f>
        <v>1106.47776</v>
      </c>
      <c r="W4" s="2">
        <f ca="1">goldenOTP_check!W4*W60</f>
        <v>1119.6322479999999</v>
      </c>
      <c r="X4" s="2">
        <f ca="1">goldenOTP_check!X4*X60</f>
        <v>1124.1475619999999</v>
      </c>
      <c r="Y4" s="2">
        <f ca="1">goldenOTP_check!Y4*Y60</f>
        <v>1076.97155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1131.4767060000001</v>
      </c>
      <c r="J5" s="2">
        <f ca="1">goldenOTP_check!J5*J61</f>
        <v>1139.0893679999999</v>
      </c>
      <c r="K5" s="2">
        <f ca="1">goldenOTP_check!K5*K61</f>
        <v>1142.0519220000001</v>
      </c>
      <c r="L5" s="2">
        <f ca="1">goldenOTP_check!L5*L61</f>
        <v>1154.6086249999998</v>
      </c>
      <c r="M5" s="2">
        <f ca="1">goldenOTP_check!M5*M61</f>
        <v>1145.0751</v>
      </c>
      <c r="N5" s="2">
        <f ca="1">goldenOTP_check!N5*N61</f>
        <v>1117.272682</v>
      </c>
      <c r="O5" s="2">
        <f ca="1">goldenOTP_check!O5*O61</f>
        <v>1087.5494160000001</v>
      </c>
      <c r="P5" s="2">
        <f ca="1">goldenOTP_check!P5*P61</f>
        <v>1066.589894</v>
      </c>
      <c r="Q5" s="2">
        <f ca="1">goldenOTP_check!Q5*Q61</f>
        <v>1064.69514</v>
      </c>
      <c r="R5" s="2">
        <f ca="1">goldenOTP_check!R5*R61</f>
        <v>1056.561068</v>
      </c>
      <c r="S5" s="2">
        <f ca="1">goldenOTP_check!S5*S61</f>
        <v>1069.349408</v>
      </c>
      <c r="T5" s="2">
        <f ca="1">goldenOTP_check!T5*T61</f>
        <v>1089.467572</v>
      </c>
      <c r="U5" s="2">
        <f ca="1">goldenOTP_check!U5*U61</f>
        <v>1113.158293</v>
      </c>
      <c r="V5" s="2">
        <f ca="1">goldenOTP_check!V5*V61</f>
        <v>1123.390748</v>
      </c>
      <c r="W5" s="2">
        <f ca="1">goldenOTP_check!W5*W61</f>
        <v>1106.0912189999999</v>
      </c>
      <c r="X5" s="2">
        <f ca="1">goldenOTP_check!X5*X61</f>
        <v>1097.5394880000001</v>
      </c>
      <c r="Y5" s="2">
        <f ca="1">goldenOTP_check!Y5*Y61</f>
        <v>1083.9267439999999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1135.7904060000001</v>
      </c>
      <c r="J6" s="2">
        <f ca="1">goldenOTP_check!J6*J62</f>
        <v>1171.7263520000001</v>
      </c>
      <c r="K6" s="2">
        <f ca="1">goldenOTP_check!K6*K62</f>
        <v>1151.2348279999999</v>
      </c>
      <c r="L6" s="2">
        <f ca="1">goldenOTP_check!L6*L62</f>
        <v>1163.7665279999999</v>
      </c>
      <c r="M6" s="2">
        <f ca="1">goldenOTP_check!M6*M62</f>
        <v>1135.0295800000001</v>
      </c>
      <c r="N6" s="2">
        <f ca="1">goldenOTP_check!N6*N62</f>
        <v>1093.96396</v>
      </c>
      <c r="O6" s="2">
        <f ca="1">goldenOTP_check!O6*O62</f>
        <v>1065.245643</v>
      </c>
      <c r="P6" s="2">
        <f ca="1">goldenOTP_check!P6*P62</f>
        <v>1048.202675</v>
      </c>
      <c r="Q6" s="2">
        <f ca="1">goldenOTP_check!Q6*Q62</f>
        <v>1041.0569090000001</v>
      </c>
      <c r="R6" s="2">
        <f ca="1">goldenOTP_check!R6*R62</f>
        <v>1036.3290750000001</v>
      </c>
      <c r="S6" s="2">
        <f ca="1">goldenOTP_check!S6*S62</f>
        <v>1044.0969</v>
      </c>
      <c r="T6" s="2">
        <f ca="1">goldenOTP_check!T6*T62</f>
        <v>1062.465768</v>
      </c>
      <c r="U6" s="2">
        <f ca="1">goldenOTP_check!U6*U62</f>
        <v>1096.6305400000001</v>
      </c>
      <c r="V6" s="2">
        <f ca="1">goldenOTP_check!V6*V62</f>
        <v>1127.0522880000001</v>
      </c>
      <c r="W6" s="2">
        <f ca="1">goldenOTP_check!W6*W62</f>
        <v>1111.4968200000001</v>
      </c>
      <c r="X6" s="2">
        <f ca="1">goldenOTP_check!X6*X62</f>
        <v>1092.21</v>
      </c>
      <c r="Y6" s="2">
        <f ca="1">goldenOTP_check!Y6*Y62</f>
        <v>1098.093269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1135.1131350000001</v>
      </c>
      <c r="J7" s="2">
        <f ca="1">goldenOTP_check!J7*J63</f>
        <v>1155.6964890000002</v>
      </c>
      <c r="K7" s="2">
        <f ca="1">goldenOTP_check!K7*K63</f>
        <v>1158.3478500000001</v>
      </c>
      <c r="L7" s="2">
        <f ca="1">goldenOTP_check!L7*L63</f>
        <v>1151.0442</v>
      </c>
      <c r="M7" s="2">
        <f ca="1">goldenOTP_check!M7*M63</f>
        <v>1118.4331979999999</v>
      </c>
      <c r="N7" s="2">
        <f ca="1">goldenOTP_check!N7*N63</f>
        <v>1079.31935</v>
      </c>
      <c r="O7" s="2">
        <f ca="1">goldenOTP_check!O7*O63</f>
        <v>1055.7730000000001</v>
      </c>
      <c r="P7" s="2">
        <f ca="1">goldenOTP_check!P7*P63</f>
        <v>1031.534948</v>
      </c>
      <c r="Q7" s="2">
        <f ca="1">goldenOTP_check!Q7*Q63</f>
        <v>1021.719452</v>
      </c>
      <c r="R7" s="2">
        <f ca="1">goldenOTP_check!R7*R63</f>
        <v>1031.9931199999999</v>
      </c>
      <c r="S7" s="2">
        <f ca="1">goldenOTP_check!S7*S63</f>
        <v>1031.1931999999999</v>
      </c>
      <c r="T7" s="2">
        <f ca="1">goldenOTP_check!T7*T63</f>
        <v>1045.489296</v>
      </c>
      <c r="U7" s="2">
        <f ca="1">goldenOTP_check!U7*U63</f>
        <v>1077.1787939999999</v>
      </c>
      <c r="V7" s="2">
        <f ca="1">goldenOTP_check!V7*V63</f>
        <v>1108.2</v>
      </c>
      <c r="W7" s="2">
        <f ca="1">goldenOTP_check!W7*W63</f>
        <v>1115.8104539999999</v>
      </c>
      <c r="X7" s="2">
        <f ca="1">goldenOTP_check!X7*X63</f>
        <v>1108.601784</v>
      </c>
      <c r="Y7" s="2">
        <f ca="1">goldenOTP_check!Y7*Y63</f>
        <v>1079.448075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1157.831682</v>
      </c>
      <c r="J8" s="2">
        <f ca="1">goldenOTP_check!J8*J64</f>
        <v>1170.867315</v>
      </c>
      <c r="K8" s="2">
        <f ca="1">goldenOTP_check!K8*K64</f>
        <v>1165.0295140000001</v>
      </c>
      <c r="L8" s="2">
        <f ca="1">goldenOTP_check!L8*L64</f>
        <v>1148.5394699999999</v>
      </c>
      <c r="M8" s="2">
        <f ca="1">goldenOTP_check!M8*M64</f>
        <v>1126.923192</v>
      </c>
      <c r="N8" s="2">
        <f ca="1">goldenOTP_check!N8*N64</f>
        <v>1081.7283049999999</v>
      </c>
      <c r="O8" s="2">
        <f ca="1">goldenOTP_check!O8*O64</f>
        <v>1053.066092</v>
      </c>
      <c r="P8" s="2">
        <f ca="1">goldenOTP_check!P8*P64</f>
        <v>1037.5544070000001</v>
      </c>
      <c r="Q8" s="2">
        <f ca="1">goldenOTP_check!Q8*Q64</f>
        <v>1027.410153</v>
      </c>
      <c r="R8" s="2">
        <f ca="1">goldenOTP_check!R8*R64</f>
        <v>1027.9630079999999</v>
      </c>
      <c r="S8" s="2">
        <f ca="1">goldenOTP_check!S8*S64</f>
        <v>1043.0693289999999</v>
      </c>
      <c r="T8" s="2">
        <f ca="1">goldenOTP_check!T8*T64</f>
        <v>1046.89795</v>
      </c>
      <c r="U8" s="2">
        <f ca="1">goldenOTP_check!U8*U64</f>
        <v>1081.666872</v>
      </c>
      <c r="V8" s="2">
        <f ca="1">goldenOTP_check!V8*V64</f>
        <v>1102.8171179999999</v>
      </c>
      <c r="W8" s="2">
        <f ca="1">goldenOTP_check!W8*W64</f>
        <v>1120.439815</v>
      </c>
      <c r="X8" s="2">
        <f ca="1">goldenOTP_check!X8*X64</f>
        <v>1090.320993</v>
      </c>
      <c r="Y8" s="2">
        <f ca="1">goldenOTP_check!Y8*Y64</f>
        <v>1112.980689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1130.4721950000001</v>
      </c>
      <c r="J9" s="2">
        <f ca="1">goldenOTP_check!J9*J65</f>
        <v>1151.4191129999999</v>
      </c>
      <c r="K9" s="2">
        <f ca="1">goldenOTP_check!K9*K65</f>
        <v>1154.652026</v>
      </c>
      <c r="L9" s="2">
        <f ca="1">goldenOTP_check!L9*L65</f>
        <v>1170.145041</v>
      </c>
      <c r="M9" s="2">
        <f ca="1">goldenOTP_check!M9*M65</f>
        <v>1133.3274839999999</v>
      </c>
      <c r="N9" s="2">
        <f ca="1">goldenOTP_check!N9*N65</f>
        <v>1092.7588249999999</v>
      </c>
      <c r="O9" s="2">
        <f ca="1">goldenOTP_check!O9*O65</f>
        <v>1067.3036359999999</v>
      </c>
      <c r="P9" s="2">
        <f ca="1">goldenOTP_check!P9*P65</f>
        <v>1044.1267519999999</v>
      </c>
      <c r="Q9" s="2">
        <f ca="1">goldenOTP_check!Q9*Q65</f>
        <v>1034.820144</v>
      </c>
      <c r="R9" s="2">
        <f ca="1">goldenOTP_check!R9*R65</f>
        <v>1035.2392960000002</v>
      </c>
      <c r="S9" s="2">
        <f ca="1">goldenOTP_check!S9*S65</f>
        <v>1044.662906</v>
      </c>
      <c r="T9" s="2">
        <f ca="1">goldenOTP_check!T9*T65</f>
        <v>1058.166489</v>
      </c>
      <c r="U9" s="2">
        <f ca="1">goldenOTP_check!U9*U65</f>
        <v>1090.164084</v>
      </c>
      <c r="V9" s="2">
        <f ca="1">goldenOTP_check!V9*V65</f>
        <v>1104.4374</v>
      </c>
      <c r="W9" s="2">
        <f ca="1">goldenOTP_check!W9*W65</f>
        <v>1111.7730799999999</v>
      </c>
      <c r="X9" s="2">
        <f ca="1">goldenOTP_check!X9*X65</f>
        <v>1102.857444</v>
      </c>
      <c r="Y9" s="2">
        <f ca="1">goldenOTP_check!Y9*Y65</f>
        <v>1074.2944649999999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1125.140733</v>
      </c>
      <c r="J10" s="2">
        <f ca="1">goldenOTP_check!J10*J66</f>
        <v>1163.885168</v>
      </c>
      <c r="K10" s="2">
        <f ca="1">goldenOTP_check!K10*K66</f>
        <v>1145.4532380000001</v>
      </c>
      <c r="L10" s="2">
        <f ca="1">goldenOTP_check!L10*L66</f>
        <v>1159.9660799999999</v>
      </c>
      <c r="M10" s="2">
        <f ca="1">goldenOTP_check!M10*M66</f>
        <v>1131.5281599999998</v>
      </c>
      <c r="N10" s="2">
        <f ca="1">goldenOTP_check!N10*N66</f>
        <v>1107.4559839999999</v>
      </c>
      <c r="O10" s="2">
        <f ca="1">goldenOTP_check!O10*O66</f>
        <v>1077.315096</v>
      </c>
      <c r="P10" s="2">
        <f ca="1">goldenOTP_check!P10*P66</f>
        <v>1059.8640149999999</v>
      </c>
      <c r="Q10" s="2">
        <f ca="1">goldenOTP_check!Q10*Q66</f>
        <v>1055.272217</v>
      </c>
      <c r="R10" s="2">
        <f ca="1">goldenOTP_check!R10*R66</f>
        <v>1050.6720070000001</v>
      </c>
      <c r="S10" s="2">
        <f ca="1">goldenOTP_check!S10*S66</f>
        <v>1054.1396580000001</v>
      </c>
      <c r="T10" s="2">
        <f ca="1">goldenOTP_check!T10*T66</f>
        <v>1074.8841600000001</v>
      </c>
      <c r="U10" s="2">
        <f ca="1">goldenOTP_check!U10*U66</f>
        <v>1091.1961699999999</v>
      </c>
      <c r="V10" s="2">
        <f ca="1">goldenOTP_check!V10*V66</f>
        <v>1120.2128640000001</v>
      </c>
      <c r="W10" s="2">
        <f ca="1">goldenOTP_check!W10*W66</f>
        <v>1104.0638980000001</v>
      </c>
      <c r="X10" s="2">
        <f ca="1">goldenOTP_check!X10*X66</f>
        <v>1115.4030679999998</v>
      </c>
      <c r="Y10" s="2">
        <f ca="1">goldenOTP_check!Y10*Y66</f>
        <v>1073.7634949999999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1153.9700249999999</v>
      </c>
      <c r="J11" s="2">
        <f ca="1">goldenOTP_check!J11*J67</f>
        <v>1163.4711560000001</v>
      </c>
      <c r="K11" s="2">
        <f ca="1">goldenOTP_check!K11*K67</f>
        <v>1133.0238629999999</v>
      </c>
      <c r="L11" s="2">
        <f ca="1">goldenOTP_check!L11*L67</f>
        <v>1148.5494590000001</v>
      </c>
      <c r="M11" s="2">
        <f ca="1">goldenOTP_check!M11*M67</f>
        <v>1138.990151</v>
      </c>
      <c r="N11" s="2">
        <f ca="1">goldenOTP_check!N11*N67</f>
        <v>1112.087808</v>
      </c>
      <c r="O11" s="2">
        <f ca="1">goldenOTP_check!O11*O67</f>
        <v>1101.2099599999999</v>
      </c>
      <c r="P11" s="2">
        <f ca="1">goldenOTP_check!P11*P67</f>
        <v>1079.169449</v>
      </c>
      <c r="Q11" s="2">
        <f ca="1">goldenOTP_check!Q11*Q67</f>
        <v>1062.0248100000001</v>
      </c>
      <c r="R11" s="2">
        <f ca="1">goldenOTP_check!R11*R67</f>
        <v>1068.628465</v>
      </c>
      <c r="S11" s="2">
        <f ca="1">goldenOTP_check!S11*S67</f>
        <v>1062.091408</v>
      </c>
      <c r="T11" s="2">
        <f ca="1">goldenOTP_check!T11*T67</f>
        <v>1080.073588</v>
      </c>
      <c r="U11" s="2">
        <f ca="1">goldenOTP_check!U11*U67</f>
        <v>1103.6749619999998</v>
      </c>
      <c r="V11" s="2">
        <f ca="1">goldenOTP_check!V11*V67</f>
        <v>1113.7402010000001</v>
      </c>
      <c r="W11" s="2">
        <f ca="1">goldenOTP_check!W11*W67</f>
        <v>1092.8846040000001</v>
      </c>
      <c r="X11" s="2">
        <f ca="1">goldenOTP_check!X11*X67</f>
        <v>1117.294112</v>
      </c>
      <c r="Y11" s="2">
        <f ca="1">goldenOTP_check!Y11*Y67</f>
        <v>1055.67028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1093.6813500000001</v>
      </c>
      <c r="J12" s="2">
        <f ca="1">goldenOTP_check!J12*J68</f>
        <v>1145.5061800000001</v>
      </c>
      <c r="K12" s="2">
        <f ca="1">goldenOTP_check!K12*K68</f>
        <v>1140.443192</v>
      </c>
      <c r="L12" s="2">
        <f ca="1">goldenOTP_check!L12*L68</f>
        <v>1153.21874</v>
      </c>
      <c r="M12" s="2">
        <f ca="1">goldenOTP_check!M12*M68</f>
        <v>1134.426146</v>
      </c>
      <c r="N12" s="2">
        <f ca="1">goldenOTP_check!N12*N68</f>
        <v>1135.663867</v>
      </c>
      <c r="O12" s="2">
        <f ca="1">goldenOTP_check!O12*O68</f>
        <v>1119.52243</v>
      </c>
      <c r="P12" s="2">
        <f ca="1">goldenOTP_check!P12*P68</f>
        <v>1114.4503079999999</v>
      </c>
      <c r="Q12" s="2">
        <f ca="1">goldenOTP_check!Q12*Q68</f>
        <v>1102.1102189999999</v>
      </c>
      <c r="R12" s="2">
        <f ca="1">goldenOTP_check!R12*R68</f>
        <v>1103.944107</v>
      </c>
      <c r="S12" s="2">
        <f ca="1">goldenOTP_check!S12*S68</f>
        <v>1097.84123</v>
      </c>
      <c r="T12" s="2">
        <f ca="1">goldenOTP_check!T12*T68</f>
        <v>1108.2318</v>
      </c>
      <c r="U12" s="2">
        <f ca="1">goldenOTP_check!U12*U68</f>
        <v>1104.7896249999999</v>
      </c>
      <c r="V12" s="2">
        <f ca="1">goldenOTP_check!V12*V68</f>
        <v>1091.19289</v>
      </c>
      <c r="W12" s="2">
        <f ca="1">goldenOTP_check!W12*W68</f>
        <v>1102.070336</v>
      </c>
      <c r="X12" s="2">
        <f ca="1">goldenOTP_check!X12*X68</f>
        <v>1104.414156</v>
      </c>
      <c r="Y12" s="2">
        <f ca="1">goldenOTP_check!Y12*Y68</f>
        <v>1057.1848500000001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1093.5027</v>
      </c>
      <c r="J13" s="2">
        <f ca="1">goldenOTP_check!J13*J69</f>
        <v>1125.327493</v>
      </c>
      <c r="K13" s="2">
        <f ca="1">goldenOTP_check!K13*K69</f>
        <v>1125.3709200000001</v>
      </c>
      <c r="L13" s="2">
        <f ca="1">goldenOTP_check!L13*L69</f>
        <v>1135.6864740000001</v>
      </c>
      <c r="M13" s="2">
        <f ca="1">goldenOTP_check!M13*M69</f>
        <v>1148.011694</v>
      </c>
      <c r="N13" s="2">
        <f ca="1">goldenOTP_check!N13*N69</f>
        <v>1139.384534</v>
      </c>
      <c r="O13" s="2">
        <f ca="1">goldenOTP_check!O13*O69</f>
        <v>1145.9232</v>
      </c>
      <c r="P13" s="2">
        <f ca="1">goldenOTP_check!P13*P69</f>
        <v>1147.662685</v>
      </c>
      <c r="Q13" s="2">
        <f ca="1">goldenOTP_check!Q13*Q69</f>
        <v>1122.674618</v>
      </c>
      <c r="R13" s="2">
        <f ca="1">goldenOTP_check!R13*R69</f>
        <v>1139.921926</v>
      </c>
      <c r="S13" s="2">
        <f ca="1">goldenOTP_check!S13*S69</f>
        <v>1129.4277119999999</v>
      </c>
      <c r="T13" s="2">
        <f ca="1">goldenOTP_check!T13*T69</f>
        <v>1119.5967599999999</v>
      </c>
      <c r="U13" s="2">
        <f ca="1">goldenOTP_check!U13*U69</f>
        <v>1121.7889660000001</v>
      </c>
      <c r="V13" s="2">
        <f ca="1">goldenOTP_check!V13*V69</f>
        <v>1105.423785</v>
      </c>
      <c r="W13" s="2">
        <f ca="1">goldenOTP_check!W13*W69</f>
        <v>1092.0478800000001</v>
      </c>
      <c r="X13" s="2">
        <f ca="1">goldenOTP_check!X13*X69</f>
        <v>1090.861034</v>
      </c>
      <c r="Y13" s="2">
        <f ca="1">goldenOTP_check!Y13*Y69</f>
        <v>1058.5849500000002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1132.52232</v>
      </c>
      <c r="J14" s="2">
        <f ca="1">goldenOTP_check!J14*J70</f>
        <v>1118.95355</v>
      </c>
      <c r="K14" s="2">
        <f ca="1">goldenOTP_check!K14*K70</f>
        <v>1099.0285389999999</v>
      </c>
      <c r="L14" s="2">
        <f ca="1">goldenOTP_check!L14*L70</f>
        <v>1108.242203</v>
      </c>
      <c r="M14" s="2">
        <f ca="1">goldenOTP_check!M14*M70</f>
        <v>1104.81476</v>
      </c>
      <c r="N14" s="2">
        <f ca="1">goldenOTP_check!N14*N70</f>
        <v>1126.7102990000001</v>
      </c>
      <c r="O14" s="2">
        <f ca="1">goldenOTP_check!O14*O70</f>
        <v>1124.5469700000001</v>
      </c>
      <c r="P14" s="2">
        <f ca="1">goldenOTP_check!P14*P70</f>
        <v>1122.113572</v>
      </c>
      <c r="Q14" s="2">
        <f ca="1">goldenOTP_check!Q14*Q70</f>
        <v>1137.9966179999999</v>
      </c>
      <c r="R14" s="2">
        <f ca="1">goldenOTP_check!R14*R70</f>
        <v>1118.024782</v>
      </c>
      <c r="S14" s="2">
        <f ca="1">goldenOTP_check!S14*S70</f>
        <v>1113.7892120000001</v>
      </c>
      <c r="T14" s="2">
        <f ca="1">goldenOTP_check!T14*T70</f>
        <v>1107.1801949999999</v>
      </c>
      <c r="U14" s="2">
        <f ca="1">goldenOTP_check!U14*U70</f>
        <v>1082.8585720000001</v>
      </c>
      <c r="V14" s="2">
        <f ca="1">goldenOTP_check!V14*V70</f>
        <v>1080.279865</v>
      </c>
      <c r="W14" s="2">
        <f ca="1">goldenOTP_check!W14*W70</f>
        <v>1072.5339960000001</v>
      </c>
      <c r="X14" s="2">
        <f ca="1">goldenOTP_check!X14*X70</f>
        <v>1087.2061200000001</v>
      </c>
      <c r="Y14" s="3">
        <f ca="1">goldenOTP_check!Y14*Y70</f>
        <v>1084.9910849999999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1097.257392</v>
      </c>
      <c r="J16" s="2">
        <f ca="1">goldenOTP_check!J16*J72</f>
        <v>1062.8868</v>
      </c>
      <c r="K16" s="2">
        <f ca="1">goldenOTP_check!K16*K72</f>
        <v>1084.434816</v>
      </c>
      <c r="L16" s="2">
        <f ca="1">goldenOTP_check!L16*L72</f>
        <v>1089.830412</v>
      </c>
      <c r="M16" s="2">
        <f ca="1">goldenOTP_check!M16*M72</f>
        <v>1073.4271349999999</v>
      </c>
      <c r="N16" s="2">
        <f ca="1">goldenOTP_check!N16*N72</f>
        <v>1066.138884</v>
      </c>
      <c r="O16" s="2">
        <f ca="1">goldenOTP_check!O16*O72</f>
        <v>1065.3677189999999</v>
      </c>
      <c r="P16" s="2">
        <f ca="1">goldenOTP_check!P16*P72</f>
        <v>1082.2498949999999</v>
      </c>
      <c r="Q16" s="2">
        <f ca="1">goldenOTP_check!Q16*Q72</f>
        <v>1073.31538</v>
      </c>
      <c r="R16" s="2">
        <f ca="1">goldenOTP_check!R16*R72</f>
        <v>1080.47423</v>
      </c>
      <c r="S16" s="2">
        <f ca="1">goldenOTP_check!S16*S72</f>
        <v>1074.5036359999999</v>
      </c>
      <c r="T16" s="2">
        <f ca="1">goldenOTP_check!T16*T72</f>
        <v>1055.932992</v>
      </c>
      <c r="U16" s="2">
        <f ca="1">goldenOTP_check!U16*U72</f>
        <v>1055.6993560000001</v>
      </c>
      <c r="V16" s="2">
        <f ca="1">goldenOTP_check!V16*V72</f>
        <v>1071.1748520000001</v>
      </c>
      <c r="W16" s="2">
        <f ca="1">goldenOTP_check!W16*W72</f>
        <v>1064.194788</v>
      </c>
      <c r="X16" s="2">
        <f ca="1">goldenOTP_check!X16*X72</f>
        <v>1037.5857000000001</v>
      </c>
      <c r="Y16" s="10">
        <f ca="1">goldenOTP_check!Y16*Y72</f>
        <v>1032.011904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1066.4828459999999</v>
      </c>
      <c r="J17" s="2">
        <f ca="1">goldenOTP_check!J17*J73</f>
        <v>1081.3720029999999</v>
      </c>
      <c r="K17" s="2">
        <f ca="1">goldenOTP_check!K17*K73</f>
        <v>1093.4022420000001</v>
      </c>
      <c r="L17" s="2">
        <f ca="1">goldenOTP_check!L17*L73</f>
        <v>1087.554496</v>
      </c>
      <c r="M17" s="2">
        <f ca="1">goldenOTP_check!M17*M73</f>
        <v>1089.274165</v>
      </c>
      <c r="N17" s="2">
        <f ca="1">goldenOTP_check!N17*N73</f>
        <v>1103.793574</v>
      </c>
      <c r="O17" s="2">
        <f ca="1">goldenOTP_check!O17*O73</f>
        <v>1109.7250200000001</v>
      </c>
      <c r="P17" s="2">
        <f ca="1">goldenOTP_check!P17*P73</f>
        <v>1104.2192700000001</v>
      </c>
      <c r="Q17" s="2">
        <f ca="1">goldenOTP_check!Q17*Q73</f>
        <v>1102.4084660000001</v>
      </c>
      <c r="R17" s="2">
        <f ca="1">goldenOTP_check!R17*R73</f>
        <v>1099.6454699999999</v>
      </c>
      <c r="S17" s="2">
        <f ca="1">goldenOTP_check!S17*S73</f>
        <v>1099.5698970000001</v>
      </c>
      <c r="T17" s="2">
        <f ca="1">goldenOTP_check!T17*T73</f>
        <v>1092.5934500000001</v>
      </c>
      <c r="U17" s="2">
        <f ca="1">goldenOTP_check!U17*U73</f>
        <v>1073.255124</v>
      </c>
      <c r="V17" s="2">
        <f ca="1">goldenOTP_check!V17*V73</f>
        <v>1067.826816</v>
      </c>
      <c r="W17" s="2">
        <f ca="1">goldenOTP_check!W17*W73</f>
        <v>1070.108739</v>
      </c>
      <c r="X17" s="2">
        <f ca="1">goldenOTP_check!X17*X73</f>
        <v>1055.1015050000001</v>
      </c>
      <c r="Y17" s="2">
        <f ca="1">goldenOTP_check!Y17*Y73</f>
        <v>1021.66779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1086.080357</v>
      </c>
      <c r="J18" s="2">
        <f ca="1">goldenOTP_check!J18*J74</f>
        <v>1096.3344079999999</v>
      </c>
      <c r="K18" s="2">
        <f ca="1">goldenOTP_check!K18*K74</f>
        <v>1100.086728</v>
      </c>
      <c r="L18" s="2">
        <f ca="1">goldenOTP_check!L18*L74</f>
        <v>1100.7766340000001</v>
      </c>
      <c r="M18" s="2">
        <f ca="1">goldenOTP_check!M18*M74</f>
        <v>1108.25845</v>
      </c>
      <c r="N18" s="2">
        <f ca="1">goldenOTP_check!N18*N74</f>
        <v>1111.9209060000001</v>
      </c>
      <c r="O18" s="2">
        <f ca="1">goldenOTP_check!O18*O74</f>
        <v>1105.7863179999999</v>
      </c>
      <c r="P18" s="2">
        <f ca="1">goldenOTP_check!P18*P74</f>
        <v>1094.23125</v>
      </c>
      <c r="Q18" s="2">
        <f ca="1">goldenOTP_check!Q18*Q74</f>
        <v>1093.952448</v>
      </c>
      <c r="R18" s="2">
        <f ca="1">goldenOTP_check!R18*R74</f>
        <v>1088.156475</v>
      </c>
      <c r="S18" s="2">
        <f ca="1">goldenOTP_check!S18*S74</f>
        <v>1091.42533</v>
      </c>
      <c r="T18" s="2">
        <f ca="1">goldenOTP_check!T18*T74</f>
        <v>1096.2907620000001</v>
      </c>
      <c r="U18" s="2">
        <f ca="1">goldenOTP_check!U18*U74</f>
        <v>1089.5330000000001</v>
      </c>
      <c r="V18" s="2">
        <f ca="1">goldenOTP_check!V18*V74</f>
        <v>1067.754316</v>
      </c>
      <c r="W18" s="2">
        <f ca="1">goldenOTP_check!W18*W74</f>
        <v>1061.3593799999999</v>
      </c>
      <c r="X18" s="2">
        <f ca="1">goldenOTP_check!X18*X74</f>
        <v>1065.445256</v>
      </c>
      <c r="Y18" s="2">
        <f ca="1">goldenOTP_check!Y18*Y74</f>
        <v>1041.6436140000001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1096.0290600000001</v>
      </c>
      <c r="J19" s="2">
        <f ca="1">goldenOTP_check!J19*J75</f>
        <v>1096.1200000000001</v>
      </c>
      <c r="K19" s="2">
        <f ca="1">goldenOTP_check!K19*K75</f>
        <v>1093.5828409999999</v>
      </c>
      <c r="L19" s="2">
        <f ca="1">goldenOTP_check!L19*L75</f>
        <v>1103.0132100000001</v>
      </c>
      <c r="M19" s="2">
        <f ca="1">goldenOTP_check!M19*M75</f>
        <v>1111.102349</v>
      </c>
      <c r="N19" s="2">
        <f ca="1">goldenOTP_check!N19*N75</f>
        <v>1105.3344199999999</v>
      </c>
      <c r="O19" s="2">
        <f ca="1">goldenOTP_check!O19*O75</f>
        <v>1094.39652</v>
      </c>
      <c r="P19" s="2">
        <f ca="1">goldenOTP_check!P19*P75</f>
        <v>1078.217506</v>
      </c>
      <c r="Q19" s="2">
        <f ca="1">goldenOTP_check!Q19*Q75</f>
        <v>1071.41283</v>
      </c>
      <c r="R19" s="2">
        <f ca="1">goldenOTP_check!R19*R75</f>
        <v>1070.3692940000001</v>
      </c>
      <c r="S19" s="2">
        <f ca="1">goldenOTP_check!S19*S75</f>
        <v>1079.04566</v>
      </c>
      <c r="T19" s="2">
        <f ca="1">goldenOTP_check!T19*T75</f>
        <v>1084.30222</v>
      </c>
      <c r="U19" s="2">
        <f ca="1">goldenOTP_check!U19*U75</f>
        <v>1089.203225</v>
      </c>
      <c r="V19" s="2">
        <f ca="1">goldenOTP_check!V19*V75</f>
        <v>1082.4073519999999</v>
      </c>
      <c r="W19" s="2">
        <f ca="1">goldenOTP_check!W19*W75</f>
        <v>1067.739673</v>
      </c>
      <c r="X19" s="2">
        <f ca="1">goldenOTP_check!X19*X75</f>
        <v>1063.276482</v>
      </c>
      <c r="Y19" s="2">
        <f ca="1">goldenOTP_check!Y19*Y75</f>
        <v>1047.9997989999999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1096.0857599999999</v>
      </c>
      <c r="J20" s="2">
        <f ca="1">goldenOTP_check!J20*J76</f>
        <v>1098.7818749999999</v>
      </c>
      <c r="K20" s="2">
        <f ca="1">goldenOTP_check!K20*K76</f>
        <v>1095.0764859999999</v>
      </c>
      <c r="L20" s="2">
        <f ca="1">goldenOTP_check!L20*L76</f>
        <v>1118.27008</v>
      </c>
      <c r="M20" s="2">
        <f ca="1">goldenOTP_check!M20*M76</f>
        <v>1113.336198</v>
      </c>
      <c r="N20" s="2">
        <f ca="1">goldenOTP_check!N20*N76</f>
        <v>1096.6109920000001</v>
      </c>
      <c r="O20" s="2">
        <f ca="1">goldenOTP_check!O20*O76</f>
        <v>1078.4338439999999</v>
      </c>
      <c r="P20" s="2">
        <f ca="1">goldenOTP_check!P20*P76</f>
        <v>1057.7579999999998</v>
      </c>
      <c r="Q20" s="2">
        <f ca="1">goldenOTP_check!Q20*Q76</f>
        <v>1047.2728</v>
      </c>
      <c r="R20" s="2">
        <f ca="1">goldenOTP_check!R20*R76</f>
        <v>1048.563997</v>
      </c>
      <c r="S20" s="2">
        <f ca="1">goldenOTP_check!S20*S76</f>
        <v>1060.0981980000001</v>
      </c>
      <c r="T20" s="2">
        <f ca="1">goldenOTP_check!T20*T76</f>
        <v>1071.7256440000001</v>
      </c>
      <c r="U20" s="2">
        <f ca="1">goldenOTP_check!U20*U76</f>
        <v>1085.136156</v>
      </c>
      <c r="V20" s="2">
        <f ca="1">goldenOTP_check!V20*V76</f>
        <v>1085.071968</v>
      </c>
      <c r="W20" s="2">
        <f ca="1">goldenOTP_check!W20*W76</f>
        <v>1068.4518</v>
      </c>
      <c r="X20" s="2">
        <f ca="1">goldenOTP_check!X20*X76</f>
        <v>1064.1679789999998</v>
      </c>
      <c r="Y20" s="2">
        <f ca="1">goldenOTP_check!Y20*Y76</f>
        <v>1046.1071939999999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1080.368352</v>
      </c>
      <c r="J21" s="2">
        <f ca="1">goldenOTP_check!J21*J77</f>
        <v>1094.2264829999999</v>
      </c>
      <c r="K21" s="2">
        <f ca="1">goldenOTP_check!K21*K77</f>
        <v>1097.8191199999999</v>
      </c>
      <c r="L21" s="2">
        <f ca="1">goldenOTP_check!L21*L77</f>
        <v>1116.0375359999998</v>
      </c>
      <c r="M21" s="2">
        <f ca="1">goldenOTP_check!M21*M77</f>
        <v>1115.3673629999998</v>
      </c>
      <c r="N21" s="2">
        <f ca="1">goldenOTP_check!N21*N77</f>
        <v>1091.4322139999999</v>
      </c>
      <c r="O21" s="2">
        <f ca="1">goldenOTP_check!O21*O77</f>
        <v>1070.205213</v>
      </c>
      <c r="P21" s="2">
        <f ca="1">goldenOTP_check!P21*P77</f>
        <v>1042.072075</v>
      </c>
      <c r="Q21" s="2">
        <f ca="1">goldenOTP_check!Q21*Q77</f>
        <v>1027.867835</v>
      </c>
      <c r="R21" s="2">
        <f ca="1">goldenOTP_check!R21*R77</f>
        <v>1033.0417790000001</v>
      </c>
      <c r="S21" s="2">
        <f ca="1">goldenOTP_check!S21*S77</f>
        <v>1048.963628</v>
      </c>
      <c r="T21" s="2">
        <f ca="1">goldenOTP_check!T21*T77</f>
        <v>1064.564946</v>
      </c>
      <c r="U21" s="2">
        <f ca="1">goldenOTP_check!U21*U77</f>
        <v>1077.433266</v>
      </c>
      <c r="V21" s="2">
        <f ca="1">goldenOTP_check!V21*V77</f>
        <v>1088.2570559999999</v>
      </c>
      <c r="W21" s="2">
        <f ca="1">goldenOTP_check!W21*W77</f>
        <v>1069.2637200000001</v>
      </c>
      <c r="X21" s="2">
        <f ca="1">goldenOTP_check!X21*X77</f>
        <v>1060.0349490000001</v>
      </c>
      <c r="Y21" s="2">
        <f ca="1">goldenOTP_check!Y21*Y77</f>
        <v>1051.7746400000001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1083.033126</v>
      </c>
      <c r="J22" s="2">
        <f ca="1">goldenOTP_check!J22*J78</f>
        <v>1093.1644980000001</v>
      </c>
      <c r="K22" s="2">
        <f ca="1">goldenOTP_check!K22*K78</f>
        <v>1104.041279</v>
      </c>
      <c r="L22" s="2">
        <f ca="1">goldenOTP_check!L22*L78</f>
        <v>1125.526472</v>
      </c>
      <c r="M22" s="2">
        <f ca="1">goldenOTP_check!M22*M78</f>
        <v>1107.667674</v>
      </c>
      <c r="N22" s="2">
        <f ca="1">goldenOTP_check!N22*N78</f>
        <v>1085.8801060000001</v>
      </c>
      <c r="O22" s="2">
        <f ca="1">goldenOTP_check!O22*O78</f>
        <v>1066.3439369999999</v>
      </c>
      <c r="P22" s="2">
        <f ca="1">goldenOTP_check!P22*P78</f>
        <v>1036.0349999999999</v>
      </c>
      <c r="Q22" s="2">
        <f ca="1">goldenOTP_check!Q22*Q78</f>
        <v>1029.1165169999999</v>
      </c>
      <c r="R22" s="2">
        <f ca="1">goldenOTP_check!R22*R78</f>
        <v>1028.3132859999998</v>
      </c>
      <c r="S22" s="2">
        <f ca="1">goldenOTP_check!S22*S78</f>
        <v>1046.4651840000001</v>
      </c>
      <c r="T22" s="2">
        <f ca="1">goldenOTP_check!T22*T78</f>
        <v>1058.548033</v>
      </c>
      <c r="U22" s="2">
        <f ca="1">goldenOTP_check!U22*U78</f>
        <v>1073.77522</v>
      </c>
      <c r="V22" s="2">
        <f ca="1">goldenOTP_check!V22*V78</f>
        <v>1083.7146480000001</v>
      </c>
      <c r="W22" s="2">
        <f ca="1">goldenOTP_check!W22*W78</f>
        <v>1073.1073349999999</v>
      </c>
      <c r="X22" s="2">
        <f ca="1">goldenOTP_check!X22*X78</f>
        <v>1056.0795929999999</v>
      </c>
      <c r="Y22" s="2">
        <f ca="1">goldenOTP_check!Y22*Y78</f>
        <v>1031.170014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1075.0201079999999</v>
      </c>
      <c r="J23" s="2">
        <f ca="1">goldenOTP_check!J23*J79</f>
        <v>1091.3023680000001</v>
      </c>
      <c r="K23" s="2">
        <f ca="1">goldenOTP_check!K23*K79</f>
        <v>1107.0387940000001</v>
      </c>
      <c r="L23" s="2">
        <f ca="1">goldenOTP_check!L23*L79</f>
        <v>1123.0287949999999</v>
      </c>
      <c r="M23" s="2">
        <f ca="1">goldenOTP_check!M23*M79</f>
        <v>1112.8275630000001</v>
      </c>
      <c r="N23" s="2">
        <f ca="1">goldenOTP_check!N23*N79</f>
        <v>1095.747828</v>
      </c>
      <c r="O23" s="2">
        <f ca="1">goldenOTP_check!O23*O79</f>
        <v>1073.607205</v>
      </c>
      <c r="P23" s="2">
        <f ca="1">goldenOTP_check!P23*P79</f>
        <v>1045.6840079999999</v>
      </c>
      <c r="Q23" s="2">
        <f ca="1">goldenOTP_check!Q23*Q79</f>
        <v>1033.5024699999999</v>
      </c>
      <c r="R23" s="2">
        <f ca="1">goldenOTP_check!R23*R79</f>
        <v>1038.0629280000001</v>
      </c>
      <c r="S23" s="2">
        <f ca="1">goldenOTP_check!S23*S79</f>
        <v>1046.943053</v>
      </c>
      <c r="T23" s="2">
        <f ca="1">goldenOTP_check!T23*T79</f>
        <v>1059.806196</v>
      </c>
      <c r="U23" s="2">
        <f ca="1">goldenOTP_check!U23*U79</f>
        <v>1070.645706</v>
      </c>
      <c r="V23" s="2">
        <f ca="1">goldenOTP_check!V23*V79</f>
        <v>1082.2125120000001</v>
      </c>
      <c r="W23" s="2">
        <f ca="1">goldenOTP_check!W23*W79</f>
        <v>1063.4609840000001</v>
      </c>
      <c r="X23" s="2">
        <f ca="1">goldenOTP_check!X23*X79</f>
        <v>1052.8295309999999</v>
      </c>
      <c r="Y23" s="2">
        <f ca="1">goldenOTP_check!Y23*Y79</f>
        <v>1046.5789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1082.101911</v>
      </c>
      <c r="J24" s="2">
        <f ca="1">goldenOTP_check!J24*J80</f>
        <v>1091.7828830000001</v>
      </c>
      <c r="K24" s="2">
        <f ca="1">goldenOTP_check!K24*K80</f>
        <v>1088.6494299999999</v>
      </c>
      <c r="L24" s="2">
        <f ca="1">goldenOTP_check!L24*L80</f>
        <v>1112.5488</v>
      </c>
      <c r="M24" s="2">
        <f ca="1">goldenOTP_check!M24*M80</f>
        <v>1118.208828</v>
      </c>
      <c r="N24" s="2">
        <f ca="1">goldenOTP_check!N24*N80</f>
        <v>1098.851478</v>
      </c>
      <c r="O24" s="2">
        <f ca="1">goldenOTP_check!O24*O80</f>
        <v>1079.3126729999999</v>
      </c>
      <c r="P24" s="2">
        <f ca="1">goldenOTP_check!P24*P80</f>
        <v>1058.903928</v>
      </c>
      <c r="Q24" s="2">
        <f ca="1">goldenOTP_check!Q24*Q80</f>
        <v>1055.0517629999999</v>
      </c>
      <c r="R24" s="2">
        <f ca="1">goldenOTP_check!R24*R80</f>
        <v>1051.2303879999999</v>
      </c>
      <c r="S24" s="2">
        <f ca="1">goldenOTP_check!S24*S80</f>
        <v>1058.9822819999999</v>
      </c>
      <c r="T24" s="2">
        <f ca="1">goldenOTP_check!T24*T80</f>
        <v>1064.158868</v>
      </c>
      <c r="U24" s="2">
        <f ca="1">goldenOTP_check!U24*U80</f>
        <v>1076.615982</v>
      </c>
      <c r="V24" s="2">
        <f ca="1">goldenOTP_check!V24*V80</f>
        <v>1083.5636159999999</v>
      </c>
      <c r="W24" s="2">
        <f ca="1">goldenOTP_check!W24*W80</f>
        <v>1057.101138</v>
      </c>
      <c r="X24" s="2">
        <f ca="1">goldenOTP_check!X24*X80</f>
        <v>1052.667013</v>
      </c>
      <c r="Y24" s="2">
        <f ca="1">goldenOTP_check!Y24*Y80</f>
        <v>1033.8334379999999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1074.2969230000001</v>
      </c>
      <c r="J25" s="2">
        <f ca="1">goldenOTP_check!J25*J81</f>
        <v>1085.8770039999999</v>
      </c>
      <c r="K25" s="2">
        <f ca="1">goldenOTP_check!K25*K81</f>
        <v>1082.7420629999999</v>
      </c>
      <c r="L25" s="2">
        <f ca="1">goldenOTP_check!L25*L81</f>
        <v>1104.8128320000001</v>
      </c>
      <c r="M25" s="2">
        <f ca="1">goldenOTP_check!M25*M81</f>
        <v>1113.820205</v>
      </c>
      <c r="N25" s="2">
        <f ca="1">goldenOTP_check!N25*N81</f>
        <v>1106.63255</v>
      </c>
      <c r="O25" s="2">
        <f ca="1">goldenOTP_check!O25*O81</f>
        <v>1086.179412</v>
      </c>
      <c r="P25" s="2">
        <f ca="1">goldenOTP_check!P25*P81</f>
        <v>1075.7786759999999</v>
      </c>
      <c r="Q25" s="2">
        <f ca="1">goldenOTP_check!Q25*Q81</f>
        <v>1069.614282</v>
      </c>
      <c r="R25" s="2">
        <f ca="1">goldenOTP_check!R25*R81</f>
        <v>1066.6334160000001</v>
      </c>
      <c r="S25" s="2">
        <f ca="1">goldenOTP_check!S25*S81</f>
        <v>1067.211528</v>
      </c>
      <c r="T25" s="2">
        <f ca="1">goldenOTP_check!T25*T81</f>
        <v>1080.60148</v>
      </c>
      <c r="U25" s="2">
        <f ca="1">goldenOTP_check!U25*U81</f>
        <v>1086.8066609999998</v>
      </c>
      <c r="V25" s="2">
        <f ca="1">goldenOTP_check!V25*V81</f>
        <v>1067.4132950000001</v>
      </c>
      <c r="W25" s="2">
        <f ca="1">goldenOTP_check!W25*W81</f>
        <v>1050.2649429999999</v>
      </c>
      <c r="X25" s="2">
        <f ca="1">goldenOTP_check!X25*X81</f>
        <v>1045.365554</v>
      </c>
      <c r="Y25" s="2">
        <f ca="1">goldenOTP_check!Y25*Y81</f>
        <v>1030.489992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1060.178287</v>
      </c>
      <c r="J26" s="2">
        <f ca="1">goldenOTP_check!J26*J82</f>
        <v>1082.067088</v>
      </c>
      <c r="K26" s="2">
        <f ca="1">goldenOTP_check!K26*K82</f>
        <v>1073.1124950000001</v>
      </c>
      <c r="L26" s="2">
        <f ca="1">goldenOTP_check!L26*L82</f>
        <v>1089.186195</v>
      </c>
      <c r="M26" s="2">
        <f ca="1">goldenOTP_check!M26*M82</f>
        <v>1097.4990499999999</v>
      </c>
      <c r="N26" s="2">
        <f ca="1">goldenOTP_check!N26*N82</f>
        <v>1113.4520620000001</v>
      </c>
      <c r="O26" s="2">
        <f ca="1">goldenOTP_check!O26*O82</f>
        <v>1101.145266</v>
      </c>
      <c r="P26" s="2">
        <f ca="1">goldenOTP_check!P26*P82</f>
        <v>1090.8246179999999</v>
      </c>
      <c r="Q26" s="2">
        <f ca="1">goldenOTP_check!Q26*Q82</f>
        <v>1080.592416</v>
      </c>
      <c r="R26" s="2">
        <f ca="1">goldenOTP_check!R26*R82</f>
        <v>1081.160496</v>
      </c>
      <c r="S26" s="2">
        <f ca="1">goldenOTP_check!S26*S82</f>
        <v>1082.9178360000001</v>
      </c>
      <c r="T26" s="2">
        <f ca="1">goldenOTP_check!T26*T82</f>
        <v>1080.0247460000001</v>
      </c>
      <c r="U26" s="2">
        <f ca="1">goldenOTP_check!U26*U82</f>
        <v>1074.0902249999999</v>
      </c>
      <c r="V26" s="2">
        <f ca="1">goldenOTP_check!V26*V82</f>
        <v>1048.579956</v>
      </c>
      <c r="W26" s="2">
        <f ca="1">goldenOTP_check!W26*W82</f>
        <v>1041.32293</v>
      </c>
      <c r="X26" s="2">
        <f ca="1">goldenOTP_check!X26*X82</f>
        <v>1044.4170799999999</v>
      </c>
      <c r="Y26" s="2">
        <f ca="1">goldenOTP_check!Y26*Y82</f>
        <v>1020.3906659999999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1049.3326139999999</v>
      </c>
      <c r="J27" s="2">
        <f ca="1">goldenOTP_check!J27*J83</f>
        <v>1083.70507</v>
      </c>
      <c r="K27" s="2">
        <f ca="1">goldenOTP_check!K27*K83</f>
        <v>1076.682843</v>
      </c>
      <c r="L27" s="2">
        <f ca="1">goldenOTP_check!L27*L83</f>
        <v>1072.654016</v>
      </c>
      <c r="M27" s="2">
        <f ca="1">goldenOTP_check!M27*M83</f>
        <v>1075.6564460000002</v>
      </c>
      <c r="N27" s="2">
        <f ca="1">goldenOTP_check!N27*N83</f>
        <v>1091.9567489999999</v>
      </c>
      <c r="O27" s="2">
        <f ca="1">goldenOTP_check!O27*O83</f>
        <v>1097.8447140000001</v>
      </c>
      <c r="P27" s="2">
        <f ca="1">goldenOTP_check!P27*P83</f>
        <v>1101.4082639999999</v>
      </c>
      <c r="Q27" s="2">
        <f ca="1">goldenOTP_check!Q27*Q83</f>
        <v>1089.4589840000001</v>
      </c>
      <c r="R27" s="2">
        <f ca="1">goldenOTP_check!R27*R83</f>
        <v>1093.666236</v>
      </c>
      <c r="S27" s="2">
        <f ca="1">goldenOTP_check!S27*S83</f>
        <v>1084.517208</v>
      </c>
      <c r="T27" s="2">
        <f ca="1">goldenOTP_check!T27*T83</f>
        <v>1076.254439</v>
      </c>
      <c r="U27" s="2">
        <f ca="1">goldenOTP_check!U27*U83</f>
        <v>1053.910247</v>
      </c>
      <c r="V27" s="2">
        <f ca="1">goldenOTP_check!V27*V83</f>
        <v>1046.494848</v>
      </c>
      <c r="W27" s="2">
        <f ca="1">goldenOTP_check!W27*W83</f>
        <v>1047.5222430000001</v>
      </c>
      <c r="X27" s="2">
        <f ca="1">goldenOTP_check!X27*X83</f>
        <v>1049.8955599999999</v>
      </c>
      <c r="Y27" s="2">
        <f ca="1">goldenOTP_check!Y27*Y83</f>
        <v>1012.537992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1074.6211060000001</v>
      </c>
      <c r="J28" s="2">
        <f ca="1">goldenOTP_check!J28*J84</f>
        <v>1048.6130330000001</v>
      </c>
      <c r="K28" s="2">
        <f ca="1">goldenOTP_check!K28*K84</f>
        <v>1057.4116739999999</v>
      </c>
      <c r="L28" s="2">
        <f ca="1">goldenOTP_check!L28*L84</f>
        <v>1066.582762</v>
      </c>
      <c r="M28" s="2">
        <f ca="1">goldenOTP_check!M28*M84</f>
        <v>1050.1765559999999</v>
      </c>
      <c r="N28" s="2">
        <f ca="1">goldenOTP_check!N28*N84</f>
        <v>1051.2414799999999</v>
      </c>
      <c r="O28" s="2">
        <f ca="1">goldenOTP_check!O28*O84</f>
        <v>1065.2658120000001</v>
      </c>
      <c r="P28" s="2">
        <f ca="1">goldenOTP_check!P28*P84</f>
        <v>1061.1137249999999</v>
      </c>
      <c r="Q28" s="2">
        <f ca="1">goldenOTP_check!Q28*Q84</f>
        <v>1072.7004460000001</v>
      </c>
      <c r="R28" s="2">
        <f ca="1">goldenOTP_check!R28*R84</f>
        <v>1055.2825499999999</v>
      </c>
      <c r="S28" s="2">
        <f ca="1">goldenOTP_check!S28*S84</f>
        <v>1054.953432</v>
      </c>
      <c r="T28" s="2">
        <f ca="1">goldenOTP_check!T28*T84</f>
        <v>1034.5169999999998</v>
      </c>
      <c r="U28" s="2">
        <f ca="1">goldenOTP_check!U28*U84</f>
        <v>1028.3614769999999</v>
      </c>
      <c r="V28" s="2">
        <f ca="1">goldenOTP_check!V28*V84</f>
        <v>1041.7085460000001</v>
      </c>
      <c r="W28" s="2">
        <f ca="1">goldenOTP_check!W28*W84</f>
        <v>1030.818448</v>
      </c>
      <c r="X28" s="2">
        <f ca="1">goldenOTP_check!X28*X84</f>
        <v>1017.491319</v>
      </c>
      <c r="Y28" s="10">
        <f ca="1">goldenOTP_check!Y28*Y84</f>
        <v>1024.769219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1093.7090439999999</v>
      </c>
      <c r="J30" s="2">
        <f ca="1">goldenOTP_check!J30*J86</f>
        <v>1091.320236</v>
      </c>
      <c r="K30" s="2">
        <f ca="1">goldenOTP_check!K30*K86</f>
        <v>1107.150576</v>
      </c>
      <c r="L30" s="2">
        <f ca="1">goldenOTP_check!L30*L86</f>
        <v>1108.441836</v>
      </c>
      <c r="M30" s="2">
        <f ca="1">goldenOTP_check!M30*M86</f>
        <v>1082.312784</v>
      </c>
      <c r="N30" s="2">
        <f ca="1">goldenOTP_check!N30*N86</f>
        <v>1079.8474469999999</v>
      </c>
      <c r="O30" s="2">
        <f ca="1">goldenOTP_check!O30*O86</f>
        <v>1088.7142699999999</v>
      </c>
      <c r="P30" s="2">
        <f ca="1">goldenOTP_check!P30*P86</f>
        <v>1105.5713760000001</v>
      </c>
      <c r="Q30" s="2">
        <f ca="1">goldenOTP_check!Q30*Q86</f>
        <v>1095.74361</v>
      </c>
      <c r="R30" s="2">
        <f ca="1">goldenOTP_check!R30*R86</f>
        <v>1105.8411000000001</v>
      </c>
      <c r="S30" s="2">
        <f ca="1">goldenOTP_check!S30*S86</f>
        <v>1084.9898499999999</v>
      </c>
      <c r="T30" s="2">
        <f ca="1">goldenOTP_check!T30*T86</f>
        <v>1072.0788750000002</v>
      </c>
      <c r="U30" s="2">
        <f ca="1">goldenOTP_check!U30*U86</f>
        <v>1070.241732</v>
      </c>
      <c r="V30" s="2">
        <f ca="1">goldenOTP_check!V30*V86</f>
        <v>1090.8760440000001</v>
      </c>
      <c r="W30" s="2">
        <f ca="1">goldenOTP_check!W30*W86</f>
        <v>1089.1868459999998</v>
      </c>
      <c r="X30" s="2">
        <f ca="1">goldenOTP_check!X30*X86</f>
        <v>1065.301056</v>
      </c>
      <c r="Y30" s="11">
        <f ca="1">goldenOTP_check!Y30*Y86</f>
        <v>1033.585808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1093.0675859999999</v>
      </c>
      <c r="J31" s="2">
        <f ca="1">goldenOTP_check!J31*J87</f>
        <v>1108.035089</v>
      </c>
      <c r="K31" s="2">
        <f ca="1">goldenOTP_check!K31*K87</f>
        <v>1113.2537600000001</v>
      </c>
      <c r="L31" s="2">
        <f ca="1">goldenOTP_check!L31*L87</f>
        <v>1104.3877259999999</v>
      </c>
      <c r="M31" s="2">
        <f ca="1">goldenOTP_check!M31*M87</f>
        <v>1114.4018579999999</v>
      </c>
      <c r="N31" s="2">
        <f ca="1">goldenOTP_check!N31*N87</f>
        <v>1114.2857759999999</v>
      </c>
      <c r="O31" s="2">
        <f ca="1">goldenOTP_check!O31*O87</f>
        <v>1129.8692920000001</v>
      </c>
      <c r="P31" s="2">
        <f ca="1">goldenOTP_check!P31*P87</f>
        <v>1123.5249289999999</v>
      </c>
      <c r="Q31" s="2">
        <f ca="1">goldenOTP_check!Q31*Q87</f>
        <v>1122.8831279999999</v>
      </c>
      <c r="R31" s="2">
        <f ca="1">goldenOTP_check!R31*R87</f>
        <v>1120.3840289999998</v>
      </c>
      <c r="S31" s="2">
        <f ca="1">goldenOTP_check!S31*S87</f>
        <v>1122.1071039999999</v>
      </c>
      <c r="T31" s="2">
        <f ca="1">goldenOTP_check!T31*T87</f>
        <v>1104.1016279999999</v>
      </c>
      <c r="U31" s="2">
        <f ca="1">goldenOTP_check!U31*U87</f>
        <v>1099.8710779999999</v>
      </c>
      <c r="V31" s="2">
        <f ca="1">goldenOTP_check!V31*V87</f>
        <v>1084.454367</v>
      </c>
      <c r="W31" s="2">
        <f ca="1">goldenOTP_check!W31*W87</f>
        <v>1090.5072640000001</v>
      </c>
      <c r="X31" s="2">
        <f ca="1">goldenOTP_check!X31*X87</f>
        <v>1081.1984259999999</v>
      </c>
      <c r="Y31" s="2">
        <f ca="1">goldenOTP_check!Y31*Y87</f>
        <v>1047.972771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1087.7888700000001</v>
      </c>
      <c r="J32" s="2">
        <f ca="1">goldenOTP_check!J32*J88</f>
        <v>1122.21668</v>
      </c>
      <c r="K32" s="2">
        <f ca="1">goldenOTP_check!K32*K88</f>
        <v>1107.3713299999999</v>
      </c>
      <c r="L32" s="2">
        <f ca="1">goldenOTP_check!L32*L88</f>
        <v>1107.1269179999999</v>
      </c>
      <c r="M32" s="2">
        <f ca="1">goldenOTP_check!M32*M88</f>
        <v>1123.7434739999999</v>
      </c>
      <c r="N32" s="2">
        <f ca="1">goldenOTP_check!N32*N88</f>
        <v>1134.8447820000001</v>
      </c>
      <c r="O32" s="2">
        <f ca="1">goldenOTP_check!O32*O88</f>
        <v>1123.9266359999999</v>
      </c>
      <c r="P32" s="2">
        <f ca="1">goldenOTP_check!P32*P88</f>
        <v>1113.0785550000001</v>
      </c>
      <c r="Q32" s="2">
        <f ca="1">goldenOTP_check!Q32*Q88</f>
        <v>1111.360621</v>
      </c>
      <c r="R32" s="2">
        <f ca="1">goldenOTP_check!R32*R88</f>
        <v>1108.118475</v>
      </c>
      <c r="S32" s="2">
        <f ca="1">goldenOTP_check!S32*S88</f>
        <v>1111.4757480000001</v>
      </c>
      <c r="T32" s="2">
        <f ca="1">goldenOTP_check!T32*T88</f>
        <v>1120.062821</v>
      </c>
      <c r="U32" s="2">
        <f ca="1">goldenOTP_check!U32*U88</f>
        <v>1106.3895849999999</v>
      </c>
      <c r="V32" s="2">
        <f ca="1">goldenOTP_check!V32*V88</f>
        <v>1087.209748</v>
      </c>
      <c r="W32" s="2">
        <f ca="1">goldenOTP_check!W32*W88</f>
        <v>1081.1607300000001</v>
      </c>
      <c r="X32" s="2">
        <f ca="1">goldenOTP_check!X32*X88</f>
        <v>1089.394094</v>
      </c>
      <c r="Y32" s="2">
        <f ca="1">goldenOTP_check!Y32*Y88</f>
        <v>1068.213972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1103.6518920000001</v>
      </c>
      <c r="J33" s="2">
        <f ca="1">goldenOTP_check!J33*J89</f>
        <v>1102.8836330000001</v>
      </c>
      <c r="K33" s="2">
        <f ca="1">goldenOTP_check!K33*K89</f>
        <v>1100.5140510000001</v>
      </c>
      <c r="L33" s="2">
        <f ca="1">goldenOTP_check!L33*L89</f>
        <v>1119.793236</v>
      </c>
      <c r="M33" s="2">
        <f ca="1">goldenOTP_check!M33*M89</f>
        <v>1127.958449</v>
      </c>
      <c r="N33" s="2">
        <f ca="1">goldenOTP_check!N33*N89</f>
        <v>1126.408815</v>
      </c>
      <c r="O33" s="2">
        <f ca="1">goldenOTP_check!O33*O89</f>
        <v>1105.4367</v>
      </c>
      <c r="P33" s="2">
        <f ca="1">goldenOTP_check!P33*P89</f>
        <v>1095.9991680000001</v>
      </c>
      <c r="Q33" s="2">
        <f ca="1">goldenOTP_check!Q33*Q89</f>
        <v>1088.9146800000001</v>
      </c>
      <c r="R33" s="2">
        <f ca="1">goldenOTP_check!R33*R89</f>
        <v>1089.364644</v>
      </c>
      <c r="S33" s="2">
        <f ca="1">goldenOTP_check!S33*S89</f>
        <v>1091.2220519999998</v>
      </c>
      <c r="T33" s="2">
        <f ca="1">goldenOTP_check!T33*T89</f>
        <v>1098.4076399999999</v>
      </c>
      <c r="U33" s="2">
        <f ca="1">goldenOTP_check!U33*U89</f>
        <v>1105.6835329999999</v>
      </c>
      <c r="V33" s="2">
        <f ca="1">goldenOTP_check!V33*V89</f>
        <v>1098.472344</v>
      </c>
      <c r="W33" s="2">
        <f ca="1">goldenOTP_check!W33*W89</f>
        <v>1072.849336</v>
      </c>
      <c r="X33" s="2">
        <f ca="1">goldenOTP_check!X33*X89</f>
        <v>1067.7039070000001</v>
      </c>
      <c r="Y33" s="2">
        <f ca="1">goldenOTP_check!Y33*Y89</f>
        <v>1073.492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1101.0791879999999</v>
      </c>
      <c r="J34" s="2">
        <f ca="1">goldenOTP_check!J34*J90</f>
        <v>1103.1064270000002</v>
      </c>
      <c r="K34" s="2">
        <f ca="1">goldenOTP_check!K34*K90</f>
        <v>1112.9580799999999</v>
      </c>
      <c r="L34" s="2">
        <f ca="1">goldenOTP_check!L34*L90</f>
        <v>1123.8095679999999</v>
      </c>
      <c r="M34" s="2">
        <f ca="1">goldenOTP_check!M34*M90</f>
        <v>1128.287916</v>
      </c>
      <c r="N34" s="2">
        <f ca="1">goldenOTP_check!N34*N90</f>
        <v>1108.0528240000001</v>
      </c>
      <c r="O34" s="2">
        <f ca="1">goldenOTP_check!O34*O90</f>
        <v>1087.449576</v>
      </c>
      <c r="P34" s="2">
        <f ca="1">goldenOTP_check!P34*P90</f>
        <v>1075.6829050000001</v>
      </c>
      <c r="Q34" s="2">
        <f ca="1">goldenOTP_check!Q34*Q90</f>
        <v>1064.5294289999999</v>
      </c>
      <c r="R34" s="2">
        <f ca="1">goldenOTP_check!R34*R90</f>
        <v>1067.4988499999999</v>
      </c>
      <c r="S34" s="2">
        <f ca="1">goldenOTP_check!S34*S90</f>
        <v>1070.113059</v>
      </c>
      <c r="T34" s="2">
        <f ca="1">goldenOTP_check!T34*T90</f>
        <v>1083.0857619999999</v>
      </c>
      <c r="U34" s="2">
        <f ca="1">goldenOTP_check!U34*U90</f>
        <v>1090.2839219999998</v>
      </c>
      <c r="V34" s="2">
        <f ca="1">goldenOTP_check!V34*V90</f>
        <v>1098.7897600000001</v>
      </c>
      <c r="W34" s="2">
        <f ca="1">goldenOTP_check!W34*W90</f>
        <v>1071.454074</v>
      </c>
      <c r="X34" s="2">
        <f ca="1">goldenOTP_check!X34*X90</f>
        <v>1066.72137</v>
      </c>
      <c r="Y34" s="2">
        <f ca="1">goldenOTP_check!Y34*Y90</f>
        <v>1047.2858550000001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1108.34448</v>
      </c>
      <c r="J35" s="2">
        <f ca="1">goldenOTP_check!J35*J91</f>
        <v>1097.5868370000001</v>
      </c>
      <c r="K35" s="2">
        <f ca="1">goldenOTP_check!K35*K91</f>
        <v>1100.8448400000002</v>
      </c>
      <c r="L35" s="2">
        <f ca="1">goldenOTP_check!L35*L91</f>
        <v>1119.6042239999999</v>
      </c>
      <c r="M35" s="2">
        <f ca="1">goldenOTP_check!M35*M91</f>
        <v>1119.168099</v>
      </c>
      <c r="N35" s="2">
        <f ca="1">goldenOTP_check!N35*N91</f>
        <v>1092.6377640000001</v>
      </c>
      <c r="O35" s="2">
        <f ca="1">goldenOTP_check!O35*O91</f>
        <v>1070.850868</v>
      </c>
      <c r="P35" s="2">
        <f ca="1">goldenOTP_check!P35*P91</f>
        <v>1048.4323199999999</v>
      </c>
      <c r="Q35" s="2">
        <f ca="1">goldenOTP_check!Q35*Q91</f>
        <v>1036.4384030000001</v>
      </c>
      <c r="R35" s="2">
        <f ca="1">goldenOTP_check!R35*R91</f>
        <v>1040.356632</v>
      </c>
      <c r="S35" s="2">
        <f ca="1">goldenOTP_check!S35*S91</f>
        <v>1049.6910350000001</v>
      </c>
      <c r="T35" s="2">
        <f ca="1">goldenOTP_check!T35*T91</f>
        <v>1065.4202520000001</v>
      </c>
      <c r="U35" s="2">
        <f ca="1">goldenOTP_check!U35*U91</f>
        <v>1079.6362589999999</v>
      </c>
      <c r="V35" s="2">
        <f ca="1">goldenOTP_check!V35*V91</f>
        <v>1090.567644</v>
      </c>
      <c r="W35" s="2">
        <f ca="1">goldenOTP_check!W35*W91</f>
        <v>1070.2531760000002</v>
      </c>
      <c r="X35" s="2">
        <f ca="1">goldenOTP_check!X35*X91</f>
        <v>1060.6492169999999</v>
      </c>
      <c r="Y35" s="2">
        <f ca="1">goldenOTP_check!Y35*Y91</f>
        <v>1053.0073600000001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1083.1994459999999</v>
      </c>
      <c r="J36" s="2">
        <f ca="1">goldenOTP_check!J36*J92</f>
        <v>1094.5428750000001</v>
      </c>
      <c r="K36" s="2">
        <f ca="1">goldenOTP_check!K36*K92</f>
        <v>1105.9054549999998</v>
      </c>
      <c r="L36" s="2">
        <f ca="1">goldenOTP_check!L36*L92</f>
        <v>1117.8646019999999</v>
      </c>
      <c r="M36" s="2">
        <f ca="1">goldenOTP_check!M36*M92</f>
        <v>1108.797094</v>
      </c>
      <c r="N36" s="2">
        <f ca="1">goldenOTP_check!N36*N92</f>
        <v>1085.915489</v>
      </c>
      <c r="O36" s="2">
        <f ca="1">goldenOTP_check!O36*O92</f>
        <v>1058.447236</v>
      </c>
      <c r="P36" s="2">
        <f ca="1">goldenOTP_check!P36*P92</f>
        <v>1035.082048</v>
      </c>
      <c r="Q36" s="2">
        <f ca="1">goldenOTP_check!Q36*Q92</f>
        <v>1028.725731</v>
      </c>
      <c r="R36" s="2">
        <f ca="1">goldenOTP_check!R36*R92</f>
        <v>1028.6125850000001</v>
      </c>
      <c r="S36" s="2">
        <f ca="1">goldenOTP_check!S36*S92</f>
        <v>1039.7372480000001</v>
      </c>
      <c r="T36" s="2">
        <f ca="1">goldenOTP_check!T36*T92</f>
        <v>1050.8011230000002</v>
      </c>
      <c r="U36" s="2">
        <f ca="1">goldenOTP_check!U36*U92</f>
        <v>1066.5480640000001</v>
      </c>
      <c r="V36" s="2">
        <f ca="1">goldenOTP_check!V36*V92</f>
        <v>1085.0487620000001</v>
      </c>
      <c r="W36" s="2">
        <f ca="1">goldenOTP_check!W36*W92</f>
        <v>1063.85115</v>
      </c>
      <c r="X36" s="2">
        <f ca="1">goldenOTP_check!X36*X92</f>
        <v>1056.21408</v>
      </c>
      <c r="Y36" s="2">
        <f ca="1">goldenOTP_check!Y36*Y92</f>
        <v>1030.4847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1076.0844</v>
      </c>
      <c r="J37" s="2">
        <f ca="1">goldenOTP_check!J37*J93</f>
        <v>1091.2828889999998</v>
      </c>
      <c r="K37" s="2">
        <f ca="1">goldenOTP_check!K37*K93</f>
        <v>1094.403192</v>
      </c>
      <c r="L37" s="2">
        <f ca="1">goldenOTP_check!L37*L93</f>
        <v>1113.470004</v>
      </c>
      <c r="M37" s="2">
        <f ca="1">goldenOTP_check!M37*M93</f>
        <v>1103.6372490000001</v>
      </c>
      <c r="N37" s="2">
        <f ca="1">goldenOTP_check!N37*N93</f>
        <v>1085.21073</v>
      </c>
      <c r="O37" s="2">
        <f ca="1">goldenOTP_check!O37*O93</f>
        <v>1062.1675050000001</v>
      </c>
      <c r="P37" s="2">
        <f ca="1">goldenOTP_check!P37*P93</f>
        <v>1042.7831759999999</v>
      </c>
      <c r="Q37" s="2">
        <f ca="1">goldenOTP_check!Q37*Q93</f>
        <v>1030.855826</v>
      </c>
      <c r="R37" s="2">
        <f ca="1">goldenOTP_check!R37*R93</f>
        <v>1035.53208</v>
      </c>
      <c r="S37" s="2">
        <f ca="1">goldenOTP_check!S37*S93</f>
        <v>1037.077262</v>
      </c>
      <c r="T37" s="2">
        <f ca="1">goldenOTP_check!T37*T93</f>
        <v>1050.7891320000001</v>
      </c>
      <c r="U37" s="2">
        <f ca="1">goldenOTP_check!U37*U93</f>
        <v>1069.6875930000001</v>
      </c>
      <c r="V37" s="2">
        <f ca="1">goldenOTP_check!V37*V93</f>
        <v>1071.2356199999999</v>
      </c>
      <c r="W37" s="2">
        <f ca="1">goldenOTP_check!W37*W93</f>
        <v>1061.63644</v>
      </c>
      <c r="X37" s="2">
        <f ca="1">goldenOTP_check!X37*X93</f>
        <v>1040.0965120000001</v>
      </c>
      <c r="Y37" s="2">
        <f ca="1">goldenOTP_check!Y37*Y93</f>
        <v>1027.3514460000001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1080.5791260000001</v>
      </c>
      <c r="J38" s="2">
        <f ca="1">goldenOTP_check!J38*J94</f>
        <v>1089.3116479999999</v>
      </c>
      <c r="K38" s="2">
        <f ca="1">goldenOTP_check!K38*K94</f>
        <v>1085.761778</v>
      </c>
      <c r="L38" s="2">
        <f ca="1">goldenOTP_check!L38*L94</f>
        <v>1100.4297749999998</v>
      </c>
      <c r="M38" s="2">
        <f ca="1">goldenOTP_check!M38*M94</f>
        <v>1104.6061259999999</v>
      </c>
      <c r="N38" s="2">
        <f ca="1">goldenOTP_check!N38*N94</f>
        <v>1084.047724</v>
      </c>
      <c r="O38" s="2">
        <f ca="1">goldenOTP_check!O38*O94</f>
        <v>1066.0073120000002</v>
      </c>
      <c r="P38" s="2">
        <f ca="1">goldenOTP_check!P38*P94</f>
        <v>1044.9855259999999</v>
      </c>
      <c r="Q38" s="2">
        <f ca="1">goldenOTP_check!Q38*Q94</f>
        <v>1043.815454</v>
      </c>
      <c r="R38" s="2">
        <f ca="1">goldenOTP_check!R38*R94</f>
        <v>1038.0316439999999</v>
      </c>
      <c r="S38" s="2">
        <f ca="1">goldenOTP_check!S38*S94</f>
        <v>1046.3589179999999</v>
      </c>
      <c r="T38" s="2">
        <f ca="1">goldenOTP_check!T38*T94</f>
        <v>1051.13617</v>
      </c>
      <c r="U38" s="2">
        <f ca="1">goldenOTP_check!U38*U94</f>
        <v>1065.011121</v>
      </c>
      <c r="V38" s="2">
        <f ca="1">goldenOTP_check!V38*V94</f>
        <v>1071.2029680000001</v>
      </c>
      <c r="W38" s="2">
        <f ca="1">goldenOTP_check!W38*W94</f>
        <v>1043.4153880000001</v>
      </c>
      <c r="X38" s="2">
        <f ca="1">goldenOTP_check!X38*X94</f>
        <v>1034.7314389999999</v>
      </c>
      <c r="Y38" s="2">
        <f ca="1">goldenOTP_check!Y38*Y94</f>
        <v>1037.1551650000001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1044.7149200000001</v>
      </c>
      <c r="J39" s="2">
        <f ca="1">goldenOTP_check!J39*J95</f>
        <v>1081.3289239999999</v>
      </c>
      <c r="K39" s="2">
        <f ca="1">goldenOTP_check!K39*K95</f>
        <v>1065.5126719999998</v>
      </c>
      <c r="L39" s="2">
        <f ca="1">goldenOTP_check!L39*L95</f>
        <v>1087.6345610000001</v>
      </c>
      <c r="M39" s="2">
        <f ca="1">goldenOTP_check!M39*M95</f>
        <v>1094.6978770000001</v>
      </c>
      <c r="N39" s="2">
        <f ca="1">goldenOTP_check!N39*N95</f>
        <v>1085.2361799999999</v>
      </c>
      <c r="O39" s="2">
        <f ca="1">goldenOTP_check!O39*O95</f>
        <v>1073.1664039999998</v>
      </c>
      <c r="P39" s="2">
        <f ca="1">goldenOTP_check!P39*P95</f>
        <v>1057.2463300000002</v>
      </c>
      <c r="Q39" s="2">
        <f ca="1">goldenOTP_check!Q39*Q95</f>
        <v>1050.0083979999999</v>
      </c>
      <c r="R39" s="2">
        <f ca="1">goldenOTP_check!R39*R95</f>
        <v>1048.298931</v>
      </c>
      <c r="S39" s="2">
        <f ca="1">goldenOTP_check!S39*S95</f>
        <v>1048.148563</v>
      </c>
      <c r="T39" s="2">
        <f ca="1">goldenOTP_check!T39*T95</f>
        <v>1053.5219400000001</v>
      </c>
      <c r="U39" s="2">
        <f ca="1">goldenOTP_check!U39*U95</f>
        <v>1059.339408</v>
      </c>
      <c r="V39" s="2">
        <f ca="1">goldenOTP_check!V39*V95</f>
        <v>1049.887643</v>
      </c>
      <c r="W39" s="2">
        <f ca="1">goldenOTP_check!W39*W95</f>
        <v>1034.33134</v>
      </c>
      <c r="X39" s="2">
        <f ca="1">goldenOTP_check!X39*X95</f>
        <v>1028.657528</v>
      </c>
      <c r="Y39" s="2">
        <f ca="1">goldenOTP_check!Y39*Y95</f>
        <v>1033.138725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1054.012637</v>
      </c>
      <c r="J40" s="2">
        <f ca="1">goldenOTP_check!J40*J96</f>
        <v>1074.9159440000001</v>
      </c>
      <c r="K40" s="2">
        <f ca="1">goldenOTP_check!K40*K96</f>
        <v>1065.6419800000001</v>
      </c>
      <c r="L40" s="2">
        <f ca="1">goldenOTP_check!L40*L96</f>
        <v>1065.395749</v>
      </c>
      <c r="M40" s="2">
        <f ca="1">goldenOTP_check!M40*M96</f>
        <v>1073.8988100000001</v>
      </c>
      <c r="N40" s="2">
        <f ca="1">goldenOTP_check!N40*N96</f>
        <v>1085.7507990000001</v>
      </c>
      <c r="O40" s="2">
        <f ca="1">goldenOTP_check!O40*O96</f>
        <v>1074.8764590000001</v>
      </c>
      <c r="P40" s="2">
        <f ca="1">goldenOTP_check!P40*P96</f>
        <v>1064.783475</v>
      </c>
      <c r="Q40" s="2">
        <f ca="1">goldenOTP_check!Q40*Q96</f>
        <v>1055.6514360000001</v>
      </c>
      <c r="R40" s="2">
        <f ca="1">goldenOTP_check!R40*R96</f>
        <v>1054.6559099999999</v>
      </c>
      <c r="S40" s="2">
        <f ca="1">goldenOTP_check!S40*S96</f>
        <v>1058.064122</v>
      </c>
      <c r="T40" s="2">
        <f ca="1">goldenOTP_check!T40*T96</f>
        <v>1055.542488</v>
      </c>
      <c r="U40" s="2">
        <f ca="1">goldenOTP_check!U40*U96</f>
        <v>1050.63654</v>
      </c>
      <c r="V40" s="2">
        <f ca="1">goldenOTP_check!V40*V96</f>
        <v>1028.117514</v>
      </c>
      <c r="W40" s="2">
        <f ca="1">goldenOTP_check!W40*W96</f>
        <v>1018.7934899999999</v>
      </c>
      <c r="X40" s="2">
        <f ca="1">goldenOTP_check!X40*X96</f>
        <v>1021.45345</v>
      </c>
      <c r="Y40" s="2">
        <f ca="1">goldenOTP_check!Y40*Y96</f>
        <v>1021.39972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1050.337317</v>
      </c>
      <c r="J41" s="2">
        <f ca="1">goldenOTP_check!J41*J97</f>
        <v>1055.199235</v>
      </c>
      <c r="K41" s="2">
        <f ca="1">goldenOTP_check!K41*K97</f>
        <v>1064.3913750000002</v>
      </c>
      <c r="L41" s="2">
        <f ca="1">goldenOTP_check!L41*L97</f>
        <v>1043.3569120000002</v>
      </c>
      <c r="M41" s="2">
        <f ca="1">goldenOTP_check!M41*M97</f>
        <v>1046.8522740000001</v>
      </c>
      <c r="N41" s="2">
        <f ca="1">goldenOTP_check!N41*N97</f>
        <v>1060.198881</v>
      </c>
      <c r="O41" s="2">
        <f ca="1">goldenOTP_check!O41*O97</f>
        <v>1066.107078</v>
      </c>
      <c r="P41" s="2">
        <f ca="1">goldenOTP_check!P41*P97</f>
        <v>1070.46639</v>
      </c>
      <c r="Q41" s="2">
        <f ca="1">goldenOTP_check!Q41*Q97</f>
        <v>1060.080348</v>
      </c>
      <c r="R41" s="2">
        <f ca="1">goldenOTP_check!R41*R97</f>
        <v>1062.9454499999999</v>
      </c>
      <c r="S41" s="2">
        <f ca="1">goldenOTP_check!S41*S97</f>
        <v>1053.583212</v>
      </c>
      <c r="T41" s="2">
        <f ca="1">goldenOTP_check!T41*T97</f>
        <v>1045.1285250000001</v>
      </c>
      <c r="U41" s="2">
        <f ca="1">goldenOTP_check!U41*U97</f>
        <v>1025.7614760000001</v>
      </c>
      <c r="V41" s="2">
        <f ca="1">goldenOTP_check!V41*V97</f>
        <v>1018.41883</v>
      </c>
      <c r="W41" s="2">
        <f ca="1">goldenOTP_check!W41*W97</f>
        <v>1019.844459</v>
      </c>
      <c r="X41" s="2">
        <f ca="1">goldenOTP_check!X41*X97</f>
        <v>1022.9142979999999</v>
      </c>
      <c r="Y41" s="2">
        <f ca="1">goldenOTP_check!Y41*Y97</f>
        <v>1013.4146290000001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1075.9529259999999</v>
      </c>
      <c r="J42" s="2">
        <f ca="1">goldenOTP_check!J42*J98</f>
        <v>1040.5808999999999</v>
      </c>
      <c r="K42" s="2">
        <f ca="1">goldenOTP_check!K42*K98</f>
        <v>1041.9432320000001</v>
      </c>
      <c r="L42" s="2">
        <f ca="1">goldenOTP_check!L42*L98</f>
        <v>1032.1114640000001</v>
      </c>
      <c r="M42" s="2">
        <f ca="1">goldenOTP_check!M42*M98</f>
        <v>1034.613345</v>
      </c>
      <c r="N42" s="2">
        <f ca="1">goldenOTP_check!N42*N98</f>
        <v>1017.1251199999999</v>
      </c>
      <c r="O42" s="2">
        <f ca="1">goldenOTP_check!O42*O98</f>
        <v>1032.1346490000001</v>
      </c>
      <c r="P42" s="2">
        <f ca="1">goldenOTP_check!P42*P98</f>
        <v>1031.09032</v>
      </c>
      <c r="Q42" s="2">
        <f ca="1">goldenOTP_check!Q42*Q98</f>
        <v>1039.6809929999999</v>
      </c>
      <c r="R42" s="2">
        <f ca="1">goldenOTP_check!R42*R98</f>
        <v>1025.4987599999999</v>
      </c>
      <c r="S42" s="2">
        <f ca="1">goldenOTP_check!S42*S98</f>
        <v>1020.9453150000001</v>
      </c>
      <c r="T42" s="2">
        <f ca="1">goldenOTP_check!T42*T98</f>
        <v>999.89819199999999</v>
      </c>
      <c r="U42" s="2">
        <f ca="1">goldenOTP_check!U42*U98</f>
        <v>997.37774400000001</v>
      </c>
      <c r="V42" s="2">
        <f ca="1">goldenOTP_check!V42*V98</f>
        <v>1008.0226789999999</v>
      </c>
      <c r="W42" s="2">
        <f ca="1">goldenOTP_check!W42*W98</f>
        <v>1022.6527849999999</v>
      </c>
      <c r="X42" s="2">
        <f ca="1">goldenOTP_check!X42*X98</f>
        <v>1010.5068</v>
      </c>
      <c r="Y42" s="11">
        <f ca="1">goldenOTP_check!Y42*Y98</f>
        <v>999.486312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1161.5872199999999</v>
      </c>
      <c r="J44" s="4">
        <f ca="1">goldenOTP_check!J44*J100</f>
        <v>1151.239274</v>
      </c>
      <c r="K44" s="4">
        <f ca="1">goldenOTP_check!K44*K100</f>
        <v>1138.1472959999999</v>
      </c>
      <c r="L44" s="4">
        <f ca="1">goldenOTP_check!L44*L100</f>
        <v>1170.8553429999999</v>
      </c>
      <c r="M44" s="4">
        <f ca="1">goldenOTP_check!M44*M100</f>
        <v>1153.8523810000002</v>
      </c>
      <c r="N44" s="4">
        <f ca="1">goldenOTP_check!N44*N100</f>
        <v>1110.3176700000001</v>
      </c>
      <c r="O44" s="4">
        <f ca="1">goldenOTP_check!O44*O100</f>
        <v>1142.573519</v>
      </c>
      <c r="P44" s="4">
        <f ca="1">goldenOTP_check!P44*P100</f>
        <v>1148.231994</v>
      </c>
      <c r="Q44" s="4">
        <f ca="1">goldenOTP_check!Q44*Q100</f>
        <v>1153.1554290000001</v>
      </c>
      <c r="R44" s="4">
        <f ca="1">goldenOTP_check!R44*R100</f>
        <v>1144.7163</v>
      </c>
      <c r="S44" s="4">
        <f ca="1">goldenOTP_check!S44*S100</f>
        <v>1135.2551799999999</v>
      </c>
      <c r="T44" s="4">
        <f ca="1">goldenOTP_check!T44*T100</f>
        <v>1097.0833049999999</v>
      </c>
      <c r="U44" s="4">
        <f ca="1">goldenOTP_check!U44*U100</f>
        <v>1131.305989</v>
      </c>
      <c r="V44" s="4">
        <f ca="1">goldenOTP_check!V44*V100</f>
        <v>1104.0809840000002</v>
      </c>
      <c r="W44" s="4">
        <f ca="1">goldenOTP_check!W44*W100</f>
        <v>1113.780096</v>
      </c>
      <c r="X44" s="4">
        <f ca="1">goldenOTP_check!X44*X100</f>
        <v>1111.3006539999999</v>
      </c>
      <c r="Y44" s="12">
        <f ca="1">goldenOTP_check!Y44*Y100</f>
        <v>1056.1415999999999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1171.8912319999999</v>
      </c>
      <c r="J45" s="4">
        <f ca="1">goldenOTP_check!J45*J101</f>
        <v>1148.531307</v>
      </c>
      <c r="K45" s="4">
        <f ca="1">goldenOTP_check!K45*K101</f>
        <v>1157.267386</v>
      </c>
      <c r="L45" s="4">
        <f ca="1">goldenOTP_check!L45*L101</f>
        <v>1152.23927</v>
      </c>
      <c r="M45" s="4">
        <f ca="1">goldenOTP_check!M45*M101</f>
        <v>1153.156608</v>
      </c>
      <c r="N45" s="4">
        <f ca="1">goldenOTP_check!N45*N101</f>
        <v>1167.280896</v>
      </c>
      <c r="O45" s="4">
        <f ca="1">goldenOTP_check!O45*O101</f>
        <v>1174.8853160000001</v>
      </c>
      <c r="P45" s="4">
        <f ca="1">goldenOTP_check!P45*P101</f>
        <v>1159.770612</v>
      </c>
      <c r="Q45" s="4">
        <f ca="1">goldenOTP_check!Q45*Q101</f>
        <v>1157.9986799999999</v>
      </c>
      <c r="R45" s="4">
        <f ca="1">goldenOTP_check!R45*R101</f>
        <v>1154.620467</v>
      </c>
      <c r="S45" s="4">
        <f ca="1">goldenOTP_check!S45*S101</f>
        <v>1163.4814940000001</v>
      </c>
      <c r="T45" s="4">
        <f ca="1">goldenOTP_check!T45*T101</f>
        <v>1152.9809279999999</v>
      </c>
      <c r="U45" s="4">
        <f ca="1">goldenOTP_check!U45*U101</f>
        <v>1133.454336</v>
      </c>
      <c r="V45" s="4">
        <f ca="1">goldenOTP_check!V45*V101</f>
        <v>1126.82843</v>
      </c>
      <c r="W45" s="4">
        <f ca="1">goldenOTP_check!W45*W101</f>
        <v>1128.4211419999999</v>
      </c>
      <c r="X45" s="4">
        <f ca="1">goldenOTP_check!X45*X101</f>
        <v>1109.8990759999999</v>
      </c>
      <c r="Y45" s="4">
        <f ca="1">goldenOTP_check!Y45*Y101</f>
        <v>1085.9778240000001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1142.8658</v>
      </c>
      <c r="J46" s="4">
        <f ca="1">goldenOTP_check!J46*J102</f>
        <v>1149.6757500000001</v>
      </c>
      <c r="K46" s="4">
        <f ca="1">goldenOTP_check!K46*K102</f>
        <v>1157.6777240000001</v>
      </c>
      <c r="L46" s="4">
        <f ca="1">goldenOTP_check!L46*L102</f>
        <v>1155.5374079999999</v>
      </c>
      <c r="M46" s="4">
        <f ca="1">goldenOTP_check!M46*M102</f>
        <v>1161.9575</v>
      </c>
      <c r="N46" s="4">
        <f ca="1">goldenOTP_check!N46*N102</f>
        <v>1168.3368719999999</v>
      </c>
      <c r="O46" s="4">
        <f ca="1">goldenOTP_check!O46*O102</f>
        <v>1159.8067800000001</v>
      </c>
      <c r="P46" s="4">
        <f ca="1">goldenOTP_check!P46*P102</f>
        <v>1156.0665000000001</v>
      </c>
      <c r="Q46" s="4">
        <f ca="1">goldenOTP_check!Q46*Q102</f>
        <v>1145.9565600000001</v>
      </c>
      <c r="R46" s="4">
        <f ca="1">goldenOTP_check!R46*R102</f>
        <v>1148.4555</v>
      </c>
      <c r="S46" s="4">
        <f ca="1">goldenOTP_check!S46*S102</f>
        <v>1142.322075</v>
      </c>
      <c r="T46" s="4">
        <f ca="1">goldenOTP_check!T46*T102</f>
        <v>1147.6747440000001</v>
      </c>
      <c r="U46" s="4">
        <f ca="1">goldenOTP_check!U46*U102</f>
        <v>1139.6228599999999</v>
      </c>
      <c r="V46" s="4">
        <f ca="1">goldenOTP_check!V46*V102</f>
        <v>1129.438208</v>
      </c>
      <c r="W46" s="4">
        <f ca="1">goldenOTP_check!W46*W102</f>
        <v>1123.6907639999999</v>
      </c>
      <c r="X46" s="4">
        <f ca="1">goldenOTP_check!X46*X102</f>
        <v>1108.514625</v>
      </c>
      <c r="Y46" s="4">
        <f ca="1">goldenOTP_check!Y46*Y102</f>
        <v>1063.480634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1183.01926</v>
      </c>
      <c r="J47" s="4">
        <f ca="1">goldenOTP_check!J47*J103</f>
        <v>1153.3914520000001</v>
      </c>
      <c r="K47" s="4">
        <f ca="1">goldenOTP_check!K47*K103</f>
        <v>1167.1848089999999</v>
      </c>
      <c r="L47" s="4">
        <f ca="1">goldenOTP_check!L47*L103</f>
        <v>1172.5956720000001</v>
      </c>
      <c r="M47" s="4">
        <f ca="1">goldenOTP_check!M47*M103</f>
        <v>1171.2412080000001</v>
      </c>
      <c r="N47" s="4">
        <f ca="1">goldenOTP_check!N47*N103</f>
        <v>1174.3456390000001</v>
      </c>
      <c r="O47" s="4">
        <f ca="1">goldenOTP_check!O47*O103</f>
        <v>1153.5524310000001</v>
      </c>
      <c r="P47" s="4">
        <f ca="1">goldenOTP_check!P47*P103</f>
        <v>1136.2514450000001</v>
      </c>
      <c r="Q47" s="4">
        <f ca="1">goldenOTP_check!Q47*Q103</f>
        <v>1121.4728640000001</v>
      </c>
      <c r="R47" s="4">
        <f ca="1">goldenOTP_check!R47*R103</f>
        <v>1126.3012000000001</v>
      </c>
      <c r="S47" s="4">
        <f ca="1">goldenOTP_check!S47*S103</f>
        <v>1133.1708390000001</v>
      </c>
      <c r="T47" s="4">
        <f ca="1">goldenOTP_check!T47*T103</f>
        <v>1127.490487</v>
      </c>
      <c r="U47" s="4">
        <f ca="1">goldenOTP_check!U47*U103</f>
        <v>1143.2210399999999</v>
      </c>
      <c r="V47" s="4">
        <f ca="1">goldenOTP_check!V47*V103</f>
        <v>1122.4313090000001</v>
      </c>
      <c r="W47" s="4">
        <f ca="1">goldenOTP_check!W47*W103</f>
        <v>1105.4470230000002</v>
      </c>
      <c r="X47" s="4">
        <f ca="1">goldenOTP_check!X47*X103</f>
        <v>1109.94829</v>
      </c>
      <c r="Y47" s="4">
        <f ca="1">goldenOTP_check!Y47*Y103</f>
        <v>1098.4209619999999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1187.1376719999998</v>
      </c>
      <c r="J48" s="4">
        <f ca="1">goldenOTP_check!J48*J104</f>
        <v>1142.9290079999998</v>
      </c>
      <c r="K48" s="4">
        <f ca="1">goldenOTP_check!K48*K104</f>
        <v>1145.0439679999999</v>
      </c>
      <c r="L48" s="4">
        <f ca="1">goldenOTP_check!L48*L104</f>
        <v>1182.258842</v>
      </c>
      <c r="M48" s="4">
        <f ca="1">goldenOTP_check!M48*M104</f>
        <v>1165.9713000000002</v>
      </c>
      <c r="N48" s="4">
        <f ca="1">goldenOTP_check!N48*N104</f>
        <v>1158.565515</v>
      </c>
      <c r="O48" s="4">
        <f ca="1">goldenOTP_check!O48*O104</f>
        <v>1142.058624</v>
      </c>
      <c r="P48" s="4">
        <f ca="1">goldenOTP_check!P48*P104</f>
        <v>1113.0848039999998</v>
      </c>
      <c r="Q48" s="4">
        <f ca="1">goldenOTP_check!Q48*Q104</f>
        <v>1109.544785</v>
      </c>
      <c r="R48" s="4">
        <f ca="1">goldenOTP_check!R48*R104</f>
        <v>1100.2483679999998</v>
      </c>
      <c r="S48" s="4">
        <f ca="1">goldenOTP_check!S48*S104</f>
        <v>1114.0090230000001</v>
      </c>
      <c r="T48" s="4">
        <f ca="1">goldenOTP_check!T48*T104</f>
        <v>1125.0282090000001</v>
      </c>
      <c r="U48" s="4">
        <f ca="1">goldenOTP_check!U48*U104</f>
        <v>1128.4822200000001</v>
      </c>
      <c r="V48" s="4">
        <f ca="1">goldenOTP_check!V48*V104</f>
        <v>1127.2510199999999</v>
      </c>
      <c r="W48" s="4">
        <f ca="1">goldenOTP_check!W48*W104</f>
        <v>1109.948416</v>
      </c>
      <c r="X48" s="4">
        <f ca="1">goldenOTP_check!X48*X104</f>
        <v>1097.073504</v>
      </c>
      <c r="Y48" s="4">
        <f ca="1">goldenOTP_check!Y48*Y104</f>
        <v>1102.912139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1168.6859159999999</v>
      </c>
      <c r="J49" s="4">
        <f ca="1">goldenOTP_check!J49*J105</f>
        <v>1156.7815350000001</v>
      </c>
      <c r="K49" s="4">
        <f ca="1">goldenOTP_check!K49*K105</f>
        <v>1148.103738</v>
      </c>
      <c r="L49" s="4">
        <f ca="1">goldenOTP_check!L49*L105</f>
        <v>1170.1677259999999</v>
      </c>
      <c r="M49" s="4">
        <f ca="1">goldenOTP_check!M49*M105</f>
        <v>1167.729</v>
      </c>
      <c r="N49" s="4">
        <f ca="1">goldenOTP_check!N49*N105</f>
        <v>1148.484318</v>
      </c>
      <c r="O49" s="4">
        <f ca="1">goldenOTP_check!O49*O105</f>
        <v>1121.8847479999999</v>
      </c>
      <c r="P49" s="4">
        <f ca="1">goldenOTP_check!P49*P105</f>
        <v>1102.290939</v>
      </c>
      <c r="Q49" s="4">
        <f ca="1">goldenOTP_check!Q49*Q105</f>
        <v>1083.356</v>
      </c>
      <c r="R49" s="4">
        <f ca="1">goldenOTP_check!R49*R105</f>
        <v>1089.7860229999999</v>
      </c>
      <c r="S49" s="4">
        <f ca="1">goldenOTP_check!S49*S105</f>
        <v>1090.7596759999999</v>
      </c>
      <c r="T49" s="4">
        <f ca="1">goldenOTP_check!T49*T105</f>
        <v>1094.841553</v>
      </c>
      <c r="U49" s="4">
        <f ca="1">goldenOTP_check!U49*U105</f>
        <v>1111.637794</v>
      </c>
      <c r="V49" s="4">
        <f ca="1">goldenOTP_check!V49*V105</f>
        <v>1133.1930609999999</v>
      </c>
      <c r="W49" s="4">
        <f ca="1">goldenOTP_check!W49*W105</f>
        <v>1111.642752</v>
      </c>
      <c r="X49" s="4">
        <f ca="1">goldenOTP_check!X49*X105</f>
        <v>1081.975226</v>
      </c>
      <c r="Y49" s="4">
        <f ca="1">goldenOTP_check!Y49*Y105</f>
        <v>1096.330606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1153.7248909999998</v>
      </c>
      <c r="J50" s="4">
        <f ca="1">goldenOTP_check!J50*J106</f>
        <v>1141.47579</v>
      </c>
      <c r="K50" s="4">
        <f ca="1">goldenOTP_check!K50*K106</f>
        <v>1158.9849179999999</v>
      </c>
      <c r="L50" s="4">
        <f ca="1">goldenOTP_check!L50*L106</f>
        <v>1172.0214000000001</v>
      </c>
      <c r="M50" s="4">
        <f ca="1">goldenOTP_check!M50*M106</f>
        <v>1161.0258719999999</v>
      </c>
      <c r="N50" s="4">
        <f ca="1">goldenOTP_check!N50*N106</f>
        <v>1136.0502719999999</v>
      </c>
      <c r="O50" s="4">
        <f ca="1">goldenOTP_check!O50*O106</f>
        <v>1105.3261339999999</v>
      </c>
      <c r="P50" s="4">
        <f ca="1">goldenOTP_check!P50*P106</f>
        <v>1086.663</v>
      </c>
      <c r="Q50" s="4">
        <f ca="1">goldenOTP_check!Q50*Q106</f>
        <v>1082.5846350000002</v>
      </c>
      <c r="R50" s="4">
        <f ca="1">goldenOTP_check!R50*R106</f>
        <v>1077.539</v>
      </c>
      <c r="S50" s="4">
        <f ca="1">goldenOTP_check!S50*S106</f>
        <v>1078.8617819999999</v>
      </c>
      <c r="T50" s="4">
        <f ca="1">goldenOTP_check!T50*T106</f>
        <v>1099.7769600000001</v>
      </c>
      <c r="U50" s="4">
        <f ca="1">goldenOTP_check!U50*U106</f>
        <v>1103.2155</v>
      </c>
      <c r="V50" s="4">
        <f ca="1">goldenOTP_check!V50*V106</f>
        <v>1132.2575280000001</v>
      </c>
      <c r="W50" s="4">
        <f ca="1">goldenOTP_check!W50*W106</f>
        <v>1121.2044480000002</v>
      </c>
      <c r="X50" s="4">
        <f ca="1">goldenOTP_check!X50*X106</f>
        <v>1095.8402000000001</v>
      </c>
      <c r="Y50" s="4">
        <f ca="1">goldenOTP_check!Y50*Y106</f>
        <v>1070.9907069999999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1172.9417130000002</v>
      </c>
      <c r="J51" s="4">
        <f ca="1">goldenOTP_check!J51*J107</f>
        <v>1122.033058</v>
      </c>
      <c r="K51" s="4">
        <f ca="1">goldenOTP_check!K51*K107</f>
        <v>1144.9857120000001</v>
      </c>
      <c r="L51" s="4">
        <f ca="1">goldenOTP_check!L51*L107</f>
        <v>1168.3841259999999</v>
      </c>
      <c r="M51" s="4">
        <f ca="1">goldenOTP_check!M51*M107</f>
        <v>1147.0994479999999</v>
      </c>
      <c r="N51" s="4">
        <f ca="1">goldenOTP_check!N51*N107</f>
        <v>1127.314245</v>
      </c>
      <c r="O51" s="4">
        <f ca="1">goldenOTP_check!O51*O107</f>
        <v>1114.650564</v>
      </c>
      <c r="P51" s="4">
        <f ca="1">goldenOTP_check!P51*P107</f>
        <v>1085.9760900000001</v>
      </c>
      <c r="Q51" s="4">
        <f ca="1">goldenOTP_check!Q51*Q107</f>
        <v>1083.732</v>
      </c>
      <c r="R51" s="4">
        <f ca="1">goldenOTP_check!R51*R107</f>
        <v>1078.6088160000002</v>
      </c>
      <c r="S51" s="4">
        <f ca="1">goldenOTP_check!S51*S107</f>
        <v>1091.594748</v>
      </c>
      <c r="T51" s="4">
        <f ca="1">goldenOTP_check!T51*T107</f>
        <v>1093.3092510000001</v>
      </c>
      <c r="U51" s="4">
        <f ca="1">goldenOTP_check!U51*U107</f>
        <v>1108.5369500000002</v>
      </c>
      <c r="V51" s="4">
        <f ca="1">goldenOTP_check!V51*V107</f>
        <v>1129.818235</v>
      </c>
      <c r="W51" s="4">
        <f ca="1">goldenOTP_check!W51*W107</f>
        <v>1107.9773759999998</v>
      </c>
      <c r="X51" s="4">
        <f ca="1">goldenOTP_check!X51*X107</f>
        <v>1077.406567</v>
      </c>
      <c r="Y51" s="4">
        <f ca="1">goldenOTP_check!Y51*Y107</f>
        <v>1094.763753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1120.4121</v>
      </c>
      <c r="J52" s="4">
        <f ca="1">goldenOTP_check!J52*J108</f>
        <v>1132.625808</v>
      </c>
      <c r="K52" s="4">
        <f ca="1">goldenOTP_check!K52*K108</f>
        <v>1136.6676480000001</v>
      </c>
      <c r="L52" s="4">
        <f ca="1">goldenOTP_check!L52*L108</f>
        <v>1150.412368</v>
      </c>
      <c r="M52" s="4">
        <f ca="1">goldenOTP_check!M52*M108</f>
        <v>1157.5387949999999</v>
      </c>
      <c r="N52" s="4">
        <f ca="1">goldenOTP_check!N52*N108</f>
        <v>1132.4524839999999</v>
      </c>
      <c r="O52" s="4">
        <f ca="1">goldenOTP_check!O52*O108</f>
        <v>1113.6291249999999</v>
      </c>
      <c r="P52" s="4">
        <f ca="1">goldenOTP_check!P52*P108</f>
        <v>1101.6547559999999</v>
      </c>
      <c r="Q52" s="4">
        <f ca="1">goldenOTP_check!Q52*Q108</f>
        <v>1089.959006</v>
      </c>
      <c r="R52" s="4">
        <f ca="1">goldenOTP_check!R52*R108</f>
        <v>1082.3251229999998</v>
      </c>
      <c r="S52" s="4">
        <f ca="1">goldenOTP_check!S52*S108</f>
        <v>1093.0114999999998</v>
      </c>
      <c r="T52" s="4">
        <f ca="1">goldenOTP_check!T52*T108</f>
        <v>1103.83708</v>
      </c>
      <c r="U52" s="4">
        <f ca="1">goldenOTP_check!U52*U108</f>
        <v>1123.6163100000001</v>
      </c>
      <c r="V52" s="4">
        <f ca="1">goldenOTP_check!V52*V108</f>
        <v>1119.860868</v>
      </c>
      <c r="W52" s="4">
        <f ca="1">goldenOTP_check!W52*W108</f>
        <v>1101.976064</v>
      </c>
      <c r="X52" s="4">
        <f ca="1">goldenOTP_check!X52*X108</f>
        <v>1089.837072</v>
      </c>
      <c r="Y52" s="4">
        <f ca="1">goldenOTP_check!Y52*Y108</f>
        <v>1048.433528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1099.6229430000001</v>
      </c>
      <c r="J53" s="4">
        <f ca="1">goldenOTP_check!J53*J109</f>
        <v>1138.8073300000001</v>
      </c>
      <c r="K53" s="4">
        <f ca="1">goldenOTP_check!K53*K109</f>
        <v>1124.1244349999999</v>
      </c>
      <c r="L53" s="4">
        <f ca="1">goldenOTP_check!L53*L109</f>
        <v>1136.582451</v>
      </c>
      <c r="M53" s="4">
        <f ca="1">goldenOTP_check!M53*M109</f>
        <v>1156.2685200000001</v>
      </c>
      <c r="N53" s="4">
        <f ca="1">goldenOTP_check!N53*N109</f>
        <v>1137.7877149999999</v>
      </c>
      <c r="O53" s="4">
        <f ca="1">goldenOTP_check!O53*O109</f>
        <v>1116.984612</v>
      </c>
      <c r="P53" s="4">
        <f ca="1">goldenOTP_check!P53*P109</f>
        <v>1101.1070030000001</v>
      </c>
      <c r="Q53" s="4">
        <f ca="1">goldenOTP_check!Q53*Q109</f>
        <v>1091.885209</v>
      </c>
      <c r="R53" s="4">
        <f ca="1">goldenOTP_check!R53*R109</f>
        <v>1094.5572950000001</v>
      </c>
      <c r="S53" s="4">
        <f ca="1">goldenOTP_check!S53*S109</f>
        <v>1101.4005240000001</v>
      </c>
      <c r="T53" s="4">
        <f ca="1">goldenOTP_check!T53*T109</f>
        <v>1113.2674589999999</v>
      </c>
      <c r="U53" s="4">
        <f ca="1">goldenOTP_check!U53*U109</f>
        <v>1109.998617</v>
      </c>
      <c r="V53" s="4">
        <f ca="1">goldenOTP_check!V53*V109</f>
        <v>1108.7614149999999</v>
      </c>
      <c r="W53" s="4">
        <f ca="1">goldenOTP_check!W53*W109</f>
        <v>1089.994608</v>
      </c>
      <c r="X53" s="4">
        <f ca="1">goldenOTP_check!X53*X109</f>
        <v>1095.0876840000001</v>
      </c>
      <c r="Y53" s="4">
        <f ca="1">goldenOTP_check!Y53*Y109</f>
        <v>1035.4631670000001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1107.36653</v>
      </c>
      <c r="J54" s="4">
        <f ca="1">goldenOTP_check!J54*J110</f>
        <v>1128.86625</v>
      </c>
      <c r="K54" s="4">
        <f ca="1">goldenOTP_check!K54*K110</f>
        <v>1109.6395199999999</v>
      </c>
      <c r="L54" s="4">
        <f ca="1">goldenOTP_check!L54*L110</f>
        <v>1109.413</v>
      </c>
      <c r="M54" s="4">
        <f ca="1">goldenOTP_check!M54*M110</f>
        <v>1118.6839520000001</v>
      </c>
      <c r="N54" s="4">
        <f ca="1">goldenOTP_check!N54*N110</f>
        <v>1126.9536459999999</v>
      </c>
      <c r="O54" s="4">
        <f ca="1">goldenOTP_check!O54*O110</f>
        <v>1111.5193319999998</v>
      </c>
      <c r="P54" s="4">
        <f ca="1">goldenOTP_check!P54*P110</f>
        <v>1113.79863</v>
      </c>
      <c r="Q54" s="4">
        <f ca="1">goldenOTP_check!Q54*Q110</f>
        <v>1105.8892499999999</v>
      </c>
      <c r="R54" s="4">
        <f ca="1">goldenOTP_check!R54*R110</f>
        <v>1106.469967</v>
      </c>
      <c r="S54" s="4">
        <f ca="1">goldenOTP_check!S54*S110</f>
        <v>1099.499247</v>
      </c>
      <c r="T54" s="4">
        <f ca="1">goldenOTP_check!T54*T110</f>
        <v>1109.6546369999999</v>
      </c>
      <c r="U54" s="4">
        <f ca="1">goldenOTP_check!U54*U110</f>
        <v>1098.790888</v>
      </c>
      <c r="V54" s="4">
        <f ca="1">goldenOTP_check!V54*V110</f>
        <v>1083.9605000000001</v>
      </c>
      <c r="W54" s="4">
        <f ca="1">goldenOTP_check!W54*W110</f>
        <v>1076.0912640000001</v>
      </c>
      <c r="X54" s="4">
        <f ca="1">goldenOTP_check!X54*X110</f>
        <v>1089.4526249999999</v>
      </c>
      <c r="Y54" s="4">
        <f ca="1">goldenOTP_check!Y54*Y110</f>
        <v>1047.0279759999999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1126.021</v>
      </c>
      <c r="J55" s="4">
        <f ca="1">goldenOTP_check!J55*J111</f>
        <v>1124.3850970000001</v>
      </c>
      <c r="K55" s="4">
        <f ca="1">goldenOTP_check!K55*K111</f>
        <v>1102.0492999999999</v>
      </c>
      <c r="L55" s="4">
        <f ca="1">goldenOTP_check!L55*L111</f>
        <v>1097.717674</v>
      </c>
      <c r="M55" s="4">
        <f ca="1">goldenOTP_check!M55*M111</f>
        <v>1102.0709999999999</v>
      </c>
      <c r="N55" s="4">
        <f ca="1">goldenOTP_check!N55*N111</f>
        <v>1119.9693690000001</v>
      </c>
      <c r="O55" s="4">
        <f ca="1">goldenOTP_check!O55*O111</f>
        <v>1123.598084</v>
      </c>
      <c r="P55" s="4">
        <f ca="1">goldenOTP_check!P55*P111</f>
        <v>1110.5406249999999</v>
      </c>
      <c r="Q55" s="4">
        <f ca="1">goldenOTP_check!Q55*Q111</f>
        <v>1112.764471</v>
      </c>
      <c r="R55" s="4">
        <f ca="1">goldenOTP_check!R55*R111</f>
        <v>1105.850625</v>
      </c>
      <c r="S55" s="4">
        <f ca="1">goldenOTP_check!S55*S111</f>
        <v>1115.865996</v>
      </c>
      <c r="T55" s="4">
        <f ca="1">goldenOTP_check!T55*T111</f>
        <v>1109.195318</v>
      </c>
      <c r="U55" s="4">
        <f ca="1">goldenOTP_check!U55*U111</f>
        <v>1085.107</v>
      </c>
      <c r="V55" s="4">
        <f ca="1">goldenOTP_check!V55*V111</f>
        <v>1075.1964400000002</v>
      </c>
      <c r="W55" s="4">
        <f ca="1">goldenOTP_check!W55*W111</f>
        <v>1072.8642259999999</v>
      </c>
      <c r="X55" s="4">
        <f ca="1">goldenOTP_check!X55*X111</f>
        <v>1090.76352</v>
      </c>
      <c r="Y55" s="4">
        <f ca="1">goldenOTP_check!Y55*Y111</f>
        <v>1072.265328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1120.7011649999999</v>
      </c>
      <c r="J56" s="4">
        <f ca="1">goldenOTP_check!J56*J112</f>
        <v>1091.5444</v>
      </c>
      <c r="K56" s="4">
        <f ca="1">goldenOTP_check!K56*K112</f>
        <v>1108.7400170000001</v>
      </c>
      <c r="L56" s="4">
        <f ca="1">goldenOTP_check!L56*L112</f>
        <v>1139.2292300000001</v>
      </c>
      <c r="M56" s="4">
        <f ca="1">goldenOTP_check!M56*M112</f>
        <v>1122.2248400000001</v>
      </c>
      <c r="N56" s="4">
        <f ca="1">goldenOTP_check!N56*N112</f>
        <v>1085.1741999999999</v>
      </c>
      <c r="O56" s="4">
        <f ca="1">goldenOTP_check!O56*O112</f>
        <v>1117.3688320000001</v>
      </c>
      <c r="P56" s="4">
        <f ca="1">goldenOTP_check!P56*P112</f>
        <v>1121.767392</v>
      </c>
      <c r="Q56" s="4">
        <f ca="1">goldenOTP_check!Q56*Q112</f>
        <v>1101.2801099999999</v>
      </c>
      <c r="R56" s="4">
        <f ca="1">goldenOTP_check!R56*R112</f>
        <v>1118.2889160000002</v>
      </c>
      <c r="S56" s="4">
        <f ca="1">goldenOTP_check!S56*S112</f>
        <v>1075.6955359999999</v>
      </c>
      <c r="T56" s="4">
        <f ca="1">goldenOTP_check!T56*T112</f>
        <v>1073.7963440000001</v>
      </c>
      <c r="U56" s="4">
        <f ca="1">goldenOTP_check!U56*U112</f>
        <v>1064.725056</v>
      </c>
      <c r="V56" s="4">
        <f ca="1">goldenOTP_check!V56*V112</f>
        <v>1075.4498289999999</v>
      </c>
      <c r="W56" s="4">
        <f ca="1">goldenOTP_check!W56*W112</f>
        <v>1082.472446</v>
      </c>
      <c r="X56" s="4">
        <f ca="1">goldenOTP_check!X56*X112</f>
        <v>1059.95084</v>
      </c>
      <c r="Y56" s="12">
        <f ca="1">goldenOTP_check!Y56*Y112</f>
        <v>1060.6272549999999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B11D-0F6E-45D1-8FEB-3FC329F7F81A}">
  <sheetPr codeName="工作表3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920.38900000000001</v>
      </c>
      <c r="J2" s="2">
        <f ca="1">goldenOTP_check!J2*J58</f>
        <v>942.84</v>
      </c>
      <c r="K2" s="2">
        <f ca="1">goldenOTP_check!K2*K58</f>
        <v>978.57900000000006</v>
      </c>
      <c r="L2" s="2">
        <f ca="1">goldenOTP_check!L2*L58</f>
        <v>996.721</v>
      </c>
      <c r="M2" s="2">
        <f ca="1">goldenOTP_check!M2*M58</f>
        <v>1037.5440000000001</v>
      </c>
      <c r="N2" s="2">
        <f ca="1">goldenOTP_check!N2*N58</f>
        <v>1025.2950000000001</v>
      </c>
      <c r="O2" s="2">
        <f ca="1">goldenOTP_check!O2*O58</f>
        <v>1039.6400000000001</v>
      </c>
      <c r="P2" s="2">
        <f ca="1">goldenOTP_check!P2*P58</f>
        <v>1075.25</v>
      </c>
      <c r="Q2" s="2">
        <f ca="1">goldenOTP_check!Q2*Q58</f>
        <v>1052.192</v>
      </c>
      <c r="R2" s="2">
        <f ca="1">goldenOTP_check!R2*R58</f>
        <v>1074.7440000000001</v>
      </c>
      <c r="S2" s="2">
        <f ca="1">goldenOTP_check!S2*S58</f>
        <v>1066.1840000000002</v>
      </c>
      <c r="T2" s="2">
        <f ca="1">goldenOTP_check!T2*T58</f>
        <v>1061.2030000000002</v>
      </c>
      <c r="U2" s="2">
        <f ca="1">goldenOTP_check!U2*U58</f>
        <v>1034.28</v>
      </c>
      <c r="V2" s="2">
        <f ca="1">goldenOTP_check!V2*V58</f>
        <v>997.08199999999999</v>
      </c>
      <c r="W2" s="2">
        <f ca="1">goldenOTP_check!W2*W58</f>
        <v>984.9190000000001</v>
      </c>
      <c r="X2" s="2">
        <f ca="1">goldenOTP_check!X2*X58</f>
        <v>943.11</v>
      </c>
      <c r="Y2" s="3">
        <f ca="1">goldenOTP_check!Y2*Y58</f>
        <v>912.50200000000007</v>
      </c>
      <c r="BA2"/>
      <c r="BB2"/>
      <c r="BC2"/>
      <c r="BD2"/>
    </row>
    <row r="3" spans="2:56" x14ac:dyDescent="0.3">
      <c r="B3" s="8">
        <v>0</v>
      </c>
      <c r="C3" s="9">
        <v>3.851</v>
      </c>
      <c r="D3" s="9">
        <v>3.4580000000000002</v>
      </c>
      <c r="E3" s="9">
        <v>3.4569999999999999</v>
      </c>
      <c r="F3" s="9">
        <v>3.2719999999999998</v>
      </c>
      <c r="H3" t="s">
        <v>6</v>
      </c>
      <c r="I3" s="2">
        <f ca="1">goldenOTP_check!I3*I59</f>
        <v>990.9</v>
      </c>
      <c r="J3" s="2">
        <f ca="1">goldenOTP_check!J3*J59</f>
        <v>1008.3770000000001</v>
      </c>
      <c r="K3" s="2">
        <f ca="1">goldenOTP_check!K3*K59</f>
        <v>1009.59</v>
      </c>
      <c r="L3" s="2">
        <f ca="1">goldenOTP_check!L3*L59</f>
        <v>1054.116</v>
      </c>
      <c r="M3" s="2">
        <f ca="1">goldenOTP_check!M3*M59</f>
        <v>1063.6099999999999</v>
      </c>
      <c r="N3" s="2">
        <f ca="1">goldenOTP_check!N3*N59</f>
        <v>1095.5590000000002</v>
      </c>
      <c r="O3" s="2">
        <f ca="1">goldenOTP_check!O3*O59</f>
        <v>1084.5720000000001</v>
      </c>
      <c r="P3" s="2">
        <f ca="1">goldenOTP_check!P3*P59</f>
        <v>1099.2</v>
      </c>
      <c r="Q3" s="2">
        <f ca="1">goldenOTP_check!Q3*Q59</f>
        <v>1101.633</v>
      </c>
      <c r="R3" s="2">
        <f ca="1">goldenOTP_check!R3*R59</f>
        <v>1098</v>
      </c>
      <c r="S3" s="2">
        <f ca="1">goldenOTP_check!S3*S59</f>
        <v>1107.0719999999999</v>
      </c>
      <c r="T3" s="2">
        <f ca="1">goldenOTP_check!T3*T59</f>
        <v>1094.501</v>
      </c>
      <c r="U3" s="2">
        <f ca="1">goldenOTP_check!U3*U59</f>
        <v>1065.49</v>
      </c>
      <c r="V3" s="2">
        <f ca="1">goldenOTP_check!V3*V59</f>
        <v>1057.077</v>
      </c>
      <c r="W3" s="2">
        <f ca="1">goldenOTP_check!W3*W59</f>
        <v>1016.89</v>
      </c>
      <c r="X3" s="2">
        <f ca="1">goldenOTP_check!X3*X59</f>
        <v>1010.596</v>
      </c>
      <c r="Y3" s="2">
        <f ca="1">goldenOTP_check!Y3*Y59</f>
        <v>923.1</v>
      </c>
      <c r="BA3"/>
      <c r="BB3"/>
      <c r="BC3"/>
      <c r="BD3"/>
    </row>
    <row r="4" spans="2:56" x14ac:dyDescent="0.3">
      <c r="B4" s="6">
        <v>1</v>
      </c>
      <c r="C4" s="9">
        <v>3.492</v>
      </c>
      <c r="D4" s="9">
        <v>3.1019999999999999</v>
      </c>
      <c r="E4" s="9">
        <v>3.105</v>
      </c>
      <c r="F4" s="9">
        <v>2.9510000000000001</v>
      </c>
      <c r="I4" s="2">
        <f ca="1">goldenOTP_check!I4*I60</f>
        <v>983.96999999999991</v>
      </c>
      <c r="J4" s="2">
        <f ca="1">goldenOTP_check!J4*J60</f>
        <v>1019.4639999999999</v>
      </c>
      <c r="K4" s="2">
        <f ca="1">goldenOTP_check!K4*K60</f>
        <v>1041.124</v>
      </c>
      <c r="L4" s="2">
        <f ca="1">goldenOTP_check!L4*L60</f>
        <v>1057.5</v>
      </c>
      <c r="M4" s="2">
        <f ca="1">goldenOTP_check!M4*M60</f>
        <v>1083.623</v>
      </c>
      <c r="N4" s="2">
        <f ca="1">goldenOTP_check!N4*N60</f>
        <v>1099.8</v>
      </c>
      <c r="O4" s="2">
        <f ca="1">goldenOTP_check!O4*O60</f>
        <v>1101.48</v>
      </c>
      <c r="P4" s="2">
        <f ca="1">goldenOTP_check!P4*P60</f>
        <v>1092.8879999999999</v>
      </c>
      <c r="Q4" s="2">
        <f ca="1">goldenOTP_check!Q4*Q60</f>
        <v>1089.1229999999998</v>
      </c>
      <c r="R4" s="2">
        <f ca="1">goldenOTP_check!R4*R60</f>
        <v>1095.712</v>
      </c>
      <c r="S4" s="2">
        <f ca="1">goldenOTP_check!S4*S60</f>
        <v>1108.1799999999998</v>
      </c>
      <c r="T4" s="2">
        <f ca="1">goldenOTP_check!T4*T60</f>
        <v>1105.9100000000001</v>
      </c>
      <c r="U4" s="2">
        <f ca="1">goldenOTP_check!U4*U60</f>
        <v>1089.5739999999998</v>
      </c>
      <c r="V4" s="2">
        <f ca="1">goldenOTP_check!V4*V60</f>
        <v>1064.55</v>
      </c>
      <c r="W4" s="2">
        <f ca="1">goldenOTP_check!W4*W60</f>
        <v>1046.8920000000001</v>
      </c>
      <c r="X4" s="2">
        <f ca="1">goldenOTP_check!X4*X60</f>
        <v>1018.758</v>
      </c>
      <c r="Y4" s="2">
        <f ca="1">goldenOTP_check!Y4*Y60</f>
        <v>971.21</v>
      </c>
      <c r="BA4"/>
      <c r="BB4"/>
      <c r="BC4"/>
      <c r="BD4"/>
    </row>
    <row r="5" spans="2:56" x14ac:dyDescent="0.3">
      <c r="B5" s="6">
        <v>2</v>
      </c>
      <c r="C5" s="9">
        <v>3.0870000000000002</v>
      </c>
      <c r="D5" s="9">
        <v>2.7349999999999999</v>
      </c>
      <c r="E5" s="9">
        <v>2.7389999999999999</v>
      </c>
      <c r="F5" s="9">
        <v>2.6110000000000002</v>
      </c>
      <c r="I5" s="2">
        <f ca="1">goldenOTP_check!I5*I61</f>
        <v>980.93600000000004</v>
      </c>
      <c r="J5" s="2">
        <f ca="1">goldenOTP_check!J5*J61</f>
        <v>1013.3199999999999</v>
      </c>
      <c r="K5" s="2">
        <f ca="1">goldenOTP_check!K5*K61</f>
        <v>1053.1319999999998</v>
      </c>
      <c r="L5" s="2">
        <f ca="1">goldenOTP_check!L5*L61</f>
        <v>1087.624</v>
      </c>
      <c r="M5" s="2">
        <f ca="1">goldenOTP_check!M5*M61</f>
        <v>1096.7449999999999</v>
      </c>
      <c r="N5" s="2">
        <f ca="1">goldenOTP_check!N5*N61</f>
        <v>1095.1320000000001</v>
      </c>
      <c r="O5" s="2">
        <f ca="1">goldenOTP_check!O5*O61</f>
        <v>1083.3519999999999</v>
      </c>
      <c r="P5" s="2">
        <f ca="1">goldenOTP_check!P5*P61</f>
        <v>1074.575</v>
      </c>
      <c r="Q5" s="2">
        <f ca="1">goldenOTP_check!Q5*Q61</f>
        <v>1083.83</v>
      </c>
      <c r="R5" s="2">
        <f ca="1">goldenOTP_check!R5*R61</f>
        <v>1080.252</v>
      </c>
      <c r="S5" s="2">
        <f ca="1">goldenOTP_check!S5*S61</f>
        <v>1093.2840000000001</v>
      </c>
      <c r="T5" s="2">
        <f ca="1">goldenOTP_check!T5*T61</f>
        <v>1105.5419999999999</v>
      </c>
      <c r="U5" s="2">
        <f ca="1">goldenOTP_check!U5*U61</f>
        <v>1105.9100000000001</v>
      </c>
      <c r="V5" s="2">
        <f ca="1">goldenOTP_check!V5*V61</f>
        <v>1095.5590000000002</v>
      </c>
      <c r="W5" s="2">
        <f ca="1">goldenOTP_check!W5*W61</f>
        <v>1057.1550000000002</v>
      </c>
      <c r="X5" s="2">
        <f ca="1">goldenOTP_check!X5*X61</f>
        <v>1010.3119999999999</v>
      </c>
      <c r="Y5" s="2">
        <f ca="1">goldenOTP_check!Y5*Y61</f>
        <v>965.86400000000003</v>
      </c>
      <c r="BA5"/>
      <c r="BB5"/>
      <c r="BC5"/>
      <c r="BD5"/>
    </row>
    <row r="6" spans="2:56" x14ac:dyDescent="0.3">
      <c r="B6" s="6">
        <v>3</v>
      </c>
      <c r="C6" s="9">
        <v>2.7610000000000001</v>
      </c>
      <c r="D6" s="9">
        <v>2.4460000000000002</v>
      </c>
      <c r="E6" s="9">
        <v>2.4500000000000002</v>
      </c>
      <c r="F6" s="9">
        <v>2.343</v>
      </c>
      <c r="I6" s="2">
        <f ca="1">goldenOTP_check!I6*I62</f>
        <v>975.35699999999997</v>
      </c>
      <c r="J6" s="2">
        <f ca="1">goldenOTP_check!J6*J62</f>
        <v>1051.0120000000002</v>
      </c>
      <c r="K6" s="2">
        <f ca="1">goldenOTP_check!K6*K62</f>
        <v>1067.1479999999999</v>
      </c>
      <c r="L6" s="2">
        <f ca="1">goldenOTP_check!L6*L62</f>
        <v>1099.5840000000001</v>
      </c>
      <c r="M6" s="2">
        <f ca="1">goldenOTP_check!M6*M62</f>
        <v>1096.79</v>
      </c>
      <c r="N6" s="2">
        <f ca="1">goldenOTP_check!N6*N62</f>
        <v>1081.06</v>
      </c>
      <c r="O6" s="2">
        <f ca="1">goldenOTP_check!O6*O62</f>
        <v>1069.761</v>
      </c>
      <c r="P6" s="2">
        <f ca="1">goldenOTP_check!P6*P62</f>
        <v>1062.47</v>
      </c>
      <c r="Q6" s="2">
        <f ca="1">goldenOTP_check!Q6*Q62</f>
        <v>1062.7759999999998</v>
      </c>
      <c r="R6" s="2">
        <f ca="1">goldenOTP_check!R6*R62</f>
        <v>1065.1849999999999</v>
      </c>
      <c r="S6" s="2">
        <f ca="1">goldenOTP_check!S6*S62</f>
        <v>1074.8429999999998</v>
      </c>
      <c r="T6" s="2">
        <f ca="1">goldenOTP_check!T6*T62</f>
        <v>1085.644</v>
      </c>
      <c r="U6" s="2">
        <f ca="1">goldenOTP_check!U6*U62</f>
        <v>1100.81</v>
      </c>
      <c r="V6" s="2">
        <f ca="1">goldenOTP_check!V6*V62</f>
        <v>1104.768</v>
      </c>
      <c r="W6" s="2">
        <f ca="1">goldenOTP_check!W6*W62</f>
        <v>1073.414</v>
      </c>
      <c r="X6" s="2">
        <f ca="1">goldenOTP_check!X6*X62</f>
        <v>1023.1999999999999</v>
      </c>
      <c r="Y6" s="2">
        <f ca="1">goldenOTP_check!Y6*Y62</f>
        <v>981.68099999999993</v>
      </c>
      <c r="BA6"/>
      <c r="BB6"/>
      <c r="BC6"/>
      <c r="BD6"/>
    </row>
    <row r="7" spans="2:56" x14ac:dyDescent="0.3">
      <c r="B7" s="6">
        <v>4</v>
      </c>
      <c r="C7" s="9">
        <v>2.5430000000000001</v>
      </c>
      <c r="D7" s="9">
        <v>2.2559999999999998</v>
      </c>
      <c r="E7" s="9">
        <v>2.2599999999999998</v>
      </c>
      <c r="F7" s="9">
        <v>2.1629999999999998</v>
      </c>
      <c r="I7" s="2">
        <f ca="1">goldenOTP_check!I7*I63</f>
        <v>980.1450000000001</v>
      </c>
      <c r="J7" s="2">
        <f ca="1">goldenOTP_check!J7*J63</f>
        <v>1041.8489999999999</v>
      </c>
      <c r="K7" s="2">
        <f ca="1">goldenOTP_check!K7*K63</f>
        <v>1070.19</v>
      </c>
      <c r="L7" s="2">
        <f ca="1">goldenOTP_check!L7*L63</f>
        <v>1083</v>
      </c>
      <c r="M7" s="2">
        <f ca="1">goldenOTP_check!M7*M63</f>
        <v>1080.18</v>
      </c>
      <c r="N7" s="2">
        <f ca="1">goldenOTP_check!N7*N63</f>
        <v>1068.087</v>
      </c>
      <c r="O7" s="2">
        <f ca="1">goldenOTP_check!O7*O63</f>
        <v>1058.8499999999999</v>
      </c>
      <c r="P7" s="2">
        <f ca="1">goldenOTP_check!P7*P63</f>
        <v>1037.2640000000001</v>
      </c>
      <c r="Q7" s="2">
        <f ca="1">goldenOTP_check!Q7*Q63</f>
        <v>1029.4960000000001</v>
      </c>
      <c r="R7" s="2">
        <f ca="1">goldenOTP_check!R7*R63</f>
        <v>1052.1280000000002</v>
      </c>
      <c r="S7" s="2">
        <f ca="1">goldenOTP_check!S7*S63</f>
        <v>1061.5650000000001</v>
      </c>
      <c r="T7" s="2">
        <f ca="1">goldenOTP_check!T7*T63</f>
        <v>1068.087</v>
      </c>
      <c r="U7" s="2">
        <f ca="1">goldenOTP_check!U7*U63</f>
        <v>1080.886</v>
      </c>
      <c r="V7" s="2">
        <f ca="1">goldenOTP_check!V7*V63</f>
        <v>1087.2</v>
      </c>
      <c r="W7" s="2">
        <f ca="1">goldenOTP_check!W7*W63</f>
        <v>1078.2859999999998</v>
      </c>
      <c r="X7" s="2">
        <f ca="1">goldenOTP_check!X7*X63</f>
        <v>1047.771</v>
      </c>
      <c r="Y7" s="2">
        <f ca="1">goldenOTP_check!Y7*Y63</f>
        <v>977.3850000000001</v>
      </c>
      <c r="BA7"/>
      <c r="BB7"/>
      <c r="BC7"/>
      <c r="BD7"/>
    </row>
    <row r="8" spans="2:56" x14ac:dyDescent="0.3">
      <c r="B8" s="6">
        <v>5</v>
      </c>
      <c r="C8" s="9">
        <v>2.3570000000000002</v>
      </c>
      <c r="D8" s="9">
        <v>2.1</v>
      </c>
      <c r="E8" s="9">
        <v>2.105</v>
      </c>
      <c r="F8" s="9">
        <v>2.0169999999999999</v>
      </c>
      <c r="I8" s="2">
        <f ca="1">goldenOTP_check!I8*I64</f>
        <v>1006.383</v>
      </c>
      <c r="J8" s="2">
        <f ca="1">goldenOTP_check!J8*J64</f>
        <v>1059.6600000000001</v>
      </c>
      <c r="K8" s="2">
        <f ca="1">goldenOTP_check!K8*K64</f>
        <v>1075.877</v>
      </c>
      <c r="L8" s="2">
        <f ca="1">goldenOTP_check!L8*L64</f>
        <v>1077.8040000000001</v>
      </c>
      <c r="M8" s="2">
        <f ca="1">goldenOTP_check!M8*M64</f>
        <v>1081.836</v>
      </c>
      <c r="N8" s="2">
        <f ca="1">goldenOTP_check!N8*N64</f>
        <v>1062.9549999999999</v>
      </c>
      <c r="O8" s="2">
        <f ca="1">goldenOTP_check!O8*O64</f>
        <v>1046.9829999999999</v>
      </c>
      <c r="P8" s="2">
        <f ca="1">goldenOTP_check!P8*P64</f>
        <v>1031.9669999999999</v>
      </c>
      <c r="Q8" s="2">
        <f ca="1">goldenOTP_check!Q8*Q64</f>
        <v>1027.0920000000001</v>
      </c>
      <c r="R8" s="2">
        <f ca="1">goldenOTP_check!R8*R64</f>
        <v>1035.963</v>
      </c>
      <c r="S8" s="2">
        <f ca="1">goldenOTP_check!S8*S64</f>
        <v>1068.0350000000001</v>
      </c>
      <c r="T8" s="2">
        <f ca="1">goldenOTP_check!T8*T64</f>
        <v>1068.8</v>
      </c>
      <c r="U8" s="2">
        <f ca="1">goldenOTP_check!U8*U64</f>
        <v>1087.6679999999999</v>
      </c>
      <c r="V8" s="2">
        <f ca="1">goldenOTP_check!V8*V64</f>
        <v>1084.5249999999999</v>
      </c>
      <c r="W8" s="2">
        <f ca="1">goldenOTP_check!W8*W64</f>
        <v>1081.047</v>
      </c>
      <c r="X8" s="2">
        <f ca="1">goldenOTP_check!X8*X64</f>
        <v>1031.2740000000001</v>
      </c>
      <c r="Y8" s="2">
        <f ca="1">goldenOTP_check!Y8*Y64</f>
        <v>1008.273</v>
      </c>
    </row>
    <row r="9" spans="2:56" x14ac:dyDescent="0.3">
      <c r="B9" s="6">
        <v>6</v>
      </c>
      <c r="C9" s="9">
        <v>2.2120000000000002</v>
      </c>
      <c r="D9" s="9">
        <v>1.982</v>
      </c>
      <c r="E9" s="9">
        <v>1.9850000000000001</v>
      </c>
      <c r="F9" s="9">
        <v>1.9039999999999999</v>
      </c>
      <c r="I9" s="2">
        <f ca="1">goldenOTP_check!I9*I65</f>
        <v>982.21500000000003</v>
      </c>
      <c r="J9" s="2">
        <f ca="1">goldenOTP_check!J9*J65</f>
        <v>1041.4260000000002</v>
      </c>
      <c r="K9" s="2">
        <f ca="1">goldenOTP_check!K9*K65</f>
        <v>1065.1299999999999</v>
      </c>
      <c r="L9" s="2">
        <f ca="1">goldenOTP_check!L9*L65</f>
        <v>1093.079</v>
      </c>
      <c r="M9" s="2">
        <f ca="1">goldenOTP_check!M9*M65</f>
        <v>1082.67</v>
      </c>
      <c r="N9" s="2">
        <f ca="1">goldenOTP_check!N9*N65</f>
        <v>1068.2540000000001</v>
      </c>
      <c r="O9" s="2">
        <f ca="1">goldenOTP_check!O9*O65</f>
        <v>1055.4670000000001</v>
      </c>
      <c r="P9" s="2">
        <f ca="1">goldenOTP_check!P9*P65</f>
        <v>1032.6079999999999</v>
      </c>
      <c r="Q9" s="2">
        <f ca="1">goldenOTP_check!Q9*Q65</f>
        <v>1027.971</v>
      </c>
      <c r="R9" s="2">
        <f ca="1">goldenOTP_check!R9*R65</f>
        <v>1041.3920000000001</v>
      </c>
      <c r="S9" s="2">
        <f ca="1">goldenOTP_check!S9*S65</f>
        <v>1067.3879999999999</v>
      </c>
      <c r="T9" s="2">
        <f ca="1">goldenOTP_check!T9*T65</f>
        <v>1078.1300000000001</v>
      </c>
      <c r="U9" s="2">
        <f ca="1">goldenOTP_check!U9*U65</f>
        <v>1094.1420000000001</v>
      </c>
      <c r="V9" s="2">
        <f ca="1">goldenOTP_check!V9*V65</f>
        <v>1083</v>
      </c>
      <c r="W9" s="2">
        <f ca="1">goldenOTP_check!W9*W65</f>
        <v>1071.7079999999999</v>
      </c>
      <c r="X9" s="2">
        <f ca="1">goldenOTP_check!X9*X65</f>
        <v>1038.8879999999999</v>
      </c>
      <c r="Y9" s="2">
        <f ca="1">goldenOTP_check!Y9*Y65</f>
        <v>967.38</v>
      </c>
    </row>
    <row r="10" spans="2:56" x14ac:dyDescent="0.3">
      <c r="B10" s="6">
        <v>7</v>
      </c>
      <c r="C10" s="9">
        <v>2.125</v>
      </c>
      <c r="D10" s="9">
        <v>1.9119999999999999</v>
      </c>
      <c r="E10" s="9">
        <v>1.9139999999999999</v>
      </c>
      <c r="F10" s="9">
        <v>1.8380000000000001</v>
      </c>
      <c r="I10" s="2">
        <f ca="1">goldenOTP_check!I10*I66</f>
        <v>976.35599999999999</v>
      </c>
      <c r="J10" s="2">
        <f ca="1">goldenOTP_check!J10*J66</f>
        <v>1049.7760000000001</v>
      </c>
      <c r="K10" s="2">
        <f ca="1">goldenOTP_check!K10*K66</f>
        <v>1061.846</v>
      </c>
      <c r="L10" s="2">
        <f ca="1">goldenOTP_check!L10*L66</f>
        <v>1089.2159999999999</v>
      </c>
      <c r="M10" s="2">
        <f ca="1">goldenOTP_check!M10*M66</f>
        <v>1082.05</v>
      </c>
      <c r="N10" s="2">
        <f ca="1">goldenOTP_check!N10*N66</f>
        <v>1080.9680000000001</v>
      </c>
      <c r="O10" s="2">
        <f ca="1">goldenOTP_check!O10*O66</f>
        <v>1067.3520000000001</v>
      </c>
      <c r="P10" s="2">
        <f ca="1">goldenOTP_check!P10*P66</f>
        <v>1057.3009999999999</v>
      </c>
      <c r="Q10" s="2">
        <f ca="1">goldenOTP_check!Q10*Q66</f>
        <v>1055.8020000000001</v>
      </c>
      <c r="R10" s="2">
        <f ca="1">goldenOTP_check!R10*R66</f>
        <v>1060.0519999999999</v>
      </c>
      <c r="S10" s="2">
        <f ca="1">goldenOTP_check!S10*S66</f>
        <v>1072.5</v>
      </c>
      <c r="T10" s="2">
        <f ca="1">goldenOTP_check!T10*T66</f>
        <v>1087.952</v>
      </c>
      <c r="U10" s="2">
        <f ca="1">goldenOTP_check!U10*U66</f>
        <v>1090.0899999999999</v>
      </c>
      <c r="V10" s="2">
        <f ca="1">goldenOTP_check!V10*V66</f>
        <v>1097.28</v>
      </c>
      <c r="W10" s="2">
        <f ca="1">goldenOTP_check!W10*W66</f>
        <v>1067.1479999999999</v>
      </c>
      <c r="X10" s="2">
        <f ca="1">goldenOTP_check!X10*X66</f>
        <v>1048.952</v>
      </c>
      <c r="Y10" s="2">
        <f ca="1">goldenOTP_check!Y10*Y66</f>
        <v>966.0329999999999</v>
      </c>
    </row>
    <row r="11" spans="2:56" x14ac:dyDescent="0.3">
      <c r="B11" s="6">
        <v>8</v>
      </c>
      <c r="C11" s="9">
        <v>2.0960000000000001</v>
      </c>
      <c r="D11" s="9">
        <v>1.89</v>
      </c>
      <c r="E11" s="9">
        <v>1.893</v>
      </c>
      <c r="F11" s="9">
        <v>1.82</v>
      </c>
      <c r="I11" s="2">
        <f ca="1">goldenOTP_check!I11*I67</f>
        <v>1001.3249999999999</v>
      </c>
      <c r="J11" s="2">
        <f ca="1">goldenOTP_check!J11*J67</f>
        <v>1035.96</v>
      </c>
      <c r="K11" s="2">
        <f ca="1">goldenOTP_check!K11*K67</f>
        <v>1043.298</v>
      </c>
      <c r="L11" s="2">
        <f ca="1">goldenOTP_check!L11*L67</f>
        <v>1077.5729999999999</v>
      </c>
      <c r="M11" s="2">
        <f ca="1">goldenOTP_check!M11*M67</f>
        <v>1083.914</v>
      </c>
      <c r="N11" s="2">
        <f ca="1">goldenOTP_check!N11*N67</f>
        <v>1078.4760000000001</v>
      </c>
      <c r="O11" s="2">
        <f ca="1">goldenOTP_check!O11*O67</f>
        <v>1080.192</v>
      </c>
      <c r="P11" s="2">
        <f ca="1">goldenOTP_check!P11*P67</f>
        <v>1066.6079999999999</v>
      </c>
      <c r="Q11" s="2">
        <f ca="1">goldenOTP_check!Q11*Q67</f>
        <v>1055.44</v>
      </c>
      <c r="R11" s="2">
        <f ca="1">goldenOTP_check!R11*R67</f>
        <v>1066.6079999999999</v>
      </c>
      <c r="S11" s="2">
        <f ca="1">goldenOTP_check!S11*S67</f>
        <v>1061.1959999999999</v>
      </c>
      <c r="T11" s="2">
        <f ca="1">goldenOTP_check!T11*T67</f>
        <v>1075.7</v>
      </c>
      <c r="U11" s="2">
        <f ca="1">goldenOTP_check!U11*U67</f>
        <v>1082.692</v>
      </c>
      <c r="V11" s="2">
        <f ca="1">goldenOTP_check!V11*V67</f>
        <v>1080.2179999999998</v>
      </c>
      <c r="W11" s="2">
        <f ca="1">goldenOTP_check!W11*W67</f>
        <v>1048.662</v>
      </c>
      <c r="X11" s="2">
        <f ca="1">goldenOTP_check!X11*X67</f>
        <v>1039.0640000000001</v>
      </c>
      <c r="Y11" s="2">
        <f ca="1">goldenOTP_check!Y11*Y67</f>
        <v>953.56000000000006</v>
      </c>
      <c r="BD11"/>
    </row>
    <row r="12" spans="2:56" x14ac:dyDescent="0.3">
      <c r="B12" s="6">
        <v>9</v>
      </c>
      <c r="C12" s="9">
        <v>2.1240000000000001</v>
      </c>
      <c r="D12" s="9">
        <v>1.913</v>
      </c>
      <c r="E12" s="9">
        <v>1.9159999999999999</v>
      </c>
      <c r="F12" s="9">
        <v>1.8440000000000001</v>
      </c>
      <c r="I12" s="2">
        <f ca="1">goldenOTP_check!I12*I68</f>
        <v>972.66000000000008</v>
      </c>
      <c r="J12" s="2">
        <f ca="1">goldenOTP_check!J12*J68</f>
        <v>1011.6980000000001</v>
      </c>
      <c r="K12" s="2">
        <f ca="1">goldenOTP_check!K12*K68</f>
        <v>1035.356</v>
      </c>
      <c r="L12" s="2">
        <f ca="1">goldenOTP_check!L12*L68</f>
        <v>1074.3780000000002</v>
      </c>
      <c r="M12" s="2">
        <f ca="1">goldenOTP_check!M12*M68</f>
        <v>1070.098</v>
      </c>
      <c r="N12" s="2">
        <f ca="1">goldenOTP_check!N12*N68</f>
        <v>1082.0809999999999</v>
      </c>
      <c r="O12" s="2">
        <f ca="1">goldenOTP_check!O12*O68</f>
        <v>1079.3699999999999</v>
      </c>
      <c r="P12" s="2">
        <f ca="1">goldenOTP_check!P12*P68</f>
        <v>1084.104</v>
      </c>
      <c r="Q12" s="2">
        <f ca="1">goldenOTP_check!Q12*Q68</f>
        <v>1077.462</v>
      </c>
      <c r="R12" s="2">
        <f ca="1">goldenOTP_check!R12*R68</f>
        <v>1081.953</v>
      </c>
      <c r="S12" s="2">
        <f ca="1">goldenOTP_check!S12*S68</f>
        <v>1078.7</v>
      </c>
      <c r="T12" s="2">
        <f ca="1">goldenOTP_check!T12*T68</f>
        <v>1080.8589999999999</v>
      </c>
      <c r="U12" s="2">
        <f ca="1">goldenOTP_check!U12*U68</f>
        <v>1068.4750000000001</v>
      </c>
      <c r="V12" s="2">
        <f ca="1">goldenOTP_check!V12*V68</f>
        <v>1049.51</v>
      </c>
      <c r="W12" s="2">
        <f ca="1">goldenOTP_check!W12*W68</f>
        <v>1037.0039999999999</v>
      </c>
      <c r="X12" s="2">
        <f ca="1">goldenOTP_check!X12*X68</f>
        <v>1012.404</v>
      </c>
      <c r="Y12" s="2">
        <f ca="1">goldenOTP_check!Y12*Y68</f>
        <v>965.99</v>
      </c>
      <c r="BD12"/>
    </row>
    <row r="13" spans="2:56" x14ac:dyDescent="0.3">
      <c r="B13" s="6">
        <v>10</v>
      </c>
      <c r="C13" s="9">
        <v>2.2120000000000002</v>
      </c>
      <c r="D13" s="9">
        <v>1.9870000000000001</v>
      </c>
      <c r="E13" s="9">
        <v>1.9910000000000001</v>
      </c>
      <c r="F13" s="9">
        <v>1.913</v>
      </c>
      <c r="I13" s="2">
        <f ca="1">goldenOTP_check!I13*I69</f>
        <v>987.93</v>
      </c>
      <c r="J13" s="2">
        <f ca="1">goldenOTP_check!J13*J69</f>
        <v>1001.72</v>
      </c>
      <c r="K13" s="2">
        <f ca="1">goldenOTP_check!K13*K69</f>
        <v>1003.0200000000001</v>
      </c>
      <c r="L13" s="2">
        <f ca="1">goldenOTP_check!L13*L69</f>
        <v>1044.8100000000002</v>
      </c>
      <c r="M13" s="2">
        <f ca="1">goldenOTP_check!M13*M69</f>
        <v>1074.3780000000002</v>
      </c>
      <c r="N13" s="2">
        <f ca="1">goldenOTP_check!N13*N69</f>
        <v>1073.3409999999999</v>
      </c>
      <c r="O13" s="2">
        <f ca="1">goldenOTP_check!O13*O69</f>
        <v>1083.4559999999999</v>
      </c>
      <c r="P13" s="2">
        <f ca="1">goldenOTP_check!P13*P69</f>
        <v>1093.69</v>
      </c>
      <c r="Q13" s="2">
        <f ca="1">goldenOTP_check!Q13*Q69</f>
        <v>1077.193</v>
      </c>
      <c r="R13" s="2">
        <f ca="1">goldenOTP_check!R13*R69</f>
        <v>1097.356</v>
      </c>
      <c r="S13" s="2">
        <f ca="1">goldenOTP_check!S13*S69</f>
        <v>1090.3679999999999</v>
      </c>
      <c r="T13" s="2">
        <f ca="1">goldenOTP_check!T13*T69</f>
        <v>1079.6889999999999</v>
      </c>
      <c r="U13" s="2">
        <f ca="1">goldenOTP_check!U13*U69</f>
        <v>1078.2340000000002</v>
      </c>
      <c r="V13" s="2">
        <f ca="1">goldenOTP_check!V13*V69</f>
        <v>1045.2329999999999</v>
      </c>
      <c r="W13" s="2">
        <f ca="1">goldenOTP_check!W13*W69</f>
        <v>1002.29</v>
      </c>
      <c r="X13" s="2">
        <f ca="1">goldenOTP_check!X13*X69</f>
        <v>996.3309999999999</v>
      </c>
      <c r="Y13" s="2">
        <f ca="1">goldenOTP_check!Y13*Y69</f>
        <v>969.84</v>
      </c>
      <c r="BD13"/>
    </row>
    <row r="14" spans="2:56" x14ac:dyDescent="0.3">
      <c r="B14" s="6">
        <v>11</v>
      </c>
      <c r="C14" s="9">
        <v>2.3530000000000002</v>
      </c>
      <c r="D14" s="9">
        <v>2.1070000000000002</v>
      </c>
      <c r="E14" s="9">
        <v>2.11</v>
      </c>
      <c r="F14" s="9">
        <v>2.0249999999999999</v>
      </c>
      <c r="I14" s="3">
        <f ca="1">goldenOTP_check!I14*I70</f>
        <v>995.26499999999999</v>
      </c>
      <c r="J14" s="2">
        <f ca="1">goldenOTP_check!J14*J70</f>
        <v>1004.718</v>
      </c>
      <c r="K14" s="2">
        <f ca="1">goldenOTP_check!K14*K70</f>
        <v>976.36</v>
      </c>
      <c r="L14" s="2">
        <f ca="1">goldenOTP_check!L14*L70</f>
        <v>992.75</v>
      </c>
      <c r="M14" s="2">
        <f ca="1">goldenOTP_check!M14*M70</f>
        <v>1020.908</v>
      </c>
      <c r="N14" s="2">
        <f ca="1">goldenOTP_check!N14*N70</f>
        <v>1052.183</v>
      </c>
      <c r="O14" s="2">
        <f ca="1">goldenOTP_check!O14*O70</f>
        <v>1054.134</v>
      </c>
      <c r="P14" s="2">
        <f ca="1">goldenOTP_check!P14*P70</f>
        <v>1055.7060000000001</v>
      </c>
      <c r="Q14" s="2">
        <f ca="1">goldenOTP_check!Q14*Q70</f>
        <v>1075.877</v>
      </c>
      <c r="R14" s="2">
        <f ca="1">goldenOTP_check!R14*R70</f>
        <v>1061.2279999999998</v>
      </c>
      <c r="S14" s="2">
        <f ca="1">goldenOTP_check!S14*S70</f>
        <v>1067.6299999999999</v>
      </c>
      <c r="T14" s="2">
        <f ca="1">goldenOTP_check!T14*T70</f>
        <v>1064.8110000000001</v>
      </c>
      <c r="U14" s="2">
        <f ca="1">goldenOTP_check!U14*U70</f>
        <v>1026.5640000000001</v>
      </c>
      <c r="V14" s="2">
        <f ca="1">goldenOTP_check!V14*V70</f>
        <v>995.99899999999991</v>
      </c>
      <c r="W14" s="2">
        <f ca="1">goldenOTP_check!W14*W70</f>
        <v>973.82400000000007</v>
      </c>
      <c r="X14" s="2">
        <f ca="1">goldenOTP_check!X14*X70</f>
        <v>988.41599999999994</v>
      </c>
      <c r="Y14" s="3">
        <f ca="1">goldenOTP_check!Y14*Y70</f>
        <v>965.17500000000007</v>
      </c>
      <c r="BD14"/>
    </row>
    <row r="15" spans="2:56" x14ac:dyDescent="0.3">
      <c r="B15" s="6">
        <v>12</v>
      </c>
      <c r="C15" s="9">
        <v>2.5350000000000001</v>
      </c>
      <c r="D15" s="9">
        <v>2.2629999999999999</v>
      </c>
      <c r="E15" s="9">
        <v>2.266</v>
      </c>
      <c r="F15" s="9">
        <v>2.1749999999999998</v>
      </c>
      <c r="BD15"/>
    </row>
    <row r="16" spans="2:56" x14ac:dyDescent="0.3">
      <c r="B16" s="6">
        <v>13</v>
      </c>
      <c r="C16" s="9">
        <v>2.762</v>
      </c>
      <c r="D16" s="9">
        <v>2.46</v>
      </c>
      <c r="E16" s="9">
        <v>2.4620000000000002</v>
      </c>
      <c r="F16" s="9">
        <v>2.3610000000000002</v>
      </c>
      <c r="H16" t="s">
        <v>1</v>
      </c>
      <c r="I16" s="10">
        <f ca="1">goldenOTP_check!I16*I72</f>
        <v>912.91200000000003</v>
      </c>
      <c r="J16" s="2">
        <f ca="1">goldenOTP_check!J16*J72</f>
        <v>930.59999999999991</v>
      </c>
      <c r="K16" s="2">
        <f ca="1">goldenOTP_check!K16*K72</f>
        <v>951.78</v>
      </c>
      <c r="L16" s="2">
        <f ca="1">goldenOTP_check!L16*L72</f>
        <v>968.6160000000001</v>
      </c>
      <c r="M16" s="2">
        <f ca="1">goldenOTP_check!M16*M72</f>
        <v>985.87199999999996</v>
      </c>
      <c r="N16" s="2">
        <f ca="1">goldenOTP_check!N16*N72</f>
        <v>1001.7</v>
      </c>
      <c r="O16" s="2">
        <f ca="1">goldenOTP_check!O16*O72</f>
        <v>1004.874</v>
      </c>
      <c r="P16" s="2">
        <f ca="1">goldenOTP_check!P16*P72</f>
        <v>1022.92</v>
      </c>
      <c r="Q16" s="2">
        <f ca="1">goldenOTP_check!Q16*Q72</f>
        <v>1016.8199999999999</v>
      </c>
      <c r="R16" s="2">
        <f ca="1">goldenOTP_check!R16*R72</f>
        <v>1023.455</v>
      </c>
      <c r="S16" s="2">
        <f ca="1">goldenOTP_check!S16*S72</f>
        <v>1021.3180000000001</v>
      </c>
      <c r="T16" s="2">
        <f ca="1">goldenOTP_check!T16*T72</f>
        <v>1005.0390000000001</v>
      </c>
      <c r="U16" s="2">
        <f ca="1">goldenOTP_check!U16*U72</f>
        <v>988.93099999999993</v>
      </c>
      <c r="V16" s="2">
        <f ca="1">goldenOTP_check!V16*V72</f>
        <v>974.16</v>
      </c>
      <c r="W16" s="2">
        <f ca="1">goldenOTP_check!W16*W72</f>
        <v>962.91599999999994</v>
      </c>
      <c r="X16" s="2">
        <f ca="1">goldenOTP_check!X16*X72</f>
        <v>939.3</v>
      </c>
      <c r="Y16" s="10">
        <f ca="1">goldenOTP_check!Y16*Y72</f>
        <v>915.81599999999992</v>
      </c>
    </row>
    <row r="17" spans="2:25" x14ac:dyDescent="0.3">
      <c r="B17" s="6">
        <v>14</v>
      </c>
      <c r="C17" s="9">
        <v>3.1070000000000002</v>
      </c>
      <c r="D17" s="9">
        <v>2.7669999999999999</v>
      </c>
      <c r="E17" s="9">
        <v>2.7690000000000001</v>
      </c>
      <c r="F17" s="9">
        <v>2.6549999999999998</v>
      </c>
      <c r="H17" t="s">
        <v>6</v>
      </c>
      <c r="I17" s="2">
        <f ca="1">goldenOTP_check!I17*I73</f>
        <v>935.22</v>
      </c>
      <c r="J17" s="2">
        <f ca="1">goldenOTP_check!J17*J73</f>
        <v>952.02500000000009</v>
      </c>
      <c r="K17" s="2">
        <f ca="1">goldenOTP_check!K17*K73</f>
        <v>967.56600000000003</v>
      </c>
      <c r="L17" s="2">
        <f ca="1">goldenOTP_check!L17*L73</f>
        <v>995.904</v>
      </c>
      <c r="M17" s="2">
        <f ca="1">goldenOTP_check!M17*M73</f>
        <v>1021.5930000000001</v>
      </c>
      <c r="N17" s="2">
        <f ca="1">goldenOTP_check!N17*N73</f>
        <v>1048.125</v>
      </c>
      <c r="O17" s="2">
        <f ca="1">goldenOTP_check!O17*O73</f>
        <v>1060.0740000000001</v>
      </c>
      <c r="P17" s="2">
        <f ca="1">goldenOTP_check!P17*P73</f>
        <v>1062.81</v>
      </c>
      <c r="Q17" s="2">
        <f ca="1">goldenOTP_check!Q17*Q73</f>
        <v>1065.9829999999999</v>
      </c>
      <c r="R17" s="2">
        <f ca="1">goldenOTP_check!R17*R73</f>
        <v>1062.81</v>
      </c>
      <c r="S17" s="2">
        <f ca="1">goldenOTP_check!S17*S73</f>
        <v>1063.0889999999999</v>
      </c>
      <c r="T17" s="2">
        <f ca="1">goldenOTP_check!T17*T73</f>
        <v>1053.1559999999999</v>
      </c>
      <c r="U17" s="2">
        <f ca="1">goldenOTP_check!U17*U73</f>
        <v>1029.6410000000001</v>
      </c>
      <c r="V17" s="2">
        <f ca="1">goldenOTP_check!V17*V73</f>
        <v>1005.3120000000001</v>
      </c>
      <c r="W17" s="2">
        <f ca="1">goldenOTP_check!W17*W73</f>
        <v>980.53500000000008</v>
      </c>
      <c r="X17" s="2">
        <f ca="1">goldenOTP_check!X17*X73</f>
        <v>963.48299999999995</v>
      </c>
      <c r="Y17" s="2">
        <f ca="1">goldenOTP_check!Y17*Y73</f>
        <v>936.65</v>
      </c>
    </row>
    <row r="18" spans="2:25" x14ac:dyDescent="0.3">
      <c r="B18" s="6">
        <v>15</v>
      </c>
      <c r="C18" s="9">
        <v>3.4929999999999999</v>
      </c>
      <c r="D18" s="9">
        <v>3.1309999999999998</v>
      </c>
      <c r="E18" s="9">
        <v>3.1320000000000001</v>
      </c>
      <c r="F18" s="9">
        <v>2.9969999999999999</v>
      </c>
      <c r="I18" s="2">
        <f ca="1">goldenOTP_check!I18*I74</f>
        <v>955.755</v>
      </c>
      <c r="J18" s="2">
        <f ca="1">goldenOTP_check!J18*J74</f>
        <v>965.94399999999996</v>
      </c>
      <c r="K18" s="2">
        <f ca="1">goldenOTP_check!K18*K74</f>
        <v>997.59400000000005</v>
      </c>
      <c r="L18" s="2">
        <f ca="1">goldenOTP_check!L18*L74</f>
        <v>1030.2160000000001</v>
      </c>
      <c r="M18" s="2">
        <f ca="1">goldenOTP_check!M18*M74</f>
        <v>1047.6500000000001</v>
      </c>
      <c r="N18" s="2">
        <f ca="1">goldenOTP_check!N18*N74</f>
        <v>1063.4190000000001</v>
      </c>
      <c r="O18" s="2">
        <f ca="1">goldenOTP_check!O18*O74</f>
        <v>1069.1980000000001</v>
      </c>
      <c r="P18" s="2">
        <f ca="1">goldenOTP_check!P18*P74</f>
        <v>1073.0999999999999</v>
      </c>
      <c r="Q18" s="2">
        <f ca="1">goldenOTP_check!Q18*Q74</f>
        <v>1081.376</v>
      </c>
      <c r="R18" s="2">
        <f ca="1">goldenOTP_check!R18*R74</f>
        <v>1078.2450000000001</v>
      </c>
      <c r="S18" s="2">
        <f ca="1">goldenOTP_check!S18*S74</f>
        <v>1080.3500000000001</v>
      </c>
      <c r="T18" s="2">
        <f ca="1">goldenOTP_check!T18*T74</f>
        <v>1074.9570000000001</v>
      </c>
      <c r="U18" s="2">
        <f ca="1">goldenOTP_check!U18*U74</f>
        <v>1060.3</v>
      </c>
      <c r="V18" s="2">
        <f ca="1">goldenOTP_check!V18*V74</f>
        <v>1031.1499999999999</v>
      </c>
      <c r="W18" s="2">
        <f ca="1">goldenOTP_check!W18*W74</f>
        <v>998.98199999999997</v>
      </c>
      <c r="X18" s="2">
        <f ca="1">goldenOTP_check!X18*X74</f>
        <v>975.72</v>
      </c>
      <c r="Y18" s="2">
        <f ca="1">goldenOTP_check!Y18*Y74</f>
        <v>958.29100000000005</v>
      </c>
    </row>
    <row r="19" spans="2:25" x14ac:dyDescent="0.3">
      <c r="B19" s="6">
        <v>16</v>
      </c>
      <c r="C19" s="9">
        <v>3.8180000000000001</v>
      </c>
      <c r="D19" s="9">
        <v>3.4689999999999999</v>
      </c>
      <c r="E19" s="9">
        <v>3.468</v>
      </c>
      <c r="F19" s="9">
        <v>3.3090000000000002</v>
      </c>
      <c r="I19" s="2">
        <f ca="1">goldenOTP_check!I19*I75</f>
        <v>951.82499999999993</v>
      </c>
      <c r="J19" s="2">
        <f ca="1">goldenOTP_check!J19*J75</f>
        <v>981.19100000000003</v>
      </c>
      <c r="K19" s="2">
        <f ca="1">goldenOTP_check!K19*K75</f>
        <v>1014.91</v>
      </c>
      <c r="L19" s="2">
        <f ca="1">goldenOTP_check!L19*L75</f>
        <v>1042.5350000000001</v>
      </c>
      <c r="M19" s="2">
        <f ca="1">goldenOTP_check!M19*M75</f>
        <v>1060.855</v>
      </c>
      <c r="N19" s="2">
        <f ca="1">goldenOTP_check!N19*N75</f>
        <v>1070.0719999999999</v>
      </c>
      <c r="O19" s="2">
        <f ca="1">goldenOTP_check!O19*O75</f>
        <v>1073.8040000000001</v>
      </c>
      <c r="P19" s="2">
        <f ca="1">goldenOTP_check!P19*P75</f>
        <v>1073.9569999999999</v>
      </c>
      <c r="Q19" s="2">
        <f ca="1">goldenOTP_check!Q19*Q75</f>
        <v>1078.106</v>
      </c>
      <c r="R19" s="2">
        <f ca="1">goldenOTP_check!R19*R75</f>
        <v>1081.5260000000001</v>
      </c>
      <c r="S19" s="2">
        <f ca="1">goldenOTP_check!S19*S75</f>
        <v>1088.9280000000001</v>
      </c>
      <c r="T19" s="2">
        <f ca="1">goldenOTP_check!T19*T75</f>
        <v>1086.7239999999999</v>
      </c>
      <c r="U19" s="2">
        <f ca="1">goldenOTP_check!U19*U75</f>
        <v>1076.239</v>
      </c>
      <c r="V19" s="2">
        <f ca="1">goldenOTP_check!V19*V75</f>
        <v>1057.069</v>
      </c>
      <c r="W19" s="2">
        <f ca="1">goldenOTP_check!W19*W75</f>
        <v>1026.9349999999999</v>
      </c>
      <c r="X19" s="2">
        <f ca="1">goldenOTP_check!X19*X75</f>
        <v>988.55299999999988</v>
      </c>
      <c r="Y19" s="2">
        <f ca="1">goldenOTP_check!Y19*Y75</f>
        <v>953.197</v>
      </c>
    </row>
    <row r="20" spans="2:25" x14ac:dyDescent="0.3">
      <c r="B20" s="6">
        <v>17</v>
      </c>
      <c r="C20" s="9">
        <v>3.67</v>
      </c>
      <c r="D20" s="9">
        <v>3.27</v>
      </c>
      <c r="E20" s="9">
        <v>3.2719999999999998</v>
      </c>
      <c r="F20" s="9">
        <v>3.1389999999999998</v>
      </c>
      <c r="I20" s="2">
        <f ca="1">goldenOTP_check!I20*I76</f>
        <v>944.16300000000001</v>
      </c>
      <c r="J20" s="2">
        <f ca="1">goldenOTP_check!J20*J76</f>
        <v>992.86399999999992</v>
      </c>
      <c r="K20" s="2">
        <f ca="1">goldenOTP_check!K20*K76</f>
        <v>1023.888</v>
      </c>
      <c r="L20" s="2">
        <f ca="1">goldenOTP_check!L20*L76</f>
        <v>1061.568</v>
      </c>
      <c r="M20" s="2">
        <f ca="1">goldenOTP_check!M20*M76</f>
        <v>1071.252</v>
      </c>
      <c r="N20" s="2">
        <f ca="1">goldenOTP_check!N20*N76</f>
        <v>1070.6199999999999</v>
      </c>
      <c r="O20" s="2">
        <f ca="1">goldenOTP_check!O20*O76</f>
        <v>1066.28</v>
      </c>
      <c r="P20" s="2">
        <f ca="1">goldenOTP_check!P20*P76</f>
        <v>1060.527</v>
      </c>
      <c r="Q20" s="2">
        <f ca="1">goldenOTP_check!Q20*Q76</f>
        <v>1060.32</v>
      </c>
      <c r="R20" s="2">
        <f ca="1">goldenOTP_check!R20*R76</f>
        <v>1066.0650000000001</v>
      </c>
      <c r="S20" s="2">
        <f ca="1">goldenOTP_check!S20*S76</f>
        <v>1075.894</v>
      </c>
      <c r="T20" s="2">
        <f ca="1">goldenOTP_check!T20*T76</f>
        <v>1080.9680000000001</v>
      </c>
      <c r="U20" s="2">
        <f ca="1">goldenOTP_check!U20*U76</f>
        <v>1083.1859999999999</v>
      </c>
      <c r="V20" s="2">
        <f ca="1">goldenOTP_check!V20*V76</f>
        <v>1064.8979999999999</v>
      </c>
      <c r="W20" s="2">
        <f ca="1">goldenOTP_check!W20*W76</f>
        <v>1038.28</v>
      </c>
      <c r="X20" s="2">
        <f ca="1">goldenOTP_check!X20*X76</f>
        <v>1006.4109999999999</v>
      </c>
      <c r="Y20" s="2">
        <f ca="1">goldenOTP_check!Y20*Y76</f>
        <v>953.23799999999994</v>
      </c>
    </row>
    <row r="21" spans="2:25" x14ac:dyDescent="0.3">
      <c r="B21" s="6">
        <v>18</v>
      </c>
      <c r="C21" s="9">
        <v>3.181</v>
      </c>
      <c r="D21" s="9">
        <v>2.8250000000000002</v>
      </c>
      <c r="E21" s="9">
        <v>2.8279999999999998</v>
      </c>
      <c r="F21" s="9">
        <v>2.7170000000000001</v>
      </c>
      <c r="I21" s="2">
        <f ca="1">goldenOTP_check!I21*I77</f>
        <v>937.81200000000001</v>
      </c>
      <c r="J21" s="2">
        <f ca="1">goldenOTP_check!J21*J77</f>
        <v>995.24099999999999</v>
      </c>
      <c r="K21" s="2">
        <f ca="1">goldenOTP_check!K21*K77</f>
        <v>1024.296</v>
      </c>
      <c r="L21" s="2">
        <f ca="1">goldenOTP_check!L21*L77</f>
        <v>1057.0319999999999</v>
      </c>
      <c r="M21" s="2">
        <f ca="1">goldenOTP_check!M21*M77</f>
        <v>1075.68</v>
      </c>
      <c r="N21" s="2">
        <f ca="1">goldenOTP_check!N21*N77</f>
        <v>1071.0360000000001</v>
      </c>
      <c r="O21" s="2">
        <f ca="1">goldenOTP_check!O21*O77</f>
        <v>1062.7759999999998</v>
      </c>
      <c r="P21" s="2">
        <f ca="1">goldenOTP_check!P21*P77</f>
        <v>1041.6559999999999</v>
      </c>
      <c r="Q21" s="2">
        <f ca="1">goldenOTP_check!Q21*Q77</f>
        <v>1030.82</v>
      </c>
      <c r="R21" s="2">
        <f ca="1">goldenOTP_check!R21*R77</f>
        <v>1045.5720000000001</v>
      </c>
      <c r="S21" s="2">
        <f ca="1">goldenOTP_check!S21*S77</f>
        <v>1069.279</v>
      </c>
      <c r="T21" s="2">
        <f ca="1">goldenOTP_check!T21*T77</f>
        <v>1077.8040000000001</v>
      </c>
      <c r="U21" s="2">
        <f ca="1">goldenOTP_check!U21*U77</f>
        <v>1075.191</v>
      </c>
      <c r="V21" s="2">
        <f ca="1">goldenOTP_check!V21*V77</f>
        <v>1068.48</v>
      </c>
      <c r="W21" s="2">
        <f ca="1">goldenOTP_check!W21*W77</f>
        <v>1039.3040000000001</v>
      </c>
      <c r="X21" s="2">
        <f ca="1">goldenOTP_check!X21*X77</f>
        <v>1010.6429999999999</v>
      </c>
      <c r="Y21" s="2">
        <f ca="1">goldenOTP_check!Y21*Y77</f>
        <v>969.38000000000011</v>
      </c>
    </row>
    <row r="22" spans="2:25" x14ac:dyDescent="0.3">
      <c r="B22" s="6">
        <v>19</v>
      </c>
      <c r="C22" s="9">
        <v>2.766</v>
      </c>
      <c r="D22" s="9">
        <v>2.4620000000000002</v>
      </c>
      <c r="E22" s="9">
        <v>2.4649999999999999</v>
      </c>
      <c r="F22" s="9">
        <v>2.375</v>
      </c>
      <c r="I22" s="2">
        <f ca="1">goldenOTP_check!I22*I78</f>
        <v>945</v>
      </c>
      <c r="J22" s="2">
        <f ca="1">goldenOTP_check!J22*J78</f>
        <v>997.86599999999999</v>
      </c>
      <c r="K22" s="2">
        <f ca="1">goldenOTP_check!K22*K78</f>
        <v>1030.548</v>
      </c>
      <c r="L22" s="2">
        <f ca="1">goldenOTP_check!L22*L78</f>
        <v>1063.7370000000001</v>
      </c>
      <c r="M22" s="2">
        <f ca="1">goldenOTP_check!M22*M78</f>
        <v>1063.4739999999999</v>
      </c>
      <c r="N22" s="2">
        <f ca="1">goldenOTP_check!N22*N78</f>
        <v>1061.49</v>
      </c>
      <c r="O22" s="2">
        <f ca="1">goldenOTP_check!O22*O78</f>
        <v>1053.7080000000001</v>
      </c>
      <c r="P22" s="2">
        <f ca="1">goldenOTP_check!P22*P78</f>
        <v>1028.0269999999998</v>
      </c>
      <c r="Q22" s="2">
        <f ca="1">goldenOTP_check!Q22*Q78</f>
        <v>1027.0920000000001</v>
      </c>
      <c r="R22" s="2">
        <f ca="1">goldenOTP_check!R22*R78</f>
        <v>1034.0329999999999</v>
      </c>
      <c r="S22" s="2">
        <f ca="1">goldenOTP_check!S22*S78</f>
        <v>1065.1200000000001</v>
      </c>
      <c r="T22" s="2">
        <f ca="1">goldenOTP_check!T22*T78</f>
        <v>1073.5719999999999</v>
      </c>
      <c r="U22" s="2">
        <f ca="1">goldenOTP_check!U22*U78</f>
        <v>1076.3599999999999</v>
      </c>
      <c r="V22" s="2">
        <f ca="1">goldenOTP_check!V22*V78</f>
        <v>1067.55</v>
      </c>
      <c r="W22" s="2">
        <f ca="1">goldenOTP_check!W22*W78</f>
        <v>1043.1289999999999</v>
      </c>
      <c r="X22" s="2">
        <f ca="1">goldenOTP_check!X22*X78</f>
        <v>1009.3409999999999</v>
      </c>
      <c r="Y22" s="2">
        <f ca="1">goldenOTP_check!Y22*Y78</f>
        <v>950.29199999999992</v>
      </c>
    </row>
    <row r="23" spans="2:25" x14ac:dyDescent="0.3">
      <c r="B23" s="6">
        <v>20</v>
      </c>
      <c r="C23" s="9">
        <v>2.492</v>
      </c>
      <c r="D23" s="9">
        <v>2.2229999999999999</v>
      </c>
      <c r="E23" s="9">
        <v>2.2269999999999999</v>
      </c>
      <c r="F23" s="9">
        <v>2.15</v>
      </c>
      <c r="I23" s="2">
        <f ca="1">goldenOTP_check!I23*I79</f>
        <v>941.53200000000004</v>
      </c>
      <c r="J23" s="2">
        <f ca="1">goldenOTP_check!J23*J79</f>
        <v>996.14699999999993</v>
      </c>
      <c r="K23" s="2">
        <f ca="1">goldenOTP_check!K23*K79</f>
        <v>1033.0519999999999</v>
      </c>
      <c r="L23" s="2">
        <f ca="1">goldenOTP_check!L23*L79</f>
        <v>1058.2909999999999</v>
      </c>
      <c r="M23" s="2">
        <f ca="1">goldenOTP_check!M23*M79</f>
        <v>1064.4750000000001</v>
      </c>
      <c r="N23" s="2">
        <f ca="1">goldenOTP_check!N23*N79</f>
        <v>1065</v>
      </c>
      <c r="O23" s="2">
        <f ca="1">goldenOTP_check!O23*O79</f>
        <v>1053.7449999999999</v>
      </c>
      <c r="P23" s="2">
        <f ca="1">goldenOTP_check!P23*P79</f>
        <v>1030.2479999999998</v>
      </c>
      <c r="Q23" s="2">
        <f ca="1">goldenOTP_check!Q23*Q79</f>
        <v>1025.0240000000001</v>
      </c>
      <c r="R23" s="2">
        <f ca="1">goldenOTP_check!R23*R79</f>
        <v>1040.088</v>
      </c>
      <c r="S23" s="2">
        <f ca="1">goldenOTP_check!S23*S79</f>
        <v>1062.7759999999998</v>
      </c>
      <c r="T23" s="2">
        <f ca="1">goldenOTP_check!T23*T79</f>
        <v>1074.42</v>
      </c>
      <c r="U23" s="2">
        <f ca="1">goldenOTP_check!U23*U79</f>
        <v>1073.7090000000001</v>
      </c>
      <c r="V23" s="2">
        <f ca="1">goldenOTP_check!V23*V79</f>
        <v>1066.5720000000001</v>
      </c>
      <c r="W23" s="2">
        <f ca="1">goldenOTP_check!W23*W79</f>
        <v>1035.5519999999999</v>
      </c>
      <c r="X23" s="2">
        <f ca="1">goldenOTP_check!X23*X79</f>
        <v>1004.754</v>
      </c>
      <c r="Y23" s="2">
        <f ca="1">goldenOTP_check!Y23*Y79</f>
        <v>961.4</v>
      </c>
    </row>
    <row r="24" spans="2:25" x14ac:dyDescent="0.3">
      <c r="B24" s="6">
        <v>21</v>
      </c>
      <c r="C24" s="9">
        <v>2.2629999999999999</v>
      </c>
      <c r="D24" s="9">
        <v>2.0310000000000001</v>
      </c>
      <c r="E24" s="9">
        <v>2.0339999999999998</v>
      </c>
      <c r="F24" s="9">
        <v>1.966</v>
      </c>
      <c r="I24" s="2">
        <f ca="1">goldenOTP_check!I24*I80</f>
        <v>947.06700000000001</v>
      </c>
      <c r="J24" s="2">
        <f ca="1">goldenOTP_check!J24*J80</f>
        <v>995.48599999999999</v>
      </c>
      <c r="K24" s="2">
        <f ca="1">goldenOTP_check!K24*K80</f>
        <v>1022.86</v>
      </c>
      <c r="L24" s="2">
        <f ca="1">goldenOTP_check!L24*L80</f>
        <v>1054.8800000000001</v>
      </c>
      <c r="M24" s="2">
        <f ca="1">goldenOTP_check!M24*M80</f>
        <v>1070.4960000000001</v>
      </c>
      <c r="N24" s="2">
        <f ca="1">goldenOTP_check!N24*N80</f>
        <v>1065.8579999999999</v>
      </c>
      <c r="O24" s="2">
        <f ca="1">goldenOTP_check!O24*O80</f>
        <v>1059.1950000000002</v>
      </c>
      <c r="P24" s="2">
        <f ca="1">goldenOTP_check!P24*P80</f>
        <v>1049.77</v>
      </c>
      <c r="Q24" s="2">
        <f ca="1">goldenOTP_check!Q24*Q80</f>
        <v>1052.7570000000001</v>
      </c>
      <c r="R24" s="2">
        <f ca="1">goldenOTP_check!R24*R80</f>
        <v>1055.3439999999998</v>
      </c>
      <c r="S24" s="2">
        <f ca="1">goldenOTP_check!S24*S80</f>
        <v>1067.9850000000001</v>
      </c>
      <c r="T24" s="2">
        <f ca="1">goldenOTP_check!T24*T80</f>
        <v>1069.8240000000001</v>
      </c>
      <c r="U24" s="2">
        <f ca="1">goldenOTP_check!U24*U80</f>
        <v>1076.1659999999999</v>
      </c>
      <c r="V24" s="2">
        <f ca="1">goldenOTP_check!V24*V80</f>
        <v>1069.472</v>
      </c>
      <c r="W24" s="2">
        <f ca="1">goldenOTP_check!W24*W80</f>
        <v>1034.682</v>
      </c>
      <c r="X24" s="2">
        <f ca="1">goldenOTP_check!X24*X80</f>
        <v>1004.663</v>
      </c>
      <c r="Y24" s="2">
        <f ca="1">goldenOTP_check!Y24*Y80</f>
        <v>952.51200000000006</v>
      </c>
    </row>
    <row r="25" spans="2:25" x14ac:dyDescent="0.3">
      <c r="B25" s="6">
        <v>22</v>
      </c>
      <c r="C25" s="9">
        <v>2.0710000000000002</v>
      </c>
      <c r="D25" s="9">
        <v>1.875</v>
      </c>
      <c r="E25" s="9">
        <v>1.8779999999999999</v>
      </c>
      <c r="F25" s="9">
        <v>1.8149999999999999</v>
      </c>
      <c r="I25" s="2">
        <f ca="1">goldenOTP_check!I25*I81</f>
        <v>943.93599999999992</v>
      </c>
      <c r="J25" s="2">
        <f ca="1">goldenOTP_check!J25*J81</f>
        <v>976.28300000000002</v>
      </c>
      <c r="K25" s="2">
        <f ca="1">goldenOTP_check!K25*K81</f>
        <v>1011.0619999999999</v>
      </c>
      <c r="L25" s="2">
        <f ca="1">goldenOTP_check!L25*L81</f>
        <v>1047.348</v>
      </c>
      <c r="M25" s="2">
        <f ca="1">goldenOTP_check!M25*M81</f>
        <v>1063.6679999999999</v>
      </c>
      <c r="N25" s="2">
        <f ca="1">goldenOTP_check!N25*N81</f>
        <v>1068.72</v>
      </c>
      <c r="O25" s="2">
        <f ca="1">goldenOTP_check!O25*O81</f>
        <v>1059.4759999999999</v>
      </c>
      <c r="P25" s="2">
        <f ca="1">goldenOTP_check!P25*P81</f>
        <v>1061.73</v>
      </c>
      <c r="Q25" s="2">
        <f ca="1">goldenOTP_check!Q25*Q81</f>
        <v>1061.49</v>
      </c>
      <c r="R25" s="2">
        <f ca="1">goldenOTP_check!R25*R81</f>
        <v>1062.576</v>
      </c>
      <c r="S25" s="2">
        <f ca="1">goldenOTP_check!S25*S81</f>
        <v>1061.864</v>
      </c>
      <c r="T25" s="2">
        <f ca="1">goldenOTP_check!T25*T81</f>
        <v>1070.9100000000001</v>
      </c>
      <c r="U25" s="2">
        <f ca="1">goldenOTP_check!U25*U81</f>
        <v>1068.8440000000001</v>
      </c>
      <c r="V25" s="2">
        <f ca="1">goldenOTP_check!V25*V81</f>
        <v>1047.0070000000001</v>
      </c>
      <c r="W25" s="2">
        <f ca="1">goldenOTP_check!W25*W81</f>
        <v>1023.0869999999999</v>
      </c>
      <c r="X25" s="2">
        <f ca="1">goldenOTP_check!X25*X81</f>
        <v>988.55299999999988</v>
      </c>
      <c r="Y25" s="2">
        <f ca="1">goldenOTP_check!Y25*Y81</f>
        <v>955.94099999999992</v>
      </c>
    </row>
    <row r="26" spans="2:25" x14ac:dyDescent="0.3">
      <c r="B26" s="6">
        <v>23</v>
      </c>
      <c r="C26" s="9">
        <v>1.923</v>
      </c>
      <c r="D26" s="9">
        <v>1.758</v>
      </c>
      <c r="E26" s="9">
        <v>1.76</v>
      </c>
      <c r="F26" s="9">
        <v>1.704</v>
      </c>
      <c r="I26" s="2">
        <f ca="1">goldenOTP_check!I26*I82</f>
        <v>950.68299999999999</v>
      </c>
      <c r="J26" s="2">
        <f ca="1">goldenOTP_check!J26*J82</f>
        <v>964.81599999999992</v>
      </c>
      <c r="K26" s="2">
        <f ca="1">goldenOTP_check!K26*K82</f>
        <v>987.18299999999999</v>
      </c>
      <c r="L26" s="2">
        <f ca="1">goldenOTP_check!L26*L82</f>
        <v>1027.1619999999998</v>
      </c>
      <c r="M26" s="2">
        <f ca="1">goldenOTP_check!M26*M82</f>
        <v>1041.9000000000001</v>
      </c>
      <c r="N26" s="2">
        <f ca="1">goldenOTP_check!N26*N82</f>
        <v>1064.3150000000001</v>
      </c>
      <c r="O26" s="2">
        <f ca="1">goldenOTP_check!O26*O82</f>
        <v>1064.934</v>
      </c>
      <c r="P26" s="2">
        <f ca="1">goldenOTP_check!P26*P82</f>
        <v>1064.817</v>
      </c>
      <c r="Q26" s="2">
        <f ca="1">goldenOTP_check!Q26*Q82</f>
        <v>1060.32</v>
      </c>
      <c r="R26" s="2">
        <f ca="1">goldenOTP_check!R26*R82</f>
        <v>1064.817</v>
      </c>
      <c r="S26" s="2">
        <f ca="1">goldenOTP_check!S26*S82</f>
        <v>1067.04</v>
      </c>
      <c r="T26" s="2">
        <f ca="1">goldenOTP_check!T26*T82</f>
        <v>1058.2909999999999</v>
      </c>
      <c r="U26" s="2">
        <f ca="1">goldenOTP_check!U26*U82</f>
        <v>1047.075</v>
      </c>
      <c r="V26" s="2">
        <f ca="1">goldenOTP_check!V26*V82</f>
        <v>1022.5989999999999</v>
      </c>
      <c r="W26" s="2">
        <f ca="1">goldenOTP_check!W26*W82</f>
        <v>995.48599999999999</v>
      </c>
      <c r="X26" s="2">
        <f ca="1">goldenOTP_check!X26*X82</f>
        <v>974.59199999999998</v>
      </c>
      <c r="Y26" s="2">
        <f ca="1">goldenOTP_check!Y26*Y82</f>
        <v>959.24199999999996</v>
      </c>
    </row>
    <row r="27" spans="2:25" x14ac:dyDescent="0.3">
      <c r="B27" s="6">
        <v>24</v>
      </c>
      <c r="C27" s="9">
        <v>1.8320000000000001</v>
      </c>
      <c r="D27" s="9">
        <v>1.6870000000000001</v>
      </c>
      <c r="E27" s="9">
        <v>1.6879999999999999</v>
      </c>
      <c r="F27" s="9">
        <v>1.64</v>
      </c>
      <c r="I27" s="2">
        <f ca="1">goldenOTP_check!I27*I83</f>
        <v>957.68099999999993</v>
      </c>
      <c r="J27" s="2">
        <f ca="1">goldenOTP_check!J27*J83</f>
        <v>972.40499999999997</v>
      </c>
      <c r="K27" s="2">
        <f ca="1">goldenOTP_check!K27*K83</f>
        <v>971.10300000000007</v>
      </c>
      <c r="L27" s="2">
        <f ca="1">goldenOTP_check!L27*L83</f>
        <v>997.69599999999991</v>
      </c>
      <c r="M27" s="2">
        <f ca="1">goldenOTP_check!M27*M83</f>
        <v>1018.5749999999999</v>
      </c>
      <c r="N27" s="2">
        <f ca="1">goldenOTP_check!N27*N83</f>
        <v>1039.74</v>
      </c>
      <c r="O27" s="2">
        <f ca="1">goldenOTP_check!O27*O83</f>
        <v>1049.8230000000001</v>
      </c>
      <c r="P27" s="2">
        <f ca="1">goldenOTP_check!P27*P83</f>
        <v>1060.848</v>
      </c>
      <c r="Q27" s="2">
        <f ca="1">goldenOTP_check!Q27*Q83</f>
        <v>1055.7270000000001</v>
      </c>
      <c r="R27" s="2">
        <f ca="1">goldenOTP_check!R27*R83</f>
        <v>1065.3</v>
      </c>
      <c r="S27" s="2">
        <f ca="1">goldenOTP_check!S27*S83</f>
        <v>1059.471</v>
      </c>
      <c r="T27" s="2">
        <f ca="1">goldenOTP_check!T27*T83</f>
        <v>1049.8019999999999</v>
      </c>
      <c r="U27" s="2">
        <f ca="1">goldenOTP_check!U27*U83</f>
        <v>1026.623</v>
      </c>
      <c r="V27" s="2">
        <f ca="1">goldenOTP_check!V27*V83</f>
        <v>1003.9680000000001</v>
      </c>
      <c r="W27" s="2">
        <f ca="1">goldenOTP_check!W27*W83</f>
        <v>974.64</v>
      </c>
      <c r="X27" s="2">
        <f ca="1">goldenOTP_check!X27*X83</f>
        <v>974.80600000000004</v>
      </c>
      <c r="Y27" s="2">
        <f ca="1">goldenOTP_check!Y27*Y83</f>
        <v>952.44299999999998</v>
      </c>
    </row>
    <row r="28" spans="2:25" x14ac:dyDescent="0.3">
      <c r="B28" s="6">
        <v>25</v>
      </c>
      <c r="C28" s="9">
        <v>1.8029999999999999</v>
      </c>
      <c r="D28" s="9">
        <v>1.663</v>
      </c>
      <c r="E28" s="9">
        <v>1.6639999999999999</v>
      </c>
      <c r="F28" s="9">
        <v>1.62</v>
      </c>
      <c r="I28" s="10">
        <f ca="1">goldenOTP_check!I28*I84</f>
        <v>957.37100000000009</v>
      </c>
      <c r="J28" s="2">
        <f ca="1">goldenOTP_check!J28*J84</f>
        <v>951.71699999999998</v>
      </c>
      <c r="K28" s="2">
        <f ca="1">goldenOTP_check!K28*K84</f>
        <v>951.04900000000009</v>
      </c>
      <c r="L28" s="2">
        <f ca="1">goldenOTP_check!L28*L84</f>
        <v>968.61000000000013</v>
      </c>
      <c r="M28" s="2">
        <f ca="1">goldenOTP_check!M28*M84</f>
        <v>984.12599999999998</v>
      </c>
      <c r="N28" s="2">
        <f ca="1">goldenOTP_check!N28*N84</f>
        <v>1000.1600000000001</v>
      </c>
      <c r="O28" s="2">
        <f ca="1">goldenOTP_check!O28*O84</f>
        <v>1016.535</v>
      </c>
      <c r="P28" s="2">
        <f ca="1">goldenOTP_check!P28*P84</f>
        <v>1015.875</v>
      </c>
      <c r="Q28" s="2">
        <f ca="1">goldenOTP_check!Q28*Q84</f>
        <v>1031.346</v>
      </c>
      <c r="R28" s="2">
        <f ca="1">goldenOTP_check!R28*R84</f>
        <v>1022.6999999999999</v>
      </c>
      <c r="S28" s="2">
        <f ca="1">goldenOTP_check!S28*S84</f>
        <v>1029.7170000000001</v>
      </c>
      <c r="T28" s="2">
        <f ca="1">goldenOTP_check!T28*T84</f>
        <v>1014.26</v>
      </c>
      <c r="U28" s="2">
        <f ca="1">goldenOTP_check!U28*U84</f>
        <v>994.851</v>
      </c>
      <c r="V28" s="2">
        <f ca="1">goldenOTP_check!V28*V84</f>
        <v>976.00099999999998</v>
      </c>
      <c r="W28" s="2">
        <f ca="1">goldenOTP_check!W28*W84</f>
        <v>952.41300000000001</v>
      </c>
      <c r="X28" s="2">
        <f ca="1">goldenOTP_check!X28*X84</f>
        <v>940.05600000000004</v>
      </c>
      <c r="Y28" s="10">
        <f ca="1">goldenOTP_check!Y28*Y84</f>
        <v>929.66399999999999</v>
      </c>
    </row>
    <row r="29" spans="2:25" x14ac:dyDescent="0.3">
      <c r="B29" s="6">
        <v>26</v>
      </c>
      <c r="C29" s="9">
        <v>1.83</v>
      </c>
      <c r="D29" s="9">
        <v>1.6870000000000001</v>
      </c>
      <c r="E29" s="9">
        <v>1.6890000000000001</v>
      </c>
      <c r="F29" s="9">
        <v>1.641</v>
      </c>
    </row>
    <row r="30" spans="2:25" x14ac:dyDescent="0.3">
      <c r="B30" s="6">
        <v>27</v>
      </c>
      <c r="C30" s="9">
        <v>1.9219999999999999</v>
      </c>
      <c r="D30" s="9">
        <v>1.7629999999999999</v>
      </c>
      <c r="E30" s="9">
        <v>1.7649999999999999</v>
      </c>
      <c r="F30" s="9">
        <v>1.712</v>
      </c>
      <c r="H30" t="s">
        <v>2</v>
      </c>
      <c r="I30" s="11">
        <f ca="1">goldenOTP_check!I30*I86</f>
        <v>905.73399999999992</v>
      </c>
      <c r="J30" s="2">
        <f ca="1">goldenOTP_check!J30*J86</f>
        <v>950.13</v>
      </c>
      <c r="K30" s="2">
        <f ca="1">goldenOTP_check!K30*K86</f>
        <v>969.60599999999999</v>
      </c>
      <c r="L30" s="2">
        <f ca="1">goldenOTP_check!L30*L86</f>
        <v>984.90000000000009</v>
      </c>
      <c r="M30" s="2">
        <f ca="1">goldenOTP_check!M30*M86</f>
        <v>996.65999999999985</v>
      </c>
      <c r="N30" s="2">
        <f ca="1">goldenOTP_check!N30*N86</f>
        <v>1016.715</v>
      </c>
      <c r="O30" s="2">
        <f ca="1">goldenOTP_check!O30*O86</f>
        <v>1028.23</v>
      </c>
      <c r="P30" s="2">
        <f ca="1">goldenOTP_check!P30*P86</f>
        <v>1045.0439999999999</v>
      </c>
      <c r="Q30" s="2">
        <f ca="1">goldenOTP_check!Q30*Q86</f>
        <v>1039.2570000000001</v>
      </c>
      <c r="R30" s="2">
        <f ca="1">goldenOTP_check!R30*R86</f>
        <v>1046.136</v>
      </c>
      <c r="S30" s="2">
        <f ca="1">goldenOTP_check!S30*S86</f>
        <v>1031.338</v>
      </c>
      <c r="T30" s="2">
        <f ca="1">goldenOTP_check!T30*T86</f>
        <v>1019.13</v>
      </c>
      <c r="U30" s="2">
        <f ca="1">goldenOTP_check!U30*U86</f>
        <v>999.30600000000004</v>
      </c>
      <c r="V30" s="2">
        <f ca="1">goldenOTP_check!V30*V86</f>
        <v>989.72400000000005</v>
      </c>
      <c r="W30" s="2">
        <f ca="1">goldenOTP_check!W30*W86</f>
        <v>980.226</v>
      </c>
      <c r="X30" s="2">
        <f ca="1">goldenOTP_check!X30*X86</f>
        <v>958.39200000000005</v>
      </c>
      <c r="Y30" s="11">
        <f ca="1">goldenOTP_check!Y30*Y86</f>
        <v>908.61599999999999</v>
      </c>
    </row>
    <row r="31" spans="2:25" x14ac:dyDescent="0.3">
      <c r="B31" s="6">
        <v>28</v>
      </c>
      <c r="C31" s="9">
        <v>2.069</v>
      </c>
      <c r="D31" s="9">
        <v>1.8839999999999999</v>
      </c>
      <c r="E31" s="9">
        <v>1.8859999999999999</v>
      </c>
      <c r="F31" s="9">
        <v>1.827</v>
      </c>
      <c r="H31" t="s">
        <v>6</v>
      </c>
      <c r="I31" s="2">
        <f ca="1">goldenOTP_check!I31*I87</f>
        <v>952.15199999999993</v>
      </c>
      <c r="J31" s="2">
        <f ca="1">goldenOTP_check!J31*J87</f>
        <v>970.00399999999991</v>
      </c>
      <c r="K31" s="2">
        <f ca="1">goldenOTP_check!K31*K87</f>
        <v>981.06999999999994</v>
      </c>
      <c r="L31" s="2">
        <f ca="1">goldenOTP_check!L31*L87</f>
        <v>1008.8309999999999</v>
      </c>
      <c r="M31" s="2">
        <f ca="1">goldenOTP_check!M31*M87</f>
        <v>1045.4759999999999</v>
      </c>
      <c r="N31" s="2">
        <f ca="1">goldenOTP_check!N31*N87</f>
        <v>1059.192</v>
      </c>
      <c r="O31" s="2">
        <f ca="1">goldenOTP_check!O31*O87</f>
        <v>1080.6400000000001</v>
      </c>
      <c r="P31" s="2">
        <f ca="1">goldenOTP_check!P31*P87</f>
        <v>1082.008</v>
      </c>
      <c r="Q31" s="2">
        <f ca="1">goldenOTP_check!Q31*Q87</f>
        <v>1086.5919999999999</v>
      </c>
      <c r="R31" s="2">
        <f ca="1">goldenOTP_check!R31*R87</f>
        <v>1082.6490000000001</v>
      </c>
      <c r="S31" s="2">
        <f ca="1">goldenOTP_check!S31*S87</f>
        <v>1083.71</v>
      </c>
      <c r="T31" s="2">
        <f ca="1">goldenOTP_check!T31*T87</f>
        <v>1063.704</v>
      </c>
      <c r="U31" s="2">
        <f ca="1">goldenOTP_check!U31*U87</f>
        <v>1052.672</v>
      </c>
      <c r="V31" s="2">
        <f ca="1">goldenOTP_check!V31*V87</f>
        <v>1016.985</v>
      </c>
      <c r="W31" s="2">
        <f ca="1">goldenOTP_check!W31*W87</f>
        <v>993.01</v>
      </c>
      <c r="X31" s="2">
        <f ca="1">goldenOTP_check!X31*X87</f>
        <v>980.29399999999998</v>
      </c>
      <c r="Y31" s="2">
        <f ca="1">goldenOTP_check!Y31*Y87</f>
        <v>952.44299999999998</v>
      </c>
    </row>
    <row r="32" spans="2:25" x14ac:dyDescent="0.3">
      <c r="B32" s="6">
        <v>29</v>
      </c>
      <c r="C32" s="9">
        <v>2.2669999999999999</v>
      </c>
      <c r="D32" s="9">
        <v>2.0470000000000002</v>
      </c>
      <c r="E32" s="9">
        <v>2.048</v>
      </c>
      <c r="F32" s="9">
        <v>1.9870000000000001</v>
      </c>
      <c r="I32" s="2">
        <f ca="1">goldenOTP_check!I32*I88</f>
        <v>950.67</v>
      </c>
      <c r="J32" s="2">
        <f ca="1">goldenOTP_check!J32*J88</f>
        <v>982.12200000000007</v>
      </c>
      <c r="K32" s="2">
        <f ca="1">goldenOTP_check!K32*K88</f>
        <v>998.47799999999995</v>
      </c>
      <c r="L32" s="2">
        <f ca="1">goldenOTP_check!L32*L88</f>
        <v>1031.2339999999999</v>
      </c>
      <c r="M32" s="2">
        <f ca="1">goldenOTP_check!M32*M88</f>
        <v>1060.325</v>
      </c>
      <c r="N32" s="2">
        <f ca="1">goldenOTP_check!N32*N88</f>
        <v>1085.2860000000001</v>
      </c>
      <c r="O32" s="2">
        <f ca="1">goldenOTP_check!O32*O88</f>
        <v>1087.4880000000001</v>
      </c>
      <c r="P32" s="2">
        <f ca="1">goldenOTP_check!P32*P88</f>
        <v>1091.367</v>
      </c>
      <c r="Q32" s="2">
        <f ca="1">goldenOTP_check!Q32*Q88</f>
        <v>1097.9570000000001</v>
      </c>
      <c r="R32" s="2">
        <f ca="1">goldenOTP_check!R32*R88</f>
        <v>1095.8490000000002</v>
      </c>
      <c r="S32" s="2">
        <f ca="1">goldenOTP_check!S32*S88</f>
        <v>1098.1079999999999</v>
      </c>
      <c r="T32" s="2">
        <f ca="1">goldenOTP_check!T32*T88</f>
        <v>1095.7339999999999</v>
      </c>
      <c r="U32" s="2">
        <f ca="1">goldenOTP_check!U32*U88</f>
        <v>1071.364</v>
      </c>
      <c r="V32" s="2">
        <f ca="1">goldenOTP_check!V32*V88</f>
        <v>1043.4499999999998</v>
      </c>
      <c r="W32" s="2">
        <f ca="1">goldenOTP_check!W32*W88</f>
        <v>1009.97</v>
      </c>
      <c r="X32" s="2">
        <f ca="1">goldenOTP_check!X32*X88</f>
        <v>990.9079999999999</v>
      </c>
      <c r="Y32" s="2">
        <f ca="1">goldenOTP_check!Y32*Y88</f>
        <v>975.78300000000002</v>
      </c>
    </row>
    <row r="33" spans="2:25" x14ac:dyDescent="0.3">
      <c r="B33" s="6">
        <v>30</v>
      </c>
      <c r="C33" s="9">
        <v>2.4990000000000001</v>
      </c>
      <c r="D33" s="9">
        <v>2.2440000000000002</v>
      </c>
      <c r="E33" s="9">
        <v>2.2450000000000001</v>
      </c>
      <c r="F33" s="9">
        <v>2.1789999999999998</v>
      </c>
      <c r="I33" s="2">
        <f ca="1">goldenOTP_check!I33*I89</f>
        <v>952.51100000000008</v>
      </c>
      <c r="J33" s="2">
        <f ca="1">goldenOTP_check!J33*J89</f>
        <v>982.0089999999999</v>
      </c>
      <c r="K33" s="2">
        <f ca="1">goldenOTP_check!K33*K89</f>
        <v>1015.8720000000001</v>
      </c>
      <c r="L33" s="2">
        <f ca="1">goldenOTP_check!L33*L89</f>
        <v>1052.9880000000001</v>
      </c>
      <c r="M33" s="2">
        <f ca="1">goldenOTP_check!M33*M89</f>
        <v>1072.079</v>
      </c>
      <c r="N33" s="2">
        <f ca="1">goldenOTP_check!N33*N89</f>
        <v>1087.8</v>
      </c>
      <c r="O33" s="2">
        <f ca="1">goldenOTP_check!O33*O89</f>
        <v>1082.7</v>
      </c>
      <c r="P33" s="2">
        <f ca="1">goldenOTP_check!P33*P89</f>
        <v>1088.856</v>
      </c>
      <c r="Q33" s="2">
        <f ca="1">goldenOTP_check!Q33*Q89</f>
        <v>1091.944</v>
      </c>
      <c r="R33" s="2">
        <f ca="1">goldenOTP_check!R33*R89</f>
        <v>1094.82</v>
      </c>
      <c r="S33" s="2">
        <f ca="1">goldenOTP_check!S33*S89</f>
        <v>1097.1360000000002</v>
      </c>
      <c r="T33" s="2">
        <f ca="1">goldenOTP_check!T33*T89</f>
        <v>1095.73</v>
      </c>
      <c r="U33" s="2">
        <f ca="1">goldenOTP_check!U33*U89</f>
        <v>1085.6659999999999</v>
      </c>
      <c r="V33" s="2">
        <f ca="1">goldenOTP_check!V33*V89</f>
        <v>1066.5240000000001</v>
      </c>
      <c r="W33" s="2">
        <f ca="1">goldenOTP_check!W33*W89</f>
        <v>1026.454</v>
      </c>
      <c r="X33" s="2">
        <f ca="1">goldenOTP_check!X33*X89</f>
        <v>987.73500000000001</v>
      </c>
      <c r="Y33" s="2">
        <f ca="1">goldenOTP_check!Y33*Y89</f>
        <v>971.95</v>
      </c>
    </row>
    <row r="34" spans="2:25" x14ac:dyDescent="0.3">
      <c r="B34" s="6">
        <v>31</v>
      </c>
      <c r="C34" s="9">
        <v>2.786</v>
      </c>
      <c r="D34" s="9">
        <v>2.4950000000000001</v>
      </c>
      <c r="E34" s="9">
        <v>2.4950000000000001</v>
      </c>
      <c r="F34" s="9">
        <v>2.419</v>
      </c>
      <c r="I34" s="2">
        <f ca="1">goldenOTP_check!I34*I90</f>
        <v>944.88900000000012</v>
      </c>
      <c r="J34" s="2">
        <f ca="1">goldenOTP_check!J34*J90</f>
        <v>993.73800000000006</v>
      </c>
      <c r="K34" s="2">
        <f ca="1">goldenOTP_check!K34*K90</f>
        <v>1036.8800000000001</v>
      </c>
      <c r="L34" s="2">
        <f ca="1">goldenOTP_check!L34*L90</f>
        <v>1062.7840000000001</v>
      </c>
      <c r="M34" s="2">
        <f ca="1">goldenOTP_check!M34*M90</f>
        <v>1081.8240000000001</v>
      </c>
      <c r="N34" s="2">
        <f ca="1">goldenOTP_check!N34*N90</f>
        <v>1079.492</v>
      </c>
      <c r="O34" s="2">
        <f ca="1">goldenOTP_check!O34*O90</f>
        <v>1074.1379999999999</v>
      </c>
      <c r="P34" s="2">
        <f ca="1">goldenOTP_check!P34*P90</f>
        <v>1074.3150000000001</v>
      </c>
      <c r="Q34" s="2">
        <f ca="1">goldenOTP_check!Q34*Q90</f>
        <v>1072.7279999999998</v>
      </c>
      <c r="R34" s="2">
        <f ca="1">goldenOTP_check!R34*R90</f>
        <v>1079.925</v>
      </c>
      <c r="S34" s="2">
        <f ca="1">goldenOTP_check!S34*S90</f>
        <v>1082.049</v>
      </c>
      <c r="T34" s="2">
        <f ca="1">goldenOTP_check!T34*T90</f>
        <v>1089.116</v>
      </c>
      <c r="U34" s="2">
        <f ca="1">goldenOTP_check!U34*U90</f>
        <v>1083.1859999999999</v>
      </c>
      <c r="V34" s="2">
        <f ca="1">goldenOTP_check!V34*V90</f>
        <v>1073.7280000000001</v>
      </c>
      <c r="W34" s="2">
        <f ca="1">goldenOTP_check!W34*W90</f>
        <v>1037.7660000000001</v>
      </c>
      <c r="X34" s="2">
        <f ca="1">goldenOTP_check!X34*X90</f>
        <v>1005.974</v>
      </c>
      <c r="Y34" s="2">
        <f ca="1">goldenOTP_check!Y34*Y90</f>
        <v>952.51200000000006</v>
      </c>
    </row>
    <row r="35" spans="2:25" x14ac:dyDescent="0.3">
      <c r="B35" s="6">
        <v>32</v>
      </c>
      <c r="C35" s="9">
        <v>3.1880000000000002</v>
      </c>
      <c r="D35" s="9">
        <v>2.859</v>
      </c>
      <c r="E35" s="9">
        <v>2.8580000000000001</v>
      </c>
      <c r="F35" s="9">
        <v>2.7639999999999998</v>
      </c>
      <c r="I35" s="2">
        <f ca="1">goldenOTP_check!I35*I91</f>
        <v>958.74</v>
      </c>
      <c r="J35" s="2">
        <f ca="1">goldenOTP_check!J35*J91</f>
        <v>996.60000000000014</v>
      </c>
      <c r="K35" s="2">
        <f ca="1">goldenOTP_check!K35*K91</f>
        <v>1025.904</v>
      </c>
      <c r="L35" s="2">
        <f ca="1">goldenOTP_check!L35*L91</f>
        <v>1058.94</v>
      </c>
      <c r="M35" s="2">
        <f ca="1">goldenOTP_check!M35*M91</f>
        <v>1077.921</v>
      </c>
      <c r="N35" s="2">
        <f ca="1">goldenOTP_check!N35*N91</f>
        <v>1072.7280000000001</v>
      </c>
      <c r="O35" s="2">
        <f ca="1">goldenOTP_check!O35*O91</f>
        <v>1063.7049999999999</v>
      </c>
      <c r="P35" s="2">
        <f ca="1">goldenOTP_check!P35*P91</f>
        <v>1046.9760000000001</v>
      </c>
      <c r="Q35" s="2">
        <f ca="1">goldenOTP_check!Q35*Q91</f>
        <v>1037.0360000000001</v>
      </c>
      <c r="R35" s="2">
        <f ca="1">goldenOTP_check!R35*R91</f>
        <v>1050.912</v>
      </c>
      <c r="S35" s="2">
        <f ca="1">goldenOTP_check!S35*S91</f>
        <v>1070.2079999999999</v>
      </c>
      <c r="T35" s="2">
        <f ca="1">goldenOTP_check!T35*T91</f>
        <v>1078.6499999999999</v>
      </c>
      <c r="U35" s="2">
        <f ca="1">goldenOTP_check!U35*U91</f>
        <v>1075.932</v>
      </c>
      <c r="V35" s="2">
        <f ca="1">goldenOTP_check!V35*V91</f>
        <v>1068.48</v>
      </c>
      <c r="W35" s="2">
        <f ca="1">goldenOTP_check!W35*W91</f>
        <v>1039.3040000000001</v>
      </c>
      <c r="X35" s="2">
        <f ca="1">goldenOTP_check!X35*X91</f>
        <v>1010.6429999999999</v>
      </c>
      <c r="Y35" s="2">
        <f ca="1">goldenOTP_check!Y35*Y91</f>
        <v>968.62</v>
      </c>
    </row>
    <row r="36" spans="2:25" x14ac:dyDescent="0.3">
      <c r="B36" s="6">
        <v>33</v>
      </c>
      <c r="C36" s="9">
        <v>3.62</v>
      </c>
      <c r="D36" s="9">
        <v>3.2749999999999999</v>
      </c>
      <c r="E36" s="9">
        <v>3.2730000000000001</v>
      </c>
      <c r="F36" s="9">
        <v>3.149</v>
      </c>
      <c r="I36" s="2">
        <f ca="1">goldenOTP_check!I36*I92</f>
        <v>945.75599999999997</v>
      </c>
      <c r="J36" s="2">
        <f ca="1">goldenOTP_check!J36*J92</f>
        <v>998.78400000000011</v>
      </c>
      <c r="K36" s="2">
        <f ca="1">goldenOTP_check!K36*K92</f>
        <v>1031.6420000000001</v>
      </c>
      <c r="L36" s="2">
        <f ca="1">goldenOTP_check!L36*L92</f>
        <v>1055.2570000000001</v>
      </c>
      <c r="M36" s="2">
        <f ca="1">goldenOTP_check!M36*M92</f>
        <v>1064.99</v>
      </c>
      <c r="N36" s="2">
        <f ca="1">goldenOTP_check!N36*N92</f>
        <v>1064.0790000000002</v>
      </c>
      <c r="O36" s="2">
        <f ca="1">goldenOTP_check!O36*O92</f>
        <v>1050.0600000000002</v>
      </c>
      <c r="P36" s="2">
        <f ca="1">goldenOTP_check!P36*P92</f>
        <v>1029.028</v>
      </c>
      <c r="Q36" s="2">
        <f ca="1">goldenOTP_check!Q36*Q92</f>
        <v>1028.1149999999998</v>
      </c>
      <c r="R36" s="2">
        <f ca="1">goldenOTP_check!R36*R92</f>
        <v>1034.0329999999999</v>
      </c>
      <c r="S36" s="2">
        <f ca="1">goldenOTP_check!S36*S92</f>
        <v>1060.4659999999999</v>
      </c>
      <c r="T36" s="2">
        <f ca="1">goldenOTP_check!T36*T92</f>
        <v>1066.9650000000001</v>
      </c>
      <c r="U36" s="2">
        <f ca="1">goldenOTP_check!U36*U92</f>
        <v>1068.5920000000001</v>
      </c>
      <c r="V36" s="2">
        <f ca="1">goldenOTP_check!V36*V92</f>
        <v>1067.55</v>
      </c>
      <c r="W36" s="2">
        <f ca="1">goldenOTP_check!W36*W92</f>
        <v>1033.5940000000001</v>
      </c>
      <c r="X36" s="2">
        <f ca="1">goldenOTP_check!X36*X92</f>
        <v>1008.8819999999999</v>
      </c>
      <c r="Y36" s="2">
        <f ca="1">goldenOTP_check!Y36*Y92</f>
        <v>949.53600000000006</v>
      </c>
    </row>
    <row r="37" spans="2:25" x14ac:dyDescent="0.3">
      <c r="B37" s="6">
        <v>34</v>
      </c>
      <c r="C37" s="9">
        <v>3.3929999999999998</v>
      </c>
      <c r="D37" s="9">
        <v>3.0150000000000001</v>
      </c>
      <c r="E37" s="9">
        <v>3.0179999999999998</v>
      </c>
      <c r="F37" s="9">
        <v>2.9129999999999998</v>
      </c>
      <c r="I37" s="2">
        <f ca="1">goldenOTP_check!I37*I93</f>
        <v>941.53200000000004</v>
      </c>
      <c r="J37" s="2">
        <f ca="1">goldenOTP_check!J37*J93</f>
        <v>996.60000000000014</v>
      </c>
      <c r="K37" s="2">
        <f ca="1">goldenOTP_check!K37*K93</f>
        <v>1022.688</v>
      </c>
      <c r="L37" s="2">
        <f ca="1">goldenOTP_check!L37*L93</f>
        <v>1051.308</v>
      </c>
      <c r="M37" s="2">
        <f ca="1">goldenOTP_check!M37*M93</f>
        <v>1057.4069999999999</v>
      </c>
      <c r="N37" s="2">
        <f ca="1">goldenOTP_check!N37*N93</f>
        <v>1059.192</v>
      </c>
      <c r="O37" s="2">
        <f ca="1">goldenOTP_check!O37*O93</f>
        <v>1047.9119999999998</v>
      </c>
      <c r="P37" s="2">
        <f ca="1">goldenOTP_check!P37*P93</f>
        <v>1030.2479999999998</v>
      </c>
      <c r="Q37" s="2">
        <f ca="1">goldenOTP_check!Q37*Q93</f>
        <v>1024.0229999999999</v>
      </c>
      <c r="R37" s="2">
        <f ca="1">goldenOTP_check!R37*R93</f>
        <v>1039.104</v>
      </c>
      <c r="S37" s="2">
        <f ca="1">goldenOTP_check!S37*S93</f>
        <v>1056.835</v>
      </c>
      <c r="T37" s="2">
        <f ca="1">goldenOTP_check!T37*T93</f>
        <v>1068.07</v>
      </c>
      <c r="U37" s="2">
        <f ca="1">goldenOTP_check!U37*U93</f>
        <v>1073.7090000000001</v>
      </c>
      <c r="V37" s="2">
        <f ca="1">goldenOTP_check!V37*V93</f>
        <v>1056.51</v>
      </c>
      <c r="W37" s="2">
        <f ca="1">goldenOTP_check!W37*W93</f>
        <v>1035.0160000000001</v>
      </c>
      <c r="X37" s="2">
        <f ca="1">goldenOTP_check!X37*X93</f>
        <v>992.76800000000003</v>
      </c>
      <c r="Y37" s="2">
        <f ca="1">goldenOTP_check!Y37*Y93</f>
        <v>945.09800000000007</v>
      </c>
    </row>
    <row r="38" spans="2:25" x14ac:dyDescent="0.3">
      <c r="B38" s="6">
        <v>35</v>
      </c>
      <c r="C38" s="9">
        <v>2.8879999999999999</v>
      </c>
      <c r="D38" s="9">
        <v>2.569</v>
      </c>
      <c r="E38" s="9">
        <v>2.5710000000000002</v>
      </c>
      <c r="F38" s="9">
        <v>2.4860000000000002</v>
      </c>
      <c r="I38" s="2">
        <f ca="1">goldenOTP_check!I38*I94</f>
        <v>947.06700000000001</v>
      </c>
      <c r="J38" s="2">
        <f ca="1">goldenOTP_check!J38*J94</f>
        <v>995.48599999999999</v>
      </c>
      <c r="K38" s="2">
        <f ca="1">goldenOTP_check!K38*K94</f>
        <v>1023.374</v>
      </c>
      <c r="L38" s="2">
        <f ca="1">goldenOTP_check!L38*L94</f>
        <v>1046.808</v>
      </c>
      <c r="M38" s="2">
        <f ca="1">goldenOTP_check!M38*M94</f>
        <v>1062.126</v>
      </c>
      <c r="N38" s="2">
        <f ca="1">goldenOTP_check!N38*N94</f>
        <v>1058.68</v>
      </c>
      <c r="O38" s="2">
        <f ca="1">goldenOTP_check!O38*O94</f>
        <v>1053.17</v>
      </c>
      <c r="P38" s="2">
        <f ca="1">goldenOTP_check!P38*P94</f>
        <v>1042.067</v>
      </c>
      <c r="Q38" s="2">
        <f ca="1">goldenOTP_check!Q38*Q94</f>
        <v>1045.33</v>
      </c>
      <c r="R38" s="2">
        <f ca="1">goldenOTP_check!R38*R94</f>
        <v>1046.682</v>
      </c>
      <c r="S38" s="2">
        <f ca="1">goldenOTP_check!S38*S94</f>
        <v>1061.0360000000001</v>
      </c>
      <c r="T38" s="2">
        <f ca="1">goldenOTP_check!T38*T94</f>
        <v>1062.3129999999999</v>
      </c>
      <c r="U38" s="2">
        <f ca="1">goldenOTP_check!U38*U94</f>
        <v>1067.107</v>
      </c>
      <c r="V38" s="2">
        <f ca="1">goldenOTP_check!V38*V94</f>
        <v>1059.471</v>
      </c>
      <c r="W38" s="2">
        <f ca="1">goldenOTP_check!W38*W94</f>
        <v>1023.599</v>
      </c>
      <c r="X38" s="2">
        <f ca="1">goldenOTP_check!X38*X94</f>
        <v>989.57599999999991</v>
      </c>
      <c r="Y38" s="2">
        <f ca="1">goldenOTP_check!Y38*Y94</f>
        <v>956.30000000000007</v>
      </c>
    </row>
    <row r="39" spans="2:25" x14ac:dyDescent="0.3">
      <c r="B39" s="6">
        <v>36</v>
      </c>
      <c r="C39" s="9">
        <v>2.5270000000000001</v>
      </c>
      <c r="D39" s="9">
        <v>2.2570000000000001</v>
      </c>
      <c r="E39" s="9">
        <v>2.2589999999999999</v>
      </c>
      <c r="F39" s="9">
        <v>2.1909999999999998</v>
      </c>
      <c r="I39" s="2">
        <f ca="1">goldenOTP_check!I39*I95</f>
        <v>921.58499999999992</v>
      </c>
      <c r="J39" s="2">
        <f ca="1">goldenOTP_check!J39*J95</f>
        <v>975.46499999999992</v>
      </c>
      <c r="K39" s="2">
        <f ca="1">goldenOTP_check!K39*K95</f>
        <v>1000.076</v>
      </c>
      <c r="L39" s="2">
        <f ca="1">goldenOTP_check!L39*L95</f>
        <v>1037.5040000000001</v>
      </c>
      <c r="M39" s="2">
        <f ca="1">goldenOTP_check!M39*M95</f>
        <v>1053.8039999999999</v>
      </c>
      <c r="N39" s="2">
        <f ca="1">goldenOTP_check!N39*N95</f>
        <v>1059.212</v>
      </c>
      <c r="O39" s="2">
        <f ca="1">goldenOTP_check!O39*O95</f>
        <v>1058.68</v>
      </c>
      <c r="P39" s="2">
        <f ca="1">goldenOTP_check!P39*P95</f>
        <v>1054.614</v>
      </c>
      <c r="Q39" s="2">
        <f ca="1">goldenOTP_check!Q39*Q95</f>
        <v>1052.396</v>
      </c>
      <c r="R39" s="2">
        <f ca="1">goldenOTP_check!R39*R95</f>
        <v>1054.614</v>
      </c>
      <c r="S39" s="2">
        <f ca="1">goldenOTP_check!S39*S95</f>
        <v>1053.6120000000001</v>
      </c>
      <c r="T39" s="2">
        <f ca="1">goldenOTP_check!T39*T95</f>
        <v>1053.335</v>
      </c>
      <c r="U39" s="2">
        <f ca="1">goldenOTP_check!U39*U95</f>
        <v>1048.7640000000001</v>
      </c>
      <c r="V39" s="2">
        <f ca="1">goldenOTP_check!V39*V95</f>
        <v>1034.1100000000001</v>
      </c>
      <c r="W39" s="2">
        <f ca="1">goldenOTP_check!W39*W95</f>
        <v>1010.5480000000001</v>
      </c>
      <c r="X39" s="2">
        <f ca="1">goldenOTP_check!X39*X95</f>
        <v>974.85199999999998</v>
      </c>
      <c r="Y39" s="2">
        <f ca="1">goldenOTP_check!Y39*Y95</f>
        <v>959.09999999999991</v>
      </c>
    </row>
    <row r="40" spans="2:25" x14ac:dyDescent="0.3">
      <c r="B40" s="6">
        <v>37</v>
      </c>
      <c r="C40" s="9">
        <v>2.25</v>
      </c>
      <c r="D40" s="9">
        <v>2.024</v>
      </c>
      <c r="E40" s="9">
        <v>2.0259999999999998</v>
      </c>
      <c r="F40" s="9">
        <v>1.9650000000000001</v>
      </c>
      <c r="I40" s="2">
        <f ca="1">goldenOTP_check!I40*I96</f>
        <v>950.04899999999998</v>
      </c>
      <c r="J40" s="2">
        <f ca="1">goldenOTP_check!J40*J96</f>
        <v>964.06400000000008</v>
      </c>
      <c r="K40" s="2">
        <f ca="1">goldenOTP_check!K40*K96</f>
        <v>986.30900000000008</v>
      </c>
      <c r="L40" s="2">
        <f ca="1">goldenOTP_check!L40*L96</f>
        <v>1014.5509999999999</v>
      </c>
      <c r="M40" s="2">
        <f ca="1">goldenOTP_check!M40*M96</f>
        <v>1032.27</v>
      </c>
      <c r="N40" s="2">
        <f ca="1">goldenOTP_check!N40*N96</f>
        <v>1053.8039999999999</v>
      </c>
      <c r="O40" s="2">
        <f ca="1">goldenOTP_check!O40*O96</f>
        <v>1055.9549999999999</v>
      </c>
      <c r="P40" s="2">
        <f ca="1">goldenOTP_check!P40*P96</f>
        <v>1054.7250000000001</v>
      </c>
      <c r="Q40" s="2">
        <f ca="1">goldenOTP_check!Q40*Q96</f>
        <v>1051.029</v>
      </c>
      <c r="R40" s="2">
        <f ca="1">goldenOTP_check!R40*R96</f>
        <v>1053.99</v>
      </c>
      <c r="S40" s="2">
        <f ca="1">goldenOTP_check!S40*S96</f>
        <v>1057.3489999999999</v>
      </c>
      <c r="T40" s="2">
        <f ca="1">goldenOTP_check!T40*T96</f>
        <v>1048.7640000000001</v>
      </c>
      <c r="U40" s="2">
        <f ca="1">goldenOTP_check!U40*U96</f>
        <v>1036.26</v>
      </c>
      <c r="V40" s="2">
        <f ca="1">goldenOTP_check!V40*V96</f>
        <v>1010.9399999999999</v>
      </c>
      <c r="W40" s="2">
        <f ca="1">goldenOTP_check!W40*W96</f>
        <v>980.09400000000005</v>
      </c>
      <c r="X40" s="2">
        <f ca="1">goldenOTP_check!X40*X96</f>
        <v>957.19</v>
      </c>
      <c r="Y40" s="2">
        <f ca="1">goldenOTP_check!Y40*Y96</f>
        <v>963.38</v>
      </c>
    </row>
    <row r="41" spans="2:25" x14ac:dyDescent="0.3">
      <c r="B41" s="6">
        <v>38</v>
      </c>
      <c r="C41" s="9">
        <v>2.0030000000000001</v>
      </c>
      <c r="D41" s="9">
        <v>1.8220000000000001</v>
      </c>
      <c r="E41" s="9">
        <v>1.825</v>
      </c>
      <c r="F41" s="9">
        <v>1.768</v>
      </c>
      <c r="I41" s="2">
        <f ca="1">goldenOTP_check!I41*I97</f>
        <v>963.3839999999999</v>
      </c>
      <c r="J41" s="2">
        <f ca="1">goldenOTP_check!J41*J97</f>
        <v>954.3839999999999</v>
      </c>
      <c r="K41" s="2">
        <f ca="1">goldenOTP_check!K41*K97</f>
        <v>970.31699999999989</v>
      </c>
      <c r="L41" s="2">
        <f ca="1">goldenOTP_check!L41*L97</f>
        <v>983.45</v>
      </c>
      <c r="M41" s="2">
        <f ca="1">goldenOTP_check!M41*M97</f>
        <v>1007.952</v>
      </c>
      <c r="N41" s="2">
        <f ca="1">goldenOTP_check!N41*N97</f>
        <v>1028.027</v>
      </c>
      <c r="O41" s="2">
        <f ca="1">goldenOTP_check!O41*O97</f>
        <v>1038.183</v>
      </c>
      <c r="P41" s="2">
        <f ca="1">goldenOTP_check!P41*P97</f>
        <v>1048.95</v>
      </c>
      <c r="Q41" s="2">
        <f ca="1">goldenOTP_check!Q41*Q97</f>
        <v>1045.5839999999998</v>
      </c>
      <c r="R41" s="2">
        <f ca="1">goldenOTP_check!R41*R97</f>
        <v>1053.3599999999999</v>
      </c>
      <c r="S41" s="2">
        <f ca="1">goldenOTP_check!S41*S97</f>
        <v>1047.1379999999999</v>
      </c>
      <c r="T41" s="2">
        <f ca="1">goldenOTP_check!T41*T97</f>
        <v>1037.4279999999999</v>
      </c>
      <c r="U41" s="2">
        <f ca="1">goldenOTP_check!U41*U97</f>
        <v>1014.9239999999999</v>
      </c>
      <c r="V41" s="2">
        <f ca="1">goldenOTP_check!V41*V97</f>
        <v>988.75400000000002</v>
      </c>
      <c r="W41" s="2">
        <f ca="1">goldenOTP_check!W41*W97</f>
        <v>957.82500000000005</v>
      </c>
      <c r="X41" s="2">
        <f ca="1">goldenOTP_check!X41*X97</f>
        <v>955.73199999999997</v>
      </c>
      <c r="Y41" s="2">
        <f ca="1">goldenOTP_check!Y41*Y97</f>
        <v>956.64499999999998</v>
      </c>
    </row>
    <row r="42" spans="2:25" x14ac:dyDescent="0.3">
      <c r="B42" s="6">
        <v>39</v>
      </c>
      <c r="C42" s="9">
        <v>1.8</v>
      </c>
      <c r="D42" s="9">
        <v>1.659</v>
      </c>
      <c r="E42" s="9">
        <v>1.6619999999999999</v>
      </c>
      <c r="F42" s="9">
        <v>1.6080000000000001</v>
      </c>
      <c r="I42" s="11">
        <f ca="1">goldenOTP_check!I42*I98</f>
        <v>963.40500000000009</v>
      </c>
      <c r="J42" s="2">
        <f ca="1">goldenOTP_check!J42*J98</f>
        <v>953.4</v>
      </c>
      <c r="K42" s="2">
        <f ca="1">goldenOTP_check!K42*K98</f>
        <v>950.02600000000007</v>
      </c>
      <c r="L42" s="2">
        <f ca="1">goldenOTP_check!L42*L98</f>
        <v>953.28699999999992</v>
      </c>
      <c r="M42" s="2">
        <f ca="1">goldenOTP_check!M42*M98</f>
        <v>987.85199999999998</v>
      </c>
      <c r="N42" s="2">
        <f ca="1">goldenOTP_check!N42*N98</f>
        <v>986.46399999999994</v>
      </c>
      <c r="O42" s="2">
        <f ca="1">goldenOTP_check!O42*O98</f>
        <v>1003.503</v>
      </c>
      <c r="P42" s="2">
        <f ca="1">goldenOTP_check!P42*P98</f>
        <v>1004.64</v>
      </c>
      <c r="Q42" s="2">
        <f ca="1">goldenOTP_check!Q42*Q98</f>
        <v>1020.1619999999999</v>
      </c>
      <c r="R42" s="2">
        <f ca="1">goldenOTP_check!R42*R98</f>
        <v>1010.88</v>
      </c>
      <c r="S42" s="2">
        <f ca="1">goldenOTP_check!S42*S98</f>
        <v>1016.028</v>
      </c>
      <c r="T42" s="2">
        <f ca="1">goldenOTP_check!T42*T98</f>
        <v>999.92</v>
      </c>
      <c r="U42" s="2">
        <f ca="1">goldenOTP_check!U42*U98</f>
        <v>981.98399999999992</v>
      </c>
      <c r="V42" s="2">
        <f ca="1">goldenOTP_check!V42*V98</f>
        <v>959.41499999999996</v>
      </c>
      <c r="W42" s="2">
        <f ca="1">goldenOTP_check!W42*W98</f>
        <v>955.94099999999992</v>
      </c>
      <c r="X42" s="2">
        <f ca="1">goldenOTP_check!X42*X98</f>
        <v>941.1</v>
      </c>
      <c r="Y42" s="11">
        <f ca="1">goldenOTP_check!Y42*Y98</f>
        <v>910.53599999999994</v>
      </c>
    </row>
    <row r="43" spans="2:25" x14ac:dyDescent="0.3">
      <c r="B43" s="6">
        <v>40</v>
      </c>
      <c r="C43" s="9">
        <v>1.6439999999999999</v>
      </c>
      <c r="D43" s="9">
        <v>1.534</v>
      </c>
      <c r="E43" s="9">
        <v>1.536</v>
      </c>
      <c r="F43" s="9">
        <v>1.492</v>
      </c>
    </row>
    <row r="44" spans="2:25" x14ac:dyDescent="0.3">
      <c r="B44" s="6">
        <v>41</v>
      </c>
      <c r="C44" s="9">
        <v>1.548</v>
      </c>
      <c r="D44" s="9">
        <v>1.46</v>
      </c>
      <c r="E44" s="9">
        <v>1.4610000000000001</v>
      </c>
      <c r="F44" s="9">
        <v>1.4259999999999999</v>
      </c>
      <c r="H44" t="s">
        <v>3</v>
      </c>
      <c r="I44" s="12">
        <f ca="1">goldenOTP_check!I44*I100</f>
        <v>867.07999999999993</v>
      </c>
      <c r="J44" s="4">
        <f ca="1">goldenOTP_check!J44*J100</f>
        <v>917.76099999999997</v>
      </c>
      <c r="K44" s="4">
        <f ca="1">goldenOTP_check!K44*K100</f>
        <v>919.07200000000012</v>
      </c>
      <c r="L44" s="4">
        <f ca="1">goldenOTP_check!L44*L100</f>
        <v>958.28700000000003</v>
      </c>
      <c r="M44" s="4">
        <f ca="1">goldenOTP_check!M44*M100</f>
        <v>975.51299999999992</v>
      </c>
      <c r="N44" s="4">
        <f ca="1">goldenOTP_check!N44*N100</f>
        <v>962.10899999999992</v>
      </c>
      <c r="O44" s="4">
        <f ca="1">goldenOTP_check!O44*O100</f>
        <v>995.79199999999992</v>
      </c>
      <c r="P44" s="4">
        <f ca="1">goldenOTP_check!P44*P100</f>
        <v>1003.548</v>
      </c>
      <c r="Q44" s="4">
        <f ca="1">goldenOTP_check!Q44*Q100</f>
        <v>1013.74</v>
      </c>
      <c r="R44" s="4">
        <f ca="1">goldenOTP_check!R44*R100</f>
        <v>1006.8240000000001</v>
      </c>
      <c r="S44" s="4">
        <f ca="1">goldenOTP_check!S44*S100</f>
        <v>1000.499</v>
      </c>
      <c r="T44" s="4">
        <f ca="1">goldenOTP_check!T44*T100</f>
        <v>965.92499999999995</v>
      </c>
      <c r="U44" s="4">
        <f ca="1">goldenOTP_check!U44*U100</f>
        <v>980.92499999999995</v>
      </c>
      <c r="V44" s="4">
        <f ca="1">goldenOTP_check!V44*V100</f>
        <v>930.23400000000004</v>
      </c>
      <c r="W44" s="4">
        <f ca="1">goldenOTP_check!W44*W100</f>
        <v>934.56</v>
      </c>
      <c r="X44" s="4">
        <f ca="1">goldenOTP_check!X44*X100</f>
        <v>932.06700000000001</v>
      </c>
      <c r="Y44" s="12">
        <f ca="1">goldenOTP_check!Y44*Y100</f>
        <v>876.88499999999999</v>
      </c>
    </row>
    <row r="45" spans="2:25" x14ac:dyDescent="0.3">
      <c r="B45" s="6">
        <v>42</v>
      </c>
      <c r="C45" s="9">
        <v>1.5189999999999999</v>
      </c>
      <c r="D45" s="9">
        <v>1.4379999999999999</v>
      </c>
      <c r="E45" s="9">
        <v>1.4390000000000001</v>
      </c>
      <c r="F45" s="9">
        <v>1.41</v>
      </c>
      <c r="H45" t="s">
        <v>6</v>
      </c>
      <c r="I45" s="4">
        <f ca="1">goldenOTP_check!I45*I101</f>
        <v>929.14399999999989</v>
      </c>
      <c r="J45" s="4">
        <f ca="1">goldenOTP_check!J45*J101</f>
        <v>926.49700000000007</v>
      </c>
      <c r="K45" s="4">
        <f ca="1">goldenOTP_check!K45*K101</f>
        <v>945.25</v>
      </c>
      <c r="L45" s="4">
        <f ca="1">goldenOTP_check!L45*L101</f>
        <v>978.25</v>
      </c>
      <c r="M45" s="4">
        <f ca="1">goldenOTP_check!M45*M101</f>
        <v>1006.592</v>
      </c>
      <c r="N45" s="4">
        <f ca="1">goldenOTP_check!N45*N101</f>
        <v>1030.92</v>
      </c>
      <c r="O45" s="4">
        <f ca="1">goldenOTP_check!O45*O101</f>
        <v>1046.2560000000001</v>
      </c>
      <c r="P45" s="4">
        <f ca="1">goldenOTP_check!P45*P101</f>
        <v>1044.6799999999998</v>
      </c>
      <c r="Q45" s="4">
        <f ca="1">goldenOTP_check!Q45*Q101</f>
        <v>1049.76</v>
      </c>
      <c r="R45" s="4">
        <f ca="1">goldenOTP_check!R45*R101</f>
        <v>1045.317</v>
      </c>
      <c r="S45" s="4">
        <f ca="1">goldenOTP_check!S45*S101</f>
        <v>1051.1679999999999</v>
      </c>
      <c r="T45" s="4">
        <f ca="1">goldenOTP_check!T45*T101</f>
        <v>1037.7359999999999</v>
      </c>
      <c r="U45" s="4">
        <f ca="1">goldenOTP_check!U45*U101</f>
        <v>1017.3440000000001</v>
      </c>
      <c r="V45" s="4">
        <f ca="1">goldenOTP_check!V45*V101</f>
        <v>991.44499999999994</v>
      </c>
      <c r="W45" s="4">
        <f ca="1">goldenOTP_check!W45*W101</f>
        <v>962.76200000000006</v>
      </c>
      <c r="X45" s="4">
        <f ca="1">goldenOTP_check!X45*X101</f>
        <v>942.52399999999989</v>
      </c>
      <c r="Y45" s="4">
        <f ca="1">goldenOTP_check!Y45*Y101</f>
        <v>932.10400000000004</v>
      </c>
    </row>
    <row r="46" spans="2:25" x14ac:dyDescent="0.3">
      <c r="B46" s="6">
        <v>43</v>
      </c>
      <c r="C46" s="9">
        <v>1.552</v>
      </c>
      <c r="D46" s="9">
        <v>1.4670000000000001</v>
      </c>
      <c r="E46" s="9">
        <v>1.4670000000000001</v>
      </c>
      <c r="F46" s="9">
        <v>1.4350000000000001</v>
      </c>
      <c r="I46" s="4">
        <f ca="1">goldenOTP_check!I46*I102</f>
        <v>914.6819999999999</v>
      </c>
      <c r="J46" s="4">
        <f ca="1">goldenOTP_check!J46*J102</f>
        <v>932.25000000000011</v>
      </c>
      <c r="K46" s="4">
        <f ca="1">goldenOTP_check!K46*K102</f>
        <v>970.61299999999994</v>
      </c>
      <c r="L46" s="4">
        <f ca="1">goldenOTP_check!L46*L102</f>
        <v>1006.08</v>
      </c>
      <c r="M46" s="4">
        <f ca="1">goldenOTP_check!M46*M102</f>
        <v>1025.44</v>
      </c>
      <c r="N46" s="4">
        <f ca="1">goldenOTP_check!N46*N102</f>
        <v>1041.9840000000002</v>
      </c>
      <c r="O46" s="4">
        <f ca="1">goldenOTP_check!O46*O102</f>
        <v>1051.8599999999999</v>
      </c>
      <c r="P46" s="4">
        <f ca="1">goldenOTP_check!P46*P102</f>
        <v>1069.5</v>
      </c>
      <c r="Q46" s="4">
        <f ca="1">goldenOTP_check!Q46*Q102</f>
        <v>1074.4199999999998</v>
      </c>
      <c r="R46" s="4">
        <f ca="1">goldenOTP_check!R46*R102</f>
        <v>1076.25</v>
      </c>
      <c r="S46" s="4">
        <f ca="1">goldenOTP_check!S46*S102</f>
        <v>1066.665</v>
      </c>
      <c r="T46" s="4">
        <f ca="1">goldenOTP_check!T46*T102</f>
        <v>1058.184</v>
      </c>
      <c r="U46" s="4">
        <f ca="1">goldenOTP_check!U46*U102</f>
        <v>1043.42</v>
      </c>
      <c r="V46" s="4">
        <f ca="1">goldenOTP_check!V46*V102</f>
        <v>1025.5360000000001</v>
      </c>
      <c r="W46" s="4">
        <f ca="1">goldenOTP_check!W46*W102</f>
        <v>988.77600000000007</v>
      </c>
      <c r="X46" s="4">
        <f ca="1">goldenOTP_check!X46*X102</f>
        <v>946.5</v>
      </c>
      <c r="Y46" s="4">
        <f ca="1">goldenOTP_check!Y46*Y102</f>
        <v>917.19399999999996</v>
      </c>
    </row>
    <row r="47" spans="2:25" x14ac:dyDescent="0.3">
      <c r="B47" s="6">
        <v>44</v>
      </c>
      <c r="C47" s="9">
        <v>1.6539999999999999</v>
      </c>
      <c r="D47" s="9">
        <v>1.55</v>
      </c>
      <c r="E47" s="9">
        <v>1.5509999999999999</v>
      </c>
      <c r="F47" s="9">
        <v>1.5129999999999999</v>
      </c>
      <c r="I47" s="4">
        <f ca="1">goldenOTP_check!I47*I103</f>
        <v>939.50800000000004</v>
      </c>
      <c r="J47" s="4">
        <f ca="1">goldenOTP_check!J47*J103</f>
        <v>953.7879999999999</v>
      </c>
      <c r="K47" s="4">
        <f ca="1">goldenOTP_check!K47*K103</f>
        <v>1003.9169999999999</v>
      </c>
      <c r="L47" s="4">
        <f ca="1">goldenOTP_check!L47*L103</f>
        <v>1029.7839999999999</v>
      </c>
      <c r="M47" s="4">
        <f ca="1">goldenOTP_check!M47*M103</f>
        <v>1040.6880000000001</v>
      </c>
      <c r="N47" s="4">
        <f ca="1">goldenOTP_check!N47*N103</f>
        <v>1060.4650000000001</v>
      </c>
      <c r="O47" s="4">
        <f ca="1">goldenOTP_check!O47*O103</f>
        <v>1059.5909999999999</v>
      </c>
      <c r="P47" s="4">
        <f ca="1">goldenOTP_check!P47*P103</f>
        <v>1066.25</v>
      </c>
      <c r="Q47" s="4">
        <f ca="1">goldenOTP_check!Q47*Q103</f>
        <v>1068.768</v>
      </c>
      <c r="R47" s="4">
        <f ca="1">goldenOTP_check!R47*R103</f>
        <v>1075.6329999999998</v>
      </c>
      <c r="S47" s="4">
        <f ca="1">goldenOTP_check!S47*S103</f>
        <v>1078.9590000000001</v>
      </c>
      <c r="T47" s="4">
        <f ca="1">goldenOTP_check!T47*T103</f>
        <v>1064.328</v>
      </c>
      <c r="U47" s="4">
        <f ca="1">goldenOTP_check!U47*U103</f>
        <v>1063.3679999999999</v>
      </c>
      <c r="V47" s="4">
        <f ca="1">goldenOTP_check!V47*V103</f>
        <v>1031.5640000000001</v>
      </c>
      <c r="W47" s="4">
        <f ca="1">goldenOTP_check!W47*W103</f>
        <v>997.40700000000004</v>
      </c>
      <c r="X47" s="4">
        <f ca="1">goldenOTP_check!X47*X103</f>
        <v>965.64900000000011</v>
      </c>
      <c r="Y47" s="4">
        <f ca="1">goldenOTP_check!Y47*Y103</f>
        <v>941.95099999999991</v>
      </c>
    </row>
    <row r="48" spans="2:25" x14ac:dyDescent="0.3">
      <c r="B48" s="6">
        <v>45</v>
      </c>
      <c r="C48" s="9">
        <v>1.81</v>
      </c>
      <c r="D48" s="9">
        <v>1.677</v>
      </c>
      <c r="E48" s="9">
        <v>1.6779999999999999</v>
      </c>
      <c r="F48" s="9">
        <v>1.633</v>
      </c>
      <c r="I48" s="4">
        <f ca="1">goldenOTP_check!I48*I104</f>
        <v>937.88800000000003</v>
      </c>
      <c r="J48" s="4">
        <f ca="1">goldenOTP_check!J48*J104</f>
        <v>956.44799999999998</v>
      </c>
      <c r="K48" s="4">
        <f ca="1">goldenOTP_check!K48*K104</f>
        <v>995.32799999999997</v>
      </c>
      <c r="L48" s="4">
        <f ca="1">goldenOTP_check!L48*L104</f>
        <v>1045.6420000000001</v>
      </c>
      <c r="M48" s="4">
        <f ca="1">goldenOTP_check!M48*M104</f>
        <v>1048.335</v>
      </c>
      <c r="N48" s="4">
        <f ca="1">goldenOTP_check!N48*N104</f>
        <v>1057.9769999999999</v>
      </c>
      <c r="O48" s="4">
        <f ca="1">goldenOTP_check!O48*O104</f>
        <v>1058.191</v>
      </c>
      <c r="P48" s="4">
        <f ca="1">goldenOTP_check!P48*P104</f>
        <v>1054.0920000000001</v>
      </c>
      <c r="Q48" s="4">
        <f ca="1">goldenOTP_check!Q48*Q104</f>
        <v>1062.915</v>
      </c>
      <c r="R48" s="4">
        <f ca="1">goldenOTP_check!R48*R104</f>
        <v>1058.752</v>
      </c>
      <c r="S48" s="4">
        <f ca="1">goldenOTP_check!S48*S104</f>
        <v>1069.722</v>
      </c>
      <c r="T48" s="4">
        <f ca="1">goldenOTP_check!T48*T104</f>
        <v>1072.5029999999999</v>
      </c>
      <c r="U48" s="4">
        <f ca="1">goldenOTP_check!U48*U104</f>
        <v>1065.96</v>
      </c>
      <c r="V48" s="4">
        <f ca="1">goldenOTP_check!V48*V104</f>
        <v>1043.8679999999999</v>
      </c>
      <c r="W48" s="4">
        <f ca="1">goldenOTP_check!W48*W104</f>
        <v>1015.808</v>
      </c>
      <c r="X48" s="4">
        <f ca="1">goldenOTP_check!X48*X104</f>
        <v>974.59199999999987</v>
      </c>
      <c r="Y48" s="4">
        <f ca="1">goldenOTP_check!Y48*Y104</f>
        <v>949.76</v>
      </c>
    </row>
    <row r="49" spans="2:25" x14ac:dyDescent="0.3">
      <c r="B49" s="6">
        <v>46</v>
      </c>
      <c r="C49" s="9">
        <v>2.0139999999999998</v>
      </c>
      <c r="D49" s="9">
        <v>1.8440000000000001</v>
      </c>
      <c r="E49" s="9">
        <v>1.8440000000000001</v>
      </c>
      <c r="F49" s="9">
        <v>1.7989999999999999</v>
      </c>
      <c r="I49" s="4">
        <f ca="1">goldenOTP_check!I49*I105</f>
        <v>928.55000000000007</v>
      </c>
      <c r="J49" s="4">
        <f ca="1">goldenOTP_check!J49*J105</f>
        <v>973.24499999999989</v>
      </c>
      <c r="K49" s="4">
        <f ca="1">goldenOTP_check!K49*K105</f>
        <v>996.97799999999995</v>
      </c>
      <c r="L49" s="4">
        <f ca="1">goldenOTP_check!L49*L105</f>
        <v>1035.125</v>
      </c>
      <c r="M49" s="4">
        <f ca="1">goldenOTP_check!M49*M105</f>
        <v>1057.5</v>
      </c>
      <c r="N49" s="4">
        <f ca="1">goldenOTP_check!N49*N105</f>
        <v>1060.279</v>
      </c>
      <c r="O49" s="4">
        <f ca="1">goldenOTP_check!O49*O105</f>
        <v>1052.2280000000001</v>
      </c>
      <c r="P49" s="4">
        <f ca="1">goldenOTP_check!P49*P105</f>
        <v>1043.395</v>
      </c>
      <c r="Q49" s="4">
        <f ca="1">goldenOTP_check!Q49*Q105</f>
        <v>1032</v>
      </c>
      <c r="R49" s="4">
        <f ca="1">goldenOTP_check!R49*R105</f>
        <v>1048.3400000000001</v>
      </c>
      <c r="S49" s="4">
        <f ca="1">goldenOTP_check!S49*S105</f>
        <v>1058.752</v>
      </c>
      <c r="T49" s="4">
        <f ca="1">goldenOTP_check!T49*T105</f>
        <v>1053.7729999999999</v>
      </c>
      <c r="U49" s="4">
        <f ca="1">goldenOTP_check!U49*U105</f>
        <v>1054.5530000000001</v>
      </c>
      <c r="V49" s="4">
        <f ca="1">goldenOTP_check!V49*V105</f>
        <v>1052.961</v>
      </c>
      <c r="W49" s="4">
        <f ca="1">goldenOTP_check!W49*W105</f>
        <v>1019.4060000000001</v>
      </c>
      <c r="X49" s="4">
        <f ca="1">goldenOTP_check!X49*X105</f>
        <v>970.17</v>
      </c>
      <c r="Y49" s="4">
        <f ca="1">goldenOTP_check!Y49*Y105</f>
        <v>955.58500000000004</v>
      </c>
    </row>
    <row r="50" spans="2:25" x14ac:dyDescent="0.3">
      <c r="B50" s="6">
        <v>47</v>
      </c>
      <c r="C50" s="9">
        <v>2.2650000000000001</v>
      </c>
      <c r="D50" s="9">
        <v>2.0499999999999998</v>
      </c>
      <c r="E50" s="9">
        <v>2.0499999999999998</v>
      </c>
      <c r="F50" s="9">
        <v>2.0030000000000001</v>
      </c>
      <c r="I50" s="4">
        <f ca="1">goldenOTP_check!I50*I106</f>
        <v>921.34900000000005</v>
      </c>
      <c r="J50" s="4">
        <f ca="1">goldenOTP_check!J50*J106</f>
        <v>963.23500000000001</v>
      </c>
      <c r="K50" s="4">
        <f ca="1">goldenOTP_check!K50*K106</f>
        <v>1004.6400000000001</v>
      </c>
      <c r="L50" s="4">
        <f ca="1">goldenOTP_check!L50*L106</f>
        <v>1032.912</v>
      </c>
      <c r="M50" s="4">
        <f ca="1">goldenOTP_check!M50*M106</f>
        <v>1048.5119999999999</v>
      </c>
      <c r="N50" s="4">
        <f ca="1">goldenOTP_check!N50*N106</f>
        <v>1047.1679999999999</v>
      </c>
      <c r="O50" s="4">
        <f ca="1">goldenOTP_check!O50*O106</f>
        <v>1034.471</v>
      </c>
      <c r="P50" s="4">
        <f ca="1">goldenOTP_check!P50*P106</f>
        <v>1026</v>
      </c>
      <c r="Q50" s="4">
        <f ca="1">goldenOTP_check!Q50*Q106</f>
        <v>1031.184</v>
      </c>
      <c r="R50" s="4">
        <f ca="1">goldenOTP_check!R50*R106</f>
        <v>1031</v>
      </c>
      <c r="S50" s="4">
        <f ca="1">goldenOTP_check!S50*S106</f>
        <v>1047.673</v>
      </c>
      <c r="T50" s="4">
        <f ca="1">goldenOTP_check!T50*T106</f>
        <v>1062.72</v>
      </c>
      <c r="U50" s="4">
        <f ca="1">goldenOTP_check!U50*U106</f>
        <v>1050.75</v>
      </c>
      <c r="V50" s="4">
        <f ca="1">goldenOTP_check!V50*V106</f>
        <v>1053.6479999999999</v>
      </c>
      <c r="W50" s="4">
        <f ca="1">goldenOTP_check!W50*W106</f>
        <v>1023.75</v>
      </c>
      <c r="X50" s="4">
        <f ca="1">goldenOTP_check!X50*X106</f>
        <v>980.52499999999986</v>
      </c>
      <c r="Y50" s="4">
        <f ca="1">goldenOTP_check!Y50*Y106</f>
        <v>930.06600000000003</v>
      </c>
    </row>
    <row r="51" spans="2:25" x14ac:dyDescent="0.3">
      <c r="B51" s="6">
        <v>48</v>
      </c>
      <c r="C51" s="9">
        <v>2.5409999999999999</v>
      </c>
      <c r="D51" s="9">
        <v>2.286</v>
      </c>
      <c r="E51" s="9">
        <v>2.2850000000000001</v>
      </c>
      <c r="F51" s="9">
        <v>2.2320000000000002</v>
      </c>
      <c r="I51" s="4">
        <f ca="1">goldenOTP_check!I51*I107</f>
        <v>942.94600000000003</v>
      </c>
      <c r="J51" s="4">
        <f ca="1">goldenOTP_check!J51*J107</f>
        <v>949.34899999999993</v>
      </c>
      <c r="K51" s="4">
        <f ca="1">goldenOTP_check!K51*K107</f>
        <v>993.774</v>
      </c>
      <c r="L51" s="4">
        <f ca="1">goldenOTP_check!L51*L107</f>
        <v>1028.1180000000002</v>
      </c>
      <c r="M51" s="4">
        <f ca="1">goldenOTP_check!M51*M107</f>
        <v>1030.905</v>
      </c>
      <c r="N51" s="4">
        <f ca="1">goldenOTP_check!N51*N107</f>
        <v>1031.9070000000002</v>
      </c>
      <c r="O51" s="4">
        <f ca="1">goldenOTP_check!O51*O107</f>
        <v>1036.384</v>
      </c>
      <c r="P51" s="4">
        <f ca="1">goldenOTP_check!P51*P107</f>
        <v>1017.12</v>
      </c>
      <c r="Q51" s="4">
        <f ca="1">goldenOTP_check!Q51*Q107</f>
        <v>1022</v>
      </c>
      <c r="R51" s="4">
        <f ca="1">goldenOTP_check!R51*R107</f>
        <v>1028.856</v>
      </c>
      <c r="S51" s="4">
        <f ca="1">goldenOTP_check!S51*S107</f>
        <v>1054.0920000000001</v>
      </c>
      <c r="T51" s="4">
        <f ca="1">goldenOTP_check!T51*T107</f>
        <v>1052.932</v>
      </c>
      <c r="U51" s="4">
        <f ca="1">goldenOTP_check!U51*U107</f>
        <v>1053.8139999999999</v>
      </c>
      <c r="V51" s="4">
        <f ca="1">goldenOTP_check!V51*V107</f>
        <v>1050.413</v>
      </c>
      <c r="W51" s="4">
        <f ca="1">goldenOTP_check!W51*W107</f>
        <v>1014.066</v>
      </c>
      <c r="X51" s="4">
        <f ca="1">goldenOTP_check!X51*X107</f>
        <v>962.63900000000001</v>
      </c>
      <c r="Y51" s="4">
        <f ca="1">goldenOTP_check!Y51*Y107</f>
        <v>943.32900000000006</v>
      </c>
    </row>
    <row r="52" spans="2:25" x14ac:dyDescent="0.3">
      <c r="B52" s="6">
        <v>49</v>
      </c>
      <c r="C52" s="9">
        <v>2.8860000000000001</v>
      </c>
      <c r="D52" s="9">
        <v>2.5950000000000002</v>
      </c>
      <c r="E52" s="9">
        <v>2.5939999999999999</v>
      </c>
      <c r="F52" s="9">
        <v>2.524</v>
      </c>
      <c r="I52" s="4">
        <f ca="1">goldenOTP_check!I52*I108</f>
        <v>904.24</v>
      </c>
      <c r="J52" s="4">
        <f ca="1">goldenOTP_check!J52*J108</f>
        <v>959.04000000000008</v>
      </c>
      <c r="K52" s="4">
        <f ca="1">goldenOTP_check!K52*K108</f>
        <v>993.79200000000003</v>
      </c>
      <c r="L52" s="4">
        <f ca="1">goldenOTP_check!L52*L108</f>
        <v>1018.5839999999999</v>
      </c>
      <c r="M52" s="4">
        <f ca="1">goldenOTP_check!M52*M108</f>
        <v>1037.76</v>
      </c>
      <c r="N52" s="4">
        <f ca="1">goldenOTP_check!N52*N108</f>
        <v>1030.82</v>
      </c>
      <c r="O52" s="4">
        <f ca="1">goldenOTP_check!O52*O108</f>
        <v>1032.5</v>
      </c>
      <c r="P52" s="4">
        <f ca="1">goldenOTP_check!P52*P108</f>
        <v>1037.316</v>
      </c>
      <c r="Q52" s="4">
        <f ca="1">goldenOTP_check!Q52*Q108</f>
        <v>1031.6420000000001</v>
      </c>
      <c r="R52" s="4">
        <f ca="1">goldenOTP_check!R52*R108</f>
        <v>1031.5200000000002</v>
      </c>
      <c r="S52" s="4">
        <f ca="1">goldenOTP_check!S52*S108</f>
        <v>1043</v>
      </c>
      <c r="T52" s="4">
        <f ca="1">goldenOTP_check!T52*T108</f>
        <v>1047.5360000000001</v>
      </c>
      <c r="U52" s="4">
        <f ca="1">goldenOTP_check!U52*U108</f>
        <v>1058.2049999999999</v>
      </c>
      <c r="V52" s="4">
        <f ca="1">goldenOTP_check!V52*V108</f>
        <v>1040.2560000000001</v>
      </c>
      <c r="W52" s="4">
        <f ca="1">goldenOTP_check!W52*W108</f>
        <v>1012.736</v>
      </c>
      <c r="X52" s="4">
        <f ca="1">goldenOTP_check!X52*X108</f>
        <v>972</v>
      </c>
      <c r="Y52" s="4">
        <f ca="1">goldenOTP_check!Y52*Y108</f>
        <v>908.15600000000006</v>
      </c>
    </row>
    <row r="53" spans="2:25" x14ac:dyDescent="0.3">
      <c r="B53" s="6">
        <v>50</v>
      </c>
      <c r="C53" s="9">
        <v>3.3490000000000002</v>
      </c>
      <c r="D53" s="9">
        <v>3.0230000000000001</v>
      </c>
      <c r="E53" s="9">
        <v>3.0209999999999999</v>
      </c>
      <c r="F53" s="9">
        <v>2.9209999999999998</v>
      </c>
      <c r="I53" s="4">
        <f ca="1">goldenOTP_check!I53*I109</f>
        <v>888.11099999999999</v>
      </c>
      <c r="J53" s="4">
        <f ca="1">goldenOTP_check!J53*J109</f>
        <v>948.06200000000001</v>
      </c>
      <c r="K53" s="4">
        <f ca="1">goldenOTP_check!K53*K109</f>
        <v>974.98800000000006</v>
      </c>
      <c r="L53" s="4">
        <f ca="1">goldenOTP_check!L53*L109</f>
        <v>1004.828</v>
      </c>
      <c r="M53" s="4">
        <f ca="1">goldenOTP_check!M53*M109</f>
        <v>1034.2080000000001</v>
      </c>
      <c r="N53" s="4">
        <f ca="1">goldenOTP_check!N53*N109</f>
        <v>1033.7939999999999</v>
      </c>
      <c r="O53" s="4">
        <f ca="1">goldenOTP_check!O53*O109</f>
        <v>1031.616</v>
      </c>
      <c r="P53" s="4">
        <f ca="1">goldenOTP_check!P53*P109</f>
        <v>1032.748</v>
      </c>
      <c r="Q53" s="4">
        <f ca="1">goldenOTP_check!Q53*Q109</f>
        <v>1030.424</v>
      </c>
      <c r="R53" s="4">
        <f ca="1">goldenOTP_check!R53*R109</f>
        <v>1033.5890000000002</v>
      </c>
      <c r="S53" s="4">
        <f ca="1">goldenOTP_check!S53*S109</f>
        <v>1034.8</v>
      </c>
      <c r="T53" s="4">
        <f ca="1">goldenOTP_check!T53*T109</f>
        <v>1038.883</v>
      </c>
      <c r="U53" s="4">
        <f ca="1">goldenOTP_check!U53*U109</f>
        <v>1025.5700000000002</v>
      </c>
      <c r="V53" s="4">
        <f ca="1">goldenOTP_check!V53*V109</f>
        <v>1020.4240000000001</v>
      </c>
      <c r="W53" s="4">
        <f ca="1">goldenOTP_check!W53*W109</f>
        <v>993.11399999999992</v>
      </c>
      <c r="X53" s="4">
        <f ca="1">goldenOTP_check!X53*X109</f>
        <v>964.83100000000002</v>
      </c>
      <c r="Y53" s="4">
        <f ca="1">goldenOTP_check!Y53*Y109</f>
        <v>901.76400000000001</v>
      </c>
    </row>
    <row r="54" spans="2:25" x14ac:dyDescent="0.3">
      <c r="B54" s="6">
        <v>51</v>
      </c>
      <c r="C54" s="9">
        <v>3.1240000000000001</v>
      </c>
      <c r="D54" s="9">
        <v>2.7749999999999999</v>
      </c>
      <c r="E54" s="9">
        <v>2.7770000000000001</v>
      </c>
      <c r="F54" s="9">
        <v>2.6920000000000002</v>
      </c>
      <c r="I54" s="4">
        <f ca="1">goldenOTP_check!I54*I110</f>
        <v>910.91399999999999</v>
      </c>
      <c r="J54" s="4">
        <f ca="1">goldenOTP_check!J54*J110</f>
        <v>931.875</v>
      </c>
      <c r="K54" s="4">
        <f ca="1">goldenOTP_check!K54*K110</f>
        <v>946.07999999999993</v>
      </c>
      <c r="L54" s="4">
        <f ca="1">goldenOTP_check!L54*L110</f>
        <v>978</v>
      </c>
      <c r="M54" s="4">
        <f ca="1">goldenOTP_check!M54*M110</f>
        <v>996.83999999999992</v>
      </c>
      <c r="N54" s="4">
        <f ca="1">goldenOTP_check!N54*N110</f>
        <v>1016.015</v>
      </c>
      <c r="O54" s="4">
        <f ca="1">goldenOTP_check!O54*O110</f>
        <v>1021.482</v>
      </c>
      <c r="P54" s="4">
        <f ca="1">goldenOTP_check!P54*P110</f>
        <v>1035.3389999999999</v>
      </c>
      <c r="Q54" s="4">
        <f ca="1">goldenOTP_check!Q54*Q110</f>
        <v>1034.25</v>
      </c>
      <c r="R54" s="4">
        <f ca="1">goldenOTP_check!R54*R110</f>
        <v>1036.078</v>
      </c>
      <c r="S54" s="4">
        <f ca="1">goldenOTP_check!S54*S110</f>
        <v>1024.2539999999999</v>
      </c>
      <c r="T54" s="4">
        <f ca="1">goldenOTP_check!T54*T110</f>
        <v>1022.385</v>
      </c>
      <c r="U54" s="4">
        <f ca="1">goldenOTP_check!U54*U110</f>
        <v>1007.6320000000001</v>
      </c>
      <c r="V54" s="4">
        <f ca="1">goldenOTP_check!V54*V110</f>
        <v>993</v>
      </c>
      <c r="W54" s="4">
        <f ca="1">goldenOTP_check!W54*W110</f>
        <v>959.47199999999998</v>
      </c>
      <c r="X54" s="4">
        <f ca="1">goldenOTP_check!X54*X110</f>
        <v>945</v>
      </c>
      <c r="Y54" s="4">
        <f ca="1">goldenOTP_check!Y54*Y110</f>
        <v>918.44999999999993</v>
      </c>
    </row>
    <row r="55" spans="2:25" x14ac:dyDescent="0.3">
      <c r="B55" s="6">
        <v>52</v>
      </c>
      <c r="C55" s="9">
        <v>2.6949999999999998</v>
      </c>
      <c r="D55" s="9">
        <v>2.399</v>
      </c>
      <c r="E55" s="9">
        <v>2.4009999999999998</v>
      </c>
      <c r="F55" s="9">
        <v>2.3319999999999999</v>
      </c>
      <c r="I55" s="4">
        <f ca="1">goldenOTP_check!I55*I111</f>
        <v>937.72800000000007</v>
      </c>
      <c r="J55" s="4">
        <f ca="1">goldenOTP_check!J55*J111</f>
        <v>933.99899999999991</v>
      </c>
      <c r="K55" s="4">
        <f ca="1">goldenOTP_check!K55*K111</f>
        <v>923.31200000000001</v>
      </c>
      <c r="L55" s="4">
        <f ca="1">goldenOTP_check!L55*L111</f>
        <v>954.22199999999998</v>
      </c>
      <c r="M55" s="4">
        <f ca="1">goldenOTP_check!M55*M111</f>
        <v>979</v>
      </c>
      <c r="N55" s="4">
        <f ca="1">goldenOTP_check!N55*N111</f>
        <v>1002.6</v>
      </c>
      <c r="O55" s="4">
        <f ca="1">goldenOTP_check!O55*O111</f>
        <v>1015.5740000000001</v>
      </c>
      <c r="P55" s="4">
        <f ca="1">goldenOTP_check!P55*P111</f>
        <v>1014.375</v>
      </c>
      <c r="Q55" s="4">
        <f ca="1">goldenOTP_check!Q55*Q111</f>
        <v>1022.385</v>
      </c>
      <c r="R55" s="4">
        <f ca="1">goldenOTP_check!R55*R111</f>
        <v>1019.9999999999999</v>
      </c>
      <c r="S55" s="4">
        <f ca="1">goldenOTP_check!S55*S111</f>
        <v>1028.2159999999999</v>
      </c>
      <c r="T55" s="4">
        <f ca="1">goldenOTP_check!T55*T111</f>
        <v>1017.082</v>
      </c>
      <c r="U55" s="4">
        <f ca="1">goldenOTP_check!U55*U111</f>
        <v>993.5</v>
      </c>
      <c r="V55" s="4">
        <f ca="1">goldenOTP_check!V55*V111</f>
        <v>965.74000000000012</v>
      </c>
      <c r="W55" s="4">
        <f ca="1">goldenOTP_check!W55*W111</f>
        <v>931.41799999999989</v>
      </c>
      <c r="X55" s="4">
        <f ca="1">goldenOTP_check!X55*X111</f>
        <v>937.75</v>
      </c>
      <c r="Y55" s="4">
        <f ca="1">goldenOTP_check!Y55*Y111</f>
        <v>929.73599999999999</v>
      </c>
    </row>
    <row r="56" spans="2:25" x14ac:dyDescent="0.3">
      <c r="B56" s="6">
        <v>53</v>
      </c>
      <c r="C56" s="9">
        <v>2.3559999999999999</v>
      </c>
      <c r="D56" s="9">
        <v>2.11</v>
      </c>
      <c r="E56" s="9">
        <v>2.1120000000000001</v>
      </c>
      <c r="F56" s="9">
        <v>2.0529999999999999</v>
      </c>
      <c r="I56" s="12">
        <f ca="1">goldenOTP_check!I56*I112</f>
        <v>904.18</v>
      </c>
      <c r="J56" s="4">
        <f ca="1">goldenOTP_check!J56*J112</f>
        <v>906.64800000000002</v>
      </c>
      <c r="K56" s="4">
        <f ca="1">goldenOTP_check!K56*K112</f>
        <v>918.31299999999999</v>
      </c>
      <c r="L56" s="4">
        <f ca="1">goldenOTP_check!L56*L112</f>
        <v>957.98599999999999</v>
      </c>
      <c r="M56" s="4">
        <f ca="1">goldenOTP_check!M56*M112</f>
        <v>975.04000000000008</v>
      </c>
      <c r="N56" s="4">
        <f ca="1">goldenOTP_check!N56*N112</f>
        <v>957.16399999999987</v>
      </c>
      <c r="O56" s="4">
        <f ca="1">goldenOTP_check!O56*O112</f>
        <v>992.25599999999997</v>
      </c>
      <c r="P56" s="4">
        <f ca="1">goldenOTP_check!P56*P112</f>
        <v>999.64800000000002</v>
      </c>
      <c r="Q56" s="4">
        <f ca="1">goldenOTP_check!Q56*Q112</f>
        <v>983.68000000000006</v>
      </c>
      <c r="R56" s="4">
        <f ca="1">goldenOTP_check!R56*R112</f>
        <v>1009.26</v>
      </c>
      <c r="S56" s="4">
        <f ca="1">goldenOTP_check!S56*S112</f>
        <v>979.6</v>
      </c>
      <c r="T56" s="4">
        <f ca="1">goldenOTP_check!T56*T112</f>
        <v>977.202</v>
      </c>
      <c r="U56" s="4">
        <f ca="1">goldenOTP_check!U56*U112</f>
        <v>954.84799999999996</v>
      </c>
      <c r="V56" s="4">
        <f ca="1">goldenOTP_check!V56*V112</f>
        <v>931.07299999999998</v>
      </c>
      <c r="W56" s="4">
        <f ca="1">goldenOTP_check!W56*W112</f>
        <v>921.72299999999996</v>
      </c>
      <c r="X56" s="4">
        <f ca="1">goldenOTP_check!X56*X112</f>
        <v>896.58399999999995</v>
      </c>
      <c r="Y56" s="12">
        <f ca="1">goldenOTP_check!Y56*Y112</f>
        <v>874.5</v>
      </c>
    </row>
    <row r="57" spans="2:25" x14ac:dyDescent="0.3">
      <c r="B57" s="6">
        <v>54</v>
      </c>
      <c r="C57" s="9">
        <v>2.056</v>
      </c>
      <c r="D57" s="9">
        <v>1.865</v>
      </c>
      <c r="E57" s="9">
        <v>1.867</v>
      </c>
      <c r="F57" s="9">
        <v>1.8129999999999999</v>
      </c>
    </row>
    <row r="58" spans="2:25" x14ac:dyDescent="0.3">
      <c r="B58" s="6">
        <v>55</v>
      </c>
      <c r="C58" s="9">
        <v>1.7949999999999999</v>
      </c>
      <c r="D58" s="9">
        <v>1.655</v>
      </c>
      <c r="E58" s="9">
        <v>1.657</v>
      </c>
      <c r="F58" s="9">
        <v>1.6060000000000001</v>
      </c>
      <c r="H58" t="s">
        <v>5</v>
      </c>
      <c r="I58" s="3">
        <f t="shared" ref="I58:Y70" ca="1" si="0">INDIRECT("C"&amp;(17*ROW(1:1)+ROW($C$3)-19+IF(COLUMN(C:C)&gt;19,50000,COLUMN(C:C)-1)))</f>
        <v>3.851</v>
      </c>
      <c r="J58" s="2">
        <f t="shared" ca="1" si="0"/>
        <v>3.492</v>
      </c>
      <c r="K58" s="2">
        <f t="shared" ca="1" si="0"/>
        <v>3.0870000000000002</v>
      </c>
      <c r="L58" s="2">
        <f t="shared" ca="1" si="0"/>
        <v>2.7610000000000001</v>
      </c>
      <c r="M58" s="2">
        <f t="shared" ca="1" si="0"/>
        <v>2.5430000000000001</v>
      </c>
      <c r="N58" s="2">
        <f t="shared" ca="1" si="0"/>
        <v>2.3570000000000002</v>
      </c>
      <c r="O58" s="2">
        <f t="shared" ca="1" si="0"/>
        <v>2.2120000000000002</v>
      </c>
      <c r="P58" s="2">
        <f t="shared" ca="1" si="0"/>
        <v>2.125</v>
      </c>
      <c r="Q58" s="2">
        <f t="shared" ca="1" si="0"/>
        <v>2.0960000000000001</v>
      </c>
      <c r="R58" s="2">
        <f t="shared" ca="1" si="0"/>
        <v>2.1240000000000001</v>
      </c>
      <c r="S58" s="2">
        <f t="shared" ca="1" si="0"/>
        <v>2.2120000000000002</v>
      </c>
      <c r="T58" s="2">
        <f t="shared" ca="1" si="0"/>
        <v>2.3530000000000002</v>
      </c>
      <c r="U58" s="2">
        <f t="shared" ca="1" si="0"/>
        <v>2.5350000000000001</v>
      </c>
      <c r="V58" s="2">
        <f t="shared" ca="1" si="0"/>
        <v>2.762</v>
      </c>
      <c r="W58" s="2">
        <f t="shared" ca="1" si="0"/>
        <v>3.1070000000000002</v>
      </c>
      <c r="X58" s="2">
        <f t="shared" ca="1" si="0"/>
        <v>3.4929999999999999</v>
      </c>
      <c r="Y58" s="3">
        <f t="shared" ca="1" si="0"/>
        <v>3.8180000000000001</v>
      </c>
    </row>
    <row r="59" spans="2:25" x14ac:dyDescent="0.3">
      <c r="B59" s="6">
        <v>56</v>
      </c>
      <c r="C59" s="9">
        <v>1.5780000000000001</v>
      </c>
      <c r="D59" s="9">
        <v>1.478</v>
      </c>
      <c r="E59" s="9">
        <v>1.48</v>
      </c>
      <c r="F59" s="9">
        <v>1.4350000000000001</v>
      </c>
      <c r="I59" s="2">
        <f t="shared" ca="1" si="0"/>
        <v>3.67</v>
      </c>
      <c r="J59" s="2">
        <f t="shared" ca="1" si="0"/>
        <v>3.181</v>
      </c>
      <c r="K59" s="2">
        <f t="shared" ca="1" si="0"/>
        <v>2.766</v>
      </c>
      <c r="L59" s="2">
        <f t="shared" ca="1" si="0"/>
        <v>2.492</v>
      </c>
      <c r="M59" s="2">
        <f t="shared" ca="1" si="0"/>
        <v>2.2629999999999999</v>
      </c>
      <c r="N59" s="2">
        <f t="shared" ca="1" si="0"/>
        <v>2.0710000000000002</v>
      </c>
      <c r="O59" s="2">
        <f t="shared" ca="1" si="0"/>
        <v>1.923</v>
      </c>
      <c r="P59" s="2">
        <f t="shared" ca="1" si="0"/>
        <v>1.8320000000000001</v>
      </c>
      <c r="Q59" s="2">
        <f t="shared" ca="1" si="0"/>
        <v>1.8029999999999999</v>
      </c>
      <c r="R59" s="2">
        <f t="shared" ca="1" si="0"/>
        <v>1.83</v>
      </c>
      <c r="S59" s="2">
        <f t="shared" ca="1" si="0"/>
        <v>1.9219999999999999</v>
      </c>
      <c r="T59" s="2">
        <f t="shared" ca="1" si="0"/>
        <v>2.069</v>
      </c>
      <c r="U59" s="2">
        <f t="shared" ca="1" si="0"/>
        <v>2.2669999999999999</v>
      </c>
      <c r="V59" s="2">
        <f t="shared" ca="1" si="0"/>
        <v>2.4990000000000001</v>
      </c>
      <c r="W59" s="2">
        <f t="shared" ca="1" si="0"/>
        <v>2.786</v>
      </c>
      <c r="X59" s="2">
        <f t="shared" ca="1" si="0"/>
        <v>3.1880000000000002</v>
      </c>
      <c r="Y59" s="2">
        <f t="shared" ca="1" si="0"/>
        <v>3.62</v>
      </c>
    </row>
    <row r="60" spans="2:25" x14ac:dyDescent="0.3">
      <c r="B60" s="6">
        <v>57</v>
      </c>
      <c r="C60" s="9">
        <v>1.4179999999999999</v>
      </c>
      <c r="D60" s="9">
        <v>1.349</v>
      </c>
      <c r="E60" s="9">
        <v>1.35</v>
      </c>
      <c r="F60" s="9">
        <v>1.3129999999999999</v>
      </c>
      <c r="I60" s="2">
        <f t="shared" ca="1" si="0"/>
        <v>3.3929999999999998</v>
      </c>
      <c r="J60" s="2">
        <f t="shared" ca="1" si="0"/>
        <v>2.8879999999999999</v>
      </c>
      <c r="K60" s="2">
        <f t="shared" ca="1" si="0"/>
        <v>2.5270000000000001</v>
      </c>
      <c r="L60" s="2">
        <f t="shared" ca="1" si="0"/>
        <v>2.25</v>
      </c>
      <c r="M60" s="2">
        <f t="shared" ca="1" si="0"/>
        <v>2.0030000000000001</v>
      </c>
      <c r="N60" s="2">
        <f t="shared" ca="1" si="0"/>
        <v>1.8</v>
      </c>
      <c r="O60" s="2">
        <f t="shared" ca="1" si="0"/>
        <v>1.6439999999999999</v>
      </c>
      <c r="P60" s="2">
        <f t="shared" ca="1" si="0"/>
        <v>1.548</v>
      </c>
      <c r="Q60" s="2">
        <f t="shared" ca="1" si="0"/>
        <v>1.5189999999999999</v>
      </c>
      <c r="R60" s="2">
        <f t="shared" ca="1" si="0"/>
        <v>1.552</v>
      </c>
      <c r="S60" s="2">
        <f t="shared" ca="1" si="0"/>
        <v>1.6539999999999999</v>
      </c>
      <c r="T60" s="2">
        <f t="shared" ca="1" si="0"/>
        <v>1.81</v>
      </c>
      <c r="U60" s="2">
        <f t="shared" ca="1" si="0"/>
        <v>2.0139999999999998</v>
      </c>
      <c r="V60" s="2">
        <f t="shared" ca="1" si="0"/>
        <v>2.2650000000000001</v>
      </c>
      <c r="W60" s="2">
        <f t="shared" ca="1" si="0"/>
        <v>2.5409999999999999</v>
      </c>
      <c r="X60" s="2">
        <f t="shared" ca="1" si="0"/>
        <v>2.8860000000000001</v>
      </c>
      <c r="Y60" s="2">
        <f t="shared" ca="1" si="0"/>
        <v>3.3490000000000002</v>
      </c>
    </row>
    <row r="61" spans="2:25" x14ac:dyDescent="0.3">
      <c r="B61" s="6">
        <v>58</v>
      </c>
      <c r="C61" s="9">
        <v>1.325</v>
      </c>
      <c r="D61" s="9">
        <v>1.2769999999999999</v>
      </c>
      <c r="E61" s="9">
        <v>1.278</v>
      </c>
      <c r="F61" s="9">
        <v>1.25</v>
      </c>
      <c r="I61" s="2">
        <f t="shared" ca="1" si="0"/>
        <v>3.1240000000000001</v>
      </c>
      <c r="J61" s="2">
        <f t="shared" ca="1" si="0"/>
        <v>2.6949999999999998</v>
      </c>
      <c r="K61" s="2">
        <f t="shared" ca="1" si="0"/>
        <v>2.3559999999999999</v>
      </c>
      <c r="L61" s="2">
        <f t="shared" ca="1" si="0"/>
        <v>2.056</v>
      </c>
      <c r="M61" s="2">
        <f t="shared" ca="1" si="0"/>
        <v>1.7949999999999999</v>
      </c>
      <c r="N61" s="2">
        <f t="shared" ca="1" si="0"/>
        <v>1.5780000000000001</v>
      </c>
      <c r="O61" s="2">
        <f t="shared" ca="1" si="0"/>
        <v>1.4179999999999999</v>
      </c>
      <c r="P61" s="2">
        <f t="shared" ca="1" si="0"/>
        <v>1.325</v>
      </c>
      <c r="Q61" s="2">
        <f t="shared" ca="1" si="0"/>
        <v>1.298</v>
      </c>
      <c r="R61" s="2">
        <f t="shared" ca="1" si="0"/>
        <v>1.3320000000000001</v>
      </c>
      <c r="S61" s="2">
        <f t="shared" ca="1" si="0"/>
        <v>1.431</v>
      </c>
      <c r="T61" s="2">
        <f t="shared" ca="1" si="0"/>
        <v>1.593</v>
      </c>
      <c r="U61" s="2">
        <f t="shared" ca="1" si="0"/>
        <v>1.81</v>
      </c>
      <c r="V61" s="2">
        <f t="shared" ca="1" si="0"/>
        <v>2.0710000000000002</v>
      </c>
      <c r="W61" s="2">
        <f t="shared" ca="1" si="0"/>
        <v>2.3650000000000002</v>
      </c>
      <c r="X61" s="2">
        <f t="shared" ca="1" si="0"/>
        <v>2.6869999999999998</v>
      </c>
      <c r="Y61" s="2">
        <f t="shared" ca="1" si="0"/>
        <v>3.0760000000000001</v>
      </c>
    </row>
    <row r="62" spans="2:25" x14ac:dyDescent="0.3">
      <c r="B62" s="6">
        <v>59</v>
      </c>
      <c r="C62" s="9">
        <v>1.298</v>
      </c>
      <c r="D62" s="9">
        <v>1.258</v>
      </c>
      <c r="E62" s="9">
        <v>1.258</v>
      </c>
      <c r="F62" s="9">
        <v>1.2370000000000001</v>
      </c>
      <c r="I62" s="2">
        <f t="shared" ca="1" si="0"/>
        <v>2.9289999999999998</v>
      </c>
      <c r="J62" s="2">
        <f t="shared" ca="1" si="0"/>
        <v>2.5510000000000002</v>
      </c>
      <c r="K62" s="2">
        <f t="shared" ca="1" si="0"/>
        <v>2.214</v>
      </c>
      <c r="L62" s="2">
        <f t="shared" ca="1" si="0"/>
        <v>1.909</v>
      </c>
      <c r="M62" s="2">
        <f t="shared" ca="1" si="0"/>
        <v>1.637</v>
      </c>
      <c r="N62" s="2">
        <f t="shared" ca="1" si="0"/>
        <v>1.415</v>
      </c>
      <c r="O62" s="2">
        <f t="shared" ca="1" si="0"/>
        <v>1.2629999999999999</v>
      </c>
      <c r="P62" s="2">
        <f t="shared" ca="1" si="0"/>
        <v>1.1739999999999999</v>
      </c>
      <c r="Q62" s="2">
        <f t="shared" ca="1" si="0"/>
        <v>1.1439999999999999</v>
      </c>
      <c r="R62" s="2">
        <f t="shared" ca="1" si="0"/>
        <v>1.177</v>
      </c>
      <c r="S62" s="2">
        <f t="shared" ca="1" si="0"/>
        <v>1.2689999999999999</v>
      </c>
      <c r="T62" s="2">
        <f t="shared" ca="1" si="0"/>
        <v>1.421</v>
      </c>
      <c r="U62" s="2">
        <f t="shared" ca="1" si="0"/>
        <v>1.643</v>
      </c>
      <c r="V62" s="2">
        <f t="shared" ca="1" si="0"/>
        <v>1.9179999999999999</v>
      </c>
      <c r="W62" s="2">
        <f t="shared" ca="1" si="0"/>
        <v>2.2269999999999999</v>
      </c>
      <c r="X62" s="2">
        <f t="shared" ca="1" si="0"/>
        <v>2.5579999999999998</v>
      </c>
      <c r="Y62" s="2">
        <f t="shared" ca="1" si="0"/>
        <v>2.9129999999999998</v>
      </c>
    </row>
    <row r="63" spans="2:25" x14ac:dyDescent="0.3">
      <c r="B63" s="6">
        <v>60</v>
      </c>
      <c r="C63" s="9">
        <v>1.3320000000000001</v>
      </c>
      <c r="D63" s="9">
        <v>1.286</v>
      </c>
      <c r="E63" s="9">
        <v>1.2849999999999999</v>
      </c>
      <c r="F63" s="9">
        <v>1.2609999999999999</v>
      </c>
      <c r="I63" s="2">
        <f t="shared" ca="1" si="0"/>
        <v>2.8410000000000002</v>
      </c>
      <c r="J63" s="2">
        <f t="shared" ca="1" si="0"/>
        <v>2.4630000000000001</v>
      </c>
      <c r="K63" s="2">
        <f t="shared" ca="1" si="0"/>
        <v>2.1150000000000002</v>
      </c>
      <c r="L63" s="2">
        <f t="shared" ca="1" si="0"/>
        <v>1.8049999999999999</v>
      </c>
      <c r="M63" s="2">
        <f t="shared" ca="1" si="0"/>
        <v>1.53</v>
      </c>
      <c r="N63" s="2">
        <f t="shared" ca="1" si="0"/>
        <v>1.3169999999999999</v>
      </c>
      <c r="O63" s="2">
        <f t="shared" ca="1" si="0"/>
        <v>1.17</v>
      </c>
      <c r="P63" s="2">
        <f t="shared" ca="1" si="0"/>
        <v>1.0760000000000001</v>
      </c>
      <c r="Q63" s="2">
        <f t="shared" ca="1" si="0"/>
        <v>1.042</v>
      </c>
      <c r="R63" s="2">
        <f t="shared" ca="1" si="0"/>
        <v>1.0780000000000001</v>
      </c>
      <c r="S63" s="2">
        <f t="shared" ca="1" si="0"/>
        <v>1.173</v>
      </c>
      <c r="T63" s="2">
        <f t="shared" ca="1" si="0"/>
        <v>1.3169999999999999</v>
      </c>
      <c r="U63" s="2">
        <f t="shared" ca="1" si="0"/>
        <v>1.5309999999999999</v>
      </c>
      <c r="V63" s="2">
        <f t="shared" ca="1" si="0"/>
        <v>1.8120000000000001</v>
      </c>
      <c r="W63" s="2">
        <f t="shared" ca="1" si="0"/>
        <v>2.1309999999999998</v>
      </c>
      <c r="X63" s="2">
        <f t="shared" ca="1" si="0"/>
        <v>2.4769999999999999</v>
      </c>
      <c r="Y63" s="2">
        <f t="shared" ca="1" si="0"/>
        <v>2.8330000000000002</v>
      </c>
    </row>
    <row r="64" spans="2:25" x14ac:dyDescent="0.3">
      <c r="B64" s="6">
        <v>61</v>
      </c>
      <c r="C64" s="9">
        <v>1.431</v>
      </c>
      <c r="D64" s="9">
        <v>1.3680000000000001</v>
      </c>
      <c r="E64" s="9">
        <v>1.3680000000000001</v>
      </c>
      <c r="F64" s="9">
        <v>1.337</v>
      </c>
      <c r="I64" s="2">
        <f t="shared" ca="1" si="0"/>
        <v>2.819</v>
      </c>
      <c r="J64" s="2">
        <f t="shared" ca="1" si="0"/>
        <v>2.4359999999999999</v>
      </c>
      <c r="K64" s="2">
        <f t="shared" ca="1" si="0"/>
        <v>2.081</v>
      </c>
      <c r="L64" s="2">
        <f t="shared" ca="1" si="0"/>
        <v>1.764</v>
      </c>
      <c r="M64" s="2">
        <f t="shared" ca="1" si="0"/>
        <v>1.484</v>
      </c>
      <c r="N64" s="2">
        <f t="shared" ca="1" si="0"/>
        <v>1.2729999999999999</v>
      </c>
      <c r="O64" s="2">
        <f t="shared" ca="1" si="0"/>
        <v>1.127</v>
      </c>
      <c r="P64" s="2">
        <f t="shared" ca="1" si="0"/>
        <v>1.0329999999999999</v>
      </c>
      <c r="Q64" s="2">
        <f t="shared" ca="1" si="0"/>
        <v>1.004</v>
      </c>
      <c r="R64" s="2">
        <f t="shared" ca="1" si="0"/>
        <v>1.0369999999999999</v>
      </c>
      <c r="S64" s="2">
        <f t="shared" ca="1" si="0"/>
        <v>1.135</v>
      </c>
      <c r="T64" s="2">
        <f t="shared" ca="1" si="0"/>
        <v>1.28</v>
      </c>
      <c r="U64" s="2">
        <f t="shared" ca="1" si="0"/>
        <v>1.492</v>
      </c>
      <c r="V64" s="2">
        <f t="shared" ca="1" si="0"/>
        <v>1.7749999999999999</v>
      </c>
      <c r="W64" s="2">
        <f t="shared" ca="1" si="0"/>
        <v>2.0910000000000002</v>
      </c>
      <c r="X64" s="2">
        <f t="shared" ca="1" si="0"/>
        <v>2.4380000000000002</v>
      </c>
      <c r="Y64" s="2">
        <f t="shared" ca="1" si="0"/>
        <v>2.7930000000000001</v>
      </c>
    </row>
    <row r="65" spans="2:25" x14ac:dyDescent="0.3">
      <c r="B65" s="6">
        <v>62</v>
      </c>
      <c r="C65" s="9">
        <v>1.593</v>
      </c>
      <c r="D65" s="9">
        <v>1.5009999999999999</v>
      </c>
      <c r="E65" s="9">
        <v>1.5009999999999999</v>
      </c>
      <c r="F65" s="9">
        <v>1.464</v>
      </c>
      <c r="I65" s="2">
        <f t="shared" ca="1" si="0"/>
        <v>2.847</v>
      </c>
      <c r="J65" s="2">
        <f t="shared" ca="1" si="0"/>
        <v>2.4620000000000002</v>
      </c>
      <c r="K65" s="2">
        <f t="shared" ca="1" si="0"/>
        <v>2.105</v>
      </c>
      <c r="L65" s="2">
        <f t="shared" ca="1" si="0"/>
        <v>1.7889999999999999</v>
      </c>
      <c r="M65" s="2">
        <f t="shared" ca="1" si="0"/>
        <v>1.51</v>
      </c>
      <c r="N65" s="2">
        <f t="shared" ca="1" si="0"/>
        <v>1.298</v>
      </c>
      <c r="O65" s="2">
        <f t="shared" ca="1" si="0"/>
        <v>1.151</v>
      </c>
      <c r="P65" s="2">
        <f t="shared" ca="1" si="0"/>
        <v>1.0580000000000001</v>
      </c>
      <c r="Q65" s="2">
        <f t="shared" ca="1" si="0"/>
        <v>1.0289999999999999</v>
      </c>
      <c r="R65" s="2">
        <f t="shared" ca="1" si="0"/>
        <v>1.0669999999999999</v>
      </c>
      <c r="S65" s="2">
        <f t="shared" ca="1" si="0"/>
        <v>1.1639999999999999</v>
      </c>
      <c r="T65" s="2">
        <f t="shared" ca="1" si="0"/>
        <v>1.31</v>
      </c>
      <c r="U65" s="2">
        <f t="shared" ca="1" si="0"/>
        <v>1.526</v>
      </c>
      <c r="V65" s="2">
        <f t="shared" ca="1" si="0"/>
        <v>1.8049999999999999</v>
      </c>
      <c r="W65" s="2">
        <f t="shared" ca="1" si="0"/>
        <v>2.1179999999999999</v>
      </c>
      <c r="X65" s="2">
        <f t="shared" ca="1" si="0"/>
        <v>2.456</v>
      </c>
      <c r="Y65" s="2">
        <f t="shared" ca="1" si="0"/>
        <v>2.8039999999999998</v>
      </c>
    </row>
    <row r="66" spans="2:25" x14ac:dyDescent="0.3">
      <c r="B66" s="6">
        <v>63</v>
      </c>
      <c r="C66" s="9">
        <v>1.81</v>
      </c>
      <c r="D66" s="9">
        <v>1.679</v>
      </c>
      <c r="E66" s="9">
        <v>1.6779999999999999</v>
      </c>
      <c r="F66" s="9">
        <v>1.641</v>
      </c>
      <c r="I66" s="2">
        <f t="shared" ca="1" si="0"/>
        <v>2.9319999999999999</v>
      </c>
      <c r="J66" s="2">
        <f t="shared" ca="1" si="0"/>
        <v>2.548</v>
      </c>
      <c r="K66" s="2">
        <f t="shared" ca="1" si="0"/>
        <v>2.2029999999999998</v>
      </c>
      <c r="L66" s="2">
        <f t="shared" ca="1" si="0"/>
        <v>1.891</v>
      </c>
      <c r="M66" s="2">
        <f t="shared" ca="1" si="0"/>
        <v>1.615</v>
      </c>
      <c r="N66" s="2">
        <f t="shared" ca="1" si="0"/>
        <v>1.393</v>
      </c>
      <c r="O66" s="2">
        <f t="shared" ca="1" si="0"/>
        <v>1.244</v>
      </c>
      <c r="P66" s="2">
        <f t="shared" ca="1" si="0"/>
        <v>1.153</v>
      </c>
      <c r="Q66" s="2">
        <f t="shared" ca="1" si="0"/>
        <v>1.1220000000000001</v>
      </c>
      <c r="R66" s="2">
        <f t="shared" ca="1" si="0"/>
        <v>1.1559999999999999</v>
      </c>
      <c r="S66" s="2">
        <f t="shared" ca="1" si="0"/>
        <v>1.25</v>
      </c>
      <c r="T66" s="2">
        <f t="shared" ca="1" si="0"/>
        <v>1.4019999999999999</v>
      </c>
      <c r="U66" s="2">
        <f t="shared" ca="1" si="0"/>
        <v>1.627</v>
      </c>
      <c r="V66" s="2">
        <f t="shared" ca="1" si="0"/>
        <v>1.905</v>
      </c>
      <c r="W66" s="2">
        <f t="shared" ca="1" si="0"/>
        <v>2.214</v>
      </c>
      <c r="X66" s="2">
        <f t="shared" ca="1" si="0"/>
        <v>2.5459999999999998</v>
      </c>
      <c r="Y66" s="2">
        <f t="shared" ca="1" si="0"/>
        <v>2.9009999999999998</v>
      </c>
    </row>
    <row r="67" spans="2:25" x14ac:dyDescent="0.3">
      <c r="B67" s="6">
        <v>64</v>
      </c>
      <c r="C67" s="9">
        <v>2.0710000000000002</v>
      </c>
      <c r="D67" s="9">
        <v>1.891</v>
      </c>
      <c r="E67" s="9">
        <v>1.891</v>
      </c>
      <c r="F67" s="9">
        <v>1.8520000000000001</v>
      </c>
      <c r="I67" s="2">
        <f t="shared" ca="1" si="0"/>
        <v>3.081</v>
      </c>
      <c r="J67" s="2">
        <f t="shared" ca="1" si="0"/>
        <v>2.67</v>
      </c>
      <c r="K67" s="2">
        <f t="shared" ca="1" si="0"/>
        <v>2.3340000000000001</v>
      </c>
      <c r="L67" s="2">
        <f t="shared" ca="1" si="0"/>
        <v>2.0369999999999999</v>
      </c>
      <c r="M67" s="2">
        <f t="shared" ca="1" si="0"/>
        <v>1.774</v>
      </c>
      <c r="N67" s="2">
        <f t="shared" ca="1" si="0"/>
        <v>1.554</v>
      </c>
      <c r="O67" s="2">
        <f t="shared" ca="1" si="0"/>
        <v>1.3919999999999999</v>
      </c>
      <c r="P67" s="2">
        <f t="shared" ca="1" si="0"/>
        <v>1.296</v>
      </c>
      <c r="Q67" s="2">
        <f t="shared" ca="1" si="0"/>
        <v>1.264</v>
      </c>
      <c r="R67" s="2">
        <f t="shared" ca="1" si="0"/>
        <v>1.296</v>
      </c>
      <c r="S67" s="2">
        <f t="shared" ca="1" si="0"/>
        <v>1.389</v>
      </c>
      <c r="T67" s="2">
        <f t="shared" ca="1" si="0"/>
        <v>1.55</v>
      </c>
      <c r="U67" s="2">
        <f t="shared" ca="1" si="0"/>
        <v>1.772</v>
      </c>
      <c r="V67" s="2">
        <f t="shared" ca="1" si="0"/>
        <v>2.0419999999999998</v>
      </c>
      <c r="W67" s="2">
        <f t="shared" ca="1" si="0"/>
        <v>2.3460000000000001</v>
      </c>
      <c r="X67" s="2">
        <f t="shared" ca="1" si="0"/>
        <v>2.6779999999999999</v>
      </c>
      <c r="Y67" s="2">
        <f t="shared" ca="1" si="0"/>
        <v>3.0760000000000001</v>
      </c>
    </row>
    <row r="68" spans="2:25" x14ac:dyDescent="0.3">
      <c r="B68" s="6">
        <v>65</v>
      </c>
      <c r="C68" s="9">
        <v>2.3650000000000002</v>
      </c>
      <c r="D68" s="9">
        <v>2.1349999999999998</v>
      </c>
      <c r="E68" s="9">
        <v>2.1339999999999999</v>
      </c>
      <c r="F68" s="9">
        <v>2.0910000000000002</v>
      </c>
      <c r="I68" s="2">
        <f t="shared" ca="1" si="0"/>
        <v>3.3540000000000001</v>
      </c>
      <c r="J68" s="2">
        <f t="shared" ca="1" si="0"/>
        <v>2.8660000000000001</v>
      </c>
      <c r="K68" s="2">
        <f t="shared" ca="1" si="0"/>
        <v>2.5129999999999999</v>
      </c>
      <c r="L68" s="2">
        <f t="shared" ca="1" si="0"/>
        <v>2.2290000000000001</v>
      </c>
      <c r="M68" s="2">
        <f t="shared" ca="1" si="0"/>
        <v>1.978</v>
      </c>
      <c r="N68" s="2">
        <f t="shared" ca="1" si="0"/>
        <v>1.7709999999999999</v>
      </c>
      <c r="O68" s="2">
        <f t="shared" ca="1" si="0"/>
        <v>1.611</v>
      </c>
      <c r="P68" s="2">
        <f t="shared" ca="1" si="0"/>
        <v>1.512</v>
      </c>
      <c r="Q68" s="2">
        <f t="shared" ca="1" si="0"/>
        <v>1.478</v>
      </c>
      <c r="R68" s="2">
        <f t="shared" ca="1" si="0"/>
        <v>1.5089999999999999</v>
      </c>
      <c r="S68" s="2">
        <f t="shared" ca="1" si="0"/>
        <v>1.61</v>
      </c>
      <c r="T68" s="2">
        <f t="shared" ca="1" si="0"/>
        <v>1.7689999999999999</v>
      </c>
      <c r="U68" s="2">
        <f t="shared" ca="1" si="0"/>
        <v>1.9750000000000001</v>
      </c>
      <c r="V68" s="2">
        <f t="shared" ca="1" si="0"/>
        <v>2.2330000000000001</v>
      </c>
      <c r="W68" s="2">
        <f t="shared" ca="1" si="0"/>
        <v>2.5169999999999999</v>
      </c>
      <c r="X68" s="2">
        <f t="shared" ca="1" si="0"/>
        <v>2.8679999999999999</v>
      </c>
      <c r="Y68" s="2">
        <f t="shared" ca="1" si="0"/>
        <v>3.331</v>
      </c>
    </row>
    <row r="69" spans="2:25" x14ac:dyDescent="0.3">
      <c r="B69" s="6">
        <v>66</v>
      </c>
      <c r="C69" s="9">
        <v>2.6869999999999998</v>
      </c>
      <c r="D69" s="9">
        <v>2.4169999999999998</v>
      </c>
      <c r="E69" s="9">
        <v>2.415</v>
      </c>
      <c r="F69" s="9">
        <v>2.3610000000000002</v>
      </c>
      <c r="I69" s="2">
        <f t="shared" ca="1" si="0"/>
        <v>3.6589999999999998</v>
      </c>
      <c r="J69" s="2">
        <f t="shared" ca="1" si="0"/>
        <v>3.16</v>
      </c>
      <c r="K69" s="2">
        <f t="shared" ca="1" si="0"/>
        <v>2.7480000000000002</v>
      </c>
      <c r="L69" s="2">
        <f t="shared" ca="1" si="0"/>
        <v>2.4700000000000002</v>
      </c>
      <c r="M69" s="2">
        <f t="shared" ca="1" si="0"/>
        <v>2.2290000000000001</v>
      </c>
      <c r="N69" s="2">
        <f t="shared" ca="1" si="0"/>
        <v>2.0289999999999999</v>
      </c>
      <c r="O69" s="2">
        <f t="shared" ca="1" si="0"/>
        <v>1.881</v>
      </c>
      <c r="P69" s="2">
        <f t="shared" ca="1" si="0"/>
        <v>1.79</v>
      </c>
      <c r="Q69" s="2">
        <f t="shared" ca="1" si="0"/>
        <v>1.7629999999999999</v>
      </c>
      <c r="R69" s="2">
        <f t="shared" ca="1" si="0"/>
        <v>1.796</v>
      </c>
      <c r="S69" s="2">
        <f t="shared" ca="1" si="0"/>
        <v>1.893</v>
      </c>
      <c r="T69" s="2">
        <f t="shared" ca="1" si="0"/>
        <v>2.0409999999999999</v>
      </c>
      <c r="U69" s="2">
        <f t="shared" ca="1" si="0"/>
        <v>2.2370000000000001</v>
      </c>
      <c r="V69" s="2">
        <f t="shared" ca="1" si="0"/>
        <v>2.4710000000000001</v>
      </c>
      <c r="W69" s="2">
        <f t="shared" ca="1" si="0"/>
        <v>2.746</v>
      </c>
      <c r="X69" s="2">
        <f t="shared" ca="1" si="0"/>
        <v>3.1429999999999998</v>
      </c>
      <c r="Y69" s="2">
        <f t="shared" ca="1" si="0"/>
        <v>3.5920000000000001</v>
      </c>
    </row>
    <row r="70" spans="2:25" x14ac:dyDescent="0.3">
      <c r="B70" s="6">
        <v>67</v>
      </c>
      <c r="C70" s="9">
        <v>3.0760000000000001</v>
      </c>
      <c r="D70" s="9">
        <v>2.7789999999999999</v>
      </c>
      <c r="E70" s="9">
        <v>2.7770000000000001</v>
      </c>
      <c r="F70" s="9">
        <v>2.6989999999999998</v>
      </c>
      <c r="I70" s="3">
        <f t="shared" ca="1" si="0"/>
        <v>3.903</v>
      </c>
      <c r="J70" s="2">
        <f t="shared" ca="1" si="0"/>
        <v>3.5129999999999999</v>
      </c>
      <c r="K70" s="2">
        <f t="shared" ca="1" si="0"/>
        <v>3.08</v>
      </c>
      <c r="L70" s="2">
        <f t="shared" ca="1" si="0"/>
        <v>2.75</v>
      </c>
      <c r="M70" s="2">
        <f t="shared" ca="1" si="0"/>
        <v>2.5270000000000001</v>
      </c>
      <c r="N70" s="2">
        <f t="shared" ca="1" si="0"/>
        <v>2.3330000000000002</v>
      </c>
      <c r="O70" s="2">
        <f t="shared" ca="1" si="0"/>
        <v>2.1869999999999998</v>
      </c>
      <c r="P70" s="2">
        <f t="shared" ca="1" si="0"/>
        <v>2.1030000000000002</v>
      </c>
      <c r="Q70" s="2">
        <f t="shared" ca="1" si="0"/>
        <v>2.081</v>
      </c>
      <c r="R70" s="2">
        <f t="shared" ca="1" si="0"/>
        <v>2.1139999999999999</v>
      </c>
      <c r="S70" s="2">
        <f t="shared" ca="1" si="0"/>
        <v>2.2149999999999999</v>
      </c>
      <c r="T70" s="2">
        <f t="shared" ca="1" si="0"/>
        <v>2.3610000000000002</v>
      </c>
      <c r="U70" s="2">
        <f t="shared" ca="1" si="0"/>
        <v>2.5409999999999999</v>
      </c>
      <c r="V70" s="2">
        <f t="shared" ca="1" si="0"/>
        <v>2.7589999999999999</v>
      </c>
      <c r="W70" s="2">
        <f t="shared" ca="1" si="0"/>
        <v>3.0720000000000001</v>
      </c>
      <c r="X70" s="2">
        <f t="shared" ca="1" si="0"/>
        <v>3.456</v>
      </c>
      <c r="Y70" s="3">
        <f t="shared" ca="1" si="0"/>
        <v>3.7850000000000001</v>
      </c>
    </row>
    <row r="71" spans="2:25" x14ac:dyDescent="0.3">
      <c r="B71" s="6">
        <v>68</v>
      </c>
      <c r="C71" s="9">
        <v>2.9289999999999998</v>
      </c>
      <c r="D71" s="9">
        <v>2.601</v>
      </c>
      <c r="E71" s="9">
        <v>2.6030000000000002</v>
      </c>
      <c r="F71" s="9">
        <v>2.528</v>
      </c>
    </row>
    <row r="72" spans="2:25" x14ac:dyDescent="0.3">
      <c r="B72" s="6">
        <v>69</v>
      </c>
      <c r="C72" s="9">
        <v>2.5510000000000002</v>
      </c>
      <c r="D72" s="9">
        <v>2.2719999999999998</v>
      </c>
      <c r="E72" s="9">
        <v>2.274</v>
      </c>
      <c r="F72" s="9">
        <v>2.214</v>
      </c>
      <c r="H72" t="s">
        <v>1</v>
      </c>
      <c r="I72" s="10">
        <f t="shared" ref="I72:Y84" ca="1" si="1">INDIRECT("D"&amp;(17*ROW(1:1)+ROW($D$3)-19+IF(COLUMN(C:C)&gt;19,50000,COLUMN(C:C)-1)))</f>
        <v>3.4580000000000002</v>
      </c>
      <c r="J72" s="2">
        <f t="shared" ca="1" si="1"/>
        <v>3.1019999999999999</v>
      </c>
      <c r="K72" s="2">
        <f t="shared" ca="1" si="1"/>
        <v>2.7349999999999999</v>
      </c>
      <c r="L72" s="2">
        <f t="shared" ca="1" si="1"/>
        <v>2.4460000000000002</v>
      </c>
      <c r="M72" s="2">
        <f t="shared" ca="1" si="1"/>
        <v>2.2559999999999998</v>
      </c>
      <c r="N72" s="2">
        <f t="shared" ca="1" si="1"/>
        <v>2.1</v>
      </c>
      <c r="O72" s="2">
        <f t="shared" ca="1" si="1"/>
        <v>1.982</v>
      </c>
      <c r="P72" s="2">
        <f t="shared" ca="1" si="1"/>
        <v>1.9119999999999999</v>
      </c>
      <c r="Q72" s="2">
        <f t="shared" ca="1" si="1"/>
        <v>1.89</v>
      </c>
      <c r="R72" s="2">
        <f t="shared" ca="1" si="1"/>
        <v>1.913</v>
      </c>
      <c r="S72" s="2">
        <f t="shared" ca="1" si="1"/>
        <v>1.9870000000000001</v>
      </c>
      <c r="T72" s="2">
        <f t="shared" ca="1" si="1"/>
        <v>2.1070000000000002</v>
      </c>
      <c r="U72" s="2">
        <f t="shared" ca="1" si="1"/>
        <v>2.2629999999999999</v>
      </c>
      <c r="V72" s="2">
        <f t="shared" ca="1" si="1"/>
        <v>2.46</v>
      </c>
      <c r="W72" s="2">
        <f t="shared" ca="1" si="1"/>
        <v>2.7669999999999999</v>
      </c>
      <c r="X72" s="2">
        <f t="shared" ca="1" si="1"/>
        <v>3.1309999999999998</v>
      </c>
      <c r="Y72" s="10">
        <f t="shared" ca="1" si="1"/>
        <v>3.4689999999999999</v>
      </c>
    </row>
    <row r="73" spans="2:25" x14ac:dyDescent="0.3">
      <c r="B73" s="6">
        <v>70</v>
      </c>
      <c r="C73" s="9">
        <v>2.214</v>
      </c>
      <c r="D73" s="9">
        <v>1.992</v>
      </c>
      <c r="E73" s="9">
        <v>1.994</v>
      </c>
      <c r="F73" s="9">
        <v>1.944</v>
      </c>
      <c r="I73" s="2">
        <f t="shared" ca="1" si="1"/>
        <v>3.27</v>
      </c>
      <c r="J73" s="2">
        <f t="shared" ca="1" si="1"/>
        <v>2.8250000000000002</v>
      </c>
      <c r="K73" s="2">
        <f t="shared" ca="1" si="1"/>
        <v>2.4620000000000002</v>
      </c>
      <c r="L73" s="2">
        <f t="shared" ca="1" si="1"/>
        <v>2.2229999999999999</v>
      </c>
      <c r="M73" s="2">
        <f t="shared" ca="1" si="1"/>
        <v>2.0310000000000001</v>
      </c>
      <c r="N73" s="2">
        <f t="shared" ca="1" si="1"/>
        <v>1.875</v>
      </c>
      <c r="O73" s="2">
        <f t="shared" ca="1" si="1"/>
        <v>1.758</v>
      </c>
      <c r="P73" s="2">
        <f t="shared" ca="1" si="1"/>
        <v>1.6870000000000001</v>
      </c>
      <c r="Q73" s="2">
        <f t="shared" ca="1" si="1"/>
        <v>1.663</v>
      </c>
      <c r="R73" s="2">
        <f t="shared" ca="1" si="1"/>
        <v>1.6870000000000001</v>
      </c>
      <c r="S73" s="2">
        <f t="shared" ca="1" si="1"/>
        <v>1.7629999999999999</v>
      </c>
      <c r="T73" s="2">
        <f t="shared" ca="1" si="1"/>
        <v>1.8839999999999999</v>
      </c>
      <c r="U73" s="2">
        <f t="shared" ca="1" si="1"/>
        <v>2.0470000000000002</v>
      </c>
      <c r="V73" s="2">
        <f t="shared" ca="1" si="1"/>
        <v>2.2440000000000002</v>
      </c>
      <c r="W73" s="2">
        <f t="shared" ca="1" si="1"/>
        <v>2.4950000000000001</v>
      </c>
      <c r="X73" s="2">
        <f t="shared" ca="1" si="1"/>
        <v>2.859</v>
      </c>
      <c r="Y73" s="2">
        <f t="shared" ca="1" si="1"/>
        <v>3.2749999999999999</v>
      </c>
    </row>
    <row r="74" spans="2:25" x14ac:dyDescent="0.3">
      <c r="B74" s="6">
        <v>71</v>
      </c>
      <c r="C74" s="9">
        <v>1.909</v>
      </c>
      <c r="D74" s="9">
        <v>1.746</v>
      </c>
      <c r="E74" s="9">
        <v>1.748</v>
      </c>
      <c r="F74" s="9">
        <v>1.7030000000000001</v>
      </c>
      <c r="I74" s="2">
        <f t="shared" ca="1" si="1"/>
        <v>3.0150000000000001</v>
      </c>
      <c r="J74" s="2">
        <f t="shared" ca="1" si="1"/>
        <v>2.569</v>
      </c>
      <c r="K74" s="2">
        <f t="shared" ca="1" si="1"/>
        <v>2.2570000000000001</v>
      </c>
      <c r="L74" s="2">
        <f t="shared" ca="1" si="1"/>
        <v>2.024</v>
      </c>
      <c r="M74" s="2">
        <f t="shared" ca="1" si="1"/>
        <v>1.8220000000000001</v>
      </c>
      <c r="N74" s="2">
        <f t="shared" ca="1" si="1"/>
        <v>1.659</v>
      </c>
      <c r="O74" s="2">
        <f t="shared" ca="1" si="1"/>
        <v>1.534</v>
      </c>
      <c r="P74" s="2">
        <f t="shared" ca="1" si="1"/>
        <v>1.46</v>
      </c>
      <c r="Q74" s="2">
        <f t="shared" ca="1" si="1"/>
        <v>1.4379999999999999</v>
      </c>
      <c r="R74" s="2">
        <f t="shared" ca="1" si="1"/>
        <v>1.4670000000000001</v>
      </c>
      <c r="S74" s="2">
        <f t="shared" ca="1" si="1"/>
        <v>1.55</v>
      </c>
      <c r="T74" s="2">
        <f t="shared" ca="1" si="1"/>
        <v>1.677</v>
      </c>
      <c r="U74" s="2">
        <f t="shared" ca="1" si="1"/>
        <v>1.8440000000000001</v>
      </c>
      <c r="V74" s="2">
        <f t="shared" ca="1" si="1"/>
        <v>2.0499999999999998</v>
      </c>
      <c r="W74" s="2">
        <f t="shared" ca="1" si="1"/>
        <v>2.286</v>
      </c>
      <c r="X74" s="2">
        <f t="shared" ca="1" si="1"/>
        <v>2.5950000000000002</v>
      </c>
      <c r="Y74" s="2">
        <f t="shared" ca="1" si="1"/>
        <v>3.0230000000000001</v>
      </c>
    </row>
    <row r="75" spans="2:25" x14ac:dyDescent="0.3">
      <c r="B75" s="6">
        <v>72</v>
      </c>
      <c r="C75" s="9">
        <v>1.637</v>
      </c>
      <c r="D75" s="9">
        <v>1.526</v>
      </c>
      <c r="E75" s="9">
        <v>1.528</v>
      </c>
      <c r="F75" s="9">
        <v>1.4870000000000001</v>
      </c>
      <c r="I75" s="2">
        <f t="shared" ca="1" si="1"/>
        <v>2.7749999999999999</v>
      </c>
      <c r="J75" s="2">
        <f t="shared" ca="1" si="1"/>
        <v>2.399</v>
      </c>
      <c r="K75" s="2">
        <f t="shared" ca="1" si="1"/>
        <v>2.11</v>
      </c>
      <c r="L75" s="2">
        <f t="shared" ca="1" si="1"/>
        <v>1.865</v>
      </c>
      <c r="M75" s="2">
        <f t="shared" ca="1" si="1"/>
        <v>1.655</v>
      </c>
      <c r="N75" s="2">
        <f t="shared" ca="1" si="1"/>
        <v>1.478</v>
      </c>
      <c r="O75" s="2">
        <f t="shared" ca="1" si="1"/>
        <v>1.349</v>
      </c>
      <c r="P75" s="2">
        <f t="shared" ca="1" si="1"/>
        <v>1.2769999999999999</v>
      </c>
      <c r="Q75" s="2">
        <f t="shared" ca="1" si="1"/>
        <v>1.258</v>
      </c>
      <c r="R75" s="2">
        <f t="shared" ca="1" si="1"/>
        <v>1.286</v>
      </c>
      <c r="S75" s="2">
        <f t="shared" ca="1" si="1"/>
        <v>1.3680000000000001</v>
      </c>
      <c r="T75" s="2">
        <f t="shared" ca="1" si="1"/>
        <v>1.5009999999999999</v>
      </c>
      <c r="U75" s="2">
        <f t="shared" ca="1" si="1"/>
        <v>1.679</v>
      </c>
      <c r="V75" s="2">
        <f t="shared" ca="1" si="1"/>
        <v>1.891</v>
      </c>
      <c r="W75" s="2">
        <f t="shared" ca="1" si="1"/>
        <v>2.1349999999999998</v>
      </c>
      <c r="X75" s="2">
        <f t="shared" ca="1" si="1"/>
        <v>2.4169999999999998</v>
      </c>
      <c r="Y75" s="2">
        <f t="shared" ca="1" si="1"/>
        <v>2.7789999999999999</v>
      </c>
    </row>
    <row r="76" spans="2:25" x14ac:dyDescent="0.3">
      <c r="B76" s="6">
        <v>73</v>
      </c>
      <c r="C76" s="9">
        <v>1.415</v>
      </c>
      <c r="D76" s="9">
        <v>1.345</v>
      </c>
      <c r="E76" s="9">
        <v>1.3460000000000001</v>
      </c>
      <c r="F76" s="9">
        <v>1.3109999999999999</v>
      </c>
      <c r="I76" s="2">
        <f t="shared" ca="1" si="1"/>
        <v>2.601</v>
      </c>
      <c r="J76" s="2">
        <f t="shared" ca="1" si="1"/>
        <v>2.2719999999999998</v>
      </c>
      <c r="K76" s="2">
        <f t="shared" ca="1" si="1"/>
        <v>1.992</v>
      </c>
      <c r="L76" s="2">
        <f t="shared" ca="1" si="1"/>
        <v>1.746</v>
      </c>
      <c r="M76" s="2">
        <f t="shared" ca="1" si="1"/>
        <v>1.526</v>
      </c>
      <c r="N76" s="2">
        <f t="shared" ca="1" si="1"/>
        <v>1.345</v>
      </c>
      <c r="O76" s="2">
        <f t="shared" ca="1" si="1"/>
        <v>1.22</v>
      </c>
      <c r="P76" s="2">
        <f t="shared" ca="1" si="1"/>
        <v>1.149</v>
      </c>
      <c r="Q76" s="2">
        <f t="shared" ca="1" si="1"/>
        <v>1.1279999999999999</v>
      </c>
      <c r="R76" s="2">
        <f t="shared" ca="1" si="1"/>
        <v>1.155</v>
      </c>
      <c r="S76" s="2">
        <f t="shared" ca="1" si="1"/>
        <v>1.2310000000000001</v>
      </c>
      <c r="T76" s="2">
        <f t="shared" ca="1" si="1"/>
        <v>1.3580000000000001</v>
      </c>
      <c r="U76" s="2">
        <f t="shared" ca="1" si="1"/>
        <v>1.5429999999999999</v>
      </c>
      <c r="V76" s="2">
        <f t="shared" ca="1" si="1"/>
        <v>1.766</v>
      </c>
      <c r="W76" s="2">
        <f t="shared" ca="1" si="1"/>
        <v>2.02</v>
      </c>
      <c r="X76" s="2">
        <f t="shared" ca="1" si="1"/>
        <v>2.3029999999999999</v>
      </c>
      <c r="Y76" s="2">
        <f t="shared" ca="1" si="1"/>
        <v>2.6259999999999999</v>
      </c>
    </row>
    <row r="77" spans="2:25" x14ac:dyDescent="0.3">
      <c r="B77" s="6">
        <v>74</v>
      </c>
      <c r="C77" s="9">
        <v>1.2629999999999999</v>
      </c>
      <c r="D77" s="9">
        <v>1.22</v>
      </c>
      <c r="E77" s="9">
        <v>1.222</v>
      </c>
      <c r="F77" s="9">
        <v>1.1930000000000001</v>
      </c>
      <c r="I77" s="2">
        <f t="shared" ca="1" si="1"/>
        <v>2.5209999999999999</v>
      </c>
      <c r="J77" s="2">
        <f t="shared" ca="1" si="1"/>
        <v>2.1970000000000001</v>
      </c>
      <c r="K77" s="2">
        <f t="shared" ca="1" si="1"/>
        <v>1.911</v>
      </c>
      <c r="L77" s="2">
        <f t="shared" ca="1" si="1"/>
        <v>1.6619999999999999</v>
      </c>
      <c r="M77" s="2">
        <f t="shared" ca="1" si="1"/>
        <v>1.44</v>
      </c>
      <c r="N77" s="2">
        <f t="shared" ca="1" si="1"/>
        <v>1.266</v>
      </c>
      <c r="O77" s="2">
        <f t="shared" ca="1" si="1"/>
        <v>1.1439999999999999</v>
      </c>
      <c r="P77" s="2">
        <f t="shared" ca="1" si="1"/>
        <v>1.0640000000000001</v>
      </c>
      <c r="Q77" s="2">
        <f t="shared" ca="1" si="1"/>
        <v>1.036</v>
      </c>
      <c r="R77" s="2">
        <f t="shared" ca="1" si="1"/>
        <v>1.0680000000000001</v>
      </c>
      <c r="S77" s="2">
        <f t="shared" ca="1" si="1"/>
        <v>1.151</v>
      </c>
      <c r="T77" s="2">
        <f t="shared" ca="1" si="1"/>
        <v>1.274</v>
      </c>
      <c r="U77" s="2">
        <f t="shared" ca="1" si="1"/>
        <v>1.4510000000000001</v>
      </c>
      <c r="V77" s="2">
        <f t="shared" ca="1" si="1"/>
        <v>1.68</v>
      </c>
      <c r="W77" s="2">
        <f t="shared" ca="1" si="1"/>
        <v>1.9390000000000001</v>
      </c>
      <c r="X77" s="2">
        <f t="shared" ca="1" si="1"/>
        <v>2.2309999999999999</v>
      </c>
      <c r="Y77" s="2">
        <f t="shared" ca="1" si="1"/>
        <v>2.5510000000000002</v>
      </c>
    </row>
    <row r="78" spans="2:25" x14ac:dyDescent="0.3">
      <c r="B78" s="6">
        <v>75</v>
      </c>
      <c r="C78" s="9">
        <v>1.1739999999999999</v>
      </c>
      <c r="D78" s="9">
        <v>1.149</v>
      </c>
      <c r="E78" s="9">
        <v>1.149</v>
      </c>
      <c r="F78" s="9">
        <v>1.131</v>
      </c>
      <c r="I78" s="2">
        <f t="shared" ca="1" si="1"/>
        <v>2.5</v>
      </c>
      <c r="J78" s="2">
        <f t="shared" ca="1" si="1"/>
        <v>2.1739999999999999</v>
      </c>
      <c r="K78" s="2">
        <f t="shared" ca="1" si="1"/>
        <v>1.8839999999999999</v>
      </c>
      <c r="L78" s="2">
        <f t="shared" ca="1" si="1"/>
        <v>1.629</v>
      </c>
      <c r="M78" s="2">
        <f t="shared" ca="1" si="1"/>
        <v>1.403</v>
      </c>
      <c r="N78" s="2">
        <f t="shared" ca="1" si="1"/>
        <v>1.23</v>
      </c>
      <c r="O78" s="2">
        <f t="shared" ca="1" si="1"/>
        <v>1.1080000000000001</v>
      </c>
      <c r="P78" s="2">
        <f t="shared" ca="1" si="1"/>
        <v>1.0269999999999999</v>
      </c>
      <c r="Q78" s="2">
        <f t="shared" ca="1" si="1"/>
        <v>1.004</v>
      </c>
      <c r="R78" s="2">
        <f t="shared" ca="1" si="1"/>
        <v>1.0329999999999999</v>
      </c>
      <c r="S78" s="2">
        <f t="shared" ca="1" si="1"/>
        <v>1.1200000000000001</v>
      </c>
      <c r="T78" s="2">
        <f t="shared" ca="1" si="1"/>
        <v>1.244</v>
      </c>
      <c r="U78" s="2">
        <f t="shared" ca="1" si="1"/>
        <v>1.42</v>
      </c>
      <c r="V78" s="2">
        <f t="shared" ca="1" si="1"/>
        <v>1.65</v>
      </c>
      <c r="W78" s="2">
        <f t="shared" ca="1" si="1"/>
        <v>1.907</v>
      </c>
      <c r="X78" s="2">
        <f t="shared" ca="1" si="1"/>
        <v>2.1989999999999998</v>
      </c>
      <c r="Y78" s="2">
        <f t="shared" ca="1" si="1"/>
        <v>2.5139999999999998</v>
      </c>
    </row>
    <row r="79" spans="2:25" x14ac:dyDescent="0.3">
      <c r="B79" s="6">
        <v>76</v>
      </c>
      <c r="C79" s="9">
        <v>1.1439999999999999</v>
      </c>
      <c r="D79" s="9">
        <v>1.1279999999999999</v>
      </c>
      <c r="E79" s="9">
        <v>1.1279999999999999</v>
      </c>
      <c r="F79" s="9">
        <v>1.113</v>
      </c>
      <c r="I79" s="2">
        <f t="shared" ca="1" si="1"/>
        <v>2.5310000000000001</v>
      </c>
      <c r="J79" s="2">
        <f t="shared" ca="1" si="1"/>
        <v>2.1989999999999998</v>
      </c>
      <c r="K79" s="2">
        <f t="shared" ca="1" si="1"/>
        <v>1.9059999999999999</v>
      </c>
      <c r="L79" s="2">
        <f t="shared" ca="1" si="1"/>
        <v>1.651</v>
      </c>
      <c r="M79" s="2">
        <f t="shared" ca="1" si="1"/>
        <v>1.425</v>
      </c>
      <c r="N79" s="2">
        <f t="shared" ca="1" si="1"/>
        <v>1.25</v>
      </c>
      <c r="O79" s="2">
        <f t="shared" ca="1" si="1"/>
        <v>1.127</v>
      </c>
      <c r="P79" s="2">
        <f t="shared" ca="1" si="1"/>
        <v>1.0469999999999999</v>
      </c>
      <c r="Q79" s="2">
        <f t="shared" ca="1" si="1"/>
        <v>1.024</v>
      </c>
      <c r="R79" s="2">
        <f t="shared" ca="1" si="1"/>
        <v>1.0569999999999999</v>
      </c>
      <c r="S79" s="2">
        <f t="shared" ca="1" si="1"/>
        <v>1.1439999999999999</v>
      </c>
      <c r="T79" s="2">
        <f t="shared" ca="1" si="1"/>
        <v>1.27</v>
      </c>
      <c r="U79" s="2">
        <f t="shared" ca="1" si="1"/>
        <v>1.4490000000000001</v>
      </c>
      <c r="V79" s="2">
        <f t="shared" ca="1" si="1"/>
        <v>1.677</v>
      </c>
      <c r="W79" s="2">
        <f t="shared" ca="1" si="1"/>
        <v>1.9319999999999999</v>
      </c>
      <c r="X79" s="2">
        <f t="shared" ca="1" si="1"/>
        <v>2.218</v>
      </c>
      <c r="Y79" s="2">
        <f t="shared" ca="1" si="1"/>
        <v>2.5299999999999998</v>
      </c>
    </row>
    <row r="80" spans="2:25" x14ac:dyDescent="0.3">
      <c r="B80" s="6">
        <v>77</v>
      </c>
      <c r="C80" s="9">
        <v>1.177</v>
      </c>
      <c r="D80" s="9">
        <v>1.155</v>
      </c>
      <c r="E80" s="9">
        <v>1.155</v>
      </c>
      <c r="F80" s="9">
        <v>1.1359999999999999</v>
      </c>
      <c r="I80" s="2">
        <f t="shared" ca="1" si="1"/>
        <v>2.609</v>
      </c>
      <c r="J80" s="2">
        <f t="shared" ca="1" si="1"/>
        <v>2.278</v>
      </c>
      <c r="K80" s="2">
        <f t="shared" ca="1" si="1"/>
        <v>1.99</v>
      </c>
      <c r="L80" s="2">
        <f t="shared" ca="1" si="1"/>
        <v>1.7350000000000001</v>
      </c>
      <c r="M80" s="2">
        <f t="shared" ca="1" si="1"/>
        <v>1.512</v>
      </c>
      <c r="N80" s="2">
        <f t="shared" ca="1" si="1"/>
        <v>1.329</v>
      </c>
      <c r="O80" s="2">
        <f t="shared" ca="1" si="1"/>
        <v>1.2050000000000001</v>
      </c>
      <c r="P80" s="2">
        <f t="shared" ca="1" si="1"/>
        <v>1.1299999999999999</v>
      </c>
      <c r="Q80" s="2">
        <f t="shared" ca="1" si="1"/>
        <v>1.107</v>
      </c>
      <c r="R80" s="2">
        <f t="shared" ca="1" si="1"/>
        <v>1.1359999999999999</v>
      </c>
      <c r="S80" s="2">
        <f t="shared" ca="1" si="1"/>
        <v>1.2150000000000001</v>
      </c>
      <c r="T80" s="2">
        <f t="shared" ca="1" si="1"/>
        <v>1.3440000000000001</v>
      </c>
      <c r="U80" s="2">
        <f t="shared" ca="1" si="1"/>
        <v>1.5329999999999999</v>
      </c>
      <c r="V80" s="2">
        <f t="shared" ca="1" si="1"/>
        <v>1.7589999999999999</v>
      </c>
      <c r="W80" s="2">
        <f t="shared" ca="1" si="1"/>
        <v>2.0129999999999999</v>
      </c>
      <c r="X80" s="2">
        <f t="shared" ca="1" si="1"/>
        <v>2.2989999999999999</v>
      </c>
      <c r="Y80" s="2">
        <f t="shared" ca="1" si="1"/>
        <v>2.6240000000000001</v>
      </c>
    </row>
    <row r="81" spans="2:25" x14ac:dyDescent="0.3">
      <c r="B81" s="6">
        <v>78</v>
      </c>
      <c r="C81" s="9">
        <v>1.2689999999999999</v>
      </c>
      <c r="D81" s="9">
        <v>1.2310000000000001</v>
      </c>
      <c r="E81" s="9">
        <v>1.2310000000000001</v>
      </c>
      <c r="F81" s="9">
        <v>1.206</v>
      </c>
      <c r="I81" s="2">
        <f t="shared" ca="1" si="1"/>
        <v>2.7519999999999998</v>
      </c>
      <c r="J81" s="2">
        <f t="shared" ca="1" si="1"/>
        <v>2.387</v>
      </c>
      <c r="K81" s="2">
        <f t="shared" ca="1" si="1"/>
        <v>2.1019999999999999</v>
      </c>
      <c r="L81" s="2">
        <f t="shared" ca="1" si="1"/>
        <v>1.857</v>
      </c>
      <c r="M81" s="2">
        <f t="shared" ca="1" si="1"/>
        <v>1.6439999999999999</v>
      </c>
      <c r="N81" s="2">
        <f t="shared" ca="1" si="1"/>
        <v>1.464</v>
      </c>
      <c r="O81" s="2">
        <f t="shared" ca="1" si="1"/>
        <v>1.331</v>
      </c>
      <c r="P81" s="2">
        <f t="shared" ca="1" si="1"/>
        <v>1.2549999999999999</v>
      </c>
      <c r="Q81" s="2">
        <f t="shared" ca="1" si="1"/>
        <v>1.23</v>
      </c>
      <c r="R81" s="2">
        <f t="shared" ca="1" si="1"/>
        <v>1.256</v>
      </c>
      <c r="S81" s="2">
        <f t="shared" ca="1" si="1"/>
        <v>1.3340000000000001</v>
      </c>
      <c r="T81" s="2">
        <f t="shared" ca="1" si="1"/>
        <v>1.4670000000000001</v>
      </c>
      <c r="U81" s="2">
        <f t="shared" ca="1" si="1"/>
        <v>1.6519999999999999</v>
      </c>
      <c r="V81" s="2">
        <f t="shared" ca="1" si="1"/>
        <v>1.873</v>
      </c>
      <c r="W81" s="2">
        <f t="shared" ca="1" si="1"/>
        <v>2.1269999999999998</v>
      </c>
      <c r="X81" s="2">
        <f t="shared" ca="1" si="1"/>
        <v>2.4169999999999998</v>
      </c>
      <c r="Y81" s="2">
        <f t="shared" ca="1" si="1"/>
        <v>2.7869999999999999</v>
      </c>
    </row>
    <row r="82" spans="2:25" x14ac:dyDescent="0.3">
      <c r="B82" s="6">
        <v>79</v>
      </c>
      <c r="C82" s="9">
        <v>1.421</v>
      </c>
      <c r="D82" s="9">
        <v>1.3580000000000001</v>
      </c>
      <c r="E82" s="9">
        <v>1.3580000000000001</v>
      </c>
      <c r="F82" s="9">
        <v>1.329</v>
      </c>
      <c r="I82" s="2">
        <f t="shared" ca="1" si="1"/>
        <v>2.9990000000000001</v>
      </c>
      <c r="J82" s="2">
        <f t="shared" ca="1" si="1"/>
        <v>2.5659999999999998</v>
      </c>
      <c r="K82" s="2">
        <f t="shared" ca="1" si="1"/>
        <v>2.2589999999999999</v>
      </c>
      <c r="L82" s="2">
        <f t="shared" ca="1" si="1"/>
        <v>2.0179999999999998</v>
      </c>
      <c r="M82" s="2">
        <f t="shared" ca="1" si="1"/>
        <v>1.8120000000000001</v>
      </c>
      <c r="N82" s="2">
        <f t="shared" ca="1" si="1"/>
        <v>1.645</v>
      </c>
      <c r="O82" s="2">
        <f t="shared" ca="1" si="1"/>
        <v>1.5169999999999999</v>
      </c>
      <c r="P82" s="2">
        <f t="shared" ca="1" si="1"/>
        <v>1.4370000000000001</v>
      </c>
      <c r="Q82" s="2">
        <f t="shared" ca="1" si="1"/>
        <v>1.41</v>
      </c>
      <c r="R82" s="2">
        <f t="shared" ca="1" si="1"/>
        <v>1.4370000000000001</v>
      </c>
      <c r="S82" s="2">
        <f t="shared" ca="1" si="1"/>
        <v>1.52</v>
      </c>
      <c r="T82" s="2">
        <f t="shared" ca="1" si="1"/>
        <v>1.651</v>
      </c>
      <c r="U82" s="2">
        <f t="shared" ca="1" si="1"/>
        <v>1.821</v>
      </c>
      <c r="V82" s="2">
        <f t="shared" ca="1" si="1"/>
        <v>2.0329999999999999</v>
      </c>
      <c r="W82" s="2">
        <f t="shared" ca="1" si="1"/>
        <v>2.278</v>
      </c>
      <c r="X82" s="2">
        <f t="shared" ca="1" si="1"/>
        <v>2.5920000000000001</v>
      </c>
      <c r="Y82" s="2">
        <f t="shared" ca="1" si="1"/>
        <v>3.0259999999999998</v>
      </c>
    </row>
    <row r="83" spans="2:25" x14ac:dyDescent="0.3">
      <c r="B83" s="6">
        <v>80</v>
      </c>
      <c r="C83" s="9">
        <v>1.643</v>
      </c>
      <c r="D83" s="9">
        <v>1.5429999999999999</v>
      </c>
      <c r="E83" s="9">
        <v>1.5429999999999999</v>
      </c>
      <c r="F83" s="9">
        <v>1.512</v>
      </c>
      <c r="I83" s="2">
        <f t="shared" ca="1" si="1"/>
        <v>3.2909999999999999</v>
      </c>
      <c r="J83" s="2">
        <f t="shared" ca="1" si="1"/>
        <v>2.835</v>
      </c>
      <c r="K83" s="2">
        <f t="shared" ca="1" si="1"/>
        <v>2.4710000000000001</v>
      </c>
      <c r="L83" s="2">
        <f t="shared" ca="1" si="1"/>
        <v>2.2269999999999999</v>
      </c>
      <c r="M83" s="2">
        <f t="shared" ca="1" si="1"/>
        <v>2.0249999999999999</v>
      </c>
      <c r="N83" s="2">
        <f t="shared" ca="1" si="1"/>
        <v>1.86</v>
      </c>
      <c r="O83" s="2">
        <f t="shared" ca="1" si="1"/>
        <v>1.7410000000000001</v>
      </c>
      <c r="P83" s="2">
        <f t="shared" ca="1" si="1"/>
        <v>1.6679999999999999</v>
      </c>
      <c r="Q83" s="2">
        <f t="shared" ca="1" si="1"/>
        <v>1.647</v>
      </c>
      <c r="R83" s="2">
        <f t="shared" ca="1" si="1"/>
        <v>1.675</v>
      </c>
      <c r="S83" s="2">
        <f t="shared" ca="1" si="1"/>
        <v>1.7569999999999999</v>
      </c>
      <c r="T83" s="2">
        <f t="shared" ca="1" si="1"/>
        <v>1.8779999999999999</v>
      </c>
      <c r="U83" s="2">
        <f t="shared" ca="1" si="1"/>
        <v>2.0409999999999999</v>
      </c>
      <c r="V83" s="2">
        <f t="shared" ca="1" si="1"/>
        <v>2.2410000000000001</v>
      </c>
      <c r="W83" s="2">
        <f t="shared" ca="1" si="1"/>
        <v>2.48</v>
      </c>
      <c r="X83" s="2">
        <f t="shared" ca="1" si="1"/>
        <v>2.8420000000000001</v>
      </c>
      <c r="Y83" s="2">
        <f t="shared" ca="1" si="1"/>
        <v>3.2730000000000001</v>
      </c>
    </row>
    <row r="84" spans="2:25" x14ac:dyDescent="0.3">
      <c r="B84" s="6">
        <v>81</v>
      </c>
      <c r="C84" s="9">
        <v>1.9179999999999999</v>
      </c>
      <c r="D84" s="9">
        <v>1.766</v>
      </c>
      <c r="E84" s="9">
        <v>1.766</v>
      </c>
      <c r="F84" s="9">
        <v>1.734</v>
      </c>
      <c r="I84" s="10">
        <f t="shared" ca="1" si="1"/>
        <v>3.5590000000000002</v>
      </c>
      <c r="J84" s="2">
        <f t="shared" ca="1" si="1"/>
        <v>3.1829999999999998</v>
      </c>
      <c r="K84" s="2">
        <f t="shared" ca="1" si="1"/>
        <v>2.7890000000000001</v>
      </c>
      <c r="L84" s="2">
        <f t="shared" ca="1" si="1"/>
        <v>2.4900000000000002</v>
      </c>
      <c r="M84" s="2">
        <f t="shared" ca="1" si="1"/>
        <v>2.294</v>
      </c>
      <c r="N84" s="2">
        <f t="shared" ca="1" si="1"/>
        <v>2.1280000000000001</v>
      </c>
      <c r="O84" s="2">
        <f t="shared" ca="1" si="1"/>
        <v>2.0049999999999999</v>
      </c>
      <c r="P84" s="2">
        <f t="shared" ca="1" si="1"/>
        <v>1.9350000000000001</v>
      </c>
      <c r="Q84" s="2">
        <f t="shared" ca="1" si="1"/>
        <v>1.917</v>
      </c>
      <c r="R84" s="2">
        <f t="shared" ca="1" si="1"/>
        <v>1.948</v>
      </c>
      <c r="S84" s="2">
        <f t="shared" ca="1" si="1"/>
        <v>2.0310000000000001</v>
      </c>
      <c r="T84" s="2">
        <f t="shared" ca="1" si="1"/>
        <v>2.1579999999999999</v>
      </c>
      <c r="U84" s="2">
        <f t="shared" ca="1" si="1"/>
        <v>2.319</v>
      </c>
      <c r="V84" s="2">
        <f t="shared" ca="1" si="1"/>
        <v>2.5089999999999999</v>
      </c>
      <c r="W84" s="2">
        <f t="shared" ca="1" si="1"/>
        <v>2.7930000000000001</v>
      </c>
      <c r="X84" s="2">
        <f t="shared" ca="1" si="1"/>
        <v>3.1440000000000001</v>
      </c>
      <c r="Y84" s="10">
        <f t="shared" ca="1" si="1"/>
        <v>3.456</v>
      </c>
    </row>
    <row r="85" spans="2:25" x14ac:dyDescent="0.3">
      <c r="B85" s="6">
        <v>82</v>
      </c>
      <c r="C85" s="9">
        <v>2.2269999999999999</v>
      </c>
      <c r="D85" s="9">
        <v>2.02</v>
      </c>
      <c r="E85" s="9">
        <v>2.0190000000000001</v>
      </c>
      <c r="F85" s="9">
        <v>1.984</v>
      </c>
    </row>
    <row r="86" spans="2:25" x14ac:dyDescent="0.3">
      <c r="B86" s="6">
        <v>83</v>
      </c>
      <c r="C86" s="9">
        <v>2.5579999999999998</v>
      </c>
      <c r="D86" s="9">
        <v>2.3029999999999999</v>
      </c>
      <c r="E86" s="9">
        <v>2.302</v>
      </c>
      <c r="F86" s="9">
        <v>2.2559999999999998</v>
      </c>
      <c r="H86" t="s">
        <v>2</v>
      </c>
      <c r="I86" s="11">
        <f t="shared" ref="I86:Y98" ca="1" si="2">INDIRECT("E"&amp;(17*ROW(1:1)+ROW($E$3)-19+IF(COLUMN(C:C)&gt;19,50000,COLUMN(C:C)-1)))</f>
        <v>3.4569999999999999</v>
      </c>
      <c r="J86" s="2">
        <f t="shared" ca="1" si="2"/>
        <v>3.105</v>
      </c>
      <c r="K86" s="2">
        <f t="shared" ca="1" si="2"/>
        <v>2.7389999999999999</v>
      </c>
      <c r="L86" s="2">
        <f t="shared" ca="1" si="2"/>
        <v>2.4500000000000002</v>
      </c>
      <c r="M86" s="2">
        <f t="shared" ca="1" si="2"/>
        <v>2.2599999999999998</v>
      </c>
      <c r="N86" s="2">
        <f t="shared" ca="1" si="2"/>
        <v>2.105</v>
      </c>
      <c r="O86" s="2">
        <f t="shared" ca="1" si="2"/>
        <v>1.9850000000000001</v>
      </c>
      <c r="P86" s="2">
        <f t="shared" ca="1" si="2"/>
        <v>1.9139999999999999</v>
      </c>
      <c r="Q86" s="2">
        <f t="shared" ca="1" si="2"/>
        <v>1.893</v>
      </c>
      <c r="R86" s="2">
        <f t="shared" ca="1" si="2"/>
        <v>1.9159999999999999</v>
      </c>
      <c r="S86" s="2">
        <f t="shared" ca="1" si="2"/>
        <v>1.9910000000000001</v>
      </c>
      <c r="T86" s="2">
        <f t="shared" ca="1" si="2"/>
        <v>2.11</v>
      </c>
      <c r="U86" s="2">
        <f t="shared" ca="1" si="2"/>
        <v>2.266</v>
      </c>
      <c r="V86" s="2">
        <f t="shared" ca="1" si="2"/>
        <v>2.4620000000000002</v>
      </c>
      <c r="W86" s="2">
        <f t="shared" ca="1" si="2"/>
        <v>2.7690000000000001</v>
      </c>
      <c r="X86" s="2">
        <f t="shared" ca="1" si="2"/>
        <v>3.1320000000000001</v>
      </c>
      <c r="Y86" s="11">
        <f t="shared" ca="1" si="2"/>
        <v>3.468</v>
      </c>
    </row>
    <row r="87" spans="2:25" x14ac:dyDescent="0.3">
      <c r="B87" s="6">
        <v>84</v>
      </c>
      <c r="C87" s="9">
        <v>2.9129999999999998</v>
      </c>
      <c r="D87" s="9">
        <v>2.6259999999999999</v>
      </c>
      <c r="E87" s="9">
        <v>2.6240000000000001</v>
      </c>
      <c r="F87" s="9">
        <v>2.56</v>
      </c>
      <c r="I87" s="2">
        <f t="shared" ca="1" si="2"/>
        <v>3.2719999999999998</v>
      </c>
      <c r="J87" s="2">
        <f t="shared" ca="1" si="2"/>
        <v>2.8279999999999998</v>
      </c>
      <c r="K87" s="2">
        <f t="shared" ca="1" si="2"/>
        <v>2.4649999999999999</v>
      </c>
      <c r="L87" s="2">
        <f t="shared" ca="1" si="2"/>
        <v>2.2269999999999999</v>
      </c>
      <c r="M87" s="2">
        <f t="shared" ca="1" si="2"/>
        <v>2.0339999999999998</v>
      </c>
      <c r="N87" s="2">
        <f t="shared" ca="1" si="2"/>
        <v>1.8779999999999999</v>
      </c>
      <c r="O87" s="2">
        <f t="shared" ca="1" si="2"/>
        <v>1.76</v>
      </c>
      <c r="P87" s="2">
        <f t="shared" ca="1" si="2"/>
        <v>1.6879999999999999</v>
      </c>
      <c r="Q87" s="2">
        <f t="shared" ca="1" si="2"/>
        <v>1.6639999999999999</v>
      </c>
      <c r="R87" s="2">
        <f t="shared" ca="1" si="2"/>
        <v>1.6890000000000001</v>
      </c>
      <c r="S87" s="2">
        <f t="shared" ca="1" si="2"/>
        <v>1.7649999999999999</v>
      </c>
      <c r="T87" s="2">
        <f t="shared" ca="1" si="2"/>
        <v>1.8859999999999999</v>
      </c>
      <c r="U87" s="2">
        <f t="shared" ca="1" si="2"/>
        <v>2.048</v>
      </c>
      <c r="V87" s="2">
        <f t="shared" ca="1" si="2"/>
        <v>2.2450000000000001</v>
      </c>
      <c r="W87" s="2">
        <f t="shared" ca="1" si="2"/>
        <v>2.4950000000000001</v>
      </c>
      <c r="X87" s="2">
        <f t="shared" ca="1" si="2"/>
        <v>2.8580000000000001</v>
      </c>
      <c r="Y87" s="2">
        <f t="shared" ca="1" si="2"/>
        <v>3.2730000000000001</v>
      </c>
    </row>
    <row r="88" spans="2:25" x14ac:dyDescent="0.3">
      <c r="B88" s="6">
        <v>85</v>
      </c>
      <c r="C88" s="9">
        <v>2.8410000000000002</v>
      </c>
      <c r="D88" s="9">
        <v>2.5209999999999999</v>
      </c>
      <c r="E88" s="9">
        <v>2.5230000000000001</v>
      </c>
      <c r="F88" s="9">
        <v>2.4500000000000002</v>
      </c>
      <c r="I88" s="2">
        <f t="shared" ca="1" si="2"/>
        <v>3.0179999999999998</v>
      </c>
      <c r="J88" s="2">
        <f t="shared" ca="1" si="2"/>
        <v>2.5710000000000002</v>
      </c>
      <c r="K88" s="2">
        <f t="shared" ca="1" si="2"/>
        <v>2.2589999999999999</v>
      </c>
      <c r="L88" s="2">
        <f t="shared" ca="1" si="2"/>
        <v>2.0259999999999998</v>
      </c>
      <c r="M88" s="2">
        <f t="shared" ca="1" si="2"/>
        <v>1.825</v>
      </c>
      <c r="N88" s="2">
        <f t="shared" ca="1" si="2"/>
        <v>1.6619999999999999</v>
      </c>
      <c r="O88" s="2">
        <f t="shared" ca="1" si="2"/>
        <v>1.536</v>
      </c>
      <c r="P88" s="2">
        <f t="shared" ca="1" si="2"/>
        <v>1.4610000000000001</v>
      </c>
      <c r="Q88" s="2">
        <f t="shared" ca="1" si="2"/>
        <v>1.4390000000000001</v>
      </c>
      <c r="R88" s="2">
        <f t="shared" ca="1" si="2"/>
        <v>1.4670000000000001</v>
      </c>
      <c r="S88" s="2">
        <f t="shared" ca="1" si="2"/>
        <v>1.5509999999999999</v>
      </c>
      <c r="T88" s="2">
        <f t="shared" ca="1" si="2"/>
        <v>1.6779999999999999</v>
      </c>
      <c r="U88" s="2">
        <f t="shared" ca="1" si="2"/>
        <v>1.8440000000000001</v>
      </c>
      <c r="V88" s="2">
        <f t="shared" ca="1" si="2"/>
        <v>2.0499999999999998</v>
      </c>
      <c r="W88" s="2">
        <f t="shared" ca="1" si="2"/>
        <v>2.2850000000000001</v>
      </c>
      <c r="X88" s="2">
        <f t="shared" ca="1" si="2"/>
        <v>2.5939999999999999</v>
      </c>
      <c r="Y88" s="2">
        <f t="shared" ca="1" si="2"/>
        <v>3.0209999999999999</v>
      </c>
    </row>
    <row r="89" spans="2:25" x14ac:dyDescent="0.3">
      <c r="B89" s="6">
        <v>86</v>
      </c>
      <c r="C89" s="9">
        <v>2.4630000000000001</v>
      </c>
      <c r="D89" s="9">
        <v>2.1970000000000001</v>
      </c>
      <c r="E89" s="9">
        <v>2.2000000000000002</v>
      </c>
      <c r="F89" s="9">
        <v>2.1389999999999998</v>
      </c>
      <c r="I89" s="2">
        <f t="shared" ca="1" si="2"/>
        <v>2.7770000000000001</v>
      </c>
      <c r="J89" s="2">
        <f t="shared" ca="1" si="2"/>
        <v>2.4009999999999998</v>
      </c>
      <c r="K89" s="2">
        <f t="shared" ca="1" si="2"/>
        <v>2.1120000000000001</v>
      </c>
      <c r="L89" s="2">
        <f t="shared" ca="1" si="2"/>
        <v>1.867</v>
      </c>
      <c r="M89" s="2">
        <f t="shared" ca="1" si="2"/>
        <v>1.657</v>
      </c>
      <c r="N89" s="2">
        <f t="shared" ca="1" si="2"/>
        <v>1.48</v>
      </c>
      <c r="O89" s="2">
        <f t="shared" ca="1" si="2"/>
        <v>1.35</v>
      </c>
      <c r="P89" s="2">
        <f t="shared" ca="1" si="2"/>
        <v>1.278</v>
      </c>
      <c r="Q89" s="2">
        <f t="shared" ca="1" si="2"/>
        <v>1.258</v>
      </c>
      <c r="R89" s="2">
        <f t="shared" ca="1" si="2"/>
        <v>1.2849999999999999</v>
      </c>
      <c r="S89" s="2">
        <f t="shared" ca="1" si="2"/>
        <v>1.3680000000000001</v>
      </c>
      <c r="T89" s="2">
        <f t="shared" ca="1" si="2"/>
        <v>1.5009999999999999</v>
      </c>
      <c r="U89" s="2">
        <f t="shared" ca="1" si="2"/>
        <v>1.6779999999999999</v>
      </c>
      <c r="V89" s="2">
        <f t="shared" ca="1" si="2"/>
        <v>1.891</v>
      </c>
      <c r="W89" s="2">
        <f t="shared" ca="1" si="2"/>
        <v>2.1339999999999999</v>
      </c>
      <c r="X89" s="2">
        <f t="shared" ca="1" si="2"/>
        <v>2.415</v>
      </c>
      <c r="Y89" s="2">
        <f t="shared" ca="1" si="2"/>
        <v>2.7770000000000001</v>
      </c>
    </row>
    <row r="90" spans="2:25" x14ac:dyDescent="0.3">
      <c r="B90" s="6">
        <v>87</v>
      </c>
      <c r="C90" s="9">
        <v>2.1150000000000002</v>
      </c>
      <c r="D90" s="9">
        <v>1.911</v>
      </c>
      <c r="E90" s="9">
        <v>1.9139999999999999</v>
      </c>
      <c r="F90" s="9">
        <v>1.867</v>
      </c>
      <c r="I90" s="2">
        <f t="shared" ca="1" si="2"/>
        <v>2.6030000000000002</v>
      </c>
      <c r="J90" s="2">
        <f t="shared" ca="1" si="2"/>
        <v>2.274</v>
      </c>
      <c r="K90" s="2">
        <f t="shared" ca="1" si="2"/>
        <v>1.994</v>
      </c>
      <c r="L90" s="2">
        <f t="shared" ca="1" si="2"/>
        <v>1.748</v>
      </c>
      <c r="M90" s="2">
        <f t="shared" ca="1" si="2"/>
        <v>1.528</v>
      </c>
      <c r="N90" s="2">
        <f t="shared" ca="1" si="2"/>
        <v>1.3460000000000001</v>
      </c>
      <c r="O90" s="2">
        <f t="shared" ca="1" si="2"/>
        <v>1.222</v>
      </c>
      <c r="P90" s="2">
        <f t="shared" ca="1" si="2"/>
        <v>1.149</v>
      </c>
      <c r="Q90" s="2">
        <f t="shared" ca="1" si="2"/>
        <v>1.1279999999999999</v>
      </c>
      <c r="R90" s="2">
        <f t="shared" ca="1" si="2"/>
        <v>1.155</v>
      </c>
      <c r="S90" s="2">
        <f t="shared" ca="1" si="2"/>
        <v>1.2310000000000001</v>
      </c>
      <c r="T90" s="2">
        <f t="shared" ca="1" si="2"/>
        <v>1.3580000000000001</v>
      </c>
      <c r="U90" s="2">
        <f t="shared" ca="1" si="2"/>
        <v>1.5429999999999999</v>
      </c>
      <c r="V90" s="2">
        <f t="shared" ca="1" si="2"/>
        <v>1.766</v>
      </c>
      <c r="W90" s="2">
        <f t="shared" ca="1" si="2"/>
        <v>2.0190000000000001</v>
      </c>
      <c r="X90" s="2">
        <f t="shared" ca="1" si="2"/>
        <v>2.302</v>
      </c>
      <c r="Y90" s="2">
        <f t="shared" ca="1" si="2"/>
        <v>2.6240000000000001</v>
      </c>
    </row>
    <row r="91" spans="2:25" x14ac:dyDescent="0.3">
      <c r="B91" s="6">
        <v>88</v>
      </c>
      <c r="C91" s="9">
        <v>1.8049999999999999</v>
      </c>
      <c r="D91" s="9">
        <v>1.6619999999999999</v>
      </c>
      <c r="E91" s="9">
        <v>1.665</v>
      </c>
      <c r="F91" s="9">
        <v>1.625</v>
      </c>
      <c r="I91" s="2">
        <f t="shared" ca="1" si="2"/>
        <v>2.5230000000000001</v>
      </c>
      <c r="J91" s="2">
        <f t="shared" ca="1" si="2"/>
        <v>2.2000000000000002</v>
      </c>
      <c r="K91" s="2">
        <f t="shared" ca="1" si="2"/>
        <v>1.9139999999999999</v>
      </c>
      <c r="L91" s="2">
        <f t="shared" ca="1" si="2"/>
        <v>1.665</v>
      </c>
      <c r="M91" s="2">
        <f t="shared" ca="1" si="2"/>
        <v>1.4430000000000001</v>
      </c>
      <c r="N91" s="2">
        <f t="shared" ca="1" si="2"/>
        <v>1.268</v>
      </c>
      <c r="O91" s="2">
        <f t="shared" ca="1" si="2"/>
        <v>1.145</v>
      </c>
      <c r="P91" s="2">
        <f t="shared" ca="1" si="2"/>
        <v>1.0640000000000001</v>
      </c>
      <c r="Q91" s="2">
        <f t="shared" ca="1" si="2"/>
        <v>1.036</v>
      </c>
      <c r="R91" s="2">
        <f t="shared" ca="1" si="2"/>
        <v>1.0680000000000001</v>
      </c>
      <c r="S91" s="2">
        <f t="shared" ca="1" si="2"/>
        <v>1.1519999999999999</v>
      </c>
      <c r="T91" s="2">
        <f t="shared" ca="1" si="2"/>
        <v>1.2749999999999999</v>
      </c>
      <c r="U91" s="2">
        <f t="shared" ca="1" si="2"/>
        <v>1.452</v>
      </c>
      <c r="V91" s="2">
        <f t="shared" ca="1" si="2"/>
        <v>1.68</v>
      </c>
      <c r="W91" s="2">
        <f t="shared" ca="1" si="2"/>
        <v>1.9390000000000001</v>
      </c>
      <c r="X91" s="2">
        <f t="shared" ca="1" si="2"/>
        <v>2.2309999999999999</v>
      </c>
      <c r="Y91" s="2">
        <f t="shared" ca="1" si="2"/>
        <v>2.5489999999999999</v>
      </c>
    </row>
    <row r="92" spans="2:25" x14ac:dyDescent="0.3">
      <c r="B92" s="6">
        <v>89</v>
      </c>
      <c r="C92" s="9">
        <v>1.53</v>
      </c>
      <c r="D92" s="9">
        <v>1.44</v>
      </c>
      <c r="E92" s="9">
        <v>1.4430000000000001</v>
      </c>
      <c r="F92" s="9">
        <v>1.41</v>
      </c>
      <c r="I92" s="2">
        <f t="shared" ca="1" si="2"/>
        <v>2.5019999999999998</v>
      </c>
      <c r="J92" s="2">
        <f t="shared" ca="1" si="2"/>
        <v>2.1760000000000002</v>
      </c>
      <c r="K92" s="2">
        <f t="shared" ca="1" si="2"/>
        <v>1.8859999999999999</v>
      </c>
      <c r="L92" s="2">
        <f t="shared" ca="1" si="2"/>
        <v>1.631</v>
      </c>
      <c r="M92" s="2">
        <f t="shared" ca="1" si="2"/>
        <v>1.405</v>
      </c>
      <c r="N92" s="2">
        <f t="shared" ca="1" si="2"/>
        <v>1.2330000000000001</v>
      </c>
      <c r="O92" s="2">
        <f t="shared" ca="1" si="2"/>
        <v>1.1100000000000001</v>
      </c>
      <c r="P92" s="2">
        <f t="shared" ca="1" si="2"/>
        <v>1.028</v>
      </c>
      <c r="Q92" s="2">
        <f t="shared" ca="1" si="2"/>
        <v>1.0049999999999999</v>
      </c>
      <c r="R92" s="2">
        <f t="shared" ca="1" si="2"/>
        <v>1.0329999999999999</v>
      </c>
      <c r="S92" s="2">
        <f t="shared" ca="1" si="2"/>
        <v>1.121</v>
      </c>
      <c r="T92" s="2">
        <f t="shared" ca="1" si="2"/>
        <v>1.2450000000000001</v>
      </c>
      <c r="U92" s="2">
        <f t="shared" ca="1" si="2"/>
        <v>1.421</v>
      </c>
      <c r="V92" s="2">
        <f t="shared" ca="1" si="2"/>
        <v>1.65</v>
      </c>
      <c r="W92" s="2">
        <f t="shared" ca="1" si="2"/>
        <v>1.907</v>
      </c>
      <c r="X92" s="2">
        <f t="shared" ca="1" si="2"/>
        <v>2.198</v>
      </c>
      <c r="Y92" s="2">
        <f t="shared" ca="1" si="2"/>
        <v>2.512</v>
      </c>
    </row>
    <row r="93" spans="2:25" x14ac:dyDescent="0.3">
      <c r="B93" s="6">
        <v>90</v>
      </c>
      <c r="C93" s="9">
        <v>1.3169999999999999</v>
      </c>
      <c r="D93" s="9">
        <v>1.266</v>
      </c>
      <c r="E93" s="9">
        <v>1.268</v>
      </c>
      <c r="F93" s="9">
        <v>1.2430000000000001</v>
      </c>
      <c r="I93" s="2">
        <f t="shared" ca="1" si="2"/>
        <v>2.5310000000000001</v>
      </c>
      <c r="J93" s="2">
        <f t="shared" ca="1" si="2"/>
        <v>2.2000000000000002</v>
      </c>
      <c r="K93" s="2">
        <f t="shared" ca="1" si="2"/>
        <v>1.9079999999999999</v>
      </c>
      <c r="L93" s="2">
        <f t="shared" ca="1" si="2"/>
        <v>1.653</v>
      </c>
      <c r="M93" s="2">
        <f t="shared" ca="1" si="2"/>
        <v>1.427</v>
      </c>
      <c r="N93" s="2">
        <f t="shared" ca="1" si="2"/>
        <v>1.252</v>
      </c>
      <c r="O93" s="2">
        <f t="shared" ca="1" si="2"/>
        <v>1.1279999999999999</v>
      </c>
      <c r="P93" s="2">
        <f t="shared" ca="1" si="2"/>
        <v>1.0469999999999999</v>
      </c>
      <c r="Q93" s="2">
        <f t="shared" ca="1" si="2"/>
        <v>1.0229999999999999</v>
      </c>
      <c r="R93" s="2">
        <f t="shared" ca="1" si="2"/>
        <v>1.056</v>
      </c>
      <c r="S93" s="2">
        <f t="shared" ca="1" si="2"/>
        <v>1.145</v>
      </c>
      <c r="T93" s="2">
        <f t="shared" ca="1" si="2"/>
        <v>1.27</v>
      </c>
      <c r="U93" s="2">
        <f t="shared" ca="1" si="2"/>
        <v>1.4490000000000001</v>
      </c>
      <c r="V93" s="2">
        <f t="shared" ca="1" si="2"/>
        <v>1.677</v>
      </c>
      <c r="W93" s="2">
        <f t="shared" ca="1" si="2"/>
        <v>1.931</v>
      </c>
      <c r="X93" s="2">
        <f t="shared" ca="1" si="2"/>
        <v>2.2160000000000002</v>
      </c>
      <c r="Y93" s="2">
        <f t="shared" ca="1" si="2"/>
        <v>2.5270000000000001</v>
      </c>
    </row>
    <row r="94" spans="2:25" x14ac:dyDescent="0.3">
      <c r="B94" s="6">
        <v>91</v>
      </c>
      <c r="C94" s="9">
        <v>1.17</v>
      </c>
      <c r="D94" s="9">
        <v>1.1439999999999999</v>
      </c>
      <c r="E94" s="9">
        <v>1.145</v>
      </c>
      <c r="F94" s="9">
        <v>1.129</v>
      </c>
      <c r="I94" s="2">
        <f t="shared" ca="1" si="2"/>
        <v>2.609</v>
      </c>
      <c r="J94" s="2">
        <f t="shared" ca="1" si="2"/>
        <v>2.278</v>
      </c>
      <c r="K94" s="2">
        <f t="shared" ca="1" si="2"/>
        <v>1.9910000000000001</v>
      </c>
      <c r="L94" s="2">
        <f t="shared" ca="1" si="2"/>
        <v>1.736</v>
      </c>
      <c r="M94" s="2">
        <f t="shared" ca="1" si="2"/>
        <v>1.5129999999999999</v>
      </c>
      <c r="N94" s="2">
        <f t="shared" ca="1" si="2"/>
        <v>1.33</v>
      </c>
      <c r="O94" s="2">
        <f t="shared" ca="1" si="2"/>
        <v>1.2050000000000001</v>
      </c>
      <c r="P94" s="2">
        <f t="shared" ca="1" si="2"/>
        <v>1.129</v>
      </c>
      <c r="Q94" s="2">
        <f t="shared" ca="1" si="2"/>
        <v>1.105</v>
      </c>
      <c r="R94" s="2">
        <f t="shared" ca="1" si="2"/>
        <v>1.1339999999999999</v>
      </c>
      <c r="S94" s="2">
        <f t="shared" ca="1" si="2"/>
        <v>1.214</v>
      </c>
      <c r="T94" s="2">
        <f t="shared" ca="1" si="2"/>
        <v>1.343</v>
      </c>
      <c r="U94" s="2">
        <f t="shared" ca="1" si="2"/>
        <v>1.5309999999999999</v>
      </c>
      <c r="V94" s="2">
        <f t="shared" ca="1" si="2"/>
        <v>1.7569999999999999</v>
      </c>
      <c r="W94" s="2">
        <f t="shared" ca="1" si="2"/>
        <v>2.0110000000000001</v>
      </c>
      <c r="X94" s="2">
        <f t="shared" ca="1" si="2"/>
        <v>2.2959999999999998</v>
      </c>
      <c r="Y94" s="2">
        <f t="shared" ca="1" si="2"/>
        <v>2.62</v>
      </c>
    </row>
    <row r="95" spans="2:25" x14ac:dyDescent="0.3">
      <c r="B95" s="6">
        <v>92</v>
      </c>
      <c r="C95" s="9">
        <v>1.0760000000000001</v>
      </c>
      <c r="D95" s="9">
        <v>1.0640000000000001</v>
      </c>
      <c r="E95" s="9">
        <v>1.0640000000000001</v>
      </c>
      <c r="F95" s="9">
        <v>1.0549999999999999</v>
      </c>
      <c r="I95" s="2">
        <f t="shared" ca="1" si="2"/>
        <v>2.7509999999999999</v>
      </c>
      <c r="J95" s="2">
        <f t="shared" ca="1" si="2"/>
        <v>2.3849999999999998</v>
      </c>
      <c r="K95" s="2">
        <f t="shared" ca="1" si="2"/>
        <v>2.101</v>
      </c>
      <c r="L95" s="2">
        <f t="shared" ca="1" si="2"/>
        <v>1.8560000000000001</v>
      </c>
      <c r="M95" s="2">
        <f t="shared" ca="1" si="2"/>
        <v>1.6439999999999999</v>
      </c>
      <c r="N95" s="2">
        <f t="shared" ca="1" si="2"/>
        <v>1.4630000000000001</v>
      </c>
      <c r="O95" s="2">
        <f t="shared" ca="1" si="2"/>
        <v>1.33</v>
      </c>
      <c r="P95" s="2">
        <f t="shared" ca="1" si="2"/>
        <v>1.254</v>
      </c>
      <c r="Q95" s="2">
        <f t="shared" ca="1" si="2"/>
        <v>1.228</v>
      </c>
      <c r="R95" s="2">
        <f t="shared" ca="1" si="2"/>
        <v>1.254</v>
      </c>
      <c r="S95" s="2">
        <f t="shared" ca="1" si="2"/>
        <v>1.3320000000000001</v>
      </c>
      <c r="T95" s="2">
        <f t="shared" ca="1" si="2"/>
        <v>1.4650000000000001</v>
      </c>
      <c r="U95" s="2">
        <f t="shared" ca="1" si="2"/>
        <v>1.649</v>
      </c>
      <c r="V95" s="2">
        <f t="shared" ca="1" si="2"/>
        <v>1.87</v>
      </c>
      <c r="W95" s="2">
        <f t="shared" ca="1" si="2"/>
        <v>2.1230000000000002</v>
      </c>
      <c r="X95" s="2">
        <f t="shared" ca="1" si="2"/>
        <v>2.4129999999999998</v>
      </c>
      <c r="Y95" s="2">
        <f t="shared" ca="1" si="2"/>
        <v>2.78</v>
      </c>
    </row>
    <row r="96" spans="2:25" x14ac:dyDescent="0.3">
      <c r="B96" s="6">
        <v>93</v>
      </c>
      <c r="C96" s="9">
        <v>1.042</v>
      </c>
      <c r="D96" s="9">
        <v>1.036</v>
      </c>
      <c r="E96" s="9">
        <v>1.036</v>
      </c>
      <c r="F96" s="9">
        <v>1.032</v>
      </c>
      <c r="I96" s="2">
        <f t="shared" ca="1" si="2"/>
        <v>2.9969999999999999</v>
      </c>
      <c r="J96" s="2">
        <f t="shared" ca="1" si="2"/>
        <v>2.5640000000000001</v>
      </c>
      <c r="K96" s="2">
        <f t="shared" ca="1" si="2"/>
        <v>2.2570000000000001</v>
      </c>
      <c r="L96" s="2">
        <f t="shared" ca="1" si="2"/>
        <v>2.0169999999999999</v>
      </c>
      <c r="M96" s="2">
        <f t="shared" ca="1" si="2"/>
        <v>1.8109999999999999</v>
      </c>
      <c r="N96" s="2">
        <f t="shared" ca="1" si="2"/>
        <v>1.6439999999999999</v>
      </c>
      <c r="O96" s="2">
        <f t="shared" ca="1" si="2"/>
        <v>1.5149999999999999</v>
      </c>
      <c r="P96" s="2">
        <f t="shared" ca="1" si="2"/>
        <v>1.4350000000000001</v>
      </c>
      <c r="Q96" s="2">
        <f t="shared" ca="1" si="2"/>
        <v>1.407</v>
      </c>
      <c r="R96" s="2">
        <f t="shared" ca="1" si="2"/>
        <v>1.4339999999999999</v>
      </c>
      <c r="S96" s="2">
        <f t="shared" ca="1" si="2"/>
        <v>1.5169999999999999</v>
      </c>
      <c r="T96" s="2">
        <f t="shared" ca="1" si="2"/>
        <v>1.649</v>
      </c>
      <c r="U96" s="2">
        <f t="shared" ca="1" si="2"/>
        <v>1.8180000000000001</v>
      </c>
      <c r="V96" s="2">
        <f t="shared" ca="1" si="2"/>
        <v>2.0299999999999998</v>
      </c>
      <c r="W96" s="2">
        <f t="shared" ca="1" si="2"/>
        <v>2.274</v>
      </c>
      <c r="X96" s="2">
        <f t="shared" ca="1" si="2"/>
        <v>2.5870000000000002</v>
      </c>
      <c r="Y96" s="2">
        <f t="shared" ca="1" si="2"/>
        <v>3.02</v>
      </c>
    </row>
    <row r="97" spans="2:25" x14ac:dyDescent="0.3">
      <c r="B97" s="6">
        <v>94</v>
      </c>
      <c r="C97" s="9">
        <v>1.0780000000000001</v>
      </c>
      <c r="D97" s="9">
        <v>1.0680000000000001</v>
      </c>
      <c r="E97" s="9">
        <v>1.0680000000000001</v>
      </c>
      <c r="F97" s="9">
        <v>1.06</v>
      </c>
      <c r="I97" s="2">
        <f t="shared" ca="1" si="2"/>
        <v>3.2879999999999998</v>
      </c>
      <c r="J97" s="2">
        <f t="shared" ca="1" si="2"/>
        <v>2.8319999999999999</v>
      </c>
      <c r="K97" s="2">
        <f t="shared" ca="1" si="2"/>
        <v>2.4689999999999999</v>
      </c>
      <c r="L97" s="2">
        <f t="shared" ca="1" si="2"/>
        <v>2.2250000000000001</v>
      </c>
      <c r="M97" s="2">
        <f t="shared" ca="1" si="2"/>
        <v>2.024</v>
      </c>
      <c r="N97" s="2">
        <f t="shared" ca="1" si="2"/>
        <v>1.859</v>
      </c>
      <c r="O97" s="2">
        <f t="shared" ca="1" si="2"/>
        <v>1.7390000000000001</v>
      </c>
      <c r="P97" s="2">
        <f t="shared" ca="1" si="2"/>
        <v>1.665</v>
      </c>
      <c r="Q97" s="2">
        <f t="shared" ca="1" si="2"/>
        <v>1.6439999999999999</v>
      </c>
      <c r="R97" s="2">
        <f t="shared" ca="1" si="2"/>
        <v>1.6719999999999999</v>
      </c>
      <c r="S97" s="2">
        <f t="shared" ca="1" si="2"/>
        <v>1.754</v>
      </c>
      <c r="T97" s="2">
        <f t="shared" ca="1" si="2"/>
        <v>1.8759999999999999</v>
      </c>
      <c r="U97" s="2">
        <f t="shared" ca="1" si="2"/>
        <v>2.0379999999999998</v>
      </c>
      <c r="V97" s="2">
        <f t="shared" ca="1" si="2"/>
        <v>2.2370000000000001</v>
      </c>
      <c r="W97" s="2">
        <f t="shared" ca="1" si="2"/>
        <v>2.4750000000000001</v>
      </c>
      <c r="X97" s="2">
        <f t="shared" ca="1" si="2"/>
        <v>2.8359999999999999</v>
      </c>
      <c r="Y97" s="2">
        <f t="shared" ca="1" si="2"/>
        <v>3.2650000000000001</v>
      </c>
    </row>
    <row r="98" spans="2:25" x14ac:dyDescent="0.3">
      <c r="B98" s="6">
        <v>95</v>
      </c>
      <c r="C98" s="9">
        <v>1.173</v>
      </c>
      <c r="D98" s="9">
        <v>1.151</v>
      </c>
      <c r="E98" s="9">
        <v>1.1519999999999999</v>
      </c>
      <c r="F98" s="9">
        <v>1.1359999999999999</v>
      </c>
      <c r="I98" s="11">
        <f t="shared" ca="1" si="2"/>
        <v>3.5550000000000002</v>
      </c>
      <c r="J98" s="2">
        <f t="shared" ca="1" si="2"/>
        <v>3.1779999999999999</v>
      </c>
      <c r="K98" s="2">
        <f t="shared" ca="1" si="2"/>
        <v>2.786</v>
      </c>
      <c r="L98" s="2">
        <f t="shared" ca="1" si="2"/>
        <v>2.4889999999999999</v>
      </c>
      <c r="M98" s="2">
        <f t="shared" ca="1" si="2"/>
        <v>2.2919999999999998</v>
      </c>
      <c r="N98" s="2">
        <f t="shared" ca="1" si="2"/>
        <v>2.1259999999999999</v>
      </c>
      <c r="O98" s="2">
        <f t="shared" ca="1" si="2"/>
        <v>2.0030000000000001</v>
      </c>
      <c r="P98" s="2">
        <f t="shared" ca="1" si="2"/>
        <v>1.9319999999999999</v>
      </c>
      <c r="Q98" s="2">
        <f t="shared" ca="1" si="2"/>
        <v>1.9139999999999999</v>
      </c>
      <c r="R98" s="2">
        <f t="shared" ca="1" si="2"/>
        <v>1.944</v>
      </c>
      <c r="S98" s="2">
        <f t="shared" ca="1" si="2"/>
        <v>2.028</v>
      </c>
      <c r="T98" s="2">
        <f t="shared" ca="1" si="2"/>
        <v>2.1549999999999998</v>
      </c>
      <c r="U98" s="2">
        <f t="shared" ca="1" si="2"/>
        <v>2.3159999999999998</v>
      </c>
      <c r="V98" s="2">
        <f t="shared" ca="1" si="2"/>
        <v>2.5049999999999999</v>
      </c>
      <c r="W98" s="2">
        <f t="shared" ca="1" si="2"/>
        <v>2.7869999999999999</v>
      </c>
      <c r="X98" s="2">
        <f t="shared" ca="1" si="2"/>
        <v>3.137</v>
      </c>
      <c r="Y98" s="11">
        <f t="shared" ca="1" si="2"/>
        <v>3.4489999999999998</v>
      </c>
    </row>
    <row r="99" spans="2:25" x14ac:dyDescent="0.3">
      <c r="B99" s="6">
        <v>96</v>
      </c>
      <c r="C99" s="9">
        <v>1.3169999999999999</v>
      </c>
      <c r="D99" s="9">
        <v>1.274</v>
      </c>
      <c r="E99" s="9">
        <v>1.2749999999999999</v>
      </c>
      <c r="F99" s="9">
        <v>1.2529999999999999</v>
      </c>
    </row>
    <row r="100" spans="2:25" x14ac:dyDescent="0.3">
      <c r="B100" s="6">
        <v>97</v>
      </c>
      <c r="C100" s="9">
        <v>1.5309999999999999</v>
      </c>
      <c r="D100" s="9">
        <v>1.4510000000000001</v>
      </c>
      <c r="E100" s="9">
        <v>1.452</v>
      </c>
      <c r="F100" s="9">
        <v>1.427</v>
      </c>
      <c r="H100" t="s">
        <v>3</v>
      </c>
      <c r="I100" s="13">
        <f t="shared" ref="I100:Y112" ca="1" si="3">INDIRECT("F"&amp;(17*ROW(1:1)+ROW($F$3)-19+IF(COLUMN(C:C)&gt;19,50000,COLUMN(C:C)-1)))</f>
        <v>3.2719999999999998</v>
      </c>
      <c r="J100" s="2">
        <f t="shared" ca="1" si="3"/>
        <v>2.9510000000000001</v>
      </c>
      <c r="K100" s="2">
        <f t="shared" ca="1" si="3"/>
        <v>2.6110000000000002</v>
      </c>
      <c r="L100" s="2">
        <f t="shared" ca="1" si="3"/>
        <v>2.343</v>
      </c>
      <c r="M100" s="2">
        <f t="shared" ca="1" si="3"/>
        <v>2.1629999999999998</v>
      </c>
      <c r="N100" s="2">
        <f t="shared" ca="1" si="3"/>
        <v>2.0169999999999999</v>
      </c>
      <c r="O100" s="2">
        <f t="shared" ca="1" si="3"/>
        <v>1.9039999999999999</v>
      </c>
      <c r="P100" s="2">
        <f t="shared" ca="1" si="3"/>
        <v>1.8380000000000001</v>
      </c>
      <c r="Q100" s="2">
        <f t="shared" ca="1" si="3"/>
        <v>1.82</v>
      </c>
      <c r="R100" s="2">
        <f t="shared" ca="1" si="3"/>
        <v>1.8440000000000001</v>
      </c>
      <c r="S100" s="2">
        <f t="shared" ca="1" si="3"/>
        <v>1.913</v>
      </c>
      <c r="T100" s="2">
        <f t="shared" ca="1" si="3"/>
        <v>2.0249999999999999</v>
      </c>
      <c r="U100" s="2">
        <f t="shared" ca="1" si="3"/>
        <v>2.1749999999999998</v>
      </c>
      <c r="V100" s="2">
        <f t="shared" ca="1" si="3"/>
        <v>2.3610000000000002</v>
      </c>
      <c r="W100" s="2">
        <f t="shared" ca="1" si="3"/>
        <v>2.6549999999999998</v>
      </c>
      <c r="X100" s="2">
        <f t="shared" ca="1" si="3"/>
        <v>2.9969999999999999</v>
      </c>
      <c r="Y100" s="13">
        <f t="shared" ca="1" si="3"/>
        <v>3.3090000000000002</v>
      </c>
    </row>
    <row r="101" spans="2:25" x14ac:dyDescent="0.3">
      <c r="B101" s="6">
        <v>98</v>
      </c>
      <c r="C101" s="9">
        <v>1.8120000000000001</v>
      </c>
      <c r="D101" s="9">
        <v>1.68</v>
      </c>
      <c r="E101" s="9">
        <v>1.68</v>
      </c>
      <c r="F101" s="9">
        <v>1.653</v>
      </c>
      <c r="I101" s="2">
        <f t="shared" ca="1" si="3"/>
        <v>3.1389999999999998</v>
      </c>
      <c r="J101" s="2">
        <f t="shared" ca="1" si="3"/>
        <v>2.7170000000000001</v>
      </c>
      <c r="K101" s="2">
        <f t="shared" ca="1" si="3"/>
        <v>2.375</v>
      </c>
      <c r="L101" s="2">
        <f t="shared" ca="1" si="3"/>
        <v>2.15</v>
      </c>
      <c r="M101" s="2">
        <f t="shared" ca="1" si="3"/>
        <v>1.966</v>
      </c>
      <c r="N101" s="2">
        <f t="shared" ca="1" si="3"/>
        <v>1.8149999999999999</v>
      </c>
      <c r="O101" s="2">
        <f t="shared" ca="1" si="3"/>
        <v>1.704</v>
      </c>
      <c r="P101" s="2">
        <f t="shared" ca="1" si="3"/>
        <v>1.64</v>
      </c>
      <c r="Q101" s="2">
        <f t="shared" ca="1" si="3"/>
        <v>1.62</v>
      </c>
      <c r="R101" s="2">
        <f t="shared" ca="1" si="3"/>
        <v>1.641</v>
      </c>
      <c r="S101" s="2">
        <f t="shared" ca="1" si="3"/>
        <v>1.712</v>
      </c>
      <c r="T101" s="2">
        <f t="shared" ca="1" si="3"/>
        <v>1.827</v>
      </c>
      <c r="U101" s="2">
        <f t="shared" ca="1" si="3"/>
        <v>1.9870000000000001</v>
      </c>
      <c r="V101" s="2">
        <f t="shared" ca="1" si="3"/>
        <v>2.1789999999999998</v>
      </c>
      <c r="W101" s="2">
        <f t="shared" ca="1" si="3"/>
        <v>2.419</v>
      </c>
      <c r="X101" s="2">
        <f t="shared" ca="1" si="3"/>
        <v>2.7639999999999998</v>
      </c>
      <c r="Y101" s="2">
        <f t="shared" ca="1" si="3"/>
        <v>3.149</v>
      </c>
    </row>
    <row r="102" spans="2:25" x14ac:dyDescent="0.3">
      <c r="B102" s="6">
        <v>99</v>
      </c>
      <c r="C102" s="9">
        <v>2.1309999999999998</v>
      </c>
      <c r="D102" s="9">
        <v>1.9390000000000001</v>
      </c>
      <c r="E102" s="9">
        <v>1.9390000000000001</v>
      </c>
      <c r="F102" s="9">
        <v>1.909</v>
      </c>
      <c r="I102" s="2">
        <f t="shared" ca="1" si="3"/>
        <v>2.9129999999999998</v>
      </c>
      <c r="J102" s="2">
        <f t="shared" ca="1" si="3"/>
        <v>2.4860000000000002</v>
      </c>
      <c r="K102" s="2">
        <f t="shared" ca="1" si="3"/>
        <v>2.1909999999999998</v>
      </c>
      <c r="L102" s="2">
        <f t="shared" ca="1" si="3"/>
        <v>1.9650000000000001</v>
      </c>
      <c r="M102" s="2">
        <f t="shared" ca="1" si="3"/>
        <v>1.768</v>
      </c>
      <c r="N102" s="2">
        <f t="shared" ca="1" si="3"/>
        <v>1.6080000000000001</v>
      </c>
      <c r="O102" s="2">
        <f t="shared" ca="1" si="3"/>
        <v>1.492</v>
      </c>
      <c r="P102" s="2">
        <f t="shared" ca="1" si="3"/>
        <v>1.4259999999999999</v>
      </c>
      <c r="Q102" s="2">
        <f t="shared" ca="1" si="3"/>
        <v>1.41</v>
      </c>
      <c r="R102" s="2">
        <f t="shared" ca="1" si="3"/>
        <v>1.4350000000000001</v>
      </c>
      <c r="S102" s="2">
        <f t="shared" ca="1" si="3"/>
        <v>1.5129999999999999</v>
      </c>
      <c r="T102" s="2">
        <f t="shared" ca="1" si="3"/>
        <v>1.633</v>
      </c>
      <c r="U102" s="2">
        <f t="shared" ca="1" si="3"/>
        <v>1.7989999999999999</v>
      </c>
      <c r="V102" s="2">
        <f t="shared" ca="1" si="3"/>
        <v>2.0030000000000001</v>
      </c>
      <c r="W102" s="2">
        <f t="shared" ca="1" si="3"/>
        <v>2.2320000000000002</v>
      </c>
      <c r="X102" s="2">
        <f t="shared" ca="1" si="3"/>
        <v>2.524</v>
      </c>
      <c r="Y102" s="2">
        <f t="shared" ca="1" si="3"/>
        <v>2.9209999999999998</v>
      </c>
    </row>
    <row r="103" spans="2:25" x14ac:dyDescent="0.3">
      <c r="B103" s="6">
        <v>100</v>
      </c>
      <c r="C103" s="9">
        <v>2.4769999999999999</v>
      </c>
      <c r="D103" s="9">
        <v>2.2309999999999999</v>
      </c>
      <c r="E103" s="9">
        <v>2.2309999999999999</v>
      </c>
      <c r="F103" s="9">
        <v>2.19</v>
      </c>
      <c r="I103" s="2">
        <f t="shared" ca="1" si="3"/>
        <v>2.6920000000000002</v>
      </c>
      <c r="J103" s="2">
        <f t="shared" ca="1" si="3"/>
        <v>2.3319999999999999</v>
      </c>
      <c r="K103" s="2">
        <f t="shared" ca="1" si="3"/>
        <v>2.0529999999999999</v>
      </c>
      <c r="L103" s="2">
        <f t="shared" ca="1" si="3"/>
        <v>1.8129999999999999</v>
      </c>
      <c r="M103" s="2">
        <f t="shared" ca="1" si="3"/>
        <v>1.6060000000000001</v>
      </c>
      <c r="N103" s="2">
        <f t="shared" ca="1" si="3"/>
        <v>1.4350000000000001</v>
      </c>
      <c r="O103" s="2">
        <f t="shared" ca="1" si="3"/>
        <v>1.3129999999999999</v>
      </c>
      <c r="P103" s="2">
        <f t="shared" ca="1" si="3"/>
        <v>1.25</v>
      </c>
      <c r="Q103" s="2">
        <f t="shared" ca="1" si="3"/>
        <v>1.2370000000000001</v>
      </c>
      <c r="R103" s="2">
        <f t="shared" ca="1" si="3"/>
        <v>1.2609999999999999</v>
      </c>
      <c r="S103" s="2">
        <f t="shared" ca="1" si="3"/>
        <v>1.337</v>
      </c>
      <c r="T103" s="2">
        <f t="shared" ca="1" si="3"/>
        <v>1.464</v>
      </c>
      <c r="U103" s="2">
        <f t="shared" ca="1" si="3"/>
        <v>1.641</v>
      </c>
      <c r="V103" s="2">
        <f t="shared" ca="1" si="3"/>
        <v>1.8520000000000001</v>
      </c>
      <c r="W103" s="2">
        <f t="shared" ca="1" si="3"/>
        <v>2.0910000000000002</v>
      </c>
      <c r="X103" s="2">
        <f t="shared" ca="1" si="3"/>
        <v>2.3610000000000002</v>
      </c>
      <c r="Y103" s="2">
        <f t="shared" ca="1" si="3"/>
        <v>2.6989999999999998</v>
      </c>
    </row>
    <row r="104" spans="2:25" x14ac:dyDescent="0.3">
      <c r="B104" s="6">
        <v>101</v>
      </c>
      <c r="C104" s="9">
        <v>2.8330000000000002</v>
      </c>
      <c r="D104" s="9">
        <v>2.5510000000000002</v>
      </c>
      <c r="E104" s="9">
        <v>2.5489999999999999</v>
      </c>
      <c r="F104" s="9">
        <v>2.4950000000000001</v>
      </c>
      <c r="I104" s="2">
        <f t="shared" ca="1" si="3"/>
        <v>2.528</v>
      </c>
      <c r="J104" s="2">
        <f t="shared" ca="1" si="3"/>
        <v>2.214</v>
      </c>
      <c r="K104" s="2">
        <f t="shared" ca="1" si="3"/>
        <v>1.944</v>
      </c>
      <c r="L104" s="2">
        <f t="shared" ca="1" si="3"/>
        <v>1.7030000000000001</v>
      </c>
      <c r="M104" s="2">
        <f t="shared" ca="1" si="3"/>
        <v>1.4870000000000001</v>
      </c>
      <c r="N104" s="2">
        <f t="shared" ca="1" si="3"/>
        <v>1.3109999999999999</v>
      </c>
      <c r="O104" s="2">
        <f t="shared" ca="1" si="3"/>
        <v>1.1930000000000001</v>
      </c>
      <c r="P104" s="2">
        <f t="shared" ca="1" si="3"/>
        <v>1.131</v>
      </c>
      <c r="Q104" s="2">
        <f t="shared" ca="1" si="3"/>
        <v>1.113</v>
      </c>
      <c r="R104" s="2">
        <f t="shared" ca="1" si="3"/>
        <v>1.1359999999999999</v>
      </c>
      <c r="S104" s="2">
        <f t="shared" ca="1" si="3"/>
        <v>1.206</v>
      </c>
      <c r="T104" s="2">
        <f t="shared" ca="1" si="3"/>
        <v>1.329</v>
      </c>
      <c r="U104" s="2">
        <f t="shared" ca="1" si="3"/>
        <v>1.512</v>
      </c>
      <c r="V104" s="2">
        <f t="shared" ca="1" si="3"/>
        <v>1.734</v>
      </c>
      <c r="W104" s="2">
        <f t="shared" ca="1" si="3"/>
        <v>1.984</v>
      </c>
      <c r="X104" s="2">
        <f t="shared" ca="1" si="3"/>
        <v>2.2559999999999998</v>
      </c>
      <c r="Y104" s="2">
        <f t="shared" ca="1" si="3"/>
        <v>2.56</v>
      </c>
    </row>
    <row r="105" spans="2:25" x14ac:dyDescent="0.3">
      <c r="B105" s="6">
        <v>102</v>
      </c>
      <c r="C105" s="9">
        <v>2.819</v>
      </c>
      <c r="D105" s="9">
        <v>2.5</v>
      </c>
      <c r="E105" s="9">
        <v>2.5019999999999998</v>
      </c>
      <c r="F105" s="9">
        <v>2.431</v>
      </c>
      <c r="I105" s="2">
        <f t="shared" ca="1" si="3"/>
        <v>2.4500000000000002</v>
      </c>
      <c r="J105" s="2">
        <f t="shared" ca="1" si="3"/>
        <v>2.1389999999999998</v>
      </c>
      <c r="K105" s="2">
        <f t="shared" ca="1" si="3"/>
        <v>1.867</v>
      </c>
      <c r="L105" s="2">
        <f t="shared" ca="1" si="3"/>
        <v>1.625</v>
      </c>
      <c r="M105" s="2">
        <f t="shared" ca="1" si="3"/>
        <v>1.41</v>
      </c>
      <c r="N105" s="2">
        <f t="shared" ca="1" si="3"/>
        <v>1.2430000000000001</v>
      </c>
      <c r="O105" s="2">
        <f t="shared" ca="1" si="3"/>
        <v>1.129</v>
      </c>
      <c r="P105" s="2">
        <f t="shared" ca="1" si="3"/>
        <v>1.0549999999999999</v>
      </c>
      <c r="Q105" s="2">
        <f t="shared" ca="1" si="3"/>
        <v>1.032</v>
      </c>
      <c r="R105" s="2">
        <f t="shared" ca="1" si="3"/>
        <v>1.06</v>
      </c>
      <c r="S105" s="2">
        <f t="shared" ca="1" si="3"/>
        <v>1.1359999999999999</v>
      </c>
      <c r="T105" s="2">
        <f t="shared" ca="1" si="3"/>
        <v>1.2529999999999999</v>
      </c>
      <c r="U105" s="2">
        <f t="shared" ca="1" si="3"/>
        <v>1.427</v>
      </c>
      <c r="V105" s="2">
        <f t="shared" ca="1" si="3"/>
        <v>1.653</v>
      </c>
      <c r="W105" s="2">
        <f t="shared" ca="1" si="3"/>
        <v>1.909</v>
      </c>
      <c r="X105" s="2">
        <f t="shared" ca="1" si="3"/>
        <v>2.19</v>
      </c>
      <c r="Y105" s="2">
        <f t="shared" ca="1" si="3"/>
        <v>2.4950000000000001</v>
      </c>
    </row>
    <row r="106" spans="2:25" x14ac:dyDescent="0.3">
      <c r="B106" s="6">
        <v>103</v>
      </c>
      <c r="C106" s="9">
        <v>2.4359999999999999</v>
      </c>
      <c r="D106" s="9">
        <v>2.1739999999999999</v>
      </c>
      <c r="E106" s="9">
        <v>2.1760000000000002</v>
      </c>
      <c r="F106" s="9">
        <v>2.117</v>
      </c>
      <c r="I106" s="2">
        <f t="shared" ca="1" si="3"/>
        <v>2.431</v>
      </c>
      <c r="J106" s="2">
        <f t="shared" ca="1" si="3"/>
        <v>2.117</v>
      </c>
      <c r="K106" s="2">
        <f t="shared" ca="1" si="3"/>
        <v>1.84</v>
      </c>
      <c r="L106" s="2">
        <f t="shared" ca="1" si="3"/>
        <v>1.5940000000000001</v>
      </c>
      <c r="M106" s="2">
        <f t="shared" ca="1" si="3"/>
        <v>1.3759999999999999</v>
      </c>
      <c r="N106" s="2">
        <f t="shared" ca="1" si="3"/>
        <v>1.212</v>
      </c>
      <c r="O106" s="2">
        <f t="shared" ca="1" si="3"/>
        <v>1.097</v>
      </c>
      <c r="P106" s="2">
        <f t="shared" ca="1" si="3"/>
        <v>1.026</v>
      </c>
      <c r="Q106" s="2">
        <f t="shared" ca="1" si="3"/>
        <v>1.008</v>
      </c>
      <c r="R106" s="2">
        <f t="shared" ca="1" si="3"/>
        <v>1.0309999999999999</v>
      </c>
      <c r="S106" s="2">
        <f t="shared" ca="1" si="3"/>
        <v>1.111</v>
      </c>
      <c r="T106" s="2">
        <f t="shared" ca="1" si="3"/>
        <v>1.23</v>
      </c>
      <c r="U106" s="2">
        <f t="shared" ca="1" si="3"/>
        <v>1.401</v>
      </c>
      <c r="V106" s="2">
        <f t="shared" ca="1" si="3"/>
        <v>1.6259999999999999</v>
      </c>
      <c r="W106" s="2">
        <f t="shared" ca="1" si="3"/>
        <v>1.875</v>
      </c>
      <c r="X106" s="2">
        <f t="shared" ca="1" si="3"/>
        <v>2.1549999999999998</v>
      </c>
      <c r="Y106" s="2">
        <f t="shared" ca="1" si="3"/>
        <v>2.4540000000000002</v>
      </c>
    </row>
    <row r="107" spans="2:25" x14ac:dyDescent="0.3">
      <c r="B107" s="6">
        <v>104</v>
      </c>
      <c r="C107" s="9">
        <v>2.081</v>
      </c>
      <c r="D107" s="9">
        <v>1.8839999999999999</v>
      </c>
      <c r="E107" s="9">
        <v>1.8859999999999999</v>
      </c>
      <c r="F107" s="9">
        <v>1.84</v>
      </c>
      <c r="I107" s="2">
        <f t="shared" ca="1" si="3"/>
        <v>2.4620000000000002</v>
      </c>
      <c r="J107" s="2">
        <f t="shared" ca="1" si="3"/>
        <v>2.1429999999999998</v>
      </c>
      <c r="K107" s="2">
        <f t="shared" ca="1" si="3"/>
        <v>1.861</v>
      </c>
      <c r="L107" s="2">
        <f t="shared" ca="1" si="3"/>
        <v>1.6140000000000001</v>
      </c>
      <c r="M107" s="2">
        <f t="shared" ca="1" si="3"/>
        <v>1.395</v>
      </c>
      <c r="N107" s="2">
        <f t="shared" ca="1" si="3"/>
        <v>1.2270000000000001</v>
      </c>
      <c r="O107" s="2">
        <f t="shared" ca="1" si="3"/>
        <v>1.1120000000000001</v>
      </c>
      <c r="P107" s="2">
        <f t="shared" ca="1" si="3"/>
        <v>1.04</v>
      </c>
      <c r="Q107" s="2">
        <f t="shared" ca="1" si="3"/>
        <v>1.022</v>
      </c>
      <c r="R107" s="2">
        <f t="shared" ca="1" si="3"/>
        <v>1.052</v>
      </c>
      <c r="S107" s="2">
        <f t="shared" ca="1" si="3"/>
        <v>1.131</v>
      </c>
      <c r="T107" s="2">
        <f t="shared" ca="1" si="3"/>
        <v>1.252</v>
      </c>
      <c r="U107" s="2">
        <f t="shared" ca="1" si="3"/>
        <v>1.4259999999999999</v>
      </c>
      <c r="V107" s="2">
        <f t="shared" ca="1" si="3"/>
        <v>1.649</v>
      </c>
      <c r="W107" s="2">
        <f t="shared" ca="1" si="3"/>
        <v>1.899</v>
      </c>
      <c r="X107" s="2">
        <f t="shared" ca="1" si="3"/>
        <v>2.173</v>
      </c>
      <c r="Y107" s="2">
        <f t="shared" ca="1" si="3"/>
        <v>2.4630000000000001</v>
      </c>
    </row>
    <row r="108" spans="2:25" x14ac:dyDescent="0.3">
      <c r="B108" s="6">
        <v>105</v>
      </c>
      <c r="C108" s="9">
        <v>1.764</v>
      </c>
      <c r="D108" s="9">
        <v>1.629</v>
      </c>
      <c r="E108" s="9">
        <v>1.631</v>
      </c>
      <c r="F108" s="9">
        <v>1.5940000000000001</v>
      </c>
      <c r="I108" s="2">
        <f t="shared" ca="1" si="3"/>
        <v>2.54</v>
      </c>
      <c r="J108" s="2">
        <f t="shared" ca="1" si="3"/>
        <v>2.2200000000000002</v>
      </c>
      <c r="K108" s="2">
        <f t="shared" ca="1" si="3"/>
        <v>1.9410000000000001</v>
      </c>
      <c r="L108" s="2">
        <f t="shared" ca="1" si="3"/>
        <v>1.6919999999999999</v>
      </c>
      <c r="M108" s="2">
        <f t="shared" ca="1" si="3"/>
        <v>1.472</v>
      </c>
      <c r="N108" s="2">
        <f t="shared" ca="1" si="3"/>
        <v>1.2949999999999999</v>
      </c>
      <c r="O108" s="2">
        <f t="shared" ca="1" si="3"/>
        <v>1.18</v>
      </c>
      <c r="P108" s="2">
        <f t="shared" ca="1" si="3"/>
        <v>1.113</v>
      </c>
      <c r="Q108" s="2">
        <f t="shared" ca="1" si="3"/>
        <v>1.0940000000000001</v>
      </c>
      <c r="R108" s="2">
        <f t="shared" ca="1" si="3"/>
        <v>1.1200000000000001</v>
      </c>
      <c r="S108" s="2">
        <f t="shared" ca="1" si="3"/>
        <v>1.1919999999999999</v>
      </c>
      <c r="T108" s="2">
        <f t="shared" ca="1" si="3"/>
        <v>1.3160000000000001</v>
      </c>
      <c r="U108" s="2">
        <f t="shared" ca="1" si="3"/>
        <v>1.5009999999999999</v>
      </c>
      <c r="V108" s="2">
        <f t="shared" ca="1" si="3"/>
        <v>1.728</v>
      </c>
      <c r="W108" s="2">
        <f t="shared" ca="1" si="3"/>
        <v>1.978</v>
      </c>
      <c r="X108" s="2">
        <f t="shared" ca="1" si="3"/>
        <v>2.25</v>
      </c>
      <c r="Y108" s="2">
        <f t="shared" ca="1" si="3"/>
        <v>2.5510000000000002</v>
      </c>
    </row>
    <row r="109" spans="2:25" x14ac:dyDescent="0.3">
      <c r="B109" s="6">
        <v>106</v>
      </c>
      <c r="C109" s="9">
        <v>1.484</v>
      </c>
      <c r="D109" s="9">
        <v>1.403</v>
      </c>
      <c r="E109" s="9">
        <v>1.405</v>
      </c>
      <c r="F109" s="9">
        <v>1.3759999999999999</v>
      </c>
      <c r="I109" s="2">
        <f t="shared" ca="1" si="3"/>
        <v>2.6669999999999998</v>
      </c>
      <c r="J109" s="2">
        <f t="shared" ca="1" si="3"/>
        <v>2.3180000000000001</v>
      </c>
      <c r="K109" s="2">
        <f t="shared" ca="1" si="3"/>
        <v>2.044</v>
      </c>
      <c r="L109" s="2">
        <f t="shared" ca="1" si="3"/>
        <v>1.804</v>
      </c>
      <c r="M109" s="2">
        <f t="shared" ca="1" si="3"/>
        <v>1.5960000000000001</v>
      </c>
      <c r="N109" s="2">
        <f t="shared" ca="1" si="3"/>
        <v>1.4219999999999999</v>
      </c>
      <c r="O109" s="2">
        <f t="shared" ca="1" si="3"/>
        <v>1.296</v>
      </c>
      <c r="P109" s="2">
        <f t="shared" ca="1" si="3"/>
        <v>1.228</v>
      </c>
      <c r="Q109" s="2">
        <f t="shared" ca="1" si="3"/>
        <v>1.208</v>
      </c>
      <c r="R109" s="2">
        <f t="shared" ca="1" si="3"/>
        <v>1.2290000000000001</v>
      </c>
      <c r="S109" s="2">
        <f t="shared" ca="1" si="3"/>
        <v>1.3</v>
      </c>
      <c r="T109" s="2">
        <f t="shared" ca="1" si="3"/>
        <v>1.429</v>
      </c>
      <c r="U109" s="2">
        <f t="shared" ca="1" si="3"/>
        <v>1.61</v>
      </c>
      <c r="V109" s="2">
        <f t="shared" ca="1" si="3"/>
        <v>1.8320000000000001</v>
      </c>
      <c r="W109" s="2">
        <f t="shared" ca="1" si="3"/>
        <v>2.0819999999999999</v>
      </c>
      <c r="X109" s="2">
        <f t="shared" ca="1" si="3"/>
        <v>2.359</v>
      </c>
      <c r="Y109" s="2">
        <f t="shared" ca="1" si="3"/>
        <v>2.7080000000000002</v>
      </c>
    </row>
    <row r="110" spans="2:25" x14ac:dyDescent="0.3">
      <c r="B110" s="6">
        <v>107</v>
      </c>
      <c r="C110" s="9">
        <v>1.2729999999999999</v>
      </c>
      <c r="D110" s="9">
        <v>1.23</v>
      </c>
      <c r="E110" s="9">
        <v>1.2330000000000001</v>
      </c>
      <c r="F110" s="9">
        <v>1.212</v>
      </c>
      <c r="I110" s="2">
        <f t="shared" ca="1" si="3"/>
        <v>2.9009999999999998</v>
      </c>
      <c r="J110" s="2">
        <f t="shared" ca="1" si="3"/>
        <v>2.4849999999999999</v>
      </c>
      <c r="K110" s="2">
        <f t="shared" ca="1" si="3"/>
        <v>2.19</v>
      </c>
      <c r="L110" s="2">
        <f t="shared" ca="1" si="3"/>
        <v>1.956</v>
      </c>
      <c r="M110" s="2">
        <f t="shared" ca="1" si="3"/>
        <v>1.7549999999999999</v>
      </c>
      <c r="N110" s="2">
        <f t="shared" ca="1" si="3"/>
        <v>1.595</v>
      </c>
      <c r="O110" s="2">
        <f t="shared" ca="1" si="3"/>
        <v>1.474</v>
      </c>
      <c r="P110" s="2">
        <f t="shared" ca="1" si="3"/>
        <v>1.401</v>
      </c>
      <c r="Q110" s="2">
        <f t="shared" ca="1" si="3"/>
        <v>1.379</v>
      </c>
      <c r="R110" s="2">
        <f t="shared" ca="1" si="3"/>
        <v>1.4019999999999999</v>
      </c>
      <c r="S110" s="2">
        <f t="shared" ca="1" si="3"/>
        <v>1.478</v>
      </c>
      <c r="T110" s="2">
        <f t="shared" ca="1" si="3"/>
        <v>1.605</v>
      </c>
      <c r="U110" s="2">
        <f t="shared" ca="1" si="3"/>
        <v>1.774</v>
      </c>
      <c r="V110" s="2">
        <f t="shared" ca="1" si="3"/>
        <v>1.986</v>
      </c>
      <c r="W110" s="2">
        <f t="shared" ca="1" si="3"/>
        <v>2.2210000000000001</v>
      </c>
      <c r="X110" s="2">
        <f t="shared" ca="1" si="3"/>
        <v>2.52</v>
      </c>
      <c r="Y110" s="2">
        <f t="shared" ca="1" si="3"/>
        <v>2.9249999999999998</v>
      </c>
    </row>
    <row r="111" spans="2:25" x14ac:dyDescent="0.3">
      <c r="B111" s="6">
        <v>108</v>
      </c>
      <c r="C111" s="9">
        <v>1.127</v>
      </c>
      <c r="D111" s="9">
        <v>1.1080000000000001</v>
      </c>
      <c r="E111" s="9">
        <v>1.1100000000000001</v>
      </c>
      <c r="F111" s="9">
        <v>1.097</v>
      </c>
      <c r="I111" s="2">
        <f t="shared" ca="1" si="3"/>
        <v>3.1680000000000001</v>
      </c>
      <c r="J111" s="2">
        <f t="shared" ca="1" si="3"/>
        <v>2.7389999999999999</v>
      </c>
      <c r="K111" s="2">
        <f t="shared" ca="1" si="3"/>
        <v>2.3919999999999999</v>
      </c>
      <c r="L111" s="2">
        <f t="shared" ca="1" si="3"/>
        <v>2.1539999999999999</v>
      </c>
      <c r="M111" s="2">
        <f t="shared" ca="1" si="3"/>
        <v>1.958</v>
      </c>
      <c r="N111" s="2">
        <f t="shared" ca="1" si="3"/>
        <v>1.8</v>
      </c>
      <c r="O111" s="2">
        <f t="shared" ca="1" si="3"/>
        <v>1.6870000000000001</v>
      </c>
      <c r="P111" s="2">
        <f t="shared" ca="1" si="3"/>
        <v>1.623</v>
      </c>
      <c r="Q111" s="2">
        <f t="shared" ca="1" si="3"/>
        <v>1.605</v>
      </c>
      <c r="R111" s="2">
        <f t="shared" ca="1" si="3"/>
        <v>1.6319999999999999</v>
      </c>
      <c r="S111" s="2">
        <f t="shared" ca="1" si="3"/>
        <v>1.708</v>
      </c>
      <c r="T111" s="2">
        <f t="shared" ca="1" si="3"/>
        <v>1.8260000000000001</v>
      </c>
      <c r="U111" s="2">
        <f t="shared" ca="1" si="3"/>
        <v>1.9870000000000001</v>
      </c>
      <c r="V111" s="2">
        <f t="shared" ca="1" si="3"/>
        <v>2.1800000000000002</v>
      </c>
      <c r="W111" s="2">
        <f t="shared" ca="1" si="3"/>
        <v>2.4129999999999998</v>
      </c>
      <c r="X111" s="2">
        <f t="shared" ca="1" si="3"/>
        <v>2.75</v>
      </c>
      <c r="Y111" s="2">
        <f t="shared" ca="1" si="3"/>
        <v>3.141</v>
      </c>
    </row>
    <row r="112" spans="2:25" x14ac:dyDescent="0.3">
      <c r="B112" s="6">
        <v>109</v>
      </c>
      <c r="C112" s="9">
        <v>1.0329999999999999</v>
      </c>
      <c r="D112" s="9">
        <v>1.0269999999999999</v>
      </c>
      <c r="E112" s="9">
        <v>1.028</v>
      </c>
      <c r="F112" s="9">
        <v>1.026</v>
      </c>
      <c r="I112" s="13">
        <f t="shared" ca="1" si="3"/>
        <v>3.4119999999999999</v>
      </c>
      <c r="J112" s="2">
        <f t="shared" ca="1" si="3"/>
        <v>3.0630000000000002</v>
      </c>
      <c r="K112" s="2">
        <f t="shared" ca="1" si="3"/>
        <v>2.6930000000000001</v>
      </c>
      <c r="L112" s="2">
        <f t="shared" ca="1" si="3"/>
        <v>2.407</v>
      </c>
      <c r="M112" s="2">
        <f t="shared" ca="1" si="3"/>
        <v>2.2160000000000002</v>
      </c>
      <c r="N112" s="2">
        <f t="shared" ca="1" si="3"/>
        <v>2.0539999999999998</v>
      </c>
      <c r="O112" s="2">
        <f t="shared" ca="1" si="3"/>
        <v>1.9379999999999999</v>
      </c>
      <c r="P112" s="2">
        <f t="shared" ca="1" si="3"/>
        <v>1.8720000000000001</v>
      </c>
      <c r="Q112" s="2">
        <f t="shared" ca="1" si="3"/>
        <v>1.8560000000000001</v>
      </c>
      <c r="R112" s="2">
        <f t="shared" ca="1" si="3"/>
        <v>1.89</v>
      </c>
      <c r="S112" s="2">
        <f t="shared" ca="1" si="3"/>
        <v>1.9750000000000001</v>
      </c>
      <c r="T112" s="2">
        <f t="shared" ca="1" si="3"/>
        <v>2.097</v>
      </c>
      <c r="U112" s="2">
        <f t="shared" ca="1" si="3"/>
        <v>2.2519999999999998</v>
      </c>
      <c r="V112" s="2">
        <f t="shared" ca="1" si="3"/>
        <v>2.431</v>
      </c>
      <c r="W112" s="2">
        <f t="shared" ca="1" si="3"/>
        <v>2.7029999999999998</v>
      </c>
      <c r="X112" s="2">
        <f t="shared" ca="1" si="3"/>
        <v>3.0289999999999999</v>
      </c>
      <c r="Y112" s="13">
        <f t="shared" ca="1" si="3"/>
        <v>3.3</v>
      </c>
    </row>
    <row r="113" spans="2:6" x14ac:dyDescent="0.3">
      <c r="B113" s="6">
        <v>110</v>
      </c>
      <c r="C113" s="9">
        <v>1.004</v>
      </c>
      <c r="D113" s="9">
        <v>1.004</v>
      </c>
      <c r="E113" s="9">
        <v>1.0049999999999999</v>
      </c>
      <c r="F113" s="9">
        <v>1.008</v>
      </c>
    </row>
    <row r="114" spans="2:6" x14ac:dyDescent="0.3">
      <c r="B114" s="6">
        <v>111</v>
      </c>
      <c r="C114" s="9">
        <v>1.0369999999999999</v>
      </c>
      <c r="D114" s="9">
        <v>1.0329999999999999</v>
      </c>
      <c r="E114" s="9">
        <v>1.0329999999999999</v>
      </c>
      <c r="F114" s="9">
        <v>1.0309999999999999</v>
      </c>
    </row>
    <row r="115" spans="2:6" x14ac:dyDescent="0.3">
      <c r="B115" s="6">
        <v>112</v>
      </c>
      <c r="C115" s="9">
        <v>1.135</v>
      </c>
      <c r="D115" s="9">
        <v>1.1200000000000001</v>
      </c>
      <c r="E115" s="9">
        <v>1.121</v>
      </c>
      <c r="F115" s="9">
        <v>1.111</v>
      </c>
    </row>
    <row r="116" spans="2:6" x14ac:dyDescent="0.3">
      <c r="B116" s="6">
        <v>113</v>
      </c>
      <c r="C116" s="9">
        <v>1.28</v>
      </c>
      <c r="D116" s="9">
        <v>1.244</v>
      </c>
      <c r="E116" s="9">
        <v>1.2450000000000001</v>
      </c>
      <c r="F116" s="9">
        <v>1.23</v>
      </c>
    </row>
    <row r="117" spans="2:6" x14ac:dyDescent="0.3">
      <c r="B117" s="6">
        <v>114</v>
      </c>
      <c r="C117" s="9">
        <v>1.492</v>
      </c>
      <c r="D117" s="9">
        <v>1.42</v>
      </c>
      <c r="E117" s="9">
        <v>1.421</v>
      </c>
      <c r="F117" s="9">
        <v>1.401</v>
      </c>
    </row>
    <row r="118" spans="2:6" x14ac:dyDescent="0.3">
      <c r="B118" s="6">
        <v>115</v>
      </c>
      <c r="C118" s="9">
        <v>1.7749999999999999</v>
      </c>
      <c r="D118" s="9">
        <v>1.65</v>
      </c>
      <c r="E118" s="9">
        <v>1.65</v>
      </c>
      <c r="F118" s="9">
        <v>1.6259999999999999</v>
      </c>
    </row>
    <row r="119" spans="2:6" x14ac:dyDescent="0.3">
      <c r="B119" s="6">
        <v>116</v>
      </c>
      <c r="C119" s="9">
        <v>2.0910000000000002</v>
      </c>
      <c r="D119" s="9">
        <v>1.907</v>
      </c>
      <c r="E119" s="9">
        <v>1.907</v>
      </c>
      <c r="F119" s="9">
        <v>1.875</v>
      </c>
    </row>
    <row r="120" spans="2:6" x14ac:dyDescent="0.3">
      <c r="B120" s="6">
        <v>117</v>
      </c>
      <c r="C120" s="9">
        <v>2.4380000000000002</v>
      </c>
      <c r="D120" s="9">
        <v>2.1989999999999998</v>
      </c>
      <c r="E120" s="9">
        <v>2.198</v>
      </c>
      <c r="F120" s="9">
        <v>2.1549999999999998</v>
      </c>
    </row>
    <row r="121" spans="2:6" x14ac:dyDescent="0.3">
      <c r="B121" s="6">
        <v>118</v>
      </c>
      <c r="C121" s="9">
        <v>2.7930000000000001</v>
      </c>
      <c r="D121" s="9">
        <v>2.5139999999999998</v>
      </c>
      <c r="E121" s="9">
        <v>2.512</v>
      </c>
      <c r="F121" s="9">
        <v>2.4540000000000002</v>
      </c>
    </row>
    <row r="122" spans="2:6" x14ac:dyDescent="0.3">
      <c r="B122" s="6">
        <v>119</v>
      </c>
      <c r="C122" s="9">
        <v>2.847</v>
      </c>
      <c r="D122" s="9">
        <v>2.5310000000000001</v>
      </c>
      <c r="E122" s="9">
        <v>2.5310000000000001</v>
      </c>
      <c r="F122" s="9">
        <v>2.4620000000000002</v>
      </c>
    </row>
    <row r="123" spans="2:6" x14ac:dyDescent="0.3">
      <c r="B123" s="6">
        <v>120</v>
      </c>
      <c r="C123" s="9">
        <v>2.4620000000000002</v>
      </c>
      <c r="D123" s="9">
        <v>2.1989999999999998</v>
      </c>
      <c r="E123" s="9">
        <v>2.2000000000000002</v>
      </c>
      <c r="F123" s="9">
        <v>2.1429999999999998</v>
      </c>
    </row>
    <row r="124" spans="2:6" x14ac:dyDescent="0.3">
      <c r="B124" s="6">
        <v>121</v>
      </c>
      <c r="C124" s="9">
        <v>2.105</v>
      </c>
      <c r="D124" s="9">
        <v>1.9059999999999999</v>
      </c>
      <c r="E124" s="9">
        <v>1.9079999999999999</v>
      </c>
      <c r="F124" s="9">
        <v>1.861</v>
      </c>
    </row>
    <row r="125" spans="2:6" x14ac:dyDescent="0.3">
      <c r="B125" s="6">
        <v>122</v>
      </c>
      <c r="C125" s="9">
        <v>1.7889999999999999</v>
      </c>
      <c r="D125" s="9">
        <v>1.651</v>
      </c>
      <c r="E125" s="9">
        <v>1.653</v>
      </c>
      <c r="F125" s="9">
        <v>1.6140000000000001</v>
      </c>
    </row>
    <row r="126" spans="2:6" x14ac:dyDescent="0.3">
      <c r="B126" s="6">
        <v>123</v>
      </c>
      <c r="C126" s="9">
        <v>1.51</v>
      </c>
      <c r="D126" s="9">
        <v>1.425</v>
      </c>
      <c r="E126" s="9">
        <v>1.427</v>
      </c>
      <c r="F126" s="9">
        <v>1.395</v>
      </c>
    </row>
    <row r="127" spans="2:6" x14ac:dyDescent="0.3">
      <c r="B127" s="6">
        <v>124</v>
      </c>
      <c r="C127" s="9">
        <v>1.298</v>
      </c>
      <c r="D127" s="9">
        <v>1.25</v>
      </c>
      <c r="E127" s="9">
        <v>1.252</v>
      </c>
      <c r="F127" s="9">
        <v>1.2270000000000001</v>
      </c>
    </row>
    <row r="128" spans="2:6" x14ac:dyDescent="0.3">
      <c r="B128" s="6">
        <v>125</v>
      </c>
      <c r="C128" s="9">
        <v>1.151</v>
      </c>
      <c r="D128" s="9">
        <v>1.127</v>
      </c>
      <c r="E128" s="9">
        <v>1.1279999999999999</v>
      </c>
      <c r="F128" s="9">
        <v>1.1120000000000001</v>
      </c>
    </row>
    <row r="129" spans="2:6" x14ac:dyDescent="0.3">
      <c r="B129" s="6">
        <v>126</v>
      </c>
      <c r="C129" s="9">
        <v>1.0580000000000001</v>
      </c>
      <c r="D129" s="9">
        <v>1.0469999999999999</v>
      </c>
      <c r="E129" s="9">
        <v>1.0469999999999999</v>
      </c>
      <c r="F129" s="9">
        <v>1.04</v>
      </c>
    </row>
    <row r="130" spans="2:6" x14ac:dyDescent="0.3">
      <c r="B130" s="6">
        <v>127</v>
      </c>
      <c r="C130" s="9">
        <v>1.0289999999999999</v>
      </c>
      <c r="D130" s="9">
        <v>1.024</v>
      </c>
      <c r="E130" s="9">
        <v>1.0229999999999999</v>
      </c>
      <c r="F130" s="9">
        <v>1.022</v>
      </c>
    </row>
    <row r="131" spans="2:6" x14ac:dyDescent="0.3">
      <c r="B131" s="6">
        <v>128</v>
      </c>
      <c r="C131" s="9">
        <v>1.0669999999999999</v>
      </c>
      <c r="D131" s="9">
        <v>1.0569999999999999</v>
      </c>
      <c r="E131" s="9">
        <v>1.056</v>
      </c>
      <c r="F131" s="9">
        <v>1.052</v>
      </c>
    </row>
    <row r="132" spans="2:6" x14ac:dyDescent="0.3">
      <c r="B132" s="6">
        <v>129</v>
      </c>
      <c r="C132" s="9">
        <v>1.1639999999999999</v>
      </c>
      <c r="D132" s="9">
        <v>1.1439999999999999</v>
      </c>
      <c r="E132" s="9">
        <v>1.145</v>
      </c>
      <c r="F132" s="9">
        <v>1.131</v>
      </c>
    </row>
    <row r="133" spans="2:6" x14ac:dyDescent="0.3">
      <c r="B133" s="6">
        <v>130</v>
      </c>
      <c r="C133" s="9">
        <v>1.31</v>
      </c>
      <c r="D133" s="9">
        <v>1.27</v>
      </c>
      <c r="E133" s="9">
        <v>1.27</v>
      </c>
      <c r="F133" s="9">
        <v>1.252</v>
      </c>
    </row>
    <row r="134" spans="2:6" x14ac:dyDescent="0.3">
      <c r="B134" s="6">
        <v>131</v>
      </c>
      <c r="C134" s="9">
        <v>1.526</v>
      </c>
      <c r="D134" s="9">
        <v>1.4490000000000001</v>
      </c>
      <c r="E134" s="9">
        <v>1.4490000000000001</v>
      </c>
      <c r="F134" s="9">
        <v>1.4259999999999999</v>
      </c>
    </row>
    <row r="135" spans="2:6" x14ac:dyDescent="0.3">
      <c r="B135" s="6">
        <v>132</v>
      </c>
      <c r="C135" s="9">
        <v>1.8049999999999999</v>
      </c>
      <c r="D135" s="9">
        <v>1.677</v>
      </c>
      <c r="E135" s="9">
        <v>1.677</v>
      </c>
      <c r="F135" s="9">
        <v>1.649</v>
      </c>
    </row>
    <row r="136" spans="2:6" x14ac:dyDescent="0.3">
      <c r="B136" s="6">
        <v>133</v>
      </c>
      <c r="C136" s="9">
        <v>2.1179999999999999</v>
      </c>
      <c r="D136" s="9">
        <v>1.9319999999999999</v>
      </c>
      <c r="E136" s="9">
        <v>1.931</v>
      </c>
      <c r="F136" s="9">
        <v>1.899</v>
      </c>
    </row>
    <row r="137" spans="2:6" x14ac:dyDescent="0.3">
      <c r="B137" s="6">
        <v>134</v>
      </c>
      <c r="C137" s="9">
        <v>2.456</v>
      </c>
      <c r="D137" s="9">
        <v>2.218</v>
      </c>
      <c r="E137" s="9">
        <v>2.2160000000000002</v>
      </c>
      <c r="F137" s="9">
        <v>2.173</v>
      </c>
    </row>
    <row r="138" spans="2:6" x14ac:dyDescent="0.3">
      <c r="B138" s="6">
        <v>135</v>
      </c>
      <c r="C138" s="9">
        <v>2.8039999999999998</v>
      </c>
      <c r="D138" s="9">
        <v>2.5299999999999998</v>
      </c>
      <c r="E138" s="9">
        <v>2.5270000000000001</v>
      </c>
      <c r="F138" s="9">
        <v>2.4630000000000001</v>
      </c>
    </row>
    <row r="139" spans="2:6" x14ac:dyDescent="0.3">
      <c r="B139" s="6">
        <v>136</v>
      </c>
      <c r="C139" s="9">
        <v>2.9319999999999999</v>
      </c>
      <c r="D139" s="9">
        <v>2.609</v>
      </c>
      <c r="E139" s="9">
        <v>2.609</v>
      </c>
      <c r="F139" s="9">
        <v>2.54</v>
      </c>
    </row>
    <row r="140" spans="2:6" x14ac:dyDescent="0.3">
      <c r="B140" s="6">
        <v>137</v>
      </c>
      <c r="C140" s="9">
        <v>2.548</v>
      </c>
      <c r="D140" s="9">
        <v>2.278</v>
      </c>
      <c r="E140" s="9">
        <v>2.278</v>
      </c>
      <c r="F140" s="9">
        <v>2.2200000000000002</v>
      </c>
    </row>
    <row r="141" spans="2:6" x14ac:dyDescent="0.3">
      <c r="B141" s="6">
        <v>138</v>
      </c>
      <c r="C141" s="9">
        <v>2.2029999999999998</v>
      </c>
      <c r="D141" s="9">
        <v>1.99</v>
      </c>
      <c r="E141" s="9">
        <v>1.9910000000000001</v>
      </c>
      <c r="F141" s="9">
        <v>1.9410000000000001</v>
      </c>
    </row>
    <row r="142" spans="2:6" x14ac:dyDescent="0.3">
      <c r="B142" s="6">
        <v>139</v>
      </c>
      <c r="C142" s="9">
        <v>1.891</v>
      </c>
      <c r="D142" s="9">
        <v>1.7350000000000001</v>
      </c>
      <c r="E142" s="9">
        <v>1.736</v>
      </c>
      <c r="F142" s="9">
        <v>1.6919999999999999</v>
      </c>
    </row>
    <row r="143" spans="2:6" x14ac:dyDescent="0.3">
      <c r="B143" s="6">
        <v>140</v>
      </c>
      <c r="C143" s="9">
        <v>1.615</v>
      </c>
      <c r="D143" s="9">
        <v>1.512</v>
      </c>
      <c r="E143" s="9">
        <v>1.5129999999999999</v>
      </c>
      <c r="F143" s="9">
        <v>1.472</v>
      </c>
    </row>
    <row r="144" spans="2:6" x14ac:dyDescent="0.3">
      <c r="B144" s="6">
        <v>141</v>
      </c>
      <c r="C144" s="9">
        <v>1.393</v>
      </c>
      <c r="D144" s="9">
        <v>1.329</v>
      </c>
      <c r="E144" s="9">
        <v>1.33</v>
      </c>
      <c r="F144" s="9">
        <v>1.2949999999999999</v>
      </c>
    </row>
    <row r="145" spans="2:6" x14ac:dyDescent="0.3">
      <c r="B145" s="6">
        <v>142</v>
      </c>
      <c r="C145" s="9">
        <v>1.244</v>
      </c>
      <c r="D145" s="9">
        <v>1.2050000000000001</v>
      </c>
      <c r="E145" s="9">
        <v>1.2050000000000001</v>
      </c>
      <c r="F145" s="9">
        <v>1.18</v>
      </c>
    </row>
    <row r="146" spans="2:6" x14ac:dyDescent="0.3">
      <c r="B146" s="6">
        <v>143</v>
      </c>
      <c r="C146" s="9">
        <v>1.153</v>
      </c>
      <c r="D146" s="9">
        <v>1.1299999999999999</v>
      </c>
      <c r="E146" s="9">
        <v>1.129</v>
      </c>
      <c r="F146" s="9">
        <v>1.113</v>
      </c>
    </row>
    <row r="147" spans="2:6" x14ac:dyDescent="0.3">
      <c r="B147" s="6">
        <v>144</v>
      </c>
      <c r="C147" s="9">
        <v>1.1220000000000001</v>
      </c>
      <c r="D147" s="9">
        <v>1.107</v>
      </c>
      <c r="E147" s="9">
        <v>1.105</v>
      </c>
      <c r="F147" s="9">
        <v>1.0940000000000001</v>
      </c>
    </row>
    <row r="148" spans="2:6" x14ac:dyDescent="0.3">
      <c r="B148" s="6">
        <v>145</v>
      </c>
      <c r="C148" s="9">
        <v>1.1559999999999999</v>
      </c>
      <c r="D148" s="9">
        <v>1.1359999999999999</v>
      </c>
      <c r="E148" s="9">
        <v>1.1339999999999999</v>
      </c>
      <c r="F148" s="9">
        <v>1.1200000000000001</v>
      </c>
    </row>
    <row r="149" spans="2:6" x14ac:dyDescent="0.3">
      <c r="B149" s="6">
        <v>146</v>
      </c>
      <c r="C149" s="9">
        <v>1.25</v>
      </c>
      <c r="D149" s="9">
        <v>1.2150000000000001</v>
      </c>
      <c r="E149" s="9">
        <v>1.214</v>
      </c>
      <c r="F149" s="9">
        <v>1.1919999999999999</v>
      </c>
    </row>
    <row r="150" spans="2:6" x14ac:dyDescent="0.3">
      <c r="B150" s="6">
        <v>147</v>
      </c>
      <c r="C150" s="9">
        <v>1.4019999999999999</v>
      </c>
      <c r="D150" s="9">
        <v>1.3440000000000001</v>
      </c>
      <c r="E150" s="9">
        <v>1.343</v>
      </c>
      <c r="F150" s="9">
        <v>1.3160000000000001</v>
      </c>
    </row>
    <row r="151" spans="2:6" x14ac:dyDescent="0.3">
      <c r="B151" s="6">
        <v>148</v>
      </c>
      <c r="C151" s="9">
        <v>1.627</v>
      </c>
      <c r="D151" s="9">
        <v>1.5329999999999999</v>
      </c>
      <c r="E151" s="9">
        <v>1.5309999999999999</v>
      </c>
      <c r="F151" s="9">
        <v>1.5009999999999999</v>
      </c>
    </row>
    <row r="152" spans="2:6" x14ac:dyDescent="0.3">
      <c r="B152" s="6">
        <v>149</v>
      </c>
      <c r="C152" s="9">
        <v>1.905</v>
      </c>
      <c r="D152" s="9">
        <v>1.7589999999999999</v>
      </c>
      <c r="E152" s="9">
        <v>1.7569999999999999</v>
      </c>
      <c r="F152" s="9">
        <v>1.728</v>
      </c>
    </row>
    <row r="153" spans="2:6" x14ac:dyDescent="0.3">
      <c r="B153" s="6">
        <v>150</v>
      </c>
      <c r="C153" s="9">
        <v>2.214</v>
      </c>
      <c r="D153" s="9">
        <v>2.0129999999999999</v>
      </c>
      <c r="E153" s="9">
        <v>2.0110000000000001</v>
      </c>
      <c r="F153" s="9">
        <v>1.978</v>
      </c>
    </row>
    <row r="154" spans="2:6" x14ac:dyDescent="0.3">
      <c r="B154" s="6">
        <v>151</v>
      </c>
      <c r="C154" s="9">
        <v>2.5459999999999998</v>
      </c>
      <c r="D154" s="9">
        <v>2.2989999999999999</v>
      </c>
      <c r="E154" s="9">
        <v>2.2959999999999998</v>
      </c>
      <c r="F154" s="9">
        <v>2.25</v>
      </c>
    </row>
    <row r="155" spans="2:6" x14ac:dyDescent="0.3">
      <c r="B155" s="6">
        <v>152</v>
      </c>
      <c r="C155" s="9">
        <v>2.9009999999999998</v>
      </c>
      <c r="D155" s="9">
        <v>2.6240000000000001</v>
      </c>
      <c r="E155" s="9">
        <v>2.62</v>
      </c>
      <c r="F155" s="9">
        <v>2.5510000000000002</v>
      </c>
    </row>
    <row r="156" spans="2:6" x14ac:dyDescent="0.3">
      <c r="B156" s="6">
        <v>153</v>
      </c>
      <c r="C156" s="9">
        <v>3.081</v>
      </c>
      <c r="D156" s="9">
        <v>2.7519999999999998</v>
      </c>
      <c r="E156" s="9">
        <v>2.7509999999999999</v>
      </c>
      <c r="F156" s="9">
        <v>2.6669999999999998</v>
      </c>
    </row>
    <row r="157" spans="2:6" x14ac:dyDescent="0.3">
      <c r="B157" s="6">
        <v>154</v>
      </c>
      <c r="C157" s="9">
        <v>2.67</v>
      </c>
      <c r="D157" s="9">
        <v>2.387</v>
      </c>
      <c r="E157" s="9">
        <v>2.3849999999999998</v>
      </c>
      <c r="F157" s="9">
        <v>2.3180000000000001</v>
      </c>
    </row>
    <row r="158" spans="2:6" x14ac:dyDescent="0.3">
      <c r="B158" s="6">
        <v>155</v>
      </c>
      <c r="C158" s="9">
        <v>2.3340000000000001</v>
      </c>
      <c r="D158" s="9">
        <v>2.1019999999999999</v>
      </c>
      <c r="E158" s="9">
        <v>2.101</v>
      </c>
      <c r="F158" s="9">
        <v>2.044</v>
      </c>
    </row>
    <row r="159" spans="2:6" x14ac:dyDescent="0.3">
      <c r="B159" s="6">
        <v>156</v>
      </c>
      <c r="C159" s="9">
        <v>2.0369999999999999</v>
      </c>
      <c r="D159" s="9">
        <v>1.857</v>
      </c>
      <c r="E159" s="9">
        <v>1.8560000000000001</v>
      </c>
      <c r="F159" s="9">
        <v>1.804</v>
      </c>
    </row>
    <row r="160" spans="2:6" x14ac:dyDescent="0.3">
      <c r="B160" s="6">
        <v>157</v>
      </c>
      <c r="C160" s="9">
        <v>1.774</v>
      </c>
      <c r="D160" s="9">
        <v>1.6439999999999999</v>
      </c>
      <c r="E160" s="9">
        <v>1.6439999999999999</v>
      </c>
      <c r="F160" s="9">
        <v>1.5960000000000001</v>
      </c>
    </row>
    <row r="161" spans="2:6" x14ac:dyDescent="0.3">
      <c r="B161" s="6">
        <v>158</v>
      </c>
      <c r="C161" s="9">
        <v>1.554</v>
      </c>
      <c r="D161" s="9">
        <v>1.464</v>
      </c>
      <c r="E161" s="9">
        <v>1.4630000000000001</v>
      </c>
      <c r="F161" s="9">
        <v>1.4219999999999999</v>
      </c>
    </row>
    <row r="162" spans="2:6" x14ac:dyDescent="0.3">
      <c r="B162" s="6">
        <v>159</v>
      </c>
      <c r="C162" s="9">
        <v>1.3919999999999999</v>
      </c>
      <c r="D162" s="9">
        <v>1.331</v>
      </c>
      <c r="E162" s="9">
        <v>1.33</v>
      </c>
      <c r="F162" s="9">
        <v>1.296</v>
      </c>
    </row>
    <row r="163" spans="2:6" x14ac:dyDescent="0.3">
      <c r="B163" s="6">
        <v>160</v>
      </c>
      <c r="C163" s="9">
        <v>1.296</v>
      </c>
      <c r="D163" s="9">
        <v>1.2549999999999999</v>
      </c>
      <c r="E163" s="9">
        <v>1.254</v>
      </c>
      <c r="F163" s="9">
        <v>1.228</v>
      </c>
    </row>
    <row r="164" spans="2:6" x14ac:dyDescent="0.3">
      <c r="B164" s="6">
        <v>161</v>
      </c>
      <c r="C164" s="9">
        <v>1.264</v>
      </c>
      <c r="D164" s="9">
        <v>1.23</v>
      </c>
      <c r="E164" s="9">
        <v>1.228</v>
      </c>
      <c r="F164" s="9">
        <v>1.208</v>
      </c>
    </row>
    <row r="165" spans="2:6" x14ac:dyDescent="0.3">
      <c r="B165" s="6">
        <v>162</v>
      </c>
      <c r="C165" s="9">
        <v>1.296</v>
      </c>
      <c r="D165" s="9">
        <v>1.256</v>
      </c>
      <c r="E165" s="9">
        <v>1.254</v>
      </c>
      <c r="F165" s="9">
        <v>1.2290000000000001</v>
      </c>
    </row>
    <row r="166" spans="2:6" x14ac:dyDescent="0.3">
      <c r="B166" s="6">
        <v>163</v>
      </c>
      <c r="C166" s="9">
        <v>1.389</v>
      </c>
      <c r="D166" s="9">
        <v>1.3340000000000001</v>
      </c>
      <c r="E166" s="9">
        <v>1.3320000000000001</v>
      </c>
      <c r="F166" s="9">
        <v>1.3</v>
      </c>
    </row>
    <row r="167" spans="2:6" x14ac:dyDescent="0.3">
      <c r="B167" s="6">
        <v>164</v>
      </c>
      <c r="C167" s="9">
        <v>1.55</v>
      </c>
      <c r="D167" s="9">
        <v>1.4670000000000001</v>
      </c>
      <c r="E167" s="9">
        <v>1.4650000000000001</v>
      </c>
      <c r="F167" s="9">
        <v>1.429</v>
      </c>
    </row>
    <row r="168" spans="2:6" x14ac:dyDescent="0.3">
      <c r="B168" s="6">
        <v>165</v>
      </c>
      <c r="C168" s="9">
        <v>1.772</v>
      </c>
      <c r="D168" s="9">
        <v>1.6519999999999999</v>
      </c>
      <c r="E168" s="9">
        <v>1.649</v>
      </c>
      <c r="F168" s="9">
        <v>1.61</v>
      </c>
    </row>
    <row r="169" spans="2:6" x14ac:dyDescent="0.3">
      <c r="B169" s="6">
        <v>166</v>
      </c>
      <c r="C169" s="9">
        <v>2.0419999999999998</v>
      </c>
      <c r="D169" s="9">
        <v>1.873</v>
      </c>
      <c r="E169" s="9">
        <v>1.87</v>
      </c>
      <c r="F169" s="9">
        <v>1.8320000000000001</v>
      </c>
    </row>
    <row r="170" spans="2:6" x14ac:dyDescent="0.3">
      <c r="B170" s="6">
        <v>167</v>
      </c>
      <c r="C170" s="9">
        <v>2.3460000000000001</v>
      </c>
      <c r="D170" s="9">
        <v>2.1269999999999998</v>
      </c>
      <c r="E170" s="9">
        <v>2.1230000000000002</v>
      </c>
      <c r="F170" s="9">
        <v>2.0819999999999999</v>
      </c>
    </row>
    <row r="171" spans="2:6" x14ac:dyDescent="0.3">
      <c r="B171" s="6">
        <v>168</v>
      </c>
      <c r="C171" s="9">
        <v>2.6779999999999999</v>
      </c>
      <c r="D171" s="9">
        <v>2.4169999999999998</v>
      </c>
      <c r="E171" s="9">
        <v>2.4129999999999998</v>
      </c>
      <c r="F171" s="9">
        <v>2.359</v>
      </c>
    </row>
    <row r="172" spans="2:6" x14ac:dyDescent="0.3">
      <c r="B172" s="6">
        <v>169</v>
      </c>
      <c r="C172" s="9">
        <v>3.0760000000000001</v>
      </c>
      <c r="D172" s="9">
        <v>2.7869999999999999</v>
      </c>
      <c r="E172" s="9">
        <v>2.78</v>
      </c>
      <c r="F172" s="9">
        <v>2.7080000000000002</v>
      </c>
    </row>
    <row r="173" spans="2:6" x14ac:dyDescent="0.3">
      <c r="B173" s="6">
        <v>170</v>
      </c>
      <c r="C173" s="9">
        <v>3.3540000000000001</v>
      </c>
      <c r="D173" s="9">
        <v>2.9990000000000001</v>
      </c>
      <c r="E173" s="9">
        <v>2.9969999999999999</v>
      </c>
      <c r="F173" s="9">
        <v>2.9009999999999998</v>
      </c>
    </row>
    <row r="174" spans="2:6" x14ac:dyDescent="0.3">
      <c r="B174" s="6">
        <v>171</v>
      </c>
      <c r="C174" s="9">
        <v>2.8660000000000001</v>
      </c>
      <c r="D174" s="9">
        <v>2.5659999999999998</v>
      </c>
      <c r="E174" s="9">
        <v>2.5640000000000001</v>
      </c>
      <c r="F174" s="9">
        <v>2.4849999999999999</v>
      </c>
    </row>
    <row r="175" spans="2:6" x14ac:dyDescent="0.3">
      <c r="B175" s="6">
        <v>172</v>
      </c>
      <c r="C175" s="9">
        <v>2.5129999999999999</v>
      </c>
      <c r="D175" s="9">
        <v>2.2589999999999999</v>
      </c>
      <c r="E175" s="9">
        <v>2.2570000000000001</v>
      </c>
      <c r="F175" s="9">
        <v>2.19</v>
      </c>
    </row>
    <row r="176" spans="2:6" x14ac:dyDescent="0.3">
      <c r="B176" s="6">
        <v>173</v>
      </c>
      <c r="C176" s="9">
        <v>2.2290000000000001</v>
      </c>
      <c r="D176" s="9">
        <v>2.0179999999999998</v>
      </c>
      <c r="E176" s="9">
        <v>2.0169999999999999</v>
      </c>
      <c r="F176" s="9">
        <v>1.956</v>
      </c>
    </row>
    <row r="177" spans="2:6" x14ac:dyDescent="0.3">
      <c r="B177" s="6">
        <v>174</v>
      </c>
      <c r="C177" s="9">
        <v>1.978</v>
      </c>
      <c r="D177" s="9">
        <v>1.8120000000000001</v>
      </c>
      <c r="E177" s="9">
        <v>1.8109999999999999</v>
      </c>
      <c r="F177" s="9">
        <v>1.7549999999999999</v>
      </c>
    </row>
    <row r="178" spans="2:6" x14ac:dyDescent="0.3">
      <c r="B178" s="6">
        <v>175</v>
      </c>
      <c r="C178" s="9">
        <v>1.7709999999999999</v>
      </c>
      <c r="D178" s="9">
        <v>1.645</v>
      </c>
      <c r="E178" s="9">
        <v>1.6439999999999999</v>
      </c>
      <c r="F178" s="9">
        <v>1.595</v>
      </c>
    </row>
    <row r="179" spans="2:6" x14ac:dyDescent="0.3">
      <c r="B179" s="6">
        <v>176</v>
      </c>
      <c r="C179" s="9">
        <v>1.611</v>
      </c>
      <c r="D179" s="9">
        <v>1.5169999999999999</v>
      </c>
      <c r="E179" s="9">
        <v>1.5149999999999999</v>
      </c>
      <c r="F179" s="9">
        <v>1.474</v>
      </c>
    </row>
    <row r="180" spans="2:6" x14ac:dyDescent="0.3">
      <c r="B180" s="6">
        <v>177</v>
      </c>
      <c r="C180" s="9">
        <v>1.512</v>
      </c>
      <c r="D180" s="9">
        <v>1.4370000000000001</v>
      </c>
      <c r="E180" s="9">
        <v>1.4350000000000001</v>
      </c>
      <c r="F180" s="9">
        <v>1.401</v>
      </c>
    </row>
    <row r="181" spans="2:6" x14ac:dyDescent="0.3">
      <c r="B181" s="6">
        <v>178</v>
      </c>
      <c r="C181" s="9">
        <v>1.478</v>
      </c>
      <c r="D181" s="9">
        <v>1.41</v>
      </c>
      <c r="E181" s="9">
        <v>1.407</v>
      </c>
      <c r="F181" s="9">
        <v>1.379</v>
      </c>
    </row>
    <row r="182" spans="2:6" x14ac:dyDescent="0.3">
      <c r="B182" s="6">
        <v>179</v>
      </c>
      <c r="C182" s="9">
        <v>1.5089999999999999</v>
      </c>
      <c r="D182" s="9">
        <v>1.4370000000000001</v>
      </c>
      <c r="E182" s="9">
        <v>1.4339999999999999</v>
      </c>
      <c r="F182" s="9">
        <v>1.4019999999999999</v>
      </c>
    </row>
    <row r="183" spans="2:6" x14ac:dyDescent="0.3">
      <c r="B183" s="6">
        <v>180</v>
      </c>
      <c r="C183" s="9">
        <v>1.61</v>
      </c>
      <c r="D183" s="9">
        <v>1.52</v>
      </c>
      <c r="E183" s="9">
        <v>1.5169999999999999</v>
      </c>
      <c r="F183" s="9">
        <v>1.478</v>
      </c>
    </row>
    <row r="184" spans="2:6" x14ac:dyDescent="0.3">
      <c r="B184" s="6">
        <v>181</v>
      </c>
      <c r="C184" s="9">
        <v>1.7689999999999999</v>
      </c>
      <c r="D184" s="9">
        <v>1.651</v>
      </c>
      <c r="E184" s="9">
        <v>1.649</v>
      </c>
      <c r="F184" s="9">
        <v>1.605</v>
      </c>
    </row>
    <row r="185" spans="2:6" x14ac:dyDescent="0.3">
      <c r="B185" s="6">
        <v>182</v>
      </c>
      <c r="C185" s="9">
        <v>1.9750000000000001</v>
      </c>
      <c r="D185" s="9">
        <v>1.821</v>
      </c>
      <c r="E185" s="9">
        <v>1.8180000000000001</v>
      </c>
      <c r="F185" s="9">
        <v>1.774</v>
      </c>
    </row>
    <row r="186" spans="2:6" x14ac:dyDescent="0.3">
      <c r="B186" s="6">
        <v>183</v>
      </c>
      <c r="C186" s="9">
        <v>2.2330000000000001</v>
      </c>
      <c r="D186" s="9">
        <v>2.0329999999999999</v>
      </c>
      <c r="E186" s="9">
        <v>2.0299999999999998</v>
      </c>
      <c r="F186" s="9">
        <v>1.986</v>
      </c>
    </row>
    <row r="187" spans="2:6" x14ac:dyDescent="0.3">
      <c r="B187" s="6">
        <v>184</v>
      </c>
      <c r="C187" s="9">
        <v>2.5169999999999999</v>
      </c>
      <c r="D187" s="9">
        <v>2.278</v>
      </c>
      <c r="E187" s="9">
        <v>2.274</v>
      </c>
      <c r="F187" s="9">
        <v>2.2210000000000001</v>
      </c>
    </row>
    <row r="188" spans="2:6" x14ac:dyDescent="0.3">
      <c r="B188" s="6">
        <v>185</v>
      </c>
      <c r="C188" s="9">
        <v>2.8679999999999999</v>
      </c>
      <c r="D188" s="9">
        <v>2.5920000000000001</v>
      </c>
      <c r="E188" s="9">
        <v>2.5870000000000002</v>
      </c>
      <c r="F188" s="9">
        <v>2.52</v>
      </c>
    </row>
    <row r="189" spans="2:6" x14ac:dyDescent="0.3">
      <c r="B189" s="6">
        <v>186</v>
      </c>
      <c r="C189" s="9">
        <v>3.331</v>
      </c>
      <c r="D189" s="9">
        <v>3.0259999999999998</v>
      </c>
      <c r="E189" s="9">
        <v>3.02</v>
      </c>
      <c r="F189" s="9">
        <v>2.9249999999999998</v>
      </c>
    </row>
    <row r="190" spans="2:6" x14ac:dyDescent="0.3">
      <c r="B190" s="6">
        <v>187</v>
      </c>
      <c r="C190" s="9">
        <v>3.6589999999999998</v>
      </c>
      <c r="D190" s="9">
        <v>3.2909999999999999</v>
      </c>
      <c r="E190" s="9">
        <v>3.2879999999999998</v>
      </c>
      <c r="F190" s="9">
        <v>3.1680000000000001</v>
      </c>
    </row>
    <row r="191" spans="2:6" x14ac:dyDescent="0.3">
      <c r="B191" s="6">
        <v>188</v>
      </c>
      <c r="C191" s="9">
        <v>3.16</v>
      </c>
      <c r="D191" s="9">
        <v>2.835</v>
      </c>
      <c r="E191" s="9">
        <v>2.8319999999999999</v>
      </c>
      <c r="F191" s="9">
        <v>2.7389999999999999</v>
      </c>
    </row>
    <row r="192" spans="2:6" x14ac:dyDescent="0.3">
      <c r="B192" s="6">
        <v>189</v>
      </c>
      <c r="C192" s="9">
        <v>2.7480000000000002</v>
      </c>
      <c r="D192" s="9">
        <v>2.4710000000000001</v>
      </c>
      <c r="E192" s="9">
        <v>2.4689999999999999</v>
      </c>
      <c r="F192" s="9">
        <v>2.3919999999999999</v>
      </c>
    </row>
    <row r="193" spans="2:6" x14ac:dyDescent="0.3">
      <c r="B193" s="6">
        <v>190</v>
      </c>
      <c r="C193" s="9">
        <v>2.4700000000000002</v>
      </c>
      <c r="D193" s="9">
        <v>2.2269999999999999</v>
      </c>
      <c r="E193" s="9">
        <v>2.2250000000000001</v>
      </c>
      <c r="F193" s="9">
        <v>2.1539999999999999</v>
      </c>
    </row>
    <row r="194" spans="2:6" x14ac:dyDescent="0.3">
      <c r="B194" s="6">
        <v>191</v>
      </c>
      <c r="C194" s="9">
        <v>2.2290000000000001</v>
      </c>
      <c r="D194" s="9">
        <v>2.0249999999999999</v>
      </c>
      <c r="E194" s="9">
        <v>2.024</v>
      </c>
      <c r="F194" s="9">
        <v>1.958</v>
      </c>
    </row>
    <row r="195" spans="2:6" x14ac:dyDescent="0.3">
      <c r="B195" s="6">
        <v>192</v>
      </c>
      <c r="C195" s="9">
        <v>2.0289999999999999</v>
      </c>
      <c r="D195" s="9">
        <v>1.86</v>
      </c>
      <c r="E195" s="9">
        <v>1.859</v>
      </c>
      <c r="F195" s="9">
        <v>1.8</v>
      </c>
    </row>
    <row r="196" spans="2:6" x14ac:dyDescent="0.3">
      <c r="B196" s="6">
        <v>193</v>
      </c>
      <c r="C196" s="9">
        <v>1.881</v>
      </c>
      <c r="D196" s="9">
        <v>1.7410000000000001</v>
      </c>
      <c r="E196" s="9">
        <v>1.7390000000000001</v>
      </c>
      <c r="F196" s="9">
        <v>1.6870000000000001</v>
      </c>
    </row>
    <row r="197" spans="2:6" x14ac:dyDescent="0.3">
      <c r="B197" s="6">
        <v>194</v>
      </c>
      <c r="C197" s="9">
        <v>1.79</v>
      </c>
      <c r="D197" s="9">
        <v>1.6679999999999999</v>
      </c>
      <c r="E197" s="9">
        <v>1.665</v>
      </c>
      <c r="F197" s="9">
        <v>1.623</v>
      </c>
    </row>
    <row r="198" spans="2:6" x14ac:dyDescent="0.3">
      <c r="B198" s="6">
        <v>195</v>
      </c>
      <c r="C198" s="9">
        <v>1.7629999999999999</v>
      </c>
      <c r="D198" s="9">
        <v>1.647</v>
      </c>
      <c r="E198" s="9">
        <v>1.6439999999999999</v>
      </c>
      <c r="F198" s="9">
        <v>1.605</v>
      </c>
    </row>
    <row r="199" spans="2:6" x14ac:dyDescent="0.3">
      <c r="B199" s="6">
        <v>196</v>
      </c>
      <c r="C199" s="9">
        <v>1.796</v>
      </c>
      <c r="D199" s="9">
        <v>1.675</v>
      </c>
      <c r="E199" s="9">
        <v>1.6719999999999999</v>
      </c>
      <c r="F199" s="9">
        <v>1.6319999999999999</v>
      </c>
    </row>
    <row r="200" spans="2:6" x14ac:dyDescent="0.3">
      <c r="B200" s="6">
        <v>197</v>
      </c>
      <c r="C200" s="9">
        <v>1.893</v>
      </c>
      <c r="D200" s="9">
        <v>1.7569999999999999</v>
      </c>
      <c r="E200" s="9">
        <v>1.754</v>
      </c>
      <c r="F200" s="9">
        <v>1.708</v>
      </c>
    </row>
    <row r="201" spans="2:6" x14ac:dyDescent="0.3">
      <c r="B201" s="6">
        <v>198</v>
      </c>
      <c r="C201" s="9">
        <v>2.0409999999999999</v>
      </c>
      <c r="D201" s="9">
        <v>1.8779999999999999</v>
      </c>
      <c r="E201" s="9">
        <v>1.8759999999999999</v>
      </c>
      <c r="F201" s="9">
        <v>1.8260000000000001</v>
      </c>
    </row>
    <row r="202" spans="2:6" x14ac:dyDescent="0.3">
      <c r="B202" s="6">
        <v>199</v>
      </c>
      <c r="C202" s="9">
        <v>2.2370000000000001</v>
      </c>
      <c r="D202" s="9">
        <v>2.0409999999999999</v>
      </c>
      <c r="E202" s="9">
        <v>2.0379999999999998</v>
      </c>
      <c r="F202" s="9">
        <v>1.9870000000000001</v>
      </c>
    </row>
    <row r="203" spans="2:6" x14ac:dyDescent="0.3">
      <c r="B203" s="6">
        <v>200</v>
      </c>
      <c r="C203" s="9">
        <v>2.4710000000000001</v>
      </c>
      <c r="D203" s="9">
        <v>2.2410000000000001</v>
      </c>
      <c r="E203" s="9">
        <v>2.2370000000000001</v>
      </c>
      <c r="F203" s="9">
        <v>2.1800000000000002</v>
      </c>
    </row>
    <row r="204" spans="2:6" x14ac:dyDescent="0.3">
      <c r="B204" s="6">
        <v>201</v>
      </c>
      <c r="C204" s="9">
        <v>2.746</v>
      </c>
      <c r="D204" s="9">
        <v>2.48</v>
      </c>
      <c r="E204" s="9">
        <v>2.4750000000000001</v>
      </c>
      <c r="F204" s="9">
        <v>2.4129999999999998</v>
      </c>
    </row>
    <row r="205" spans="2:6" x14ac:dyDescent="0.3">
      <c r="B205" s="6">
        <v>202</v>
      </c>
      <c r="C205" s="9">
        <v>3.1429999999999998</v>
      </c>
      <c r="D205" s="9">
        <v>2.8420000000000001</v>
      </c>
      <c r="E205" s="9">
        <v>2.8359999999999999</v>
      </c>
      <c r="F205" s="9">
        <v>2.75</v>
      </c>
    </row>
    <row r="206" spans="2:6" x14ac:dyDescent="0.3">
      <c r="B206" s="6">
        <v>203</v>
      </c>
      <c r="C206" s="9">
        <v>3.5920000000000001</v>
      </c>
      <c r="D206" s="9">
        <v>3.2730000000000001</v>
      </c>
      <c r="E206" s="9">
        <v>3.2650000000000001</v>
      </c>
      <c r="F206" s="9">
        <v>3.141</v>
      </c>
    </row>
    <row r="207" spans="2:6" x14ac:dyDescent="0.3">
      <c r="B207" s="6">
        <v>204</v>
      </c>
      <c r="C207" s="9">
        <v>3.903</v>
      </c>
      <c r="D207" s="9">
        <v>3.5590000000000002</v>
      </c>
      <c r="E207" s="9">
        <v>3.5550000000000002</v>
      </c>
      <c r="F207" s="9">
        <v>3.4119999999999999</v>
      </c>
    </row>
    <row r="208" spans="2:6" x14ac:dyDescent="0.3">
      <c r="B208" s="6">
        <v>205</v>
      </c>
      <c r="C208" s="9">
        <v>3.5129999999999999</v>
      </c>
      <c r="D208" s="9">
        <v>3.1829999999999998</v>
      </c>
      <c r="E208" s="9">
        <v>3.1779999999999999</v>
      </c>
      <c r="F208" s="9">
        <v>3.0630000000000002</v>
      </c>
    </row>
    <row r="209" spans="1:89" x14ac:dyDescent="0.3">
      <c r="B209" s="6">
        <v>206</v>
      </c>
      <c r="C209" s="9">
        <v>3.08</v>
      </c>
      <c r="D209" s="9">
        <v>2.7890000000000001</v>
      </c>
      <c r="E209" s="9">
        <v>2.786</v>
      </c>
      <c r="F209" s="9">
        <v>2.6930000000000001</v>
      </c>
    </row>
    <row r="210" spans="1:89" x14ac:dyDescent="0.3">
      <c r="B210" s="6">
        <v>207</v>
      </c>
      <c r="C210" s="9">
        <v>2.75</v>
      </c>
      <c r="D210" s="9">
        <v>2.4900000000000002</v>
      </c>
      <c r="E210" s="9">
        <v>2.4889999999999999</v>
      </c>
      <c r="F210" s="9">
        <v>2.407</v>
      </c>
    </row>
    <row r="211" spans="1:89" x14ac:dyDescent="0.3">
      <c r="B211" s="6">
        <v>208</v>
      </c>
      <c r="C211" s="9">
        <v>2.5270000000000001</v>
      </c>
      <c r="D211" s="9">
        <v>2.294</v>
      </c>
      <c r="E211" s="9">
        <v>2.2919999999999998</v>
      </c>
      <c r="F211" s="9">
        <v>2.2160000000000002</v>
      </c>
    </row>
    <row r="212" spans="1:89" x14ac:dyDescent="0.3">
      <c r="B212" s="6">
        <v>209</v>
      </c>
      <c r="C212" s="9">
        <v>2.3330000000000002</v>
      </c>
      <c r="D212" s="9">
        <v>2.1280000000000001</v>
      </c>
      <c r="E212" s="9">
        <v>2.1259999999999999</v>
      </c>
      <c r="F212" s="9">
        <v>2.0539999999999998</v>
      </c>
    </row>
    <row r="213" spans="1:89" x14ac:dyDescent="0.3">
      <c r="B213" s="6">
        <v>210</v>
      </c>
      <c r="C213" s="9">
        <v>2.1869999999999998</v>
      </c>
      <c r="D213" s="9">
        <v>2.0049999999999999</v>
      </c>
      <c r="E213" s="9">
        <v>2.0030000000000001</v>
      </c>
      <c r="F213" s="9">
        <v>1.9379999999999999</v>
      </c>
    </row>
    <row r="214" spans="1:89" x14ac:dyDescent="0.3">
      <c r="B214" s="6">
        <v>211</v>
      </c>
      <c r="C214" s="9">
        <v>2.1030000000000002</v>
      </c>
      <c r="D214" s="9">
        <v>1.9350000000000001</v>
      </c>
      <c r="E214" s="9">
        <v>1.9319999999999999</v>
      </c>
      <c r="F214" s="9">
        <v>1.8720000000000001</v>
      </c>
    </row>
    <row r="215" spans="1:89" x14ac:dyDescent="0.3">
      <c r="B215" s="6">
        <v>212</v>
      </c>
      <c r="C215" s="9">
        <v>2.081</v>
      </c>
      <c r="D215" s="9">
        <v>1.917</v>
      </c>
      <c r="E215" s="9">
        <v>1.9139999999999999</v>
      </c>
      <c r="F215" s="9">
        <v>1.8560000000000001</v>
      </c>
    </row>
    <row r="216" spans="1:89" x14ac:dyDescent="0.3">
      <c r="B216" s="6">
        <v>213</v>
      </c>
      <c r="C216" s="9">
        <v>2.1139999999999999</v>
      </c>
      <c r="D216" s="9">
        <v>1.948</v>
      </c>
      <c r="E216" s="9">
        <v>1.944</v>
      </c>
      <c r="F216" s="9">
        <v>1.89</v>
      </c>
    </row>
    <row r="217" spans="1:89" x14ac:dyDescent="0.3">
      <c r="B217" s="6">
        <v>214</v>
      </c>
      <c r="C217" s="9">
        <v>2.2149999999999999</v>
      </c>
      <c r="D217" s="9">
        <v>2.0310000000000001</v>
      </c>
      <c r="E217" s="9">
        <v>2.028</v>
      </c>
      <c r="F217" s="9">
        <v>1.9750000000000001</v>
      </c>
    </row>
    <row r="218" spans="1:89" x14ac:dyDescent="0.3">
      <c r="B218" s="6">
        <v>215</v>
      </c>
      <c r="C218" s="9">
        <v>2.3610000000000002</v>
      </c>
      <c r="D218" s="9">
        <v>2.1579999999999999</v>
      </c>
      <c r="E218" s="9">
        <v>2.1549999999999998</v>
      </c>
      <c r="F218" s="9">
        <v>2.097</v>
      </c>
    </row>
    <row r="219" spans="1:89" x14ac:dyDescent="0.3">
      <c r="B219" s="6">
        <v>216</v>
      </c>
      <c r="C219" s="9">
        <v>2.5409999999999999</v>
      </c>
      <c r="D219" s="9">
        <v>2.319</v>
      </c>
      <c r="E219" s="9">
        <v>2.3159999999999998</v>
      </c>
      <c r="F219" s="9">
        <v>2.2519999999999998</v>
      </c>
    </row>
    <row r="220" spans="1:89" x14ac:dyDescent="0.3">
      <c r="B220" s="6">
        <v>217</v>
      </c>
      <c r="C220" s="9">
        <v>2.7589999999999999</v>
      </c>
      <c r="D220" s="9">
        <v>2.5089999999999999</v>
      </c>
      <c r="E220" s="9">
        <v>2.5049999999999999</v>
      </c>
      <c r="F220" s="9">
        <v>2.431</v>
      </c>
    </row>
    <row r="221" spans="1:89" x14ac:dyDescent="0.3">
      <c r="B221" s="6">
        <v>218</v>
      </c>
      <c r="C221" s="9">
        <v>3.0720000000000001</v>
      </c>
      <c r="D221" s="9">
        <v>2.7930000000000001</v>
      </c>
      <c r="E221" s="9">
        <v>2.7869999999999999</v>
      </c>
      <c r="F221" s="9">
        <v>2.7029999999999998</v>
      </c>
    </row>
    <row r="222" spans="1:89" x14ac:dyDescent="0.3">
      <c r="B222" s="6">
        <v>219</v>
      </c>
      <c r="C222" s="9">
        <v>3.456</v>
      </c>
      <c r="D222" s="9">
        <v>3.1440000000000001</v>
      </c>
      <c r="E222" s="9">
        <v>3.137</v>
      </c>
      <c r="F222" s="9">
        <v>3.0289999999999999</v>
      </c>
    </row>
    <row r="223" spans="1:89" x14ac:dyDescent="0.3">
      <c r="B223" s="6">
        <v>220</v>
      </c>
      <c r="C223" s="9">
        <v>3.7850000000000001</v>
      </c>
      <c r="D223" s="9">
        <v>3.456</v>
      </c>
      <c r="E223" s="9">
        <v>3.4489999999999998</v>
      </c>
      <c r="F223" s="9">
        <v>3.3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80AD3-9F9C-4A2E-8ACD-79909BC1C1D9}">
  <sheetPr codeName="工作表4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918.47699999999998</v>
      </c>
      <c r="J2" s="2">
        <f ca="1">goldenOTP_check!J2*J58</f>
        <v>941.22</v>
      </c>
      <c r="K2" s="2">
        <f ca="1">goldenOTP_check!K2*K58</f>
        <v>977.31100000000004</v>
      </c>
      <c r="L2" s="2">
        <f ca="1">goldenOTP_check!L2*L58</f>
        <v>995.27700000000004</v>
      </c>
      <c r="M2" s="2">
        <f ca="1">goldenOTP_check!M2*M58</f>
        <v>1036.32</v>
      </c>
      <c r="N2" s="2">
        <f ca="1">goldenOTP_check!N2*N58</f>
        <v>1023.99</v>
      </c>
      <c r="O2" s="2">
        <f ca="1">goldenOTP_check!O2*O58</f>
        <v>1038.23</v>
      </c>
      <c r="P2" s="2">
        <f ca="1">goldenOTP_check!P2*P58</f>
        <v>1073.732</v>
      </c>
      <c r="Q2" s="2">
        <f ca="1">goldenOTP_check!Q2*Q58</f>
        <v>1050.6859999999999</v>
      </c>
      <c r="R2" s="2">
        <f ca="1">goldenOTP_check!R2*R58</f>
        <v>1073.2259999999999</v>
      </c>
      <c r="S2" s="2">
        <f ca="1">goldenOTP_check!S2*S58</f>
        <v>1064.2560000000001</v>
      </c>
      <c r="T2" s="2">
        <f ca="1">goldenOTP_check!T2*T58</f>
        <v>1058.4970000000001</v>
      </c>
      <c r="U2" s="2">
        <f ca="1">goldenOTP_check!U2*U58</f>
        <v>1031.0160000000001</v>
      </c>
      <c r="V2" s="2">
        <f ca="1">goldenOTP_check!V2*V58</f>
        <v>993.47199999999987</v>
      </c>
      <c r="W2" s="2">
        <f ca="1">goldenOTP_check!W2*W58</f>
        <v>980.48099999999999</v>
      </c>
      <c r="X2" s="2">
        <f ca="1">goldenOTP_check!X2*X58</f>
        <v>937.98</v>
      </c>
      <c r="Y2" s="3">
        <f ca="1">goldenOTP_check!Y2*Y58</f>
        <v>906.52700000000004</v>
      </c>
      <c r="BA2"/>
      <c r="BB2"/>
      <c r="BC2"/>
      <c r="BD2"/>
    </row>
    <row r="3" spans="2:56" x14ac:dyDescent="0.3">
      <c r="B3" s="8">
        <v>0</v>
      </c>
      <c r="C3" s="9">
        <v>3.843</v>
      </c>
      <c r="D3" s="9">
        <v>3.4529999999999998</v>
      </c>
      <c r="E3" s="9">
        <v>3.452</v>
      </c>
      <c r="F3" s="9">
        <v>3.26</v>
      </c>
      <c r="H3" t="s">
        <v>6</v>
      </c>
      <c r="I3" s="2">
        <f ca="1">goldenOTP_check!I3*I59</f>
        <v>989.28000000000009</v>
      </c>
      <c r="J3" s="2">
        <f ca="1">goldenOTP_check!J3*J59</f>
        <v>1007.109</v>
      </c>
      <c r="K3" s="2">
        <f ca="1">goldenOTP_check!K3*K59</f>
        <v>1008.8599999999999</v>
      </c>
      <c r="L3" s="2">
        <f ca="1">goldenOTP_check!L3*L59</f>
        <v>1053.27</v>
      </c>
      <c r="M3" s="2">
        <f ca="1">goldenOTP_check!M3*M59</f>
        <v>1062.67</v>
      </c>
      <c r="N3" s="2">
        <f ca="1">goldenOTP_check!N3*N59</f>
        <v>1094.501</v>
      </c>
      <c r="O3" s="2">
        <f ca="1">goldenOTP_check!O3*O59</f>
        <v>1084.008</v>
      </c>
      <c r="P3" s="2">
        <f ca="1">goldenOTP_check!P3*P59</f>
        <v>1098.5999999999999</v>
      </c>
      <c r="Q3" s="2">
        <f ca="1">goldenOTP_check!Q3*Q59</f>
        <v>1100.4110000000001</v>
      </c>
      <c r="R3" s="2">
        <f ca="1">goldenOTP_check!R3*R59</f>
        <v>1096.2</v>
      </c>
      <c r="S3" s="2">
        <f ca="1">goldenOTP_check!S3*S59</f>
        <v>1105.3440000000001</v>
      </c>
      <c r="T3" s="2">
        <f ca="1">goldenOTP_check!T3*T59</f>
        <v>1092.385</v>
      </c>
      <c r="U3" s="2">
        <f ca="1">goldenOTP_check!U3*U59</f>
        <v>1062.67</v>
      </c>
      <c r="V3" s="2">
        <f ca="1">goldenOTP_check!V3*V59</f>
        <v>1053.693</v>
      </c>
      <c r="W3" s="2">
        <f ca="1">goldenOTP_check!W3*W59</f>
        <v>1012.875</v>
      </c>
      <c r="X3" s="2">
        <f ca="1">goldenOTP_check!X3*X59</f>
        <v>1005.524</v>
      </c>
      <c r="Y3" s="2">
        <f ca="1">goldenOTP_check!Y3*Y59</f>
        <v>917.745</v>
      </c>
      <c r="BA3"/>
      <c r="BB3"/>
      <c r="BC3"/>
      <c r="BD3"/>
    </row>
    <row r="4" spans="2:56" x14ac:dyDescent="0.3">
      <c r="B4" s="6">
        <v>1</v>
      </c>
      <c r="C4" s="9">
        <v>3.4860000000000002</v>
      </c>
      <c r="D4" s="9">
        <v>3.0979999999999999</v>
      </c>
      <c r="E4" s="9">
        <v>3.101</v>
      </c>
      <c r="F4" s="9">
        <v>2.9420000000000002</v>
      </c>
      <c r="I4" s="2">
        <f ca="1">goldenOTP_check!I4*I60</f>
        <v>982.81</v>
      </c>
      <c r="J4" s="2">
        <f ca="1">goldenOTP_check!J4*J60</f>
        <v>1018.405</v>
      </c>
      <c r="K4" s="2">
        <f ca="1">goldenOTP_check!K4*K60</f>
        <v>1040.712</v>
      </c>
      <c r="L4" s="2">
        <f ca="1">goldenOTP_check!L4*L60</f>
        <v>1057.03</v>
      </c>
      <c r="M4" s="2">
        <f ca="1">goldenOTP_check!M4*M60</f>
        <v>1083.0819999999999</v>
      </c>
      <c r="N4" s="2">
        <f ca="1">goldenOTP_check!N4*N60</f>
        <v>1099.1889999999999</v>
      </c>
      <c r="O4" s="2">
        <f ca="1">goldenOTP_check!O4*O60</f>
        <v>1100.81</v>
      </c>
      <c r="P4" s="2">
        <f ca="1">goldenOTP_check!P4*P60</f>
        <v>1092.182</v>
      </c>
      <c r="Q4" s="2">
        <f ca="1">goldenOTP_check!Q4*Q60</f>
        <v>1088.4059999999999</v>
      </c>
      <c r="R4" s="2">
        <f ca="1">goldenOTP_check!R4*R60</f>
        <v>1095.0059999999999</v>
      </c>
      <c r="S4" s="2">
        <f ca="1">goldenOTP_check!S4*S60</f>
        <v>1106.8399999999999</v>
      </c>
      <c r="T4" s="2">
        <f ca="1">goldenOTP_check!T4*T60</f>
        <v>1103.4660000000001</v>
      </c>
      <c r="U4" s="2">
        <f ca="1">goldenOTP_check!U4*U60</f>
        <v>1086.8689999999999</v>
      </c>
      <c r="V4" s="2">
        <f ca="1">goldenOTP_check!V4*V60</f>
        <v>1061.26</v>
      </c>
      <c r="W4" s="2">
        <f ca="1">goldenOTP_check!W4*W60</f>
        <v>1043.184</v>
      </c>
      <c r="X4" s="2">
        <f ca="1">goldenOTP_check!X4*X60</f>
        <v>1014.522</v>
      </c>
      <c r="Y4" s="2">
        <f ca="1">goldenOTP_check!Y4*Y60</f>
        <v>965.99</v>
      </c>
      <c r="BA4"/>
      <c r="BB4"/>
      <c r="BC4"/>
      <c r="BD4"/>
    </row>
    <row r="5" spans="2:56" x14ac:dyDescent="0.3">
      <c r="B5" s="6">
        <v>2</v>
      </c>
      <c r="C5" s="9">
        <v>3.0830000000000002</v>
      </c>
      <c r="D5" s="9">
        <v>2.7330000000000001</v>
      </c>
      <c r="E5" s="9">
        <v>2.7370000000000001</v>
      </c>
      <c r="F5" s="9">
        <v>2.6040000000000001</v>
      </c>
      <c r="I5" s="2">
        <f ca="1">goldenOTP_check!I5*I61</f>
        <v>979.99400000000003</v>
      </c>
      <c r="J5" s="2">
        <f ca="1">goldenOTP_check!J5*J61</f>
        <v>1012.944</v>
      </c>
      <c r="K5" s="2">
        <f ca="1">goldenOTP_check!K5*K61</f>
        <v>1052.6849999999999</v>
      </c>
      <c r="L5" s="2">
        <f ca="1">goldenOTP_check!L5*L61</f>
        <v>1087.624</v>
      </c>
      <c r="M5" s="2">
        <f ca="1">goldenOTP_check!M5*M61</f>
        <v>1096.7449999999999</v>
      </c>
      <c r="N5" s="2">
        <f ca="1">goldenOTP_check!N5*N61</f>
        <v>1095.1320000000001</v>
      </c>
      <c r="O5" s="2">
        <f ca="1">goldenOTP_check!O5*O61</f>
        <v>1083.3519999999999</v>
      </c>
      <c r="P5" s="2">
        <f ca="1">goldenOTP_check!P5*P61</f>
        <v>1074.575</v>
      </c>
      <c r="Q5" s="2">
        <f ca="1">goldenOTP_check!Q5*Q61</f>
        <v>1082.9949999999999</v>
      </c>
      <c r="R5" s="2">
        <f ca="1">goldenOTP_check!R5*R61</f>
        <v>1079.441</v>
      </c>
      <c r="S5" s="2">
        <f ca="1">goldenOTP_check!S5*S61</f>
        <v>1092.52</v>
      </c>
      <c r="T5" s="2">
        <f ca="1">goldenOTP_check!T5*T61</f>
        <v>1104.154</v>
      </c>
      <c r="U5" s="2">
        <f ca="1">goldenOTP_check!U5*U61</f>
        <v>1104.077</v>
      </c>
      <c r="V5" s="2">
        <f ca="1">goldenOTP_check!V5*V61</f>
        <v>1092.385</v>
      </c>
      <c r="W5" s="2">
        <f ca="1">goldenOTP_check!W5*W61</f>
        <v>1053.5790000000002</v>
      </c>
      <c r="X5" s="2">
        <f ca="1">goldenOTP_check!X5*X61</f>
        <v>1006.176</v>
      </c>
      <c r="Y5" s="2">
        <f ca="1">goldenOTP_check!Y5*Y61</f>
        <v>961.154</v>
      </c>
      <c r="BA5"/>
      <c r="BB5"/>
      <c r="BC5"/>
      <c r="BD5"/>
    </row>
    <row r="6" spans="2:56" x14ac:dyDescent="0.3">
      <c r="B6" s="6">
        <v>3</v>
      </c>
      <c r="C6" s="9">
        <v>2.7570000000000001</v>
      </c>
      <c r="D6" s="9">
        <v>2.444</v>
      </c>
      <c r="E6" s="9">
        <v>2.448</v>
      </c>
      <c r="F6" s="9">
        <v>2.3380000000000001</v>
      </c>
      <c r="I6" s="2">
        <f ca="1">goldenOTP_check!I6*I62</f>
        <v>974.69100000000003</v>
      </c>
      <c r="J6" s="2">
        <f ca="1">goldenOTP_check!J6*J62</f>
        <v>1050.5999999999999</v>
      </c>
      <c r="K6" s="2">
        <f ca="1">goldenOTP_check!K6*K62</f>
        <v>1066.6659999999999</v>
      </c>
      <c r="L6" s="2">
        <f ca="1">goldenOTP_check!L6*L62</f>
        <v>1099.5840000000001</v>
      </c>
      <c r="M6" s="2">
        <f ca="1">goldenOTP_check!M6*M62</f>
        <v>1096.79</v>
      </c>
      <c r="N6" s="2">
        <f ca="1">goldenOTP_check!N6*N62</f>
        <v>1081.06</v>
      </c>
      <c r="O6" s="2">
        <f ca="1">goldenOTP_check!O6*O62</f>
        <v>1069.761</v>
      </c>
      <c r="P6" s="2">
        <f ca="1">goldenOTP_check!P6*P62</f>
        <v>1062.47</v>
      </c>
      <c r="Q6" s="2">
        <f ca="1">goldenOTP_check!Q6*Q62</f>
        <v>1062.7759999999998</v>
      </c>
      <c r="R6" s="2">
        <f ca="1">goldenOTP_check!R6*R62</f>
        <v>1065.1849999999999</v>
      </c>
      <c r="S6" s="2">
        <f ca="1">goldenOTP_check!S6*S62</f>
        <v>1073.9960000000001</v>
      </c>
      <c r="T6" s="2">
        <f ca="1">goldenOTP_check!T6*T62</f>
        <v>1084.116</v>
      </c>
      <c r="U6" s="2">
        <f ca="1">goldenOTP_check!U6*U62</f>
        <v>1098.8</v>
      </c>
      <c r="V6" s="2">
        <f ca="1">goldenOTP_check!V6*V62</f>
        <v>1101.8879999999999</v>
      </c>
      <c r="W6" s="2">
        <f ca="1">goldenOTP_check!W6*W62</f>
        <v>1070.5219999999999</v>
      </c>
      <c r="X6" s="2">
        <f ca="1">goldenOTP_check!X6*X62</f>
        <v>1019.6</v>
      </c>
      <c r="Y6" s="2">
        <f ca="1">goldenOTP_check!Y6*Y62</f>
        <v>977.3</v>
      </c>
      <c r="BA6"/>
      <c r="BB6"/>
      <c r="BC6"/>
      <c r="BD6"/>
    </row>
    <row r="7" spans="2:56" x14ac:dyDescent="0.3">
      <c r="B7" s="6">
        <v>4</v>
      </c>
      <c r="C7" s="9">
        <v>2.54</v>
      </c>
      <c r="D7" s="9">
        <v>2.254</v>
      </c>
      <c r="E7" s="9">
        <v>2.258</v>
      </c>
      <c r="F7" s="9">
        <v>2.1589999999999998</v>
      </c>
      <c r="I7" s="2">
        <f ca="1">goldenOTP_check!I7*I63</f>
        <v>979.8</v>
      </c>
      <c r="J7" s="2">
        <f ca="1">goldenOTP_check!J7*J63</f>
        <v>1041.4260000000002</v>
      </c>
      <c r="K7" s="2">
        <f ca="1">goldenOTP_check!K7*K63</f>
        <v>1070.19</v>
      </c>
      <c r="L7" s="2">
        <f ca="1">goldenOTP_check!L7*L63</f>
        <v>1083</v>
      </c>
      <c r="M7" s="2">
        <f ca="1">goldenOTP_check!M7*M63</f>
        <v>1080.18</v>
      </c>
      <c r="N7" s="2">
        <f ca="1">goldenOTP_check!N7*N63</f>
        <v>1068.087</v>
      </c>
      <c r="O7" s="2">
        <f ca="1">goldenOTP_check!O7*O63</f>
        <v>1058.8499999999999</v>
      </c>
      <c r="P7" s="2">
        <f ca="1">goldenOTP_check!P7*P63</f>
        <v>1037.2640000000001</v>
      </c>
      <c r="Q7" s="2">
        <f ca="1">goldenOTP_check!Q7*Q63</f>
        <v>1029.4960000000001</v>
      </c>
      <c r="R7" s="2">
        <f ca="1">goldenOTP_check!R7*R63</f>
        <v>1052.1280000000002</v>
      </c>
      <c r="S7" s="2">
        <f ca="1">goldenOTP_check!S7*S63</f>
        <v>1060.6599999999999</v>
      </c>
      <c r="T7" s="2">
        <f ca="1">goldenOTP_check!T7*T63</f>
        <v>1067.2760000000001</v>
      </c>
      <c r="U7" s="2">
        <f ca="1">goldenOTP_check!U7*U63</f>
        <v>1079.4739999999999</v>
      </c>
      <c r="V7" s="2">
        <f ca="1">goldenOTP_check!V7*V63</f>
        <v>1084.8</v>
      </c>
      <c r="W7" s="2">
        <f ca="1">goldenOTP_check!W7*W63</f>
        <v>1075.25</v>
      </c>
      <c r="X7" s="2">
        <f ca="1">goldenOTP_check!X7*X63</f>
        <v>1043.9639999999999</v>
      </c>
      <c r="Y7" s="2">
        <f ca="1">goldenOTP_check!Y7*Y63</f>
        <v>973.245</v>
      </c>
      <c r="BA7"/>
      <c r="BB7"/>
      <c r="BC7"/>
      <c r="BD7"/>
    </row>
    <row r="8" spans="2:56" x14ac:dyDescent="0.3">
      <c r="B8" s="6">
        <v>5</v>
      </c>
      <c r="C8" s="9">
        <v>2.3540000000000001</v>
      </c>
      <c r="D8" s="9">
        <v>2.0990000000000002</v>
      </c>
      <c r="E8" s="9">
        <v>2.1030000000000002</v>
      </c>
      <c r="F8" s="9">
        <v>2.0129999999999999</v>
      </c>
      <c r="I8" s="2">
        <f ca="1">goldenOTP_check!I8*I64</f>
        <v>1006.0260000000001</v>
      </c>
      <c r="J8" s="2">
        <f ca="1">goldenOTP_check!J8*J64</f>
        <v>1059.2250000000001</v>
      </c>
      <c r="K8" s="2">
        <f ca="1">goldenOTP_check!K8*K64</f>
        <v>1075.877</v>
      </c>
      <c r="L8" s="2">
        <f ca="1">goldenOTP_check!L8*L64</f>
        <v>1077.8040000000001</v>
      </c>
      <c r="M8" s="2">
        <f ca="1">goldenOTP_check!M8*M64</f>
        <v>1082.5650000000001</v>
      </c>
      <c r="N8" s="2">
        <f ca="1">goldenOTP_check!N8*N64</f>
        <v>1062.9549999999999</v>
      </c>
      <c r="O8" s="2">
        <f ca="1">goldenOTP_check!O8*O64</f>
        <v>1046.9829999999999</v>
      </c>
      <c r="P8" s="2">
        <f ca="1">goldenOTP_check!P8*P64</f>
        <v>1032.9660000000001</v>
      </c>
      <c r="Q8" s="2">
        <f ca="1">goldenOTP_check!Q8*Q64</f>
        <v>1027.0920000000001</v>
      </c>
      <c r="R8" s="2">
        <f ca="1">goldenOTP_check!R8*R64</f>
        <v>1035.963</v>
      </c>
      <c r="S8" s="2">
        <f ca="1">goldenOTP_check!S8*S64</f>
        <v>1067.0939999999998</v>
      </c>
      <c r="T8" s="2">
        <f ca="1">goldenOTP_check!T8*T64</f>
        <v>1067.1300000000001</v>
      </c>
      <c r="U8" s="2">
        <f ca="1">goldenOTP_check!U8*U64</f>
        <v>1086.21</v>
      </c>
      <c r="V8" s="2">
        <f ca="1">goldenOTP_check!V8*V64</f>
        <v>1082.0809999999999</v>
      </c>
      <c r="W8" s="2">
        <f ca="1">goldenOTP_check!W8*W64</f>
        <v>1078.462</v>
      </c>
      <c r="X8" s="2">
        <f ca="1">goldenOTP_check!X8*X64</f>
        <v>1027.4669999999999</v>
      </c>
      <c r="Y8" s="2">
        <f ca="1">goldenOTP_check!Y8*Y64</f>
        <v>1003.941</v>
      </c>
    </row>
    <row r="9" spans="2:56" x14ac:dyDescent="0.3">
      <c r="B9" s="6">
        <v>6</v>
      </c>
      <c r="C9" s="9">
        <v>2.2090000000000001</v>
      </c>
      <c r="D9" s="9">
        <v>1.98</v>
      </c>
      <c r="E9" s="9">
        <v>1.9830000000000001</v>
      </c>
      <c r="F9" s="9">
        <v>1.901</v>
      </c>
      <c r="I9" s="2">
        <f ca="1">goldenOTP_check!I9*I65</f>
        <v>981.87</v>
      </c>
      <c r="J9" s="2">
        <f ca="1">goldenOTP_check!J9*J65</f>
        <v>1041.0029999999999</v>
      </c>
      <c r="K9" s="2">
        <f ca="1">goldenOTP_check!K9*K65</f>
        <v>1065.1299999999999</v>
      </c>
      <c r="L9" s="2">
        <f ca="1">goldenOTP_check!L9*L65</f>
        <v>1093.69</v>
      </c>
      <c r="M9" s="2">
        <f ca="1">goldenOTP_check!M9*M65</f>
        <v>1083.3869999999999</v>
      </c>
      <c r="N9" s="2">
        <f ca="1">goldenOTP_check!N9*N65</f>
        <v>1068.2540000000001</v>
      </c>
      <c r="O9" s="2">
        <f ca="1">goldenOTP_check!O9*O65</f>
        <v>1056.384</v>
      </c>
      <c r="P9" s="2">
        <f ca="1">goldenOTP_check!P9*P65</f>
        <v>1032.6079999999999</v>
      </c>
      <c r="Q9" s="2">
        <f ca="1">goldenOTP_check!Q9*Q65</f>
        <v>1027.971</v>
      </c>
      <c r="R9" s="2">
        <f ca="1">goldenOTP_check!R9*R65</f>
        <v>1040.4160000000002</v>
      </c>
      <c r="S9" s="2">
        <f ca="1">goldenOTP_check!S9*S65</f>
        <v>1067.3879999999999</v>
      </c>
      <c r="T9" s="2">
        <f ca="1">goldenOTP_check!T9*T65</f>
        <v>1077.307</v>
      </c>
      <c r="U9" s="2">
        <f ca="1">goldenOTP_check!U9*U65</f>
        <v>1091.991</v>
      </c>
      <c r="V9" s="2">
        <f ca="1">goldenOTP_check!V9*V65</f>
        <v>1080.5999999999999</v>
      </c>
      <c r="W9" s="2">
        <f ca="1">goldenOTP_check!W9*W65</f>
        <v>1068.672</v>
      </c>
      <c r="X9" s="2">
        <f ca="1">goldenOTP_check!X9*X65</f>
        <v>1035.5039999999999</v>
      </c>
      <c r="Y9" s="2">
        <f ca="1">goldenOTP_check!Y9*Y65</f>
        <v>963.2399999999999</v>
      </c>
    </row>
    <row r="10" spans="2:56" x14ac:dyDescent="0.3">
      <c r="B10" s="6">
        <v>7</v>
      </c>
      <c r="C10" s="9">
        <v>2.1219999999999999</v>
      </c>
      <c r="D10" s="9">
        <v>1.91</v>
      </c>
      <c r="E10" s="9">
        <v>1.9119999999999999</v>
      </c>
      <c r="F10" s="9">
        <v>1.835</v>
      </c>
      <c r="I10" s="2">
        <f ca="1">goldenOTP_check!I10*I66</f>
        <v>976.02300000000002</v>
      </c>
      <c r="J10" s="2">
        <f ca="1">goldenOTP_check!J10*J66</f>
        <v>1049.364</v>
      </c>
      <c r="K10" s="2">
        <f ca="1">goldenOTP_check!K10*K66</f>
        <v>1061.846</v>
      </c>
      <c r="L10" s="2">
        <f ca="1">goldenOTP_check!L10*L66</f>
        <v>1089.2159999999999</v>
      </c>
      <c r="M10" s="2">
        <f ca="1">goldenOTP_check!M10*M66</f>
        <v>1082.05</v>
      </c>
      <c r="N10" s="2">
        <f ca="1">goldenOTP_check!N10*N66</f>
        <v>1081.7439999999999</v>
      </c>
      <c r="O10" s="2">
        <f ca="1">goldenOTP_check!O10*O66</f>
        <v>1067.3520000000001</v>
      </c>
      <c r="P10" s="2">
        <f ca="1">goldenOTP_check!P10*P66</f>
        <v>1057.3009999999999</v>
      </c>
      <c r="Q10" s="2">
        <f ca="1">goldenOTP_check!Q10*Q66</f>
        <v>1055.8020000000001</v>
      </c>
      <c r="R10" s="2">
        <f ca="1">goldenOTP_check!R10*R66</f>
        <v>1060.0519999999999</v>
      </c>
      <c r="S10" s="2">
        <f ca="1">goldenOTP_check!S10*S66</f>
        <v>1071.6420000000001</v>
      </c>
      <c r="T10" s="2">
        <f ca="1">goldenOTP_check!T10*T66</f>
        <v>1086.3999999999999</v>
      </c>
      <c r="U10" s="2">
        <f ca="1">goldenOTP_check!U10*U66</f>
        <v>1088.0800000000002</v>
      </c>
      <c r="V10" s="2">
        <f ca="1">goldenOTP_check!V10*V66</f>
        <v>1094.9760000000001</v>
      </c>
      <c r="W10" s="2">
        <f ca="1">goldenOTP_check!W10*W66</f>
        <v>1064.2560000000001</v>
      </c>
      <c r="X10" s="2">
        <f ca="1">goldenOTP_check!X10*X66</f>
        <v>1045.2439999999999</v>
      </c>
      <c r="Y10" s="2">
        <f ca="1">goldenOTP_check!Y10*Y66</f>
        <v>961.70399999999995</v>
      </c>
    </row>
    <row r="11" spans="2:56" x14ac:dyDescent="0.3">
      <c r="B11" s="6">
        <v>8</v>
      </c>
      <c r="C11" s="9">
        <v>2.093</v>
      </c>
      <c r="D11" s="9">
        <v>1.8879999999999999</v>
      </c>
      <c r="E11" s="9">
        <v>1.891</v>
      </c>
      <c r="F11" s="9">
        <v>1.8169999999999999</v>
      </c>
      <c r="I11" s="2">
        <f ca="1">goldenOTP_check!I11*I67</f>
        <v>1000.6750000000001</v>
      </c>
      <c r="J11" s="2">
        <f ca="1">goldenOTP_check!J11*J67</f>
        <v>1035.5720000000001</v>
      </c>
      <c r="K11" s="2">
        <f ca="1">goldenOTP_check!K11*K67</f>
        <v>1042.8510000000001</v>
      </c>
      <c r="L11" s="2">
        <f ca="1">goldenOTP_check!L11*L67</f>
        <v>1077.5729999999999</v>
      </c>
      <c r="M11" s="2">
        <f ca="1">goldenOTP_check!M11*M67</f>
        <v>1083.914</v>
      </c>
      <c r="N11" s="2">
        <f ca="1">goldenOTP_check!N11*N67</f>
        <v>1078.4760000000001</v>
      </c>
      <c r="O11" s="2">
        <f ca="1">goldenOTP_check!O11*O67</f>
        <v>1080.192</v>
      </c>
      <c r="P11" s="2">
        <f ca="1">goldenOTP_check!P11*P67</f>
        <v>1066.6079999999999</v>
      </c>
      <c r="Q11" s="2">
        <f ca="1">goldenOTP_check!Q11*Q67</f>
        <v>1055.44</v>
      </c>
      <c r="R11" s="2">
        <f ca="1">goldenOTP_check!R11*R67</f>
        <v>1065.7849999999999</v>
      </c>
      <c r="S11" s="2">
        <f ca="1">goldenOTP_check!S11*S67</f>
        <v>1060.432</v>
      </c>
      <c r="T11" s="2">
        <f ca="1">goldenOTP_check!T11*T67</f>
        <v>1074.3120000000001</v>
      </c>
      <c r="U11" s="2">
        <f ca="1">goldenOTP_check!U11*U67</f>
        <v>1080.8589999999999</v>
      </c>
      <c r="V11" s="2">
        <f ca="1">goldenOTP_check!V11*V67</f>
        <v>1077.5729999999999</v>
      </c>
      <c r="W11" s="2">
        <f ca="1">goldenOTP_check!W11*W67</f>
        <v>1045.5329999999999</v>
      </c>
      <c r="X11" s="2">
        <f ca="1">goldenOTP_check!X11*X67</f>
        <v>1035.184</v>
      </c>
      <c r="Y11" s="2">
        <f ca="1">goldenOTP_check!Y11*Y67</f>
        <v>949.21999999999991</v>
      </c>
      <c r="BD11"/>
    </row>
    <row r="12" spans="2:56" x14ac:dyDescent="0.3">
      <c r="B12" s="6">
        <v>9</v>
      </c>
      <c r="C12" s="9">
        <v>2.121</v>
      </c>
      <c r="D12" s="9">
        <v>1.91</v>
      </c>
      <c r="E12" s="9">
        <v>1.913</v>
      </c>
      <c r="F12" s="9">
        <v>1.839</v>
      </c>
      <c r="I12" s="2">
        <f ca="1">goldenOTP_check!I12*I68</f>
        <v>971.79</v>
      </c>
      <c r="J12" s="2">
        <f ca="1">goldenOTP_check!J12*J68</f>
        <v>1010.992</v>
      </c>
      <c r="K12" s="2">
        <f ca="1">goldenOTP_check!K12*K68</f>
        <v>1034.944</v>
      </c>
      <c r="L12" s="2">
        <f ca="1">goldenOTP_check!L12*L68</f>
        <v>1074.3780000000002</v>
      </c>
      <c r="M12" s="2">
        <f ca="1">goldenOTP_check!M12*M68</f>
        <v>1069.557</v>
      </c>
      <c r="N12" s="2">
        <f ca="1">goldenOTP_check!N12*N68</f>
        <v>1082.0809999999999</v>
      </c>
      <c r="O12" s="2">
        <f ca="1">goldenOTP_check!O12*O68</f>
        <v>1079.3699999999999</v>
      </c>
      <c r="P12" s="2">
        <f ca="1">goldenOTP_check!P12*P68</f>
        <v>1083.3869999999999</v>
      </c>
      <c r="Q12" s="2">
        <f ca="1">goldenOTP_check!Q12*Q68</f>
        <v>1076.7330000000002</v>
      </c>
      <c r="R12" s="2">
        <f ca="1">goldenOTP_check!R12*R68</f>
        <v>1081.2360000000001</v>
      </c>
      <c r="S12" s="2">
        <f ca="1">goldenOTP_check!S12*S68</f>
        <v>1077.3600000000001</v>
      </c>
      <c r="T12" s="2">
        <f ca="1">goldenOTP_check!T12*T68</f>
        <v>1079.0260000000001</v>
      </c>
      <c r="U12" s="2">
        <f ca="1">goldenOTP_check!U12*U68</f>
        <v>1066.3110000000001</v>
      </c>
      <c r="V12" s="2">
        <f ca="1">goldenOTP_check!V12*V68</f>
        <v>1046.6899999999998</v>
      </c>
      <c r="W12" s="2">
        <f ca="1">goldenOTP_check!W12*W68</f>
        <v>1033.7079999999999</v>
      </c>
      <c r="X12" s="2">
        <f ca="1">goldenOTP_check!X12*X68</f>
        <v>1008.168</v>
      </c>
      <c r="Y12" s="2">
        <f ca="1">goldenOTP_check!Y12*Y68</f>
        <v>961.06000000000006</v>
      </c>
      <c r="BD12"/>
    </row>
    <row r="13" spans="2:56" x14ac:dyDescent="0.3">
      <c r="B13" s="6">
        <v>10</v>
      </c>
      <c r="C13" s="9">
        <v>2.2080000000000002</v>
      </c>
      <c r="D13" s="9">
        <v>1.984</v>
      </c>
      <c r="E13" s="9">
        <v>1.9870000000000001</v>
      </c>
      <c r="F13" s="9">
        <v>1.9079999999999999</v>
      </c>
      <c r="I13" s="2">
        <f ca="1">goldenOTP_check!I13*I69</f>
        <v>986.57999999999993</v>
      </c>
      <c r="J13" s="2">
        <f ca="1">goldenOTP_check!J13*J69</f>
        <v>1000.769</v>
      </c>
      <c r="K13" s="2">
        <f ca="1">goldenOTP_check!K13*K69</f>
        <v>1002.29</v>
      </c>
      <c r="L13" s="2">
        <f ca="1">goldenOTP_check!L13*L69</f>
        <v>1043.9639999999999</v>
      </c>
      <c r="M13" s="2">
        <f ca="1">goldenOTP_check!M13*M69</f>
        <v>1073.8960000000002</v>
      </c>
      <c r="N13" s="2">
        <f ca="1">goldenOTP_check!N13*N69</f>
        <v>1073.3409999999999</v>
      </c>
      <c r="O13" s="2">
        <f ca="1">goldenOTP_check!O13*O69</f>
        <v>1082.8799999999999</v>
      </c>
      <c r="P13" s="2">
        <f ca="1">goldenOTP_check!P13*P69</f>
        <v>1093.079</v>
      </c>
      <c r="Q13" s="2">
        <f ca="1">goldenOTP_check!Q13*Q69</f>
        <v>1076.5820000000001</v>
      </c>
      <c r="R13" s="2">
        <f ca="1">goldenOTP_check!R13*R69</f>
        <v>1096.7449999999999</v>
      </c>
      <c r="S13" s="2">
        <f ca="1">goldenOTP_check!S13*S69</f>
        <v>1088.6399999999999</v>
      </c>
      <c r="T13" s="2">
        <f ca="1">goldenOTP_check!T13*T69</f>
        <v>1077.5729999999999</v>
      </c>
      <c r="U13" s="2">
        <f ca="1">goldenOTP_check!U13*U69</f>
        <v>1075.8240000000001</v>
      </c>
      <c r="V13" s="2">
        <f ca="1">goldenOTP_check!V13*V69</f>
        <v>1042.2719999999999</v>
      </c>
      <c r="W13" s="2">
        <f ca="1">goldenOTP_check!W13*W69</f>
        <v>998.6400000000001</v>
      </c>
      <c r="X13" s="2">
        <f ca="1">goldenOTP_check!X13*X69</f>
        <v>991.89300000000003</v>
      </c>
      <c r="Y13" s="2">
        <f ca="1">goldenOTP_check!Y13*Y69</f>
        <v>964.71</v>
      </c>
      <c r="BD13"/>
    </row>
    <row r="14" spans="2:56" x14ac:dyDescent="0.3">
      <c r="B14" s="6">
        <v>11</v>
      </c>
      <c r="C14" s="9">
        <v>2.347</v>
      </c>
      <c r="D14" s="9">
        <v>2.1019999999999999</v>
      </c>
      <c r="E14" s="9">
        <v>2.105</v>
      </c>
      <c r="F14" s="9">
        <v>2.0190000000000001</v>
      </c>
      <c r="I14" s="3">
        <f ca="1">goldenOTP_check!I14*I70</f>
        <v>993.48</v>
      </c>
      <c r="J14" s="2">
        <f ca="1">goldenOTP_check!J14*J70</f>
        <v>1003.288</v>
      </c>
      <c r="K14" s="2">
        <f ca="1">goldenOTP_check!K14*K70</f>
        <v>975.40899999999999</v>
      </c>
      <c r="L14" s="2">
        <f ca="1">goldenOTP_check!L14*L70</f>
        <v>992.02800000000013</v>
      </c>
      <c r="M14" s="2">
        <f ca="1">goldenOTP_check!M14*M70</f>
        <v>1020.0999999999999</v>
      </c>
      <c r="N14" s="2">
        <f ca="1">goldenOTP_check!N14*N70</f>
        <v>1051.732</v>
      </c>
      <c r="O14" s="2">
        <f ca="1">goldenOTP_check!O14*O70</f>
        <v>1053.17</v>
      </c>
      <c r="P14" s="2">
        <f ca="1">goldenOTP_check!P14*P70</f>
        <v>1054.702</v>
      </c>
      <c r="Q14" s="2">
        <f ca="1">goldenOTP_check!Q14*Q70</f>
        <v>1074.8430000000001</v>
      </c>
      <c r="R14" s="2">
        <f ca="1">goldenOTP_check!R14*R70</f>
        <v>1059.7220000000002</v>
      </c>
      <c r="S14" s="2">
        <f ca="1">goldenOTP_check!S14*S70</f>
        <v>1065.702</v>
      </c>
      <c r="T14" s="2">
        <f ca="1">goldenOTP_check!T14*T70</f>
        <v>1062.556</v>
      </c>
      <c r="U14" s="2">
        <f ca="1">goldenOTP_check!U14*U70</f>
        <v>1023.7359999999999</v>
      </c>
      <c r="V14" s="2">
        <f ca="1">goldenOTP_check!V14*V70</f>
        <v>992.75</v>
      </c>
      <c r="W14" s="2">
        <f ca="1">goldenOTP_check!W14*W70</f>
        <v>969.70300000000009</v>
      </c>
      <c r="X14" s="2">
        <f ca="1">goldenOTP_check!X14*X70</f>
        <v>983.26800000000003</v>
      </c>
      <c r="Y14" s="3">
        <f ca="1">goldenOTP_check!Y14*Y70</f>
        <v>959.31000000000006</v>
      </c>
      <c r="BD14"/>
    </row>
    <row r="15" spans="2:56" x14ac:dyDescent="0.3">
      <c r="B15" s="6">
        <v>12</v>
      </c>
      <c r="C15" s="9">
        <v>2.5270000000000001</v>
      </c>
      <c r="D15" s="9">
        <v>2.2570000000000001</v>
      </c>
      <c r="E15" s="9">
        <v>2.2599999999999998</v>
      </c>
      <c r="F15" s="9">
        <v>2.1659999999999999</v>
      </c>
      <c r="BD15"/>
    </row>
    <row r="16" spans="2:56" x14ac:dyDescent="0.3">
      <c r="B16" s="6">
        <v>13</v>
      </c>
      <c r="C16" s="9">
        <v>2.7519999999999998</v>
      </c>
      <c r="D16" s="9">
        <v>2.452</v>
      </c>
      <c r="E16" s="9">
        <v>2.4540000000000002</v>
      </c>
      <c r="F16" s="9">
        <v>2.35</v>
      </c>
      <c r="H16" t="s">
        <v>1</v>
      </c>
      <c r="I16" s="10">
        <f ca="1">goldenOTP_check!I16*I72</f>
        <v>911.59199999999998</v>
      </c>
      <c r="J16" s="2">
        <f ca="1">goldenOTP_check!J16*J72</f>
        <v>929.4</v>
      </c>
      <c r="K16" s="2">
        <f ca="1">goldenOTP_check!K16*K72</f>
        <v>951.08400000000006</v>
      </c>
      <c r="L16" s="2">
        <f ca="1">goldenOTP_check!L16*L72</f>
        <v>967.82399999999996</v>
      </c>
      <c r="M16" s="2">
        <f ca="1">goldenOTP_check!M16*M72</f>
        <v>984.99800000000005</v>
      </c>
      <c r="N16" s="2">
        <f ca="1">goldenOTP_check!N16*N72</f>
        <v>1001.2230000000001</v>
      </c>
      <c r="O16" s="2">
        <f ca="1">goldenOTP_check!O16*O72</f>
        <v>1003.86</v>
      </c>
      <c r="P16" s="2">
        <f ca="1">goldenOTP_check!P16*P72</f>
        <v>1021.8499999999999</v>
      </c>
      <c r="Q16" s="2">
        <f ca="1">goldenOTP_check!Q16*Q72</f>
        <v>1015.7439999999999</v>
      </c>
      <c r="R16" s="2">
        <f ca="1">goldenOTP_check!R16*R72</f>
        <v>1021.8499999999999</v>
      </c>
      <c r="S16" s="2">
        <f ca="1">goldenOTP_check!S16*S72</f>
        <v>1019.776</v>
      </c>
      <c r="T16" s="2">
        <f ca="1">goldenOTP_check!T16*T72</f>
        <v>1002.6539999999999</v>
      </c>
      <c r="U16" s="2">
        <f ca="1">goldenOTP_check!U16*U72</f>
        <v>986.30900000000008</v>
      </c>
      <c r="V16" s="2">
        <f ca="1">goldenOTP_check!V16*V72</f>
        <v>970.99199999999996</v>
      </c>
      <c r="W16" s="2">
        <f ca="1">goldenOTP_check!W16*W72</f>
        <v>959.08799999999997</v>
      </c>
      <c r="X16" s="2">
        <f ca="1">goldenOTP_check!X16*X72</f>
        <v>934.80000000000007</v>
      </c>
      <c r="Y16" s="10">
        <f ca="1">goldenOTP_check!Y16*Y72</f>
        <v>910.27199999999993</v>
      </c>
    </row>
    <row r="17" spans="2:25" x14ac:dyDescent="0.3">
      <c r="B17" s="6">
        <v>14</v>
      </c>
      <c r="C17" s="9">
        <v>3.093</v>
      </c>
      <c r="D17" s="9">
        <v>2.7559999999999998</v>
      </c>
      <c r="E17" s="9">
        <v>2.7570000000000001</v>
      </c>
      <c r="F17" s="9">
        <v>2.64</v>
      </c>
      <c r="H17" t="s">
        <v>6</v>
      </c>
      <c r="I17" s="2">
        <f ca="1">goldenOTP_check!I17*I73</f>
        <v>934.07600000000002</v>
      </c>
      <c r="J17" s="2">
        <f ca="1">goldenOTP_check!J17*J73</f>
        <v>951.01400000000001</v>
      </c>
      <c r="K17" s="2">
        <f ca="1">goldenOTP_check!K17*K73</f>
        <v>966.78</v>
      </c>
      <c r="L17" s="2">
        <f ca="1">goldenOTP_check!L17*L73</f>
        <v>995.45600000000002</v>
      </c>
      <c r="M17" s="2">
        <f ca="1">goldenOTP_check!M17*M73</f>
        <v>1021.0899999999999</v>
      </c>
      <c r="N17" s="2">
        <f ca="1">goldenOTP_check!N17*N73</f>
        <v>1047.566</v>
      </c>
      <c r="O17" s="2">
        <f ca="1">goldenOTP_check!O17*O73</f>
        <v>1058.8679999999999</v>
      </c>
      <c r="P17" s="2">
        <f ca="1">goldenOTP_check!P17*P73</f>
        <v>1061.55</v>
      </c>
      <c r="Q17" s="2">
        <f ca="1">goldenOTP_check!Q17*Q73</f>
        <v>1065.3419999999999</v>
      </c>
      <c r="R17" s="2">
        <f ca="1">goldenOTP_check!R17*R73</f>
        <v>1061.55</v>
      </c>
      <c r="S17" s="2">
        <f ca="1">goldenOTP_check!S17*S73</f>
        <v>1061.883</v>
      </c>
      <c r="T17" s="2">
        <f ca="1">goldenOTP_check!T17*T73</f>
        <v>1050.9199999999998</v>
      </c>
      <c r="U17" s="2">
        <f ca="1">goldenOTP_check!U17*U73</f>
        <v>1027.126</v>
      </c>
      <c r="V17" s="2">
        <f ca="1">goldenOTP_check!V17*V73</f>
        <v>1002.624</v>
      </c>
      <c r="W17" s="2">
        <f ca="1">goldenOTP_check!W17*W73</f>
        <v>976.99800000000005</v>
      </c>
      <c r="X17" s="2">
        <f ca="1">goldenOTP_check!X17*X73</f>
        <v>959.10199999999998</v>
      </c>
      <c r="Y17" s="2">
        <f ca="1">goldenOTP_check!Y17*Y73</f>
        <v>931.50200000000007</v>
      </c>
    </row>
    <row r="18" spans="2:25" x14ac:dyDescent="0.3">
      <c r="B18" s="6">
        <v>15</v>
      </c>
      <c r="C18" s="9">
        <v>3.4740000000000002</v>
      </c>
      <c r="D18" s="9">
        <v>3.1160000000000001</v>
      </c>
      <c r="E18" s="9">
        <v>3.117</v>
      </c>
      <c r="F18" s="9">
        <v>2.976</v>
      </c>
      <c r="I18" s="2">
        <f ca="1">goldenOTP_check!I18*I74</f>
        <v>955.12099999999998</v>
      </c>
      <c r="J18" s="2">
        <f ca="1">goldenOTP_check!J18*J74</f>
        <v>965.19200000000001</v>
      </c>
      <c r="K18" s="2">
        <f ca="1">goldenOTP_check!K18*K74</f>
        <v>997.15199999999993</v>
      </c>
      <c r="L18" s="2">
        <f ca="1">goldenOTP_check!L18*L74</f>
        <v>1029.7070000000001</v>
      </c>
      <c r="M18" s="2">
        <f ca="1">goldenOTP_check!M18*M74</f>
        <v>1047.6500000000001</v>
      </c>
      <c r="N18" s="2">
        <f ca="1">goldenOTP_check!N18*N74</f>
        <v>1063.4190000000001</v>
      </c>
      <c r="O18" s="2">
        <f ca="1">goldenOTP_check!O18*O74</f>
        <v>1068.501</v>
      </c>
      <c r="P18" s="2">
        <f ca="1">goldenOTP_check!P18*P74</f>
        <v>1072.365</v>
      </c>
      <c r="Q18" s="2">
        <f ca="1">goldenOTP_check!Q18*Q74</f>
        <v>1081.376</v>
      </c>
      <c r="R18" s="2">
        <f ca="1">goldenOTP_check!R18*R74</f>
        <v>1076.7750000000001</v>
      </c>
      <c r="S18" s="2">
        <f ca="1">goldenOTP_check!S18*S74</f>
        <v>1078.9560000000001</v>
      </c>
      <c r="T18" s="2">
        <f ca="1">goldenOTP_check!T18*T74</f>
        <v>1073.675</v>
      </c>
      <c r="U18" s="2">
        <f ca="1">goldenOTP_check!U18*U74</f>
        <v>1058</v>
      </c>
      <c r="V18" s="2">
        <f ca="1">goldenOTP_check!V18*V74</f>
        <v>1028.635</v>
      </c>
      <c r="W18" s="2">
        <f ca="1">goldenOTP_check!W18*W74</f>
        <v>995.48599999999999</v>
      </c>
      <c r="X18" s="2">
        <f ca="1">goldenOTP_check!X18*X74</f>
        <v>971.96</v>
      </c>
      <c r="Y18" s="2">
        <f ca="1">goldenOTP_check!Y18*Y74</f>
        <v>953.53600000000006</v>
      </c>
    </row>
    <row r="19" spans="2:25" x14ac:dyDescent="0.3">
      <c r="B19" s="6">
        <v>16</v>
      </c>
      <c r="C19" s="9">
        <v>3.7930000000000001</v>
      </c>
      <c r="D19" s="9">
        <v>3.448</v>
      </c>
      <c r="E19" s="9">
        <v>3.448</v>
      </c>
      <c r="F19" s="9">
        <v>3.2829999999999999</v>
      </c>
      <c r="I19" s="2">
        <f ca="1">goldenOTP_check!I19*I75</f>
        <v>951.13900000000001</v>
      </c>
      <c r="J19" s="2">
        <f ca="1">goldenOTP_check!J19*J75</f>
        <v>980.78200000000004</v>
      </c>
      <c r="K19" s="2">
        <f ca="1">goldenOTP_check!K19*K75</f>
        <v>1014.91</v>
      </c>
      <c r="L19" s="2">
        <f ca="1">goldenOTP_check!L19*L75</f>
        <v>1042.5350000000001</v>
      </c>
      <c r="M19" s="2">
        <f ca="1">goldenOTP_check!M19*M75</f>
        <v>1060.855</v>
      </c>
      <c r="N19" s="2">
        <f ca="1">goldenOTP_check!N19*N75</f>
        <v>1070.0719999999999</v>
      </c>
      <c r="O19" s="2">
        <f ca="1">goldenOTP_check!O19*O75</f>
        <v>1073.8040000000001</v>
      </c>
      <c r="P19" s="2">
        <f ca="1">goldenOTP_check!P19*P75</f>
        <v>1073.9569999999999</v>
      </c>
      <c r="Q19" s="2">
        <f ca="1">goldenOTP_check!Q19*Q75</f>
        <v>1078.106</v>
      </c>
      <c r="R19" s="2">
        <f ca="1">goldenOTP_check!R19*R75</f>
        <v>1080.6849999999999</v>
      </c>
      <c r="S19" s="2">
        <f ca="1">goldenOTP_check!S19*S75</f>
        <v>1087.336</v>
      </c>
      <c r="T19" s="2">
        <f ca="1">goldenOTP_check!T19*T75</f>
        <v>1085.2760000000001</v>
      </c>
      <c r="U19" s="2">
        <f ca="1">goldenOTP_check!U19*U75</f>
        <v>1074.316</v>
      </c>
      <c r="V19" s="2">
        <f ca="1">goldenOTP_check!V19*V75</f>
        <v>1054.8330000000001</v>
      </c>
      <c r="W19" s="2">
        <f ca="1">goldenOTP_check!W19*W75</f>
        <v>1024.049</v>
      </c>
      <c r="X19" s="2">
        <f ca="1">goldenOTP_check!X19*X75</f>
        <v>985.28099999999995</v>
      </c>
      <c r="Y19" s="2">
        <f ca="1">goldenOTP_check!Y19*Y75</f>
        <v>949.08100000000002</v>
      </c>
    </row>
    <row r="20" spans="2:25" x14ac:dyDescent="0.3">
      <c r="B20" s="6">
        <v>17</v>
      </c>
      <c r="C20" s="9">
        <v>3.6640000000000001</v>
      </c>
      <c r="D20" s="9">
        <v>3.266</v>
      </c>
      <c r="E20" s="9">
        <v>3.2679999999999998</v>
      </c>
      <c r="F20" s="9">
        <v>3.129</v>
      </c>
      <c r="I20" s="2">
        <f ca="1">goldenOTP_check!I20*I76</f>
        <v>944.16300000000001</v>
      </c>
      <c r="J20" s="2">
        <f ca="1">goldenOTP_check!J20*J76</f>
        <v>992.86399999999992</v>
      </c>
      <c r="K20" s="2">
        <f ca="1">goldenOTP_check!K20*K76</f>
        <v>1023.888</v>
      </c>
      <c r="L20" s="2">
        <f ca="1">goldenOTP_check!L20*L76</f>
        <v>1061.568</v>
      </c>
      <c r="M20" s="2">
        <f ca="1">goldenOTP_check!M20*M76</f>
        <v>1071.954</v>
      </c>
      <c r="N20" s="2">
        <f ca="1">goldenOTP_check!N20*N76</f>
        <v>1070.6199999999999</v>
      </c>
      <c r="O20" s="2">
        <f ca="1">goldenOTP_check!O20*O76</f>
        <v>1067.154</v>
      </c>
      <c r="P20" s="2">
        <f ca="1">goldenOTP_check!P20*P76</f>
        <v>1060.527</v>
      </c>
      <c r="Q20" s="2">
        <f ca="1">goldenOTP_check!Q20*Q76</f>
        <v>1060.32</v>
      </c>
      <c r="R20" s="2">
        <f ca="1">goldenOTP_check!R20*R76</f>
        <v>1065.1419999999998</v>
      </c>
      <c r="S20" s="2">
        <f ca="1">goldenOTP_check!S20*S76</f>
        <v>1075.02</v>
      </c>
      <c r="T20" s="2">
        <f ca="1">goldenOTP_check!T20*T76</f>
        <v>1080.172</v>
      </c>
      <c r="U20" s="2">
        <f ca="1">goldenOTP_check!U20*U76</f>
        <v>1081.7819999999999</v>
      </c>
      <c r="V20" s="2">
        <f ca="1">goldenOTP_check!V20*V76</f>
        <v>1063.0889999999999</v>
      </c>
      <c r="W20" s="2">
        <f ca="1">goldenOTP_check!W20*W76</f>
        <v>1035.71</v>
      </c>
      <c r="X20" s="2">
        <f ca="1">goldenOTP_check!X20*X76</f>
        <v>1002.915</v>
      </c>
      <c r="Y20" s="2">
        <f ca="1">goldenOTP_check!Y20*Y76</f>
        <v>949.24500000000012</v>
      </c>
    </row>
    <row r="21" spans="2:25" x14ac:dyDescent="0.3">
      <c r="B21" s="6">
        <v>18</v>
      </c>
      <c r="C21" s="9">
        <v>3.177</v>
      </c>
      <c r="D21" s="9">
        <v>2.8220000000000001</v>
      </c>
      <c r="E21" s="9">
        <v>2.8250000000000002</v>
      </c>
      <c r="F21" s="9">
        <v>2.71</v>
      </c>
      <c r="I21" s="2">
        <f ca="1">goldenOTP_check!I21*I77</f>
        <v>937.81200000000001</v>
      </c>
      <c r="J21" s="2">
        <f ca="1">goldenOTP_check!J21*J77</f>
        <v>995.69399999999996</v>
      </c>
      <c r="K21" s="2">
        <f ca="1">goldenOTP_check!K21*K77</f>
        <v>1024.8319999999999</v>
      </c>
      <c r="L21" s="2">
        <f ca="1">goldenOTP_check!L21*L77</f>
        <v>1057.6680000000001</v>
      </c>
      <c r="M21" s="2">
        <f ca="1">goldenOTP_check!M21*M77</f>
        <v>1076.4270000000001</v>
      </c>
      <c r="N21" s="2">
        <f ca="1">goldenOTP_check!N21*N77</f>
        <v>1071.8819999999998</v>
      </c>
      <c r="O21" s="2">
        <f ca="1">goldenOTP_check!O21*O77</f>
        <v>1062.7759999999998</v>
      </c>
      <c r="P21" s="2">
        <f ca="1">goldenOTP_check!P21*P77</f>
        <v>1041.6559999999999</v>
      </c>
      <c r="Q21" s="2">
        <f ca="1">goldenOTP_check!Q21*Q77</f>
        <v>1030.82</v>
      </c>
      <c r="R21" s="2">
        <f ca="1">goldenOTP_check!R21*R77</f>
        <v>1044.5929999999998</v>
      </c>
      <c r="S21" s="2">
        <f ca="1">goldenOTP_check!S21*S77</f>
        <v>1068.3499999999999</v>
      </c>
      <c r="T21" s="2">
        <f ca="1">goldenOTP_check!T21*T77</f>
        <v>1076.9579999999999</v>
      </c>
      <c r="U21" s="2">
        <f ca="1">goldenOTP_check!U21*U77</f>
        <v>1073.7090000000001</v>
      </c>
      <c r="V21" s="2">
        <f ca="1">goldenOTP_check!V21*V77</f>
        <v>1066.5720000000001</v>
      </c>
      <c r="W21" s="2">
        <f ca="1">goldenOTP_check!W21*W77</f>
        <v>1036.624</v>
      </c>
      <c r="X21" s="2">
        <f ca="1">goldenOTP_check!X21*X77</f>
        <v>1007.4720000000001</v>
      </c>
      <c r="Y21" s="2">
        <f ca="1">goldenOTP_check!Y21*Y77</f>
        <v>965.57999999999993</v>
      </c>
    </row>
    <row r="22" spans="2:25" x14ac:dyDescent="0.3">
      <c r="B22" s="6">
        <v>19</v>
      </c>
      <c r="C22" s="9">
        <v>2.7639999999999998</v>
      </c>
      <c r="D22" s="9">
        <v>2.46</v>
      </c>
      <c r="E22" s="9">
        <v>2.4630000000000001</v>
      </c>
      <c r="F22" s="9">
        <v>2.37</v>
      </c>
      <c r="I22" s="2">
        <f ca="1">goldenOTP_check!I22*I78</f>
        <v>945</v>
      </c>
      <c r="J22" s="2">
        <f ca="1">goldenOTP_check!J22*J78</f>
        <v>997.86599999999999</v>
      </c>
      <c r="K22" s="2">
        <f ca="1">goldenOTP_check!K22*K78</f>
        <v>1030.548</v>
      </c>
      <c r="L22" s="2">
        <f ca="1">goldenOTP_check!L22*L78</f>
        <v>1063.7370000000001</v>
      </c>
      <c r="M22" s="2">
        <f ca="1">goldenOTP_check!M22*M78</f>
        <v>1063.4739999999999</v>
      </c>
      <c r="N22" s="2">
        <f ca="1">goldenOTP_check!N22*N78</f>
        <v>1062.3530000000001</v>
      </c>
      <c r="O22" s="2">
        <f ca="1">goldenOTP_check!O22*O78</f>
        <v>1053.7080000000001</v>
      </c>
      <c r="P22" s="2">
        <f ca="1">goldenOTP_check!P22*P78</f>
        <v>1028.0269999999998</v>
      </c>
      <c r="Q22" s="2">
        <f ca="1">goldenOTP_check!Q22*Q78</f>
        <v>1027.0920000000001</v>
      </c>
      <c r="R22" s="2">
        <f ca="1">goldenOTP_check!R22*R78</f>
        <v>1033.0319999999999</v>
      </c>
      <c r="S22" s="2">
        <f ca="1">goldenOTP_check!S22*S78</f>
        <v>1065.1200000000001</v>
      </c>
      <c r="T22" s="2">
        <f ca="1">goldenOTP_check!T22*T78</f>
        <v>1072.7090000000001</v>
      </c>
      <c r="U22" s="2">
        <f ca="1">goldenOTP_check!U22*U78</f>
        <v>1074.8440000000001</v>
      </c>
      <c r="V22" s="2">
        <f ca="1">goldenOTP_check!V22*V78</f>
        <v>1065.6089999999999</v>
      </c>
      <c r="W22" s="2">
        <f ca="1">goldenOTP_check!W22*W78</f>
        <v>1040.941</v>
      </c>
      <c r="X22" s="2">
        <f ca="1">goldenOTP_check!X22*X78</f>
        <v>1006.128</v>
      </c>
      <c r="Y22" s="2">
        <f ca="1">goldenOTP_check!Y22*Y78</f>
        <v>946.89</v>
      </c>
    </row>
    <row r="23" spans="2:25" x14ac:dyDescent="0.3">
      <c r="B23" s="6">
        <v>20</v>
      </c>
      <c r="C23" s="9">
        <v>2.4900000000000002</v>
      </c>
      <c r="D23" s="9">
        <v>2.222</v>
      </c>
      <c r="E23" s="9">
        <v>2.2250000000000001</v>
      </c>
      <c r="F23" s="9">
        <v>2.1469999999999998</v>
      </c>
      <c r="I23" s="2">
        <f ca="1">goldenOTP_check!I23*I79</f>
        <v>941.53200000000004</v>
      </c>
      <c r="J23" s="2">
        <f ca="1">goldenOTP_check!J23*J79</f>
        <v>996.60000000000014</v>
      </c>
      <c r="K23" s="2">
        <f ca="1">goldenOTP_check!K23*K79</f>
        <v>1033.5940000000001</v>
      </c>
      <c r="L23" s="2">
        <f ca="1">goldenOTP_check!L23*L79</f>
        <v>1058.2909999999999</v>
      </c>
      <c r="M23" s="2">
        <f ca="1">goldenOTP_check!M23*M79</f>
        <v>1065.222</v>
      </c>
      <c r="N23" s="2">
        <f ca="1">goldenOTP_check!N23*N79</f>
        <v>1065.8519999999999</v>
      </c>
      <c r="O23" s="2">
        <f ca="1">goldenOTP_check!O23*O79</f>
        <v>1053.7449999999999</v>
      </c>
      <c r="P23" s="2">
        <f ca="1">goldenOTP_check!P23*P79</f>
        <v>1030.2479999999998</v>
      </c>
      <c r="Q23" s="2">
        <f ca="1">goldenOTP_check!Q23*Q79</f>
        <v>1025.0240000000001</v>
      </c>
      <c r="R23" s="2">
        <f ca="1">goldenOTP_check!R23*R79</f>
        <v>1040.088</v>
      </c>
      <c r="S23" s="2">
        <f ca="1">goldenOTP_check!S23*S79</f>
        <v>1062.7759999999998</v>
      </c>
      <c r="T23" s="2">
        <f ca="1">goldenOTP_check!T23*T79</f>
        <v>1073.5739999999998</v>
      </c>
      <c r="U23" s="2">
        <f ca="1">goldenOTP_check!U23*U79</f>
        <v>1072.2270000000001</v>
      </c>
      <c r="V23" s="2">
        <f ca="1">goldenOTP_check!V23*V79</f>
        <v>1064.664</v>
      </c>
      <c r="W23" s="2">
        <f ca="1">goldenOTP_check!W23*W79</f>
        <v>1033.4079999999999</v>
      </c>
      <c r="X23" s="2">
        <f ca="1">goldenOTP_check!X23*X79</f>
        <v>1001.583</v>
      </c>
      <c r="Y23" s="2">
        <f ca="1">goldenOTP_check!Y23*Y79</f>
        <v>957.6</v>
      </c>
    </row>
    <row r="24" spans="2:25" x14ac:dyDescent="0.3">
      <c r="B24" s="6">
        <v>21</v>
      </c>
      <c r="C24" s="9">
        <v>2.2610000000000001</v>
      </c>
      <c r="D24" s="9">
        <v>2.0299999999999998</v>
      </c>
      <c r="E24" s="9">
        <v>2.0329999999999999</v>
      </c>
      <c r="F24" s="9">
        <v>1.9630000000000001</v>
      </c>
      <c r="I24" s="2">
        <f ca="1">goldenOTP_check!I24*I80</f>
        <v>947.06700000000001</v>
      </c>
      <c r="J24" s="2">
        <f ca="1">goldenOTP_check!J24*J80</f>
        <v>995.48599999999999</v>
      </c>
      <c r="K24" s="2">
        <f ca="1">goldenOTP_check!K24*K80</f>
        <v>1022.86</v>
      </c>
      <c r="L24" s="2">
        <f ca="1">goldenOTP_check!L24*L80</f>
        <v>1055.4880000000001</v>
      </c>
      <c r="M24" s="2">
        <f ca="1">goldenOTP_check!M24*M80</f>
        <v>1070.4960000000001</v>
      </c>
      <c r="N24" s="2">
        <f ca="1">goldenOTP_check!N24*N80</f>
        <v>1066.6600000000001</v>
      </c>
      <c r="O24" s="2">
        <f ca="1">goldenOTP_check!O24*O80</f>
        <v>1060.0740000000001</v>
      </c>
      <c r="P24" s="2">
        <f ca="1">goldenOTP_check!P24*P80</f>
        <v>1049.77</v>
      </c>
      <c r="Q24" s="2">
        <f ca="1">goldenOTP_check!Q24*Q80</f>
        <v>1052.7570000000001</v>
      </c>
      <c r="R24" s="2">
        <f ca="1">goldenOTP_check!R24*R80</f>
        <v>1054.415</v>
      </c>
      <c r="S24" s="2">
        <f ca="1">goldenOTP_check!S24*S80</f>
        <v>1067.106</v>
      </c>
      <c r="T24" s="2">
        <f ca="1">goldenOTP_check!T24*T80</f>
        <v>1069.028</v>
      </c>
      <c r="U24" s="2">
        <f ca="1">goldenOTP_check!U24*U80</f>
        <v>1074.06</v>
      </c>
      <c r="V24" s="2">
        <f ca="1">goldenOTP_check!V24*V80</f>
        <v>1067.6479999999999</v>
      </c>
      <c r="W24" s="2">
        <f ca="1">goldenOTP_check!W24*W80</f>
        <v>1032.1120000000001</v>
      </c>
      <c r="X24" s="2">
        <f ca="1">goldenOTP_check!X24*X80</f>
        <v>1001.1669999999999</v>
      </c>
      <c r="Y24" s="2">
        <f ca="1">goldenOTP_check!Y24*Y80</f>
        <v>948.51900000000001</v>
      </c>
    </row>
    <row r="25" spans="2:25" x14ac:dyDescent="0.3">
      <c r="B25" s="6">
        <v>22</v>
      </c>
      <c r="C25" s="9">
        <v>2.069</v>
      </c>
      <c r="D25" s="9">
        <v>1.8740000000000001</v>
      </c>
      <c r="E25" s="9">
        <v>1.877</v>
      </c>
      <c r="F25" s="9">
        <v>1.8120000000000001</v>
      </c>
      <c r="I25" s="2">
        <f ca="1">goldenOTP_check!I25*I81</f>
        <v>943.59299999999996</v>
      </c>
      <c r="J25" s="2">
        <f ca="1">goldenOTP_check!J25*J81</f>
        <v>976.28300000000002</v>
      </c>
      <c r="K25" s="2">
        <f ca="1">goldenOTP_check!K25*K81</f>
        <v>1011.0619999999999</v>
      </c>
      <c r="L25" s="2">
        <f ca="1">goldenOTP_check!L25*L81</f>
        <v>1047.348</v>
      </c>
      <c r="M25" s="2">
        <f ca="1">goldenOTP_check!M25*M81</f>
        <v>1064.3150000000001</v>
      </c>
      <c r="N25" s="2">
        <f ca="1">goldenOTP_check!N25*N81</f>
        <v>1068.72</v>
      </c>
      <c r="O25" s="2">
        <f ca="1">goldenOTP_check!O25*O81</f>
        <v>1059.4759999999999</v>
      </c>
      <c r="P25" s="2">
        <f ca="1">goldenOTP_check!P25*P81</f>
        <v>1061.73</v>
      </c>
      <c r="Q25" s="2">
        <f ca="1">goldenOTP_check!Q25*Q81</f>
        <v>1061.49</v>
      </c>
      <c r="R25" s="2">
        <f ca="1">goldenOTP_check!R25*R81</f>
        <v>1061.73</v>
      </c>
      <c r="S25" s="2">
        <f ca="1">goldenOTP_check!S25*S81</f>
        <v>1061.068</v>
      </c>
      <c r="T25" s="2">
        <f ca="1">goldenOTP_check!T25*T81</f>
        <v>1069.45</v>
      </c>
      <c r="U25" s="2">
        <f ca="1">goldenOTP_check!U25*U81</f>
        <v>1066.903</v>
      </c>
      <c r="V25" s="2">
        <f ca="1">goldenOTP_check!V25*V81</f>
        <v>1044.771</v>
      </c>
      <c r="W25" s="2">
        <f ca="1">goldenOTP_check!W25*W81</f>
        <v>1020.201</v>
      </c>
      <c r="X25" s="2">
        <f ca="1">goldenOTP_check!X25*X81</f>
        <v>984.87199999999996</v>
      </c>
      <c r="Y25" s="2">
        <f ca="1">goldenOTP_check!Y25*Y81</f>
        <v>951.82499999999993</v>
      </c>
    </row>
    <row r="26" spans="2:25" x14ac:dyDescent="0.3">
      <c r="B26" s="6">
        <v>23</v>
      </c>
      <c r="C26" s="9">
        <v>1.9219999999999999</v>
      </c>
      <c r="D26" s="9">
        <v>1.756</v>
      </c>
      <c r="E26" s="9">
        <v>1.7589999999999999</v>
      </c>
      <c r="F26" s="9">
        <v>1.702</v>
      </c>
      <c r="I26" s="2">
        <f ca="1">goldenOTP_check!I26*I82</f>
        <v>950.3660000000001</v>
      </c>
      <c r="J26" s="2">
        <f ca="1">goldenOTP_check!J26*J82</f>
        <v>964.43999999999994</v>
      </c>
      <c r="K26" s="2">
        <f ca="1">goldenOTP_check!K26*K82</f>
        <v>986.74599999999998</v>
      </c>
      <c r="L26" s="2">
        <f ca="1">goldenOTP_check!L26*L82</f>
        <v>1027.1619999999998</v>
      </c>
      <c r="M26" s="2">
        <f ca="1">goldenOTP_check!M26*M82</f>
        <v>1041.9000000000001</v>
      </c>
      <c r="N26" s="2">
        <f ca="1">goldenOTP_check!N26*N82</f>
        <v>1064.3150000000001</v>
      </c>
      <c r="O26" s="2">
        <f ca="1">goldenOTP_check!O26*O82</f>
        <v>1064.934</v>
      </c>
      <c r="P26" s="2">
        <f ca="1">goldenOTP_check!P26*P82</f>
        <v>1064.817</v>
      </c>
      <c r="Q26" s="2">
        <f ca="1">goldenOTP_check!Q26*Q82</f>
        <v>1059.568</v>
      </c>
      <c r="R26" s="2">
        <f ca="1">goldenOTP_check!R26*R82</f>
        <v>1064.076</v>
      </c>
      <c r="S26" s="2">
        <f ca="1">goldenOTP_check!S26*S82</f>
        <v>1065.636</v>
      </c>
      <c r="T26" s="2">
        <f ca="1">goldenOTP_check!T26*T82</f>
        <v>1057.009</v>
      </c>
      <c r="U26" s="2">
        <f ca="1">goldenOTP_check!U26*U82</f>
        <v>1045.3500000000001</v>
      </c>
      <c r="V26" s="2">
        <f ca="1">goldenOTP_check!V26*V82</f>
        <v>1020.587</v>
      </c>
      <c r="W26" s="2">
        <f ca="1">goldenOTP_check!W26*W82</f>
        <v>992.42699999999991</v>
      </c>
      <c r="X26" s="2">
        <f ca="1">goldenOTP_check!X26*X82</f>
        <v>970.83199999999999</v>
      </c>
      <c r="Y26" s="2">
        <f ca="1">goldenOTP_check!Y26*Y82</f>
        <v>955.12099999999998</v>
      </c>
    </row>
    <row r="27" spans="2:25" x14ac:dyDescent="0.3">
      <c r="B27" s="6">
        <v>24</v>
      </c>
      <c r="C27" s="9">
        <v>1.831</v>
      </c>
      <c r="D27" s="9">
        <v>1.6850000000000001</v>
      </c>
      <c r="E27" s="9">
        <v>1.6870000000000001</v>
      </c>
      <c r="F27" s="9">
        <v>1.6379999999999999</v>
      </c>
      <c r="I27" s="2">
        <f ca="1">goldenOTP_check!I27*I83</f>
        <v>956.80799999999999</v>
      </c>
      <c r="J27" s="2">
        <f ca="1">goldenOTP_check!J27*J83</f>
        <v>971.71900000000005</v>
      </c>
      <c r="K27" s="2">
        <f ca="1">goldenOTP_check!K27*K83</f>
        <v>970.71</v>
      </c>
      <c r="L27" s="2">
        <f ca="1">goldenOTP_check!L27*L83</f>
        <v>997.24800000000005</v>
      </c>
      <c r="M27" s="2">
        <f ca="1">goldenOTP_check!M27*M83</f>
        <v>1018.072</v>
      </c>
      <c r="N27" s="2">
        <f ca="1">goldenOTP_check!N27*N83</f>
        <v>1039.74</v>
      </c>
      <c r="O27" s="2">
        <f ca="1">goldenOTP_check!O27*O83</f>
        <v>1049.22</v>
      </c>
      <c r="P27" s="2">
        <f ca="1">goldenOTP_check!P27*P83</f>
        <v>1060.212</v>
      </c>
      <c r="Q27" s="2">
        <f ca="1">goldenOTP_check!Q27*Q83</f>
        <v>1055.086</v>
      </c>
      <c r="R27" s="2">
        <f ca="1">goldenOTP_check!R27*R83</f>
        <v>1064.664</v>
      </c>
      <c r="S27" s="2">
        <f ca="1">goldenOTP_check!S27*S83</f>
        <v>1058.2649999999999</v>
      </c>
      <c r="T27" s="2">
        <f ca="1">goldenOTP_check!T27*T83</f>
        <v>1048.125</v>
      </c>
      <c r="U27" s="2">
        <f ca="1">goldenOTP_check!U27*U83</f>
        <v>1024.6109999999999</v>
      </c>
      <c r="V27" s="2">
        <f ca="1">goldenOTP_check!V27*V83</f>
        <v>1001.28</v>
      </c>
      <c r="W27" s="2">
        <f ca="1">goldenOTP_check!W27*W83</f>
        <v>971.49599999999998</v>
      </c>
      <c r="X27" s="2">
        <f ca="1">goldenOTP_check!X27*X83</f>
        <v>970.69</v>
      </c>
      <c r="Y27" s="2">
        <f ca="1">goldenOTP_check!Y27*Y83</f>
        <v>947.49599999999998</v>
      </c>
    </row>
    <row r="28" spans="2:25" x14ac:dyDescent="0.3">
      <c r="B28" s="6">
        <v>25</v>
      </c>
      <c r="C28" s="9">
        <v>1.8009999999999999</v>
      </c>
      <c r="D28" s="9">
        <v>1.6619999999999999</v>
      </c>
      <c r="E28" s="9">
        <v>1.663</v>
      </c>
      <c r="F28" s="9">
        <v>1.6180000000000001</v>
      </c>
      <c r="I28" s="10">
        <f ca="1">goldenOTP_check!I28*I84</f>
        <v>956.02599999999995</v>
      </c>
      <c r="J28" s="2">
        <f ca="1">goldenOTP_check!J28*J84</f>
        <v>950.82</v>
      </c>
      <c r="K28" s="2">
        <f ca="1">goldenOTP_check!K28*K84</f>
        <v>950.36699999999996</v>
      </c>
      <c r="L28" s="2">
        <f ca="1">goldenOTP_check!L28*L84</f>
        <v>968.221</v>
      </c>
      <c r="M28" s="2">
        <f ca="1">goldenOTP_check!M28*M84</f>
        <v>983.26799999999992</v>
      </c>
      <c r="N28" s="2">
        <f ca="1">goldenOTP_check!N28*N84</f>
        <v>999.68999999999994</v>
      </c>
      <c r="O28" s="2">
        <f ca="1">goldenOTP_check!O28*O84</f>
        <v>1016.028</v>
      </c>
      <c r="P28" s="2">
        <f ca="1">goldenOTP_check!P28*P84</f>
        <v>1014.825</v>
      </c>
      <c r="Q28" s="2">
        <f ca="1">goldenOTP_check!Q28*Q84</f>
        <v>1030.27</v>
      </c>
      <c r="R28" s="2">
        <f ca="1">goldenOTP_check!R28*R84</f>
        <v>1021.65</v>
      </c>
      <c r="S28" s="2">
        <f ca="1">goldenOTP_check!S28*S84</f>
        <v>1028.1959999999999</v>
      </c>
      <c r="T28" s="2">
        <f ca="1">goldenOTP_check!T28*T84</f>
        <v>1012.38</v>
      </c>
      <c r="U28" s="2">
        <f ca="1">goldenOTP_check!U28*U84</f>
        <v>992.27700000000004</v>
      </c>
      <c r="V28" s="2">
        <f ca="1">goldenOTP_check!V28*V84</f>
        <v>972.88900000000001</v>
      </c>
      <c r="W28" s="2">
        <f ca="1">goldenOTP_check!W28*W84</f>
        <v>949.00299999999993</v>
      </c>
      <c r="X28" s="2">
        <f ca="1">goldenOTP_check!X28*X84</f>
        <v>935.57100000000003</v>
      </c>
      <c r="Y28" s="10">
        <f ca="1">goldenOTP_check!Y28*Y84</f>
        <v>924.822</v>
      </c>
    </row>
    <row r="29" spans="2:25" x14ac:dyDescent="0.3">
      <c r="B29" s="6">
        <v>26</v>
      </c>
      <c r="C29" s="9">
        <v>1.827</v>
      </c>
      <c r="D29" s="9">
        <v>1.6850000000000001</v>
      </c>
      <c r="E29" s="9">
        <v>1.6870000000000001</v>
      </c>
      <c r="F29" s="9">
        <v>1.6379999999999999</v>
      </c>
    </row>
    <row r="30" spans="2:25" x14ac:dyDescent="0.3">
      <c r="B30" s="6">
        <v>27</v>
      </c>
      <c r="C30" s="9">
        <v>1.919</v>
      </c>
      <c r="D30" s="9">
        <v>1.7609999999999999</v>
      </c>
      <c r="E30" s="9">
        <v>1.7629999999999999</v>
      </c>
      <c r="F30" s="9">
        <v>1.708</v>
      </c>
      <c r="H30" t="s">
        <v>2</v>
      </c>
      <c r="I30" s="11">
        <f ca="1">goldenOTP_check!I30*I86</f>
        <v>904.42399999999998</v>
      </c>
      <c r="J30" s="2">
        <f ca="1">goldenOTP_check!J30*J86</f>
        <v>948.90599999999995</v>
      </c>
      <c r="K30" s="2">
        <f ca="1">goldenOTP_check!K30*K86</f>
        <v>968.89800000000002</v>
      </c>
      <c r="L30" s="2">
        <f ca="1">goldenOTP_check!L30*L86</f>
        <v>984.096</v>
      </c>
      <c r="M30" s="2">
        <f ca="1">goldenOTP_check!M30*M86</f>
        <v>995.77800000000002</v>
      </c>
      <c r="N30" s="2">
        <f ca="1">goldenOTP_check!N30*N86</f>
        <v>1015.7490000000001</v>
      </c>
      <c r="O30" s="2">
        <f ca="1">goldenOTP_check!O30*O86</f>
        <v>1027.194</v>
      </c>
      <c r="P30" s="2">
        <f ca="1">goldenOTP_check!P30*P86</f>
        <v>1043.952</v>
      </c>
      <c r="Q30" s="2">
        <f ca="1">goldenOTP_check!Q30*Q86</f>
        <v>1038.1590000000001</v>
      </c>
      <c r="R30" s="2">
        <f ca="1">goldenOTP_check!R30*R86</f>
        <v>1044.498</v>
      </c>
      <c r="S30" s="2">
        <f ca="1">goldenOTP_check!S30*S86</f>
        <v>1029.2660000000001</v>
      </c>
      <c r="T30" s="2">
        <f ca="1">goldenOTP_check!T30*T86</f>
        <v>1016.715</v>
      </c>
      <c r="U30" s="2">
        <f ca="1">goldenOTP_check!U30*U86</f>
        <v>996.65999999999985</v>
      </c>
      <c r="V30" s="2">
        <f ca="1">goldenOTP_check!V30*V86</f>
        <v>986.50800000000004</v>
      </c>
      <c r="W30" s="2">
        <f ca="1">goldenOTP_check!W30*W86</f>
        <v>975.97800000000007</v>
      </c>
      <c r="X30" s="2">
        <f ca="1">goldenOTP_check!X30*X86</f>
        <v>953.80200000000002</v>
      </c>
      <c r="Y30" s="11">
        <f ca="1">goldenOTP_check!Y30*Y86</f>
        <v>903.37599999999998</v>
      </c>
    </row>
    <row r="31" spans="2:25" x14ac:dyDescent="0.3">
      <c r="B31" s="6">
        <v>28</v>
      </c>
      <c r="C31" s="9">
        <v>2.0649999999999999</v>
      </c>
      <c r="D31" s="9">
        <v>1.88</v>
      </c>
      <c r="E31" s="9">
        <v>1.8819999999999999</v>
      </c>
      <c r="F31" s="9">
        <v>1.8220000000000001</v>
      </c>
      <c r="H31" t="s">
        <v>6</v>
      </c>
      <c r="I31" s="2">
        <f ca="1">goldenOTP_check!I31*I87</f>
        <v>950.98799999999994</v>
      </c>
      <c r="J31" s="2">
        <f ca="1">goldenOTP_check!J31*J87</f>
        <v>968.97500000000002</v>
      </c>
      <c r="K31" s="2">
        <f ca="1">goldenOTP_check!K31*K87</f>
        <v>980.274</v>
      </c>
      <c r="L31" s="2">
        <f ca="1">goldenOTP_check!L31*L87</f>
        <v>1007.9250000000001</v>
      </c>
      <c r="M31" s="2">
        <f ca="1">goldenOTP_check!M31*M87</f>
        <v>1044.962</v>
      </c>
      <c r="N31" s="2">
        <f ca="1">goldenOTP_check!N31*N87</f>
        <v>1058.6279999999999</v>
      </c>
      <c r="O31" s="2">
        <f ca="1">goldenOTP_check!O31*O87</f>
        <v>1080.0259999999998</v>
      </c>
      <c r="P31" s="2">
        <f ca="1">goldenOTP_check!P31*P87</f>
        <v>1081.367</v>
      </c>
      <c r="Q31" s="2">
        <f ca="1">goldenOTP_check!Q31*Q87</f>
        <v>1085.9390000000001</v>
      </c>
      <c r="R31" s="2">
        <f ca="1">goldenOTP_check!R31*R87</f>
        <v>1081.367</v>
      </c>
      <c r="S31" s="2">
        <f ca="1">goldenOTP_check!S31*S87</f>
        <v>1082.482</v>
      </c>
      <c r="T31" s="2">
        <f ca="1">goldenOTP_check!T31*T87</f>
        <v>1061.4479999999999</v>
      </c>
      <c r="U31" s="2">
        <f ca="1">goldenOTP_check!U31*U87</f>
        <v>1050.616</v>
      </c>
      <c r="V31" s="2">
        <f ca="1">goldenOTP_check!V31*V87</f>
        <v>1013.814</v>
      </c>
      <c r="W31" s="2">
        <f ca="1">goldenOTP_check!W31*W87</f>
        <v>989.42800000000011</v>
      </c>
      <c r="X31" s="2">
        <f ca="1">goldenOTP_check!X31*X87</f>
        <v>976.178</v>
      </c>
      <c r="Y31" s="2">
        <f ca="1">goldenOTP_check!Y31*Y87</f>
        <v>947.20499999999993</v>
      </c>
    </row>
    <row r="32" spans="2:25" x14ac:dyDescent="0.3">
      <c r="B32" s="6">
        <v>29</v>
      </c>
      <c r="C32" s="9">
        <v>2.2610000000000001</v>
      </c>
      <c r="D32" s="9">
        <v>2.0419999999999998</v>
      </c>
      <c r="E32" s="9">
        <v>2.044</v>
      </c>
      <c r="F32" s="9">
        <v>1.98</v>
      </c>
      <c r="I32" s="2">
        <f ca="1">goldenOTP_check!I32*I88</f>
        <v>950.04</v>
      </c>
      <c r="J32" s="2">
        <f ca="1">goldenOTP_check!J32*J88</f>
        <v>981.7399999999999</v>
      </c>
      <c r="K32" s="2">
        <f ca="1">goldenOTP_check!K32*K88</f>
        <v>998.03600000000006</v>
      </c>
      <c r="L32" s="2">
        <f ca="1">goldenOTP_check!L32*L88</f>
        <v>1030.7249999999999</v>
      </c>
      <c r="M32" s="2">
        <f ca="1">goldenOTP_check!M32*M88</f>
        <v>1059.7440000000001</v>
      </c>
      <c r="N32" s="2">
        <f ca="1">goldenOTP_check!N32*N88</f>
        <v>1084.633</v>
      </c>
      <c r="O32" s="2">
        <f ca="1">goldenOTP_check!O32*O88</f>
        <v>1086.78</v>
      </c>
      <c r="P32" s="2">
        <f ca="1">goldenOTP_check!P32*P88</f>
        <v>1090.6199999999999</v>
      </c>
      <c r="Q32" s="2">
        <f ca="1">goldenOTP_check!Q32*Q88</f>
        <v>1097.194</v>
      </c>
      <c r="R32" s="2">
        <f ca="1">goldenOTP_check!R32*R88</f>
        <v>1095.1020000000001</v>
      </c>
      <c r="S32" s="2">
        <f ca="1">goldenOTP_check!S32*S88</f>
        <v>1096.692</v>
      </c>
      <c r="T32" s="2">
        <f ca="1">goldenOTP_check!T32*T88</f>
        <v>1094.4279999999999</v>
      </c>
      <c r="U32" s="2">
        <f ca="1">goldenOTP_check!U32*U88</f>
        <v>1069.04</v>
      </c>
      <c r="V32" s="2">
        <f ca="1">goldenOTP_check!V32*V88</f>
        <v>1040.905</v>
      </c>
      <c r="W32" s="2">
        <f ca="1">goldenOTP_check!W32*W88</f>
        <v>1006.876</v>
      </c>
      <c r="X32" s="2">
        <f ca="1">goldenOTP_check!X32*X88</f>
        <v>987.08800000000008</v>
      </c>
      <c r="Y32" s="2">
        <f ca="1">goldenOTP_check!Y32*Y88</f>
        <v>970.93799999999987</v>
      </c>
    </row>
    <row r="33" spans="2:25" x14ac:dyDescent="0.3">
      <c r="B33" s="6">
        <v>30</v>
      </c>
      <c r="C33" s="9">
        <v>2.4910000000000001</v>
      </c>
      <c r="D33" s="9">
        <v>2.238</v>
      </c>
      <c r="E33" s="9">
        <v>2.238</v>
      </c>
      <c r="F33" s="9">
        <v>2.17</v>
      </c>
      <c r="I33" s="2">
        <f ca="1">goldenOTP_check!I33*I89</f>
        <v>952.16799999999989</v>
      </c>
      <c r="J33" s="2">
        <f ca="1">goldenOTP_check!J33*J89</f>
        <v>981.59999999999991</v>
      </c>
      <c r="K33" s="2">
        <f ca="1">goldenOTP_check!K33*K89</f>
        <v>1015.8720000000001</v>
      </c>
      <c r="L33" s="2">
        <f ca="1">goldenOTP_check!L33*L89</f>
        <v>1052.9880000000001</v>
      </c>
      <c r="M33" s="2">
        <f ca="1">goldenOTP_check!M33*M89</f>
        <v>1072.079</v>
      </c>
      <c r="N33" s="2">
        <f ca="1">goldenOTP_check!N33*N89</f>
        <v>1087.8</v>
      </c>
      <c r="O33" s="2">
        <f ca="1">goldenOTP_check!O33*O89</f>
        <v>1082.7</v>
      </c>
      <c r="P33" s="2">
        <f ca="1">goldenOTP_check!P33*P89</f>
        <v>1088.0039999999999</v>
      </c>
      <c r="Q33" s="2">
        <f ca="1">goldenOTP_check!Q33*Q89</f>
        <v>1091.944</v>
      </c>
      <c r="R33" s="2">
        <f ca="1">goldenOTP_check!R33*R89</f>
        <v>1094.82</v>
      </c>
      <c r="S33" s="2">
        <f ca="1">goldenOTP_check!S33*S89</f>
        <v>1096.3340000000001</v>
      </c>
      <c r="T33" s="2">
        <f ca="1">goldenOTP_check!T33*T89</f>
        <v>1094.27</v>
      </c>
      <c r="U33" s="2">
        <f ca="1">goldenOTP_check!U33*U89</f>
        <v>1084.3720000000001</v>
      </c>
      <c r="V33" s="2">
        <f ca="1">goldenOTP_check!V33*V89</f>
        <v>1063.704</v>
      </c>
      <c r="W33" s="2">
        <f ca="1">goldenOTP_check!W33*W89</f>
        <v>1023.5680000000001</v>
      </c>
      <c r="X33" s="2">
        <f ca="1">goldenOTP_check!X33*X89</f>
        <v>984.46299999999997</v>
      </c>
      <c r="Y33" s="2">
        <f ca="1">goldenOTP_check!Y33*Y89</f>
        <v>967.4</v>
      </c>
    </row>
    <row r="34" spans="2:25" x14ac:dyDescent="0.3">
      <c r="B34" s="6">
        <v>31</v>
      </c>
      <c r="C34" s="9">
        <v>2.7749999999999999</v>
      </c>
      <c r="D34" s="9">
        <v>2.4860000000000002</v>
      </c>
      <c r="E34" s="9">
        <v>2.4860000000000002</v>
      </c>
      <c r="F34" s="9">
        <v>2.407</v>
      </c>
      <c r="I34" s="2">
        <f ca="1">goldenOTP_check!I34*I90</f>
        <v>944.88900000000012</v>
      </c>
      <c r="J34" s="2">
        <f ca="1">goldenOTP_check!J34*J90</f>
        <v>993.73800000000006</v>
      </c>
      <c r="K34" s="2">
        <f ca="1">goldenOTP_check!K34*K90</f>
        <v>1036.8800000000001</v>
      </c>
      <c r="L34" s="2">
        <f ca="1">goldenOTP_check!L34*L90</f>
        <v>1062.7840000000001</v>
      </c>
      <c r="M34" s="2">
        <f ca="1">goldenOTP_check!M34*M90</f>
        <v>1082.5319999999999</v>
      </c>
      <c r="N34" s="2">
        <f ca="1">goldenOTP_check!N34*N90</f>
        <v>1079.492</v>
      </c>
      <c r="O34" s="2">
        <f ca="1">goldenOTP_check!O34*O90</f>
        <v>1074.1379999999999</v>
      </c>
      <c r="P34" s="2">
        <f ca="1">goldenOTP_check!P34*P90</f>
        <v>1074.3150000000001</v>
      </c>
      <c r="Q34" s="2">
        <f ca="1">goldenOTP_check!Q34*Q90</f>
        <v>1072.7279999999998</v>
      </c>
      <c r="R34" s="2">
        <f ca="1">goldenOTP_check!R34*R90</f>
        <v>1078.99</v>
      </c>
      <c r="S34" s="2">
        <f ca="1">goldenOTP_check!S34*S90</f>
        <v>1081.17</v>
      </c>
      <c r="T34" s="2">
        <f ca="1">goldenOTP_check!T34*T90</f>
        <v>1088.3140000000001</v>
      </c>
      <c r="U34" s="2">
        <f ca="1">goldenOTP_check!U34*U90</f>
        <v>1081.08</v>
      </c>
      <c r="V34" s="2">
        <f ca="1">goldenOTP_check!V34*V90</f>
        <v>1071.296</v>
      </c>
      <c r="W34" s="2">
        <f ca="1">goldenOTP_check!W34*W90</f>
        <v>1035.1959999999999</v>
      </c>
      <c r="X34" s="2">
        <f ca="1">goldenOTP_check!X34*X90</f>
        <v>1002.4780000000001</v>
      </c>
      <c r="Y34" s="2">
        <f ca="1">goldenOTP_check!Y34*Y90</f>
        <v>948.51900000000001</v>
      </c>
    </row>
    <row r="35" spans="2:25" x14ac:dyDescent="0.3">
      <c r="B35" s="6">
        <v>32</v>
      </c>
      <c r="C35" s="9">
        <v>3.1720000000000002</v>
      </c>
      <c r="D35" s="9">
        <v>2.8460000000000001</v>
      </c>
      <c r="E35" s="9">
        <v>2.8460000000000001</v>
      </c>
      <c r="F35" s="9">
        <v>2.7469999999999999</v>
      </c>
      <c r="I35" s="2">
        <f ca="1">goldenOTP_check!I35*I91</f>
        <v>958.3599999999999</v>
      </c>
      <c r="J35" s="2">
        <f ca="1">goldenOTP_check!J35*J91</f>
        <v>996.60000000000014</v>
      </c>
      <c r="K35" s="2">
        <f ca="1">goldenOTP_check!K35*K91</f>
        <v>1025.904</v>
      </c>
      <c r="L35" s="2">
        <f ca="1">goldenOTP_check!L35*L91</f>
        <v>1058.94</v>
      </c>
      <c r="M35" s="2">
        <f ca="1">goldenOTP_check!M35*M91</f>
        <v>1077.921</v>
      </c>
      <c r="N35" s="2">
        <f ca="1">goldenOTP_check!N35*N91</f>
        <v>1073.5739999999998</v>
      </c>
      <c r="O35" s="2">
        <f ca="1">goldenOTP_check!O35*O91</f>
        <v>1063.7049999999999</v>
      </c>
      <c r="P35" s="2">
        <f ca="1">goldenOTP_check!P35*P91</f>
        <v>1047.96</v>
      </c>
      <c r="Q35" s="2">
        <f ca="1">goldenOTP_check!Q35*Q91</f>
        <v>1037.0360000000001</v>
      </c>
      <c r="R35" s="2">
        <f ca="1">goldenOTP_check!R35*R91</f>
        <v>1049.9279999999999</v>
      </c>
      <c r="S35" s="2">
        <f ca="1">goldenOTP_check!S35*S91</f>
        <v>1069.279</v>
      </c>
      <c r="T35" s="2">
        <f ca="1">goldenOTP_check!T35*T91</f>
        <v>1077.8040000000001</v>
      </c>
      <c r="U35" s="2">
        <f ca="1">goldenOTP_check!U35*U91</f>
        <v>1074.45</v>
      </c>
      <c r="V35" s="2">
        <f ca="1">goldenOTP_check!V35*V91</f>
        <v>1066.5720000000001</v>
      </c>
      <c r="W35" s="2">
        <f ca="1">goldenOTP_check!W35*W91</f>
        <v>1036.624</v>
      </c>
      <c r="X35" s="2">
        <f ca="1">goldenOTP_check!X35*X91</f>
        <v>1007.0189999999999</v>
      </c>
      <c r="Y35" s="2">
        <f ca="1">goldenOTP_check!Y35*Y91</f>
        <v>964.82</v>
      </c>
    </row>
    <row r="36" spans="2:25" x14ac:dyDescent="0.3">
      <c r="B36" s="6">
        <v>33</v>
      </c>
      <c r="C36" s="9">
        <v>3.5990000000000002</v>
      </c>
      <c r="D36" s="9">
        <v>3.2570000000000001</v>
      </c>
      <c r="E36" s="9">
        <v>3.2549999999999999</v>
      </c>
      <c r="F36" s="9">
        <v>3.1259999999999999</v>
      </c>
      <c r="I36" s="2">
        <f ca="1">goldenOTP_check!I36*I92</f>
        <v>945.37799999999993</v>
      </c>
      <c r="J36" s="2">
        <f ca="1">goldenOTP_check!J36*J92</f>
        <v>998.78400000000011</v>
      </c>
      <c r="K36" s="2">
        <f ca="1">goldenOTP_check!K36*K92</f>
        <v>1031.6420000000001</v>
      </c>
      <c r="L36" s="2">
        <f ca="1">goldenOTP_check!L36*L92</f>
        <v>1055.904</v>
      </c>
      <c r="M36" s="2">
        <f ca="1">goldenOTP_check!M36*M92</f>
        <v>1065.748</v>
      </c>
      <c r="N36" s="2">
        <f ca="1">goldenOTP_check!N36*N92</f>
        <v>1064.0790000000002</v>
      </c>
      <c r="O36" s="2">
        <f ca="1">goldenOTP_check!O36*O92</f>
        <v>1050.0600000000002</v>
      </c>
      <c r="P36" s="2">
        <f ca="1">goldenOTP_check!P36*P92</f>
        <v>1029.028</v>
      </c>
      <c r="Q36" s="2">
        <f ca="1">goldenOTP_check!Q36*Q92</f>
        <v>1028.1149999999998</v>
      </c>
      <c r="R36" s="2">
        <f ca="1">goldenOTP_check!R36*R92</f>
        <v>1034.0329999999999</v>
      </c>
      <c r="S36" s="2">
        <f ca="1">goldenOTP_check!S36*S92</f>
        <v>1060.4659999999999</v>
      </c>
      <c r="T36" s="2">
        <f ca="1">goldenOTP_check!T36*T92</f>
        <v>1066.1079999999999</v>
      </c>
      <c r="U36" s="2">
        <f ca="1">goldenOTP_check!U36*U92</f>
        <v>1067.088</v>
      </c>
      <c r="V36" s="2">
        <f ca="1">goldenOTP_check!V36*V92</f>
        <v>1065.6089999999999</v>
      </c>
      <c r="W36" s="2">
        <f ca="1">goldenOTP_check!W36*W92</f>
        <v>1030.884</v>
      </c>
      <c r="X36" s="2">
        <f ca="1">goldenOTP_check!X36*X92</f>
        <v>1005.6689999999999</v>
      </c>
      <c r="Y36" s="2">
        <f ca="1">goldenOTP_check!Y36*Y92</f>
        <v>945.75599999999997</v>
      </c>
    </row>
    <row r="37" spans="2:25" x14ac:dyDescent="0.3">
      <c r="B37" s="6">
        <v>34</v>
      </c>
      <c r="C37" s="9">
        <v>3.3889999999999998</v>
      </c>
      <c r="D37" s="9">
        <v>3.0129999999999999</v>
      </c>
      <c r="E37" s="9">
        <v>3.016</v>
      </c>
      <c r="F37" s="9">
        <v>2.9049999999999998</v>
      </c>
      <c r="I37" s="2">
        <f ca="1">goldenOTP_check!I37*I93</f>
        <v>941.53200000000004</v>
      </c>
      <c r="J37" s="2">
        <f ca="1">goldenOTP_check!J37*J93</f>
        <v>996.60000000000014</v>
      </c>
      <c r="K37" s="2">
        <f ca="1">goldenOTP_check!K37*K93</f>
        <v>1022.688</v>
      </c>
      <c r="L37" s="2">
        <f ca="1">goldenOTP_check!L37*L93</f>
        <v>1051.308</v>
      </c>
      <c r="M37" s="2">
        <f ca="1">goldenOTP_check!M37*M93</f>
        <v>1058.1479999999999</v>
      </c>
      <c r="N37" s="2">
        <f ca="1">goldenOTP_check!N37*N93</f>
        <v>1059.192</v>
      </c>
      <c r="O37" s="2">
        <f ca="1">goldenOTP_check!O37*O93</f>
        <v>1047.9119999999998</v>
      </c>
      <c r="P37" s="2">
        <f ca="1">goldenOTP_check!P37*P93</f>
        <v>1030.2479999999998</v>
      </c>
      <c r="Q37" s="2">
        <f ca="1">goldenOTP_check!Q37*Q93</f>
        <v>1024.0229999999999</v>
      </c>
      <c r="R37" s="2">
        <f ca="1">goldenOTP_check!R37*R93</f>
        <v>1039.104</v>
      </c>
      <c r="S37" s="2">
        <f ca="1">goldenOTP_check!S37*S93</f>
        <v>1055.9119999999998</v>
      </c>
      <c r="T37" s="2">
        <f ca="1">goldenOTP_check!T37*T93</f>
        <v>1067.2289999999998</v>
      </c>
      <c r="U37" s="2">
        <f ca="1">goldenOTP_check!U37*U93</f>
        <v>1072.2270000000001</v>
      </c>
      <c r="V37" s="2">
        <f ca="1">goldenOTP_check!V37*V93</f>
        <v>1054.6199999999999</v>
      </c>
      <c r="W37" s="2">
        <f ca="1">goldenOTP_check!W37*W93</f>
        <v>1032.336</v>
      </c>
      <c r="X37" s="2">
        <f ca="1">goldenOTP_check!X37*X93</f>
        <v>989.63200000000006</v>
      </c>
      <c r="Y37" s="2">
        <f ca="1">goldenOTP_check!Y37*Y93</f>
        <v>941.35799999999995</v>
      </c>
    </row>
    <row r="38" spans="2:25" x14ac:dyDescent="0.3">
      <c r="B38" s="6">
        <v>35</v>
      </c>
      <c r="C38" s="9">
        <v>2.8849999999999998</v>
      </c>
      <c r="D38" s="9">
        <v>2.5670000000000002</v>
      </c>
      <c r="E38" s="9">
        <v>2.57</v>
      </c>
      <c r="F38" s="9">
        <v>2.4809999999999999</v>
      </c>
      <c r="I38" s="2">
        <f ca="1">goldenOTP_check!I38*I94</f>
        <v>946.70400000000006</v>
      </c>
      <c r="J38" s="2">
        <f ca="1">goldenOTP_check!J38*J94</f>
        <v>995.48599999999999</v>
      </c>
      <c r="K38" s="2">
        <f ca="1">goldenOTP_check!K38*K94</f>
        <v>1023.374</v>
      </c>
      <c r="L38" s="2">
        <f ca="1">goldenOTP_check!L38*L94</f>
        <v>1046.808</v>
      </c>
      <c r="M38" s="2">
        <f ca="1">goldenOTP_check!M38*M94</f>
        <v>1062.126</v>
      </c>
      <c r="N38" s="2">
        <f ca="1">goldenOTP_check!N38*N94</f>
        <v>1058.68</v>
      </c>
      <c r="O38" s="2">
        <f ca="1">goldenOTP_check!O38*O94</f>
        <v>1054.0439999999999</v>
      </c>
      <c r="P38" s="2">
        <f ca="1">goldenOTP_check!P38*P94</f>
        <v>1042.067</v>
      </c>
      <c r="Q38" s="2">
        <f ca="1">goldenOTP_check!Q38*Q94</f>
        <v>1045.33</v>
      </c>
      <c r="R38" s="2">
        <f ca="1">goldenOTP_check!R38*R94</f>
        <v>1046.682</v>
      </c>
      <c r="S38" s="2">
        <f ca="1">goldenOTP_check!S38*S94</f>
        <v>1060.162</v>
      </c>
      <c r="T38" s="2">
        <f ca="1">goldenOTP_check!T38*T94</f>
        <v>1061.5220000000002</v>
      </c>
      <c r="U38" s="2">
        <f ca="1">goldenOTP_check!U38*U94</f>
        <v>1065.713</v>
      </c>
      <c r="V38" s="2">
        <f ca="1">goldenOTP_check!V38*V94</f>
        <v>1057.662</v>
      </c>
      <c r="W38" s="2">
        <f ca="1">goldenOTP_check!W38*W94</f>
        <v>1021.0539999999999</v>
      </c>
      <c r="X38" s="2">
        <f ca="1">goldenOTP_check!X38*X94</f>
        <v>986.12799999999993</v>
      </c>
      <c r="Y38" s="2">
        <f ca="1">goldenOTP_check!Y38*Y94</f>
        <v>952.28499999999997</v>
      </c>
    </row>
    <row r="39" spans="2:25" x14ac:dyDescent="0.3">
      <c r="B39" s="6">
        <v>36</v>
      </c>
      <c r="C39" s="9">
        <v>2.5259999999999998</v>
      </c>
      <c r="D39" s="9">
        <v>2.2559999999999998</v>
      </c>
      <c r="E39" s="9">
        <v>2.258</v>
      </c>
      <c r="F39" s="9">
        <v>2.1869999999999998</v>
      </c>
      <c r="I39" s="2">
        <f ca="1">goldenOTP_check!I39*I95</f>
        <v>921.25</v>
      </c>
      <c r="J39" s="2">
        <f ca="1">goldenOTP_check!J39*J95</f>
        <v>975.46499999999992</v>
      </c>
      <c r="K39" s="2">
        <f ca="1">goldenOTP_check!K39*K95</f>
        <v>1000.076</v>
      </c>
      <c r="L39" s="2">
        <f ca="1">goldenOTP_check!L39*L95</f>
        <v>1038.0630000000001</v>
      </c>
      <c r="M39" s="2">
        <f ca="1">goldenOTP_check!M39*M95</f>
        <v>1053.8039999999999</v>
      </c>
      <c r="N39" s="2">
        <f ca="1">goldenOTP_check!N39*N95</f>
        <v>1059.9359999999999</v>
      </c>
      <c r="O39" s="2">
        <f ca="1">goldenOTP_check!O39*O95</f>
        <v>1059.4759999999999</v>
      </c>
      <c r="P39" s="2">
        <f ca="1">goldenOTP_check!P39*P95</f>
        <v>1054.614</v>
      </c>
      <c r="Q39" s="2">
        <f ca="1">goldenOTP_check!Q39*Q95</f>
        <v>1052.396</v>
      </c>
      <c r="R39" s="2">
        <f ca="1">goldenOTP_check!R39*R95</f>
        <v>1053.7729999999999</v>
      </c>
      <c r="S39" s="2">
        <f ca="1">goldenOTP_check!S39*S95</f>
        <v>1052.8209999999999</v>
      </c>
      <c r="T39" s="2">
        <f ca="1">goldenOTP_check!T39*T95</f>
        <v>1051.8970000000002</v>
      </c>
      <c r="U39" s="2">
        <f ca="1">goldenOTP_check!U39*U95</f>
        <v>1047.492</v>
      </c>
      <c r="V39" s="2">
        <f ca="1">goldenOTP_check!V39*V95</f>
        <v>1031.8980000000001</v>
      </c>
      <c r="W39" s="2">
        <f ca="1">goldenOTP_check!W39*W95</f>
        <v>1007.692</v>
      </c>
      <c r="X39" s="2">
        <f ca="1">goldenOTP_check!X39*X95</f>
        <v>971.21600000000001</v>
      </c>
      <c r="Y39" s="2">
        <f ca="1">goldenOTP_check!Y39*Y95</f>
        <v>954.95999999999992</v>
      </c>
    </row>
    <row r="40" spans="2:25" x14ac:dyDescent="0.3">
      <c r="B40" s="6">
        <v>37</v>
      </c>
      <c r="C40" s="9">
        <v>2.2490000000000001</v>
      </c>
      <c r="D40" s="9">
        <v>2.0230000000000001</v>
      </c>
      <c r="E40" s="9">
        <v>2.0249999999999999</v>
      </c>
      <c r="F40" s="9">
        <v>1.9630000000000001</v>
      </c>
      <c r="I40" s="2">
        <f ca="1">goldenOTP_check!I40*I96</f>
        <v>949.41500000000008</v>
      </c>
      <c r="J40" s="2">
        <f ca="1">goldenOTP_check!J40*J96</f>
        <v>963.6880000000001</v>
      </c>
      <c r="K40" s="2">
        <f ca="1">goldenOTP_check!K40*K96</f>
        <v>986.30900000000008</v>
      </c>
      <c r="L40" s="2">
        <f ca="1">goldenOTP_check!L40*L96</f>
        <v>1014.5509999999999</v>
      </c>
      <c r="M40" s="2">
        <f ca="1">goldenOTP_check!M40*M96</f>
        <v>1032.27</v>
      </c>
      <c r="N40" s="2">
        <f ca="1">goldenOTP_check!N40*N96</f>
        <v>1053.8039999999999</v>
      </c>
      <c r="O40" s="2">
        <f ca="1">goldenOTP_check!O40*O96</f>
        <v>1055.9549999999999</v>
      </c>
      <c r="P40" s="2">
        <f ca="1">goldenOTP_check!P40*P96</f>
        <v>1053.99</v>
      </c>
      <c r="Q40" s="2">
        <f ca="1">goldenOTP_check!Q40*Q96</f>
        <v>1050.2819999999999</v>
      </c>
      <c r="R40" s="2">
        <f ca="1">goldenOTP_check!R40*R96</f>
        <v>1053.2550000000001</v>
      </c>
      <c r="S40" s="2">
        <f ca="1">goldenOTP_check!S40*S96</f>
        <v>1056.652</v>
      </c>
      <c r="T40" s="2">
        <f ca="1">goldenOTP_check!T40*T96</f>
        <v>1047.492</v>
      </c>
      <c r="U40" s="2">
        <f ca="1">goldenOTP_check!U40*U96</f>
        <v>1034.55</v>
      </c>
      <c r="V40" s="2">
        <f ca="1">goldenOTP_check!V40*V96</f>
        <v>1008.4499999999999</v>
      </c>
      <c r="W40" s="2">
        <f ca="1">goldenOTP_check!W40*W96</f>
        <v>977.077</v>
      </c>
      <c r="X40" s="2">
        <f ca="1">goldenOTP_check!X40*X96</f>
        <v>953.49</v>
      </c>
      <c r="Y40" s="2">
        <f ca="1">goldenOTP_check!Y40*Y96</f>
        <v>958.91399999999999</v>
      </c>
    </row>
    <row r="41" spans="2:25" x14ac:dyDescent="0.3">
      <c r="B41" s="6">
        <v>38</v>
      </c>
      <c r="C41" s="9">
        <v>2.0019999999999998</v>
      </c>
      <c r="D41" s="9">
        <v>1.8220000000000001</v>
      </c>
      <c r="E41" s="9">
        <v>1.8240000000000001</v>
      </c>
      <c r="F41" s="9">
        <v>1.7669999999999999</v>
      </c>
      <c r="I41" s="2">
        <f ca="1">goldenOTP_check!I41*I97</f>
        <v>962.505</v>
      </c>
      <c r="J41" s="2">
        <f ca="1">goldenOTP_check!J41*J97</f>
        <v>953.71</v>
      </c>
      <c r="K41" s="2">
        <f ca="1">goldenOTP_check!K41*K97</f>
        <v>969.92399999999998</v>
      </c>
      <c r="L41" s="2">
        <f ca="1">goldenOTP_check!L41*L97</f>
        <v>983.00800000000004</v>
      </c>
      <c r="M41" s="2">
        <f ca="1">goldenOTP_check!M41*M97</f>
        <v>1007.4540000000001</v>
      </c>
      <c r="N41" s="2">
        <f ca="1">goldenOTP_check!N41*N97</f>
        <v>1027.4740000000002</v>
      </c>
      <c r="O41" s="2">
        <f ca="1">goldenOTP_check!O41*O97</f>
        <v>1038.183</v>
      </c>
      <c r="P41" s="2">
        <f ca="1">goldenOTP_check!P41*P97</f>
        <v>1048.95</v>
      </c>
      <c r="Q41" s="2">
        <f ca="1">goldenOTP_check!Q41*Q97</f>
        <v>1044.9480000000001</v>
      </c>
      <c r="R41" s="2">
        <f ca="1">goldenOTP_check!R41*R97</f>
        <v>1052.73</v>
      </c>
      <c r="S41" s="2">
        <f ca="1">goldenOTP_check!S41*S97</f>
        <v>1045.944</v>
      </c>
      <c r="T41" s="2">
        <f ca="1">goldenOTP_check!T41*T97</f>
        <v>1035.769</v>
      </c>
      <c r="U41" s="2">
        <f ca="1">goldenOTP_check!U41*U97</f>
        <v>1012.9319999999999</v>
      </c>
      <c r="V41" s="2">
        <f ca="1">goldenOTP_check!V41*V97</f>
        <v>986.10199999999998</v>
      </c>
      <c r="W41" s="2">
        <f ca="1">goldenOTP_check!W41*W97</f>
        <v>954.72900000000004</v>
      </c>
      <c r="X41" s="2">
        <f ca="1">goldenOTP_check!X41*X97</f>
        <v>951.68799999999999</v>
      </c>
      <c r="Y41" s="2">
        <f ca="1">goldenOTP_check!Y41*Y97</f>
        <v>951.95699999999999</v>
      </c>
    </row>
    <row r="42" spans="2:25" x14ac:dyDescent="0.3">
      <c r="B42" s="6">
        <v>39</v>
      </c>
      <c r="C42" s="9">
        <v>1.7989999999999999</v>
      </c>
      <c r="D42" s="9">
        <v>1.659</v>
      </c>
      <c r="E42" s="9">
        <v>1.661</v>
      </c>
      <c r="F42" s="9">
        <v>1.607</v>
      </c>
      <c r="I42" s="11">
        <f ca="1">goldenOTP_check!I42*I98</f>
        <v>962.05</v>
      </c>
      <c r="J42" s="2">
        <f ca="1">goldenOTP_check!J42*J98</f>
        <v>952.5</v>
      </c>
      <c r="K42" s="2">
        <f ca="1">goldenOTP_check!K42*K98</f>
        <v>949.34399999999994</v>
      </c>
      <c r="L42" s="2">
        <f ca="1">goldenOTP_check!L42*L98</f>
        <v>952.52100000000007</v>
      </c>
      <c r="M42" s="2">
        <f ca="1">goldenOTP_check!M42*M98</f>
        <v>987.42099999999994</v>
      </c>
      <c r="N42" s="2">
        <f ca="1">goldenOTP_check!N42*N98</f>
        <v>986</v>
      </c>
      <c r="O42" s="2">
        <f ca="1">goldenOTP_check!O42*O98</f>
        <v>1003.0019999999998</v>
      </c>
      <c r="P42" s="2">
        <f ca="1">goldenOTP_check!P42*P98</f>
        <v>1004.12</v>
      </c>
      <c r="Q42" s="2">
        <f ca="1">goldenOTP_check!Q42*Q98</f>
        <v>1019.096</v>
      </c>
      <c r="R42" s="2">
        <f ca="1">goldenOTP_check!R42*R98</f>
        <v>1009.8399999999999</v>
      </c>
      <c r="S42" s="2">
        <f ca="1">goldenOTP_check!S42*S98</f>
        <v>1014.525</v>
      </c>
      <c r="T42" s="2">
        <f ca="1">goldenOTP_check!T42*T98</f>
        <v>998.06399999999985</v>
      </c>
      <c r="U42" s="2">
        <f ca="1">goldenOTP_check!U42*U98</f>
        <v>979.44</v>
      </c>
      <c r="V42" s="2">
        <f ca="1">goldenOTP_check!V42*V98</f>
        <v>956.351</v>
      </c>
      <c r="W42" s="2">
        <f ca="1">goldenOTP_check!W42*W98</f>
        <v>952.51100000000008</v>
      </c>
      <c r="X42" s="2">
        <f ca="1">goldenOTP_check!X42*X98</f>
        <v>936.59999999999991</v>
      </c>
      <c r="Y42" s="11">
        <f ca="1">goldenOTP_check!Y42*Y98</f>
        <v>905.5200000000001</v>
      </c>
    </row>
    <row r="43" spans="2:25" x14ac:dyDescent="0.3">
      <c r="B43" s="6">
        <v>40</v>
      </c>
      <c r="C43" s="9">
        <v>1.643</v>
      </c>
      <c r="D43" s="9">
        <v>1.5329999999999999</v>
      </c>
      <c r="E43" s="9">
        <v>1.5349999999999999</v>
      </c>
      <c r="F43" s="9">
        <v>1.4910000000000001</v>
      </c>
    </row>
    <row r="44" spans="2:25" x14ac:dyDescent="0.3">
      <c r="B44" s="6">
        <v>41</v>
      </c>
      <c r="C44" s="9">
        <v>1.5469999999999999</v>
      </c>
      <c r="D44" s="9">
        <v>1.4590000000000001</v>
      </c>
      <c r="E44" s="9">
        <v>1.46</v>
      </c>
      <c r="F44" s="9">
        <v>1.425</v>
      </c>
      <c r="H44" t="s">
        <v>3</v>
      </c>
      <c r="I44" s="12">
        <f ca="1">goldenOTP_check!I44*I100</f>
        <v>863.9</v>
      </c>
      <c r="J44" s="4">
        <f ca="1">goldenOTP_check!J44*J100</f>
        <v>914.9620000000001</v>
      </c>
      <c r="K44" s="4">
        <f ca="1">goldenOTP_check!K44*K100</f>
        <v>916.60800000000006</v>
      </c>
      <c r="L44" s="4">
        <f ca="1">goldenOTP_check!L44*L100</f>
        <v>956.24200000000008</v>
      </c>
      <c r="M44" s="4">
        <f ca="1">goldenOTP_check!M44*M100</f>
        <v>973.70899999999995</v>
      </c>
      <c r="N44" s="4">
        <f ca="1">goldenOTP_check!N44*N100</f>
        <v>960.20099999999991</v>
      </c>
      <c r="O44" s="4">
        <f ca="1">goldenOTP_check!O44*O100</f>
        <v>994.22299999999996</v>
      </c>
      <c r="P44" s="4">
        <f ca="1">goldenOTP_check!P44*P100</f>
        <v>1001.91</v>
      </c>
      <c r="Q44" s="4">
        <f ca="1">goldenOTP_check!Q44*Q100</f>
        <v>1012.069</v>
      </c>
      <c r="R44" s="4">
        <f ca="1">goldenOTP_check!R44*R100</f>
        <v>1004.0939999999999</v>
      </c>
      <c r="S44" s="4">
        <f ca="1">goldenOTP_check!S44*S100</f>
        <v>997.8839999999999</v>
      </c>
      <c r="T44" s="4">
        <f ca="1">goldenOTP_check!T44*T100</f>
        <v>963.0630000000001</v>
      </c>
      <c r="U44" s="4">
        <f ca="1">goldenOTP_check!U44*U100</f>
        <v>976.86599999999999</v>
      </c>
      <c r="V44" s="4">
        <f ca="1">goldenOTP_check!V44*V100</f>
        <v>925.90000000000009</v>
      </c>
      <c r="W44" s="4">
        <f ca="1">goldenOTP_check!W44*W100</f>
        <v>929.28000000000009</v>
      </c>
      <c r="X44" s="4">
        <f ca="1">goldenOTP_check!X44*X100</f>
        <v>925.53599999999994</v>
      </c>
      <c r="Y44" s="12">
        <f ca="1">goldenOTP_check!Y44*Y100</f>
        <v>869.995</v>
      </c>
    </row>
    <row r="45" spans="2:25" x14ac:dyDescent="0.3">
      <c r="B45" s="6">
        <v>42</v>
      </c>
      <c r="C45" s="9">
        <v>1.518</v>
      </c>
      <c r="D45" s="9">
        <v>1.4379999999999999</v>
      </c>
      <c r="E45" s="9">
        <v>1.4379999999999999</v>
      </c>
      <c r="F45" s="9">
        <v>1.409</v>
      </c>
      <c r="H45" t="s">
        <v>6</v>
      </c>
      <c r="I45" s="4">
        <f ca="1">goldenOTP_check!I45*I101</f>
        <v>926.18399999999997</v>
      </c>
      <c r="J45" s="4">
        <f ca="1">goldenOTP_check!J45*J101</f>
        <v>924.11</v>
      </c>
      <c r="K45" s="4">
        <f ca="1">goldenOTP_check!K45*K101</f>
        <v>943.26</v>
      </c>
      <c r="L45" s="4">
        <f ca="1">goldenOTP_check!L45*L101</f>
        <v>976.88499999999988</v>
      </c>
      <c r="M45" s="4">
        <f ca="1">goldenOTP_check!M45*M101</f>
        <v>1005.056</v>
      </c>
      <c r="N45" s="4">
        <f ca="1">goldenOTP_check!N45*N101</f>
        <v>1029.2160000000001</v>
      </c>
      <c r="O45" s="4">
        <f ca="1">goldenOTP_check!O45*O101</f>
        <v>1045.028</v>
      </c>
      <c r="P45" s="4">
        <f ca="1">goldenOTP_check!P45*P101</f>
        <v>1043.4059999999999</v>
      </c>
      <c r="Q45" s="4">
        <f ca="1">goldenOTP_check!Q45*Q101</f>
        <v>1048.4640000000002</v>
      </c>
      <c r="R45" s="4">
        <f ca="1">goldenOTP_check!R45*R101</f>
        <v>1043.4059999999999</v>
      </c>
      <c r="S45" s="4">
        <f ca="1">goldenOTP_check!S45*S101</f>
        <v>1048.712</v>
      </c>
      <c r="T45" s="4">
        <f ca="1">goldenOTP_check!T45*T101</f>
        <v>1034.896</v>
      </c>
      <c r="U45" s="4">
        <f ca="1">goldenOTP_check!U45*U101</f>
        <v>1013.76</v>
      </c>
      <c r="V45" s="4">
        <f ca="1">goldenOTP_check!V45*V101</f>
        <v>987.35</v>
      </c>
      <c r="W45" s="4">
        <f ca="1">goldenOTP_check!W45*W101</f>
        <v>957.98599999999999</v>
      </c>
      <c r="X45" s="4">
        <f ca="1">goldenOTP_check!X45*X101</f>
        <v>936.72699999999998</v>
      </c>
      <c r="Y45" s="4">
        <f ca="1">goldenOTP_check!Y45*Y101</f>
        <v>925.29599999999994</v>
      </c>
    </row>
    <row r="46" spans="2:25" x14ac:dyDescent="0.3">
      <c r="B46" s="6">
        <v>43</v>
      </c>
      <c r="C46" s="9">
        <v>1.5509999999999999</v>
      </c>
      <c r="D46" s="9">
        <v>1.4650000000000001</v>
      </c>
      <c r="E46" s="9">
        <v>1.466</v>
      </c>
      <c r="F46" s="9">
        <v>1.4330000000000001</v>
      </c>
      <c r="I46" s="4">
        <f ca="1">goldenOTP_check!I46*I102</f>
        <v>912.17</v>
      </c>
      <c r="J46" s="4">
        <f ca="1">goldenOTP_check!J46*J102</f>
        <v>930.375</v>
      </c>
      <c r="K46" s="4">
        <f ca="1">goldenOTP_check!K46*K102</f>
        <v>968.84099999999989</v>
      </c>
      <c r="L46" s="4">
        <f ca="1">goldenOTP_check!L46*L102</f>
        <v>1005.056</v>
      </c>
      <c r="M46" s="4">
        <f ca="1">goldenOTP_check!M46*M102</f>
        <v>1024.8599999999999</v>
      </c>
      <c r="N46" s="4">
        <f ca="1">goldenOTP_check!N46*N102</f>
        <v>1041.336</v>
      </c>
      <c r="O46" s="4">
        <f ca="1">goldenOTP_check!O46*O102</f>
        <v>1051.155</v>
      </c>
      <c r="P46" s="4">
        <f ca="1">goldenOTP_check!P46*P102</f>
        <v>1068.75</v>
      </c>
      <c r="Q46" s="4">
        <f ca="1">goldenOTP_check!Q46*Q102</f>
        <v>1073.6580000000001</v>
      </c>
      <c r="R46" s="4">
        <f ca="1">goldenOTP_check!R46*R102</f>
        <v>1074.75</v>
      </c>
      <c r="S46" s="4">
        <f ca="1">goldenOTP_check!S46*S102</f>
        <v>1064.55</v>
      </c>
      <c r="T46" s="4">
        <f ca="1">goldenOTP_check!T46*T102</f>
        <v>1056.24</v>
      </c>
      <c r="U46" s="4">
        <f ca="1">goldenOTP_check!U46*U102</f>
        <v>1040.52</v>
      </c>
      <c r="V46" s="4">
        <f ca="1">goldenOTP_check!V46*V102</f>
        <v>1021.952</v>
      </c>
      <c r="W46" s="4">
        <f ca="1">goldenOTP_check!W46*W102</f>
        <v>984.346</v>
      </c>
      <c r="X46" s="4">
        <f ca="1">goldenOTP_check!X46*X102</f>
        <v>941.625</v>
      </c>
      <c r="Y46" s="4">
        <f ca="1">goldenOTP_check!Y46*Y102</f>
        <v>910.91399999999999</v>
      </c>
    </row>
    <row r="47" spans="2:25" x14ac:dyDescent="0.3">
      <c r="B47" s="6">
        <v>44</v>
      </c>
      <c r="C47" s="9">
        <v>1.6519999999999999</v>
      </c>
      <c r="D47" s="9">
        <v>1.548</v>
      </c>
      <c r="E47" s="9">
        <v>1.5489999999999999</v>
      </c>
      <c r="F47" s="9">
        <v>1.51</v>
      </c>
      <c r="I47" s="4">
        <f ca="1">goldenOTP_check!I47*I103</f>
        <v>937.76299999999992</v>
      </c>
      <c r="J47" s="4">
        <f ca="1">goldenOTP_check!J47*J103</f>
        <v>952.15199999999993</v>
      </c>
      <c r="K47" s="4">
        <f ca="1">goldenOTP_check!K47*K103</f>
        <v>1002.4499999999999</v>
      </c>
      <c r="L47" s="4">
        <f ca="1">goldenOTP_check!L47*L103</f>
        <v>1029.2160000000001</v>
      </c>
      <c r="M47" s="4">
        <f ca="1">goldenOTP_check!M47*M103</f>
        <v>1040.04</v>
      </c>
      <c r="N47" s="4">
        <f ca="1">goldenOTP_check!N47*N103</f>
        <v>1059.7259999999999</v>
      </c>
      <c r="O47" s="4">
        <f ca="1">goldenOTP_check!O47*O103</f>
        <v>1059.5909999999999</v>
      </c>
      <c r="P47" s="4">
        <f ca="1">goldenOTP_check!P47*P103</f>
        <v>1066.25</v>
      </c>
      <c r="Q47" s="4">
        <f ca="1">goldenOTP_check!Q47*Q103</f>
        <v>1067.904</v>
      </c>
      <c r="R47" s="4">
        <f ca="1">goldenOTP_check!R47*R103</f>
        <v>1074.78</v>
      </c>
      <c r="S47" s="4">
        <f ca="1">goldenOTP_check!S47*S103</f>
        <v>1077.345</v>
      </c>
      <c r="T47" s="4">
        <f ca="1">goldenOTP_check!T47*T103</f>
        <v>1062.874</v>
      </c>
      <c r="U47" s="4">
        <f ca="1">goldenOTP_check!U47*U103</f>
        <v>1060.7760000000001</v>
      </c>
      <c r="V47" s="4">
        <f ca="1">goldenOTP_check!V47*V103</f>
        <v>1028.222</v>
      </c>
      <c r="W47" s="4">
        <f ca="1">goldenOTP_check!W47*W103</f>
        <v>993.59100000000012</v>
      </c>
      <c r="X47" s="4">
        <f ca="1">goldenOTP_check!X47*X103</f>
        <v>961.15000000000009</v>
      </c>
      <c r="Y47" s="4">
        <f ca="1">goldenOTP_check!Y47*Y103</f>
        <v>936.01800000000003</v>
      </c>
    </row>
    <row r="48" spans="2:25" x14ac:dyDescent="0.3">
      <c r="B48" s="6">
        <v>45</v>
      </c>
      <c r="C48" s="9">
        <v>1.806</v>
      </c>
      <c r="D48" s="9">
        <v>1.675</v>
      </c>
      <c r="E48" s="9">
        <v>1.6759999999999999</v>
      </c>
      <c r="F48" s="9">
        <v>1.63</v>
      </c>
      <c r="I48" s="4">
        <f ca="1">goldenOTP_check!I48*I104</f>
        <v>936.404</v>
      </c>
      <c r="J48" s="4">
        <f ca="1">goldenOTP_check!J48*J104</f>
        <v>955.15199999999993</v>
      </c>
      <c r="K48" s="4">
        <f ca="1">goldenOTP_check!K48*K104</f>
        <v>994.30399999999997</v>
      </c>
      <c r="L48" s="4">
        <f ca="1">goldenOTP_check!L48*L104</f>
        <v>1045.6420000000001</v>
      </c>
      <c r="M48" s="4">
        <f ca="1">goldenOTP_check!M48*M104</f>
        <v>1047.6299999999999</v>
      </c>
      <c r="N48" s="4">
        <f ca="1">goldenOTP_check!N48*N104</f>
        <v>1057.9769999999999</v>
      </c>
      <c r="O48" s="4">
        <f ca="1">goldenOTP_check!O48*O104</f>
        <v>1058.191</v>
      </c>
      <c r="P48" s="4">
        <f ca="1">goldenOTP_check!P48*P104</f>
        <v>1054.0920000000001</v>
      </c>
      <c r="Q48" s="4">
        <f ca="1">goldenOTP_check!Q48*Q104</f>
        <v>1062.915</v>
      </c>
      <c r="R48" s="4">
        <f ca="1">goldenOTP_check!R48*R104</f>
        <v>1058.752</v>
      </c>
      <c r="S48" s="4">
        <f ca="1">goldenOTP_check!S48*S104</f>
        <v>1068.835</v>
      </c>
      <c r="T48" s="4">
        <f ca="1">goldenOTP_check!T48*T104</f>
        <v>1070.8889999999999</v>
      </c>
      <c r="U48" s="4">
        <f ca="1">goldenOTP_check!U48*U104</f>
        <v>1063.845</v>
      </c>
      <c r="V48" s="4">
        <f ca="1">goldenOTP_check!V48*V104</f>
        <v>1040.8579999999999</v>
      </c>
      <c r="W48" s="4">
        <f ca="1">goldenOTP_check!W48*W104</f>
        <v>1012.224</v>
      </c>
      <c r="X48" s="4">
        <f ca="1">goldenOTP_check!X48*X104</f>
        <v>970.27200000000005</v>
      </c>
      <c r="Y48" s="4">
        <f ca="1">goldenOTP_check!Y48*Y104</f>
        <v>944.19499999999994</v>
      </c>
    </row>
    <row r="49" spans="2:25" x14ac:dyDescent="0.3">
      <c r="B49" s="6">
        <v>46</v>
      </c>
      <c r="C49" s="9">
        <v>2.0089999999999999</v>
      </c>
      <c r="D49" s="9">
        <v>1.84</v>
      </c>
      <c r="E49" s="9">
        <v>1.84</v>
      </c>
      <c r="F49" s="9">
        <v>1.794</v>
      </c>
      <c r="I49" s="4">
        <f ca="1">goldenOTP_check!I49*I105</f>
        <v>927.03400000000011</v>
      </c>
      <c r="J49" s="4">
        <f ca="1">goldenOTP_check!J49*J105</f>
        <v>972.33500000000004</v>
      </c>
      <c r="K49" s="4">
        <f ca="1">goldenOTP_check!K49*K105</f>
        <v>996.44400000000007</v>
      </c>
      <c r="L49" s="4">
        <f ca="1">goldenOTP_check!L49*L105</f>
        <v>1035.125</v>
      </c>
      <c r="M49" s="4">
        <f ca="1">goldenOTP_check!M49*M105</f>
        <v>1057.5</v>
      </c>
      <c r="N49" s="4">
        <f ca="1">goldenOTP_check!N49*N105</f>
        <v>1060.279</v>
      </c>
      <c r="O49" s="4">
        <f ca="1">goldenOTP_check!O49*O105</f>
        <v>1052.2280000000001</v>
      </c>
      <c r="P49" s="4">
        <f ca="1">goldenOTP_check!P49*P105</f>
        <v>1043.395</v>
      </c>
      <c r="Q49" s="4">
        <f ca="1">goldenOTP_check!Q49*Q105</f>
        <v>1032</v>
      </c>
      <c r="R49" s="4">
        <f ca="1">goldenOTP_check!R49*R105</f>
        <v>1048.3400000000001</v>
      </c>
      <c r="S49" s="4">
        <f ca="1">goldenOTP_check!S49*S105</f>
        <v>1057.82</v>
      </c>
      <c r="T49" s="4">
        <f ca="1">goldenOTP_check!T49*T105</f>
        <v>1052.932</v>
      </c>
      <c r="U49" s="4">
        <f ca="1">goldenOTP_check!U49*U105</f>
        <v>1052.336</v>
      </c>
      <c r="V49" s="4">
        <f ca="1">goldenOTP_check!V49*V105</f>
        <v>1050.413</v>
      </c>
      <c r="W49" s="4">
        <f ca="1">goldenOTP_check!W49*W105</f>
        <v>1015.668</v>
      </c>
      <c r="X49" s="4">
        <f ca="1">goldenOTP_check!X49*X105</f>
        <v>966.18299999999999</v>
      </c>
      <c r="Y49" s="4">
        <f ca="1">goldenOTP_check!Y49*Y105</f>
        <v>950.60600000000011</v>
      </c>
    </row>
    <row r="50" spans="2:25" x14ac:dyDescent="0.3">
      <c r="B50" s="6">
        <v>47</v>
      </c>
      <c r="C50" s="9">
        <v>2.258</v>
      </c>
      <c r="D50" s="9">
        <v>2.0449999999999999</v>
      </c>
      <c r="E50" s="9">
        <v>2.0449999999999999</v>
      </c>
      <c r="F50" s="9">
        <v>1.996</v>
      </c>
      <c r="I50" s="4">
        <f ca="1">goldenOTP_check!I50*I106</f>
        <v>920.21199999999999</v>
      </c>
      <c r="J50" s="4">
        <f ca="1">goldenOTP_check!J50*J106</f>
        <v>962.32500000000005</v>
      </c>
      <c r="K50" s="4">
        <f ca="1">goldenOTP_check!K50*K106</f>
        <v>1004.0939999999999</v>
      </c>
      <c r="L50" s="4">
        <f ca="1">goldenOTP_check!L50*L106</f>
        <v>1032.912</v>
      </c>
      <c r="M50" s="4">
        <f ca="1">goldenOTP_check!M50*M106</f>
        <v>1048.5119999999999</v>
      </c>
      <c r="N50" s="4">
        <f ca="1">goldenOTP_check!N50*N106</f>
        <v>1047.1679999999999</v>
      </c>
      <c r="O50" s="4">
        <f ca="1">goldenOTP_check!O50*O106</f>
        <v>1034.471</v>
      </c>
      <c r="P50" s="4">
        <f ca="1">goldenOTP_check!P50*P106</f>
        <v>1026</v>
      </c>
      <c r="Q50" s="4">
        <f ca="1">goldenOTP_check!Q50*Q106</f>
        <v>1031.184</v>
      </c>
      <c r="R50" s="4">
        <f ca="1">goldenOTP_check!R50*R106</f>
        <v>1031</v>
      </c>
      <c r="S50" s="4">
        <f ca="1">goldenOTP_check!S50*S106</f>
        <v>1047.673</v>
      </c>
      <c r="T50" s="4">
        <f ca="1">goldenOTP_check!T50*T106</f>
        <v>1061.856</v>
      </c>
      <c r="U50" s="4">
        <f ca="1">goldenOTP_check!U50*U106</f>
        <v>1049.25</v>
      </c>
      <c r="V50" s="4">
        <f ca="1">goldenOTP_check!V50*V106</f>
        <v>1051.056</v>
      </c>
      <c r="W50" s="4">
        <f ca="1">goldenOTP_check!W50*W106</f>
        <v>1020.474</v>
      </c>
      <c r="X50" s="4">
        <f ca="1">goldenOTP_check!X50*X106</f>
        <v>976.43</v>
      </c>
      <c r="Y50" s="4">
        <f ca="1">goldenOTP_check!Y50*Y106</f>
        <v>925.1389999999999</v>
      </c>
    </row>
    <row r="51" spans="2:25" x14ac:dyDescent="0.3">
      <c r="B51" s="6">
        <v>48</v>
      </c>
      <c r="C51" s="9">
        <v>2.532</v>
      </c>
      <c r="D51" s="9">
        <v>2.278</v>
      </c>
      <c r="E51" s="9">
        <v>2.278</v>
      </c>
      <c r="F51" s="9">
        <v>2.222</v>
      </c>
      <c r="I51" s="4">
        <f ca="1">goldenOTP_check!I51*I107</f>
        <v>941.79700000000003</v>
      </c>
      <c r="J51" s="4">
        <f ca="1">goldenOTP_check!J51*J107</f>
        <v>948.46299999999997</v>
      </c>
      <c r="K51" s="4">
        <f ca="1">goldenOTP_check!K51*K107</f>
        <v>992.70600000000002</v>
      </c>
      <c r="L51" s="4">
        <f ca="1">goldenOTP_check!L51*L107</f>
        <v>1027.481</v>
      </c>
      <c r="M51" s="4">
        <f ca="1">goldenOTP_check!M51*M107</f>
        <v>1030.905</v>
      </c>
      <c r="N51" s="4">
        <f ca="1">goldenOTP_check!N51*N107</f>
        <v>1031.9070000000002</v>
      </c>
      <c r="O51" s="4">
        <f ca="1">goldenOTP_check!O51*O107</f>
        <v>1036.384</v>
      </c>
      <c r="P51" s="4">
        <f ca="1">goldenOTP_check!P51*P107</f>
        <v>1017.12</v>
      </c>
      <c r="Q51" s="4">
        <f ca="1">goldenOTP_check!Q51*Q107</f>
        <v>1022</v>
      </c>
      <c r="R51" s="4">
        <f ca="1">goldenOTP_check!R51*R107</f>
        <v>1028.856</v>
      </c>
      <c r="S51" s="4">
        <f ca="1">goldenOTP_check!S51*S107</f>
        <v>1054.0920000000001</v>
      </c>
      <c r="T51" s="4">
        <f ca="1">goldenOTP_check!T51*T107</f>
        <v>1051.25</v>
      </c>
      <c r="U51" s="4">
        <f ca="1">goldenOTP_check!U51*U107</f>
        <v>1052.336</v>
      </c>
      <c r="V51" s="4">
        <f ca="1">goldenOTP_check!V51*V107</f>
        <v>1047.865</v>
      </c>
      <c r="W51" s="4">
        <f ca="1">goldenOTP_check!W51*W107</f>
        <v>1010.328</v>
      </c>
      <c r="X51" s="4">
        <f ca="1">goldenOTP_check!X51*X107</f>
        <v>958.65200000000004</v>
      </c>
      <c r="Y51" s="4">
        <f ca="1">goldenOTP_check!Y51*Y107</f>
        <v>938.35</v>
      </c>
    </row>
    <row r="52" spans="2:25" x14ac:dyDescent="0.3">
      <c r="B52" s="6">
        <v>49</v>
      </c>
      <c r="C52" s="9">
        <v>2.8740000000000001</v>
      </c>
      <c r="D52" s="9">
        <v>2.585</v>
      </c>
      <c r="E52" s="9">
        <v>2.5840000000000001</v>
      </c>
      <c r="F52" s="9">
        <v>2.5110000000000001</v>
      </c>
      <c r="I52" s="4">
        <f ca="1">goldenOTP_check!I52*I108</f>
        <v>902.46</v>
      </c>
      <c r="J52" s="4">
        <f ca="1">goldenOTP_check!J52*J108</f>
        <v>957.74400000000003</v>
      </c>
      <c r="K52" s="4">
        <f ca="1">goldenOTP_check!K52*K108</f>
        <v>993.28</v>
      </c>
      <c r="L52" s="4">
        <f ca="1">goldenOTP_check!L52*L108</f>
        <v>1017.9820000000001</v>
      </c>
      <c r="M52" s="4">
        <f ca="1">goldenOTP_check!M52*M108</f>
        <v>1037.76</v>
      </c>
      <c r="N52" s="4">
        <f ca="1">goldenOTP_check!N52*N108</f>
        <v>1030.82</v>
      </c>
      <c r="O52" s="4">
        <f ca="1">goldenOTP_check!O52*O108</f>
        <v>1032.5</v>
      </c>
      <c r="P52" s="4">
        <f ca="1">goldenOTP_check!P52*P108</f>
        <v>1037.316</v>
      </c>
      <c r="Q52" s="4">
        <f ca="1">goldenOTP_check!Q52*Q108</f>
        <v>1031.6420000000001</v>
      </c>
      <c r="R52" s="4">
        <f ca="1">goldenOTP_check!R52*R108</f>
        <v>1030.5989999999999</v>
      </c>
      <c r="S52" s="4">
        <f ca="1">goldenOTP_check!S52*S108</f>
        <v>1042.125</v>
      </c>
      <c r="T52" s="4">
        <f ca="1">goldenOTP_check!T52*T108</f>
        <v>1045.944</v>
      </c>
      <c r="U52" s="4">
        <f ca="1">goldenOTP_check!U52*U108</f>
        <v>1056.0899999999999</v>
      </c>
      <c r="V52" s="4">
        <f ca="1">goldenOTP_check!V52*V108</f>
        <v>1037.2460000000001</v>
      </c>
      <c r="W52" s="4">
        <f ca="1">goldenOTP_check!W52*W108</f>
        <v>1009.152</v>
      </c>
      <c r="X52" s="4">
        <f ca="1">goldenOTP_check!X52*X108</f>
        <v>967.68000000000006</v>
      </c>
      <c r="Y52" s="4">
        <f ca="1">goldenOTP_check!Y52*Y108</f>
        <v>902.81600000000003</v>
      </c>
    </row>
    <row r="53" spans="2:25" x14ac:dyDescent="0.3">
      <c r="B53" s="6">
        <v>50</v>
      </c>
      <c r="C53" s="9">
        <v>3.331</v>
      </c>
      <c r="D53" s="9">
        <v>3.008</v>
      </c>
      <c r="E53" s="9">
        <v>3.0059999999999998</v>
      </c>
      <c r="F53" s="9">
        <v>2.9009999999999998</v>
      </c>
      <c r="I53" s="4">
        <f ca="1">goldenOTP_check!I53*I109</f>
        <v>886.44600000000003</v>
      </c>
      <c r="J53" s="4">
        <f ca="1">goldenOTP_check!J53*J109</f>
        <v>946.83499999999992</v>
      </c>
      <c r="K53" s="4">
        <f ca="1">goldenOTP_check!K53*K109</f>
        <v>974.51100000000008</v>
      </c>
      <c r="L53" s="4">
        <f ca="1">goldenOTP_check!L53*L109</f>
        <v>1004.271</v>
      </c>
      <c r="M53" s="4">
        <f ca="1">goldenOTP_check!M53*M109</f>
        <v>1034.2080000000001</v>
      </c>
      <c r="N53" s="4">
        <f ca="1">goldenOTP_check!N53*N109</f>
        <v>1033.7939999999999</v>
      </c>
      <c r="O53" s="4">
        <f ca="1">goldenOTP_check!O53*O109</f>
        <v>1030.82</v>
      </c>
      <c r="P53" s="4">
        <f ca="1">goldenOTP_check!P53*P109</f>
        <v>1032.748</v>
      </c>
      <c r="Q53" s="4">
        <f ca="1">goldenOTP_check!Q53*Q109</f>
        <v>1029.5710000000001</v>
      </c>
      <c r="R53" s="4">
        <f ca="1">goldenOTP_check!R53*R109</f>
        <v>1032.748</v>
      </c>
      <c r="S53" s="4">
        <f ca="1">goldenOTP_check!S53*S109</f>
        <v>1034.0039999999999</v>
      </c>
      <c r="T53" s="4">
        <f ca="1">goldenOTP_check!T53*T109</f>
        <v>1037.4290000000001</v>
      </c>
      <c r="U53" s="4">
        <f ca="1">goldenOTP_check!U53*U109</f>
        <v>1023.022</v>
      </c>
      <c r="V53" s="4">
        <f ca="1">goldenOTP_check!V53*V109</f>
        <v>1017.639</v>
      </c>
      <c r="W53" s="4">
        <f ca="1">goldenOTP_check!W53*W109</f>
        <v>989.77500000000009</v>
      </c>
      <c r="X53" s="4">
        <f ca="1">goldenOTP_check!X53*X109</f>
        <v>959.923</v>
      </c>
      <c r="Y53" s="4">
        <f ca="1">goldenOTP_check!Y53*Y109</f>
        <v>896.43600000000004</v>
      </c>
    </row>
    <row r="54" spans="2:25" x14ac:dyDescent="0.3">
      <c r="B54" s="6">
        <v>51</v>
      </c>
      <c r="C54" s="9">
        <v>3.121</v>
      </c>
      <c r="D54" s="9">
        <v>2.7730000000000001</v>
      </c>
      <c r="E54" s="9">
        <v>2.7759999999999998</v>
      </c>
      <c r="F54" s="9">
        <v>2.6869999999999998</v>
      </c>
      <c r="I54" s="4">
        <f ca="1">goldenOTP_check!I54*I110</f>
        <v>908.71600000000001</v>
      </c>
      <c r="J54" s="4">
        <f ca="1">goldenOTP_check!J54*J110</f>
        <v>930.375</v>
      </c>
      <c r="K54" s="4">
        <f ca="1">goldenOTP_check!K54*K110</f>
        <v>944.78399999999988</v>
      </c>
      <c r="L54" s="4">
        <f ca="1">goldenOTP_check!L54*L110</f>
        <v>977</v>
      </c>
      <c r="M54" s="4">
        <f ca="1">goldenOTP_check!M54*M110</f>
        <v>996.27200000000005</v>
      </c>
      <c r="N54" s="4">
        <f ca="1">goldenOTP_check!N54*N110</f>
        <v>1015.378</v>
      </c>
      <c r="O54" s="4">
        <f ca="1">goldenOTP_check!O54*O110</f>
        <v>1021.482</v>
      </c>
      <c r="P54" s="4">
        <f ca="1">goldenOTP_check!P54*P110</f>
        <v>1034.5999999999999</v>
      </c>
      <c r="Q54" s="4">
        <f ca="1">goldenOTP_check!Q54*Q110</f>
        <v>1033.5</v>
      </c>
      <c r="R54" s="4">
        <f ca="1">goldenOTP_check!R54*R110</f>
        <v>1035.3389999999999</v>
      </c>
      <c r="S54" s="4">
        <f ca="1">goldenOTP_check!S54*S110</f>
        <v>1022.8679999999999</v>
      </c>
      <c r="T54" s="4">
        <f ca="1">goldenOTP_check!T54*T110</f>
        <v>1020.474</v>
      </c>
      <c r="U54" s="4">
        <f ca="1">goldenOTP_check!U54*U110</f>
        <v>1005.36</v>
      </c>
      <c r="V54" s="4">
        <f ca="1">goldenOTP_check!V54*V110</f>
        <v>989.5</v>
      </c>
      <c r="W54" s="4">
        <f ca="1">goldenOTP_check!W54*W110</f>
        <v>955.58400000000006</v>
      </c>
      <c r="X54" s="4">
        <f ca="1">goldenOTP_check!X54*X110</f>
        <v>940.125</v>
      </c>
      <c r="Y54" s="4">
        <f ca="1">goldenOTP_check!Y54*Y110</f>
        <v>912.48400000000004</v>
      </c>
    </row>
    <row r="55" spans="2:25" x14ac:dyDescent="0.3">
      <c r="B55" s="6">
        <v>52</v>
      </c>
      <c r="C55" s="9">
        <v>2.694</v>
      </c>
      <c r="D55" s="9">
        <v>2.3980000000000001</v>
      </c>
      <c r="E55" s="9">
        <v>2.4</v>
      </c>
      <c r="F55" s="9">
        <v>2.3279999999999998</v>
      </c>
      <c r="I55" s="4">
        <f ca="1">goldenOTP_check!I55*I111</f>
        <v>935.06399999999996</v>
      </c>
      <c r="J55" s="4">
        <f ca="1">goldenOTP_check!J55*J111</f>
        <v>931.61200000000008</v>
      </c>
      <c r="K55" s="4">
        <f ca="1">goldenOTP_check!K55*K111</f>
        <v>921.76799999999992</v>
      </c>
      <c r="L55" s="4">
        <f ca="1">goldenOTP_check!L55*L111</f>
        <v>953.33600000000001</v>
      </c>
      <c r="M55" s="4">
        <f ca="1">goldenOTP_check!M55*M111</f>
        <v>978</v>
      </c>
      <c r="N55" s="4">
        <f ca="1">goldenOTP_check!N55*N111</f>
        <v>1001.486</v>
      </c>
      <c r="O55" s="4">
        <f ca="1">goldenOTP_check!O55*O111</f>
        <v>1014.972</v>
      </c>
      <c r="P55" s="4">
        <f ca="1">goldenOTP_check!P55*P111</f>
        <v>1013.125</v>
      </c>
      <c r="Q55" s="4">
        <f ca="1">goldenOTP_check!Q55*Q111</f>
        <v>1021.111</v>
      </c>
      <c r="R55" s="4">
        <f ca="1">goldenOTP_check!R55*R111</f>
        <v>1018.125</v>
      </c>
      <c r="S55" s="4">
        <f ca="1">goldenOTP_check!S55*S111</f>
        <v>1026.4100000000001</v>
      </c>
      <c r="T55" s="4">
        <f ca="1">goldenOTP_check!T55*T111</f>
        <v>1014.297</v>
      </c>
      <c r="U55" s="4">
        <f ca="1">goldenOTP_check!U55*U111</f>
        <v>990.5</v>
      </c>
      <c r="V55" s="4">
        <f ca="1">goldenOTP_check!V55*V111</f>
        <v>962.19600000000003</v>
      </c>
      <c r="W55" s="4">
        <f ca="1">goldenOTP_check!W55*W111</f>
        <v>927.17200000000003</v>
      </c>
      <c r="X55" s="4">
        <f ca="1">goldenOTP_check!X55*X111</f>
        <v>932.29399999999998</v>
      </c>
      <c r="Y55" s="4">
        <f ca="1">goldenOTP_check!Y55*Y111</f>
        <v>923.22400000000005</v>
      </c>
    </row>
    <row r="56" spans="2:25" x14ac:dyDescent="0.3">
      <c r="B56" s="6">
        <v>53</v>
      </c>
      <c r="C56" s="9">
        <v>2.355</v>
      </c>
      <c r="D56" s="9">
        <v>2.11</v>
      </c>
      <c r="E56" s="9">
        <v>2.1120000000000001</v>
      </c>
      <c r="F56" s="9">
        <v>2.0499999999999998</v>
      </c>
      <c r="I56" s="12">
        <f ca="1">goldenOTP_check!I56*I112</f>
        <v>901</v>
      </c>
      <c r="J56" s="4">
        <f ca="1">goldenOTP_check!J56*J112</f>
        <v>903.98399999999992</v>
      </c>
      <c r="K56" s="4">
        <f ca="1">goldenOTP_check!K56*K112</f>
        <v>916.26699999999994</v>
      </c>
      <c r="L56" s="4">
        <f ca="1">goldenOTP_check!L56*L112</f>
        <v>956.39400000000001</v>
      </c>
      <c r="M56" s="4">
        <f ca="1">goldenOTP_check!M56*M112</f>
        <v>973.28000000000009</v>
      </c>
      <c r="N56" s="4">
        <f ca="1">goldenOTP_check!N56*N112</f>
        <v>955.76600000000008</v>
      </c>
      <c r="O56" s="4">
        <f ca="1">goldenOTP_check!O56*O112</f>
        <v>990.72</v>
      </c>
      <c r="P56" s="4">
        <f ca="1">goldenOTP_check!P56*P112</f>
        <v>998.04600000000005</v>
      </c>
      <c r="Q56" s="4">
        <f ca="1">goldenOTP_check!Q56*Q112</f>
        <v>982.09</v>
      </c>
      <c r="R56" s="4">
        <f ca="1">goldenOTP_check!R56*R112</f>
        <v>1007.1239999999999</v>
      </c>
      <c r="S56" s="4">
        <f ca="1">goldenOTP_check!S56*S112</f>
        <v>977.12</v>
      </c>
      <c r="T56" s="4">
        <f ca="1">goldenOTP_check!T56*T112</f>
        <v>974.40600000000006</v>
      </c>
      <c r="U56" s="4">
        <f ca="1">goldenOTP_check!U56*U112</f>
        <v>951.45600000000013</v>
      </c>
      <c r="V56" s="4">
        <f ca="1">goldenOTP_check!V56*V112</f>
        <v>927.24299999999994</v>
      </c>
      <c r="W56" s="4">
        <f ca="1">goldenOTP_check!W56*W112</f>
        <v>916.60800000000006</v>
      </c>
      <c r="X56" s="4">
        <f ca="1">goldenOTP_check!X56*X112</f>
        <v>890.66399999999999</v>
      </c>
      <c r="Y56" s="12">
        <f ca="1">goldenOTP_check!Y56*Y112</f>
        <v>867.875</v>
      </c>
    </row>
    <row r="57" spans="2:25" x14ac:dyDescent="0.3">
      <c r="B57" s="6">
        <v>54</v>
      </c>
      <c r="C57" s="9">
        <v>2.056</v>
      </c>
      <c r="D57" s="9">
        <v>1.865</v>
      </c>
      <c r="E57" s="9">
        <v>1.867</v>
      </c>
      <c r="F57" s="9">
        <v>1.8120000000000001</v>
      </c>
    </row>
    <row r="58" spans="2:25" x14ac:dyDescent="0.3">
      <c r="B58" s="6">
        <v>55</v>
      </c>
      <c r="C58" s="9">
        <v>1.7949999999999999</v>
      </c>
      <c r="D58" s="9">
        <v>1.655</v>
      </c>
      <c r="E58" s="9">
        <v>1.657</v>
      </c>
      <c r="F58" s="9">
        <v>1.605</v>
      </c>
      <c r="H58" t="s">
        <v>5</v>
      </c>
      <c r="I58" s="3">
        <f t="shared" ref="I58:Y70" ca="1" si="0">INDIRECT("C"&amp;(17*ROW(1:1)+ROW($C$3)-19+IF(COLUMN(C:C)&gt;19,50000,COLUMN(C:C)-1)))</f>
        <v>3.843</v>
      </c>
      <c r="J58" s="2">
        <f t="shared" ca="1" si="0"/>
        <v>3.4860000000000002</v>
      </c>
      <c r="K58" s="2">
        <f t="shared" ca="1" si="0"/>
        <v>3.0830000000000002</v>
      </c>
      <c r="L58" s="2">
        <f t="shared" ca="1" si="0"/>
        <v>2.7570000000000001</v>
      </c>
      <c r="M58" s="2">
        <f t="shared" ca="1" si="0"/>
        <v>2.54</v>
      </c>
      <c r="N58" s="2">
        <f t="shared" ca="1" si="0"/>
        <v>2.3540000000000001</v>
      </c>
      <c r="O58" s="2">
        <f t="shared" ca="1" si="0"/>
        <v>2.2090000000000001</v>
      </c>
      <c r="P58" s="2">
        <f t="shared" ca="1" si="0"/>
        <v>2.1219999999999999</v>
      </c>
      <c r="Q58" s="2">
        <f t="shared" ca="1" si="0"/>
        <v>2.093</v>
      </c>
      <c r="R58" s="2">
        <f t="shared" ca="1" si="0"/>
        <v>2.121</v>
      </c>
      <c r="S58" s="2">
        <f t="shared" ca="1" si="0"/>
        <v>2.2080000000000002</v>
      </c>
      <c r="T58" s="2">
        <f t="shared" ca="1" si="0"/>
        <v>2.347</v>
      </c>
      <c r="U58" s="2">
        <f t="shared" ca="1" si="0"/>
        <v>2.5270000000000001</v>
      </c>
      <c r="V58" s="2">
        <f t="shared" ca="1" si="0"/>
        <v>2.7519999999999998</v>
      </c>
      <c r="W58" s="2">
        <f t="shared" ca="1" si="0"/>
        <v>3.093</v>
      </c>
      <c r="X58" s="2">
        <f t="shared" ca="1" si="0"/>
        <v>3.4740000000000002</v>
      </c>
      <c r="Y58" s="3">
        <f t="shared" ca="1" si="0"/>
        <v>3.7930000000000001</v>
      </c>
    </row>
    <row r="59" spans="2:25" x14ac:dyDescent="0.3">
      <c r="B59" s="6">
        <v>56</v>
      </c>
      <c r="C59" s="9">
        <v>1.5780000000000001</v>
      </c>
      <c r="D59" s="9">
        <v>1.478</v>
      </c>
      <c r="E59" s="9">
        <v>1.48</v>
      </c>
      <c r="F59" s="9">
        <v>1.4339999999999999</v>
      </c>
      <c r="I59" s="2">
        <f t="shared" ca="1" si="0"/>
        <v>3.6640000000000001</v>
      </c>
      <c r="J59" s="2">
        <f t="shared" ca="1" si="0"/>
        <v>3.177</v>
      </c>
      <c r="K59" s="2">
        <f t="shared" ca="1" si="0"/>
        <v>2.7639999999999998</v>
      </c>
      <c r="L59" s="2">
        <f t="shared" ca="1" si="0"/>
        <v>2.4900000000000002</v>
      </c>
      <c r="M59" s="2">
        <f t="shared" ca="1" si="0"/>
        <v>2.2610000000000001</v>
      </c>
      <c r="N59" s="2">
        <f t="shared" ca="1" si="0"/>
        <v>2.069</v>
      </c>
      <c r="O59" s="2">
        <f t="shared" ca="1" si="0"/>
        <v>1.9219999999999999</v>
      </c>
      <c r="P59" s="2">
        <f t="shared" ca="1" si="0"/>
        <v>1.831</v>
      </c>
      <c r="Q59" s="2">
        <f t="shared" ca="1" si="0"/>
        <v>1.8009999999999999</v>
      </c>
      <c r="R59" s="2">
        <f t="shared" ca="1" si="0"/>
        <v>1.827</v>
      </c>
      <c r="S59" s="2">
        <f t="shared" ca="1" si="0"/>
        <v>1.919</v>
      </c>
      <c r="T59" s="2">
        <f t="shared" ca="1" si="0"/>
        <v>2.0649999999999999</v>
      </c>
      <c r="U59" s="2">
        <f t="shared" ca="1" si="0"/>
        <v>2.2610000000000001</v>
      </c>
      <c r="V59" s="2">
        <f t="shared" ca="1" si="0"/>
        <v>2.4910000000000001</v>
      </c>
      <c r="W59" s="2">
        <f t="shared" ca="1" si="0"/>
        <v>2.7749999999999999</v>
      </c>
      <c r="X59" s="2">
        <f t="shared" ca="1" si="0"/>
        <v>3.1720000000000002</v>
      </c>
      <c r="Y59" s="2">
        <f t="shared" ca="1" si="0"/>
        <v>3.5990000000000002</v>
      </c>
    </row>
    <row r="60" spans="2:25" x14ac:dyDescent="0.3">
      <c r="B60" s="6">
        <v>57</v>
      </c>
      <c r="C60" s="9">
        <v>1.4179999999999999</v>
      </c>
      <c r="D60" s="9">
        <v>1.349</v>
      </c>
      <c r="E60" s="9">
        <v>1.35</v>
      </c>
      <c r="F60" s="9">
        <v>1.3129999999999999</v>
      </c>
      <c r="I60" s="2">
        <f t="shared" ca="1" si="0"/>
        <v>3.3889999999999998</v>
      </c>
      <c r="J60" s="2">
        <f t="shared" ca="1" si="0"/>
        <v>2.8849999999999998</v>
      </c>
      <c r="K60" s="2">
        <f t="shared" ca="1" si="0"/>
        <v>2.5259999999999998</v>
      </c>
      <c r="L60" s="2">
        <f t="shared" ca="1" si="0"/>
        <v>2.2490000000000001</v>
      </c>
      <c r="M60" s="2">
        <f t="shared" ca="1" si="0"/>
        <v>2.0019999999999998</v>
      </c>
      <c r="N60" s="2">
        <f t="shared" ca="1" si="0"/>
        <v>1.7989999999999999</v>
      </c>
      <c r="O60" s="2">
        <f t="shared" ca="1" si="0"/>
        <v>1.643</v>
      </c>
      <c r="P60" s="2">
        <f t="shared" ca="1" si="0"/>
        <v>1.5469999999999999</v>
      </c>
      <c r="Q60" s="2">
        <f t="shared" ca="1" si="0"/>
        <v>1.518</v>
      </c>
      <c r="R60" s="2">
        <f t="shared" ca="1" si="0"/>
        <v>1.5509999999999999</v>
      </c>
      <c r="S60" s="2">
        <f t="shared" ca="1" si="0"/>
        <v>1.6519999999999999</v>
      </c>
      <c r="T60" s="2">
        <f t="shared" ca="1" si="0"/>
        <v>1.806</v>
      </c>
      <c r="U60" s="2">
        <f t="shared" ca="1" si="0"/>
        <v>2.0089999999999999</v>
      </c>
      <c r="V60" s="2">
        <f t="shared" ca="1" si="0"/>
        <v>2.258</v>
      </c>
      <c r="W60" s="2">
        <f t="shared" ca="1" si="0"/>
        <v>2.532</v>
      </c>
      <c r="X60" s="2">
        <f t="shared" ca="1" si="0"/>
        <v>2.8740000000000001</v>
      </c>
      <c r="Y60" s="2">
        <f t="shared" ca="1" si="0"/>
        <v>3.331</v>
      </c>
    </row>
    <row r="61" spans="2:25" x14ac:dyDescent="0.3">
      <c r="B61" s="6">
        <v>58</v>
      </c>
      <c r="C61" s="9">
        <v>1.325</v>
      </c>
      <c r="D61" s="9">
        <v>1.2769999999999999</v>
      </c>
      <c r="E61" s="9">
        <v>1.2769999999999999</v>
      </c>
      <c r="F61" s="9">
        <v>1.25</v>
      </c>
      <c r="I61" s="2">
        <f t="shared" ca="1" si="0"/>
        <v>3.121</v>
      </c>
      <c r="J61" s="2">
        <f t="shared" ca="1" si="0"/>
        <v>2.694</v>
      </c>
      <c r="K61" s="2">
        <f t="shared" ca="1" si="0"/>
        <v>2.355</v>
      </c>
      <c r="L61" s="2">
        <f t="shared" ca="1" si="0"/>
        <v>2.056</v>
      </c>
      <c r="M61" s="2">
        <f t="shared" ca="1" si="0"/>
        <v>1.7949999999999999</v>
      </c>
      <c r="N61" s="2">
        <f t="shared" ca="1" si="0"/>
        <v>1.5780000000000001</v>
      </c>
      <c r="O61" s="2">
        <f t="shared" ca="1" si="0"/>
        <v>1.4179999999999999</v>
      </c>
      <c r="P61" s="2">
        <f t="shared" ca="1" si="0"/>
        <v>1.325</v>
      </c>
      <c r="Q61" s="2">
        <f t="shared" ca="1" si="0"/>
        <v>1.2969999999999999</v>
      </c>
      <c r="R61" s="2">
        <f t="shared" ca="1" si="0"/>
        <v>1.331</v>
      </c>
      <c r="S61" s="2">
        <f t="shared" ca="1" si="0"/>
        <v>1.43</v>
      </c>
      <c r="T61" s="2">
        <f t="shared" ca="1" si="0"/>
        <v>1.591</v>
      </c>
      <c r="U61" s="2">
        <f t="shared" ca="1" si="0"/>
        <v>1.8069999999999999</v>
      </c>
      <c r="V61" s="2">
        <f t="shared" ca="1" si="0"/>
        <v>2.0649999999999999</v>
      </c>
      <c r="W61" s="2">
        <f t="shared" ca="1" si="0"/>
        <v>2.3570000000000002</v>
      </c>
      <c r="X61" s="2">
        <f t="shared" ca="1" si="0"/>
        <v>2.6760000000000002</v>
      </c>
      <c r="Y61" s="2">
        <f t="shared" ca="1" si="0"/>
        <v>3.0609999999999999</v>
      </c>
    </row>
    <row r="62" spans="2:25" x14ac:dyDescent="0.3">
      <c r="B62" s="6">
        <v>59</v>
      </c>
      <c r="C62" s="9">
        <v>1.2969999999999999</v>
      </c>
      <c r="D62" s="9">
        <v>1.258</v>
      </c>
      <c r="E62" s="9">
        <v>1.258</v>
      </c>
      <c r="F62" s="9">
        <v>1.236</v>
      </c>
      <c r="I62" s="2">
        <f t="shared" ca="1" si="0"/>
        <v>2.927</v>
      </c>
      <c r="J62" s="2">
        <f t="shared" ca="1" si="0"/>
        <v>2.5499999999999998</v>
      </c>
      <c r="K62" s="2">
        <f t="shared" ca="1" si="0"/>
        <v>2.2130000000000001</v>
      </c>
      <c r="L62" s="2">
        <f t="shared" ca="1" si="0"/>
        <v>1.909</v>
      </c>
      <c r="M62" s="2">
        <f t="shared" ca="1" si="0"/>
        <v>1.637</v>
      </c>
      <c r="N62" s="2">
        <f t="shared" ca="1" si="0"/>
        <v>1.415</v>
      </c>
      <c r="O62" s="2">
        <f t="shared" ca="1" si="0"/>
        <v>1.2629999999999999</v>
      </c>
      <c r="P62" s="2">
        <f t="shared" ca="1" si="0"/>
        <v>1.1739999999999999</v>
      </c>
      <c r="Q62" s="2">
        <f t="shared" ca="1" si="0"/>
        <v>1.1439999999999999</v>
      </c>
      <c r="R62" s="2">
        <f t="shared" ca="1" si="0"/>
        <v>1.177</v>
      </c>
      <c r="S62" s="2">
        <f t="shared" ca="1" si="0"/>
        <v>1.268</v>
      </c>
      <c r="T62" s="2">
        <f t="shared" ca="1" si="0"/>
        <v>1.419</v>
      </c>
      <c r="U62" s="2">
        <f t="shared" ca="1" si="0"/>
        <v>1.64</v>
      </c>
      <c r="V62" s="2">
        <f t="shared" ca="1" si="0"/>
        <v>1.913</v>
      </c>
      <c r="W62" s="2">
        <f t="shared" ca="1" si="0"/>
        <v>2.2210000000000001</v>
      </c>
      <c r="X62" s="2">
        <f t="shared" ca="1" si="0"/>
        <v>2.5489999999999999</v>
      </c>
      <c r="Y62" s="2">
        <f t="shared" ca="1" si="0"/>
        <v>2.9</v>
      </c>
    </row>
    <row r="63" spans="2:25" x14ac:dyDescent="0.3">
      <c r="B63" s="6">
        <v>60</v>
      </c>
      <c r="C63" s="9">
        <v>1.331</v>
      </c>
      <c r="D63" s="9">
        <v>1.2849999999999999</v>
      </c>
      <c r="E63" s="9">
        <v>1.2849999999999999</v>
      </c>
      <c r="F63" s="9">
        <v>1.26</v>
      </c>
      <c r="I63" s="2">
        <f t="shared" ca="1" si="0"/>
        <v>2.84</v>
      </c>
      <c r="J63" s="2">
        <f t="shared" ca="1" si="0"/>
        <v>2.4620000000000002</v>
      </c>
      <c r="K63" s="2">
        <f t="shared" ca="1" si="0"/>
        <v>2.1150000000000002</v>
      </c>
      <c r="L63" s="2">
        <f t="shared" ca="1" si="0"/>
        <v>1.8049999999999999</v>
      </c>
      <c r="M63" s="2">
        <f t="shared" ca="1" si="0"/>
        <v>1.53</v>
      </c>
      <c r="N63" s="2">
        <f t="shared" ca="1" si="0"/>
        <v>1.3169999999999999</v>
      </c>
      <c r="O63" s="2">
        <f t="shared" ca="1" si="0"/>
        <v>1.17</v>
      </c>
      <c r="P63" s="2">
        <f t="shared" ca="1" si="0"/>
        <v>1.0760000000000001</v>
      </c>
      <c r="Q63" s="2">
        <f t="shared" ca="1" si="0"/>
        <v>1.042</v>
      </c>
      <c r="R63" s="2">
        <f t="shared" ca="1" si="0"/>
        <v>1.0780000000000001</v>
      </c>
      <c r="S63" s="2">
        <f t="shared" ca="1" si="0"/>
        <v>1.1719999999999999</v>
      </c>
      <c r="T63" s="2">
        <f t="shared" ca="1" si="0"/>
        <v>1.3160000000000001</v>
      </c>
      <c r="U63" s="2">
        <f t="shared" ca="1" si="0"/>
        <v>1.5289999999999999</v>
      </c>
      <c r="V63" s="2">
        <f t="shared" ca="1" si="0"/>
        <v>1.8080000000000001</v>
      </c>
      <c r="W63" s="2">
        <f t="shared" ca="1" si="0"/>
        <v>2.125</v>
      </c>
      <c r="X63" s="2">
        <f t="shared" ca="1" si="0"/>
        <v>2.468</v>
      </c>
      <c r="Y63" s="2">
        <f t="shared" ca="1" si="0"/>
        <v>2.8210000000000002</v>
      </c>
    </row>
    <row r="64" spans="2:25" x14ac:dyDescent="0.3">
      <c r="B64" s="6">
        <v>61</v>
      </c>
      <c r="C64" s="9">
        <v>1.43</v>
      </c>
      <c r="D64" s="9">
        <v>1.3660000000000001</v>
      </c>
      <c r="E64" s="9">
        <v>1.367</v>
      </c>
      <c r="F64" s="9">
        <v>1.335</v>
      </c>
      <c r="I64" s="2">
        <f t="shared" ca="1" si="0"/>
        <v>2.8180000000000001</v>
      </c>
      <c r="J64" s="2">
        <f t="shared" ca="1" si="0"/>
        <v>2.4350000000000001</v>
      </c>
      <c r="K64" s="2">
        <f t="shared" ca="1" si="0"/>
        <v>2.081</v>
      </c>
      <c r="L64" s="2">
        <f t="shared" ca="1" si="0"/>
        <v>1.764</v>
      </c>
      <c r="M64" s="2">
        <f t="shared" ca="1" si="0"/>
        <v>1.4850000000000001</v>
      </c>
      <c r="N64" s="2">
        <f t="shared" ca="1" si="0"/>
        <v>1.2729999999999999</v>
      </c>
      <c r="O64" s="2">
        <f t="shared" ca="1" si="0"/>
        <v>1.127</v>
      </c>
      <c r="P64" s="2">
        <f t="shared" ca="1" si="0"/>
        <v>1.034</v>
      </c>
      <c r="Q64" s="2">
        <f t="shared" ca="1" si="0"/>
        <v>1.004</v>
      </c>
      <c r="R64" s="2">
        <f t="shared" ca="1" si="0"/>
        <v>1.0369999999999999</v>
      </c>
      <c r="S64" s="2">
        <f t="shared" ca="1" si="0"/>
        <v>1.1339999999999999</v>
      </c>
      <c r="T64" s="2">
        <f t="shared" ca="1" si="0"/>
        <v>1.278</v>
      </c>
      <c r="U64" s="2">
        <f t="shared" ca="1" si="0"/>
        <v>1.49</v>
      </c>
      <c r="V64" s="2">
        <f t="shared" ca="1" si="0"/>
        <v>1.7709999999999999</v>
      </c>
      <c r="W64" s="2">
        <f t="shared" ca="1" si="0"/>
        <v>2.0859999999999999</v>
      </c>
      <c r="X64" s="2">
        <f t="shared" ca="1" si="0"/>
        <v>2.4289999999999998</v>
      </c>
      <c r="Y64" s="2">
        <f t="shared" ca="1" si="0"/>
        <v>2.7810000000000001</v>
      </c>
    </row>
    <row r="65" spans="2:25" x14ac:dyDescent="0.3">
      <c r="B65" s="6">
        <v>62</v>
      </c>
      <c r="C65" s="9">
        <v>1.591</v>
      </c>
      <c r="D65" s="9">
        <v>1.4990000000000001</v>
      </c>
      <c r="E65" s="9">
        <v>1.4990000000000001</v>
      </c>
      <c r="F65" s="9">
        <v>1.462</v>
      </c>
      <c r="I65" s="2">
        <f t="shared" ca="1" si="0"/>
        <v>2.8460000000000001</v>
      </c>
      <c r="J65" s="2">
        <f t="shared" ca="1" si="0"/>
        <v>2.4609999999999999</v>
      </c>
      <c r="K65" s="2">
        <f t="shared" ca="1" si="0"/>
        <v>2.105</v>
      </c>
      <c r="L65" s="2">
        <f t="shared" ca="1" si="0"/>
        <v>1.79</v>
      </c>
      <c r="M65" s="2">
        <f t="shared" ca="1" si="0"/>
        <v>1.5109999999999999</v>
      </c>
      <c r="N65" s="2">
        <f t="shared" ca="1" si="0"/>
        <v>1.298</v>
      </c>
      <c r="O65" s="2">
        <f t="shared" ca="1" si="0"/>
        <v>1.1519999999999999</v>
      </c>
      <c r="P65" s="2">
        <f t="shared" ca="1" si="0"/>
        <v>1.0580000000000001</v>
      </c>
      <c r="Q65" s="2">
        <f t="shared" ca="1" si="0"/>
        <v>1.0289999999999999</v>
      </c>
      <c r="R65" s="2">
        <f t="shared" ca="1" si="0"/>
        <v>1.0660000000000001</v>
      </c>
      <c r="S65" s="2">
        <f t="shared" ca="1" si="0"/>
        <v>1.1639999999999999</v>
      </c>
      <c r="T65" s="2">
        <f t="shared" ca="1" si="0"/>
        <v>1.3089999999999999</v>
      </c>
      <c r="U65" s="2">
        <f t="shared" ca="1" si="0"/>
        <v>1.5229999999999999</v>
      </c>
      <c r="V65" s="2">
        <f t="shared" ca="1" si="0"/>
        <v>1.8009999999999999</v>
      </c>
      <c r="W65" s="2">
        <f t="shared" ca="1" si="0"/>
        <v>2.1120000000000001</v>
      </c>
      <c r="X65" s="2">
        <f t="shared" ca="1" si="0"/>
        <v>2.448</v>
      </c>
      <c r="Y65" s="2">
        <f t="shared" ca="1" si="0"/>
        <v>2.7919999999999998</v>
      </c>
    </row>
    <row r="66" spans="2:25" x14ac:dyDescent="0.3">
      <c r="B66" s="6">
        <v>63</v>
      </c>
      <c r="C66" s="9">
        <v>1.8069999999999999</v>
      </c>
      <c r="D66" s="9">
        <v>1.6759999999999999</v>
      </c>
      <c r="E66" s="9">
        <v>1.6759999999999999</v>
      </c>
      <c r="F66" s="9">
        <v>1.637</v>
      </c>
      <c r="I66" s="2">
        <f t="shared" ca="1" si="0"/>
        <v>2.931</v>
      </c>
      <c r="J66" s="2">
        <f t="shared" ca="1" si="0"/>
        <v>2.5470000000000002</v>
      </c>
      <c r="K66" s="2">
        <f t="shared" ca="1" si="0"/>
        <v>2.2029999999999998</v>
      </c>
      <c r="L66" s="2">
        <f t="shared" ca="1" si="0"/>
        <v>1.891</v>
      </c>
      <c r="M66" s="2">
        <f t="shared" ca="1" si="0"/>
        <v>1.615</v>
      </c>
      <c r="N66" s="2">
        <f t="shared" ca="1" si="0"/>
        <v>1.3939999999999999</v>
      </c>
      <c r="O66" s="2">
        <f t="shared" ca="1" si="0"/>
        <v>1.244</v>
      </c>
      <c r="P66" s="2">
        <f t="shared" ca="1" si="0"/>
        <v>1.153</v>
      </c>
      <c r="Q66" s="2">
        <f t="shared" ca="1" si="0"/>
        <v>1.1220000000000001</v>
      </c>
      <c r="R66" s="2">
        <f t="shared" ca="1" si="0"/>
        <v>1.1559999999999999</v>
      </c>
      <c r="S66" s="2">
        <f t="shared" ca="1" si="0"/>
        <v>1.2490000000000001</v>
      </c>
      <c r="T66" s="2">
        <f t="shared" ca="1" si="0"/>
        <v>1.4</v>
      </c>
      <c r="U66" s="2">
        <f t="shared" ca="1" si="0"/>
        <v>1.6240000000000001</v>
      </c>
      <c r="V66" s="2">
        <f t="shared" ca="1" si="0"/>
        <v>1.901</v>
      </c>
      <c r="W66" s="2">
        <f t="shared" ca="1" si="0"/>
        <v>2.2080000000000002</v>
      </c>
      <c r="X66" s="2">
        <f t="shared" ca="1" si="0"/>
        <v>2.5369999999999999</v>
      </c>
      <c r="Y66" s="2">
        <f t="shared" ca="1" si="0"/>
        <v>2.8879999999999999</v>
      </c>
    </row>
    <row r="67" spans="2:25" x14ac:dyDescent="0.3">
      <c r="B67" s="6">
        <v>64</v>
      </c>
      <c r="C67" s="9">
        <v>2.0649999999999999</v>
      </c>
      <c r="D67" s="9">
        <v>1.887</v>
      </c>
      <c r="E67" s="9">
        <v>1.8859999999999999</v>
      </c>
      <c r="F67" s="9">
        <v>1.8460000000000001</v>
      </c>
      <c r="I67" s="2">
        <f t="shared" ca="1" si="0"/>
        <v>3.0790000000000002</v>
      </c>
      <c r="J67" s="2">
        <f t="shared" ca="1" si="0"/>
        <v>2.669</v>
      </c>
      <c r="K67" s="2">
        <f t="shared" ca="1" si="0"/>
        <v>2.3330000000000002</v>
      </c>
      <c r="L67" s="2">
        <f t="shared" ca="1" si="0"/>
        <v>2.0369999999999999</v>
      </c>
      <c r="M67" s="2">
        <f t="shared" ca="1" si="0"/>
        <v>1.774</v>
      </c>
      <c r="N67" s="2">
        <f t="shared" ca="1" si="0"/>
        <v>1.554</v>
      </c>
      <c r="O67" s="2">
        <f t="shared" ca="1" si="0"/>
        <v>1.3919999999999999</v>
      </c>
      <c r="P67" s="2">
        <f t="shared" ca="1" si="0"/>
        <v>1.296</v>
      </c>
      <c r="Q67" s="2">
        <f t="shared" ca="1" si="0"/>
        <v>1.264</v>
      </c>
      <c r="R67" s="2">
        <f t="shared" ca="1" si="0"/>
        <v>1.2949999999999999</v>
      </c>
      <c r="S67" s="2">
        <f t="shared" ca="1" si="0"/>
        <v>1.3879999999999999</v>
      </c>
      <c r="T67" s="2">
        <f t="shared" ca="1" si="0"/>
        <v>1.548</v>
      </c>
      <c r="U67" s="2">
        <f t="shared" ca="1" si="0"/>
        <v>1.7689999999999999</v>
      </c>
      <c r="V67" s="2">
        <f t="shared" ca="1" si="0"/>
        <v>2.0369999999999999</v>
      </c>
      <c r="W67" s="2">
        <f t="shared" ca="1" si="0"/>
        <v>2.339</v>
      </c>
      <c r="X67" s="2">
        <f t="shared" ca="1" si="0"/>
        <v>2.6680000000000001</v>
      </c>
      <c r="Y67" s="2">
        <f t="shared" ca="1" si="0"/>
        <v>3.0619999999999998</v>
      </c>
    </row>
    <row r="68" spans="2:25" x14ac:dyDescent="0.3">
      <c r="B68" s="6">
        <v>65</v>
      </c>
      <c r="C68" s="9">
        <v>2.3570000000000002</v>
      </c>
      <c r="D68" s="9">
        <v>2.129</v>
      </c>
      <c r="E68" s="9">
        <v>2.1280000000000001</v>
      </c>
      <c r="F68" s="9">
        <v>2.0830000000000002</v>
      </c>
      <c r="I68" s="2">
        <f t="shared" ca="1" si="0"/>
        <v>3.351</v>
      </c>
      <c r="J68" s="2">
        <f t="shared" ca="1" si="0"/>
        <v>2.8639999999999999</v>
      </c>
      <c r="K68" s="2">
        <f t="shared" ca="1" si="0"/>
        <v>2.512</v>
      </c>
      <c r="L68" s="2">
        <f t="shared" ca="1" si="0"/>
        <v>2.2290000000000001</v>
      </c>
      <c r="M68" s="2">
        <f t="shared" ca="1" si="0"/>
        <v>1.9770000000000001</v>
      </c>
      <c r="N68" s="2">
        <f t="shared" ca="1" si="0"/>
        <v>1.7709999999999999</v>
      </c>
      <c r="O68" s="2">
        <f t="shared" ca="1" si="0"/>
        <v>1.611</v>
      </c>
      <c r="P68" s="2">
        <f t="shared" ca="1" si="0"/>
        <v>1.5109999999999999</v>
      </c>
      <c r="Q68" s="2">
        <f t="shared" ca="1" si="0"/>
        <v>1.4770000000000001</v>
      </c>
      <c r="R68" s="2">
        <f t="shared" ca="1" si="0"/>
        <v>1.508</v>
      </c>
      <c r="S68" s="2">
        <f t="shared" ca="1" si="0"/>
        <v>1.6080000000000001</v>
      </c>
      <c r="T68" s="2">
        <f t="shared" ca="1" si="0"/>
        <v>1.766</v>
      </c>
      <c r="U68" s="2">
        <f t="shared" ca="1" si="0"/>
        <v>1.9710000000000001</v>
      </c>
      <c r="V68" s="2">
        <f t="shared" ca="1" si="0"/>
        <v>2.2269999999999999</v>
      </c>
      <c r="W68" s="2">
        <f t="shared" ca="1" si="0"/>
        <v>2.5089999999999999</v>
      </c>
      <c r="X68" s="2">
        <f t="shared" ca="1" si="0"/>
        <v>2.8559999999999999</v>
      </c>
      <c r="Y68" s="2">
        <f t="shared" ca="1" si="0"/>
        <v>3.3140000000000001</v>
      </c>
    </row>
    <row r="69" spans="2:25" x14ac:dyDescent="0.3">
      <c r="B69" s="6">
        <v>66</v>
      </c>
      <c r="C69" s="9">
        <v>2.6760000000000002</v>
      </c>
      <c r="D69" s="9">
        <v>2.4089999999999998</v>
      </c>
      <c r="E69" s="9">
        <v>2.407</v>
      </c>
      <c r="F69" s="9">
        <v>2.35</v>
      </c>
      <c r="I69" s="2">
        <f t="shared" ca="1" si="0"/>
        <v>3.6539999999999999</v>
      </c>
      <c r="J69" s="2">
        <f t="shared" ca="1" si="0"/>
        <v>3.157</v>
      </c>
      <c r="K69" s="2">
        <f t="shared" ca="1" si="0"/>
        <v>2.746</v>
      </c>
      <c r="L69" s="2">
        <f t="shared" ca="1" si="0"/>
        <v>2.468</v>
      </c>
      <c r="M69" s="2">
        <f t="shared" ca="1" si="0"/>
        <v>2.2280000000000002</v>
      </c>
      <c r="N69" s="2">
        <f t="shared" ca="1" si="0"/>
        <v>2.0289999999999999</v>
      </c>
      <c r="O69" s="2">
        <f t="shared" ca="1" si="0"/>
        <v>1.88</v>
      </c>
      <c r="P69" s="2">
        <f t="shared" ca="1" si="0"/>
        <v>1.7889999999999999</v>
      </c>
      <c r="Q69" s="2">
        <f t="shared" ca="1" si="0"/>
        <v>1.762</v>
      </c>
      <c r="R69" s="2">
        <f t="shared" ca="1" si="0"/>
        <v>1.7949999999999999</v>
      </c>
      <c r="S69" s="2">
        <f t="shared" ca="1" si="0"/>
        <v>1.89</v>
      </c>
      <c r="T69" s="2">
        <f t="shared" ca="1" si="0"/>
        <v>2.0369999999999999</v>
      </c>
      <c r="U69" s="2">
        <f t="shared" ca="1" si="0"/>
        <v>2.2320000000000002</v>
      </c>
      <c r="V69" s="2">
        <f t="shared" ca="1" si="0"/>
        <v>2.464</v>
      </c>
      <c r="W69" s="2">
        <f t="shared" ca="1" si="0"/>
        <v>2.7360000000000002</v>
      </c>
      <c r="X69" s="2">
        <f t="shared" ca="1" si="0"/>
        <v>3.129</v>
      </c>
      <c r="Y69" s="2">
        <f t="shared" ca="1" si="0"/>
        <v>3.573</v>
      </c>
    </row>
    <row r="70" spans="2:25" x14ac:dyDescent="0.3">
      <c r="B70" s="6">
        <v>67</v>
      </c>
      <c r="C70" s="9">
        <v>3.0609999999999999</v>
      </c>
      <c r="D70" s="9">
        <v>2.7669999999999999</v>
      </c>
      <c r="E70" s="9">
        <v>2.7639999999999998</v>
      </c>
      <c r="F70" s="9">
        <v>2.6819999999999999</v>
      </c>
      <c r="I70" s="3">
        <f t="shared" ca="1" si="0"/>
        <v>3.8959999999999999</v>
      </c>
      <c r="J70" s="2">
        <f t="shared" ca="1" si="0"/>
        <v>3.508</v>
      </c>
      <c r="K70" s="2">
        <f t="shared" ca="1" si="0"/>
        <v>3.077</v>
      </c>
      <c r="L70" s="2">
        <f t="shared" ca="1" si="0"/>
        <v>2.7480000000000002</v>
      </c>
      <c r="M70" s="2">
        <f t="shared" ca="1" si="0"/>
        <v>2.5249999999999999</v>
      </c>
      <c r="N70" s="2">
        <f t="shared" ca="1" si="0"/>
        <v>2.3319999999999999</v>
      </c>
      <c r="O70" s="2">
        <f t="shared" ca="1" si="0"/>
        <v>2.1850000000000001</v>
      </c>
      <c r="P70" s="2">
        <f t="shared" ca="1" si="0"/>
        <v>2.101</v>
      </c>
      <c r="Q70" s="2">
        <f t="shared" ca="1" si="0"/>
        <v>2.0790000000000002</v>
      </c>
      <c r="R70" s="2">
        <f t="shared" ca="1" si="0"/>
        <v>2.1110000000000002</v>
      </c>
      <c r="S70" s="2">
        <f t="shared" ca="1" si="0"/>
        <v>2.2109999999999999</v>
      </c>
      <c r="T70" s="2">
        <f t="shared" ca="1" si="0"/>
        <v>2.3559999999999999</v>
      </c>
      <c r="U70" s="2">
        <f t="shared" ca="1" si="0"/>
        <v>2.5339999999999998</v>
      </c>
      <c r="V70" s="2">
        <f t="shared" ca="1" si="0"/>
        <v>2.75</v>
      </c>
      <c r="W70" s="2">
        <f t="shared" ca="1" si="0"/>
        <v>3.0590000000000002</v>
      </c>
      <c r="X70" s="2">
        <f t="shared" ca="1" si="0"/>
        <v>3.4380000000000002</v>
      </c>
      <c r="Y70" s="3">
        <f t="shared" ca="1" si="0"/>
        <v>3.762</v>
      </c>
    </row>
    <row r="71" spans="2:25" x14ac:dyDescent="0.3">
      <c r="B71" s="6">
        <v>68</v>
      </c>
      <c r="C71" s="9">
        <v>2.927</v>
      </c>
      <c r="D71" s="9">
        <v>2.601</v>
      </c>
      <c r="E71" s="9">
        <v>2.6030000000000002</v>
      </c>
      <c r="F71" s="9">
        <v>2.524</v>
      </c>
    </row>
    <row r="72" spans="2:25" x14ac:dyDescent="0.3">
      <c r="B72" s="6">
        <v>69</v>
      </c>
      <c r="C72" s="9">
        <v>2.5499999999999998</v>
      </c>
      <c r="D72" s="9">
        <v>2.2719999999999998</v>
      </c>
      <c r="E72" s="9">
        <v>2.274</v>
      </c>
      <c r="F72" s="9">
        <v>2.2109999999999999</v>
      </c>
      <c r="H72" t="s">
        <v>1</v>
      </c>
      <c r="I72" s="10">
        <f t="shared" ref="I72:Y84" ca="1" si="1">INDIRECT("D"&amp;(17*ROW(1:1)+ROW($D$3)-19+IF(COLUMN(C:C)&gt;19,50000,COLUMN(C:C)-1)))</f>
        <v>3.4529999999999998</v>
      </c>
      <c r="J72" s="2">
        <f t="shared" ca="1" si="1"/>
        <v>3.0979999999999999</v>
      </c>
      <c r="K72" s="2">
        <f t="shared" ca="1" si="1"/>
        <v>2.7330000000000001</v>
      </c>
      <c r="L72" s="2">
        <f t="shared" ca="1" si="1"/>
        <v>2.444</v>
      </c>
      <c r="M72" s="2">
        <f t="shared" ca="1" si="1"/>
        <v>2.254</v>
      </c>
      <c r="N72" s="2">
        <f t="shared" ca="1" si="1"/>
        <v>2.0990000000000002</v>
      </c>
      <c r="O72" s="2">
        <f t="shared" ca="1" si="1"/>
        <v>1.98</v>
      </c>
      <c r="P72" s="2">
        <f t="shared" ca="1" si="1"/>
        <v>1.91</v>
      </c>
      <c r="Q72" s="2">
        <f t="shared" ca="1" si="1"/>
        <v>1.8879999999999999</v>
      </c>
      <c r="R72" s="2">
        <f t="shared" ca="1" si="1"/>
        <v>1.91</v>
      </c>
      <c r="S72" s="2">
        <f t="shared" ca="1" si="1"/>
        <v>1.984</v>
      </c>
      <c r="T72" s="2">
        <f t="shared" ca="1" si="1"/>
        <v>2.1019999999999999</v>
      </c>
      <c r="U72" s="2">
        <f t="shared" ca="1" si="1"/>
        <v>2.2570000000000001</v>
      </c>
      <c r="V72" s="2">
        <f t="shared" ca="1" si="1"/>
        <v>2.452</v>
      </c>
      <c r="W72" s="2">
        <f t="shared" ca="1" si="1"/>
        <v>2.7559999999999998</v>
      </c>
      <c r="X72" s="2">
        <f t="shared" ca="1" si="1"/>
        <v>3.1160000000000001</v>
      </c>
      <c r="Y72" s="10">
        <f t="shared" ca="1" si="1"/>
        <v>3.448</v>
      </c>
    </row>
    <row r="73" spans="2:25" x14ac:dyDescent="0.3">
      <c r="B73" s="6">
        <v>70</v>
      </c>
      <c r="C73" s="9">
        <v>2.2130000000000001</v>
      </c>
      <c r="D73" s="9">
        <v>1.992</v>
      </c>
      <c r="E73" s="9">
        <v>1.994</v>
      </c>
      <c r="F73" s="9">
        <v>1.9419999999999999</v>
      </c>
      <c r="I73" s="2">
        <f t="shared" ca="1" si="1"/>
        <v>3.266</v>
      </c>
      <c r="J73" s="2">
        <f t="shared" ca="1" si="1"/>
        <v>2.8220000000000001</v>
      </c>
      <c r="K73" s="2">
        <f t="shared" ca="1" si="1"/>
        <v>2.46</v>
      </c>
      <c r="L73" s="2">
        <f t="shared" ca="1" si="1"/>
        <v>2.222</v>
      </c>
      <c r="M73" s="2">
        <f t="shared" ca="1" si="1"/>
        <v>2.0299999999999998</v>
      </c>
      <c r="N73" s="2">
        <f t="shared" ca="1" si="1"/>
        <v>1.8740000000000001</v>
      </c>
      <c r="O73" s="2">
        <f t="shared" ca="1" si="1"/>
        <v>1.756</v>
      </c>
      <c r="P73" s="2">
        <f t="shared" ca="1" si="1"/>
        <v>1.6850000000000001</v>
      </c>
      <c r="Q73" s="2">
        <f t="shared" ca="1" si="1"/>
        <v>1.6619999999999999</v>
      </c>
      <c r="R73" s="2">
        <f t="shared" ca="1" si="1"/>
        <v>1.6850000000000001</v>
      </c>
      <c r="S73" s="2">
        <f t="shared" ca="1" si="1"/>
        <v>1.7609999999999999</v>
      </c>
      <c r="T73" s="2">
        <f t="shared" ca="1" si="1"/>
        <v>1.88</v>
      </c>
      <c r="U73" s="2">
        <f t="shared" ca="1" si="1"/>
        <v>2.0419999999999998</v>
      </c>
      <c r="V73" s="2">
        <f t="shared" ca="1" si="1"/>
        <v>2.238</v>
      </c>
      <c r="W73" s="2">
        <f t="shared" ca="1" si="1"/>
        <v>2.4860000000000002</v>
      </c>
      <c r="X73" s="2">
        <f t="shared" ca="1" si="1"/>
        <v>2.8460000000000001</v>
      </c>
      <c r="Y73" s="2">
        <f t="shared" ca="1" si="1"/>
        <v>3.2570000000000001</v>
      </c>
    </row>
    <row r="74" spans="2:25" x14ac:dyDescent="0.3">
      <c r="B74" s="6">
        <v>71</v>
      </c>
      <c r="C74" s="9">
        <v>1.909</v>
      </c>
      <c r="D74" s="9">
        <v>1.746</v>
      </c>
      <c r="E74" s="9">
        <v>1.748</v>
      </c>
      <c r="F74" s="9">
        <v>1.7030000000000001</v>
      </c>
      <c r="I74" s="2">
        <f t="shared" ca="1" si="1"/>
        <v>3.0129999999999999</v>
      </c>
      <c r="J74" s="2">
        <f t="shared" ca="1" si="1"/>
        <v>2.5670000000000002</v>
      </c>
      <c r="K74" s="2">
        <f t="shared" ca="1" si="1"/>
        <v>2.2559999999999998</v>
      </c>
      <c r="L74" s="2">
        <f t="shared" ca="1" si="1"/>
        <v>2.0230000000000001</v>
      </c>
      <c r="M74" s="2">
        <f t="shared" ca="1" si="1"/>
        <v>1.8220000000000001</v>
      </c>
      <c r="N74" s="2">
        <f t="shared" ca="1" si="1"/>
        <v>1.659</v>
      </c>
      <c r="O74" s="2">
        <f t="shared" ca="1" si="1"/>
        <v>1.5329999999999999</v>
      </c>
      <c r="P74" s="2">
        <f t="shared" ca="1" si="1"/>
        <v>1.4590000000000001</v>
      </c>
      <c r="Q74" s="2">
        <f t="shared" ca="1" si="1"/>
        <v>1.4379999999999999</v>
      </c>
      <c r="R74" s="2">
        <f t="shared" ca="1" si="1"/>
        <v>1.4650000000000001</v>
      </c>
      <c r="S74" s="2">
        <f t="shared" ca="1" si="1"/>
        <v>1.548</v>
      </c>
      <c r="T74" s="2">
        <f t="shared" ca="1" si="1"/>
        <v>1.675</v>
      </c>
      <c r="U74" s="2">
        <f t="shared" ca="1" si="1"/>
        <v>1.84</v>
      </c>
      <c r="V74" s="2">
        <f t="shared" ca="1" si="1"/>
        <v>2.0449999999999999</v>
      </c>
      <c r="W74" s="2">
        <f t="shared" ca="1" si="1"/>
        <v>2.278</v>
      </c>
      <c r="X74" s="2">
        <f t="shared" ca="1" si="1"/>
        <v>2.585</v>
      </c>
      <c r="Y74" s="2">
        <f t="shared" ca="1" si="1"/>
        <v>3.008</v>
      </c>
    </row>
    <row r="75" spans="2:25" x14ac:dyDescent="0.3">
      <c r="B75" s="6">
        <v>72</v>
      </c>
      <c r="C75" s="9">
        <v>1.637</v>
      </c>
      <c r="D75" s="9">
        <v>1.5269999999999999</v>
      </c>
      <c r="E75" s="9">
        <v>1.5289999999999999</v>
      </c>
      <c r="F75" s="9">
        <v>1.486</v>
      </c>
      <c r="I75" s="2">
        <f t="shared" ca="1" si="1"/>
        <v>2.7730000000000001</v>
      </c>
      <c r="J75" s="2">
        <f t="shared" ca="1" si="1"/>
        <v>2.3980000000000001</v>
      </c>
      <c r="K75" s="2">
        <f t="shared" ca="1" si="1"/>
        <v>2.11</v>
      </c>
      <c r="L75" s="2">
        <f t="shared" ca="1" si="1"/>
        <v>1.865</v>
      </c>
      <c r="M75" s="2">
        <f t="shared" ca="1" si="1"/>
        <v>1.655</v>
      </c>
      <c r="N75" s="2">
        <f t="shared" ca="1" si="1"/>
        <v>1.478</v>
      </c>
      <c r="O75" s="2">
        <f t="shared" ca="1" si="1"/>
        <v>1.349</v>
      </c>
      <c r="P75" s="2">
        <f t="shared" ca="1" si="1"/>
        <v>1.2769999999999999</v>
      </c>
      <c r="Q75" s="2">
        <f t="shared" ca="1" si="1"/>
        <v>1.258</v>
      </c>
      <c r="R75" s="2">
        <f t="shared" ca="1" si="1"/>
        <v>1.2849999999999999</v>
      </c>
      <c r="S75" s="2">
        <f t="shared" ca="1" si="1"/>
        <v>1.3660000000000001</v>
      </c>
      <c r="T75" s="2">
        <f t="shared" ca="1" si="1"/>
        <v>1.4990000000000001</v>
      </c>
      <c r="U75" s="2">
        <f t="shared" ca="1" si="1"/>
        <v>1.6759999999999999</v>
      </c>
      <c r="V75" s="2">
        <f t="shared" ca="1" si="1"/>
        <v>1.887</v>
      </c>
      <c r="W75" s="2">
        <f t="shared" ca="1" si="1"/>
        <v>2.129</v>
      </c>
      <c r="X75" s="2">
        <f t="shared" ca="1" si="1"/>
        <v>2.4089999999999998</v>
      </c>
      <c r="Y75" s="2">
        <f t="shared" ca="1" si="1"/>
        <v>2.7669999999999999</v>
      </c>
    </row>
    <row r="76" spans="2:25" x14ac:dyDescent="0.3">
      <c r="B76" s="6">
        <v>73</v>
      </c>
      <c r="C76" s="9">
        <v>1.415</v>
      </c>
      <c r="D76" s="9">
        <v>1.345</v>
      </c>
      <c r="E76" s="9">
        <v>1.3460000000000001</v>
      </c>
      <c r="F76" s="9">
        <v>1.3109999999999999</v>
      </c>
      <c r="I76" s="2">
        <f t="shared" ca="1" si="1"/>
        <v>2.601</v>
      </c>
      <c r="J76" s="2">
        <f t="shared" ca="1" si="1"/>
        <v>2.2719999999999998</v>
      </c>
      <c r="K76" s="2">
        <f t="shared" ca="1" si="1"/>
        <v>1.992</v>
      </c>
      <c r="L76" s="2">
        <f t="shared" ca="1" si="1"/>
        <v>1.746</v>
      </c>
      <c r="M76" s="2">
        <f t="shared" ca="1" si="1"/>
        <v>1.5269999999999999</v>
      </c>
      <c r="N76" s="2">
        <f t="shared" ca="1" si="1"/>
        <v>1.345</v>
      </c>
      <c r="O76" s="2">
        <f t="shared" ca="1" si="1"/>
        <v>1.2210000000000001</v>
      </c>
      <c r="P76" s="2">
        <f t="shared" ca="1" si="1"/>
        <v>1.149</v>
      </c>
      <c r="Q76" s="2">
        <f t="shared" ca="1" si="1"/>
        <v>1.1279999999999999</v>
      </c>
      <c r="R76" s="2">
        <f t="shared" ca="1" si="1"/>
        <v>1.1539999999999999</v>
      </c>
      <c r="S76" s="2">
        <f t="shared" ca="1" si="1"/>
        <v>1.23</v>
      </c>
      <c r="T76" s="2">
        <f t="shared" ca="1" si="1"/>
        <v>1.357</v>
      </c>
      <c r="U76" s="2">
        <f t="shared" ca="1" si="1"/>
        <v>1.5409999999999999</v>
      </c>
      <c r="V76" s="2">
        <f t="shared" ca="1" si="1"/>
        <v>1.7629999999999999</v>
      </c>
      <c r="W76" s="2">
        <f t="shared" ca="1" si="1"/>
        <v>2.0150000000000001</v>
      </c>
      <c r="X76" s="2">
        <f t="shared" ca="1" si="1"/>
        <v>2.2949999999999999</v>
      </c>
      <c r="Y76" s="2">
        <f t="shared" ca="1" si="1"/>
        <v>2.6150000000000002</v>
      </c>
    </row>
    <row r="77" spans="2:25" x14ac:dyDescent="0.3">
      <c r="B77" s="6">
        <v>74</v>
      </c>
      <c r="C77" s="9">
        <v>1.2629999999999999</v>
      </c>
      <c r="D77" s="9">
        <v>1.2210000000000001</v>
      </c>
      <c r="E77" s="9">
        <v>1.222</v>
      </c>
      <c r="F77" s="9">
        <v>1.1930000000000001</v>
      </c>
      <c r="I77" s="2">
        <f t="shared" ca="1" si="1"/>
        <v>2.5209999999999999</v>
      </c>
      <c r="J77" s="2">
        <f t="shared" ca="1" si="1"/>
        <v>2.198</v>
      </c>
      <c r="K77" s="2">
        <f t="shared" ca="1" si="1"/>
        <v>1.9119999999999999</v>
      </c>
      <c r="L77" s="2">
        <f t="shared" ca="1" si="1"/>
        <v>1.663</v>
      </c>
      <c r="M77" s="2">
        <f t="shared" ca="1" si="1"/>
        <v>1.4410000000000001</v>
      </c>
      <c r="N77" s="2">
        <f t="shared" ca="1" si="1"/>
        <v>1.2669999999999999</v>
      </c>
      <c r="O77" s="2">
        <f t="shared" ca="1" si="1"/>
        <v>1.1439999999999999</v>
      </c>
      <c r="P77" s="2">
        <f t="shared" ca="1" si="1"/>
        <v>1.0640000000000001</v>
      </c>
      <c r="Q77" s="2">
        <f t="shared" ca="1" si="1"/>
        <v>1.036</v>
      </c>
      <c r="R77" s="2">
        <f t="shared" ca="1" si="1"/>
        <v>1.0669999999999999</v>
      </c>
      <c r="S77" s="2">
        <f t="shared" ca="1" si="1"/>
        <v>1.1499999999999999</v>
      </c>
      <c r="T77" s="2">
        <f t="shared" ca="1" si="1"/>
        <v>1.2729999999999999</v>
      </c>
      <c r="U77" s="2">
        <f t="shared" ca="1" si="1"/>
        <v>1.4490000000000001</v>
      </c>
      <c r="V77" s="2">
        <f t="shared" ca="1" si="1"/>
        <v>1.677</v>
      </c>
      <c r="W77" s="2">
        <f t="shared" ca="1" si="1"/>
        <v>1.9339999999999999</v>
      </c>
      <c r="X77" s="2">
        <f t="shared" ca="1" si="1"/>
        <v>2.2240000000000002</v>
      </c>
      <c r="Y77" s="2">
        <f t="shared" ca="1" si="1"/>
        <v>2.5409999999999999</v>
      </c>
    </row>
    <row r="78" spans="2:25" x14ac:dyDescent="0.3">
      <c r="B78" s="6">
        <v>75</v>
      </c>
      <c r="C78" s="9">
        <v>1.1739999999999999</v>
      </c>
      <c r="D78" s="9">
        <v>1.149</v>
      </c>
      <c r="E78" s="9">
        <v>1.149</v>
      </c>
      <c r="F78" s="9">
        <v>1.131</v>
      </c>
      <c r="I78" s="2">
        <f t="shared" ca="1" si="1"/>
        <v>2.5</v>
      </c>
      <c r="J78" s="2">
        <f t="shared" ca="1" si="1"/>
        <v>2.1739999999999999</v>
      </c>
      <c r="K78" s="2">
        <f t="shared" ca="1" si="1"/>
        <v>1.8839999999999999</v>
      </c>
      <c r="L78" s="2">
        <f t="shared" ca="1" si="1"/>
        <v>1.629</v>
      </c>
      <c r="M78" s="2">
        <f t="shared" ca="1" si="1"/>
        <v>1.403</v>
      </c>
      <c r="N78" s="2">
        <f t="shared" ca="1" si="1"/>
        <v>1.2310000000000001</v>
      </c>
      <c r="O78" s="2">
        <f t="shared" ca="1" si="1"/>
        <v>1.1080000000000001</v>
      </c>
      <c r="P78" s="2">
        <f t="shared" ca="1" si="1"/>
        <v>1.0269999999999999</v>
      </c>
      <c r="Q78" s="2">
        <f t="shared" ca="1" si="1"/>
        <v>1.004</v>
      </c>
      <c r="R78" s="2">
        <f t="shared" ca="1" si="1"/>
        <v>1.032</v>
      </c>
      <c r="S78" s="2">
        <f t="shared" ca="1" si="1"/>
        <v>1.1200000000000001</v>
      </c>
      <c r="T78" s="2">
        <f t="shared" ca="1" si="1"/>
        <v>1.2430000000000001</v>
      </c>
      <c r="U78" s="2">
        <f t="shared" ca="1" si="1"/>
        <v>1.4179999999999999</v>
      </c>
      <c r="V78" s="2">
        <f t="shared" ca="1" si="1"/>
        <v>1.647</v>
      </c>
      <c r="W78" s="2">
        <f t="shared" ca="1" si="1"/>
        <v>1.903</v>
      </c>
      <c r="X78" s="2">
        <f t="shared" ca="1" si="1"/>
        <v>2.1920000000000002</v>
      </c>
      <c r="Y78" s="2">
        <f t="shared" ca="1" si="1"/>
        <v>2.5049999999999999</v>
      </c>
    </row>
    <row r="79" spans="2:25" x14ac:dyDescent="0.3">
      <c r="B79" s="6">
        <v>76</v>
      </c>
      <c r="C79" s="9">
        <v>1.1439999999999999</v>
      </c>
      <c r="D79" s="9">
        <v>1.1279999999999999</v>
      </c>
      <c r="E79" s="9">
        <v>1.1279999999999999</v>
      </c>
      <c r="F79" s="9">
        <v>1.113</v>
      </c>
      <c r="I79" s="2">
        <f t="shared" ca="1" si="1"/>
        <v>2.5310000000000001</v>
      </c>
      <c r="J79" s="2">
        <f t="shared" ca="1" si="1"/>
        <v>2.2000000000000002</v>
      </c>
      <c r="K79" s="2">
        <f t="shared" ca="1" si="1"/>
        <v>1.907</v>
      </c>
      <c r="L79" s="2">
        <f t="shared" ca="1" si="1"/>
        <v>1.651</v>
      </c>
      <c r="M79" s="2">
        <f t="shared" ca="1" si="1"/>
        <v>1.4259999999999999</v>
      </c>
      <c r="N79" s="2">
        <f t="shared" ca="1" si="1"/>
        <v>1.2509999999999999</v>
      </c>
      <c r="O79" s="2">
        <f t="shared" ca="1" si="1"/>
        <v>1.127</v>
      </c>
      <c r="P79" s="2">
        <f t="shared" ca="1" si="1"/>
        <v>1.0469999999999999</v>
      </c>
      <c r="Q79" s="2">
        <f t="shared" ca="1" si="1"/>
        <v>1.024</v>
      </c>
      <c r="R79" s="2">
        <f t="shared" ca="1" si="1"/>
        <v>1.0569999999999999</v>
      </c>
      <c r="S79" s="2">
        <f t="shared" ca="1" si="1"/>
        <v>1.1439999999999999</v>
      </c>
      <c r="T79" s="2">
        <f t="shared" ca="1" si="1"/>
        <v>1.2689999999999999</v>
      </c>
      <c r="U79" s="2">
        <f t="shared" ca="1" si="1"/>
        <v>1.4470000000000001</v>
      </c>
      <c r="V79" s="2">
        <f t="shared" ca="1" si="1"/>
        <v>1.6739999999999999</v>
      </c>
      <c r="W79" s="2">
        <f t="shared" ca="1" si="1"/>
        <v>1.9279999999999999</v>
      </c>
      <c r="X79" s="2">
        <f t="shared" ca="1" si="1"/>
        <v>2.2109999999999999</v>
      </c>
      <c r="Y79" s="2">
        <f t="shared" ca="1" si="1"/>
        <v>2.52</v>
      </c>
    </row>
    <row r="80" spans="2:25" x14ac:dyDescent="0.3">
      <c r="B80" s="6">
        <v>77</v>
      </c>
      <c r="C80" s="9">
        <v>1.177</v>
      </c>
      <c r="D80" s="9">
        <v>1.1539999999999999</v>
      </c>
      <c r="E80" s="9">
        <v>1.1539999999999999</v>
      </c>
      <c r="F80" s="9">
        <v>1.1359999999999999</v>
      </c>
      <c r="I80" s="2">
        <f t="shared" ca="1" si="1"/>
        <v>2.609</v>
      </c>
      <c r="J80" s="2">
        <f t="shared" ca="1" si="1"/>
        <v>2.278</v>
      </c>
      <c r="K80" s="2">
        <f t="shared" ca="1" si="1"/>
        <v>1.99</v>
      </c>
      <c r="L80" s="2">
        <f t="shared" ca="1" si="1"/>
        <v>1.736</v>
      </c>
      <c r="M80" s="2">
        <f t="shared" ca="1" si="1"/>
        <v>1.512</v>
      </c>
      <c r="N80" s="2">
        <f t="shared" ca="1" si="1"/>
        <v>1.33</v>
      </c>
      <c r="O80" s="2">
        <f t="shared" ca="1" si="1"/>
        <v>1.206</v>
      </c>
      <c r="P80" s="2">
        <f t="shared" ca="1" si="1"/>
        <v>1.1299999999999999</v>
      </c>
      <c r="Q80" s="2">
        <f t="shared" ca="1" si="1"/>
        <v>1.107</v>
      </c>
      <c r="R80" s="2">
        <f t="shared" ca="1" si="1"/>
        <v>1.135</v>
      </c>
      <c r="S80" s="2">
        <f t="shared" ca="1" si="1"/>
        <v>1.214</v>
      </c>
      <c r="T80" s="2">
        <f t="shared" ca="1" si="1"/>
        <v>1.343</v>
      </c>
      <c r="U80" s="2">
        <f t="shared" ca="1" si="1"/>
        <v>1.53</v>
      </c>
      <c r="V80" s="2">
        <f t="shared" ca="1" si="1"/>
        <v>1.756</v>
      </c>
      <c r="W80" s="2">
        <f t="shared" ca="1" si="1"/>
        <v>2.008</v>
      </c>
      <c r="X80" s="2">
        <f t="shared" ca="1" si="1"/>
        <v>2.2909999999999999</v>
      </c>
      <c r="Y80" s="2">
        <f t="shared" ca="1" si="1"/>
        <v>2.613</v>
      </c>
    </row>
    <row r="81" spans="2:25" x14ac:dyDescent="0.3">
      <c r="B81" s="6">
        <v>78</v>
      </c>
      <c r="C81" s="9">
        <v>1.268</v>
      </c>
      <c r="D81" s="9">
        <v>1.23</v>
      </c>
      <c r="E81" s="9">
        <v>1.23</v>
      </c>
      <c r="F81" s="9">
        <v>1.2050000000000001</v>
      </c>
      <c r="I81" s="2">
        <f t="shared" ca="1" si="1"/>
        <v>2.7509999999999999</v>
      </c>
      <c r="J81" s="2">
        <f t="shared" ca="1" si="1"/>
        <v>2.387</v>
      </c>
      <c r="K81" s="2">
        <f t="shared" ca="1" si="1"/>
        <v>2.1019999999999999</v>
      </c>
      <c r="L81" s="2">
        <f t="shared" ca="1" si="1"/>
        <v>1.857</v>
      </c>
      <c r="M81" s="2">
        <f t="shared" ca="1" si="1"/>
        <v>1.645</v>
      </c>
      <c r="N81" s="2">
        <f t="shared" ca="1" si="1"/>
        <v>1.464</v>
      </c>
      <c r="O81" s="2">
        <f t="shared" ca="1" si="1"/>
        <v>1.331</v>
      </c>
      <c r="P81" s="2">
        <f t="shared" ca="1" si="1"/>
        <v>1.2549999999999999</v>
      </c>
      <c r="Q81" s="2">
        <f t="shared" ca="1" si="1"/>
        <v>1.23</v>
      </c>
      <c r="R81" s="2">
        <f t="shared" ca="1" si="1"/>
        <v>1.2549999999999999</v>
      </c>
      <c r="S81" s="2">
        <f t="shared" ca="1" si="1"/>
        <v>1.333</v>
      </c>
      <c r="T81" s="2">
        <f t="shared" ca="1" si="1"/>
        <v>1.4650000000000001</v>
      </c>
      <c r="U81" s="2">
        <f t="shared" ca="1" si="1"/>
        <v>1.649</v>
      </c>
      <c r="V81" s="2">
        <f t="shared" ca="1" si="1"/>
        <v>1.869</v>
      </c>
      <c r="W81" s="2">
        <f t="shared" ca="1" si="1"/>
        <v>2.121</v>
      </c>
      <c r="X81" s="2">
        <f t="shared" ca="1" si="1"/>
        <v>2.4079999999999999</v>
      </c>
      <c r="Y81" s="2">
        <f t="shared" ca="1" si="1"/>
        <v>2.7749999999999999</v>
      </c>
    </row>
    <row r="82" spans="2:25" x14ac:dyDescent="0.3">
      <c r="B82" s="6">
        <v>79</v>
      </c>
      <c r="C82" s="9">
        <v>1.419</v>
      </c>
      <c r="D82" s="9">
        <v>1.357</v>
      </c>
      <c r="E82" s="9">
        <v>1.357</v>
      </c>
      <c r="F82" s="9">
        <v>1.327</v>
      </c>
      <c r="I82" s="2">
        <f t="shared" ca="1" si="1"/>
        <v>2.9980000000000002</v>
      </c>
      <c r="J82" s="2">
        <f t="shared" ca="1" si="1"/>
        <v>2.5649999999999999</v>
      </c>
      <c r="K82" s="2">
        <f t="shared" ca="1" si="1"/>
        <v>2.258</v>
      </c>
      <c r="L82" s="2">
        <f t="shared" ca="1" si="1"/>
        <v>2.0179999999999998</v>
      </c>
      <c r="M82" s="2">
        <f t="shared" ca="1" si="1"/>
        <v>1.8120000000000001</v>
      </c>
      <c r="N82" s="2">
        <f t="shared" ca="1" si="1"/>
        <v>1.645</v>
      </c>
      <c r="O82" s="2">
        <f t="shared" ca="1" si="1"/>
        <v>1.5169999999999999</v>
      </c>
      <c r="P82" s="2">
        <f t="shared" ca="1" si="1"/>
        <v>1.4370000000000001</v>
      </c>
      <c r="Q82" s="2">
        <f t="shared" ca="1" si="1"/>
        <v>1.409</v>
      </c>
      <c r="R82" s="2">
        <f t="shared" ca="1" si="1"/>
        <v>1.4359999999999999</v>
      </c>
      <c r="S82" s="2">
        <f t="shared" ca="1" si="1"/>
        <v>1.518</v>
      </c>
      <c r="T82" s="2">
        <f t="shared" ca="1" si="1"/>
        <v>1.649</v>
      </c>
      <c r="U82" s="2">
        <f t="shared" ca="1" si="1"/>
        <v>1.8180000000000001</v>
      </c>
      <c r="V82" s="2">
        <f t="shared" ca="1" si="1"/>
        <v>2.0289999999999999</v>
      </c>
      <c r="W82" s="2">
        <f t="shared" ca="1" si="1"/>
        <v>2.2709999999999999</v>
      </c>
      <c r="X82" s="2">
        <f t="shared" ca="1" si="1"/>
        <v>2.5819999999999999</v>
      </c>
      <c r="Y82" s="2">
        <f t="shared" ca="1" si="1"/>
        <v>3.0129999999999999</v>
      </c>
    </row>
    <row r="83" spans="2:25" x14ac:dyDescent="0.3">
      <c r="B83" s="6">
        <v>80</v>
      </c>
      <c r="C83" s="9">
        <v>1.64</v>
      </c>
      <c r="D83" s="9">
        <v>1.5409999999999999</v>
      </c>
      <c r="E83" s="9">
        <v>1.54</v>
      </c>
      <c r="F83" s="9">
        <v>1.5089999999999999</v>
      </c>
      <c r="I83" s="2">
        <f t="shared" ca="1" si="1"/>
        <v>3.2879999999999998</v>
      </c>
      <c r="J83" s="2">
        <f t="shared" ca="1" si="1"/>
        <v>2.8330000000000002</v>
      </c>
      <c r="K83" s="2">
        <f t="shared" ca="1" si="1"/>
        <v>2.4700000000000002</v>
      </c>
      <c r="L83" s="2">
        <f t="shared" ca="1" si="1"/>
        <v>2.226</v>
      </c>
      <c r="M83" s="2">
        <f t="shared" ca="1" si="1"/>
        <v>2.024</v>
      </c>
      <c r="N83" s="2">
        <f t="shared" ca="1" si="1"/>
        <v>1.86</v>
      </c>
      <c r="O83" s="2">
        <f t="shared" ca="1" si="1"/>
        <v>1.74</v>
      </c>
      <c r="P83" s="2">
        <f t="shared" ca="1" si="1"/>
        <v>1.667</v>
      </c>
      <c r="Q83" s="2">
        <f t="shared" ca="1" si="1"/>
        <v>1.6459999999999999</v>
      </c>
      <c r="R83" s="2">
        <f t="shared" ca="1" si="1"/>
        <v>1.6739999999999999</v>
      </c>
      <c r="S83" s="2">
        <f t="shared" ca="1" si="1"/>
        <v>1.7549999999999999</v>
      </c>
      <c r="T83" s="2">
        <f t="shared" ca="1" si="1"/>
        <v>1.875</v>
      </c>
      <c r="U83" s="2">
        <f t="shared" ca="1" si="1"/>
        <v>2.0369999999999999</v>
      </c>
      <c r="V83" s="2">
        <f t="shared" ca="1" si="1"/>
        <v>2.2349999999999999</v>
      </c>
      <c r="W83" s="2">
        <f t="shared" ca="1" si="1"/>
        <v>2.472</v>
      </c>
      <c r="X83" s="2">
        <f t="shared" ca="1" si="1"/>
        <v>2.83</v>
      </c>
      <c r="Y83" s="2">
        <f t="shared" ca="1" si="1"/>
        <v>3.2559999999999998</v>
      </c>
    </row>
    <row r="84" spans="2:25" x14ac:dyDescent="0.3">
      <c r="B84" s="6">
        <v>81</v>
      </c>
      <c r="C84" s="9">
        <v>1.913</v>
      </c>
      <c r="D84" s="9">
        <v>1.7629999999999999</v>
      </c>
      <c r="E84" s="9">
        <v>1.762</v>
      </c>
      <c r="F84" s="9">
        <v>1.7290000000000001</v>
      </c>
      <c r="I84" s="10">
        <f t="shared" ca="1" si="1"/>
        <v>3.5539999999999998</v>
      </c>
      <c r="J84" s="2">
        <f t="shared" ca="1" si="1"/>
        <v>3.18</v>
      </c>
      <c r="K84" s="2">
        <f t="shared" ca="1" si="1"/>
        <v>2.7869999999999999</v>
      </c>
      <c r="L84" s="2">
        <f t="shared" ca="1" si="1"/>
        <v>2.4889999999999999</v>
      </c>
      <c r="M84" s="2">
        <f t="shared" ca="1" si="1"/>
        <v>2.2919999999999998</v>
      </c>
      <c r="N84" s="2">
        <f t="shared" ca="1" si="1"/>
        <v>2.1269999999999998</v>
      </c>
      <c r="O84" s="2">
        <f t="shared" ca="1" si="1"/>
        <v>2.004</v>
      </c>
      <c r="P84" s="2">
        <f t="shared" ca="1" si="1"/>
        <v>1.9330000000000001</v>
      </c>
      <c r="Q84" s="2">
        <f t="shared" ca="1" si="1"/>
        <v>1.915</v>
      </c>
      <c r="R84" s="2">
        <f t="shared" ca="1" si="1"/>
        <v>1.946</v>
      </c>
      <c r="S84" s="2">
        <f t="shared" ca="1" si="1"/>
        <v>2.028</v>
      </c>
      <c r="T84" s="2">
        <f t="shared" ca="1" si="1"/>
        <v>2.1539999999999999</v>
      </c>
      <c r="U84" s="2">
        <f t="shared" ca="1" si="1"/>
        <v>2.3130000000000002</v>
      </c>
      <c r="V84" s="2">
        <f t="shared" ca="1" si="1"/>
        <v>2.5009999999999999</v>
      </c>
      <c r="W84" s="2">
        <f t="shared" ca="1" si="1"/>
        <v>2.7829999999999999</v>
      </c>
      <c r="X84" s="2">
        <f t="shared" ca="1" si="1"/>
        <v>3.129</v>
      </c>
      <c r="Y84" s="10">
        <f t="shared" ca="1" si="1"/>
        <v>3.4380000000000002</v>
      </c>
    </row>
    <row r="85" spans="2:25" x14ac:dyDescent="0.3">
      <c r="B85" s="6">
        <v>82</v>
      </c>
      <c r="C85" s="9">
        <v>2.2210000000000001</v>
      </c>
      <c r="D85" s="9">
        <v>2.0150000000000001</v>
      </c>
      <c r="E85" s="9">
        <v>2.0139999999999998</v>
      </c>
      <c r="F85" s="9">
        <v>1.9770000000000001</v>
      </c>
    </row>
    <row r="86" spans="2:25" x14ac:dyDescent="0.3">
      <c r="B86" s="6">
        <v>83</v>
      </c>
      <c r="C86" s="9">
        <v>2.5489999999999999</v>
      </c>
      <c r="D86" s="9">
        <v>2.2949999999999999</v>
      </c>
      <c r="E86" s="9">
        <v>2.294</v>
      </c>
      <c r="F86" s="9">
        <v>2.246</v>
      </c>
      <c r="H86" t="s">
        <v>2</v>
      </c>
      <c r="I86" s="11">
        <f t="shared" ref="I86:Y98" ca="1" si="2">INDIRECT("E"&amp;(17*ROW(1:1)+ROW($E$3)-19+IF(COLUMN(C:C)&gt;19,50000,COLUMN(C:C)-1)))</f>
        <v>3.452</v>
      </c>
      <c r="J86" s="2">
        <f t="shared" ca="1" si="2"/>
        <v>3.101</v>
      </c>
      <c r="K86" s="2">
        <f t="shared" ca="1" si="2"/>
        <v>2.7370000000000001</v>
      </c>
      <c r="L86" s="2">
        <f t="shared" ca="1" si="2"/>
        <v>2.448</v>
      </c>
      <c r="M86" s="2">
        <f t="shared" ca="1" si="2"/>
        <v>2.258</v>
      </c>
      <c r="N86" s="2">
        <f t="shared" ca="1" si="2"/>
        <v>2.1030000000000002</v>
      </c>
      <c r="O86" s="2">
        <f t="shared" ca="1" si="2"/>
        <v>1.9830000000000001</v>
      </c>
      <c r="P86" s="2">
        <f t="shared" ca="1" si="2"/>
        <v>1.9119999999999999</v>
      </c>
      <c r="Q86" s="2">
        <f t="shared" ca="1" si="2"/>
        <v>1.891</v>
      </c>
      <c r="R86" s="2">
        <f t="shared" ca="1" si="2"/>
        <v>1.913</v>
      </c>
      <c r="S86" s="2">
        <f t="shared" ca="1" si="2"/>
        <v>1.9870000000000001</v>
      </c>
      <c r="T86" s="2">
        <f t="shared" ca="1" si="2"/>
        <v>2.105</v>
      </c>
      <c r="U86" s="2">
        <f t="shared" ca="1" si="2"/>
        <v>2.2599999999999998</v>
      </c>
      <c r="V86" s="2">
        <f t="shared" ca="1" si="2"/>
        <v>2.4540000000000002</v>
      </c>
      <c r="W86" s="2">
        <f t="shared" ca="1" si="2"/>
        <v>2.7570000000000001</v>
      </c>
      <c r="X86" s="2">
        <f t="shared" ca="1" si="2"/>
        <v>3.117</v>
      </c>
      <c r="Y86" s="11">
        <f t="shared" ca="1" si="2"/>
        <v>3.448</v>
      </c>
    </row>
    <row r="87" spans="2:25" x14ac:dyDescent="0.3">
      <c r="B87" s="6">
        <v>84</v>
      </c>
      <c r="C87" s="9">
        <v>2.9</v>
      </c>
      <c r="D87" s="9">
        <v>2.6150000000000002</v>
      </c>
      <c r="E87" s="9">
        <v>2.613</v>
      </c>
      <c r="F87" s="9">
        <v>2.5449999999999999</v>
      </c>
      <c r="I87" s="2">
        <f t="shared" ca="1" si="2"/>
        <v>3.2679999999999998</v>
      </c>
      <c r="J87" s="2">
        <f t="shared" ca="1" si="2"/>
        <v>2.8250000000000002</v>
      </c>
      <c r="K87" s="2">
        <f t="shared" ca="1" si="2"/>
        <v>2.4630000000000001</v>
      </c>
      <c r="L87" s="2">
        <f t="shared" ca="1" si="2"/>
        <v>2.2250000000000001</v>
      </c>
      <c r="M87" s="2">
        <f t="shared" ca="1" si="2"/>
        <v>2.0329999999999999</v>
      </c>
      <c r="N87" s="2">
        <f t="shared" ca="1" si="2"/>
        <v>1.877</v>
      </c>
      <c r="O87" s="2">
        <f t="shared" ca="1" si="2"/>
        <v>1.7589999999999999</v>
      </c>
      <c r="P87" s="2">
        <f t="shared" ca="1" si="2"/>
        <v>1.6870000000000001</v>
      </c>
      <c r="Q87" s="2">
        <f t="shared" ca="1" si="2"/>
        <v>1.663</v>
      </c>
      <c r="R87" s="2">
        <f t="shared" ca="1" si="2"/>
        <v>1.6870000000000001</v>
      </c>
      <c r="S87" s="2">
        <f t="shared" ca="1" si="2"/>
        <v>1.7629999999999999</v>
      </c>
      <c r="T87" s="2">
        <f t="shared" ca="1" si="2"/>
        <v>1.8819999999999999</v>
      </c>
      <c r="U87" s="2">
        <f t="shared" ca="1" si="2"/>
        <v>2.044</v>
      </c>
      <c r="V87" s="2">
        <f t="shared" ca="1" si="2"/>
        <v>2.238</v>
      </c>
      <c r="W87" s="2">
        <f t="shared" ca="1" si="2"/>
        <v>2.4860000000000002</v>
      </c>
      <c r="X87" s="2">
        <f t="shared" ca="1" si="2"/>
        <v>2.8460000000000001</v>
      </c>
      <c r="Y87" s="2">
        <f t="shared" ca="1" si="2"/>
        <v>3.2549999999999999</v>
      </c>
    </row>
    <row r="88" spans="2:25" x14ac:dyDescent="0.3">
      <c r="B88" s="6">
        <v>85</v>
      </c>
      <c r="C88" s="9">
        <v>2.84</v>
      </c>
      <c r="D88" s="9">
        <v>2.5209999999999999</v>
      </c>
      <c r="E88" s="9">
        <v>2.5219999999999998</v>
      </c>
      <c r="F88" s="9">
        <v>2.4460000000000002</v>
      </c>
      <c r="I88" s="2">
        <f t="shared" ca="1" si="2"/>
        <v>3.016</v>
      </c>
      <c r="J88" s="2">
        <f t="shared" ca="1" si="2"/>
        <v>2.57</v>
      </c>
      <c r="K88" s="2">
        <f t="shared" ca="1" si="2"/>
        <v>2.258</v>
      </c>
      <c r="L88" s="2">
        <f t="shared" ca="1" si="2"/>
        <v>2.0249999999999999</v>
      </c>
      <c r="M88" s="2">
        <f t="shared" ca="1" si="2"/>
        <v>1.8240000000000001</v>
      </c>
      <c r="N88" s="2">
        <f t="shared" ca="1" si="2"/>
        <v>1.661</v>
      </c>
      <c r="O88" s="2">
        <f t="shared" ca="1" si="2"/>
        <v>1.5349999999999999</v>
      </c>
      <c r="P88" s="2">
        <f t="shared" ca="1" si="2"/>
        <v>1.46</v>
      </c>
      <c r="Q88" s="2">
        <f t="shared" ca="1" si="2"/>
        <v>1.4379999999999999</v>
      </c>
      <c r="R88" s="2">
        <f t="shared" ca="1" si="2"/>
        <v>1.466</v>
      </c>
      <c r="S88" s="2">
        <f t="shared" ca="1" si="2"/>
        <v>1.5489999999999999</v>
      </c>
      <c r="T88" s="2">
        <f t="shared" ca="1" si="2"/>
        <v>1.6759999999999999</v>
      </c>
      <c r="U88" s="2">
        <f t="shared" ca="1" si="2"/>
        <v>1.84</v>
      </c>
      <c r="V88" s="2">
        <f t="shared" ca="1" si="2"/>
        <v>2.0449999999999999</v>
      </c>
      <c r="W88" s="2">
        <f t="shared" ca="1" si="2"/>
        <v>2.278</v>
      </c>
      <c r="X88" s="2">
        <f t="shared" ca="1" si="2"/>
        <v>2.5840000000000001</v>
      </c>
      <c r="Y88" s="2">
        <f t="shared" ca="1" si="2"/>
        <v>3.0059999999999998</v>
      </c>
    </row>
    <row r="89" spans="2:25" x14ac:dyDescent="0.3">
      <c r="B89" s="6">
        <v>86</v>
      </c>
      <c r="C89" s="9">
        <v>2.4620000000000002</v>
      </c>
      <c r="D89" s="9">
        <v>2.198</v>
      </c>
      <c r="E89" s="9">
        <v>2.2000000000000002</v>
      </c>
      <c r="F89" s="9">
        <v>2.137</v>
      </c>
      <c r="I89" s="2">
        <f t="shared" ca="1" si="2"/>
        <v>2.7759999999999998</v>
      </c>
      <c r="J89" s="2">
        <f t="shared" ca="1" si="2"/>
        <v>2.4</v>
      </c>
      <c r="K89" s="2">
        <f t="shared" ca="1" si="2"/>
        <v>2.1120000000000001</v>
      </c>
      <c r="L89" s="2">
        <f t="shared" ca="1" si="2"/>
        <v>1.867</v>
      </c>
      <c r="M89" s="2">
        <f t="shared" ca="1" si="2"/>
        <v>1.657</v>
      </c>
      <c r="N89" s="2">
        <f t="shared" ca="1" si="2"/>
        <v>1.48</v>
      </c>
      <c r="O89" s="2">
        <f t="shared" ca="1" si="2"/>
        <v>1.35</v>
      </c>
      <c r="P89" s="2">
        <f t="shared" ca="1" si="2"/>
        <v>1.2769999999999999</v>
      </c>
      <c r="Q89" s="2">
        <f t="shared" ca="1" si="2"/>
        <v>1.258</v>
      </c>
      <c r="R89" s="2">
        <f t="shared" ca="1" si="2"/>
        <v>1.2849999999999999</v>
      </c>
      <c r="S89" s="2">
        <f t="shared" ca="1" si="2"/>
        <v>1.367</v>
      </c>
      <c r="T89" s="2">
        <f t="shared" ca="1" si="2"/>
        <v>1.4990000000000001</v>
      </c>
      <c r="U89" s="2">
        <f t="shared" ca="1" si="2"/>
        <v>1.6759999999999999</v>
      </c>
      <c r="V89" s="2">
        <f t="shared" ca="1" si="2"/>
        <v>1.8859999999999999</v>
      </c>
      <c r="W89" s="2">
        <f t="shared" ca="1" si="2"/>
        <v>2.1280000000000001</v>
      </c>
      <c r="X89" s="2">
        <f t="shared" ca="1" si="2"/>
        <v>2.407</v>
      </c>
      <c r="Y89" s="2">
        <f t="shared" ca="1" si="2"/>
        <v>2.7639999999999998</v>
      </c>
    </row>
    <row r="90" spans="2:25" x14ac:dyDescent="0.3">
      <c r="B90" s="6">
        <v>87</v>
      </c>
      <c r="C90" s="9">
        <v>2.1150000000000002</v>
      </c>
      <c r="D90" s="9">
        <v>1.9119999999999999</v>
      </c>
      <c r="E90" s="9">
        <v>1.9139999999999999</v>
      </c>
      <c r="F90" s="9">
        <v>1.8660000000000001</v>
      </c>
      <c r="I90" s="2">
        <f t="shared" ca="1" si="2"/>
        <v>2.6030000000000002</v>
      </c>
      <c r="J90" s="2">
        <f t="shared" ca="1" si="2"/>
        <v>2.274</v>
      </c>
      <c r="K90" s="2">
        <f t="shared" ca="1" si="2"/>
        <v>1.994</v>
      </c>
      <c r="L90" s="2">
        <f t="shared" ca="1" si="2"/>
        <v>1.748</v>
      </c>
      <c r="M90" s="2">
        <f t="shared" ca="1" si="2"/>
        <v>1.5289999999999999</v>
      </c>
      <c r="N90" s="2">
        <f t="shared" ca="1" si="2"/>
        <v>1.3460000000000001</v>
      </c>
      <c r="O90" s="2">
        <f t="shared" ca="1" si="2"/>
        <v>1.222</v>
      </c>
      <c r="P90" s="2">
        <f t="shared" ca="1" si="2"/>
        <v>1.149</v>
      </c>
      <c r="Q90" s="2">
        <f t="shared" ca="1" si="2"/>
        <v>1.1279999999999999</v>
      </c>
      <c r="R90" s="2">
        <f t="shared" ca="1" si="2"/>
        <v>1.1539999999999999</v>
      </c>
      <c r="S90" s="2">
        <f t="shared" ca="1" si="2"/>
        <v>1.23</v>
      </c>
      <c r="T90" s="2">
        <f t="shared" ca="1" si="2"/>
        <v>1.357</v>
      </c>
      <c r="U90" s="2">
        <f t="shared" ca="1" si="2"/>
        <v>1.54</v>
      </c>
      <c r="V90" s="2">
        <f t="shared" ca="1" si="2"/>
        <v>1.762</v>
      </c>
      <c r="W90" s="2">
        <f t="shared" ca="1" si="2"/>
        <v>2.0139999999999998</v>
      </c>
      <c r="X90" s="2">
        <f t="shared" ca="1" si="2"/>
        <v>2.294</v>
      </c>
      <c r="Y90" s="2">
        <f t="shared" ca="1" si="2"/>
        <v>2.613</v>
      </c>
    </row>
    <row r="91" spans="2:25" x14ac:dyDescent="0.3">
      <c r="B91" s="6">
        <v>88</v>
      </c>
      <c r="C91" s="9">
        <v>1.8049999999999999</v>
      </c>
      <c r="D91" s="9">
        <v>1.663</v>
      </c>
      <c r="E91" s="9">
        <v>1.665</v>
      </c>
      <c r="F91" s="9">
        <v>1.625</v>
      </c>
      <c r="I91" s="2">
        <f t="shared" ca="1" si="2"/>
        <v>2.5219999999999998</v>
      </c>
      <c r="J91" s="2">
        <f t="shared" ca="1" si="2"/>
        <v>2.2000000000000002</v>
      </c>
      <c r="K91" s="2">
        <f t="shared" ca="1" si="2"/>
        <v>1.9139999999999999</v>
      </c>
      <c r="L91" s="2">
        <f t="shared" ca="1" si="2"/>
        <v>1.665</v>
      </c>
      <c r="M91" s="2">
        <f t="shared" ca="1" si="2"/>
        <v>1.4430000000000001</v>
      </c>
      <c r="N91" s="2">
        <f t="shared" ca="1" si="2"/>
        <v>1.2689999999999999</v>
      </c>
      <c r="O91" s="2">
        <f t="shared" ca="1" si="2"/>
        <v>1.145</v>
      </c>
      <c r="P91" s="2">
        <f t="shared" ca="1" si="2"/>
        <v>1.0649999999999999</v>
      </c>
      <c r="Q91" s="2">
        <f t="shared" ca="1" si="2"/>
        <v>1.036</v>
      </c>
      <c r="R91" s="2">
        <f t="shared" ca="1" si="2"/>
        <v>1.0669999999999999</v>
      </c>
      <c r="S91" s="2">
        <f t="shared" ca="1" si="2"/>
        <v>1.151</v>
      </c>
      <c r="T91" s="2">
        <f t="shared" ca="1" si="2"/>
        <v>1.274</v>
      </c>
      <c r="U91" s="2">
        <f t="shared" ca="1" si="2"/>
        <v>1.45</v>
      </c>
      <c r="V91" s="2">
        <f t="shared" ca="1" si="2"/>
        <v>1.677</v>
      </c>
      <c r="W91" s="2">
        <f t="shared" ca="1" si="2"/>
        <v>1.9339999999999999</v>
      </c>
      <c r="X91" s="2">
        <f t="shared" ca="1" si="2"/>
        <v>2.2229999999999999</v>
      </c>
      <c r="Y91" s="2">
        <f t="shared" ca="1" si="2"/>
        <v>2.5390000000000001</v>
      </c>
    </row>
    <row r="92" spans="2:25" x14ac:dyDescent="0.3">
      <c r="B92" s="6">
        <v>89</v>
      </c>
      <c r="C92" s="9">
        <v>1.53</v>
      </c>
      <c r="D92" s="9">
        <v>1.4410000000000001</v>
      </c>
      <c r="E92" s="9">
        <v>1.4430000000000001</v>
      </c>
      <c r="F92" s="9">
        <v>1.41</v>
      </c>
      <c r="I92" s="2">
        <f t="shared" ca="1" si="2"/>
        <v>2.5009999999999999</v>
      </c>
      <c r="J92" s="2">
        <f t="shared" ca="1" si="2"/>
        <v>2.1760000000000002</v>
      </c>
      <c r="K92" s="2">
        <f t="shared" ca="1" si="2"/>
        <v>1.8859999999999999</v>
      </c>
      <c r="L92" s="2">
        <f t="shared" ca="1" si="2"/>
        <v>1.6319999999999999</v>
      </c>
      <c r="M92" s="2">
        <f t="shared" ca="1" si="2"/>
        <v>1.4059999999999999</v>
      </c>
      <c r="N92" s="2">
        <f t="shared" ca="1" si="2"/>
        <v>1.2330000000000001</v>
      </c>
      <c r="O92" s="2">
        <f t="shared" ca="1" si="2"/>
        <v>1.1100000000000001</v>
      </c>
      <c r="P92" s="2">
        <f t="shared" ca="1" si="2"/>
        <v>1.028</v>
      </c>
      <c r="Q92" s="2">
        <f t="shared" ca="1" si="2"/>
        <v>1.0049999999999999</v>
      </c>
      <c r="R92" s="2">
        <f t="shared" ca="1" si="2"/>
        <v>1.0329999999999999</v>
      </c>
      <c r="S92" s="2">
        <f t="shared" ca="1" si="2"/>
        <v>1.121</v>
      </c>
      <c r="T92" s="2">
        <f t="shared" ca="1" si="2"/>
        <v>1.244</v>
      </c>
      <c r="U92" s="2">
        <f t="shared" ca="1" si="2"/>
        <v>1.419</v>
      </c>
      <c r="V92" s="2">
        <f t="shared" ca="1" si="2"/>
        <v>1.647</v>
      </c>
      <c r="W92" s="2">
        <f t="shared" ca="1" si="2"/>
        <v>1.9019999999999999</v>
      </c>
      <c r="X92" s="2">
        <f t="shared" ca="1" si="2"/>
        <v>2.1909999999999998</v>
      </c>
      <c r="Y92" s="2">
        <f t="shared" ca="1" si="2"/>
        <v>2.5019999999999998</v>
      </c>
    </row>
    <row r="93" spans="2:25" x14ac:dyDescent="0.3">
      <c r="B93" s="6">
        <v>90</v>
      </c>
      <c r="C93" s="9">
        <v>1.3169999999999999</v>
      </c>
      <c r="D93" s="9">
        <v>1.2669999999999999</v>
      </c>
      <c r="E93" s="9">
        <v>1.2689999999999999</v>
      </c>
      <c r="F93" s="9">
        <v>1.2430000000000001</v>
      </c>
      <c r="I93" s="2">
        <f t="shared" ca="1" si="2"/>
        <v>2.5310000000000001</v>
      </c>
      <c r="J93" s="2">
        <f t="shared" ca="1" si="2"/>
        <v>2.2000000000000002</v>
      </c>
      <c r="K93" s="2">
        <f t="shared" ca="1" si="2"/>
        <v>1.9079999999999999</v>
      </c>
      <c r="L93" s="2">
        <f t="shared" ca="1" si="2"/>
        <v>1.653</v>
      </c>
      <c r="M93" s="2">
        <f t="shared" ca="1" si="2"/>
        <v>1.4279999999999999</v>
      </c>
      <c r="N93" s="2">
        <f t="shared" ca="1" si="2"/>
        <v>1.252</v>
      </c>
      <c r="O93" s="2">
        <f t="shared" ca="1" si="2"/>
        <v>1.1279999999999999</v>
      </c>
      <c r="P93" s="2">
        <f t="shared" ca="1" si="2"/>
        <v>1.0469999999999999</v>
      </c>
      <c r="Q93" s="2">
        <f t="shared" ca="1" si="2"/>
        <v>1.0229999999999999</v>
      </c>
      <c r="R93" s="2">
        <f t="shared" ca="1" si="2"/>
        <v>1.056</v>
      </c>
      <c r="S93" s="2">
        <f t="shared" ca="1" si="2"/>
        <v>1.1439999999999999</v>
      </c>
      <c r="T93" s="2">
        <f t="shared" ca="1" si="2"/>
        <v>1.2689999999999999</v>
      </c>
      <c r="U93" s="2">
        <f t="shared" ca="1" si="2"/>
        <v>1.4470000000000001</v>
      </c>
      <c r="V93" s="2">
        <f t="shared" ca="1" si="2"/>
        <v>1.6739999999999999</v>
      </c>
      <c r="W93" s="2">
        <f t="shared" ca="1" si="2"/>
        <v>1.9259999999999999</v>
      </c>
      <c r="X93" s="2">
        <f t="shared" ca="1" si="2"/>
        <v>2.2090000000000001</v>
      </c>
      <c r="Y93" s="2">
        <f t="shared" ca="1" si="2"/>
        <v>2.5169999999999999</v>
      </c>
    </row>
    <row r="94" spans="2:25" x14ac:dyDescent="0.3">
      <c r="B94" s="6">
        <v>91</v>
      </c>
      <c r="C94" s="9">
        <v>1.17</v>
      </c>
      <c r="D94" s="9">
        <v>1.1439999999999999</v>
      </c>
      <c r="E94" s="9">
        <v>1.145</v>
      </c>
      <c r="F94" s="9">
        <v>1.129</v>
      </c>
      <c r="I94" s="2">
        <f t="shared" ca="1" si="2"/>
        <v>2.6080000000000001</v>
      </c>
      <c r="J94" s="2">
        <f t="shared" ca="1" si="2"/>
        <v>2.278</v>
      </c>
      <c r="K94" s="2">
        <f t="shared" ca="1" si="2"/>
        <v>1.9910000000000001</v>
      </c>
      <c r="L94" s="2">
        <f t="shared" ca="1" si="2"/>
        <v>1.736</v>
      </c>
      <c r="M94" s="2">
        <f t="shared" ca="1" si="2"/>
        <v>1.5129999999999999</v>
      </c>
      <c r="N94" s="2">
        <f t="shared" ca="1" si="2"/>
        <v>1.33</v>
      </c>
      <c r="O94" s="2">
        <f t="shared" ca="1" si="2"/>
        <v>1.206</v>
      </c>
      <c r="P94" s="2">
        <f t="shared" ca="1" si="2"/>
        <v>1.129</v>
      </c>
      <c r="Q94" s="2">
        <f t="shared" ca="1" si="2"/>
        <v>1.105</v>
      </c>
      <c r="R94" s="2">
        <f t="shared" ca="1" si="2"/>
        <v>1.1339999999999999</v>
      </c>
      <c r="S94" s="2">
        <f t="shared" ca="1" si="2"/>
        <v>1.2130000000000001</v>
      </c>
      <c r="T94" s="2">
        <f t="shared" ca="1" si="2"/>
        <v>1.3420000000000001</v>
      </c>
      <c r="U94" s="2">
        <f t="shared" ca="1" si="2"/>
        <v>1.5289999999999999</v>
      </c>
      <c r="V94" s="2">
        <f t="shared" ca="1" si="2"/>
        <v>1.754</v>
      </c>
      <c r="W94" s="2">
        <f t="shared" ca="1" si="2"/>
        <v>2.0059999999999998</v>
      </c>
      <c r="X94" s="2">
        <f t="shared" ca="1" si="2"/>
        <v>2.2879999999999998</v>
      </c>
      <c r="Y94" s="2">
        <f t="shared" ca="1" si="2"/>
        <v>2.609</v>
      </c>
    </row>
    <row r="95" spans="2:25" x14ac:dyDescent="0.3">
      <c r="B95" s="6">
        <v>92</v>
      </c>
      <c r="C95" s="9">
        <v>1.0760000000000001</v>
      </c>
      <c r="D95" s="9">
        <v>1.0640000000000001</v>
      </c>
      <c r="E95" s="9">
        <v>1.0649999999999999</v>
      </c>
      <c r="F95" s="9">
        <v>1.0549999999999999</v>
      </c>
      <c r="I95" s="2">
        <f t="shared" ca="1" si="2"/>
        <v>2.75</v>
      </c>
      <c r="J95" s="2">
        <f t="shared" ca="1" si="2"/>
        <v>2.3849999999999998</v>
      </c>
      <c r="K95" s="2">
        <f t="shared" ca="1" si="2"/>
        <v>2.101</v>
      </c>
      <c r="L95" s="2">
        <f t="shared" ca="1" si="2"/>
        <v>1.857</v>
      </c>
      <c r="M95" s="2">
        <f t="shared" ca="1" si="2"/>
        <v>1.6439999999999999</v>
      </c>
      <c r="N95" s="2">
        <f t="shared" ca="1" si="2"/>
        <v>1.464</v>
      </c>
      <c r="O95" s="2">
        <f t="shared" ca="1" si="2"/>
        <v>1.331</v>
      </c>
      <c r="P95" s="2">
        <f t="shared" ca="1" si="2"/>
        <v>1.254</v>
      </c>
      <c r="Q95" s="2">
        <f t="shared" ca="1" si="2"/>
        <v>1.228</v>
      </c>
      <c r="R95" s="2">
        <f t="shared" ca="1" si="2"/>
        <v>1.2529999999999999</v>
      </c>
      <c r="S95" s="2">
        <f t="shared" ca="1" si="2"/>
        <v>1.331</v>
      </c>
      <c r="T95" s="2">
        <f t="shared" ca="1" si="2"/>
        <v>1.4630000000000001</v>
      </c>
      <c r="U95" s="2">
        <f t="shared" ca="1" si="2"/>
        <v>1.647</v>
      </c>
      <c r="V95" s="2">
        <f t="shared" ca="1" si="2"/>
        <v>1.8660000000000001</v>
      </c>
      <c r="W95" s="2">
        <f t="shared" ca="1" si="2"/>
        <v>2.117</v>
      </c>
      <c r="X95" s="2">
        <f t="shared" ca="1" si="2"/>
        <v>2.4039999999999999</v>
      </c>
      <c r="Y95" s="2">
        <f t="shared" ca="1" si="2"/>
        <v>2.7679999999999998</v>
      </c>
    </row>
    <row r="96" spans="2:25" x14ac:dyDescent="0.3">
      <c r="B96" s="6">
        <v>93</v>
      </c>
      <c r="C96" s="9">
        <v>1.042</v>
      </c>
      <c r="D96" s="9">
        <v>1.036</v>
      </c>
      <c r="E96" s="9">
        <v>1.036</v>
      </c>
      <c r="F96" s="9">
        <v>1.032</v>
      </c>
      <c r="I96" s="2">
        <f t="shared" ca="1" si="2"/>
        <v>2.9950000000000001</v>
      </c>
      <c r="J96" s="2">
        <f t="shared" ca="1" si="2"/>
        <v>2.5630000000000002</v>
      </c>
      <c r="K96" s="2">
        <f t="shared" ca="1" si="2"/>
        <v>2.2570000000000001</v>
      </c>
      <c r="L96" s="2">
        <f t="shared" ca="1" si="2"/>
        <v>2.0169999999999999</v>
      </c>
      <c r="M96" s="2">
        <f t="shared" ca="1" si="2"/>
        <v>1.8109999999999999</v>
      </c>
      <c r="N96" s="2">
        <f t="shared" ca="1" si="2"/>
        <v>1.6439999999999999</v>
      </c>
      <c r="O96" s="2">
        <f t="shared" ca="1" si="2"/>
        <v>1.5149999999999999</v>
      </c>
      <c r="P96" s="2">
        <f t="shared" ca="1" si="2"/>
        <v>1.4339999999999999</v>
      </c>
      <c r="Q96" s="2">
        <f t="shared" ca="1" si="2"/>
        <v>1.4059999999999999</v>
      </c>
      <c r="R96" s="2">
        <f t="shared" ca="1" si="2"/>
        <v>1.4330000000000001</v>
      </c>
      <c r="S96" s="2">
        <f t="shared" ca="1" si="2"/>
        <v>1.516</v>
      </c>
      <c r="T96" s="2">
        <f t="shared" ca="1" si="2"/>
        <v>1.647</v>
      </c>
      <c r="U96" s="2">
        <f t="shared" ca="1" si="2"/>
        <v>1.8149999999999999</v>
      </c>
      <c r="V96" s="2">
        <f t="shared" ca="1" si="2"/>
        <v>2.0249999999999999</v>
      </c>
      <c r="W96" s="2">
        <f t="shared" ca="1" si="2"/>
        <v>2.2669999999999999</v>
      </c>
      <c r="X96" s="2">
        <f t="shared" ca="1" si="2"/>
        <v>2.577</v>
      </c>
      <c r="Y96" s="2">
        <f t="shared" ca="1" si="2"/>
        <v>3.0059999999999998</v>
      </c>
    </row>
    <row r="97" spans="2:25" x14ac:dyDescent="0.3">
      <c r="B97" s="6">
        <v>94</v>
      </c>
      <c r="C97" s="9">
        <v>1.0780000000000001</v>
      </c>
      <c r="D97" s="9">
        <v>1.0669999999999999</v>
      </c>
      <c r="E97" s="9">
        <v>1.0669999999999999</v>
      </c>
      <c r="F97" s="9">
        <v>1.06</v>
      </c>
      <c r="I97" s="2">
        <f t="shared" ca="1" si="2"/>
        <v>3.2850000000000001</v>
      </c>
      <c r="J97" s="2">
        <f t="shared" ca="1" si="2"/>
        <v>2.83</v>
      </c>
      <c r="K97" s="2">
        <f t="shared" ca="1" si="2"/>
        <v>2.468</v>
      </c>
      <c r="L97" s="2">
        <f t="shared" ca="1" si="2"/>
        <v>2.2240000000000002</v>
      </c>
      <c r="M97" s="2">
        <f t="shared" ca="1" si="2"/>
        <v>2.0230000000000001</v>
      </c>
      <c r="N97" s="2">
        <f t="shared" ca="1" si="2"/>
        <v>1.8580000000000001</v>
      </c>
      <c r="O97" s="2">
        <f t="shared" ca="1" si="2"/>
        <v>1.7390000000000001</v>
      </c>
      <c r="P97" s="2">
        <f t="shared" ca="1" si="2"/>
        <v>1.665</v>
      </c>
      <c r="Q97" s="2">
        <f t="shared" ca="1" si="2"/>
        <v>1.643</v>
      </c>
      <c r="R97" s="2">
        <f t="shared" ca="1" si="2"/>
        <v>1.671</v>
      </c>
      <c r="S97" s="2">
        <f t="shared" ca="1" si="2"/>
        <v>1.752</v>
      </c>
      <c r="T97" s="2">
        <f t="shared" ca="1" si="2"/>
        <v>1.873</v>
      </c>
      <c r="U97" s="2">
        <f t="shared" ca="1" si="2"/>
        <v>2.0339999999999998</v>
      </c>
      <c r="V97" s="2">
        <f t="shared" ca="1" si="2"/>
        <v>2.2309999999999999</v>
      </c>
      <c r="W97" s="2">
        <f t="shared" ca="1" si="2"/>
        <v>2.4670000000000001</v>
      </c>
      <c r="X97" s="2">
        <f t="shared" ca="1" si="2"/>
        <v>2.8239999999999998</v>
      </c>
      <c r="Y97" s="2">
        <f t="shared" ca="1" si="2"/>
        <v>3.2490000000000001</v>
      </c>
    </row>
    <row r="98" spans="2:25" x14ac:dyDescent="0.3">
      <c r="B98" s="6">
        <v>95</v>
      </c>
      <c r="C98" s="9">
        <v>1.1719999999999999</v>
      </c>
      <c r="D98" s="9">
        <v>1.1499999999999999</v>
      </c>
      <c r="E98" s="9">
        <v>1.151</v>
      </c>
      <c r="F98" s="9">
        <v>1.135</v>
      </c>
      <c r="I98" s="11">
        <f t="shared" ca="1" si="2"/>
        <v>3.55</v>
      </c>
      <c r="J98" s="2">
        <f t="shared" ca="1" si="2"/>
        <v>3.1749999999999998</v>
      </c>
      <c r="K98" s="2">
        <f t="shared" ca="1" si="2"/>
        <v>2.7839999999999998</v>
      </c>
      <c r="L98" s="2">
        <f t="shared" ca="1" si="2"/>
        <v>2.4870000000000001</v>
      </c>
      <c r="M98" s="2">
        <f t="shared" ca="1" si="2"/>
        <v>2.2909999999999999</v>
      </c>
      <c r="N98" s="2">
        <f t="shared" ca="1" si="2"/>
        <v>2.125</v>
      </c>
      <c r="O98" s="2">
        <f t="shared" ca="1" si="2"/>
        <v>2.0019999999999998</v>
      </c>
      <c r="P98" s="2">
        <f t="shared" ca="1" si="2"/>
        <v>1.931</v>
      </c>
      <c r="Q98" s="2">
        <f t="shared" ca="1" si="2"/>
        <v>1.9119999999999999</v>
      </c>
      <c r="R98" s="2">
        <f t="shared" ca="1" si="2"/>
        <v>1.9419999999999999</v>
      </c>
      <c r="S98" s="2">
        <f t="shared" ca="1" si="2"/>
        <v>2.0249999999999999</v>
      </c>
      <c r="T98" s="2">
        <f t="shared" ca="1" si="2"/>
        <v>2.1509999999999998</v>
      </c>
      <c r="U98" s="2">
        <f t="shared" ca="1" si="2"/>
        <v>2.31</v>
      </c>
      <c r="V98" s="2">
        <f t="shared" ca="1" si="2"/>
        <v>2.4969999999999999</v>
      </c>
      <c r="W98" s="2">
        <f t="shared" ca="1" si="2"/>
        <v>2.7770000000000001</v>
      </c>
      <c r="X98" s="2">
        <f t="shared" ca="1" si="2"/>
        <v>3.1219999999999999</v>
      </c>
      <c r="Y98" s="11">
        <f t="shared" ca="1" si="2"/>
        <v>3.43</v>
      </c>
    </row>
    <row r="99" spans="2:25" x14ac:dyDescent="0.3">
      <c r="B99" s="6">
        <v>96</v>
      </c>
      <c r="C99" s="9">
        <v>1.3160000000000001</v>
      </c>
      <c r="D99" s="9">
        <v>1.2729999999999999</v>
      </c>
      <c r="E99" s="9">
        <v>1.274</v>
      </c>
      <c r="F99" s="9">
        <v>1.252</v>
      </c>
    </row>
    <row r="100" spans="2:25" x14ac:dyDescent="0.3">
      <c r="B100" s="6">
        <v>97</v>
      </c>
      <c r="C100" s="9">
        <v>1.5289999999999999</v>
      </c>
      <c r="D100" s="9">
        <v>1.4490000000000001</v>
      </c>
      <c r="E100" s="9">
        <v>1.45</v>
      </c>
      <c r="F100" s="9">
        <v>1.4239999999999999</v>
      </c>
      <c r="H100" t="s">
        <v>3</v>
      </c>
      <c r="I100" s="13">
        <f t="shared" ref="I100:Y112" ca="1" si="3">INDIRECT("F"&amp;(17*ROW(1:1)+ROW($F$3)-19+IF(COLUMN(C:C)&gt;19,50000,COLUMN(C:C)-1)))</f>
        <v>3.26</v>
      </c>
      <c r="J100" s="2">
        <f t="shared" ca="1" si="3"/>
        <v>2.9420000000000002</v>
      </c>
      <c r="K100" s="2">
        <f t="shared" ca="1" si="3"/>
        <v>2.6040000000000001</v>
      </c>
      <c r="L100" s="2">
        <f t="shared" ca="1" si="3"/>
        <v>2.3380000000000001</v>
      </c>
      <c r="M100" s="2">
        <f t="shared" ca="1" si="3"/>
        <v>2.1589999999999998</v>
      </c>
      <c r="N100" s="2">
        <f t="shared" ca="1" si="3"/>
        <v>2.0129999999999999</v>
      </c>
      <c r="O100" s="2">
        <f t="shared" ca="1" si="3"/>
        <v>1.901</v>
      </c>
      <c r="P100" s="2">
        <f t="shared" ca="1" si="3"/>
        <v>1.835</v>
      </c>
      <c r="Q100" s="2">
        <f t="shared" ca="1" si="3"/>
        <v>1.8169999999999999</v>
      </c>
      <c r="R100" s="2">
        <f t="shared" ca="1" si="3"/>
        <v>1.839</v>
      </c>
      <c r="S100" s="2">
        <f t="shared" ca="1" si="3"/>
        <v>1.9079999999999999</v>
      </c>
      <c r="T100" s="2">
        <f t="shared" ca="1" si="3"/>
        <v>2.0190000000000001</v>
      </c>
      <c r="U100" s="2">
        <f t="shared" ca="1" si="3"/>
        <v>2.1659999999999999</v>
      </c>
      <c r="V100" s="2">
        <f t="shared" ca="1" si="3"/>
        <v>2.35</v>
      </c>
      <c r="W100" s="2">
        <f t="shared" ca="1" si="3"/>
        <v>2.64</v>
      </c>
      <c r="X100" s="2">
        <f t="shared" ca="1" si="3"/>
        <v>2.976</v>
      </c>
      <c r="Y100" s="13">
        <f t="shared" ca="1" si="3"/>
        <v>3.2829999999999999</v>
      </c>
    </row>
    <row r="101" spans="2:25" x14ac:dyDescent="0.3">
      <c r="B101" s="6">
        <v>98</v>
      </c>
      <c r="C101" s="9">
        <v>1.8080000000000001</v>
      </c>
      <c r="D101" s="9">
        <v>1.677</v>
      </c>
      <c r="E101" s="9">
        <v>1.677</v>
      </c>
      <c r="F101" s="9">
        <v>1.649</v>
      </c>
      <c r="I101" s="2">
        <f t="shared" ca="1" si="3"/>
        <v>3.129</v>
      </c>
      <c r="J101" s="2">
        <f t="shared" ca="1" si="3"/>
        <v>2.71</v>
      </c>
      <c r="K101" s="2">
        <f t="shared" ca="1" si="3"/>
        <v>2.37</v>
      </c>
      <c r="L101" s="2">
        <f t="shared" ca="1" si="3"/>
        <v>2.1469999999999998</v>
      </c>
      <c r="M101" s="2">
        <f t="shared" ca="1" si="3"/>
        <v>1.9630000000000001</v>
      </c>
      <c r="N101" s="2">
        <f t="shared" ca="1" si="3"/>
        <v>1.8120000000000001</v>
      </c>
      <c r="O101" s="2">
        <f t="shared" ca="1" si="3"/>
        <v>1.702</v>
      </c>
      <c r="P101" s="2">
        <f t="shared" ca="1" si="3"/>
        <v>1.6379999999999999</v>
      </c>
      <c r="Q101" s="2">
        <f t="shared" ca="1" si="3"/>
        <v>1.6180000000000001</v>
      </c>
      <c r="R101" s="2">
        <f t="shared" ca="1" si="3"/>
        <v>1.6379999999999999</v>
      </c>
      <c r="S101" s="2">
        <f t="shared" ca="1" si="3"/>
        <v>1.708</v>
      </c>
      <c r="T101" s="2">
        <f t="shared" ca="1" si="3"/>
        <v>1.8220000000000001</v>
      </c>
      <c r="U101" s="2">
        <f t="shared" ca="1" si="3"/>
        <v>1.98</v>
      </c>
      <c r="V101" s="2">
        <f t="shared" ca="1" si="3"/>
        <v>2.17</v>
      </c>
      <c r="W101" s="2">
        <f t="shared" ca="1" si="3"/>
        <v>2.407</v>
      </c>
      <c r="X101" s="2">
        <f t="shared" ca="1" si="3"/>
        <v>2.7469999999999999</v>
      </c>
      <c r="Y101" s="2">
        <f t="shared" ca="1" si="3"/>
        <v>3.1259999999999999</v>
      </c>
    </row>
    <row r="102" spans="2:25" x14ac:dyDescent="0.3">
      <c r="B102" s="6">
        <v>99</v>
      </c>
      <c r="C102" s="9">
        <v>2.125</v>
      </c>
      <c r="D102" s="9">
        <v>1.9339999999999999</v>
      </c>
      <c r="E102" s="9">
        <v>1.9339999999999999</v>
      </c>
      <c r="F102" s="9">
        <v>1.9019999999999999</v>
      </c>
      <c r="I102" s="2">
        <f t="shared" ca="1" si="3"/>
        <v>2.9049999999999998</v>
      </c>
      <c r="J102" s="2">
        <f t="shared" ca="1" si="3"/>
        <v>2.4809999999999999</v>
      </c>
      <c r="K102" s="2">
        <f t="shared" ca="1" si="3"/>
        <v>2.1869999999999998</v>
      </c>
      <c r="L102" s="2">
        <f t="shared" ca="1" si="3"/>
        <v>1.9630000000000001</v>
      </c>
      <c r="M102" s="2">
        <f t="shared" ca="1" si="3"/>
        <v>1.7669999999999999</v>
      </c>
      <c r="N102" s="2">
        <f t="shared" ca="1" si="3"/>
        <v>1.607</v>
      </c>
      <c r="O102" s="2">
        <f t="shared" ca="1" si="3"/>
        <v>1.4910000000000001</v>
      </c>
      <c r="P102" s="2">
        <f t="shared" ca="1" si="3"/>
        <v>1.425</v>
      </c>
      <c r="Q102" s="2">
        <f t="shared" ca="1" si="3"/>
        <v>1.409</v>
      </c>
      <c r="R102" s="2">
        <f t="shared" ca="1" si="3"/>
        <v>1.4330000000000001</v>
      </c>
      <c r="S102" s="2">
        <f t="shared" ca="1" si="3"/>
        <v>1.51</v>
      </c>
      <c r="T102" s="2">
        <f t="shared" ca="1" si="3"/>
        <v>1.63</v>
      </c>
      <c r="U102" s="2">
        <f t="shared" ca="1" si="3"/>
        <v>1.794</v>
      </c>
      <c r="V102" s="2">
        <f t="shared" ca="1" si="3"/>
        <v>1.996</v>
      </c>
      <c r="W102" s="2">
        <f t="shared" ca="1" si="3"/>
        <v>2.222</v>
      </c>
      <c r="X102" s="2">
        <f t="shared" ca="1" si="3"/>
        <v>2.5110000000000001</v>
      </c>
      <c r="Y102" s="2">
        <f t="shared" ca="1" si="3"/>
        <v>2.9009999999999998</v>
      </c>
    </row>
    <row r="103" spans="2:25" x14ac:dyDescent="0.3">
      <c r="B103" s="6">
        <v>100</v>
      </c>
      <c r="C103" s="9">
        <v>2.468</v>
      </c>
      <c r="D103" s="9">
        <v>2.2240000000000002</v>
      </c>
      <c r="E103" s="9">
        <v>2.2229999999999999</v>
      </c>
      <c r="F103" s="9">
        <v>2.181</v>
      </c>
      <c r="I103" s="2">
        <f t="shared" ca="1" si="3"/>
        <v>2.6869999999999998</v>
      </c>
      <c r="J103" s="2">
        <f t="shared" ca="1" si="3"/>
        <v>2.3279999999999998</v>
      </c>
      <c r="K103" s="2">
        <f t="shared" ca="1" si="3"/>
        <v>2.0499999999999998</v>
      </c>
      <c r="L103" s="2">
        <f t="shared" ca="1" si="3"/>
        <v>1.8120000000000001</v>
      </c>
      <c r="M103" s="2">
        <f t="shared" ca="1" si="3"/>
        <v>1.605</v>
      </c>
      <c r="N103" s="2">
        <f t="shared" ca="1" si="3"/>
        <v>1.4339999999999999</v>
      </c>
      <c r="O103" s="2">
        <f t="shared" ca="1" si="3"/>
        <v>1.3129999999999999</v>
      </c>
      <c r="P103" s="2">
        <f t="shared" ca="1" si="3"/>
        <v>1.25</v>
      </c>
      <c r="Q103" s="2">
        <f t="shared" ca="1" si="3"/>
        <v>1.236</v>
      </c>
      <c r="R103" s="2">
        <f t="shared" ca="1" si="3"/>
        <v>1.26</v>
      </c>
      <c r="S103" s="2">
        <f t="shared" ca="1" si="3"/>
        <v>1.335</v>
      </c>
      <c r="T103" s="2">
        <f t="shared" ca="1" si="3"/>
        <v>1.462</v>
      </c>
      <c r="U103" s="2">
        <f t="shared" ca="1" si="3"/>
        <v>1.637</v>
      </c>
      <c r="V103" s="2">
        <f t="shared" ca="1" si="3"/>
        <v>1.8460000000000001</v>
      </c>
      <c r="W103" s="2">
        <f t="shared" ca="1" si="3"/>
        <v>2.0830000000000002</v>
      </c>
      <c r="X103" s="2">
        <f t="shared" ca="1" si="3"/>
        <v>2.35</v>
      </c>
      <c r="Y103" s="2">
        <f t="shared" ca="1" si="3"/>
        <v>2.6819999999999999</v>
      </c>
    </row>
    <row r="104" spans="2:25" x14ac:dyDescent="0.3">
      <c r="B104" s="6">
        <v>101</v>
      </c>
      <c r="C104" s="9">
        <v>2.8210000000000002</v>
      </c>
      <c r="D104" s="9">
        <v>2.5409999999999999</v>
      </c>
      <c r="E104" s="9">
        <v>2.5390000000000001</v>
      </c>
      <c r="F104" s="9">
        <v>2.4820000000000002</v>
      </c>
      <c r="I104" s="2">
        <f t="shared" ca="1" si="3"/>
        <v>2.524</v>
      </c>
      <c r="J104" s="2">
        <f t="shared" ca="1" si="3"/>
        <v>2.2109999999999999</v>
      </c>
      <c r="K104" s="2">
        <f t="shared" ca="1" si="3"/>
        <v>1.9419999999999999</v>
      </c>
      <c r="L104" s="2">
        <f t="shared" ca="1" si="3"/>
        <v>1.7030000000000001</v>
      </c>
      <c r="M104" s="2">
        <f t="shared" ca="1" si="3"/>
        <v>1.486</v>
      </c>
      <c r="N104" s="2">
        <f t="shared" ca="1" si="3"/>
        <v>1.3109999999999999</v>
      </c>
      <c r="O104" s="2">
        <f t="shared" ca="1" si="3"/>
        <v>1.1930000000000001</v>
      </c>
      <c r="P104" s="2">
        <f t="shared" ca="1" si="3"/>
        <v>1.131</v>
      </c>
      <c r="Q104" s="2">
        <f t="shared" ca="1" si="3"/>
        <v>1.113</v>
      </c>
      <c r="R104" s="2">
        <f t="shared" ca="1" si="3"/>
        <v>1.1359999999999999</v>
      </c>
      <c r="S104" s="2">
        <f t="shared" ca="1" si="3"/>
        <v>1.2050000000000001</v>
      </c>
      <c r="T104" s="2">
        <f t="shared" ca="1" si="3"/>
        <v>1.327</v>
      </c>
      <c r="U104" s="2">
        <f t="shared" ca="1" si="3"/>
        <v>1.5089999999999999</v>
      </c>
      <c r="V104" s="2">
        <f t="shared" ca="1" si="3"/>
        <v>1.7290000000000001</v>
      </c>
      <c r="W104" s="2">
        <f t="shared" ca="1" si="3"/>
        <v>1.9770000000000001</v>
      </c>
      <c r="X104" s="2">
        <f t="shared" ca="1" si="3"/>
        <v>2.246</v>
      </c>
      <c r="Y104" s="2">
        <f t="shared" ca="1" si="3"/>
        <v>2.5449999999999999</v>
      </c>
    </row>
    <row r="105" spans="2:25" x14ac:dyDescent="0.3">
      <c r="B105" s="6">
        <v>102</v>
      </c>
      <c r="C105" s="9">
        <v>2.8180000000000001</v>
      </c>
      <c r="D105" s="9">
        <v>2.5</v>
      </c>
      <c r="E105" s="9">
        <v>2.5009999999999999</v>
      </c>
      <c r="F105" s="9">
        <v>2.4279999999999999</v>
      </c>
      <c r="I105" s="2">
        <f t="shared" ca="1" si="3"/>
        <v>2.4460000000000002</v>
      </c>
      <c r="J105" s="2">
        <f t="shared" ca="1" si="3"/>
        <v>2.137</v>
      </c>
      <c r="K105" s="2">
        <f t="shared" ca="1" si="3"/>
        <v>1.8660000000000001</v>
      </c>
      <c r="L105" s="2">
        <f t="shared" ca="1" si="3"/>
        <v>1.625</v>
      </c>
      <c r="M105" s="2">
        <f t="shared" ca="1" si="3"/>
        <v>1.41</v>
      </c>
      <c r="N105" s="2">
        <f t="shared" ca="1" si="3"/>
        <v>1.2430000000000001</v>
      </c>
      <c r="O105" s="2">
        <f t="shared" ca="1" si="3"/>
        <v>1.129</v>
      </c>
      <c r="P105" s="2">
        <f t="shared" ca="1" si="3"/>
        <v>1.0549999999999999</v>
      </c>
      <c r="Q105" s="2">
        <f t="shared" ca="1" si="3"/>
        <v>1.032</v>
      </c>
      <c r="R105" s="2">
        <f t="shared" ca="1" si="3"/>
        <v>1.06</v>
      </c>
      <c r="S105" s="2">
        <f t="shared" ca="1" si="3"/>
        <v>1.135</v>
      </c>
      <c r="T105" s="2">
        <f t="shared" ca="1" si="3"/>
        <v>1.252</v>
      </c>
      <c r="U105" s="2">
        <f t="shared" ca="1" si="3"/>
        <v>1.4239999999999999</v>
      </c>
      <c r="V105" s="2">
        <f t="shared" ca="1" si="3"/>
        <v>1.649</v>
      </c>
      <c r="W105" s="2">
        <f t="shared" ca="1" si="3"/>
        <v>1.9019999999999999</v>
      </c>
      <c r="X105" s="2">
        <f t="shared" ca="1" si="3"/>
        <v>2.181</v>
      </c>
      <c r="Y105" s="2">
        <f t="shared" ca="1" si="3"/>
        <v>2.4820000000000002</v>
      </c>
    </row>
    <row r="106" spans="2:25" x14ac:dyDescent="0.3">
      <c r="B106" s="6">
        <v>103</v>
      </c>
      <c r="C106" s="9">
        <v>2.4350000000000001</v>
      </c>
      <c r="D106" s="9">
        <v>2.1739999999999999</v>
      </c>
      <c r="E106" s="9">
        <v>2.1760000000000002</v>
      </c>
      <c r="F106" s="9">
        <v>2.1150000000000002</v>
      </c>
      <c r="I106" s="2">
        <f t="shared" ca="1" si="3"/>
        <v>2.4279999999999999</v>
      </c>
      <c r="J106" s="2">
        <f t="shared" ca="1" si="3"/>
        <v>2.1150000000000002</v>
      </c>
      <c r="K106" s="2">
        <f t="shared" ca="1" si="3"/>
        <v>1.839</v>
      </c>
      <c r="L106" s="2">
        <f t="shared" ca="1" si="3"/>
        <v>1.5940000000000001</v>
      </c>
      <c r="M106" s="2">
        <f t="shared" ca="1" si="3"/>
        <v>1.3759999999999999</v>
      </c>
      <c r="N106" s="2">
        <f t="shared" ca="1" si="3"/>
        <v>1.212</v>
      </c>
      <c r="O106" s="2">
        <f t="shared" ca="1" si="3"/>
        <v>1.097</v>
      </c>
      <c r="P106" s="2">
        <f t="shared" ca="1" si="3"/>
        <v>1.026</v>
      </c>
      <c r="Q106" s="2">
        <f t="shared" ca="1" si="3"/>
        <v>1.008</v>
      </c>
      <c r="R106" s="2">
        <f t="shared" ca="1" si="3"/>
        <v>1.0309999999999999</v>
      </c>
      <c r="S106" s="2">
        <f t="shared" ca="1" si="3"/>
        <v>1.111</v>
      </c>
      <c r="T106" s="2">
        <f t="shared" ca="1" si="3"/>
        <v>1.2290000000000001</v>
      </c>
      <c r="U106" s="2">
        <f t="shared" ca="1" si="3"/>
        <v>1.399</v>
      </c>
      <c r="V106" s="2">
        <f t="shared" ca="1" si="3"/>
        <v>1.6220000000000001</v>
      </c>
      <c r="W106" s="2">
        <f t="shared" ca="1" si="3"/>
        <v>1.869</v>
      </c>
      <c r="X106" s="2">
        <f t="shared" ca="1" si="3"/>
        <v>2.1459999999999999</v>
      </c>
      <c r="Y106" s="2">
        <f t="shared" ca="1" si="3"/>
        <v>2.4409999999999998</v>
      </c>
    </row>
    <row r="107" spans="2:25" x14ac:dyDescent="0.3">
      <c r="B107" s="6">
        <v>104</v>
      </c>
      <c r="C107" s="9">
        <v>2.081</v>
      </c>
      <c r="D107" s="9">
        <v>1.8839999999999999</v>
      </c>
      <c r="E107" s="9">
        <v>1.8859999999999999</v>
      </c>
      <c r="F107" s="9">
        <v>1.839</v>
      </c>
      <c r="I107" s="2">
        <f t="shared" ca="1" si="3"/>
        <v>2.4590000000000001</v>
      </c>
      <c r="J107" s="2">
        <f t="shared" ca="1" si="3"/>
        <v>2.141</v>
      </c>
      <c r="K107" s="2">
        <f t="shared" ca="1" si="3"/>
        <v>1.859</v>
      </c>
      <c r="L107" s="2">
        <f t="shared" ca="1" si="3"/>
        <v>1.613</v>
      </c>
      <c r="M107" s="2">
        <f t="shared" ca="1" si="3"/>
        <v>1.395</v>
      </c>
      <c r="N107" s="2">
        <f t="shared" ca="1" si="3"/>
        <v>1.2270000000000001</v>
      </c>
      <c r="O107" s="2">
        <f t="shared" ca="1" si="3"/>
        <v>1.1120000000000001</v>
      </c>
      <c r="P107" s="2">
        <f t="shared" ca="1" si="3"/>
        <v>1.04</v>
      </c>
      <c r="Q107" s="2">
        <f t="shared" ca="1" si="3"/>
        <v>1.022</v>
      </c>
      <c r="R107" s="2">
        <f t="shared" ca="1" si="3"/>
        <v>1.052</v>
      </c>
      <c r="S107" s="2">
        <f t="shared" ca="1" si="3"/>
        <v>1.131</v>
      </c>
      <c r="T107" s="2">
        <f t="shared" ca="1" si="3"/>
        <v>1.25</v>
      </c>
      <c r="U107" s="2">
        <f t="shared" ca="1" si="3"/>
        <v>1.4239999999999999</v>
      </c>
      <c r="V107" s="2">
        <f t="shared" ca="1" si="3"/>
        <v>1.645</v>
      </c>
      <c r="W107" s="2">
        <f t="shared" ca="1" si="3"/>
        <v>1.8919999999999999</v>
      </c>
      <c r="X107" s="2">
        <f t="shared" ca="1" si="3"/>
        <v>2.1640000000000001</v>
      </c>
      <c r="Y107" s="2">
        <f t="shared" ca="1" si="3"/>
        <v>2.4500000000000002</v>
      </c>
    </row>
    <row r="108" spans="2:25" x14ac:dyDescent="0.3">
      <c r="B108" s="6">
        <v>105</v>
      </c>
      <c r="C108" s="9">
        <v>1.764</v>
      </c>
      <c r="D108" s="9">
        <v>1.629</v>
      </c>
      <c r="E108" s="9">
        <v>1.6319999999999999</v>
      </c>
      <c r="F108" s="9">
        <v>1.5940000000000001</v>
      </c>
      <c r="I108" s="2">
        <f t="shared" ca="1" si="3"/>
        <v>2.5350000000000001</v>
      </c>
      <c r="J108" s="2">
        <f t="shared" ca="1" si="3"/>
        <v>2.2170000000000001</v>
      </c>
      <c r="K108" s="2">
        <f t="shared" ca="1" si="3"/>
        <v>1.94</v>
      </c>
      <c r="L108" s="2">
        <f t="shared" ca="1" si="3"/>
        <v>1.6910000000000001</v>
      </c>
      <c r="M108" s="2">
        <f t="shared" ca="1" si="3"/>
        <v>1.472</v>
      </c>
      <c r="N108" s="2">
        <f t="shared" ca="1" si="3"/>
        <v>1.2949999999999999</v>
      </c>
      <c r="O108" s="2">
        <f t="shared" ca="1" si="3"/>
        <v>1.18</v>
      </c>
      <c r="P108" s="2">
        <f t="shared" ca="1" si="3"/>
        <v>1.113</v>
      </c>
      <c r="Q108" s="2">
        <f t="shared" ca="1" si="3"/>
        <v>1.0940000000000001</v>
      </c>
      <c r="R108" s="2">
        <f t="shared" ca="1" si="3"/>
        <v>1.119</v>
      </c>
      <c r="S108" s="2">
        <f t="shared" ca="1" si="3"/>
        <v>1.1910000000000001</v>
      </c>
      <c r="T108" s="2">
        <f t="shared" ca="1" si="3"/>
        <v>1.3140000000000001</v>
      </c>
      <c r="U108" s="2">
        <f t="shared" ca="1" si="3"/>
        <v>1.498</v>
      </c>
      <c r="V108" s="2">
        <f t="shared" ca="1" si="3"/>
        <v>1.7230000000000001</v>
      </c>
      <c r="W108" s="2">
        <f t="shared" ca="1" si="3"/>
        <v>1.9710000000000001</v>
      </c>
      <c r="X108" s="2">
        <f t="shared" ca="1" si="3"/>
        <v>2.2400000000000002</v>
      </c>
      <c r="Y108" s="2">
        <f t="shared" ca="1" si="3"/>
        <v>2.536</v>
      </c>
    </row>
    <row r="109" spans="2:25" x14ac:dyDescent="0.3">
      <c r="B109" s="6">
        <v>106</v>
      </c>
      <c r="C109" s="9">
        <v>1.4850000000000001</v>
      </c>
      <c r="D109" s="9">
        <v>1.403</v>
      </c>
      <c r="E109" s="9">
        <v>1.4059999999999999</v>
      </c>
      <c r="F109" s="9">
        <v>1.3759999999999999</v>
      </c>
      <c r="I109" s="2">
        <f t="shared" ca="1" si="3"/>
        <v>2.6619999999999999</v>
      </c>
      <c r="J109" s="2">
        <f t="shared" ca="1" si="3"/>
        <v>2.3149999999999999</v>
      </c>
      <c r="K109" s="2">
        <f t="shared" ca="1" si="3"/>
        <v>2.0430000000000001</v>
      </c>
      <c r="L109" s="2">
        <f t="shared" ca="1" si="3"/>
        <v>1.8029999999999999</v>
      </c>
      <c r="M109" s="2">
        <f t="shared" ca="1" si="3"/>
        <v>1.5960000000000001</v>
      </c>
      <c r="N109" s="2">
        <f t="shared" ca="1" si="3"/>
        <v>1.4219999999999999</v>
      </c>
      <c r="O109" s="2">
        <f t="shared" ca="1" si="3"/>
        <v>1.2949999999999999</v>
      </c>
      <c r="P109" s="2">
        <f t="shared" ca="1" si="3"/>
        <v>1.228</v>
      </c>
      <c r="Q109" s="2">
        <f t="shared" ca="1" si="3"/>
        <v>1.2070000000000001</v>
      </c>
      <c r="R109" s="2">
        <f t="shared" ca="1" si="3"/>
        <v>1.228</v>
      </c>
      <c r="S109" s="2">
        <f t="shared" ca="1" si="3"/>
        <v>1.2989999999999999</v>
      </c>
      <c r="T109" s="2">
        <f t="shared" ca="1" si="3"/>
        <v>1.427</v>
      </c>
      <c r="U109" s="2">
        <f t="shared" ca="1" si="3"/>
        <v>1.6060000000000001</v>
      </c>
      <c r="V109" s="2">
        <f t="shared" ca="1" si="3"/>
        <v>1.827</v>
      </c>
      <c r="W109" s="2">
        <f t="shared" ca="1" si="3"/>
        <v>2.0750000000000002</v>
      </c>
      <c r="X109" s="2">
        <f t="shared" ca="1" si="3"/>
        <v>2.347</v>
      </c>
      <c r="Y109" s="2">
        <f t="shared" ca="1" si="3"/>
        <v>2.6920000000000002</v>
      </c>
    </row>
    <row r="110" spans="2:25" x14ac:dyDescent="0.3">
      <c r="B110" s="6">
        <v>107</v>
      </c>
      <c r="C110" s="9">
        <v>1.2729999999999999</v>
      </c>
      <c r="D110" s="9">
        <v>1.2310000000000001</v>
      </c>
      <c r="E110" s="9">
        <v>1.2330000000000001</v>
      </c>
      <c r="F110" s="9">
        <v>1.212</v>
      </c>
      <c r="I110" s="2">
        <f t="shared" ca="1" si="3"/>
        <v>2.8940000000000001</v>
      </c>
      <c r="J110" s="2">
        <f t="shared" ca="1" si="3"/>
        <v>2.4809999999999999</v>
      </c>
      <c r="K110" s="2">
        <f t="shared" ca="1" si="3"/>
        <v>2.1869999999999998</v>
      </c>
      <c r="L110" s="2">
        <f t="shared" ca="1" si="3"/>
        <v>1.954</v>
      </c>
      <c r="M110" s="2">
        <f t="shared" ca="1" si="3"/>
        <v>1.754</v>
      </c>
      <c r="N110" s="2">
        <f t="shared" ca="1" si="3"/>
        <v>1.5940000000000001</v>
      </c>
      <c r="O110" s="2">
        <f t="shared" ca="1" si="3"/>
        <v>1.474</v>
      </c>
      <c r="P110" s="2">
        <f t="shared" ca="1" si="3"/>
        <v>1.4</v>
      </c>
      <c r="Q110" s="2">
        <f t="shared" ca="1" si="3"/>
        <v>1.3779999999999999</v>
      </c>
      <c r="R110" s="2">
        <f t="shared" ca="1" si="3"/>
        <v>1.401</v>
      </c>
      <c r="S110" s="2">
        <f t="shared" ca="1" si="3"/>
        <v>1.476</v>
      </c>
      <c r="T110" s="2">
        <f t="shared" ca="1" si="3"/>
        <v>1.6020000000000001</v>
      </c>
      <c r="U110" s="2">
        <f t="shared" ca="1" si="3"/>
        <v>1.77</v>
      </c>
      <c r="V110" s="2">
        <f t="shared" ca="1" si="3"/>
        <v>1.9790000000000001</v>
      </c>
      <c r="W110" s="2">
        <f t="shared" ca="1" si="3"/>
        <v>2.2120000000000002</v>
      </c>
      <c r="X110" s="2">
        <f t="shared" ca="1" si="3"/>
        <v>2.5070000000000001</v>
      </c>
      <c r="Y110" s="2">
        <f t="shared" ca="1" si="3"/>
        <v>2.9060000000000001</v>
      </c>
    </row>
    <row r="111" spans="2:25" x14ac:dyDescent="0.3">
      <c r="B111" s="6">
        <v>108</v>
      </c>
      <c r="C111" s="9">
        <v>1.127</v>
      </c>
      <c r="D111" s="9">
        <v>1.1080000000000001</v>
      </c>
      <c r="E111" s="9">
        <v>1.1100000000000001</v>
      </c>
      <c r="F111" s="9">
        <v>1.097</v>
      </c>
      <c r="I111" s="2">
        <f t="shared" ca="1" si="3"/>
        <v>3.1589999999999998</v>
      </c>
      <c r="J111" s="2">
        <f t="shared" ca="1" si="3"/>
        <v>2.7320000000000002</v>
      </c>
      <c r="K111" s="2">
        <f t="shared" ca="1" si="3"/>
        <v>2.3879999999999999</v>
      </c>
      <c r="L111" s="2">
        <f t="shared" ca="1" si="3"/>
        <v>2.1520000000000001</v>
      </c>
      <c r="M111" s="2">
        <f t="shared" ca="1" si="3"/>
        <v>1.956</v>
      </c>
      <c r="N111" s="2">
        <f t="shared" ca="1" si="3"/>
        <v>1.798</v>
      </c>
      <c r="O111" s="2">
        <f t="shared" ca="1" si="3"/>
        <v>1.6859999999999999</v>
      </c>
      <c r="P111" s="2">
        <f t="shared" ca="1" si="3"/>
        <v>1.621</v>
      </c>
      <c r="Q111" s="2">
        <f t="shared" ca="1" si="3"/>
        <v>1.603</v>
      </c>
      <c r="R111" s="2">
        <f t="shared" ca="1" si="3"/>
        <v>1.629</v>
      </c>
      <c r="S111" s="2">
        <f t="shared" ca="1" si="3"/>
        <v>1.7050000000000001</v>
      </c>
      <c r="T111" s="2">
        <f t="shared" ca="1" si="3"/>
        <v>1.821</v>
      </c>
      <c r="U111" s="2">
        <f t="shared" ca="1" si="3"/>
        <v>1.9810000000000001</v>
      </c>
      <c r="V111" s="2">
        <f t="shared" ca="1" si="3"/>
        <v>2.1720000000000002</v>
      </c>
      <c r="W111" s="2">
        <f t="shared" ca="1" si="3"/>
        <v>2.4020000000000001</v>
      </c>
      <c r="X111" s="2">
        <f t="shared" ca="1" si="3"/>
        <v>2.734</v>
      </c>
      <c r="Y111" s="2">
        <f t="shared" ca="1" si="3"/>
        <v>3.1190000000000002</v>
      </c>
    </row>
    <row r="112" spans="2:25" x14ac:dyDescent="0.3">
      <c r="B112" s="6">
        <v>109</v>
      </c>
      <c r="C112" s="9">
        <v>1.034</v>
      </c>
      <c r="D112" s="9">
        <v>1.0269999999999999</v>
      </c>
      <c r="E112" s="9">
        <v>1.028</v>
      </c>
      <c r="F112" s="9">
        <v>1.026</v>
      </c>
      <c r="I112" s="13">
        <f t="shared" ca="1" si="3"/>
        <v>3.4</v>
      </c>
      <c r="J112" s="2">
        <f t="shared" ca="1" si="3"/>
        <v>3.0539999999999998</v>
      </c>
      <c r="K112" s="2">
        <f t="shared" ca="1" si="3"/>
        <v>2.6869999999999998</v>
      </c>
      <c r="L112" s="2">
        <f t="shared" ca="1" si="3"/>
        <v>2.403</v>
      </c>
      <c r="M112" s="2">
        <f t="shared" ca="1" si="3"/>
        <v>2.2120000000000002</v>
      </c>
      <c r="N112" s="2">
        <f t="shared" ca="1" si="3"/>
        <v>2.0510000000000002</v>
      </c>
      <c r="O112" s="2">
        <f t="shared" ca="1" si="3"/>
        <v>1.9350000000000001</v>
      </c>
      <c r="P112" s="2">
        <f t="shared" ca="1" si="3"/>
        <v>1.869</v>
      </c>
      <c r="Q112" s="2">
        <f t="shared" ca="1" si="3"/>
        <v>1.853</v>
      </c>
      <c r="R112" s="2">
        <f t="shared" ca="1" si="3"/>
        <v>1.8859999999999999</v>
      </c>
      <c r="S112" s="2">
        <f t="shared" ca="1" si="3"/>
        <v>1.97</v>
      </c>
      <c r="T112" s="2">
        <f t="shared" ca="1" si="3"/>
        <v>2.0910000000000002</v>
      </c>
      <c r="U112" s="2">
        <f t="shared" ca="1" si="3"/>
        <v>2.2440000000000002</v>
      </c>
      <c r="V112" s="2">
        <f t="shared" ca="1" si="3"/>
        <v>2.4209999999999998</v>
      </c>
      <c r="W112" s="2">
        <f t="shared" ca="1" si="3"/>
        <v>2.6880000000000002</v>
      </c>
      <c r="X112" s="2">
        <f t="shared" ca="1" si="3"/>
        <v>3.0089999999999999</v>
      </c>
      <c r="Y112" s="13">
        <f t="shared" ca="1" si="3"/>
        <v>3.2749999999999999</v>
      </c>
    </row>
    <row r="113" spans="2:6" x14ac:dyDescent="0.3">
      <c r="B113" s="6">
        <v>110</v>
      </c>
      <c r="C113" s="9">
        <v>1.004</v>
      </c>
      <c r="D113" s="9">
        <v>1.004</v>
      </c>
      <c r="E113" s="9">
        <v>1.0049999999999999</v>
      </c>
      <c r="F113" s="9">
        <v>1.008</v>
      </c>
    </row>
    <row r="114" spans="2:6" x14ac:dyDescent="0.3">
      <c r="B114" s="6">
        <v>111</v>
      </c>
      <c r="C114" s="9">
        <v>1.0369999999999999</v>
      </c>
      <c r="D114" s="9">
        <v>1.032</v>
      </c>
      <c r="E114" s="9">
        <v>1.0329999999999999</v>
      </c>
      <c r="F114" s="9">
        <v>1.0309999999999999</v>
      </c>
    </row>
    <row r="115" spans="2:6" x14ac:dyDescent="0.3">
      <c r="B115" s="6">
        <v>112</v>
      </c>
      <c r="C115" s="9">
        <v>1.1339999999999999</v>
      </c>
      <c r="D115" s="9">
        <v>1.1200000000000001</v>
      </c>
      <c r="E115" s="9">
        <v>1.121</v>
      </c>
      <c r="F115" s="9">
        <v>1.111</v>
      </c>
    </row>
    <row r="116" spans="2:6" x14ac:dyDescent="0.3">
      <c r="B116" s="6">
        <v>113</v>
      </c>
      <c r="C116" s="9">
        <v>1.278</v>
      </c>
      <c r="D116" s="9">
        <v>1.2430000000000001</v>
      </c>
      <c r="E116" s="9">
        <v>1.244</v>
      </c>
      <c r="F116" s="9">
        <v>1.2290000000000001</v>
      </c>
    </row>
    <row r="117" spans="2:6" x14ac:dyDescent="0.3">
      <c r="B117" s="6">
        <v>114</v>
      </c>
      <c r="C117" s="9">
        <v>1.49</v>
      </c>
      <c r="D117" s="9">
        <v>1.4179999999999999</v>
      </c>
      <c r="E117" s="9">
        <v>1.419</v>
      </c>
      <c r="F117" s="9">
        <v>1.399</v>
      </c>
    </row>
    <row r="118" spans="2:6" x14ac:dyDescent="0.3">
      <c r="B118" s="6">
        <v>115</v>
      </c>
      <c r="C118" s="9">
        <v>1.7709999999999999</v>
      </c>
      <c r="D118" s="9">
        <v>1.647</v>
      </c>
      <c r="E118" s="9">
        <v>1.647</v>
      </c>
      <c r="F118" s="9">
        <v>1.6220000000000001</v>
      </c>
    </row>
    <row r="119" spans="2:6" x14ac:dyDescent="0.3">
      <c r="B119" s="6">
        <v>116</v>
      </c>
      <c r="C119" s="9">
        <v>2.0859999999999999</v>
      </c>
      <c r="D119" s="9">
        <v>1.903</v>
      </c>
      <c r="E119" s="9">
        <v>1.9019999999999999</v>
      </c>
      <c r="F119" s="9">
        <v>1.869</v>
      </c>
    </row>
    <row r="120" spans="2:6" x14ac:dyDescent="0.3">
      <c r="B120" s="6">
        <v>117</v>
      </c>
      <c r="C120" s="9">
        <v>2.4289999999999998</v>
      </c>
      <c r="D120" s="9">
        <v>2.1920000000000002</v>
      </c>
      <c r="E120" s="9">
        <v>2.1909999999999998</v>
      </c>
      <c r="F120" s="9">
        <v>2.1459999999999999</v>
      </c>
    </row>
    <row r="121" spans="2:6" x14ac:dyDescent="0.3">
      <c r="B121" s="6">
        <v>118</v>
      </c>
      <c r="C121" s="9">
        <v>2.7810000000000001</v>
      </c>
      <c r="D121" s="9">
        <v>2.5049999999999999</v>
      </c>
      <c r="E121" s="9">
        <v>2.5019999999999998</v>
      </c>
      <c r="F121" s="9">
        <v>2.4409999999999998</v>
      </c>
    </row>
    <row r="122" spans="2:6" x14ac:dyDescent="0.3">
      <c r="B122" s="6">
        <v>119</v>
      </c>
      <c r="C122" s="9">
        <v>2.8460000000000001</v>
      </c>
      <c r="D122" s="9">
        <v>2.5310000000000001</v>
      </c>
      <c r="E122" s="9">
        <v>2.5310000000000001</v>
      </c>
      <c r="F122" s="9">
        <v>2.4590000000000001</v>
      </c>
    </row>
    <row r="123" spans="2:6" x14ac:dyDescent="0.3">
      <c r="B123" s="6">
        <v>120</v>
      </c>
      <c r="C123" s="9">
        <v>2.4609999999999999</v>
      </c>
      <c r="D123" s="9">
        <v>2.2000000000000002</v>
      </c>
      <c r="E123" s="9">
        <v>2.2000000000000002</v>
      </c>
      <c r="F123" s="9">
        <v>2.141</v>
      </c>
    </row>
    <row r="124" spans="2:6" x14ac:dyDescent="0.3">
      <c r="B124" s="6">
        <v>121</v>
      </c>
      <c r="C124" s="9">
        <v>2.105</v>
      </c>
      <c r="D124" s="9">
        <v>1.907</v>
      </c>
      <c r="E124" s="9">
        <v>1.9079999999999999</v>
      </c>
      <c r="F124" s="9">
        <v>1.859</v>
      </c>
    </row>
    <row r="125" spans="2:6" x14ac:dyDescent="0.3">
      <c r="B125" s="6">
        <v>122</v>
      </c>
      <c r="C125" s="9">
        <v>1.79</v>
      </c>
      <c r="D125" s="9">
        <v>1.651</v>
      </c>
      <c r="E125" s="9">
        <v>1.653</v>
      </c>
      <c r="F125" s="9">
        <v>1.613</v>
      </c>
    </row>
    <row r="126" spans="2:6" x14ac:dyDescent="0.3">
      <c r="B126" s="6">
        <v>123</v>
      </c>
      <c r="C126" s="9">
        <v>1.5109999999999999</v>
      </c>
      <c r="D126" s="9">
        <v>1.4259999999999999</v>
      </c>
      <c r="E126" s="9">
        <v>1.4279999999999999</v>
      </c>
      <c r="F126" s="9">
        <v>1.395</v>
      </c>
    </row>
    <row r="127" spans="2:6" x14ac:dyDescent="0.3">
      <c r="B127" s="6">
        <v>124</v>
      </c>
      <c r="C127" s="9">
        <v>1.298</v>
      </c>
      <c r="D127" s="9">
        <v>1.2509999999999999</v>
      </c>
      <c r="E127" s="9">
        <v>1.252</v>
      </c>
      <c r="F127" s="9">
        <v>1.2270000000000001</v>
      </c>
    </row>
    <row r="128" spans="2:6" x14ac:dyDescent="0.3">
      <c r="B128" s="6">
        <v>125</v>
      </c>
      <c r="C128" s="9">
        <v>1.1519999999999999</v>
      </c>
      <c r="D128" s="9">
        <v>1.127</v>
      </c>
      <c r="E128" s="9">
        <v>1.1279999999999999</v>
      </c>
      <c r="F128" s="9">
        <v>1.1120000000000001</v>
      </c>
    </row>
    <row r="129" spans="2:6" x14ac:dyDescent="0.3">
      <c r="B129" s="6">
        <v>126</v>
      </c>
      <c r="C129" s="9">
        <v>1.0580000000000001</v>
      </c>
      <c r="D129" s="9">
        <v>1.0469999999999999</v>
      </c>
      <c r="E129" s="9">
        <v>1.0469999999999999</v>
      </c>
      <c r="F129" s="9">
        <v>1.04</v>
      </c>
    </row>
    <row r="130" spans="2:6" x14ac:dyDescent="0.3">
      <c r="B130" s="6">
        <v>127</v>
      </c>
      <c r="C130" s="9">
        <v>1.0289999999999999</v>
      </c>
      <c r="D130" s="9">
        <v>1.024</v>
      </c>
      <c r="E130" s="9">
        <v>1.0229999999999999</v>
      </c>
      <c r="F130" s="9">
        <v>1.022</v>
      </c>
    </row>
    <row r="131" spans="2:6" x14ac:dyDescent="0.3">
      <c r="B131" s="6">
        <v>128</v>
      </c>
      <c r="C131" s="9">
        <v>1.0660000000000001</v>
      </c>
      <c r="D131" s="9">
        <v>1.0569999999999999</v>
      </c>
      <c r="E131" s="9">
        <v>1.056</v>
      </c>
      <c r="F131" s="9">
        <v>1.052</v>
      </c>
    </row>
    <row r="132" spans="2:6" x14ac:dyDescent="0.3">
      <c r="B132" s="6">
        <v>129</v>
      </c>
      <c r="C132" s="9">
        <v>1.1639999999999999</v>
      </c>
      <c r="D132" s="9">
        <v>1.1439999999999999</v>
      </c>
      <c r="E132" s="9">
        <v>1.1439999999999999</v>
      </c>
      <c r="F132" s="9">
        <v>1.131</v>
      </c>
    </row>
    <row r="133" spans="2:6" x14ac:dyDescent="0.3">
      <c r="B133" s="6">
        <v>130</v>
      </c>
      <c r="C133" s="9">
        <v>1.3089999999999999</v>
      </c>
      <c r="D133" s="9">
        <v>1.2689999999999999</v>
      </c>
      <c r="E133" s="9">
        <v>1.2689999999999999</v>
      </c>
      <c r="F133" s="9">
        <v>1.25</v>
      </c>
    </row>
    <row r="134" spans="2:6" x14ac:dyDescent="0.3">
      <c r="B134" s="6">
        <v>131</v>
      </c>
      <c r="C134" s="9">
        <v>1.5229999999999999</v>
      </c>
      <c r="D134" s="9">
        <v>1.4470000000000001</v>
      </c>
      <c r="E134" s="9">
        <v>1.4470000000000001</v>
      </c>
      <c r="F134" s="9">
        <v>1.4239999999999999</v>
      </c>
    </row>
    <row r="135" spans="2:6" x14ac:dyDescent="0.3">
      <c r="B135" s="6">
        <v>132</v>
      </c>
      <c r="C135" s="9">
        <v>1.8009999999999999</v>
      </c>
      <c r="D135" s="9">
        <v>1.6739999999999999</v>
      </c>
      <c r="E135" s="9">
        <v>1.6739999999999999</v>
      </c>
      <c r="F135" s="9">
        <v>1.645</v>
      </c>
    </row>
    <row r="136" spans="2:6" x14ac:dyDescent="0.3">
      <c r="B136" s="6">
        <v>133</v>
      </c>
      <c r="C136" s="9">
        <v>2.1120000000000001</v>
      </c>
      <c r="D136" s="9">
        <v>1.9279999999999999</v>
      </c>
      <c r="E136" s="9">
        <v>1.9259999999999999</v>
      </c>
      <c r="F136" s="9">
        <v>1.8919999999999999</v>
      </c>
    </row>
    <row r="137" spans="2:6" x14ac:dyDescent="0.3">
      <c r="B137" s="6">
        <v>134</v>
      </c>
      <c r="C137" s="9">
        <v>2.448</v>
      </c>
      <c r="D137" s="9">
        <v>2.2109999999999999</v>
      </c>
      <c r="E137" s="9">
        <v>2.2090000000000001</v>
      </c>
      <c r="F137" s="9">
        <v>2.1640000000000001</v>
      </c>
    </row>
    <row r="138" spans="2:6" x14ac:dyDescent="0.3">
      <c r="B138" s="6">
        <v>135</v>
      </c>
      <c r="C138" s="9">
        <v>2.7919999999999998</v>
      </c>
      <c r="D138" s="9">
        <v>2.52</v>
      </c>
      <c r="E138" s="9">
        <v>2.5169999999999999</v>
      </c>
      <c r="F138" s="9">
        <v>2.4500000000000002</v>
      </c>
    </row>
    <row r="139" spans="2:6" x14ac:dyDescent="0.3">
      <c r="B139" s="6">
        <v>136</v>
      </c>
      <c r="C139" s="9">
        <v>2.931</v>
      </c>
      <c r="D139" s="9">
        <v>2.609</v>
      </c>
      <c r="E139" s="9">
        <v>2.6080000000000001</v>
      </c>
      <c r="F139" s="9">
        <v>2.5350000000000001</v>
      </c>
    </row>
    <row r="140" spans="2:6" x14ac:dyDescent="0.3">
      <c r="B140" s="6">
        <v>137</v>
      </c>
      <c r="C140" s="9">
        <v>2.5470000000000002</v>
      </c>
      <c r="D140" s="9">
        <v>2.278</v>
      </c>
      <c r="E140" s="9">
        <v>2.278</v>
      </c>
      <c r="F140" s="9">
        <v>2.2170000000000001</v>
      </c>
    </row>
    <row r="141" spans="2:6" x14ac:dyDescent="0.3">
      <c r="B141" s="6">
        <v>138</v>
      </c>
      <c r="C141" s="9">
        <v>2.2029999999999998</v>
      </c>
      <c r="D141" s="9">
        <v>1.99</v>
      </c>
      <c r="E141" s="9">
        <v>1.9910000000000001</v>
      </c>
      <c r="F141" s="9">
        <v>1.94</v>
      </c>
    </row>
    <row r="142" spans="2:6" x14ac:dyDescent="0.3">
      <c r="B142" s="6">
        <v>139</v>
      </c>
      <c r="C142" s="9">
        <v>1.891</v>
      </c>
      <c r="D142" s="9">
        <v>1.736</v>
      </c>
      <c r="E142" s="9">
        <v>1.736</v>
      </c>
      <c r="F142" s="9">
        <v>1.6910000000000001</v>
      </c>
    </row>
    <row r="143" spans="2:6" x14ac:dyDescent="0.3">
      <c r="B143" s="6">
        <v>140</v>
      </c>
      <c r="C143" s="9">
        <v>1.615</v>
      </c>
      <c r="D143" s="9">
        <v>1.512</v>
      </c>
      <c r="E143" s="9">
        <v>1.5129999999999999</v>
      </c>
      <c r="F143" s="9">
        <v>1.472</v>
      </c>
    </row>
    <row r="144" spans="2:6" x14ac:dyDescent="0.3">
      <c r="B144" s="6">
        <v>141</v>
      </c>
      <c r="C144" s="9">
        <v>1.3939999999999999</v>
      </c>
      <c r="D144" s="9">
        <v>1.33</v>
      </c>
      <c r="E144" s="9">
        <v>1.33</v>
      </c>
      <c r="F144" s="9">
        <v>1.2949999999999999</v>
      </c>
    </row>
    <row r="145" spans="2:6" x14ac:dyDescent="0.3">
      <c r="B145" s="6">
        <v>142</v>
      </c>
      <c r="C145" s="9">
        <v>1.244</v>
      </c>
      <c r="D145" s="9">
        <v>1.206</v>
      </c>
      <c r="E145" s="9">
        <v>1.206</v>
      </c>
      <c r="F145" s="9">
        <v>1.18</v>
      </c>
    </row>
    <row r="146" spans="2:6" x14ac:dyDescent="0.3">
      <c r="B146" s="6">
        <v>143</v>
      </c>
      <c r="C146" s="9">
        <v>1.153</v>
      </c>
      <c r="D146" s="9">
        <v>1.1299999999999999</v>
      </c>
      <c r="E146" s="9">
        <v>1.129</v>
      </c>
      <c r="F146" s="9">
        <v>1.113</v>
      </c>
    </row>
    <row r="147" spans="2:6" x14ac:dyDescent="0.3">
      <c r="B147" s="6">
        <v>144</v>
      </c>
      <c r="C147" s="9">
        <v>1.1220000000000001</v>
      </c>
      <c r="D147" s="9">
        <v>1.107</v>
      </c>
      <c r="E147" s="9">
        <v>1.105</v>
      </c>
      <c r="F147" s="9">
        <v>1.0940000000000001</v>
      </c>
    </row>
    <row r="148" spans="2:6" x14ac:dyDescent="0.3">
      <c r="B148" s="6">
        <v>145</v>
      </c>
      <c r="C148" s="9">
        <v>1.1559999999999999</v>
      </c>
      <c r="D148" s="9">
        <v>1.135</v>
      </c>
      <c r="E148" s="9">
        <v>1.1339999999999999</v>
      </c>
      <c r="F148" s="9">
        <v>1.119</v>
      </c>
    </row>
    <row r="149" spans="2:6" x14ac:dyDescent="0.3">
      <c r="B149" s="6">
        <v>146</v>
      </c>
      <c r="C149" s="9">
        <v>1.2490000000000001</v>
      </c>
      <c r="D149" s="9">
        <v>1.214</v>
      </c>
      <c r="E149" s="9">
        <v>1.2130000000000001</v>
      </c>
      <c r="F149" s="9">
        <v>1.1910000000000001</v>
      </c>
    </row>
    <row r="150" spans="2:6" x14ac:dyDescent="0.3">
      <c r="B150" s="6">
        <v>147</v>
      </c>
      <c r="C150" s="9">
        <v>1.4</v>
      </c>
      <c r="D150" s="9">
        <v>1.343</v>
      </c>
      <c r="E150" s="9">
        <v>1.3420000000000001</v>
      </c>
      <c r="F150" s="9">
        <v>1.3140000000000001</v>
      </c>
    </row>
    <row r="151" spans="2:6" x14ac:dyDescent="0.3">
      <c r="B151" s="6">
        <v>148</v>
      </c>
      <c r="C151" s="9">
        <v>1.6240000000000001</v>
      </c>
      <c r="D151" s="9">
        <v>1.53</v>
      </c>
      <c r="E151" s="9">
        <v>1.5289999999999999</v>
      </c>
      <c r="F151" s="9">
        <v>1.498</v>
      </c>
    </row>
    <row r="152" spans="2:6" x14ac:dyDescent="0.3">
      <c r="B152" s="6">
        <v>149</v>
      </c>
      <c r="C152" s="9">
        <v>1.901</v>
      </c>
      <c r="D152" s="9">
        <v>1.756</v>
      </c>
      <c r="E152" s="9">
        <v>1.754</v>
      </c>
      <c r="F152" s="9">
        <v>1.7230000000000001</v>
      </c>
    </row>
    <row r="153" spans="2:6" x14ac:dyDescent="0.3">
      <c r="B153" s="6">
        <v>150</v>
      </c>
      <c r="C153" s="9">
        <v>2.2080000000000002</v>
      </c>
      <c r="D153" s="9">
        <v>2.008</v>
      </c>
      <c r="E153" s="9">
        <v>2.0059999999999998</v>
      </c>
      <c r="F153" s="9">
        <v>1.9710000000000001</v>
      </c>
    </row>
    <row r="154" spans="2:6" x14ac:dyDescent="0.3">
      <c r="B154" s="6">
        <v>151</v>
      </c>
      <c r="C154" s="9">
        <v>2.5369999999999999</v>
      </c>
      <c r="D154" s="9">
        <v>2.2909999999999999</v>
      </c>
      <c r="E154" s="9">
        <v>2.2879999999999998</v>
      </c>
      <c r="F154" s="9">
        <v>2.2400000000000002</v>
      </c>
    </row>
    <row r="155" spans="2:6" x14ac:dyDescent="0.3">
      <c r="B155" s="6">
        <v>152</v>
      </c>
      <c r="C155" s="9">
        <v>2.8879999999999999</v>
      </c>
      <c r="D155" s="9">
        <v>2.613</v>
      </c>
      <c r="E155" s="9">
        <v>2.609</v>
      </c>
      <c r="F155" s="9">
        <v>2.536</v>
      </c>
    </row>
    <row r="156" spans="2:6" x14ac:dyDescent="0.3">
      <c r="B156" s="6">
        <v>153</v>
      </c>
      <c r="C156" s="9">
        <v>3.0790000000000002</v>
      </c>
      <c r="D156" s="9">
        <v>2.7509999999999999</v>
      </c>
      <c r="E156" s="9">
        <v>2.75</v>
      </c>
      <c r="F156" s="9">
        <v>2.6619999999999999</v>
      </c>
    </row>
    <row r="157" spans="2:6" x14ac:dyDescent="0.3">
      <c r="B157" s="6">
        <v>154</v>
      </c>
      <c r="C157" s="9">
        <v>2.669</v>
      </c>
      <c r="D157" s="9">
        <v>2.387</v>
      </c>
      <c r="E157" s="9">
        <v>2.3849999999999998</v>
      </c>
      <c r="F157" s="9">
        <v>2.3149999999999999</v>
      </c>
    </row>
    <row r="158" spans="2:6" x14ac:dyDescent="0.3">
      <c r="B158" s="6">
        <v>155</v>
      </c>
      <c r="C158" s="9">
        <v>2.3330000000000002</v>
      </c>
      <c r="D158" s="9">
        <v>2.1019999999999999</v>
      </c>
      <c r="E158" s="9">
        <v>2.101</v>
      </c>
      <c r="F158" s="9">
        <v>2.0430000000000001</v>
      </c>
    </row>
    <row r="159" spans="2:6" x14ac:dyDescent="0.3">
      <c r="B159" s="6">
        <v>156</v>
      </c>
      <c r="C159" s="9">
        <v>2.0369999999999999</v>
      </c>
      <c r="D159" s="9">
        <v>1.857</v>
      </c>
      <c r="E159" s="9">
        <v>1.857</v>
      </c>
      <c r="F159" s="9">
        <v>1.8029999999999999</v>
      </c>
    </row>
    <row r="160" spans="2:6" x14ac:dyDescent="0.3">
      <c r="B160" s="6">
        <v>157</v>
      </c>
      <c r="C160" s="9">
        <v>1.774</v>
      </c>
      <c r="D160" s="9">
        <v>1.645</v>
      </c>
      <c r="E160" s="9">
        <v>1.6439999999999999</v>
      </c>
      <c r="F160" s="9">
        <v>1.5960000000000001</v>
      </c>
    </row>
    <row r="161" spans="2:6" x14ac:dyDescent="0.3">
      <c r="B161" s="6">
        <v>158</v>
      </c>
      <c r="C161" s="9">
        <v>1.554</v>
      </c>
      <c r="D161" s="9">
        <v>1.464</v>
      </c>
      <c r="E161" s="9">
        <v>1.464</v>
      </c>
      <c r="F161" s="9">
        <v>1.4219999999999999</v>
      </c>
    </row>
    <row r="162" spans="2:6" x14ac:dyDescent="0.3">
      <c r="B162" s="6">
        <v>159</v>
      </c>
      <c r="C162" s="9">
        <v>1.3919999999999999</v>
      </c>
      <c r="D162" s="9">
        <v>1.331</v>
      </c>
      <c r="E162" s="9">
        <v>1.331</v>
      </c>
      <c r="F162" s="9">
        <v>1.2949999999999999</v>
      </c>
    </row>
    <row r="163" spans="2:6" x14ac:dyDescent="0.3">
      <c r="B163" s="6">
        <v>160</v>
      </c>
      <c r="C163" s="9">
        <v>1.296</v>
      </c>
      <c r="D163" s="9">
        <v>1.2549999999999999</v>
      </c>
      <c r="E163" s="9">
        <v>1.254</v>
      </c>
      <c r="F163" s="9">
        <v>1.228</v>
      </c>
    </row>
    <row r="164" spans="2:6" x14ac:dyDescent="0.3">
      <c r="B164" s="6">
        <v>161</v>
      </c>
      <c r="C164" s="9">
        <v>1.264</v>
      </c>
      <c r="D164" s="9">
        <v>1.23</v>
      </c>
      <c r="E164" s="9">
        <v>1.228</v>
      </c>
      <c r="F164" s="9">
        <v>1.2070000000000001</v>
      </c>
    </row>
    <row r="165" spans="2:6" x14ac:dyDescent="0.3">
      <c r="B165" s="6">
        <v>162</v>
      </c>
      <c r="C165" s="9">
        <v>1.2949999999999999</v>
      </c>
      <c r="D165" s="9">
        <v>1.2549999999999999</v>
      </c>
      <c r="E165" s="9">
        <v>1.2529999999999999</v>
      </c>
      <c r="F165" s="9">
        <v>1.228</v>
      </c>
    </row>
    <row r="166" spans="2:6" x14ac:dyDescent="0.3">
      <c r="B166" s="6">
        <v>163</v>
      </c>
      <c r="C166" s="9">
        <v>1.3879999999999999</v>
      </c>
      <c r="D166" s="9">
        <v>1.333</v>
      </c>
      <c r="E166" s="9">
        <v>1.331</v>
      </c>
      <c r="F166" s="9">
        <v>1.2989999999999999</v>
      </c>
    </row>
    <row r="167" spans="2:6" x14ac:dyDescent="0.3">
      <c r="B167" s="6">
        <v>164</v>
      </c>
      <c r="C167" s="9">
        <v>1.548</v>
      </c>
      <c r="D167" s="9">
        <v>1.4650000000000001</v>
      </c>
      <c r="E167" s="9">
        <v>1.4630000000000001</v>
      </c>
      <c r="F167" s="9">
        <v>1.427</v>
      </c>
    </row>
    <row r="168" spans="2:6" x14ac:dyDescent="0.3">
      <c r="B168" s="6">
        <v>165</v>
      </c>
      <c r="C168" s="9">
        <v>1.7689999999999999</v>
      </c>
      <c r="D168" s="9">
        <v>1.649</v>
      </c>
      <c r="E168" s="9">
        <v>1.647</v>
      </c>
      <c r="F168" s="9">
        <v>1.6060000000000001</v>
      </c>
    </row>
    <row r="169" spans="2:6" x14ac:dyDescent="0.3">
      <c r="B169" s="6">
        <v>166</v>
      </c>
      <c r="C169" s="9">
        <v>2.0369999999999999</v>
      </c>
      <c r="D169" s="9">
        <v>1.869</v>
      </c>
      <c r="E169" s="9">
        <v>1.8660000000000001</v>
      </c>
      <c r="F169" s="9">
        <v>1.827</v>
      </c>
    </row>
    <row r="170" spans="2:6" x14ac:dyDescent="0.3">
      <c r="B170" s="6">
        <v>167</v>
      </c>
      <c r="C170" s="9">
        <v>2.339</v>
      </c>
      <c r="D170" s="9">
        <v>2.121</v>
      </c>
      <c r="E170" s="9">
        <v>2.117</v>
      </c>
      <c r="F170" s="9">
        <v>2.0750000000000002</v>
      </c>
    </row>
    <row r="171" spans="2:6" x14ac:dyDescent="0.3">
      <c r="B171" s="6">
        <v>168</v>
      </c>
      <c r="C171" s="9">
        <v>2.6680000000000001</v>
      </c>
      <c r="D171" s="9">
        <v>2.4079999999999999</v>
      </c>
      <c r="E171" s="9">
        <v>2.4039999999999999</v>
      </c>
      <c r="F171" s="9">
        <v>2.347</v>
      </c>
    </row>
    <row r="172" spans="2:6" x14ac:dyDescent="0.3">
      <c r="B172" s="6">
        <v>169</v>
      </c>
      <c r="C172" s="9">
        <v>3.0619999999999998</v>
      </c>
      <c r="D172" s="9">
        <v>2.7749999999999999</v>
      </c>
      <c r="E172" s="9">
        <v>2.7679999999999998</v>
      </c>
      <c r="F172" s="9">
        <v>2.6920000000000002</v>
      </c>
    </row>
    <row r="173" spans="2:6" x14ac:dyDescent="0.3">
      <c r="B173" s="6">
        <v>170</v>
      </c>
      <c r="C173" s="9">
        <v>3.351</v>
      </c>
      <c r="D173" s="9">
        <v>2.9980000000000002</v>
      </c>
      <c r="E173" s="9">
        <v>2.9950000000000001</v>
      </c>
      <c r="F173" s="9">
        <v>2.8940000000000001</v>
      </c>
    </row>
    <row r="174" spans="2:6" x14ac:dyDescent="0.3">
      <c r="B174" s="6">
        <v>171</v>
      </c>
      <c r="C174" s="9">
        <v>2.8639999999999999</v>
      </c>
      <c r="D174" s="9">
        <v>2.5649999999999999</v>
      </c>
      <c r="E174" s="9">
        <v>2.5630000000000002</v>
      </c>
      <c r="F174" s="9">
        <v>2.4809999999999999</v>
      </c>
    </row>
    <row r="175" spans="2:6" x14ac:dyDescent="0.3">
      <c r="B175" s="6">
        <v>172</v>
      </c>
      <c r="C175" s="9">
        <v>2.512</v>
      </c>
      <c r="D175" s="9">
        <v>2.258</v>
      </c>
      <c r="E175" s="9">
        <v>2.2570000000000001</v>
      </c>
      <c r="F175" s="9">
        <v>2.1869999999999998</v>
      </c>
    </row>
    <row r="176" spans="2:6" x14ac:dyDescent="0.3">
      <c r="B176" s="6">
        <v>173</v>
      </c>
      <c r="C176" s="9">
        <v>2.2290000000000001</v>
      </c>
      <c r="D176" s="9">
        <v>2.0179999999999998</v>
      </c>
      <c r="E176" s="9">
        <v>2.0169999999999999</v>
      </c>
      <c r="F176" s="9">
        <v>1.954</v>
      </c>
    </row>
    <row r="177" spans="2:6" x14ac:dyDescent="0.3">
      <c r="B177" s="6">
        <v>174</v>
      </c>
      <c r="C177" s="9">
        <v>1.9770000000000001</v>
      </c>
      <c r="D177" s="9">
        <v>1.8120000000000001</v>
      </c>
      <c r="E177" s="9">
        <v>1.8109999999999999</v>
      </c>
      <c r="F177" s="9">
        <v>1.754</v>
      </c>
    </row>
    <row r="178" spans="2:6" x14ac:dyDescent="0.3">
      <c r="B178" s="6">
        <v>175</v>
      </c>
      <c r="C178" s="9">
        <v>1.7709999999999999</v>
      </c>
      <c r="D178" s="9">
        <v>1.645</v>
      </c>
      <c r="E178" s="9">
        <v>1.6439999999999999</v>
      </c>
      <c r="F178" s="9">
        <v>1.5940000000000001</v>
      </c>
    </row>
    <row r="179" spans="2:6" x14ac:dyDescent="0.3">
      <c r="B179" s="6">
        <v>176</v>
      </c>
      <c r="C179" s="9">
        <v>1.611</v>
      </c>
      <c r="D179" s="9">
        <v>1.5169999999999999</v>
      </c>
      <c r="E179" s="9">
        <v>1.5149999999999999</v>
      </c>
      <c r="F179" s="9">
        <v>1.474</v>
      </c>
    </row>
    <row r="180" spans="2:6" x14ac:dyDescent="0.3">
      <c r="B180" s="6">
        <v>177</v>
      </c>
      <c r="C180" s="9">
        <v>1.5109999999999999</v>
      </c>
      <c r="D180" s="9">
        <v>1.4370000000000001</v>
      </c>
      <c r="E180" s="9">
        <v>1.4339999999999999</v>
      </c>
      <c r="F180" s="9">
        <v>1.4</v>
      </c>
    </row>
    <row r="181" spans="2:6" x14ac:dyDescent="0.3">
      <c r="B181" s="6">
        <v>178</v>
      </c>
      <c r="C181" s="9">
        <v>1.4770000000000001</v>
      </c>
      <c r="D181" s="9">
        <v>1.409</v>
      </c>
      <c r="E181" s="9">
        <v>1.4059999999999999</v>
      </c>
      <c r="F181" s="9">
        <v>1.3779999999999999</v>
      </c>
    </row>
    <row r="182" spans="2:6" x14ac:dyDescent="0.3">
      <c r="B182" s="6">
        <v>179</v>
      </c>
      <c r="C182" s="9">
        <v>1.508</v>
      </c>
      <c r="D182" s="9">
        <v>1.4359999999999999</v>
      </c>
      <c r="E182" s="9">
        <v>1.4330000000000001</v>
      </c>
      <c r="F182" s="9">
        <v>1.401</v>
      </c>
    </row>
    <row r="183" spans="2:6" x14ac:dyDescent="0.3">
      <c r="B183" s="6">
        <v>180</v>
      </c>
      <c r="C183" s="9">
        <v>1.6080000000000001</v>
      </c>
      <c r="D183" s="9">
        <v>1.518</v>
      </c>
      <c r="E183" s="9">
        <v>1.516</v>
      </c>
      <c r="F183" s="9">
        <v>1.476</v>
      </c>
    </row>
    <row r="184" spans="2:6" x14ac:dyDescent="0.3">
      <c r="B184" s="6">
        <v>181</v>
      </c>
      <c r="C184" s="9">
        <v>1.766</v>
      </c>
      <c r="D184" s="9">
        <v>1.649</v>
      </c>
      <c r="E184" s="9">
        <v>1.647</v>
      </c>
      <c r="F184" s="9">
        <v>1.6020000000000001</v>
      </c>
    </row>
    <row r="185" spans="2:6" x14ac:dyDescent="0.3">
      <c r="B185" s="6">
        <v>182</v>
      </c>
      <c r="C185" s="9">
        <v>1.9710000000000001</v>
      </c>
      <c r="D185" s="9">
        <v>1.8180000000000001</v>
      </c>
      <c r="E185" s="9">
        <v>1.8149999999999999</v>
      </c>
      <c r="F185" s="9">
        <v>1.77</v>
      </c>
    </row>
    <row r="186" spans="2:6" x14ac:dyDescent="0.3">
      <c r="B186" s="6">
        <v>183</v>
      </c>
      <c r="C186" s="9">
        <v>2.2269999999999999</v>
      </c>
      <c r="D186" s="9">
        <v>2.0289999999999999</v>
      </c>
      <c r="E186" s="9">
        <v>2.0249999999999999</v>
      </c>
      <c r="F186" s="9">
        <v>1.9790000000000001</v>
      </c>
    </row>
    <row r="187" spans="2:6" x14ac:dyDescent="0.3">
      <c r="B187" s="6">
        <v>184</v>
      </c>
      <c r="C187" s="9">
        <v>2.5089999999999999</v>
      </c>
      <c r="D187" s="9">
        <v>2.2709999999999999</v>
      </c>
      <c r="E187" s="9">
        <v>2.2669999999999999</v>
      </c>
      <c r="F187" s="9">
        <v>2.2120000000000002</v>
      </c>
    </row>
    <row r="188" spans="2:6" x14ac:dyDescent="0.3">
      <c r="B188" s="6">
        <v>185</v>
      </c>
      <c r="C188" s="9">
        <v>2.8559999999999999</v>
      </c>
      <c r="D188" s="9">
        <v>2.5819999999999999</v>
      </c>
      <c r="E188" s="9">
        <v>2.577</v>
      </c>
      <c r="F188" s="9">
        <v>2.5070000000000001</v>
      </c>
    </row>
    <row r="189" spans="2:6" x14ac:dyDescent="0.3">
      <c r="B189" s="6">
        <v>186</v>
      </c>
      <c r="C189" s="9">
        <v>3.3140000000000001</v>
      </c>
      <c r="D189" s="9">
        <v>3.0129999999999999</v>
      </c>
      <c r="E189" s="9">
        <v>3.0059999999999998</v>
      </c>
      <c r="F189" s="9">
        <v>2.9060000000000001</v>
      </c>
    </row>
    <row r="190" spans="2:6" x14ac:dyDescent="0.3">
      <c r="B190" s="6">
        <v>187</v>
      </c>
      <c r="C190" s="9">
        <v>3.6539999999999999</v>
      </c>
      <c r="D190" s="9">
        <v>3.2879999999999998</v>
      </c>
      <c r="E190" s="9">
        <v>3.2850000000000001</v>
      </c>
      <c r="F190" s="9">
        <v>3.1589999999999998</v>
      </c>
    </row>
    <row r="191" spans="2:6" x14ac:dyDescent="0.3">
      <c r="B191" s="6">
        <v>188</v>
      </c>
      <c r="C191" s="9">
        <v>3.157</v>
      </c>
      <c r="D191" s="9">
        <v>2.8330000000000002</v>
      </c>
      <c r="E191" s="9">
        <v>2.83</v>
      </c>
      <c r="F191" s="9">
        <v>2.7320000000000002</v>
      </c>
    </row>
    <row r="192" spans="2:6" x14ac:dyDescent="0.3">
      <c r="B192" s="6">
        <v>189</v>
      </c>
      <c r="C192" s="9">
        <v>2.746</v>
      </c>
      <c r="D192" s="9">
        <v>2.4700000000000002</v>
      </c>
      <c r="E192" s="9">
        <v>2.468</v>
      </c>
      <c r="F192" s="9">
        <v>2.3879999999999999</v>
      </c>
    </row>
    <row r="193" spans="2:6" x14ac:dyDescent="0.3">
      <c r="B193" s="6">
        <v>190</v>
      </c>
      <c r="C193" s="9">
        <v>2.468</v>
      </c>
      <c r="D193" s="9">
        <v>2.226</v>
      </c>
      <c r="E193" s="9">
        <v>2.2240000000000002</v>
      </c>
      <c r="F193" s="9">
        <v>2.1520000000000001</v>
      </c>
    </row>
    <row r="194" spans="2:6" x14ac:dyDescent="0.3">
      <c r="B194" s="6">
        <v>191</v>
      </c>
      <c r="C194" s="9">
        <v>2.2280000000000002</v>
      </c>
      <c r="D194" s="9">
        <v>2.024</v>
      </c>
      <c r="E194" s="9">
        <v>2.0230000000000001</v>
      </c>
      <c r="F194" s="9">
        <v>1.956</v>
      </c>
    </row>
    <row r="195" spans="2:6" x14ac:dyDescent="0.3">
      <c r="B195" s="6">
        <v>192</v>
      </c>
      <c r="C195" s="9">
        <v>2.0289999999999999</v>
      </c>
      <c r="D195" s="9">
        <v>1.86</v>
      </c>
      <c r="E195" s="9">
        <v>1.8580000000000001</v>
      </c>
      <c r="F195" s="9">
        <v>1.798</v>
      </c>
    </row>
    <row r="196" spans="2:6" x14ac:dyDescent="0.3">
      <c r="B196" s="6">
        <v>193</v>
      </c>
      <c r="C196" s="9">
        <v>1.88</v>
      </c>
      <c r="D196" s="9">
        <v>1.74</v>
      </c>
      <c r="E196" s="9">
        <v>1.7390000000000001</v>
      </c>
      <c r="F196" s="9">
        <v>1.6859999999999999</v>
      </c>
    </row>
    <row r="197" spans="2:6" x14ac:dyDescent="0.3">
      <c r="B197" s="6">
        <v>194</v>
      </c>
      <c r="C197" s="9">
        <v>1.7889999999999999</v>
      </c>
      <c r="D197" s="9">
        <v>1.667</v>
      </c>
      <c r="E197" s="9">
        <v>1.665</v>
      </c>
      <c r="F197" s="9">
        <v>1.621</v>
      </c>
    </row>
    <row r="198" spans="2:6" x14ac:dyDescent="0.3">
      <c r="B198" s="6">
        <v>195</v>
      </c>
      <c r="C198" s="9">
        <v>1.762</v>
      </c>
      <c r="D198" s="9">
        <v>1.6459999999999999</v>
      </c>
      <c r="E198" s="9">
        <v>1.643</v>
      </c>
      <c r="F198" s="9">
        <v>1.603</v>
      </c>
    </row>
    <row r="199" spans="2:6" x14ac:dyDescent="0.3">
      <c r="B199" s="6">
        <v>196</v>
      </c>
      <c r="C199" s="9">
        <v>1.7949999999999999</v>
      </c>
      <c r="D199" s="9">
        <v>1.6739999999999999</v>
      </c>
      <c r="E199" s="9">
        <v>1.671</v>
      </c>
      <c r="F199" s="9">
        <v>1.629</v>
      </c>
    </row>
    <row r="200" spans="2:6" x14ac:dyDescent="0.3">
      <c r="B200" s="6">
        <v>197</v>
      </c>
      <c r="C200" s="9">
        <v>1.89</v>
      </c>
      <c r="D200" s="9">
        <v>1.7549999999999999</v>
      </c>
      <c r="E200" s="9">
        <v>1.752</v>
      </c>
      <c r="F200" s="9">
        <v>1.7050000000000001</v>
      </c>
    </row>
    <row r="201" spans="2:6" x14ac:dyDescent="0.3">
      <c r="B201" s="6">
        <v>198</v>
      </c>
      <c r="C201" s="9">
        <v>2.0369999999999999</v>
      </c>
      <c r="D201" s="9">
        <v>1.875</v>
      </c>
      <c r="E201" s="9">
        <v>1.873</v>
      </c>
      <c r="F201" s="9">
        <v>1.821</v>
      </c>
    </row>
    <row r="202" spans="2:6" x14ac:dyDescent="0.3">
      <c r="B202" s="6">
        <v>199</v>
      </c>
      <c r="C202" s="9">
        <v>2.2320000000000002</v>
      </c>
      <c r="D202" s="9">
        <v>2.0369999999999999</v>
      </c>
      <c r="E202" s="9">
        <v>2.0339999999999998</v>
      </c>
      <c r="F202" s="9">
        <v>1.9810000000000001</v>
      </c>
    </row>
    <row r="203" spans="2:6" x14ac:dyDescent="0.3">
      <c r="B203" s="6">
        <v>200</v>
      </c>
      <c r="C203" s="9">
        <v>2.464</v>
      </c>
      <c r="D203" s="9">
        <v>2.2349999999999999</v>
      </c>
      <c r="E203" s="9">
        <v>2.2309999999999999</v>
      </c>
      <c r="F203" s="9">
        <v>2.1720000000000002</v>
      </c>
    </row>
    <row r="204" spans="2:6" x14ac:dyDescent="0.3">
      <c r="B204" s="6">
        <v>201</v>
      </c>
      <c r="C204" s="9">
        <v>2.7360000000000002</v>
      </c>
      <c r="D204" s="9">
        <v>2.472</v>
      </c>
      <c r="E204" s="9">
        <v>2.4670000000000001</v>
      </c>
      <c r="F204" s="9">
        <v>2.4020000000000001</v>
      </c>
    </row>
    <row r="205" spans="2:6" x14ac:dyDescent="0.3">
      <c r="B205" s="6">
        <v>202</v>
      </c>
      <c r="C205" s="9">
        <v>3.129</v>
      </c>
      <c r="D205" s="9">
        <v>2.83</v>
      </c>
      <c r="E205" s="9">
        <v>2.8239999999999998</v>
      </c>
      <c r="F205" s="9">
        <v>2.734</v>
      </c>
    </row>
    <row r="206" spans="2:6" x14ac:dyDescent="0.3">
      <c r="B206" s="6">
        <v>203</v>
      </c>
      <c r="C206" s="9">
        <v>3.573</v>
      </c>
      <c r="D206" s="9">
        <v>3.2559999999999998</v>
      </c>
      <c r="E206" s="9">
        <v>3.2490000000000001</v>
      </c>
      <c r="F206" s="9">
        <v>3.1190000000000002</v>
      </c>
    </row>
    <row r="207" spans="2:6" x14ac:dyDescent="0.3">
      <c r="B207" s="6">
        <v>204</v>
      </c>
      <c r="C207" s="9">
        <v>3.8959999999999999</v>
      </c>
      <c r="D207" s="9">
        <v>3.5539999999999998</v>
      </c>
      <c r="E207" s="9">
        <v>3.55</v>
      </c>
      <c r="F207" s="9">
        <v>3.4</v>
      </c>
    </row>
    <row r="208" spans="2:6" x14ac:dyDescent="0.3">
      <c r="B208" s="6">
        <v>205</v>
      </c>
      <c r="C208" s="9">
        <v>3.508</v>
      </c>
      <c r="D208" s="9">
        <v>3.18</v>
      </c>
      <c r="E208" s="9">
        <v>3.1749999999999998</v>
      </c>
      <c r="F208" s="9">
        <v>3.0539999999999998</v>
      </c>
    </row>
    <row r="209" spans="1:89" x14ac:dyDescent="0.3">
      <c r="B209" s="6">
        <v>206</v>
      </c>
      <c r="C209" s="9">
        <v>3.077</v>
      </c>
      <c r="D209" s="9">
        <v>2.7869999999999999</v>
      </c>
      <c r="E209" s="9">
        <v>2.7839999999999998</v>
      </c>
      <c r="F209" s="9">
        <v>2.6869999999999998</v>
      </c>
    </row>
    <row r="210" spans="1:89" x14ac:dyDescent="0.3">
      <c r="B210" s="6">
        <v>207</v>
      </c>
      <c r="C210" s="9">
        <v>2.7480000000000002</v>
      </c>
      <c r="D210" s="9">
        <v>2.4889999999999999</v>
      </c>
      <c r="E210" s="9">
        <v>2.4870000000000001</v>
      </c>
      <c r="F210" s="9">
        <v>2.403</v>
      </c>
    </row>
    <row r="211" spans="1:89" x14ac:dyDescent="0.3">
      <c r="B211" s="6">
        <v>208</v>
      </c>
      <c r="C211" s="9">
        <v>2.5249999999999999</v>
      </c>
      <c r="D211" s="9">
        <v>2.2919999999999998</v>
      </c>
      <c r="E211" s="9">
        <v>2.2909999999999999</v>
      </c>
      <c r="F211" s="9">
        <v>2.2120000000000002</v>
      </c>
    </row>
    <row r="212" spans="1:89" x14ac:dyDescent="0.3">
      <c r="B212" s="6">
        <v>209</v>
      </c>
      <c r="C212" s="9">
        <v>2.3319999999999999</v>
      </c>
      <c r="D212" s="9">
        <v>2.1269999999999998</v>
      </c>
      <c r="E212" s="9">
        <v>2.125</v>
      </c>
      <c r="F212" s="9">
        <v>2.0510000000000002</v>
      </c>
    </row>
    <row r="213" spans="1:89" x14ac:dyDescent="0.3">
      <c r="B213" s="6">
        <v>210</v>
      </c>
      <c r="C213" s="9">
        <v>2.1850000000000001</v>
      </c>
      <c r="D213" s="9">
        <v>2.004</v>
      </c>
      <c r="E213" s="9">
        <v>2.0019999999999998</v>
      </c>
      <c r="F213" s="9">
        <v>1.9350000000000001</v>
      </c>
    </row>
    <row r="214" spans="1:89" x14ac:dyDescent="0.3">
      <c r="B214" s="6">
        <v>211</v>
      </c>
      <c r="C214" s="9">
        <v>2.101</v>
      </c>
      <c r="D214" s="9">
        <v>1.9330000000000001</v>
      </c>
      <c r="E214" s="9">
        <v>1.931</v>
      </c>
      <c r="F214" s="9">
        <v>1.869</v>
      </c>
    </row>
    <row r="215" spans="1:89" x14ac:dyDescent="0.3">
      <c r="B215" s="6">
        <v>212</v>
      </c>
      <c r="C215" s="9">
        <v>2.0790000000000002</v>
      </c>
      <c r="D215" s="9">
        <v>1.915</v>
      </c>
      <c r="E215" s="9">
        <v>1.9119999999999999</v>
      </c>
      <c r="F215" s="9">
        <v>1.853</v>
      </c>
    </row>
    <row r="216" spans="1:89" x14ac:dyDescent="0.3">
      <c r="B216" s="6">
        <v>213</v>
      </c>
      <c r="C216" s="9">
        <v>2.1110000000000002</v>
      </c>
      <c r="D216" s="9">
        <v>1.946</v>
      </c>
      <c r="E216" s="9">
        <v>1.9419999999999999</v>
      </c>
      <c r="F216" s="9">
        <v>1.8859999999999999</v>
      </c>
    </row>
    <row r="217" spans="1:89" x14ac:dyDescent="0.3">
      <c r="B217" s="6">
        <v>214</v>
      </c>
      <c r="C217" s="9">
        <v>2.2109999999999999</v>
      </c>
      <c r="D217" s="9">
        <v>2.028</v>
      </c>
      <c r="E217" s="9">
        <v>2.0249999999999999</v>
      </c>
      <c r="F217" s="9">
        <v>1.97</v>
      </c>
    </row>
    <row r="218" spans="1:89" x14ac:dyDescent="0.3">
      <c r="B218" s="6">
        <v>215</v>
      </c>
      <c r="C218" s="9">
        <v>2.3559999999999999</v>
      </c>
      <c r="D218" s="9">
        <v>2.1539999999999999</v>
      </c>
      <c r="E218" s="9">
        <v>2.1509999999999998</v>
      </c>
      <c r="F218" s="9">
        <v>2.0910000000000002</v>
      </c>
    </row>
    <row r="219" spans="1:89" x14ac:dyDescent="0.3">
      <c r="B219" s="6">
        <v>216</v>
      </c>
      <c r="C219" s="9">
        <v>2.5339999999999998</v>
      </c>
      <c r="D219" s="9">
        <v>2.3130000000000002</v>
      </c>
      <c r="E219" s="9">
        <v>2.31</v>
      </c>
      <c r="F219" s="9">
        <v>2.2440000000000002</v>
      </c>
    </row>
    <row r="220" spans="1:89" x14ac:dyDescent="0.3">
      <c r="B220" s="6">
        <v>217</v>
      </c>
      <c r="C220" s="9">
        <v>2.75</v>
      </c>
      <c r="D220" s="9">
        <v>2.5009999999999999</v>
      </c>
      <c r="E220" s="9">
        <v>2.4969999999999999</v>
      </c>
      <c r="F220" s="9">
        <v>2.4209999999999998</v>
      </c>
    </row>
    <row r="221" spans="1:89" x14ac:dyDescent="0.3">
      <c r="B221" s="6">
        <v>218</v>
      </c>
      <c r="C221" s="9">
        <v>3.0590000000000002</v>
      </c>
      <c r="D221" s="9">
        <v>2.7829999999999999</v>
      </c>
      <c r="E221" s="9">
        <v>2.7770000000000001</v>
      </c>
      <c r="F221" s="9">
        <v>2.6880000000000002</v>
      </c>
    </row>
    <row r="222" spans="1:89" x14ac:dyDescent="0.3">
      <c r="B222" s="6">
        <v>219</v>
      </c>
      <c r="C222" s="9">
        <v>3.4380000000000002</v>
      </c>
      <c r="D222" s="9">
        <v>3.129</v>
      </c>
      <c r="E222" s="9">
        <v>3.1219999999999999</v>
      </c>
      <c r="F222" s="9">
        <v>3.0089999999999999</v>
      </c>
    </row>
    <row r="223" spans="1:89" x14ac:dyDescent="0.3">
      <c r="B223" s="6">
        <v>220</v>
      </c>
      <c r="C223" s="9">
        <v>3.762</v>
      </c>
      <c r="D223" s="9">
        <v>3.4380000000000002</v>
      </c>
      <c r="E223" s="9">
        <v>3.43</v>
      </c>
      <c r="F223" s="9">
        <v>3.2749999999999999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CC98B-54FA-41C2-9043-6B493BB488C6}">
  <sheetPr codeName="工作表5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1093.425</v>
      </c>
      <c r="J2" s="2">
        <f ca="1">goldenOTP_check!J2*J58</f>
        <v>1183.1399999999999</v>
      </c>
      <c r="K2" s="2">
        <f ca="1">goldenOTP_check!K2*K58</f>
        <v>1268.951</v>
      </c>
      <c r="L2" s="2">
        <f ca="1">goldenOTP_check!L2*L58</f>
        <v>1260.973</v>
      </c>
      <c r="M2" s="2">
        <f ca="1">goldenOTP_check!M2*M58</f>
        <v>1267.248</v>
      </c>
      <c r="N2" s="2">
        <f ca="1">goldenOTP_check!N2*N58</f>
        <v>1240.6199999999999</v>
      </c>
      <c r="O2" s="2">
        <f ca="1">goldenOTP_check!O2*O58</f>
        <v>1250.2</v>
      </c>
      <c r="P2" s="2">
        <f ca="1">goldenOTP_check!P2*P58</f>
        <v>1286.252</v>
      </c>
      <c r="Q2" s="2">
        <f ca="1">goldenOTP_check!Q2*Q58</f>
        <v>1259.0160000000001</v>
      </c>
      <c r="R2" s="2">
        <f ca="1">goldenOTP_check!R2*R58</f>
        <v>1291.818</v>
      </c>
      <c r="S2" s="2">
        <f ca="1">goldenOTP_check!S2*S58</f>
        <v>1292.7239999999999</v>
      </c>
      <c r="T2" s="2">
        <f ca="1">goldenOTP_check!T2*T58</f>
        <v>1300.684</v>
      </c>
      <c r="U2" s="2">
        <f ca="1">goldenOTP_check!U2*U58</f>
        <v>1284.7919999999999</v>
      </c>
      <c r="V2" s="2">
        <f ca="1">goldenOTP_check!V2*V58</f>
        <v>1273.9690000000001</v>
      </c>
      <c r="W2" s="2">
        <f ca="1">goldenOTP_check!W2*W58</f>
        <v>1285.1180000000002</v>
      </c>
      <c r="X2" s="2">
        <f ca="1">goldenOTP_check!X2*X58</f>
        <v>1219.8599999999999</v>
      </c>
      <c r="Y2" s="3">
        <f ca="1">goldenOTP_check!Y2*Y58</f>
        <v>1164.4079999999999</v>
      </c>
      <c r="BA2"/>
      <c r="BB2"/>
      <c r="BC2"/>
      <c r="BD2"/>
    </row>
    <row r="3" spans="2:56" x14ac:dyDescent="0.3">
      <c r="B3" s="8">
        <v>0</v>
      </c>
      <c r="C3" s="9">
        <v>4.5750000000000002</v>
      </c>
      <c r="D3" s="9">
        <v>4.1390000000000002</v>
      </c>
      <c r="E3" s="9">
        <v>4.1399999999999997</v>
      </c>
      <c r="F3" s="9">
        <v>3.9380000000000002</v>
      </c>
      <c r="H3" t="s">
        <v>6</v>
      </c>
      <c r="I3" s="2">
        <f ca="1">goldenOTP_check!I3*I59</f>
        <v>1240.1099999999999</v>
      </c>
      <c r="J3" s="2">
        <f ca="1">goldenOTP_check!J3*J59</f>
        <v>1306.991</v>
      </c>
      <c r="K3" s="2">
        <f ca="1">goldenOTP_check!K3*K59</f>
        <v>1295.02</v>
      </c>
      <c r="L3" s="2">
        <f ca="1">goldenOTP_check!L3*L59</f>
        <v>1297.3410000000001</v>
      </c>
      <c r="M3" s="2">
        <f ca="1">goldenOTP_check!M3*M59</f>
        <v>1278.8700000000001</v>
      </c>
      <c r="N3" s="2">
        <f ca="1">goldenOTP_check!N3*N59</f>
        <v>1291.289</v>
      </c>
      <c r="O3" s="2">
        <f ca="1">goldenOTP_check!O3*O59</f>
        <v>1257.72</v>
      </c>
      <c r="P3" s="2">
        <f ca="1">goldenOTP_check!P3*P59</f>
        <v>1261.8000000000002</v>
      </c>
      <c r="Q3" s="2">
        <f ca="1">goldenOTP_check!Q3*Q59</f>
        <v>1261.104</v>
      </c>
      <c r="R3" s="2">
        <f ca="1">goldenOTP_check!R3*R59</f>
        <v>1269.6000000000001</v>
      </c>
      <c r="S3" s="2">
        <f ca="1">goldenOTP_check!S3*S59</f>
        <v>1297.7280000000001</v>
      </c>
      <c r="T3" s="2">
        <f ca="1">goldenOTP_check!T3*T59</f>
        <v>1307.1590000000001</v>
      </c>
      <c r="U3" s="2">
        <f ca="1">goldenOTP_check!U3*U59</f>
        <v>1299.55</v>
      </c>
      <c r="V3" s="2">
        <f ca="1">goldenOTP_check!V3*V59</f>
        <v>1318.491</v>
      </c>
      <c r="W3" s="2">
        <f ca="1">goldenOTP_check!W3*W59</f>
        <v>1310.7150000000001</v>
      </c>
      <c r="X3" s="2">
        <f ca="1">goldenOTP_check!X3*X59</f>
        <v>1322.8410000000001</v>
      </c>
      <c r="Y3" s="2">
        <f ca="1">goldenOTP_check!Y3*Y59</f>
        <v>1202.0700000000002</v>
      </c>
      <c r="BA3"/>
      <c r="BB3"/>
      <c r="BC3"/>
      <c r="BD3"/>
    </row>
    <row r="4" spans="2:56" x14ac:dyDescent="0.3">
      <c r="B4" s="6">
        <v>1</v>
      </c>
      <c r="C4" s="9">
        <v>4.3819999999999997</v>
      </c>
      <c r="D4" s="9">
        <v>3.9039999999999999</v>
      </c>
      <c r="E4" s="9">
        <v>3.9049999999999998</v>
      </c>
      <c r="F4" s="9">
        <v>3.6850000000000001</v>
      </c>
      <c r="I4" s="2">
        <f ca="1">goldenOTP_check!I4*I60</f>
        <v>1276</v>
      </c>
      <c r="J4" s="2">
        <f ca="1">goldenOTP_check!J4*J60</f>
        <v>1321.279</v>
      </c>
      <c r="K4" s="2">
        <f ca="1">goldenOTP_check!K4*K60</f>
        <v>1299.8599999999999</v>
      </c>
      <c r="L4" s="2">
        <f ca="1">goldenOTP_check!L4*L60</f>
        <v>1284.0400000000002</v>
      </c>
      <c r="M4" s="2">
        <f ca="1">goldenOTP_check!M4*M60</f>
        <v>1280.547</v>
      </c>
      <c r="N4" s="2">
        <f ca="1">goldenOTP_check!N4*N60</f>
        <v>1265.992</v>
      </c>
      <c r="O4" s="2">
        <f ca="1">goldenOTP_check!O4*O60</f>
        <v>1242.8499999999999</v>
      </c>
      <c r="P4" s="2">
        <f ca="1">goldenOTP_check!P4*P60</f>
        <v>1213.614</v>
      </c>
      <c r="Q4" s="2">
        <f ca="1">goldenOTP_check!Q4*Q60</f>
        <v>1200.9750000000001</v>
      </c>
      <c r="R4" s="2">
        <f ca="1">goldenOTP_check!R4*R60</f>
        <v>1217.8500000000001</v>
      </c>
      <c r="S4" s="2">
        <f ca="1">goldenOTP_check!S4*S60</f>
        <v>1249.55</v>
      </c>
      <c r="T4" s="2">
        <f ca="1">goldenOTP_check!T4*T60</f>
        <v>1277.6010000000001</v>
      </c>
      <c r="U4" s="2">
        <f ca="1">goldenOTP_check!U4*U60</f>
        <v>1297.8589999999999</v>
      </c>
      <c r="V4" s="2">
        <f ca="1">goldenOTP_check!V4*V60</f>
        <v>1305.6600000000001</v>
      </c>
      <c r="W4" s="2">
        <f ca="1">goldenOTP_check!W4*W60</f>
        <v>1321.2839999999999</v>
      </c>
      <c r="X4" s="2">
        <f ca="1">goldenOTP_check!X4*X60</f>
        <v>1334.34</v>
      </c>
      <c r="Y4" s="2">
        <f ca="1">goldenOTP_check!Y4*Y60</f>
        <v>1290.5</v>
      </c>
      <c r="BA4"/>
      <c r="BB4"/>
      <c r="BC4"/>
      <c r="BD4"/>
    </row>
    <row r="5" spans="2:56" x14ac:dyDescent="0.3">
      <c r="B5" s="6">
        <v>2</v>
      </c>
      <c r="C5" s="9">
        <v>4.0030000000000001</v>
      </c>
      <c r="D5" s="9">
        <v>3.544</v>
      </c>
      <c r="E5" s="9">
        <v>3.5470000000000002</v>
      </c>
      <c r="F5" s="9">
        <v>3.3540000000000001</v>
      </c>
      <c r="I5" s="2">
        <f ca="1">goldenOTP_check!I5*I61</f>
        <v>1287.3999999999999</v>
      </c>
      <c r="J5" s="2">
        <f ca="1">goldenOTP_check!J5*J61</f>
        <v>1279.528</v>
      </c>
      <c r="K5" s="2">
        <f ca="1">goldenOTP_check!K5*K61</f>
        <v>1280.2079999999999</v>
      </c>
      <c r="L5" s="2">
        <f ca="1">goldenOTP_check!L5*L61</f>
        <v>1294.463</v>
      </c>
      <c r="M5" s="2">
        <f ca="1">goldenOTP_check!M5*M61</f>
        <v>1268.4360000000001</v>
      </c>
      <c r="N5" s="2">
        <f ca="1">goldenOTP_check!N5*N61</f>
        <v>1233.2379999999998</v>
      </c>
      <c r="O5" s="2">
        <f ca="1">goldenOTP_check!O5*O61</f>
        <v>1187.2560000000001</v>
      </c>
      <c r="P5" s="2">
        <f ca="1">goldenOTP_check!P5*P61</f>
        <v>1149.998</v>
      </c>
      <c r="Q5" s="2">
        <f ca="1">goldenOTP_check!Q5*Q61</f>
        <v>1146.4549999999999</v>
      </c>
      <c r="R5" s="2">
        <f ca="1">goldenOTP_check!R5*R61</f>
        <v>1152.431</v>
      </c>
      <c r="S5" s="2">
        <f ca="1">goldenOTP_check!S5*S61</f>
        <v>1188.02</v>
      </c>
      <c r="T5" s="2">
        <f ca="1">goldenOTP_check!T5*T61</f>
        <v>1236.0139999999999</v>
      </c>
      <c r="U5" s="2">
        <f ca="1">goldenOTP_check!U5*U61</f>
        <v>1276.99</v>
      </c>
      <c r="V5" s="2">
        <f ca="1">goldenOTP_check!V5*V61</f>
        <v>1311.92</v>
      </c>
      <c r="W5" s="2">
        <f ca="1">goldenOTP_check!W5*W61</f>
        <v>1308.3689999999999</v>
      </c>
      <c r="X5" s="2">
        <f ca="1">goldenOTP_check!X5*X61</f>
        <v>1300.5840000000001</v>
      </c>
      <c r="Y5" s="2">
        <f ca="1">goldenOTP_check!Y5*Y61</f>
        <v>1296.82</v>
      </c>
      <c r="BA5"/>
      <c r="BB5"/>
      <c r="BC5"/>
      <c r="BD5"/>
    </row>
    <row r="6" spans="2:56" x14ac:dyDescent="0.3">
      <c r="B6" s="6">
        <v>3</v>
      </c>
      <c r="C6" s="9">
        <v>3.4929999999999999</v>
      </c>
      <c r="D6" s="9">
        <v>3.097</v>
      </c>
      <c r="E6" s="9">
        <v>3.1019999999999999</v>
      </c>
      <c r="F6" s="9">
        <v>2.9420000000000002</v>
      </c>
      <c r="I6" s="2">
        <f ca="1">goldenOTP_check!I6*I62</f>
        <v>1277.0550000000001</v>
      </c>
      <c r="J6" s="2">
        <f ca="1">goldenOTP_check!J6*J62</f>
        <v>1310.9839999999999</v>
      </c>
      <c r="K6" s="2">
        <f ca="1">goldenOTP_check!K6*K62</f>
        <v>1284.53</v>
      </c>
      <c r="L6" s="2">
        <f ca="1">goldenOTP_check!L6*L62</f>
        <v>1282.1759999999999</v>
      </c>
      <c r="M6" s="2">
        <f ca="1">goldenOTP_check!M6*M62</f>
        <v>1241.51</v>
      </c>
      <c r="N6" s="2">
        <f ca="1">goldenOTP_check!N6*N62</f>
        <v>1185.7280000000001</v>
      </c>
      <c r="O6" s="2">
        <f ca="1">goldenOTP_check!O6*O62</f>
        <v>1134.133</v>
      </c>
      <c r="P6" s="2">
        <f ca="1">goldenOTP_check!P6*P62</f>
        <v>1099.575</v>
      </c>
      <c r="Q6" s="2">
        <f ca="1">goldenOTP_check!Q6*Q62</f>
        <v>1089.7170000000001</v>
      </c>
      <c r="R6" s="2">
        <f ca="1">goldenOTP_check!R6*R62</f>
        <v>1103.1950000000002</v>
      </c>
      <c r="S6" s="2">
        <f ca="1">goldenOTP_check!S6*S62</f>
        <v>1138.3680000000002</v>
      </c>
      <c r="T6" s="2">
        <f ca="1">goldenOTP_check!T6*T62</f>
        <v>1191.076</v>
      </c>
      <c r="U6" s="2">
        <f ca="1">goldenOTP_check!U6*U62</f>
        <v>1254.24</v>
      </c>
      <c r="V6" s="2">
        <f ca="1">goldenOTP_check!V6*V62</f>
        <v>1301.7599999999998</v>
      </c>
      <c r="W6" s="2">
        <f ca="1">goldenOTP_check!W6*W62</f>
        <v>1309.1120000000001</v>
      </c>
      <c r="X6" s="2">
        <f ca="1">goldenOTP_check!X6*X62</f>
        <v>1291.2</v>
      </c>
      <c r="Y6" s="2">
        <f ca="1">goldenOTP_check!Y6*Y62</f>
        <v>1297.1130000000001</v>
      </c>
      <c r="BA6"/>
      <c r="BB6"/>
      <c r="BC6"/>
      <c r="BD6"/>
    </row>
    <row r="7" spans="2:56" x14ac:dyDescent="0.3">
      <c r="B7" s="6">
        <v>4</v>
      </c>
      <c r="C7" s="9">
        <v>3.1059999999999999</v>
      </c>
      <c r="D7" s="9">
        <v>2.76</v>
      </c>
      <c r="E7" s="9">
        <v>2.7650000000000001</v>
      </c>
      <c r="F7" s="9">
        <v>2.63</v>
      </c>
      <c r="I7" s="2">
        <f ca="1">goldenOTP_check!I7*I63</f>
        <v>1272.3600000000001</v>
      </c>
      <c r="J7" s="2">
        <f ca="1">goldenOTP_check!J7*J63</f>
        <v>1296.4949999999999</v>
      </c>
      <c r="K7" s="2">
        <f ca="1">goldenOTP_check!K7*K63</f>
        <v>1289.7939999999999</v>
      </c>
      <c r="L7" s="2">
        <f ca="1">goldenOTP_check!L7*L63</f>
        <v>1260.5999999999999</v>
      </c>
      <c r="M7" s="2">
        <f ca="1">goldenOTP_check!M7*M63</f>
        <v>1212.9079999999999</v>
      </c>
      <c r="N7" s="2">
        <f ca="1">goldenOTP_check!N7*N63</f>
        <v>1147.5650000000001</v>
      </c>
      <c r="O7" s="2">
        <f ca="1">goldenOTP_check!O7*O63</f>
        <v>1096.8599999999999</v>
      </c>
      <c r="P7" s="2">
        <f ca="1">goldenOTP_check!P7*P63</f>
        <v>1048.8320000000001</v>
      </c>
      <c r="Q7" s="2">
        <f ca="1">goldenOTP_check!Q7*Q63</f>
        <v>1035.424</v>
      </c>
      <c r="R7" s="2">
        <f ca="1">goldenOTP_check!R7*R63</f>
        <v>1068.72</v>
      </c>
      <c r="S7" s="2">
        <f ca="1">goldenOTP_check!S7*S63</f>
        <v>1107.72</v>
      </c>
      <c r="T7" s="2">
        <f ca="1">goldenOTP_check!T7*T63</f>
        <v>1159.73</v>
      </c>
      <c r="U7" s="2">
        <f ca="1">goldenOTP_check!U7*U63</f>
        <v>1227.7340000000002</v>
      </c>
      <c r="V7" s="2">
        <f ca="1">goldenOTP_check!V7*V63</f>
        <v>1280.3999999999999</v>
      </c>
      <c r="W7" s="2">
        <f ca="1">goldenOTP_check!W7*W63</f>
        <v>1313.0700000000002</v>
      </c>
      <c r="X7" s="2">
        <f ca="1">goldenOTP_check!X7*X63</f>
        <v>1310.454</v>
      </c>
      <c r="Y7" s="2">
        <f ca="1">goldenOTP_check!Y7*Y63</f>
        <v>1264.0800000000002</v>
      </c>
      <c r="BA7"/>
      <c r="BB7"/>
      <c r="BC7"/>
      <c r="BD7"/>
    </row>
    <row r="8" spans="2:56" x14ac:dyDescent="0.3">
      <c r="B8" s="6">
        <v>5</v>
      </c>
      <c r="C8" s="9">
        <v>2.8519999999999999</v>
      </c>
      <c r="D8" s="9">
        <v>2.5339999999999998</v>
      </c>
      <c r="E8" s="9">
        <v>2.5390000000000001</v>
      </c>
      <c r="F8" s="9">
        <v>2.42</v>
      </c>
      <c r="I8" s="2">
        <f ca="1">goldenOTP_check!I8*I64</f>
        <v>1297.338</v>
      </c>
      <c r="J8" s="2">
        <f ca="1">goldenOTP_check!J8*J64</f>
        <v>1318.4850000000001</v>
      </c>
      <c r="K8" s="2">
        <f ca="1">goldenOTP_check!K8*K64</f>
        <v>1301.289</v>
      </c>
      <c r="L8" s="2">
        <f ca="1">goldenOTP_check!L8*L64</f>
        <v>1261.104</v>
      </c>
      <c r="M8" s="2">
        <f ca="1">goldenOTP_check!M8*M64</f>
        <v>1221.075</v>
      </c>
      <c r="N8" s="2">
        <f ca="1">goldenOTP_check!N8*N64</f>
        <v>1145.6200000000001</v>
      </c>
      <c r="O8" s="2">
        <f ca="1">goldenOTP_check!O8*O64</f>
        <v>1085.0719999999999</v>
      </c>
      <c r="P8" s="2">
        <f ca="1">goldenOTP_check!P8*P64</f>
        <v>1040.9580000000001</v>
      </c>
      <c r="Q8" s="2">
        <f ca="1">goldenOTP_check!Q8*Q64</f>
        <v>1028.1149999999998</v>
      </c>
      <c r="R8" s="2">
        <f ca="1">goldenOTP_check!R8*R64</f>
        <v>1045.953</v>
      </c>
      <c r="S8" s="2">
        <f ca="1">goldenOTP_check!S8*S64</f>
        <v>1109.4390000000001</v>
      </c>
      <c r="T8" s="2">
        <f ca="1">goldenOTP_check!T8*T64</f>
        <v>1158.145</v>
      </c>
      <c r="U8" s="2">
        <f ca="1">goldenOTP_check!U8*U64</f>
        <v>1236.384</v>
      </c>
      <c r="V8" s="2">
        <f ca="1">goldenOTP_check!V8*V64</f>
        <v>1280.6559999999999</v>
      </c>
      <c r="W8" s="2">
        <f ca="1">goldenOTP_check!W8*W64</f>
        <v>1323.0030000000002</v>
      </c>
      <c r="X8" s="2">
        <f ca="1">goldenOTP_check!X8*X64</f>
        <v>1297.7640000000001</v>
      </c>
      <c r="Y8" s="2">
        <f ca="1">goldenOTP_check!Y8*Y64</f>
        <v>1310.43</v>
      </c>
    </row>
    <row r="9" spans="2:56" x14ac:dyDescent="0.3">
      <c r="B9" s="6">
        <v>6</v>
      </c>
      <c r="C9" s="9">
        <v>2.66</v>
      </c>
      <c r="D9" s="9">
        <v>2.3660000000000001</v>
      </c>
      <c r="E9" s="9">
        <v>2.371</v>
      </c>
      <c r="F9" s="9">
        <v>2.2639999999999998</v>
      </c>
      <c r="I9" s="2">
        <f ca="1">goldenOTP_check!I9*I65</f>
        <v>1267.53</v>
      </c>
      <c r="J9" s="2">
        <f ca="1">goldenOTP_check!J9*J65</f>
        <v>1296.0720000000001</v>
      </c>
      <c r="K9" s="2">
        <f ca="1">goldenOTP_check!K9*K65</f>
        <v>1294.348</v>
      </c>
      <c r="L9" s="2">
        <f ca="1">goldenOTP_check!L9*L65</f>
        <v>1292.2650000000001</v>
      </c>
      <c r="M9" s="2">
        <f ca="1">goldenOTP_check!M9*M65</f>
        <v>1240.4100000000001</v>
      </c>
      <c r="N9" s="2">
        <f ca="1">goldenOTP_check!N9*N65</f>
        <v>1171.1290000000001</v>
      </c>
      <c r="O9" s="2">
        <f ca="1">goldenOTP_check!O9*O65</f>
        <v>1115.989</v>
      </c>
      <c r="P9" s="2">
        <f ca="1">goldenOTP_check!P9*P65</f>
        <v>1063.8400000000001</v>
      </c>
      <c r="Q9" s="2">
        <f ca="1">goldenOTP_check!Q9*Q65</f>
        <v>1044.954</v>
      </c>
      <c r="R9" s="2">
        <f ca="1">goldenOTP_check!R9*R65</f>
        <v>1066.768</v>
      </c>
      <c r="S9" s="2">
        <f ca="1">goldenOTP_check!S9*S65</f>
        <v>1119.6570000000002</v>
      </c>
      <c r="T9" s="2">
        <f ca="1">goldenOTP_check!T9*T65</f>
        <v>1176.067</v>
      </c>
      <c r="U9" s="2">
        <f ca="1">goldenOTP_check!U9*U65</f>
        <v>1249.731</v>
      </c>
      <c r="V9" s="2">
        <f ca="1">goldenOTP_check!V9*V65</f>
        <v>1285.8</v>
      </c>
      <c r="W9" s="2">
        <f ca="1">goldenOTP_check!W9*W65</f>
        <v>1321.1660000000002</v>
      </c>
      <c r="X9" s="2">
        <f ca="1">goldenOTP_check!X9*X65</f>
        <v>1319.76</v>
      </c>
      <c r="Y9" s="2">
        <f ca="1">goldenOTP_check!Y9*Y65</f>
        <v>1272.3600000000001</v>
      </c>
    </row>
    <row r="10" spans="2:56" x14ac:dyDescent="0.3">
      <c r="B10" s="6">
        <v>7</v>
      </c>
      <c r="C10" s="9">
        <v>2.5419999999999998</v>
      </c>
      <c r="D10" s="9">
        <v>2.2589999999999999</v>
      </c>
      <c r="E10" s="9">
        <v>2.2639999999999998</v>
      </c>
      <c r="F10" s="9">
        <v>2.165</v>
      </c>
      <c r="I10" s="2">
        <f ca="1">goldenOTP_check!I10*I66</f>
        <v>1275.3900000000001</v>
      </c>
      <c r="J10" s="2">
        <f ca="1">goldenOTP_check!J10*J66</f>
        <v>1311.808</v>
      </c>
      <c r="K10" s="2">
        <f ca="1">goldenOTP_check!K10*K66</f>
        <v>1287.422</v>
      </c>
      <c r="L10" s="2">
        <f ca="1">goldenOTP_check!L10*L66</f>
        <v>1287.9360000000001</v>
      </c>
      <c r="M10" s="2">
        <f ca="1">goldenOTP_check!M10*M66</f>
        <v>1247.54</v>
      </c>
      <c r="N10" s="2">
        <f ca="1">goldenOTP_check!N10*N66</f>
        <v>1209.7839999999999</v>
      </c>
      <c r="O10" s="2">
        <f ca="1">goldenOTP_check!O10*O66</f>
        <v>1155.7259999999999</v>
      </c>
      <c r="P10" s="2">
        <f ca="1">goldenOTP_check!P10*P66</f>
        <v>1121.491</v>
      </c>
      <c r="Q10" s="2">
        <f ca="1">goldenOTP_check!Q10*Q66</f>
        <v>1111.3210000000001</v>
      </c>
      <c r="R10" s="2">
        <f ca="1">goldenOTP_check!R10*R66</f>
        <v>1121.491</v>
      </c>
      <c r="S10" s="2">
        <f ca="1">goldenOTP_check!S10*S66</f>
        <v>1154.8680000000002</v>
      </c>
      <c r="T10" s="2">
        <f ca="1">goldenOTP_check!T10*T66</f>
        <v>1209.008</v>
      </c>
      <c r="U10" s="2">
        <f ca="1">goldenOTP_check!U10*U66</f>
        <v>1254.9100000000001</v>
      </c>
      <c r="V10" s="2">
        <f ca="1">goldenOTP_check!V10*V66</f>
        <v>1306.3679999999999</v>
      </c>
      <c r="W10" s="2">
        <f ca="1">goldenOTP_check!W10*W66</f>
        <v>1314.414</v>
      </c>
      <c r="X10" s="2">
        <f ca="1">goldenOTP_check!X10*X66</f>
        <v>1334.4679999999998</v>
      </c>
      <c r="Y10" s="2">
        <f ca="1">goldenOTP_check!Y10*Y66</f>
        <v>1285.713</v>
      </c>
    </row>
    <row r="11" spans="2:56" x14ac:dyDescent="0.3">
      <c r="B11" s="6">
        <v>8</v>
      </c>
      <c r="C11" s="9">
        <v>2.508</v>
      </c>
      <c r="D11" s="9">
        <v>2.2309999999999999</v>
      </c>
      <c r="E11" s="9">
        <v>2.2349999999999999</v>
      </c>
      <c r="F11" s="9">
        <v>2.133</v>
      </c>
      <c r="I11" s="2">
        <f ca="1">goldenOTP_check!I11*I67</f>
        <v>1331.5250000000001</v>
      </c>
      <c r="J11" s="2">
        <f ca="1">goldenOTP_check!J11*J67</f>
        <v>1320.752</v>
      </c>
      <c r="K11" s="2">
        <f ca="1">goldenOTP_check!K11*K67</f>
        <v>1281.1020000000001</v>
      </c>
      <c r="L11" s="2">
        <f ca="1">goldenOTP_check!L11*L67</f>
        <v>1293.9340000000002</v>
      </c>
      <c r="M11" s="2">
        <f ca="1">goldenOTP_check!M11*M67</f>
        <v>1267.2139999999999</v>
      </c>
      <c r="N11" s="2">
        <f ca="1">goldenOTP_check!N11*N67</f>
        <v>1233.932</v>
      </c>
      <c r="O11" s="2">
        <f ca="1">goldenOTP_check!O11*O67</f>
        <v>1210.56</v>
      </c>
      <c r="P11" s="2">
        <f ca="1">goldenOTP_check!P11*P67</f>
        <v>1176.8899999999999</v>
      </c>
      <c r="Q11" s="2">
        <f ca="1">goldenOTP_check!Q11*Q67</f>
        <v>1159.8150000000001</v>
      </c>
      <c r="R11" s="2">
        <f ca="1">goldenOTP_check!R11*R67</f>
        <v>1180.182</v>
      </c>
      <c r="S11" s="2">
        <f ca="1">goldenOTP_check!S11*S67</f>
        <v>1194.896</v>
      </c>
      <c r="T11" s="2">
        <f ca="1">goldenOTP_check!T11*T67</f>
        <v>1239.4839999999999</v>
      </c>
      <c r="U11" s="2">
        <f ca="1">goldenOTP_check!U11*U67</f>
        <v>1277.6010000000001</v>
      </c>
      <c r="V11" s="2">
        <f ca="1">goldenOTP_check!V11*V67</f>
        <v>1309.8040000000001</v>
      </c>
      <c r="W11" s="2">
        <f ca="1">goldenOTP_check!W11*W67</f>
        <v>1304.346</v>
      </c>
      <c r="X11" s="2">
        <f ca="1">goldenOTP_check!X11*X67</f>
        <v>1335.1079999999999</v>
      </c>
      <c r="Y11" s="2">
        <f ca="1">goldenOTP_check!Y11*Y67</f>
        <v>1271</v>
      </c>
      <c r="BD11"/>
    </row>
    <row r="12" spans="2:56" x14ac:dyDescent="0.3">
      <c r="B12" s="6">
        <v>9</v>
      </c>
      <c r="C12" s="9">
        <v>2.5529999999999999</v>
      </c>
      <c r="D12" s="9">
        <v>2.2690000000000001</v>
      </c>
      <c r="E12" s="9">
        <v>2.2730000000000001</v>
      </c>
      <c r="F12" s="9">
        <v>2.1669999999999998</v>
      </c>
      <c r="I12" s="2">
        <f ca="1">goldenOTP_check!I12*I68</f>
        <v>1278.6099999999999</v>
      </c>
      <c r="J12" s="2">
        <f ca="1">goldenOTP_check!J12*J68</f>
        <v>1322.691</v>
      </c>
      <c r="K12" s="2">
        <f ca="1">goldenOTP_check!K12*K68</f>
        <v>1299.8599999999999</v>
      </c>
      <c r="L12" s="2">
        <f ca="1">goldenOTP_check!L12*L68</f>
        <v>1318.7520000000002</v>
      </c>
      <c r="M12" s="2">
        <f ca="1">goldenOTP_check!M12*M68</f>
        <v>1285.9569999999999</v>
      </c>
      <c r="N12" s="2">
        <f ca="1">goldenOTP_check!N12*N68</f>
        <v>1272.1019999999999</v>
      </c>
      <c r="O12" s="2">
        <f ca="1">goldenOTP_check!O12*O68</f>
        <v>1250.22</v>
      </c>
      <c r="P12" s="2">
        <f ca="1">goldenOTP_check!P12*P68</f>
        <v>1241.8440000000001</v>
      </c>
      <c r="Q12" s="2">
        <f ca="1">goldenOTP_check!Q12*Q68</f>
        <v>1232.739</v>
      </c>
      <c r="R12" s="2">
        <f ca="1">goldenOTP_check!R12*R68</f>
        <v>1249.731</v>
      </c>
      <c r="S12" s="2">
        <f ca="1">goldenOTP_check!S12*S68</f>
        <v>1261.6099999999999</v>
      </c>
      <c r="T12" s="2">
        <f ca="1">goldenOTP_check!T12*T68</f>
        <v>1284.9330000000002</v>
      </c>
      <c r="U12" s="2">
        <f ca="1">goldenOTP_check!U12*U68</f>
        <v>1298.3999999999999</v>
      </c>
      <c r="V12" s="2">
        <f ca="1">goldenOTP_check!V12*V68</f>
        <v>1300.9599999999998</v>
      </c>
      <c r="W12" s="2">
        <f ca="1">goldenOTP_check!W12*W68</f>
        <v>1315.104</v>
      </c>
      <c r="X12" s="2">
        <f ca="1">goldenOTP_check!X12*X68</f>
        <v>1327.633</v>
      </c>
      <c r="Y12" s="2">
        <f ca="1">goldenOTP_check!Y12*Y68</f>
        <v>1283.25</v>
      </c>
      <c r="BD12"/>
    </row>
    <row r="13" spans="2:56" x14ac:dyDescent="0.3">
      <c r="B13" s="6">
        <v>10</v>
      </c>
      <c r="C13" s="9">
        <v>2.6819999999999999</v>
      </c>
      <c r="D13" s="9">
        <v>2.375</v>
      </c>
      <c r="E13" s="9">
        <v>2.379</v>
      </c>
      <c r="F13" s="9">
        <v>2.27</v>
      </c>
      <c r="I13" s="2">
        <f ca="1">goldenOTP_check!I13*I69</f>
        <v>1238.76</v>
      </c>
      <c r="J13" s="2">
        <f ca="1">goldenOTP_check!J13*J69</f>
        <v>1306.674</v>
      </c>
      <c r="K13" s="2">
        <f ca="1">goldenOTP_check!K13*K69</f>
        <v>1300.4950000000001</v>
      </c>
      <c r="L13" s="2">
        <f ca="1">goldenOTP_check!L13*L69</f>
        <v>1308.3389999999999</v>
      </c>
      <c r="M13" s="2">
        <f ca="1">goldenOTP_check!M13*M69</f>
        <v>1324.0539999999999</v>
      </c>
      <c r="N13" s="2">
        <f ca="1">goldenOTP_check!N13*N69</f>
        <v>1302.3980000000001</v>
      </c>
      <c r="O13" s="2">
        <f ca="1">goldenOTP_check!O13*O69</f>
        <v>1295.424</v>
      </c>
      <c r="P13" s="2">
        <f ca="1">goldenOTP_check!P13*P69</f>
        <v>1295.931</v>
      </c>
      <c r="Q13" s="2">
        <f ca="1">goldenOTP_check!Q13*Q69</f>
        <v>1270.269</v>
      </c>
      <c r="R13" s="2">
        <f ca="1">goldenOTP_check!R13*R69</f>
        <v>1298.9859999999999</v>
      </c>
      <c r="S13" s="2">
        <f ca="1">goldenOTP_check!S13*S69</f>
        <v>1302.912</v>
      </c>
      <c r="T13" s="2">
        <f ca="1">goldenOTP_check!T13*T69</f>
        <v>1313.5070000000001</v>
      </c>
      <c r="U13" s="2">
        <f ca="1">goldenOTP_check!U13*U69</f>
        <v>1338.5140000000001</v>
      </c>
      <c r="V13" s="2">
        <f ca="1">goldenOTP_check!V13*V69</f>
        <v>1323.144</v>
      </c>
      <c r="W13" s="2">
        <f ca="1">goldenOTP_check!W13*W69</f>
        <v>1309.6200000000001</v>
      </c>
      <c r="X13" s="2">
        <f ca="1">goldenOTP_check!X13*X69</f>
        <v>1320.6220000000001</v>
      </c>
      <c r="Y13" s="2">
        <f ca="1">goldenOTP_check!Y13*Y69</f>
        <v>1277.3699999999999</v>
      </c>
      <c r="BD13"/>
    </row>
    <row r="14" spans="2:56" x14ac:dyDescent="0.3">
      <c r="B14" s="6">
        <v>11</v>
      </c>
      <c r="C14" s="9">
        <v>2.8839999999999999</v>
      </c>
      <c r="D14" s="9">
        <v>2.5499999999999998</v>
      </c>
      <c r="E14" s="9">
        <v>2.5529999999999999</v>
      </c>
      <c r="F14" s="9">
        <v>2.4289999999999998</v>
      </c>
      <c r="I14" s="3">
        <f ca="1">goldenOTP_check!I14*I70</f>
        <v>1187.28</v>
      </c>
      <c r="J14" s="2">
        <f ca="1">goldenOTP_check!J14*J70</f>
        <v>1267.2660000000001</v>
      </c>
      <c r="K14" s="2">
        <f ca="1">goldenOTP_check!K14*K70</f>
        <v>1282.5820000000001</v>
      </c>
      <c r="L14" s="2">
        <f ca="1">goldenOTP_check!L14*L70</f>
        <v>1283.355</v>
      </c>
      <c r="M14" s="2">
        <f ca="1">goldenOTP_check!M14*M70</f>
        <v>1283.104</v>
      </c>
      <c r="N14" s="2">
        <f ca="1">goldenOTP_check!N14*N70</f>
        <v>1314.665</v>
      </c>
      <c r="O14" s="2">
        <f ca="1">goldenOTP_check!O14*O70</f>
        <v>1305.7380000000001</v>
      </c>
      <c r="P14" s="2">
        <f ca="1">goldenOTP_check!P14*P70</f>
        <v>1293.654</v>
      </c>
      <c r="Q14" s="2">
        <f ca="1">goldenOTP_check!Q14*Q70</f>
        <v>1312.146</v>
      </c>
      <c r="R14" s="2">
        <f ca="1">goldenOTP_check!R14*R70</f>
        <v>1295.662</v>
      </c>
      <c r="S14" s="2">
        <f ca="1">goldenOTP_check!S14*S70</f>
        <v>1307.6659999999999</v>
      </c>
      <c r="T14" s="2">
        <f ca="1">goldenOTP_check!T14*T70</f>
        <v>1317.3709999999999</v>
      </c>
      <c r="U14" s="2">
        <f ca="1">goldenOTP_check!U14*U70</f>
        <v>1289.568</v>
      </c>
      <c r="V14" s="2">
        <f ca="1">goldenOTP_check!V14*V70</f>
        <v>1292.741</v>
      </c>
      <c r="W14" s="2">
        <f ca="1">goldenOTP_check!W14*W70</f>
        <v>1306.674</v>
      </c>
      <c r="X14" s="2">
        <f ca="1">goldenOTP_check!X14*X70</f>
        <v>1315.886</v>
      </c>
      <c r="Y14" s="3">
        <f ca="1">goldenOTP_check!Y14*Y70</f>
        <v>1273.47</v>
      </c>
      <c r="BD14"/>
    </row>
    <row r="15" spans="2:56" x14ac:dyDescent="0.3">
      <c r="B15" s="6">
        <v>12</v>
      </c>
      <c r="C15" s="9">
        <v>3.149</v>
      </c>
      <c r="D15" s="9">
        <v>2.78</v>
      </c>
      <c r="E15" s="9">
        <v>2.7829999999999999</v>
      </c>
      <c r="F15" s="9">
        <v>2.64</v>
      </c>
      <c r="BD15"/>
    </row>
    <row r="16" spans="2:56" x14ac:dyDescent="0.3">
      <c r="B16" s="6">
        <v>13</v>
      </c>
      <c r="C16" s="9">
        <v>3.5289999999999999</v>
      </c>
      <c r="D16" s="9">
        <v>3.1160000000000001</v>
      </c>
      <c r="E16" s="9">
        <v>3.1190000000000002</v>
      </c>
      <c r="F16" s="9">
        <v>2.9489999999999998</v>
      </c>
      <c r="H16" t="s">
        <v>1</v>
      </c>
      <c r="I16" s="10">
        <f ca="1">goldenOTP_check!I16*I72</f>
        <v>1092.6960000000001</v>
      </c>
      <c r="J16" s="2">
        <f ca="1">goldenOTP_check!J16*J72</f>
        <v>1171.2</v>
      </c>
      <c r="K16" s="2">
        <f ca="1">goldenOTP_check!K16*K72</f>
        <v>1233.3120000000001</v>
      </c>
      <c r="L16" s="2">
        <f ca="1">goldenOTP_check!L16*L72</f>
        <v>1226.412</v>
      </c>
      <c r="M16" s="2">
        <f ca="1">goldenOTP_check!M16*M72</f>
        <v>1206.1199999999999</v>
      </c>
      <c r="N16" s="2">
        <f ca="1">goldenOTP_check!N16*N72</f>
        <v>1208.7179999999998</v>
      </c>
      <c r="O16" s="2">
        <f ca="1">goldenOTP_check!O16*O72</f>
        <v>1199.5620000000001</v>
      </c>
      <c r="P16" s="2">
        <f ca="1">goldenOTP_check!P16*P72</f>
        <v>1208.5650000000001</v>
      </c>
      <c r="Q16" s="2">
        <f ca="1">goldenOTP_check!Q16*Q72</f>
        <v>1200.278</v>
      </c>
      <c r="R16" s="2">
        <f ca="1">goldenOTP_check!R16*R72</f>
        <v>1213.915</v>
      </c>
      <c r="S16" s="2">
        <f ca="1">goldenOTP_check!S16*S72</f>
        <v>1220.75</v>
      </c>
      <c r="T16" s="2">
        <f ca="1">goldenOTP_check!T16*T72</f>
        <v>1216.3499999999999</v>
      </c>
      <c r="U16" s="2">
        <f ca="1">goldenOTP_check!U16*U72</f>
        <v>1214.8599999999999</v>
      </c>
      <c r="V16" s="2">
        <f ca="1">goldenOTP_check!V16*V72</f>
        <v>1233.9360000000001</v>
      </c>
      <c r="W16" s="2">
        <f ca="1">goldenOTP_check!W16*W72</f>
        <v>1246.1879999999999</v>
      </c>
      <c r="X16" s="2">
        <f ca="1">goldenOTP_check!X16*X72</f>
        <v>1208.3999999999999</v>
      </c>
      <c r="Y16" s="10">
        <f ca="1">goldenOTP_check!Y16*Y72</f>
        <v>1168.7279999999998</v>
      </c>
    </row>
    <row r="17" spans="2:25" x14ac:dyDescent="0.3">
      <c r="B17" s="6">
        <v>14</v>
      </c>
      <c r="C17" s="9">
        <v>4.0540000000000003</v>
      </c>
      <c r="D17" s="9">
        <v>3.581</v>
      </c>
      <c r="E17" s="9">
        <v>3.581</v>
      </c>
      <c r="F17" s="9">
        <v>3.3780000000000001</v>
      </c>
      <c r="H17" t="s">
        <v>6</v>
      </c>
      <c r="I17" s="2">
        <f ca="1">goldenOTP_check!I17*I73</f>
        <v>1174.6020000000001</v>
      </c>
      <c r="J17" s="2">
        <f ca="1">goldenOTP_check!J17*J73</f>
        <v>1234.431</v>
      </c>
      <c r="K17" s="2">
        <f ca="1">goldenOTP_check!K17*K73</f>
        <v>1240.308</v>
      </c>
      <c r="L17" s="2">
        <f ca="1">goldenOTP_check!L17*L73</f>
        <v>1225.28</v>
      </c>
      <c r="M17" s="2">
        <f ca="1">goldenOTP_check!M17*M73</f>
        <v>1224.8050000000001</v>
      </c>
      <c r="N17" s="2">
        <f ca="1">goldenOTP_check!N17*N73</f>
        <v>1226.4459999999999</v>
      </c>
      <c r="O17" s="2">
        <f ca="1">goldenOTP_check!O17*O73</f>
        <v>1214.4419999999998</v>
      </c>
      <c r="P17" s="2">
        <f ca="1">goldenOTP_check!P17*P73</f>
        <v>1201.4100000000001</v>
      </c>
      <c r="Q17" s="2">
        <f ca="1">goldenOTP_check!Q17*Q73</f>
        <v>1201.875</v>
      </c>
      <c r="R17" s="2">
        <f ca="1">goldenOTP_check!R17*R73</f>
        <v>1207.08</v>
      </c>
      <c r="S17" s="2">
        <f ca="1">goldenOTP_check!S17*S73</f>
        <v>1222.884</v>
      </c>
      <c r="T17" s="2">
        <f ca="1">goldenOTP_check!T17*T73</f>
        <v>1234.8310000000001</v>
      </c>
      <c r="U17" s="2">
        <f ca="1">goldenOTP_check!U17*U73</f>
        <v>1236.877</v>
      </c>
      <c r="V17" s="2">
        <f ca="1">goldenOTP_check!V17*V73</f>
        <v>1237.376</v>
      </c>
      <c r="W17" s="2">
        <f ca="1">goldenOTP_check!W17*W73</f>
        <v>1248.954</v>
      </c>
      <c r="X17" s="2">
        <f ca="1">goldenOTP_check!X17*X73</f>
        <v>1248.585</v>
      </c>
      <c r="Y17" s="2">
        <f ca="1">goldenOTP_check!Y17*Y73</f>
        <v>1211.4959999999999</v>
      </c>
    </row>
    <row r="18" spans="2:25" x14ac:dyDescent="0.3">
      <c r="B18" s="6">
        <v>15</v>
      </c>
      <c r="C18" s="9">
        <v>4.5179999999999998</v>
      </c>
      <c r="D18" s="9">
        <v>4.0279999999999996</v>
      </c>
      <c r="E18" s="9">
        <v>4.0270000000000001</v>
      </c>
      <c r="F18" s="9">
        <v>3.7909999999999999</v>
      </c>
      <c r="I18" s="2">
        <f ca="1">goldenOTP_check!I18*I74</f>
        <v>1240.421</v>
      </c>
      <c r="J18" s="2">
        <f ca="1">goldenOTP_check!J18*J74</f>
        <v>1253.2080000000001</v>
      </c>
      <c r="K18" s="2">
        <f ca="1">goldenOTP_check!K18*K74</f>
        <v>1245.998</v>
      </c>
      <c r="L18" s="2">
        <f ca="1">goldenOTP_check!L18*L74</f>
        <v>1246.0319999999999</v>
      </c>
      <c r="M18" s="2">
        <f ca="1">goldenOTP_check!M18*M74</f>
        <v>1228.2</v>
      </c>
      <c r="N18" s="2">
        <f ca="1">goldenOTP_check!N18*N74</f>
        <v>1210.8489999999999</v>
      </c>
      <c r="O18" s="2">
        <f ca="1">goldenOTP_check!O18*O74</f>
        <v>1191.173</v>
      </c>
      <c r="P18" s="2">
        <f ca="1">goldenOTP_check!P18*P74</f>
        <v>1174.53</v>
      </c>
      <c r="Q18" s="2">
        <f ca="1">goldenOTP_check!Q18*Q74</f>
        <v>1173.8719999999998</v>
      </c>
      <c r="R18" s="2">
        <f ca="1">goldenOTP_check!R18*R74</f>
        <v>1176.7349999999999</v>
      </c>
      <c r="S18" s="2">
        <f ca="1">goldenOTP_check!S18*S74</f>
        <v>1194.6579999999999</v>
      </c>
      <c r="T18" s="2">
        <f ca="1">goldenOTP_check!T18*T74</f>
        <v>1216.6179999999999</v>
      </c>
      <c r="U18" s="2">
        <f ca="1">goldenOTP_check!U18*U74</f>
        <v>1238.55</v>
      </c>
      <c r="V18" s="2">
        <f ca="1">goldenOTP_check!V18*V74</f>
        <v>1244.925</v>
      </c>
      <c r="W18" s="2">
        <f ca="1">goldenOTP_check!W18*W74</f>
        <v>1245.0130000000001</v>
      </c>
      <c r="X18" s="2">
        <f ca="1">goldenOTP_check!X18*X74</f>
        <v>1262.6079999999999</v>
      </c>
      <c r="Y18" s="2">
        <f ca="1">goldenOTP_check!Y18*Y74</f>
        <v>1258.49</v>
      </c>
    </row>
    <row r="19" spans="2:25" x14ac:dyDescent="0.3">
      <c r="B19" s="6">
        <v>16</v>
      </c>
      <c r="C19" s="9">
        <v>4.8719999999999999</v>
      </c>
      <c r="D19" s="9">
        <v>4.4269999999999996</v>
      </c>
      <c r="E19" s="9">
        <v>4.4240000000000004</v>
      </c>
      <c r="F19" s="9">
        <v>4.1630000000000003</v>
      </c>
      <c r="I19" s="2">
        <f ca="1">goldenOTP_check!I19*I75</f>
        <v>1251.607</v>
      </c>
      <c r="J19" s="2">
        <f ca="1">goldenOTP_check!J19*J75</f>
        <v>1242.951</v>
      </c>
      <c r="K19" s="2">
        <f ca="1">goldenOTP_check!K19*K75</f>
        <v>1235.2080000000001</v>
      </c>
      <c r="L19" s="2">
        <f ca="1">goldenOTP_check!L19*L75</f>
        <v>1232.0360000000001</v>
      </c>
      <c r="M19" s="2">
        <f ca="1">goldenOTP_check!M19*M75</f>
        <v>1213.413</v>
      </c>
      <c r="N19" s="2">
        <f ca="1">goldenOTP_check!N19*N75</f>
        <v>1192.4280000000001</v>
      </c>
      <c r="O19" s="2">
        <f ca="1">goldenOTP_check!O19*O75</f>
        <v>1163.752</v>
      </c>
      <c r="P19" s="2">
        <f ca="1">goldenOTP_check!P19*P75</f>
        <v>1136.191</v>
      </c>
      <c r="Q19" s="2">
        <f ca="1">goldenOTP_check!Q19*Q75</f>
        <v>1126.098</v>
      </c>
      <c r="R19" s="2">
        <f ca="1">goldenOTP_check!R19*R75</f>
        <v>1137.0320000000002</v>
      </c>
      <c r="S19" s="2">
        <f ca="1">goldenOTP_check!S19*S75</f>
        <v>1162.9560000000001</v>
      </c>
      <c r="T19" s="2">
        <f ca="1">goldenOTP_check!T19*T75</f>
        <v>1192.4280000000001</v>
      </c>
      <c r="U19" s="2">
        <f ca="1">goldenOTP_check!U19*U75</f>
        <v>1218.5409999999999</v>
      </c>
      <c r="V19" s="2">
        <f ca="1">goldenOTP_check!V19*V75</f>
        <v>1243.2160000000001</v>
      </c>
      <c r="W19" s="2">
        <f ca="1">goldenOTP_check!W19*W75</f>
        <v>1253.4859999999999</v>
      </c>
      <c r="X19" s="2">
        <f ca="1">goldenOTP_check!X19*X75</f>
        <v>1257.6750000000002</v>
      </c>
      <c r="Y19" s="2">
        <f ca="1">goldenOTP_check!Y19*Y75</f>
        <v>1262.5830000000001</v>
      </c>
    </row>
    <row r="20" spans="2:25" x14ac:dyDescent="0.3">
      <c r="B20" s="6">
        <v>17</v>
      </c>
      <c r="C20" s="9">
        <v>4.593</v>
      </c>
      <c r="D20" s="9">
        <v>4.1070000000000002</v>
      </c>
      <c r="E20" s="9">
        <v>4.1059999999999999</v>
      </c>
      <c r="F20" s="9">
        <v>3.9039999999999999</v>
      </c>
      <c r="I20" s="2">
        <f ca="1">goldenOTP_check!I20*I76</f>
        <v>1240.7340000000002</v>
      </c>
      <c r="J20" s="2">
        <f ca="1">goldenOTP_check!J20*J76</f>
        <v>1244.1389999999999</v>
      </c>
      <c r="K20" s="2">
        <f ca="1">goldenOTP_check!K20*K76</f>
        <v>1231.5439999999999</v>
      </c>
      <c r="L20" s="2">
        <f ca="1">goldenOTP_check!L20*L76</f>
        <v>1227.5520000000001</v>
      </c>
      <c r="M20" s="2">
        <f ca="1">goldenOTP_check!M20*M76</f>
        <v>1200.42</v>
      </c>
      <c r="N20" s="2">
        <f ca="1">goldenOTP_check!N20*N76</f>
        <v>1164.548</v>
      </c>
      <c r="O20" s="2">
        <f ca="1">goldenOTP_check!O20*O76</f>
        <v>1123.0899999999999</v>
      </c>
      <c r="P20" s="2">
        <f ca="1">goldenOTP_check!P20*P76</f>
        <v>1091.9090000000001</v>
      </c>
      <c r="Q20" s="2">
        <f ca="1">goldenOTP_check!Q20*Q76</f>
        <v>1079.1199999999999</v>
      </c>
      <c r="R20" s="2">
        <f ca="1">goldenOTP_check!R20*R76</f>
        <v>1092.8319999999999</v>
      </c>
      <c r="S20" s="2">
        <f ca="1">goldenOTP_check!S20*S76</f>
        <v>1124.838</v>
      </c>
      <c r="T20" s="2">
        <f ca="1">goldenOTP_check!T20*T76</f>
        <v>1166.1400000000001</v>
      </c>
      <c r="U20" s="2">
        <f ca="1">goldenOTP_check!U20*U76</f>
        <v>1209.546</v>
      </c>
      <c r="V20" s="2">
        <f ca="1">goldenOTP_check!V20*V76</f>
        <v>1231.3259999999998</v>
      </c>
      <c r="W20" s="2">
        <f ca="1">goldenOTP_check!W20*W76</f>
        <v>1247.4780000000001</v>
      </c>
      <c r="X20" s="2">
        <f ca="1">goldenOTP_check!X20*X76</f>
        <v>1255.0639999999999</v>
      </c>
      <c r="Y20" s="2">
        <f ca="1">goldenOTP_check!Y20*Y76</f>
        <v>1244.364</v>
      </c>
    </row>
    <row r="21" spans="2:25" x14ac:dyDescent="0.3">
      <c r="B21" s="6">
        <v>18</v>
      </c>
      <c r="C21" s="9">
        <v>4.1230000000000002</v>
      </c>
      <c r="D21" s="9">
        <v>3.6629999999999998</v>
      </c>
      <c r="E21" s="9">
        <v>3.6640000000000001</v>
      </c>
      <c r="F21" s="9">
        <v>3.4870000000000001</v>
      </c>
      <c r="I21" s="2">
        <f ca="1">goldenOTP_check!I21*I77</f>
        <v>1221.6479999999999</v>
      </c>
      <c r="J21" s="2">
        <f ca="1">goldenOTP_check!J21*J77</f>
        <v>1242.126</v>
      </c>
      <c r="K21" s="2">
        <f ca="1">goldenOTP_check!K21*K77</f>
        <v>1230.6559999999999</v>
      </c>
      <c r="L21" s="2">
        <f ca="1">goldenOTP_check!L21*L77</f>
        <v>1219.212</v>
      </c>
      <c r="M21" s="2">
        <f ca="1">goldenOTP_check!M21*M77</f>
        <v>1195.9469999999999</v>
      </c>
      <c r="N21" s="2">
        <f ca="1">goldenOTP_check!N21*N77</f>
        <v>1141.2539999999999</v>
      </c>
      <c r="O21" s="2">
        <f ca="1">goldenOTP_check!O21*O77</f>
        <v>1096.22</v>
      </c>
      <c r="P21" s="2">
        <f ca="1">goldenOTP_check!P21*P77</f>
        <v>1051.4460000000001</v>
      </c>
      <c r="Q21" s="2">
        <f ca="1">goldenOTP_check!Q21*Q77</f>
        <v>1034.8</v>
      </c>
      <c r="R21" s="2">
        <f ca="1">goldenOTP_check!R21*R77</f>
        <v>1057.3200000000002</v>
      </c>
      <c r="S21" s="2">
        <f ca="1">goldenOTP_check!S21*S77</f>
        <v>1105.51</v>
      </c>
      <c r="T21" s="2">
        <f ca="1">goldenOTP_check!T21*T77</f>
        <v>1151.4059999999999</v>
      </c>
      <c r="U21" s="2">
        <f ca="1">goldenOTP_check!U21*U77</f>
        <v>1196.7149999999999</v>
      </c>
      <c r="V21" s="2">
        <f ca="1">goldenOTP_check!V21*V77</f>
        <v>1231.932</v>
      </c>
      <c r="W21" s="2">
        <f ca="1">goldenOTP_check!W21*W77</f>
        <v>1244.5920000000001</v>
      </c>
      <c r="X21" s="2">
        <f ca="1">goldenOTP_check!X21*X77</f>
        <v>1249.827</v>
      </c>
      <c r="Y21" s="2">
        <f ca="1">goldenOTP_check!Y21*Y77</f>
        <v>1241.46</v>
      </c>
    </row>
    <row r="22" spans="2:25" x14ac:dyDescent="0.3">
      <c r="B22" s="6">
        <v>19</v>
      </c>
      <c r="C22" s="9">
        <v>3.548</v>
      </c>
      <c r="D22" s="9">
        <v>3.1560000000000001</v>
      </c>
      <c r="E22" s="9">
        <v>3.1579999999999999</v>
      </c>
      <c r="F22" s="9">
        <v>3.0179999999999998</v>
      </c>
      <c r="I22" s="2">
        <f ca="1">goldenOTP_check!I22*I78</f>
        <v>1225.854</v>
      </c>
      <c r="J22" s="2">
        <f ca="1">goldenOTP_check!J22*J78</f>
        <v>1246.1849999999999</v>
      </c>
      <c r="K22" s="2">
        <f ca="1">goldenOTP_check!K22*K78</f>
        <v>1241.69</v>
      </c>
      <c r="L22" s="2">
        <f ca="1">goldenOTP_check!L22*L78</f>
        <v>1232.211</v>
      </c>
      <c r="M22" s="2">
        <f ca="1">goldenOTP_check!M22*M78</f>
        <v>1187.028</v>
      </c>
      <c r="N22" s="2">
        <f ca="1">goldenOTP_check!N22*N78</f>
        <v>1135.7080000000001</v>
      </c>
      <c r="O22" s="2">
        <f ca="1">goldenOTP_check!O22*O78</f>
        <v>1087.944</v>
      </c>
      <c r="P22" s="2">
        <f ca="1">goldenOTP_check!P22*P78</f>
        <v>1036.0349999999999</v>
      </c>
      <c r="Q22" s="2">
        <f ca="1">goldenOTP_check!Q22*Q78</f>
        <v>1027.0920000000001</v>
      </c>
      <c r="R22" s="2">
        <f ca="1">goldenOTP_check!R22*R78</f>
        <v>1040.039</v>
      </c>
      <c r="S22" s="2">
        <f ca="1">goldenOTP_check!S22*S78</f>
        <v>1097.454</v>
      </c>
      <c r="T22" s="2">
        <f ca="1">goldenOTP_check!T22*T78</f>
        <v>1146.0640000000001</v>
      </c>
      <c r="U22" s="2">
        <f ca="1">goldenOTP_check!U22*U78</f>
        <v>1198.3979999999999</v>
      </c>
      <c r="V22" s="2">
        <f ca="1">goldenOTP_check!V22*V78</f>
        <v>1234.4759999999999</v>
      </c>
      <c r="W22" s="2">
        <f ca="1">goldenOTP_check!W22*W78</f>
        <v>1254.818</v>
      </c>
      <c r="X22" s="2">
        <f ca="1">goldenOTP_check!X22*X78</f>
        <v>1253.529</v>
      </c>
      <c r="Y22" s="2">
        <f ca="1">goldenOTP_check!Y22*Y78</f>
        <v>1220.5620000000001</v>
      </c>
    </row>
    <row r="23" spans="2:25" x14ac:dyDescent="0.3">
      <c r="B23" s="6">
        <v>20</v>
      </c>
      <c r="C23" s="9">
        <v>3.0670000000000002</v>
      </c>
      <c r="D23" s="9">
        <v>2.7349999999999999</v>
      </c>
      <c r="E23" s="9">
        <v>2.7370000000000001</v>
      </c>
      <c r="F23" s="9">
        <v>2.6240000000000001</v>
      </c>
      <c r="I23" s="2">
        <f ca="1">goldenOTP_check!I23*I79</f>
        <v>1219.4159999999999</v>
      </c>
      <c r="J23" s="2">
        <f ca="1">goldenOTP_check!J23*J79</f>
        <v>1244.8440000000001</v>
      </c>
      <c r="K23" s="2">
        <f ca="1">goldenOTP_check!K23*K79</f>
        <v>1252.02</v>
      </c>
      <c r="L23" s="2">
        <f ca="1">goldenOTP_check!L23*L79</f>
        <v>1238.412</v>
      </c>
      <c r="M23" s="2">
        <f ca="1">goldenOTP_check!M23*M79</f>
        <v>1206.405</v>
      </c>
      <c r="N23" s="2">
        <f ca="1">goldenOTP_check!N23*N79</f>
        <v>1157.8679999999999</v>
      </c>
      <c r="O23" s="2">
        <f ca="1">goldenOTP_check!O23*O79</f>
        <v>1108.9099999999999</v>
      </c>
      <c r="P23" s="2">
        <f ca="1">goldenOTP_check!P23*P79</f>
        <v>1058.7840000000001</v>
      </c>
      <c r="Q23" s="2">
        <f ca="1">goldenOTP_check!Q23*Q79</f>
        <v>1039.038</v>
      </c>
      <c r="R23" s="2">
        <f ca="1">goldenOTP_check!R23*R79</f>
        <v>1061.7359999999999</v>
      </c>
      <c r="S23" s="2">
        <f ca="1">goldenOTP_check!S23*S79</f>
        <v>1104.5810000000001</v>
      </c>
      <c r="T23" s="2">
        <f ca="1">goldenOTP_check!T23*T79</f>
        <v>1152.2520000000002</v>
      </c>
      <c r="U23" s="2">
        <f ca="1">goldenOTP_check!U23*U79</f>
        <v>1201.1610000000001</v>
      </c>
      <c r="V23" s="2">
        <f ca="1">goldenOTP_check!V23*V79</f>
        <v>1238.9279999999999</v>
      </c>
      <c r="W23" s="2">
        <f ca="1">goldenOTP_check!W23*W79</f>
        <v>1253.704</v>
      </c>
      <c r="X23" s="2">
        <f ca="1">goldenOTP_check!X23*X79</f>
        <v>1257.528</v>
      </c>
      <c r="Y23" s="2">
        <f ca="1">goldenOTP_check!Y23*Y79</f>
        <v>1246.3999999999999</v>
      </c>
    </row>
    <row r="24" spans="2:25" x14ac:dyDescent="0.3">
      <c r="B24" s="6">
        <v>21</v>
      </c>
      <c r="C24" s="9">
        <v>2.7210000000000001</v>
      </c>
      <c r="D24" s="9">
        <v>2.4350000000000001</v>
      </c>
      <c r="E24" s="9">
        <v>2.4380000000000002</v>
      </c>
      <c r="F24" s="9">
        <v>2.3410000000000002</v>
      </c>
      <c r="I24" s="2">
        <f ca="1">goldenOTP_check!I24*I80</f>
        <v>1242.549</v>
      </c>
      <c r="J24" s="2">
        <f ca="1">goldenOTP_check!J24*J80</f>
        <v>1248.509</v>
      </c>
      <c r="K24" s="2">
        <f ca="1">goldenOTP_check!K24*K80</f>
        <v>1238.74</v>
      </c>
      <c r="L24" s="2">
        <f ca="1">goldenOTP_check!L24*L80</f>
        <v>1237.2800000000002</v>
      </c>
      <c r="M24" s="2">
        <f ca="1">goldenOTP_check!M24*M80</f>
        <v>1220.5919999999999</v>
      </c>
      <c r="N24" s="2">
        <f ca="1">goldenOTP_check!N24*N80</f>
        <v>1182.1479999999999</v>
      </c>
      <c r="O24" s="2">
        <f ca="1">goldenOTP_check!O24*O80</f>
        <v>1138.3049999999998</v>
      </c>
      <c r="P24" s="2">
        <f ca="1">goldenOTP_check!P24*P80</f>
        <v>1107.3679999999999</v>
      </c>
      <c r="Q24" s="2">
        <f ca="1">goldenOTP_check!Q24*Q80</f>
        <v>1100.307</v>
      </c>
      <c r="R24" s="2">
        <f ca="1">goldenOTP_check!R24*R80</f>
        <v>1105.51</v>
      </c>
      <c r="S24" s="2">
        <f ca="1">goldenOTP_check!S24*S80</f>
        <v>1135.6680000000001</v>
      </c>
      <c r="T24" s="2">
        <f ca="1">goldenOTP_check!T24*T80</f>
        <v>1169.3240000000001</v>
      </c>
      <c r="U24" s="2">
        <f ca="1">goldenOTP_check!U24*U80</f>
        <v>1213.758</v>
      </c>
      <c r="V24" s="2">
        <f ca="1">goldenOTP_check!V24*V80</f>
        <v>1248.8319999999999</v>
      </c>
      <c r="W24" s="2">
        <f ca="1">goldenOTP_check!W24*W80</f>
        <v>1253.646</v>
      </c>
      <c r="X24" s="2">
        <f ca="1">goldenOTP_check!X24*X80</f>
        <v>1260.308</v>
      </c>
      <c r="Y24" s="2">
        <f ca="1">goldenOTP_check!Y24*Y80</f>
        <v>1247.6309999999999</v>
      </c>
    </row>
    <row r="25" spans="2:25" x14ac:dyDescent="0.3">
      <c r="B25" s="6">
        <v>22</v>
      </c>
      <c r="C25" s="9">
        <v>2.4409999999999998</v>
      </c>
      <c r="D25" s="9">
        <v>2.194</v>
      </c>
      <c r="E25" s="9">
        <v>2.1970000000000001</v>
      </c>
      <c r="F25" s="9">
        <v>2.117</v>
      </c>
      <c r="I25" s="2">
        <f ca="1">goldenOTP_check!I25*I81</f>
        <v>1254.3510000000001</v>
      </c>
      <c r="J25" s="2">
        <f ca="1">goldenOTP_check!J25*J81</f>
        <v>1248.6769999999999</v>
      </c>
      <c r="K25" s="2">
        <f ca="1">goldenOTP_check!K25*K81</f>
        <v>1242.423</v>
      </c>
      <c r="L25" s="2">
        <f ca="1">goldenOTP_check!L25*L81</f>
        <v>1249.8240000000001</v>
      </c>
      <c r="M25" s="2">
        <f ca="1">goldenOTP_check!M25*M81</f>
        <v>1231.241</v>
      </c>
      <c r="N25" s="2">
        <f ca="1">goldenOTP_check!N25*N81</f>
        <v>1209.6100000000001</v>
      </c>
      <c r="O25" s="2">
        <f ca="1">goldenOTP_check!O25*O81</f>
        <v>1174.896</v>
      </c>
      <c r="P25" s="2">
        <f ca="1">goldenOTP_check!P25*P81</f>
        <v>1157.3280000000002</v>
      </c>
      <c r="Q25" s="2">
        <f ca="1">goldenOTP_check!Q25*Q81</f>
        <v>1151.242</v>
      </c>
      <c r="R25" s="2">
        <f ca="1">goldenOTP_check!R25*R81</f>
        <v>1159.02</v>
      </c>
      <c r="S25" s="2">
        <f ca="1">goldenOTP_check!S25*S81</f>
        <v>1174.896</v>
      </c>
      <c r="T25" s="2">
        <f ca="1">goldenOTP_check!T25*T81</f>
        <v>1211.8</v>
      </c>
      <c r="U25" s="2">
        <f ca="1">goldenOTP_check!U25*U81</f>
        <v>1235.77</v>
      </c>
      <c r="V25" s="2">
        <f ca="1">goldenOTP_check!V25*V81</f>
        <v>1246.57</v>
      </c>
      <c r="W25" s="2">
        <f ca="1">goldenOTP_check!W25*W81</f>
        <v>1254.9290000000001</v>
      </c>
      <c r="X25" s="2">
        <f ca="1">goldenOTP_check!X25*X81</f>
        <v>1253.585</v>
      </c>
      <c r="Y25" s="2">
        <f ca="1">goldenOTP_check!Y25*Y81</f>
        <v>1256.4089999999999</v>
      </c>
    </row>
    <row r="26" spans="2:25" x14ac:dyDescent="0.3">
      <c r="B26" s="6">
        <v>23</v>
      </c>
      <c r="C26" s="9">
        <v>2.23</v>
      </c>
      <c r="D26" s="9">
        <v>2.0139999999999998</v>
      </c>
      <c r="E26" s="9">
        <v>2.0179999999999998</v>
      </c>
      <c r="F26" s="9">
        <v>1.9490000000000001</v>
      </c>
      <c r="I26" s="2">
        <f ca="1">goldenOTP_check!I26*I82</f>
        <v>1246.761</v>
      </c>
      <c r="J26" s="2">
        <f ca="1">goldenOTP_check!J26*J82</f>
        <v>1259.9759999999999</v>
      </c>
      <c r="K26" s="2">
        <f ca="1">goldenOTP_check!K26*K82</f>
        <v>1239.3319999999999</v>
      </c>
      <c r="L26" s="2">
        <f ca="1">goldenOTP_check!L26*L82</f>
        <v>1255.703</v>
      </c>
      <c r="M26" s="2">
        <f ca="1">goldenOTP_check!M26*M82</f>
        <v>1241.425</v>
      </c>
      <c r="N26" s="2">
        <f ca="1">goldenOTP_check!N26*N82</f>
        <v>1236.4169999999999</v>
      </c>
      <c r="O26" s="2">
        <f ca="1">goldenOTP_check!O26*O82</f>
        <v>1215.162</v>
      </c>
      <c r="P26" s="2">
        <f ca="1">goldenOTP_check!P26*P82</f>
        <v>1199.6790000000001</v>
      </c>
      <c r="Q26" s="2">
        <f ca="1">goldenOTP_check!Q26*Q82</f>
        <v>1191.1680000000001</v>
      </c>
      <c r="R26" s="2">
        <f ca="1">goldenOTP_check!R26*R82</f>
        <v>1204.866</v>
      </c>
      <c r="S26" s="2">
        <f ca="1">goldenOTP_check!S26*S82</f>
        <v>1222.884</v>
      </c>
      <c r="T26" s="2">
        <f ca="1">goldenOTP_check!T26*T82</f>
        <v>1232.002</v>
      </c>
      <c r="U26" s="2">
        <f ca="1">goldenOTP_check!U26*U82</f>
        <v>1246.0249999999999</v>
      </c>
      <c r="V26" s="2">
        <f ca="1">goldenOTP_check!V26*V82</f>
        <v>1246.4340000000002</v>
      </c>
      <c r="W26" s="2">
        <f ca="1">goldenOTP_check!W26*W82</f>
        <v>1243.2650000000001</v>
      </c>
      <c r="X26" s="2">
        <f ca="1">goldenOTP_check!X26*X82</f>
        <v>1259.9759999999999</v>
      </c>
      <c r="Y26" s="2">
        <f ca="1">goldenOTP_check!Y26*Y82</f>
        <v>1255.6369999999999</v>
      </c>
    </row>
    <row r="27" spans="2:25" x14ac:dyDescent="0.3">
      <c r="B27" s="6">
        <v>24</v>
      </c>
      <c r="C27" s="9">
        <v>2.1030000000000002</v>
      </c>
      <c r="D27" s="9">
        <v>1.907</v>
      </c>
      <c r="E27" s="9">
        <v>1.909</v>
      </c>
      <c r="F27" s="9">
        <v>1.8460000000000001</v>
      </c>
      <c r="I27" s="2">
        <f ca="1">goldenOTP_check!I27*I83</f>
        <v>1202.1210000000001</v>
      </c>
      <c r="J27" s="2">
        <f ca="1">goldenOTP_check!J27*J83</f>
        <v>1266.0129999999999</v>
      </c>
      <c r="K27" s="2">
        <f ca="1">goldenOTP_check!K27*K83</f>
        <v>1255.242</v>
      </c>
      <c r="L27" s="2">
        <f ca="1">goldenOTP_check!L27*L83</f>
        <v>1245.4399999999998</v>
      </c>
      <c r="M27" s="2">
        <f ca="1">goldenOTP_check!M27*M83</f>
        <v>1246.4340000000002</v>
      </c>
      <c r="N27" s="2">
        <f ca="1">goldenOTP_check!N27*N83</f>
        <v>1247.6880000000001</v>
      </c>
      <c r="O27" s="2">
        <f ca="1">goldenOTP_check!O27*O83</f>
        <v>1236.1499999999999</v>
      </c>
      <c r="P27" s="2">
        <f ca="1">goldenOTP_check!P27*P83</f>
        <v>1233.204</v>
      </c>
      <c r="Q27" s="2">
        <f ca="1">goldenOTP_check!Q27*Q83</f>
        <v>1220.4639999999999</v>
      </c>
      <c r="R27" s="2">
        <f ca="1">goldenOTP_check!R27*R83</f>
        <v>1235.1120000000001</v>
      </c>
      <c r="S27" s="2">
        <f ca="1">goldenOTP_check!S27*S83</f>
        <v>1239.768</v>
      </c>
      <c r="T27" s="2">
        <f ca="1">goldenOTP_check!T27*T83</f>
        <v>1252.7190000000001</v>
      </c>
      <c r="U27" s="2">
        <f ca="1">goldenOTP_check!U27*U83</f>
        <v>1253.4759999999999</v>
      </c>
      <c r="V27" s="2">
        <f ca="1">goldenOTP_check!V27*V83</f>
        <v>1249.92</v>
      </c>
      <c r="W27" s="2">
        <f ca="1">goldenOTP_check!W27*W83</f>
        <v>1253.277</v>
      </c>
      <c r="X27" s="2">
        <f ca="1">goldenOTP_check!X27*X83</f>
        <v>1271.1579999999999</v>
      </c>
      <c r="Y27" s="2">
        <f ca="1">goldenOTP_check!Y27*Y83</f>
        <v>1238.2049999999999</v>
      </c>
    </row>
    <row r="28" spans="2:25" x14ac:dyDescent="0.3">
      <c r="B28" s="6">
        <v>25</v>
      </c>
      <c r="C28" s="9">
        <v>2.0640000000000001</v>
      </c>
      <c r="D28" s="9">
        <v>1.875</v>
      </c>
      <c r="E28" s="9">
        <v>1.877</v>
      </c>
      <c r="F28" s="9">
        <v>1.8120000000000001</v>
      </c>
      <c r="I28" s="10">
        <f ca="1">goldenOTP_check!I28*I84</f>
        <v>1148.3610000000001</v>
      </c>
      <c r="J28" s="2">
        <f ca="1">goldenOTP_check!J28*J84</f>
        <v>1201.3819999999998</v>
      </c>
      <c r="K28" s="2">
        <f ca="1">goldenOTP_check!K28*K84</f>
        <v>1244.309</v>
      </c>
      <c r="L28" s="2">
        <f ca="1">goldenOTP_check!L28*L84</f>
        <v>1246.7450000000001</v>
      </c>
      <c r="M28" s="2">
        <f ca="1">goldenOTP_check!M28*M84</f>
        <v>1231.23</v>
      </c>
      <c r="N28" s="2">
        <f ca="1">goldenOTP_check!N28*N84</f>
        <v>1237.98</v>
      </c>
      <c r="O28" s="2">
        <f ca="1">goldenOTP_check!O28*O84</f>
        <v>1243.164</v>
      </c>
      <c r="P28" s="2">
        <f ca="1">goldenOTP_check!P28*P84</f>
        <v>1224.3</v>
      </c>
      <c r="Q28" s="2">
        <f ca="1">goldenOTP_check!Q28*Q84</f>
        <v>1234.172</v>
      </c>
      <c r="R28" s="2">
        <f ca="1">goldenOTP_check!R28*R84</f>
        <v>1224.825</v>
      </c>
      <c r="S28" s="2">
        <f ca="1">goldenOTP_check!S28*S84</f>
        <v>1241.643</v>
      </c>
      <c r="T28" s="2">
        <f ca="1">goldenOTP_check!T28*T84</f>
        <v>1236.0999999999999</v>
      </c>
      <c r="U28" s="2">
        <f ca="1">goldenOTP_check!U28*U84</f>
        <v>1230.8010000000002</v>
      </c>
      <c r="V28" s="2">
        <f ca="1">goldenOTP_check!V28*V84</f>
        <v>1248.69</v>
      </c>
      <c r="W28" s="2">
        <f ca="1">goldenOTP_check!W28*W84</f>
        <v>1255.221</v>
      </c>
      <c r="X28" s="2">
        <f ca="1">goldenOTP_check!X28*X84</f>
        <v>1233.973</v>
      </c>
      <c r="Y28" s="10">
        <f ca="1">goldenOTP_check!Y28*Y84</f>
        <v>1220.722</v>
      </c>
    </row>
    <row r="29" spans="2:25" x14ac:dyDescent="0.3">
      <c r="B29" s="6">
        <v>26</v>
      </c>
      <c r="C29" s="9">
        <v>2.1160000000000001</v>
      </c>
      <c r="D29" s="9">
        <v>1.9159999999999999</v>
      </c>
      <c r="E29" s="9">
        <v>1.917</v>
      </c>
      <c r="F29" s="9">
        <v>1.8520000000000001</v>
      </c>
    </row>
    <row r="30" spans="2:25" x14ac:dyDescent="0.3">
      <c r="B30" s="6">
        <v>27</v>
      </c>
      <c r="C30" s="9">
        <v>2.2530000000000001</v>
      </c>
      <c r="D30" s="9">
        <v>2.028</v>
      </c>
      <c r="E30" s="9">
        <v>2.0299999999999998</v>
      </c>
      <c r="F30" s="9">
        <v>1.9590000000000001</v>
      </c>
      <c r="H30" t="s">
        <v>2</v>
      </c>
      <c r="I30" s="11">
        <f ca="1">goldenOTP_check!I30*I86</f>
        <v>1084.6799999999998</v>
      </c>
      <c r="J30" s="2">
        <f ca="1">goldenOTP_check!J30*J86</f>
        <v>1194.9299999999998</v>
      </c>
      <c r="K30" s="2">
        <f ca="1">goldenOTP_check!K30*K86</f>
        <v>1255.6380000000001</v>
      </c>
      <c r="L30" s="2">
        <f ca="1">goldenOTP_check!L30*L86</f>
        <v>1247.0039999999999</v>
      </c>
      <c r="M30" s="2">
        <f ca="1">goldenOTP_check!M30*M86</f>
        <v>1219.365</v>
      </c>
      <c r="N30" s="2">
        <f ca="1">goldenOTP_check!N30*N86</f>
        <v>1226.337</v>
      </c>
      <c r="O30" s="2">
        <f ca="1">goldenOTP_check!O30*O86</f>
        <v>1228.1780000000001</v>
      </c>
      <c r="P30" s="2">
        <f ca="1">goldenOTP_check!P30*P86</f>
        <v>1236.1439999999998</v>
      </c>
      <c r="Q30" s="2">
        <f ca="1">goldenOTP_check!Q30*Q86</f>
        <v>1227.0149999999999</v>
      </c>
      <c r="R30" s="2">
        <f ca="1">goldenOTP_check!R30*R86</f>
        <v>1241.058</v>
      </c>
      <c r="S30" s="2">
        <f ca="1">goldenOTP_check!S30*S86</f>
        <v>1232.3219999999999</v>
      </c>
      <c r="T30" s="2">
        <f ca="1">goldenOTP_check!T30*T86</f>
        <v>1233.0989999999999</v>
      </c>
      <c r="U30" s="2">
        <f ca="1">goldenOTP_check!U30*U86</f>
        <v>1227.3029999999999</v>
      </c>
      <c r="V30" s="2">
        <f ca="1">goldenOTP_check!V30*V86</f>
        <v>1253.8380000000002</v>
      </c>
      <c r="W30" s="2">
        <f ca="1">goldenOTP_check!W30*W86</f>
        <v>1267.674</v>
      </c>
      <c r="X30" s="2">
        <f ca="1">goldenOTP_check!X30*X86</f>
        <v>1232.2619999999999</v>
      </c>
      <c r="Y30" s="11">
        <f ca="1">goldenOTP_check!Y30*Y86</f>
        <v>1159.0880000000002</v>
      </c>
    </row>
    <row r="31" spans="2:25" x14ac:dyDescent="0.3">
      <c r="B31" s="6">
        <v>28</v>
      </c>
      <c r="C31" s="9">
        <v>2.4710000000000001</v>
      </c>
      <c r="D31" s="9">
        <v>2.2090000000000001</v>
      </c>
      <c r="E31" s="9">
        <v>2.2109999999999999</v>
      </c>
      <c r="F31" s="9">
        <v>2.1269999999999998</v>
      </c>
      <c r="H31" t="s">
        <v>6</v>
      </c>
      <c r="I31" s="2">
        <f ca="1">goldenOTP_check!I31*I87</f>
        <v>1194.846</v>
      </c>
      <c r="J31" s="2">
        <f ca="1">goldenOTP_check!J31*J87</f>
        <v>1256.752</v>
      </c>
      <c r="K31" s="2">
        <f ca="1">goldenOTP_check!K31*K87</f>
        <v>1256.884</v>
      </c>
      <c r="L31" s="2">
        <f ca="1">goldenOTP_check!L31*L87</f>
        <v>1239.8610000000001</v>
      </c>
      <c r="M31" s="2">
        <f ca="1">goldenOTP_check!M31*M87</f>
        <v>1253.1320000000001</v>
      </c>
      <c r="N31" s="2">
        <f ca="1">goldenOTP_check!N31*N87</f>
        <v>1239.1079999999999</v>
      </c>
      <c r="O31" s="2">
        <f ca="1">goldenOTP_check!O31*O87</f>
        <v>1239.0519999999999</v>
      </c>
      <c r="P31" s="2">
        <f ca="1">goldenOTP_check!P31*P87</f>
        <v>1223.6690000000001</v>
      </c>
      <c r="Q31" s="2">
        <f ca="1">goldenOTP_check!Q31*Q87</f>
        <v>1225.681</v>
      </c>
      <c r="R31" s="2">
        <f ca="1">goldenOTP_check!R31*R87</f>
        <v>1228.797</v>
      </c>
      <c r="S31" s="2">
        <f ca="1">goldenOTP_check!S31*S87</f>
        <v>1246.4199999999998</v>
      </c>
      <c r="T31" s="2">
        <f ca="1">goldenOTP_check!T31*T87</f>
        <v>1247.0039999999999</v>
      </c>
      <c r="U31" s="2">
        <f ca="1">goldenOTP_check!U31*U87</f>
        <v>1264.44</v>
      </c>
      <c r="V31" s="2">
        <f ca="1">goldenOTP_check!V31*V87</f>
        <v>1251.6389999999999</v>
      </c>
      <c r="W31" s="2">
        <f ca="1">goldenOTP_check!W31*W87</f>
        <v>1264.8440000000001</v>
      </c>
      <c r="X31" s="2">
        <f ca="1">goldenOTP_check!X31*X87</f>
        <v>1270.1289999999999</v>
      </c>
      <c r="Y31" s="2">
        <f ca="1">goldenOTP_check!Y31*Y87</f>
        <v>1231.221</v>
      </c>
    </row>
    <row r="32" spans="2:25" x14ac:dyDescent="0.3">
      <c r="B32" s="6">
        <v>29</v>
      </c>
      <c r="C32" s="9">
        <v>2.7650000000000001</v>
      </c>
      <c r="D32" s="9">
        <v>2.4590000000000001</v>
      </c>
      <c r="E32" s="9">
        <v>2.46</v>
      </c>
      <c r="F32" s="9">
        <v>2.36</v>
      </c>
      <c r="I32" s="2">
        <f ca="1">goldenOTP_check!I32*I88</f>
        <v>1232.595</v>
      </c>
      <c r="J32" s="2">
        <f ca="1">goldenOTP_check!J32*J88</f>
        <v>1273.588</v>
      </c>
      <c r="K32" s="2">
        <f ca="1">goldenOTP_check!K32*K88</f>
        <v>1246.4399999999998</v>
      </c>
      <c r="L32" s="2">
        <f ca="1">goldenOTP_check!L32*L88</f>
        <v>1246.5409999999999</v>
      </c>
      <c r="M32" s="2">
        <f ca="1">goldenOTP_check!M32*M88</f>
        <v>1242.1779999999999</v>
      </c>
      <c r="N32" s="2">
        <f ca="1">goldenOTP_check!N32*N88</f>
        <v>1234.8230000000001</v>
      </c>
      <c r="O32" s="2">
        <f ca="1">goldenOTP_check!O32*O88</f>
        <v>1212.096</v>
      </c>
      <c r="P32" s="2">
        <f ca="1">goldenOTP_check!P32*P88</f>
        <v>1195.2</v>
      </c>
      <c r="Q32" s="2">
        <f ca="1">goldenOTP_check!Q32*Q88</f>
        <v>1191.806</v>
      </c>
      <c r="R32" s="2">
        <f ca="1">goldenOTP_check!R32*R88</f>
        <v>1195.9469999999999</v>
      </c>
      <c r="S32" s="2">
        <f ca="1">goldenOTP_check!S32*S88</f>
        <v>1214.22</v>
      </c>
      <c r="T32" s="2">
        <f ca="1">goldenOTP_check!T32*T88</f>
        <v>1240.047</v>
      </c>
      <c r="U32" s="2">
        <f ca="1">goldenOTP_check!U32*U88</f>
        <v>1251.4739999999999</v>
      </c>
      <c r="V32" s="2">
        <f ca="1">goldenOTP_check!V32*V88</f>
        <v>1259.2660000000001</v>
      </c>
      <c r="W32" s="2">
        <f ca="1">goldenOTP_check!W32*W88</f>
        <v>1257.932</v>
      </c>
      <c r="X32" s="2">
        <f ca="1">goldenOTP_check!X32*X88</f>
        <v>1281.2280000000001</v>
      </c>
      <c r="Y32" s="2">
        <f ca="1">goldenOTP_check!Y32*Y88</f>
        <v>1280.049</v>
      </c>
    </row>
    <row r="33" spans="2:25" x14ac:dyDescent="0.3">
      <c r="B33" s="6">
        <v>30</v>
      </c>
      <c r="C33" s="9">
        <v>3.117</v>
      </c>
      <c r="D33" s="9">
        <v>2.762</v>
      </c>
      <c r="E33" s="9">
        <v>2.7629999999999999</v>
      </c>
      <c r="F33" s="9">
        <v>2.6419999999999999</v>
      </c>
      <c r="I33" s="2">
        <f ca="1">goldenOTP_check!I33*I89</f>
        <v>1251.607</v>
      </c>
      <c r="J33" s="2">
        <f ca="1">goldenOTP_check!J33*J89</f>
        <v>1242.951</v>
      </c>
      <c r="K33" s="2">
        <f ca="1">goldenOTP_check!K33*K89</f>
        <v>1235.6890000000001</v>
      </c>
      <c r="L33" s="2">
        <f ca="1">goldenOTP_check!L33*L89</f>
        <v>1243.6200000000001</v>
      </c>
      <c r="M33" s="2">
        <f ca="1">goldenOTP_check!M33*M89</f>
        <v>1225.4179999999999</v>
      </c>
      <c r="N33" s="2">
        <f ca="1">goldenOTP_check!N33*N89</f>
        <v>1212.0150000000001</v>
      </c>
      <c r="O33" s="2">
        <f ca="1">goldenOTP_check!O33*O89</f>
        <v>1174.1279999999999</v>
      </c>
      <c r="P33" s="2">
        <f ca="1">goldenOTP_check!P33*P89</f>
        <v>1151.0519999999999</v>
      </c>
      <c r="Q33" s="2">
        <f ca="1">goldenOTP_check!Q33*Q89</f>
        <v>1140.5520000000001</v>
      </c>
      <c r="R33" s="2">
        <f ca="1">goldenOTP_check!R33*R89</f>
        <v>1151.904</v>
      </c>
      <c r="S33" s="2">
        <f ca="1">goldenOTP_check!S33*S89</f>
        <v>1171.722</v>
      </c>
      <c r="T33" s="2">
        <f ca="1">goldenOTP_check!T33*T89</f>
        <v>1202.31</v>
      </c>
      <c r="U33" s="2">
        <f ca="1">goldenOTP_check!U33*U89</f>
        <v>1229.3</v>
      </c>
      <c r="V33" s="2">
        <f ca="1">goldenOTP_check!V33*V89</f>
        <v>1253.7719999999999</v>
      </c>
      <c r="W33" s="2">
        <f ca="1">goldenOTP_check!W33*W89</f>
        <v>1252.5240000000001</v>
      </c>
      <c r="X33" s="2">
        <f ca="1">goldenOTP_check!X33*X89</f>
        <v>1255.6299999999999</v>
      </c>
      <c r="Y33" s="2">
        <f ca="1">goldenOTP_check!Y33*Y89</f>
        <v>1285.8999999999999</v>
      </c>
    </row>
    <row r="34" spans="2:25" x14ac:dyDescent="0.3">
      <c r="B34" s="6">
        <v>31</v>
      </c>
      <c r="C34" s="9">
        <v>3.5910000000000002</v>
      </c>
      <c r="D34" s="9">
        <v>3.1779999999999999</v>
      </c>
      <c r="E34" s="9">
        <v>3.1779999999999999</v>
      </c>
      <c r="F34" s="9">
        <v>3.0289999999999999</v>
      </c>
      <c r="I34" s="2">
        <f ca="1">goldenOTP_check!I34*I90</f>
        <v>1240.7340000000002</v>
      </c>
      <c r="J34" s="2">
        <f ca="1">goldenOTP_check!J34*J90</f>
        <v>1244.1389999999999</v>
      </c>
      <c r="K34" s="2">
        <f ca="1">goldenOTP_check!K34*K90</f>
        <v>1246.4399999999998</v>
      </c>
      <c r="L34" s="2">
        <f ca="1">goldenOTP_check!L34*L90</f>
        <v>1228.1600000000001</v>
      </c>
      <c r="M34" s="2">
        <f ca="1">goldenOTP_check!M34*M90</f>
        <v>1211.3880000000001</v>
      </c>
      <c r="N34" s="2">
        <f ca="1">goldenOTP_check!N34*N90</f>
        <v>1173.326</v>
      </c>
      <c r="O34" s="2">
        <f ca="1">goldenOTP_check!O34*O90</f>
        <v>1130.394</v>
      </c>
      <c r="P34" s="2">
        <f ca="1">goldenOTP_check!P34*P90</f>
        <v>1106.105</v>
      </c>
      <c r="Q34" s="2">
        <f ca="1">goldenOTP_check!Q34*Q90</f>
        <v>1091.7479999999998</v>
      </c>
      <c r="R34" s="2">
        <f ca="1">goldenOTP_check!R34*R90</f>
        <v>1107.04</v>
      </c>
      <c r="S34" s="2">
        <f ca="1">goldenOTP_check!S34*S90</f>
        <v>1131.2729999999999</v>
      </c>
      <c r="T34" s="2">
        <f ca="1">goldenOTP_check!T34*T90</f>
        <v>1174.93</v>
      </c>
      <c r="U34" s="2">
        <f ca="1">goldenOTP_check!U34*U90</f>
        <v>1208.8440000000001</v>
      </c>
      <c r="V34" s="2">
        <f ca="1">goldenOTP_check!V34*V90</f>
        <v>1240.32</v>
      </c>
      <c r="W34" s="2">
        <f ca="1">goldenOTP_check!W34*W90</f>
        <v>1245.9359999999999</v>
      </c>
      <c r="X34" s="2">
        <f ca="1">goldenOTP_check!X34*X90</f>
        <v>1253.316</v>
      </c>
      <c r="Y34" s="2">
        <f ca="1">goldenOTP_check!Y34*Y90</f>
        <v>1241.8229999999999</v>
      </c>
    </row>
    <row r="35" spans="2:25" x14ac:dyDescent="0.3">
      <c r="B35" s="6">
        <v>32</v>
      </c>
      <c r="C35" s="9">
        <v>4.173</v>
      </c>
      <c r="D35" s="9">
        <v>3.7050000000000001</v>
      </c>
      <c r="E35" s="9">
        <v>3.7029999999999998</v>
      </c>
      <c r="F35" s="9">
        <v>3.5139999999999998</v>
      </c>
      <c r="I35" s="2">
        <f ca="1">goldenOTP_check!I35*I91</f>
        <v>1247.9199999999998</v>
      </c>
      <c r="J35" s="2">
        <f ca="1">goldenOTP_check!J35*J91</f>
        <v>1242.126</v>
      </c>
      <c r="K35" s="2">
        <f ca="1">goldenOTP_check!K35*K91</f>
        <v>1230.6559999999999</v>
      </c>
      <c r="L35" s="2">
        <f ca="1">goldenOTP_check!L35*L91</f>
        <v>1219.212</v>
      </c>
      <c r="M35" s="2">
        <f ca="1">goldenOTP_check!M35*M91</f>
        <v>1196.694</v>
      </c>
      <c r="N35" s="2">
        <f ca="1">goldenOTP_check!N35*N91</f>
        <v>1142.1000000000001</v>
      </c>
      <c r="O35" s="2">
        <f ca="1">goldenOTP_check!O35*O91</f>
        <v>1097.1490000000001</v>
      </c>
      <c r="P35" s="2">
        <f ca="1">goldenOTP_check!P35*P91</f>
        <v>1057.8</v>
      </c>
      <c r="Q35" s="2">
        <f ca="1">goldenOTP_check!Q35*Q91</f>
        <v>1041.04</v>
      </c>
      <c r="R35" s="2">
        <f ca="1">goldenOTP_check!R35*R91</f>
        <v>1062.72</v>
      </c>
      <c r="S35" s="2">
        <f ca="1">goldenOTP_check!S35*S91</f>
        <v>1105.51</v>
      </c>
      <c r="T35" s="2">
        <f ca="1">goldenOTP_check!T35*T91</f>
        <v>1151.4059999999999</v>
      </c>
      <c r="U35" s="2">
        <f ca="1">goldenOTP_check!U35*U91</f>
        <v>1195.9740000000002</v>
      </c>
      <c r="V35" s="2">
        <f ca="1">goldenOTP_check!V35*V91</f>
        <v>1231.296</v>
      </c>
      <c r="W35" s="2">
        <f ca="1">goldenOTP_check!W35*W91</f>
        <v>1242.9839999999999</v>
      </c>
      <c r="X35" s="2">
        <f ca="1">goldenOTP_check!X35*X91</f>
        <v>1248.0149999999999</v>
      </c>
      <c r="Y35" s="2">
        <f ca="1">goldenOTP_check!Y35*Y91</f>
        <v>1239.18</v>
      </c>
    </row>
    <row r="36" spans="2:25" x14ac:dyDescent="0.3">
      <c r="B36" s="6">
        <v>33</v>
      </c>
      <c r="C36" s="9">
        <v>4.7140000000000004</v>
      </c>
      <c r="D36" s="9">
        <v>4.2359999999999998</v>
      </c>
      <c r="E36" s="9">
        <v>4.2309999999999999</v>
      </c>
      <c r="F36" s="9">
        <v>4.0010000000000003</v>
      </c>
      <c r="I36" s="2">
        <f ca="1">goldenOTP_check!I36*I92</f>
        <v>1225.854</v>
      </c>
      <c r="J36" s="2">
        <f ca="1">goldenOTP_check!J36*J92</f>
        <v>1246.1849999999999</v>
      </c>
      <c r="K36" s="2">
        <f ca="1">goldenOTP_check!K36*K92</f>
        <v>1241.69</v>
      </c>
      <c r="L36" s="2">
        <f ca="1">goldenOTP_check!L36*L92</f>
        <v>1221.5359999999998</v>
      </c>
      <c r="M36" s="2">
        <f ca="1">goldenOTP_check!M36*M92</f>
        <v>1187.7860000000001</v>
      </c>
      <c r="N36" s="2">
        <f ca="1">goldenOTP_check!N36*N92</f>
        <v>1136.5709999999999</v>
      </c>
      <c r="O36" s="2">
        <f ca="1">goldenOTP_check!O36*O92</f>
        <v>1083.17</v>
      </c>
      <c r="P36" s="2">
        <f ca="1">goldenOTP_check!P36*P92</f>
        <v>1036.0349999999999</v>
      </c>
      <c r="Q36" s="2">
        <f ca="1">goldenOTP_check!Q36*Q92</f>
        <v>1027.0920000000001</v>
      </c>
      <c r="R36" s="2">
        <f ca="1">goldenOTP_check!R36*R92</f>
        <v>1040.039</v>
      </c>
      <c r="S36" s="2">
        <f ca="1">goldenOTP_check!S36*S92</f>
        <v>1091.684</v>
      </c>
      <c r="T36" s="2">
        <f ca="1">goldenOTP_check!T36*T92</f>
        <v>1138.096</v>
      </c>
      <c r="U36" s="2">
        <f ca="1">goldenOTP_check!U36*U92</f>
        <v>1188.1600000000001</v>
      </c>
      <c r="V36" s="2">
        <f ca="1">goldenOTP_check!V36*V92</f>
        <v>1233.182</v>
      </c>
      <c r="W36" s="2">
        <f ca="1">goldenOTP_check!W36*W92</f>
        <v>1241.18</v>
      </c>
      <c r="X36" s="2">
        <f ca="1">goldenOTP_check!X36*X92</f>
        <v>1251.2339999999999</v>
      </c>
      <c r="Y36" s="2">
        <f ca="1">goldenOTP_check!Y36*Y92</f>
        <v>1217.1600000000001</v>
      </c>
    </row>
    <row r="37" spans="2:25" x14ac:dyDescent="0.3">
      <c r="B37" s="6">
        <v>34</v>
      </c>
      <c r="C37" s="9">
        <v>4.4000000000000004</v>
      </c>
      <c r="D37" s="9">
        <v>3.9129999999999998</v>
      </c>
      <c r="E37" s="9">
        <v>3.9129999999999998</v>
      </c>
      <c r="F37" s="9">
        <v>3.7389999999999999</v>
      </c>
      <c r="I37" s="2">
        <f ca="1">goldenOTP_check!I37*I93</f>
        <v>1219.0440000000001</v>
      </c>
      <c r="J37" s="2">
        <f ca="1">goldenOTP_check!J37*J93</f>
        <v>1244.3909999999998</v>
      </c>
      <c r="K37" s="2">
        <f ca="1">goldenOTP_check!K37*K93</f>
        <v>1237.624</v>
      </c>
      <c r="L37" s="2">
        <f ca="1">goldenOTP_check!L37*L93</f>
        <v>1228.752</v>
      </c>
      <c r="M37" s="2">
        <f ca="1">goldenOTP_check!M37*M93</f>
        <v>1196.7149999999999</v>
      </c>
      <c r="N37" s="2">
        <f ca="1">goldenOTP_check!N37*N93</f>
        <v>1150.5600000000002</v>
      </c>
      <c r="O37" s="2">
        <f ca="1">goldenOTP_check!O37*O93</f>
        <v>1101.7939999999999</v>
      </c>
      <c r="P37" s="2">
        <f ca="1">goldenOTP_check!P37*P93</f>
        <v>1057.8</v>
      </c>
      <c r="Q37" s="2">
        <f ca="1">goldenOTP_check!Q37*Q93</f>
        <v>1038.037</v>
      </c>
      <c r="R37" s="2">
        <f ca="1">goldenOTP_check!R37*R93</f>
        <v>1060.7520000000002</v>
      </c>
      <c r="S37" s="2">
        <f ca="1">goldenOTP_check!S37*S93</f>
        <v>1096.5239999999999</v>
      </c>
      <c r="T37" s="2">
        <f ca="1">goldenOTP_check!T37*T93</f>
        <v>1144.6009999999999</v>
      </c>
      <c r="U37" s="2">
        <f ca="1">goldenOTP_check!U37*U93</f>
        <v>1199.6790000000001</v>
      </c>
      <c r="V37" s="2">
        <f ca="1">goldenOTP_check!V37*V93</f>
        <v>1225.3500000000001</v>
      </c>
      <c r="W37" s="2">
        <f ca="1">goldenOTP_check!W37*W93</f>
        <v>1251.56</v>
      </c>
      <c r="X37" s="2">
        <f ca="1">goldenOTP_check!X37*X93</f>
        <v>1240.96</v>
      </c>
      <c r="Y37" s="2">
        <f ca="1">goldenOTP_check!Y37*Y93</f>
        <v>1223.354</v>
      </c>
    </row>
    <row r="38" spans="2:25" x14ac:dyDescent="0.3">
      <c r="B38" s="6">
        <v>35</v>
      </c>
      <c r="C38" s="9">
        <v>3.7429999999999999</v>
      </c>
      <c r="D38" s="9">
        <v>3.3330000000000002</v>
      </c>
      <c r="E38" s="9">
        <v>3.3340000000000001</v>
      </c>
      <c r="F38" s="9">
        <v>3.194</v>
      </c>
      <c r="I38" s="2">
        <f ca="1">goldenOTP_check!I38*I94</f>
        <v>1241.8229999999999</v>
      </c>
      <c r="J38" s="2">
        <f ca="1">goldenOTP_check!J38*J94</f>
        <v>1247.635</v>
      </c>
      <c r="K38" s="2">
        <f ca="1">goldenOTP_check!K38*K94</f>
        <v>1237.712</v>
      </c>
      <c r="L38" s="2">
        <f ca="1">goldenOTP_check!L38*L94</f>
        <v>1226.502</v>
      </c>
      <c r="M38" s="2">
        <f ca="1">goldenOTP_check!M38*M94</f>
        <v>1209.546</v>
      </c>
      <c r="N38" s="2">
        <f ca="1">goldenOTP_check!N38*N94</f>
        <v>1172.508</v>
      </c>
      <c r="O38" s="2">
        <f ca="1">goldenOTP_check!O38*O94</f>
        <v>1130.9560000000001</v>
      </c>
      <c r="P38" s="2">
        <f ca="1">goldenOTP_check!P38*P94</f>
        <v>1098.3699999999999</v>
      </c>
      <c r="Q38" s="2">
        <f ca="1">goldenOTP_check!Q38*Q94</f>
        <v>1092.6300000000001</v>
      </c>
      <c r="R38" s="2">
        <f ca="1">goldenOTP_check!R38*R94</f>
        <v>1096.5239999999999</v>
      </c>
      <c r="S38" s="2">
        <f ca="1">goldenOTP_check!S38*S94</f>
        <v>1127.46</v>
      </c>
      <c r="T38" s="2">
        <f ca="1">goldenOTP_check!T38*T94</f>
        <v>1159.606</v>
      </c>
      <c r="U38" s="2">
        <f ca="1">goldenOTP_check!U38*U94</f>
        <v>1203.0219999999999</v>
      </c>
      <c r="V38" s="2">
        <f ca="1">goldenOTP_check!V38*V94</f>
        <v>1236.1499999999999</v>
      </c>
      <c r="W38" s="2">
        <f ca="1">goldenOTP_check!W38*W94</f>
        <v>1238.9060000000002</v>
      </c>
      <c r="X38" s="2">
        <f ca="1">goldenOTP_check!X38*X94</f>
        <v>1239.9869999999999</v>
      </c>
      <c r="Y38" s="2">
        <f ca="1">goldenOTP_check!Y38*Y94</f>
        <v>1250.49</v>
      </c>
    </row>
    <row r="39" spans="2:25" x14ac:dyDescent="0.3">
      <c r="B39" s="6">
        <v>36</v>
      </c>
      <c r="C39" s="9">
        <v>3.1549999999999998</v>
      </c>
      <c r="D39" s="9">
        <v>2.819</v>
      </c>
      <c r="E39" s="9">
        <v>2.82</v>
      </c>
      <c r="F39" s="9">
        <v>2.714</v>
      </c>
      <c r="I39" s="2">
        <f ca="1">goldenOTP_check!I39*I95</f>
        <v>1224.0899999999999</v>
      </c>
      <c r="J39" s="2">
        <f ca="1">goldenOTP_check!J39*J95</f>
        <v>1247.0409999999999</v>
      </c>
      <c r="K39" s="2">
        <f ca="1">goldenOTP_check!K39*K95</f>
        <v>1228.08</v>
      </c>
      <c r="L39" s="2">
        <f ca="1">goldenOTP_check!L39*L95</f>
        <v>1237.067</v>
      </c>
      <c r="M39" s="2">
        <f ca="1">goldenOTP_check!M39*M95</f>
        <v>1218.5409999999999</v>
      </c>
      <c r="N39" s="2">
        <f ca="1">goldenOTP_check!N39*N95</f>
        <v>1198.944</v>
      </c>
      <c r="O39" s="2">
        <f ca="1">goldenOTP_check!O39*O95</f>
        <v>1173.3040000000001</v>
      </c>
      <c r="P39" s="2">
        <f ca="1">goldenOTP_check!P39*P95</f>
        <v>1148.806</v>
      </c>
      <c r="Q39" s="2">
        <f ca="1">goldenOTP_check!Q39*Q95</f>
        <v>1140.6669999999999</v>
      </c>
      <c r="R39" s="2">
        <f ca="1">goldenOTP_check!R39*R95</f>
        <v>1149.6469999999999</v>
      </c>
      <c r="S39" s="2">
        <f ca="1">goldenOTP_check!S39*S95</f>
        <v>1165.143</v>
      </c>
      <c r="T39" s="2">
        <f ca="1">goldenOTP_check!T39*T95</f>
        <v>1190.664</v>
      </c>
      <c r="U39" s="2">
        <f ca="1">goldenOTP_check!U39*U95</f>
        <v>1212.2159999999999</v>
      </c>
      <c r="V39" s="2">
        <f ca="1">goldenOTP_check!V39*V95</f>
        <v>1230.425</v>
      </c>
      <c r="W39" s="2">
        <f ca="1">goldenOTP_check!W39*W95</f>
        <v>1239.028</v>
      </c>
      <c r="X39" s="2">
        <f ca="1">goldenOTP_check!X39*X95</f>
        <v>1235.028</v>
      </c>
      <c r="Y39" s="2">
        <f ca="1">goldenOTP_check!Y39*Y95</f>
        <v>1259.595</v>
      </c>
    </row>
    <row r="40" spans="2:25" x14ac:dyDescent="0.3">
      <c r="B40" s="6">
        <v>37</v>
      </c>
      <c r="C40" s="9">
        <v>2.7320000000000002</v>
      </c>
      <c r="D40" s="9">
        <v>2.448</v>
      </c>
      <c r="E40" s="9">
        <v>2.4489999999999998</v>
      </c>
      <c r="F40" s="9">
        <v>2.3650000000000002</v>
      </c>
      <c r="I40" s="2">
        <f ca="1">goldenOTP_check!I40*I96</f>
        <v>1245.1759999999999</v>
      </c>
      <c r="J40" s="2">
        <f ca="1">goldenOTP_check!J40*J96</f>
        <v>1258.472</v>
      </c>
      <c r="K40" s="2">
        <f ca="1">goldenOTP_check!K40*K96</f>
        <v>1237.5839999999998</v>
      </c>
      <c r="L40" s="2">
        <f ca="1">goldenOTP_check!L40*L96</f>
        <v>1239.3920000000001</v>
      </c>
      <c r="M40" s="2">
        <f ca="1">goldenOTP_check!M40*M96</f>
        <v>1228.92</v>
      </c>
      <c r="N40" s="2">
        <f ca="1">goldenOTP_check!N40*N96</f>
        <v>1223.6690000000001</v>
      </c>
      <c r="O40" s="2">
        <f ca="1">goldenOTP_check!O40*O96</f>
        <v>1204.4159999999999</v>
      </c>
      <c r="P40" s="2">
        <f ca="1">goldenOTP_check!P40*P96</f>
        <v>1187.76</v>
      </c>
      <c r="Q40" s="2">
        <f ca="1">goldenOTP_check!Q40*Q96</f>
        <v>1181.0070000000001</v>
      </c>
      <c r="R40" s="2">
        <f ca="1">goldenOTP_check!R40*R96</f>
        <v>1192.905</v>
      </c>
      <c r="S40" s="2">
        <f ca="1">goldenOTP_check!S40*S96</f>
        <v>1211.386</v>
      </c>
      <c r="T40" s="2">
        <f ca="1">goldenOTP_check!T40*T96</f>
        <v>1219.848</v>
      </c>
      <c r="U40" s="2">
        <f ca="1">goldenOTP_check!U40*U96</f>
        <v>1232.3399999999999</v>
      </c>
      <c r="V40" s="2">
        <f ca="1">goldenOTP_check!V40*V96</f>
        <v>1231.5539999999999</v>
      </c>
      <c r="W40" s="2">
        <f ca="1">goldenOTP_check!W40*W96</f>
        <v>1223.1780000000001</v>
      </c>
      <c r="X40" s="2">
        <f ca="1">goldenOTP_check!X40*X96</f>
        <v>1236.54</v>
      </c>
      <c r="Y40" s="2">
        <f ca="1">goldenOTP_check!Y40*Y96</f>
        <v>1260.05</v>
      </c>
    </row>
    <row r="41" spans="2:25" x14ac:dyDescent="0.3">
      <c r="B41" s="6">
        <v>38</v>
      </c>
      <c r="C41" s="9">
        <v>2.367</v>
      </c>
      <c r="D41" s="9">
        <v>2.1360000000000001</v>
      </c>
      <c r="E41" s="9">
        <v>2.1379999999999999</v>
      </c>
      <c r="F41" s="9">
        <v>2.0710000000000002</v>
      </c>
      <c r="I41" s="2">
        <f ca="1">goldenOTP_check!I41*I97</f>
        <v>1209.211</v>
      </c>
      <c r="J41" s="2">
        <f ca="1">goldenOTP_check!J41*J97</f>
        <v>1242.182</v>
      </c>
      <c r="K41" s="2">
        <f ca="1">goldenOTP_check!K41*K97</f>
        <v>1254.0629999999999</v>
      </c>
      <c r="L41" s="2">
        <f ca="1">goldenOTP_check!L41*L97</f>
        <v>1227.434</v>
      </c>
      <c r="M41" s="2">
        <f ca="1">goldenOTP_check!M41*M97</f>
        <v>1233.048</v>
      </c>
      <c r="N41" s="2">
        <f ca="1">goldenOTP_check!N41*N97</f>
        <v>1233.19</v>
      </c>
      <c r="O41" s="2">
        <f ca="1">goldenOTP_check!O41*O97</f>
        <v>1222.0590000000002</v>
      </c>
      <c r="P41" s="2">
        <f ca="1">goldenOTP_check!P41*P97</f>
        <v>1219.68</v>
      </c>
      <c r="Q41" s="2">
        <f ca="1">goldenOTP_check!Q41*Q97</f>
        <v>1208.3999999999999</v>
      </c>
      <c r="R41" s="2">
        <f ca="1">goldenOTP_check!R41*R97</f>
        <v>1220.94</v>
      </c>
      <c r="S41" s="2">
        <f ca="1">goldenOTP_check!S41*S97</f>
        <v>1225.0440000000001</v>
      </c>
      <c r="T41" s="2">
        <f ca="1">goldenOTP_check!T41*T97</f>
        <v>1237.0610000000001</v>
      </c>
      <c r="U41" s="2">
        <f ca="1">goldenOTP_check!U41*U97</f>
        <v>1238.5260000000001</v>
      </c>
      <c r="V41" s="2">
        <f ca="1">goldenOTP_check!V41*V97</f>
        <v>1230.086</v>
      </c>
      <c r="W41" s="2">
        <f ca="1">goldenOTP_check!W41*W97</f>
        <v>1230.6600000000001</v>
      </c>
      <c r="X41" s="2">
        <f ca="1">goldenOTP_check!X41*X97</f>
        <v>1245.2149999999999</v>
      </c>
      <c r="Y41" s="2">
        <f ca="1">goldenOTP_check!Y41*Y97</f>
        <v>1242.9059999999999</v>
      </c>
    </row>
    <row r="42" spans="2:25" x14ac:dyDescent="0.3">
      <c r="B42" s="6">
        <v>39</v>
      </c>
      <c r="C42" s="9">
        <v>2.0720000000000001</v>
      </c>
      <c r="D42" s="9">
        <v>1.889</v>
      </c>
      <c r="E42" s="9">
        <v>1.891</v>
      </c>
      <c r="F42" s="9">
        <v>1.835</v>
      </c>
      <c r="I42" s="11">
        <f ca="1">goldenOTP_check!I42*I98</f>
        <v>1156.086</v>
      </c>
      <c r="J42" s="2">
        <f ca="1">goldenOTP_check!J42*J98</f>
        <v>1203.8999999999999</v>
      </c>
      <c r="K42" s="2">
        <f ca="1">goldenOTP_check!K42*K98</f>
        <v>1242.9449999999999</v>
      </c>
      <c r="L42" s="2">
        <f ca="1">goldenOTP_check!L42*L98</f>
        <v>1226.366</v>
      </c>
      <c r="M42" s="2">
        <f ca="1">goldenOTP_check!M42*M98</f>
        <v>1235.6769999999999</v>
      </c>
      <c r="N42" s="2">
        <f ca="1">goldenOTP_check!N42*N98</f>
        <v>1221.248</v>
      </c>
      <c r="O42" s="2">
        <f ca="1">goldenOTP_check!O42*O98</f>
        <v>1226.9489999999998</v>
      </c>
      <c r="P42" s="2">
        <f ca="1">goldenOTP_check!P42*P98</f>
        <v>1210.56</v>
      </c>
      <c r="Q42" s="2">
        <f ca="1">goldenOTP_check!Q42*Q98</f>
        <v>1220.57</v>
      </c>
      <c r="R42" s="2">
        <f ca="1">goldenOTP_check!R42*R98</f>
        <v>1210.56</v>
      </c>
      <c r="S42" s="2">
        <f ca="1">goldenOTP_check!S42*S98</f>
        <v>1224.9449999999999</v>
      </c>
      <c r="T42" s="2">
        <f ca="1">goldenOTP_check!T42*T98</f>
        <v>1218</v>
      </c>
      <c r="U42" s="2">
        <f ca="1">goldenOTP_check!U42*U98</f>
        <v>1214.336</v>
      </c>
      <c r="V42" s="2">
        <f ca="1">goldenOTP_check!V42*V98</f>
        <v>1226.366</v>
      </c>
      <c r="W42" s="2">
        <f ca="1">goldenOTP_check!W42*W98</f>
        <v>1259.153</v>
      </c>
      <c r="X42" s="2">
        <f ca="1">goldenOTP_check!X42*X98</f>
        <v>1235.0999999999999</v>
      </c>
      <c r="Y42" s="11">
        <f ca="1">goldenOTP_check!Y42*Y98</f>
        <v>1195.6559999999999</v>
      </c>
    </row>
    <row r="43" spans="2:25" x14ac:dyDescent="0.3">
      <c r="B43" s="6">
        <v>40</v>
      </c>
      <c r="C43" s="9">
        <v>1.855</v>
      </c>
      <c r="D43" s="9">
        <v>1.7090000000000001</v>
      </c>
      <c r="E43" s="9">
        <v>1.712</v>
      </c>
      <c r="F43" s="9">
        <v>1.665</v>
      </c>
    </row>
    <row r="44" spans="2:25" x14ac:dyDescent="0.3">
      <c r="B44" s="6">
        <v>41</v>
      </c>
      <c r="C44" s="9">
        <v>1.7190000000000001</v>
      </c>
      <c r="D44" s="9">
        <v>1.5980000000000001</v>
      </c>
      <c r="E44" s="9">
        <v>1.6</v>
      </c>
      <c r="F44" s="9">
        <v>1.5580000000000001</v>
      </c>
      <c r="H44" t="s">
        <v>3</v>
      </c>
      <c r="I44" s="12">
        <f ca="1">goldenOTP_check!I44*I100</f>
        <v>1043.57</v>
      </c>
      <c r="J44" s="4">
        <f ca="1">goldenOTP_check!J44*J100</f>
        <v>1146.0350000000001</v>
      </c>
      <c r="K44" s="4">
        <f ca="1">goldenOTP_check!K44*K100</f>
        <v>1180.6079999999999</v>
      </c>
      <c r="L44" s="4">
        <f ca="1">goldenOTP_check!L44*L100</f>
        <v>1203.278</v>
      </c>
      <c r="M44" s="4">
        <f ca="1">goldenOTP_check!M44*M100</f>
        <v>1186.1299999999999</v>
      </c>
      <c r="N44" s="4">
        <f ca="1">goldenOTP_check!N44*N100</f>
        <v>1154.3399999999999</v>
      </c>
      <c r="O44" s="4">
        <f ca="1">goldenOTP_check!O44*O100</f>
        <v>1184.0719999999999</v>
      </c>
      <c r="P44" s="4">
        <f ca="1">goldenOTP_check!P44*P100</f>
        <v>1182.0899999999999</v>
      </c>
      <c r="Q44" s="4">
        <f ca="1">goldenOTP_check!Q44*Q100</f>
        <v>1188.0809999999999</v>
      </c>
      <c r="R44" s="4">
        <f ca="1">goldenOTP_check!R44*R100</f>
        <v>1183.1819999999998</v>
      </c>
      <c r="S44" s="4">
        <f ca="1">goldenOTP_check!S44*S100</f>
        <v>1187.21</v>
      </c>
      <c r="T44" s="4">
        <f ca="1">goldenOTP_check!T44*T100</f>
        <v>1158.6329999999998</v>
      </c>
      <c r="U44" s="4">
        <f ca="1">goldenOTP_check!U44*U100</f>
        <v>1190.6400000000001</v>
      </c>
      <c r="V44" s="4">
        <f ca="1">goldenOTP_check!V44*V100</f>
        <v>1161.9059999999999</v>
      </c>
      <c r="W44" s="4">
        <f ca="1">goldenOTP_check!W44*W100</f>
        <v>1189.056</v>
      </c>
      <c r="X44" s="4">
        <f ca="1">goldenOTP_check!X44*X100</f>
        <v>1179.001</v>
      </c>
      <c r="Y44" s="12">
        <f ca="1">goldenOTP_check!Y44*Y100</f>
        <v>1103.1950000000002</v>
      </c>
    </row>
    <row r="45" spans="2:25" x14ac:dyDescent="0.3">
      <c r="B45" s="6">
        <v>42</v>
      </c>
      <c r="C45" s="9">
        <v>1.675</v>
      </c>
      <c r="D45" s="9">
        <v>1.5609999999999999</v>
      </c>
      <c r="E45" s="9">
        <v>1.5620000000000001</v>
      </c>
      <c r="F45" s="9">
        <v>1.5229999999999999</v>
      </c>
      <c r="H45" t="s">
        <v>6</v>
      </c>
      <c r="I45" s="4">
        <f ca="1">goldenOTP_check!I45*I101</f>
        <v>1155.5840000000001</v>
      </c>
      <c r="J45" s="4">
        <f ca="1">goldenOTP_check!J45*J101</f>
        <v>1189.067</v>
      </c>
      <c r="K45" s="4">
        <f ca="1">goldenOTP_check!K45*K101</f>
        <v>1201.164</v>
      </c>
      <c r="L45" s="4">
        <f ca="1">goldenOTP_check!L45*L101</f>
        <v>1193.92</v>
      </c>
      <c r="M45" s="4">
        <f ca="1">goldenOTP_check!M45*M101</f>
        <v>1198.5920000000001</v>
      </c>
      <c r="N45" s="4">
        <f ca="1">goldenOTP_check!N45*N101</f>
        <v>1202.4559999999999</v>
      </c>
      <c r="O45" s="4">
        <f ca="1">goldenOTP_check!O45*O101</f>
        <v>1196.6860000000001</v>
      </c>
      <c r="P45" s="4">
        <f ca="1">goldenOTP_check!P45*P101</f>
        <v>1175.902</v>
      </c>
      <c r="Q45" s="4">
        <f ca="1">goldenOTP_check!Q45*Q101</f>
        <v>1174.1759999999999</v>
      </c>
      <c r="R45" s="4">
        <f ca="1">goldenOTP_check!R45*R101</f>
        <v>1179.7240000000002</v>
      </c>
      <c r="S45" s="4">
        <f ca="1">goldenOTP_check!S45*S101</f>
        <v>1202.826</v>
      </c>
      <c r="T45" s="4">
        <f ca="1">goldenOTP_check!T45*T101</f>
        <v>1208.136</v>
      </c>
      <c r="U45" s="4">
        <f ca="1">goldenOTP_check!U45*U101</f>
        <v>1208.32</v>
      </c>
      <c r="V45" s="4">
        <f ca="1">goldenOTP_check!V45*V101</f>
        <v>1202.1099999999999</v>
      </c>
      <c r="W45" s="4">
        <f ca="1">goldenOTP_check!W45*W101</f>
        <v>1205.5419999999999</v>
      </c>
      <c r="X45" s="4">
        <f ca="1">goldenOTP_check!X45*X101</f>
        <v>1198.2739999999999</v>
      </c>
      <c r="Y45" s="4">
        <f ca="1">goldenOTP_check!Y45*Y101</f>
        <v>1184.296</v>
      </c>
    </row>
    <row r="46" spans="2:25" x14ac:dyDescent="0.3">
      <c r="B46" s="6">
        <v>43</v>
      </c>
      <c r="C46" s="9">
        <v>1.7250000000000001</v>
      </c>
      <c r="D46" s="9">
        <v>1.601</v>
      </c>
      <c r="E46" s="9">
        <v>1.601</v>
      </c>
      <c r="F46" s="9">
        <v>1.5589999999999999</v>
      </c>
      <c r="I46" s="4">
        <f ca="1">goldenOTP_check!I46*I102</f>
        <v>1174.046</v>
      </c>
      <c r="J46" s="4">
        <f ca="1">goldenOTP_check!J46*J102</f>
        <v>1197.75</v>
      </c>
      <c r="K46" s="4">
        <f ca="1">goldenOTP_check!K46*K102</f>
        <v>1202.3019999999999</v>
      </c>
      <c r="L46" s="4">
        <f ca="1">goldenOTP_check!L46*L102</f>
        <v>1210.8800000000001</v>
      </c>
      <c r="M46" s="4">
        <f ca="1">goldenOTP_check!M46*M102</f>
        <v>1201.18</v>
      </c>
      <c r="N46" s="4">
        <f ca="1">goldenOTP_check!N46*N102</f>
        <v>1189.08</v>
      </c>
      <c r="O46" s="4">
        <f ca="1">goldenOTP_check!O46*O102</f>
        <v>1173.825</v>
      </c>
      <c r="P46" s="4">
        <f ca="1">goldenOTP_check!P46*P102</f>
        <v>1168.5</v>
      </c>
      <c r="Q46" s="4">
        <f ca="1">goldenOTP_check!Q46*Q102</f>
        <v>1160.5259999999998</v>
      </c>
      <c r="R46" s="4">
        <f ca="1">goldenOTP_check!R46*R102</f>
        <v>1169.25</v>
      </c>
      <c r="S46" s="4">
        <f ca="1">goldenOTP_check!S46*S102</f>
        <v>1174.53</v>
      </c>
      <c r="T46" s="4">
        <f ca="1">goldenOTP_check!T46*T102</f>
        <v>1192.9680000000001</v>
      </c>
      <c r="U46" s="4">
        <f ca="1">goldenOTP_check!U46*U102</f>
        <v>1208.1400000000001</v>
      </c>
      <c r="V46" s="4">
        <f ca="1">goldenOTP_check!V46*V102</f>
        <v>1221.1199999999999</v>
      </c>
      <c r="W46" s="4">
        <f ca="1">goldenOTP_check!W46*W102</f>
        <v>1211.162</v>
      </c>
      <c r="X46" s="4">
        <f ca="1">goldenOTP_check!X46*X102</f>
        <v>1202.25</v>
      </c>
      <c r="Y46" s="4">
        <f ca="1">goldenOTP_check!Y46*Y102</f>
        <v>1182.838</v>
      </c>
    </row>
    <row r="47" spans="2:25" x14ac:dyDescent="0.3">
      <c r="B47" s="6">
        <v>44</v>
      </c>
      <c r="C47" s="9">
        <v>1.865</v>
      </c>
      <c r="D47" s="9">
        <v>1.714</v>
      </c>
      <c r="E47" s="9">
        <v>1.7150000000000001</v>
      </c>
      <c r="F47" s="9">
        <v>1.6659999999999999</v>
      </c>
      <c r="I47" s="4">
        <f ca="1">goldenOTP_check!I47*I103</f>
        <v>1218.7080000000001</v>
      </c>
      <c r="J47" s="4">
        <f ca="1">goldenOTP_check!J47*J103</f>
        <v>1193.462</v>
      </c>
      <c r="K47" s="4">
        <f ca="1">goldenOTP_check!K47*K103</f>
        <v>1211.2529999999999</v>
      </c>
      <c r="L47" s="4">
        <f ca="1">goldenOTP_check!L47*L103</f>
        <v>1213.248</v>
      </c>
      <c r="M47" s="4">
        <f ca="1">goldenOTP_check!M47*M103</f>
        <v>1194.2639999999999</v>
      </c>
      <c r="N47" s="4">
        <f ca="1">goldenOTP_check!N47*N103</f>
        <v>1186.8340000000001</v>
      </c>
      <c r="O47" s="4">
        <f ca="1">goldenOTP_check!O47*O103</f>
        <v>1151.5889999999999</v>
      </c>
      <c r="P47" s="4">
        <f ca="1">goldenOTP_check!P47*P103</f>
        <v>1127.6660000000002</v>
      </c>
      <c r="Q47" s="4">
        <f ca="1">goldenOTP_check!Q47*Q103</f>
        <v>1112.8320000000001</v>
      </c>
      <c r="R47" s="4">
        <f ca="1">goldenOTP_check!R47*R103</f>
        <v>1127.6660000000002</v>
      </c>
      <c r="S47" s="4">
        <f ca="1">goldenOTP_check!S47*S103</f>
        <v>1148.3610000000001</v>
      </c>
      <c r="T47" s="4">
        <f ca="1">goldenOTP_check!T47*T103</f>
        <v>1162.473</v>
      </c>
      <c r="U47" s="4">
        <f ca="1">goldenOTP_check!U47*U103</f>
        <v>1193.616</v>
      </c>
      <c r="V47" s="4">
        <f ca="1">goldenOTP_check!V47*V103</f>
        <v>1196.9929999999999</v>
      </c>
      <c r="W47" s="4">
        <f ca="1">goldenOTP_check!W47*W103</f>
        <v>1197.27</v>
      </c>
      <c r="X47" s="4">
        <f ca="1">goldenOTP_check!X47*X103</f>
        <v>1205.3230000000001</v>
      </c>
      <c r="Y47" s="4">
        <f ca="1">goldenOTP_check!Y47*Y103</f>
        <v>1223.5939999999998</v>
      </c>
    </row>
    <row r="48" spans="2:25" x14ac:dyDescent="0.3">
      <c r="B48" s="6">
        <v>45</v>
      </c>
      <c r="C48" s="9">
        <v>2.0910000000000002</v>
      </c>
      <c r="D48" s="9">
        <v>1.8979999999999999</v>
      </c>
      <c r="E48" s="9">
        <v>1.899</v>
      </c>
      <c r="F48" s="9">
        <v>1.841</v>
      </c>
      <c r="I48" s="4">
        <f ca="1">goldenOTP_check!I48*I104</f>
        <v>1216.8799999999999</v>
      </c>
      <c r="J48" s="4">
        <f ca="1">goldenOTP_check!J48*J104</f>
        <v>1182.384</v>
      </c>
      <c r="K48" s="4">
        <f ca="1">goldenOTP_check!K48*K104</f>
        <v>1186.3040000000001</v>
      </c>
      <c r="L48" s="4">
        <f ca="1">goldenOTP_check!L48*L104</f>
        <v>1205.2820000000002</v>
      </c>
      <c r="M48" s="4">
        <f ca="1">goldenOTP_check!M48*M104</f>
        <v>1175.94</v>
      </c>
      <c r="N48" s="4">
        <f ca="1">goldenOTP_check!N48*N104</f>
        <v>1151.5889999999999</v>
      </c>
      <c r="O48" s="4">
        <f ca="1">goldenOTP_check!O48*O104</f>
        <v>1116.7329999999999</v>
      </c>
      <c r="P48" s="4">
        <f ca="1">goldenOTP_check!P48*P104</f>
        <v>1084.848</v>
      </c>
      <c r="Q48" s="4">
        <f ca="1">goldenOTP_check!Q48*Q104</f>
        <v>1082.9699999999998</v>
      </c>
      <c r="R48" s="4">
        <f ca="1">goldenOTP_check!R48*R104</f>
        <v>1084.848</v>
      </c>
      <c r="S48" s="4">
        <f ca="1">goldenOTP_check!S48*S104</f>
        <v>1114.9589999999998</v>
      </c>
      <c r="T48" s="4">
        <f ca="1">goldenOTP_check!T48*T104</f>
        <v>1149.9750000000001</v>
      </c>
      <c r="U48" s="4">
        <f ca="1">goldenOTP_check!U48*U104</f>
        <v>1178.76</v>
      </c>
      <c r="V48" s="4">
        <f ca="1">goldenOTP_check!V48*V104</f>
        <v>1190.154</v>
      </c>
      <c r="W48" s="4">
        <f ca="1">goldenOTP_check!W48*W104</f>
        <v>1198.5920000000001</v>
      </c>
      <c r="X48" s="4">
        <f ca="1">goldenOTP_check!X48*X104</f>
        <v>1190.5919999999999</v>
      </c>
      <c r="Y48" s="4">
        <f ca="1">goldenOTP_check!Y48*Y104</f>
        <v>1214.2830000000001</v>
      </c>
    </row>
    <row r="49" spans="2:25" x14ac:dyDescent="0.3">
      <c r="B49" s="6">
        <v>46</v>
      </c>
      <c r="C49" s="9">
        <v>2.399</v>
      </c>
      <c r="D49" s="9">
        <v>2.1539999999999999</v>
      </c>
      <c r="E49" s="9">
        <v>2.1539999999999999</v>
      </c>
      <c r="F49" s="9">
        <v>2.0830000000000002</v>
      </c>
      <c r="I49" s="4">
        <f ca="1">goldenOTP_check!I49*I105</f>
        <v>1195.366</v>
      </c>
      <c r="J49" s="4">
        <f ca="1">goldenOTP_check!J49*J105</f>
        <v>1200.7449999999999</v>
      </c>
      <c r="K49" s="4">
        <f ca="1">goldenOTP_check!K49*K105</f>
        <v>1187.0819999999999</v>
      </c>
      <c r="L49" s="4">
        <f ca="1">goldenOTP_check!L49*L105</f>
        <v>1186.731</v>
      </c>
      <c r="M49" s="4">
        <f ca="1">goldenOTP_check!M49*M105</f>
        <v>1172.25</v>
      </c>
      <c r="N49" s="4">
        <f ca="1">goldenOTP_check!N49*N105</f>
        <v>1128.519</v>
      </c>
      <c r="O49" s="4">
        <f ca="1">goldenOTP_check!O49*O105</f>
        <v>1082.0520000000001</v>
      </c>
      <c r="P49" s="4">
        <f ca="1">goldenOTP_check!P49*P105</f>
        <v>1054.2740000000001</v>
      </c>
      <c r="Q49" s="4">
        <f ca="1">goldenOTP_check!Q49*Q105</f>
        <v>1037</v>
      </c>
      <c r="R49" s="4">
        <f ca="1">goldenOTP_check!R49*R105</f>
        <v>1059.2190000000001</v>
      </c>
      <c r="S49" s="4">
        <f ca="1">goldenOTP_check!S49*S105</f>
        <v>1089.508</v>
      </c>
      <c r="T49" s="4">
        <f ca="1">goldenOTP_check!T49*T105</f>
        <v>1118.53</v>
      </c>
      <c r="U49" s="4">
        <f ca="1">goldenOTP_check!U49*U105</f>
        <v>1161.7080000000001</v>
      </c>
      <c r="V49" s="4">
        <f ca="1">goldenOTP_check!V49*V105</f>
        <v>1195.6490000000001</v>
      </c>
      <c r="W49" s="4">
        <f ca="1">goldenOTP_check!W49*W105</f>
        <v>1196.1600000000001</v>
      </c>
      <c r="X49" s="4">
        <f ca="1">goldenOTP_check!X49*X105</f>
        <v>1173.0640000000001</v>
      </c>
      <c r="Y49" s="4">
        <f ca="1">goldenOTP_check!Y49*Y105</f>
        <v>1194.96</v>
      </c>
    </row>
    <row r="50" spans="2:25" x14ac:dyDescent="0.3">
      <c r="B50" s="6">
        <v>47</v>
      </c>
      <c r="C50" s="9">
        <v>2.778</v>
      </c>
      <c r="D50" s="9">
        <v>2.4750000000000001</v>
      </c>
      <c r="E50" s="9">
        <v>2.4740000000000002</v>
      </c>
      <c r="F50" s="9">
        <v>2.3849999999999998</v>
      </c>
      <c r="I50" s="4">
        <f ca="1">goldenOTP_check!I50*I106</f>
        <v>1179.4480000000001</v>
      </c>
      <c r="J50" s="4">
        <f ca="1">goldenOTP_check!J50*J106</f>
        <v>1189.3699999999999</v>
      </c>
      <c r="K50" s="4">
        <f ca="1">goldenOTP_check!K50*K106</f>
        <v>1200.654</v>
      </c>
      <c r="L50" s="4">
        <f ca="1">goldenOTP_check!L50*L106</f>
        <v>1191.0240000000001</v>
      </c>
      <c r="M50" s="4">
        <f ca="1">goldenOTP_check!M50*M106</f>
        <v>1168.146</v>
      </c>
      <c r="N50" s="4">
        <f ca="1">goldenOTP_check!N50*N106</f>
        <v>1117.152</v>
      </c>
      <c r="O50" s="4">
        <f ca="1">goldenOTP_check!O50*O106</f>
        <v>1066.5329999999999</v>
      </c>
      <c r="P50" s="4">
        <f ca="1">goldenOTP_check!P50*P106</f>
        <v>1031</v>
      </c>
      <c r="Q50" s="4">
        <f ca="1">goldenOTP_check!Q50*Q106</f>
        <v>1029.1379999999999</v>
      </c>
      <c r="R50" s="4">
        <f ca="1">goldenOTP_check!R50*R106</f>
        <v>1036</v>
      </c>
      <c r="S50" s="4">
        <f ca="1">goldenOTP_check!S50*S106</f>
        <v>1074.077</v>
      </c>
      <c r="T50" s="4">
        <f ca="1">goldenOTP_check!T50*T106</f>
        <v>1124.0639999999999</v>
      </c>
      <c r="U50" s="4">
        <f ca="1">goldenOTP_check!U50*U106</f>
        <v>1155.75</v>
      </c>
      <c r="V50" s="4">
        <f ca="1">goldenOTP_check!V50*V106</f>
        <v>1198.152</v>
      </c>
      <c r="W50" s="4">
        <f ca="1">goldenOTP_check!W50*W106</f>
        <v>1207.7520000000002</v>
      </c>
      <c r="X50" s="4">
        <f ca="1">goldenOTP_check!X50*X106</f>
        <v>1191.6450000000002</v>
      </c>
      <c r="Y50" s="4">
        <f ca="1">goldenOTP_check!Y50*Y106</f>
        <v>1167.32</v>
      </c>
    </row>
    <row r="51" spans="2:25" x14ac:dyDescent="0.3">
      <c r="B51" s="6">
        <v>48</v>
      </c>
      <c r="C51" s="9">
        <v>3.2069999999999999</v>
      </c>
      <c r="D51" s="9">
        <v>2.8490000000000002</v>
      </c>
      <c r="E51" s="9">
        <v>2.8460000000000001</v>
      </c>
      <c r="F51" s="9">
        <v>2.734</v>
      </c>
      <c r="I51" s="4">
        <f ca="1">goldenOTP_check!I51*I107</f>
        <v>1206.067</v>
      </c>
      <c r="J51" s="4">
        <f ca="1">goldenOTP_check!J51*J107</f>
        <v>1172.1779999999999</v>
      </c>
      <c r="K51" s="4">
        <f ca="1">goldenOTP_check!K51*K107</f>
        <v>1194.558</v>
      </c>
      <c r="L51" s="4">
        <f ca="1">goldenOTP_check!L51*L107</f>
        <v>1198.8339999999998</v>
      </c>
      <c r="M51" s="4">
        <f ca="1">goldenOTP_check!M51*M107</f>
        <v>1166.1420000000001</v>
      </c>
      <c r="N51" s="4">
        <f ca="1">goldenOTP_check!N51*N107</f>
        <v>1120.212</v>
      </c>
      <c r="O51" s="4">
        <f ca="1">goldenOTP_check!O51*O107</f>
        <v>1087.644</v>
      </c>
      <c r="P51" s="4">
        <f ca="1">goldenOTP_check!P51*P107</f>
        <v>1043.5259999999998</v>
      </c>
      <c r="Q51" s="4">
        <f ca="1">goldenOTP_check!Q51*Q107</f>
        <v>1034</v>
      </c>
      <c r="R51" s="4">
        <f ca="1">goldenOTP_check!R51*R107</f>
        <v>1045.482</v>
      </c>
      <c r="S51" s="4">
        <f ca="1">goldenOTP_check!S51*S107</f>
        <v>1088.576</v>
      </c>
      <c r="T51" s="4">
        <f ca="1">goldenOTP_check!T51*T107</f>
        <v>1119.3709999999999</v>
      </c>
      <c r="U51" s="4">
        <f ca="1">goldenOTP_check!U51*U107</f>
        <v>1166.1420000000001</v>
      </c>
      <c r="V51" s="4">
        <f ca="1">goldenOTP_check!V51*V107</f>
        <v>1202.6559999999999</v>
      </c>
      <c r="W51" s="4">
        <f ca="1">goldenOTP_check!W51*W107</f>
        <v>1204.1699999999998</v>
      </c>
      <c r="X51" s="4">
        <f ca="1">goldenOTP_check!X51*X107</f>
        <v>1181.038</v>
      </c>
      <c r="Y51" s="4">
        <f ca="1">goldenOTP_check!Y51*Y107</f>
        <v>1200.3219999999999</v>
      </c>
    </row>
    <row r="52" spans="2:25" x14ac:dyDescent="0.3">
      <c r="B52" s="6">
        <v>49</v>
      </c>
      <c r="C52" s="9">
        <v>3.78</v>
      </c>
      <c r="D52" s="9">
        <v>3.3580000000000001</v>
      </c>
      <c r="E52" s="9">
        <v>3.3540000000000001</v>
      </c>
      <c r="F52" s="9">
        <v>3.206</v>
      </c>
      <c r="I52" s="4">
        <f ca="1">goldenOTP_check!I52*I108</f>
        <v>1168.3920000000001</v>
      </c>
      <c r="J52" s="4">
        <f ca="1">goldenOTP_check!J52*J108</f>
        <v>1186.2719999999999</v>
      </c>
      <c r="K52" s="4">
        <f ca="1">goldenOTP_check!K52*K108</f>
        <v>1192.96</v>
      </c>
      <c r="L52" s="4">
        <f ca="1">goldenOTP_check!L52*L108</f>
        <v>1189.5519999999999</v>
      </c>
      <c r="M52" s="4">
        <f ca="1">goldenOTP_check!M52*M108</f>
        <v>1183.6949999999999</v>
      </c>
      <c r="N52" s="4">
        <f ca="1">goldenOTP_check!N52*N108</f>
        <v>1143.8520000000001</v>
      </c>
      <c r="O52" s="4">
        <f ca="1">goldenOTP_check!O52*O108</f>
        <v>1106.875</v>
      </c>
      <c r="P52" s="4">
        <f ca="1">goldenOTP_check!P52*P108</f>
        <v>1091.3720000000001</v>
      </c>
      <c r="Q52" s="4">
        <f ca="1">goldenOTP_check!Q52*Q108</f>
        <v>1075.963</v>
      </c>
      <c r="R52" s="4">
        <f ca="1">goldenOTP_check!R52*R108</f>
        <v>1076.6490000000001</v>
      </c>
      <c r="S52" s="4">
        <f ca="1">goldenOTP_check!S52*S108</f>
        <v>1102.5</v>
      </c>
      <c r="T52" s="4">
        <f ca="1">goldenOTP_check!T52*T108</f>
        <v>1136.6879999999999</v>
      </c>
      <c r="U52" s="4">
        <f ca="1">goldenOTP_check!U52*U108</f>
        <v>1182.2850000000001</v>
      </c>
      <c r="V52" s="4">
        <f ca="1">goldenOTP_check!V52*V108</f>
        <v>1196.174</v>
      </c>
      <c r="W52" s="4">
        <f ca="1">goldenOTP_check!W52*W108</f>
        <v>1205.248</v>
      </c>
      <c r="X52" s="4">
        <f ca="1">goldenOTP_check!X52*X108</f>
        <v>1197.0719999999999</v>
      </c>
      <c r="Y52" s="4">
        <f ca="1">goldenOTP_check!Y52*Y108</f>
        <v>1168.3920000000001</v>
      </c>
    </row>
    <row r="53" spans="2:25" x14ac:dyDescent="0.3">
      <c r="B53" s="6">
        <v>50</v>
      </c>
      <c r="C53" s="9">
        <v>4.45</v>
      </c>
      <c r="D53" s="9">
        <v>3.97</v>
      </c>
      <c r="E53" s="9">
        <v>3.9630000000000001</v>
      </c>
      <c r="F53" s="9">
        <v>3.7669999999999999</v>
      </c>
      <c r="I53" s="4">
        <f ca="1">goldenOTP_check!I53*I109</f>
        <v>1166.8320000000001</v>
      </c>
      <c r="J53" s="4">
        <f ca="1">goldenOTP_check!J53*J109</f>
        <v>1198.779</v>
      </c>
      <c r="K53" s="4">
        <f ca="1">goldenOTP_check!K53*K109</f>
        <v>1187.73</v>
      </c>
      <c r="L53" s="4">
        <f ca="1">goldenOTP_check!L53*L109</f>
        <v>1193.0940000000001</v>
      </c>
      <c r="M53" s="4">
        <f ca="1">goldenOTP_check!M53*M109</f>
        <v>1194.912</v>
      </c>
      <c r="N53" s="4">
        <f ca="1">goldenOTP_check!N53*N109</f>
        <v>1169.7429999999999</v>
      </c>
      <c r="O53" s="4">
        <f ca="1">goldenOTP_check!O53*O109</f>
        <v>1142.26</v>
      </c>
      <c r="P53" s="4">
        <f ca="1">goldenOTP_check!P53*P109</f>
        <v>1123.576</v>
      </c>
      <c r="Q53" s="4">
        <f ca="1">goldenOTP_check!Q53*Q109</f>
        <v>1114.018</v>
      </c>
      <c r="R53" s="4">
        <f ca="1">goldenOTP_check!R53*R109</f>
        <v>1125.258</v>
      </c>
      <c r="S53" s="4">
        <f ca="1">goldenOTP_check!S53*S109</f>
        <v>1142.26</v>
      </c>
      <c r="T53" s="4">
        <f ca="1">goldenOTP_check!T53*T109</f>
        <v>1169.7429999999999</v>
      </c>
      <c r="U53" s="4">
        <f ca="1">goldenOTP_check!U53*U109</f>
        <v>1178.45</v>
      </c>
      <c r="V53" s="4">
        <f ca="1">goldenOTP_check!V53*V109</f>
        <v>1199.778</v>
      </c>
      <c r="W53" s="4">
        <f ca="1">goldenOTP_check!W53*W109</f>
        <v>1197.27</v>
      </c>
      <c r="X53" s="4">
        <f ca="1">goldenOTP_check!X53*X109</f>
        <v>1200.8240000000001</v>
      </c>
      <c r="Y53" s="4">
        <f ca="1">goldenOTP_check!Y53*Y109</f>
        <v>1159.8389999999999</v>
      </c>
    </row>
    <row r="54" spans="2:25" x14ac:dyDescent="0.3">
      <c r="B54" s="6">
        <v>51</v>
      </c>
      <c r="C54" s="9">
        <v>4.0999999999999996</v>
      </c>
      <c r="D54" s="9">
        <v>3.649</v>
      </c>
      <c r="E54" s="9">
        <v>3.649</v>
      </c>
      <c r="F54" s="9">
        <v>3.492</v>
      </c>
      <c r="I54" s="4">
        <f ca="1">goldenOTP_check!I54*I110</f>
        <v>1178.442</v>
      </c>
      <c r="J54" s="4">
        <f ca="1">goldenOTP_check!J54*J110</f>
        <v>1204.125</v>
      </c>
      <c r="K54" s="4">
        <f ca="1">goldenOTP_check!K54*K110</f>
        <v>1178.9280000000001</v>
      </c>
      <c r="L54" s="4">
        <f ca="1">goldenOTP_check!L54*L110</f>
        <v>1189.5</v>
      </c>
      <c r="M54" s="4">
        <f ca="1">goldenOTP_check!M54*M110</f>
        <v>1184.848</v>
      </c>
      <c r="N54" s="4">
        <f ca="1">goldenOTP_check!N54*N110</f>
        <v>1178.45</v>
      </c>
      <c r="O54" s="4">
        <f ca="1">goldenOTP_check!O54*O110</f>
        <v>1163.547</v>
      </c>
      <c r="P54" s="4">
        <f ca="1">goldenOTP_check!P54*P110</f>
        <v>1163.925</v>
      </c>
      <c r="Q54" s="4">
        <f ca="1">goldenOTP_check!Q54*Q110</f>
        <v>1157.25</v>
      </c>
      <c r="R54" s="4">
        <f ca="1">goldenOTP_check!R54*R110</f>
        <v>1169.098</v>
      </c>
      <c r="S54" s="4">
        <f ca="1">goldenOTP_check!S54*S110</f>
        <v>1171.17</v>
      </c>
      <c r="T54" s="4">
        <f ca="1">goldenOTP_check!T54*T110</f>
        <v>1185.4569999999999</v>
      </c>
      <c r="U54" s="4">
        <f ca="1">goldenOTP_check!U54*U110</f>
        <v>1189.96</v>
      </c>
      <c r="V54" s="4">
        <f ca="1">goldenOTP_check!V54*V110</f>
        <v>1195.5</v>
      </c>
      <c r="W54" s="4">
        <f ca="1">goldenOTP_check!W54*W110</f>
        <v>1181.52</v>
      </c>
      <c r="X54" s="4">
        <f ca="1">goldenOTP_check!X54*X110</f>
        <v>1198.875</v>
      </c>
      <c r="Y54" s="4">
        <f ca="1">goldenOTP_check!Y54*Y110</f>
        <v>1177.8140000000001</v>
      </c>
    </row>
    <row r="55" spans="2:25" x14ac:dyDescent="0.3">
      <c r="B55" s="6">
        <v>52</v>
      </c>
      <c r="C55" s="9">
        <v>3.403</v>
      </c>
      <c r="D55" s="9">
        <v>3.0390000000000001</v>
      </c>
      <c r="E55" s="9">
        <v>3.0390000000000001</v>
      </c>
      <c r="F55" s="9">
        <v>2.9180000000000001</v>
      </c>
      <c r="I55" s="4">
        <f ca="1">goldenOTP_check!I55*I111</f>
        <v>1164.76</v>
      </c>
      <c r="J55" s="4">
        <f ca="1">goldenOTP_check!J55*J111</f>
        <v>1201.3430000000001</v>
      </c>
      <c r="K55" s="4">
        <f ca="1">goldenOTP_check!K55*K111</f>
        <v>1182.704</v>
      </c>
      <c r="L55" s="4">
        <f ca="1">goldenOTP_check!L55*L111</f>
        <v>1184.1390000000001</v>
      </c>
      <c r="M55" s="4">
        <f ca="1">goldenOTP_check!M55*M111</f>
        <v>1193.5</v>
      </c>
      <c r="N55" s="4">
        <f ca="1">goldenOTP_check!N55*N111</f>
        <v>1199.221</v>
      </c>
      <c r="O55" s="4">
        <f ca="1">goldenOTP_check!O55*O111</f>
        <v>1193.164</v>
      </c>
      <c r="P55" s="4">
        <f ca="1">goldenOTP_check!P55*P111</f>
        <v>1173.125</v>
      </c>
      <c r="Q55" s="4">
        <f ca="1">goldenOTP_check!Q55*Q111</f>
        <v>1173.991</v>
      </c>
      <c r="R55" s="4">
        <f ca="1">goldenOTP_check!R55*R111</f>
        <v>1175</v>
      </c>
      <c r="S55" s="4">
        <f ca="1">goldenOTP_check!S55*S111</f>
        <v>1196.7760000000001</v>
      </c>
      <c r="T55" s="4">
        <f ca="1">goldenOTP_check!T55*T111</f>
        <v>1204.2339999999999</v>
      </c>
      <c r="U55" s="4">
        <f ca="1">goldenOTP_check!U55*U111</f>
        <v>1199.5</v>
      </c>
      <c r="V55" s="4">
        <f ca="1">goldenOTP_check!V55*V111</f>
        <v>1187.683</v>
      </c>
      <c r="W55" s="4">
        <f ca="1">goldenOTP_check!W55*W111</f>
        <v>1179.23</v>
      </c>
      <c r="X55" s="4">
        <f ca="1">goldenOTP_check!X55*X111</f>
        <v>1203.3889999999999</v>
      </c>
      <c r="Y55" s="4">
        <f ca="1">goldenOTP_check!Y55*Y111</f>
        <v>1190.808</v>
      </c>
    </row>
    <row r="56" spans="2:25" x14ac:dyDescent="0.3">
      <c r="B56" s="6">
        <v>53</v>
      </c>
      <c r="C56" s="9">
        <v>2.8639999999999999</v>
      </c>
      <c r="D56" s="9">
        <v>2.5680000000000001</v>
      </c>
      <c r="E56" s="9">
        <v>2.569</v>
      </c>
      <c r="F56" s="9">
        <v>2.4769999999999999</v>
      </c>
      <c r="I56" s="12">
        <f ca="1">goldenOTP_check!I56*I112</f>
        <v>1077.2250000000001</v>
      </c>
      <c r="J56" s="4">
        <f ca="1">goldenOTP_check!J56*J112</f>
        <v>1130.1279999999999</v>
      </c>
      <c r="K56" s="4">
        <f ca="1">goldenOTP_check!K56*K112</f>
        <v>1188.385</v>
      </c>
      <c r="L56" s="4">
        <f ca="1">goldenOTP_check!L56*L112</f>
        <v>1223.452</v>
      </c>
      <c r="M56" s="4">
        <f ca="1">goldenOTP_check!M56*M112</f>
        <v>1211.76</v>
      </c>
      <c r="N56" s="4">
        <f ca="1">goldenOTP_check!N56*N112</f>
        <v>1179.4460000000001</v>
      </c>
      <c r="O56" s="4">
        <f ca="1">goldenOTP_check!O56*O112</f>
        <v>1208.32</v>
      </c>
      <c r="P56" s="4">
        <f ca="1">goldenOTP_check!P56*P112</f>
        <v>1197.7619999999999</v>
      </c>
      <c r="Q56" s="4">
        <f ca="1">goldenOTP_check!Q56*Q112</f>
        <v>1169.7099999999998</v>
      </c>
      <c r="R56" s="4">
        <f ca="1">goldenOTP_check!R56*R112</f>
        <v>1199.364</v>
      </c>
      <c r="S56" s="4">
        <f ca="1">goldenOTP_check!S56*S112</f>
        <v>1168.576</v>
      </c>
      <c r="T56" s="4">
        <f ca="1">goldenOTP_check!T56*T112</f>
        <v>1175.252</v>
      </c>
      <c r="U56" s="4">
        <f ca="1">goldenOTP_check!U56*U112</f>
        <v>1165.576</v>
      </c>
      <c r="V56" s="4">
        <f ca="1">goldenOTP_check!V56*V112</f>
        <v>1173.5119999999999</v>
      </c>
      <c r="W56" s="4">
        <f ca="1">goldenOTP_check!W56*W112</f>
        <v>1194.5230000000001</v>
      </c>
      <c r="X56" s="4">
        <f ca="1">goldenOTP_check!X56*X112</f>
        <v>1158.8399999999999</v>
      </c>
      <c r="Y56" s="12">
        <f ca="1">goldenOTP_check!Y56*Y112</f>
        <v>1138.97</v>
      </c>
    </row>
    <row r="57" spans="2:25" x14ac:dyDescent="0.3">
      <c r="B57" s="6">
        <v>54</v>
      </c>
      <c r="C57" s="9">
        <v>2.4470000000000001</v>
      </c>
      <c r="D57" s="9">
        <v>2.2040000000000002</v>
      </c>
      <c r="E57" s="9">
        <v>2.2050000000000001</v>
      </c>
      <c r="F57" s="9">
        <v>2.1360000000000001</v>
      </c>
    </row>
    <row r="58" spans="2:25" x14ac:dyDescent="0.3">
      <c r="B58" s="6">
        <v>55</v>
      </c>
      <c r="C58" s="9">
        <v>2.0760000000000001</v>
      </c>
      <c r="D58" s="9">
        <v>1.893</v>
      </c>
      <c r="E58" s="9">
        <v>1.8939999999999999</v>
      </c>
      <c r="F58" s="9">
        <v>1.843</v>
      </c>
      <c r="H58" t="s">
        <v>5</v>
      </c>
      <c r="I58" s="3">
        <f t="shared" ref="I58:Y70" ca="1" si="0">INDIRECT("C"&amp;(17*ROW(1:1)+ROW($C$3)-19+IF(COLUMN(C:C)&gt;19,50000,COLUMN(C:C)-1)))</f>
        <v>4.5750000000000002</v>
      </c>
      <c r="J58" s="2">
        <f t="shared" ca="1" si="0"/>
        <v>4.3819999999999997</v>
      </c>
      <c r="K58" s="2">
        <f t="shared" ca="1" si="0"/>
        <v>4.0030000000000001</v>
      </c>
      <c r="L58" s="2">
        <f t="shared" ca="1" si="0"/>
        <v>3.4929999999999999</v>
      </c>
      <c r="M58" s="2">
        <f t="shared" ca="1" si="0"/>
        <v>3.1059999999999999</v>
      </c>
      <c r="N58" s="2">
        <f t="shared" ca="1" si="0"/>
        <v>2.8519999999999999</v>
      </c>
      <c r="O58" s="2">
        <f t="shared" ca="1" si="0"/>
        <v>2.66</v>
      </c>
      <c r="P58" s="2">
        <f t="shared" ca="1" si="0"/>
        <v>2.5419999999999998</v>
      </c>
      <c r="Q58" s="2">
        <f t="shared" ca="1" si="0"/>
        <v>2.508</v>
      </c>
      <c r="R58" s="2">
        <f t="shared" ca="1" si="0"/>
        <v>2.5529999999999999</v>
      </c>
      <c r="S58" s="2">
        <f t="shared" ca="1" si="0"/>
        <v>2.6819999999999999</v>
      </c>
      <c r="T58" s="2">
        <f t="shared" ca="1" si="0"/>
        <v>2.8839999999999999</v>
      </c>
      <c r="U58" s="2">
        <f t="shared" ca="1" si="0"/>
        <v>3.149</v>
      </c>
      <c r="V58" s="2">
        <f t="shared" ca="1" si="0"/>
        <v>3.5289999999999999</v>
      </c>
      <c r="W58" s="2">
        <f t="shared" ca="1" si="0"/>
        <v>4.0540000000000003</v>
      </c>
      <c r="X58" s="2">
        <f t="shared" ca="1" si="0"/>
        <v>4.5179999999999998</v>
      </c>
      <c r="Y58" s="3">
        <f t="shared" ca="1" si="0"/>
        <v>4.8719999999999999</v>
      </c>
    </row>
    <row r="59" spans="2:25" x14ac:dyDescent="0.3">
      <c r="B59" s="6">
        <v>56</v>
      </c>
      <c r="C59" s="9">
        <v>1.7769999999999999</v>
      </c>
      <c r="D59" s="9">
        <v>1.647</v>
      </c>
      <c r="E59" s="9">
        <v>1.649</v>
      </c>
      <c r="F59" s="9">
        <v>1.6060000000000001</v>
      </c>
      <c r="I59" s="2">
        <f t="shared" ca="1" si="0"/>
        <v>4.593</v>
      </c>
      <c r="J59" s="2">
        <f t="shared" ca="1" si="0"/>
        <v>4.1230000000000002</v>
      </c>
      <c r="K59" s="2">
        <f t="shared" ca="1" si="0"/>
        <v>3.548</v>
      </c>
      <c r="L59" s="2">
        <f t="shared" ca="1" si="0"/>
        <v>3.0670000000000002</v>
      </c>
      <c r="M59" s="2">
        <f t="shared" ca="1" si="0"/>
        <v>2.7210000000000001</v>
      </c>
      <c r="N59" s="2">
        <f t="shared" ca="1" si="0"/>
        <v>2.4409999999999998</v>
      </c>
      <c r="O59" s="2">
        <f t="shared" ca="1" si="0"/>
        <v>2.23</v>
      </c>
      <c r="P59" s="2">
        <f t="shared" ca="1" si="0"/>
        <v>2.1030000000000002</v>
      </c>
      <c r="Q59" s="2">
        <f t="shared" ca="1" si="0"/>
        <v>2.0640000000000001</v>
      </c>
      <c r="R59" s="2">
        <f t="shared" ca="1" si="0"/>
        <v>2.1160000000000001</v>
      </c>
      <c r="S59" s="2">
        <f t="shared" ca="1" si="0"/>
        <v>2.2530000000000001</v>
      </c>
      <c r="T59" s="2">
        <f t="shared" ca="1" si="0"/>
        <v>2.4710000000000001</v>
      </c>
      <c r="U59" s="2">
        <f t="shared" ca="1" si="0"/>
        <v>2.7650000000000001</v>
      </c>
      <c r="V59" s="2">
        <f t="shared" ca="1" si="0"/>
        <v>3.117</v>
      </c>
      <c r="W59" s="2">
        <f t="shared" ca="1" si="0"/>
        <v>3.5910000000000002</v>
      </c>
      <c r="X59" s="2">
        <f t="shared" ca="1" si="0"/>
        <v>4.173</v>
      </c>
      <c r="Y59" s="2">
        <f t="shared" ca="1" si="0"/>
        <v>4.7140000000000004</v>
      </c>
    </row>
    <row r="60" spans="2:25" x14ac:dyDescent="0.3">
      <c r="B60" s="6">
        <v>57</v>
      </c>
      <c r="C60" s="9">
        <v>1.554</v>
      </c>
      <c r="D60" s="9">
        <v>1.462</v>
      </c>
      <c r="E60" s="9">
        <v>1.464</v>
      </c>
      <c r="F60" s="9">
        <v>1.427</v>
      </c>
      <c r="I60" s="2">
        <f t="shared" ca="1" si="0"/>
        <v>4.4000000000000004</v>
      </c>
      <c r="J60" s="2">
        <f t="shared" ca="1" si="0"/>
        <v>3.7429999999999999</v>
      </c>
      <c r="K60" s="2">
        <f t="shared" ca="1" si="0"/>
        <v>3.1549999999999998</v>
      </c>
      <c r="L60" s="2">
        <f t="shared" ca="1" si="0"/>
        <v>2.7320000000000002</v>
      </c>
      <c r="M60" s="2">
        <f t="shared" ca="1" si="0"/>
        <v>2.367</v>
      </c>
      <c r="N60" s="2">
        <f t="shared" ca="1" si="0"/>
        <v>2.0720000000000001</v>
      </c>
      <c r="O60" s="2">
        <f t="shared" ca="1" si="0"/>
        <v>1.855</v>
      </c>
      <c r="P60" s="2">
        <f t="shared" ca="1" si="0"/>
        <v>1.7190000000000001</v>
      </c>
      <c r="Q60" s="2">
        <f t="shared" ca="1" si="0"/>
        <v>1.675</v>
      </c>
      <c r="R60" s="2">
        <f t="shared" ca="1" si="0"/>
        <v>1.7250000000000001</v>
      </c>
      <c r="S60" s="2">
        <f t="shared" ca="1" si="0"/>
        <v>1.865</v>
      </c>
      <c r="T60" s="2">
        <f t="shared" ca="1" si="0"/>
        <v>2.0910000000000002</v>
      </c>
      <c r="U60" s="2">
        <f t="shared" ca="1" si="0"/>
        <v>2.399</v>
      </c>
      <c r="V60" s="2">
        <f t="shared" ca="1" si="0"/>
        <v>2.778</v>
      </c>
      <c r="W60" s="2">
        <f t="shared" ca="1" si="0"/>
        <v>3.2069999999999999</v>
      </c>
      <c r="X60" s="2">
        <f t="shared" ca="1" si="0"/>
        <v>3.78</v>
      </c>
      <c r="Y60" s="2">
        <f t="shared" ca="1" si="0"/>
        <v>4.45</v>
      </c>
    </row>
    <row r="61" spans="2:25" x14ac:dyDescent="0.3">
      <c r="B61" s="6">
        <v>58</v>
      </c>
      <c r="C61" s="9">
        <v>1.4179999999999999</v>
      </c>
      <c r="D61" s="9">
        <v>1.351</v>
      </c>
      <c r="E61" s="9">
        <v>1.351</v>
      </c>
      <c r="F61" s="9">
        <v>1.3220000000000001</v>
      </c>
      <c r="I61" s="2">
        <f t="shared" ca="1" si="0"/>
        <v>4.0999999999999996</v>
      </c>
      <c r="J61" s="2">
        <f t="shared" ca="1" si="0"/>
        <v>3.403</v>
      </c>
      <c r="K61" s="2">
        <f t="shared" ca="1" si="0"/>
        <v>2.8639999999999999</v>
      </c>
      <c r="L61" s="2">
        <f t="shared" ca="1" si="0"/>
        <v>2.4470000000000001</v>
      </c>
      <c r="M61" s="2">
        <f t="shared" ca="1" si="0"/>
        <v>2.0760000000000001</v>
      </c>
      <c r="N61" s="2">
        <f t="shared" ca="1" si="0"/>
        <v>1.7769999999999999</v>
      </c>
      <c r="O61" s="2">
        <f t="shared" ca="1" si="0"/>
        <v>1.554</v>
      </c>
      <c r="P61" s="2">
        <f t="shared" ca="1" si="0"/>
        <v>1.4179999999999999</v>
      </c>
      <c r="Q61" s="2">
        <f t="shared" ca="1" si="0"/>
        <v>1.373</v>
      </c>
      <c r="R61" s="2">
        <f t="shared" ca="1" si="0"/>
        <v>1.421</v>
      </c>
      <c r="S61" s="2">
        <f t="shared" ca="1" si="0"/>
        <v>1.5549999999999999</v>
      </c>
      <c r="T61" s="2">
        <f t="shared" ca="1" si="0"/>
        <v>1.7809999999999999</v>
      </c>
      <c r="U61" s="2">
        <f t="shared" ca="1" si="0"/>
        <v>2.09</v>
      </c>
      <c r="V61" s="2">
        <f t="shared" ca="1" si="0"/>
        <v>2.48</v>
      </c>
      <c r="W61" s="2">
        <f t="shared" ca="1" si="0"/>
        <v>2.927</v>
      </c>
      <c r="X61" s="2">
        <f t="shared" ca="1" si="0"/>
        <v>3.4590000000000001</v>
      </c>
      <c r="Y61" s="2">
        <f t="shared" ca="1" si="0"/>
        <v>4.13</v>
      </c>
    </row>
    <row r="62" spans="2:25" x14ac:dyDescent="0.3">
      <c r="B62" s="6">
        <v>59</v>
      </c>
      <c r="C62" s="9">
        <v>1.373</v>
      </c>
      <c r="D62" s="9">
        <v>1.3140000000000001</v>
      </c>
      <c r="E62" s="9">
        <v>1.3140000000000001</v>
      </c>
      <c r="F62" s="9">
        <v>1.288</v>
      </c>
      <c r="I62" s="2">
        <f t="shared" ca="1" si="0"/>
        <v>3.835</v>
      </c>
      <c r="J62" s="2">
        <f t="shared" ca="1" si="0"/>
        <v>3.1819999999999999</v>
      </c>
      <c r="K62" s="2">
        <f t="shared" ca="1" si="0"/>
        <v>2.665</v>
      </c>
      <c r="L62" s="2">
        <f t="shared" ca="1" si="0"/>
        <v>2.226</v>
      </c>
      <c r="M62" s="2">
        <f t="shared" ca="1" si="0"/>
        <v>1.853</v>
      </c>
      <c r="N62" s="2">
        <f t="shared" ca="1" si="0"/>
        <v>1.552</v>
      </c>
      <c r="O62" s="2">
        <f t="shared" ca="1" si="0"/>
        <v>1.339</v>
      </c>
      <c r="P62" s="2">
        <f t="shared" ca="1" si="0"/>
        <v>1.2150000000000001</v>
      </c>
      <c r="Q62" s="2">
        <f t="shared" ca="1" si="0"/>
        <v>1.173</v>
      </c>
      <c r="R62" s="2">
        <f t="shared" ca="1" si="0"/>
        <v>1.2190000000000001</v>
      </c>
      <c r="S62" s="2">
        <f t="shared" ca="1" si="0"/>
        <v>1.3440000000000001</v>
      </c>
      <c r="T62" s="2">
        <f t="shared" ca="1" si="0"/>
        <v>1.5589999999999999</v>
      </c>
      <c r="U62" s="2">
        <f t="shared" ca="1" si="0"/>
        <v>1.8720000000000001</v>
      </c>
      <c r="V62" s="2">
        <f t="shared" ca="1" si="0"/>
        <v>2.2599999999999998</v>
      </c>
      <c r="W62" s="2">
        <f t="shared" ca="1" si="0"/>
        <v>2.7160000000000002</v>
      </c>
      <c r="X62" s="2">
        <f t="shared" ca="1" si="0"/>
        <v>3.2280000000000002</v>
      </c>
      <c r="Y62" s="2">
        <f t="shared" ca="1" si="0"/>
        <v>3.8490000000000002</v>
      </c>
    </row>
    <row r="63" spans="2:25" x14ac:dyDescent="0.3">
      <c r="B63" s="6">
        <v>60</v>
      </c>
      <c r="C63" s="9">
        <v>1.421</v>
      </c>
      <c r="D63" s="9">
        <v>1.3520000000000001</v>
      </c>
      <c r="E63" s="9">
        <v>1.3520000000000001</v>
      </c>
      <c r="F63" s="9">
        <v>1.3220000000000001</v>
      </c>
      <c r="I63" s="2">
        <f t="shared" ca="1" si="0"/>
        <v>3.6880000000000002</v>
      </c>
      <c r="J63" s="2">
        <f t="shared" ca="1" si="0"/>
        <v>3.0649999999999999</v>
      </c>
      <c r="K63" s="2">
        <f t="shared" ca="1" si="0"/>
        <v>2.5489999999999999</v>
      </c>
      <c r="L63" s="2">
        <f t="shared" ca="1" si="0"/>
        <v>2.101</v>
      </c>
      <c r="M63" s="2">
        <f t="shared" ca="1" si="0"/>
        <v>1.718</v>
      </c>
      <c r="N63" s="2">
        <f t="shared" ca="1" si="0"/>
        <v>1.415</v>
      </c>
      <c r="O63" s="2">
        <f t="shared" ca="1" si="0"/>
        <v>1.212</v>
      </c>
      <c r="P63" s="2">
        <f t="shared" ca="1" si="0"/>
        <v>1.0880000000000001</v>
      </c>
      <c r="Q63" s="2">
        <f t="shared" ca="1" si="0"/>
        <v>1.048</v>
      </c>
      <c r="R63" s="2">
        <f t="shared" ca="1" si="0"/>
        <v>1.095</v>
      </c>
      <c r="S63" s="2">
        <f t="shared" ca="1" si="0"/>
        <v>1.224</v>
      </c>
      <c r="T63" s="2">
        <f t="shared" ca="1" si="0"/>
        <v>1.43</v>
      </c>
      <c r="U63" s="2">
        <f t="shared" ca="1" si="0"/>
        <v>1.7390000000000001</v>
      </c>
      <c r="V63" s="2">
        <f t="shared" ca="1" si="0"/>
        <v>2.1339999999999999</v>
      </c>
      <c r="W63" s="2">
        <f t="shared" ca="1" si="0"/>
        <v>2.5950000000000002</v>
      </c>
      <c r="X63" s="2">
        <f t="shared" ca="1" si="0"/>
        <v>3.0979999999999999</v>
      </c>
      <c r="Y63" s="2">
        <f t="shared" ca="1" si="0"/>
        <v>3.6640000000000001</v>
      </c>
    </row>
    <row r="64" spans="2:25" x14ac:dyDescent="0.3">
      <c r="B64" s="6">
        <v>61</v>
      </c>
      <c r="C64" s="9">
        <v>1.5549999999999999</v>
      </c>
      <c r="D64" s="9">
        <v>1.4610000000000001</v>
      </c>
      <c r="E64" s="9">
        <v>1.4610000000000001</v>
      </c>
      <c r="F64" s="9">
        <v>1.423</v>
      </c>
      <c r="I64" s="2">
        <f t="shared" ca="1" si="0"/>
        <v>3.6339999999999999</v>
      </c>
      <c r="J64" s="2">
        <f t="shared" ca="1" si="0"/>
        <v>3.0310000000000001</v>
      </c>
      <c r="K64" s="2">
        <f t="shared" ca="1" si="0"/>
        <v>2.5169999999999999</v>
      </c>
      <c r="L64" s="2">
        <f t="shared" ca="1" si="0"/>
        <v>2.0640000000000001</v>
      </c>
      <c r="M64" s="2">
        <f t="shared" ca="1" si="0"/>
        <v>1.675</v>
      </c>
      <c r="N64" s="2">
        <f t="shared" ca="1" si="0"/>
        <v>1.3720000000000001</v>
      </c>
      <c r="O64" s="2">
        <f t="shared" ca="1" si="0"/>
        <v>1.1679999999999999</v>
      </c>
      <c r="P64" s="2">
        <f t="shared" ca="1" si="0"/>
        <v>1.042</v>
      </c>
      <c r="Q64" s="2">
        <f t="shared" ca="1" si="0"/>
        <v>1.0049999999999999</v>
      </c>
      <c r="R64" s="2">
        <f t="shared" ca="1" si="0"/>
        <v>1.0469999999999999</v>
      </c>
      <c r="S64" s="2">
        <f t="shared" ca="1" si="0"/>
        <v>1.179</v>
      </c>
      <c r="T64" s="2">
        <f t="shared" ca="1" si="0"/>
        <v>1.387</v>
      </c>
      <c r="U64" s="2">
        <f t="shared" ca="1" si="0"/>
        <v>1.696</v>
      </c>
      <c r="V64" s="2">
        <f t="shared" ca="1" si="0"/>
        <v>2.0960000000000001</v>
      </c>
      <c r="W64" s="2">
        <f t="shared" ca="1" si="0"/>
        <v>2.5590000000000002</v>
      </c>
      <c r="X64" s="2">
        <f t="shared" ca="1" si="0"/>
        <v>3.0680000000000001</v>
      </c>
      <c r="Y64" s="2">
        <f t="shared" ca="1" si="0"/>
        <v>3.63</v>
      </c>
    </row>
    <row r="65" spans="2:25" x14ac:dyDescent="0.3">
      <c r="B65" s="6">
        <v>62</v>
      </c>
      <c r="C65" s="9">
        <v>1.7809999999999999</v>
      </c>
      <c r="D65" s="9">
        <v>1.647</v>
      </c>
      <c r="E65" s="9">
        <v>1.647</v>
      </c>
      <c r="F65" s="9">
        <v>1.599</v>
      </c>
      <c r="I65" s="2">
        <f t="shared" ca="1" si="0"/>
        <v>3.6739999999999999</v>
      </c>
      <c r="J65" s="2">
        <f t="shared" ca="1" si="0"/>
        <v>3.0640000000000001</v>
      </c>
      <c r="K65" s="2">
        <f t="shared" ca="1" si="0"/>
        <v>2.5579999999999998</v>
      </c>
      <c r="L65" s="2">
        <f t="shared" ca="1" si="0"/>
        <v>2.1150000000000002</v>
      </c>
      <c r="M65" s="2">
        <f t="shared" ca="1" si="0"/>
        <v>1.73</v>
      </c>
      <c r="N65" s="2">
        <f t="shared" ca="1" si="0"/>
        <v>1.423</v>
      </c>
      <c r="O65" s="2">
        <f t="shared" ca="1" si="0"/>
        <v>1.2170000000000001</v>
      </c>
      <c r="P65" s="2">
        <f t="shared" ca="1" si="0"/>
        <v>1.0900000000000001</v>
      </c>
      <c r="Q65" s="2">
        <f t="shared" ca="1" si="0"/>
        <v>1.046</v>
      </c>
      <c r="R65" s="2">
        <f t="shared" ca="1" si="0"/>
        <v>1.093</v>
      </c>
      <c r="S65" s="2">
        <f t="shared" ca="1" si="0"/>
        <v>1.2210000000000001</v>
      </c>
      <c r="T65" s="2">
        <f t="shared" ca="1" si="0"/>
        <v>1.429</v>
      </c>
      <c r="U65" s="2">
        <f t="shared" ca="1" si="0"/>
        <v>1.7430000000000001</v>
      </c>
      <c r="V65" s="2">
        <f t="shared" ca="1" si="0"/>
        <v>2.1429999999999998</v>
      </c>
      <c r="W65" s="2">
        <f t="shared" ca="1" si="0"/>
        <v>2.6110000000000002</v>
      </c>
      <c r="X65" s="2">
        <f t="shared" ca="1" si="0"/>
        <v>3.12</v>
      </c>
      <c r="Y65" s="2">
        <f t="shared" ca="1" si="0"/>
        <v>3.6880000000000002</v>
      </c>
    </row>
    <row r="66" spans="2:25" x14ac:dyDescent="0.3">
      <c r="B66" s="6">
        <v>63</v>
      </c>
      <c r="C66" s="9">
        <v>2.09</v>
      </c>
      <c r="D66" s="9">
        <v>1.901</v>
      </c>
      <c r="E66" s="9">
        <v>1.9</v>
      </c>
      <c r="F66" s="9">
        <v>1.8420000000000001</v>
      </c>
      <c r="I66" s="2">
        <f t="shared" ca="1" si="0"/>
        <v>3.83</v>
      </c>
      <c r="J66" s="2">
        <f t="shared" ca="1" si="0"/>
        <v>3.1840000000000002</v>
      </c>
      <c r="K66" s="2">
        <f t="shared" ca="1" si="0"/>
        <v>2.6709999999999998</v>
      </c>
      <c r="L66" s="2">
        <f t="shared" ca="1" si="0"/>
        <v>2.2360000000000002</v>
      </c>
      <c r="M66" s="2">
        <f t="shared" ca="1" si="0"/>
        <v>1.8620000000000001</v>
      </c>
      <c r="N66" s="2">
        <f t="shared" ca="1" si="0"/>
        <v>1.5589999999999999</v>
      </c>
      <c r="O66" s="2">
        <f t="shared" ca="1" si="0"/>
        <v>1.347</v>
      </c>
      <c r="P66" s="2">
        <f t="shared" ca="1" si="0"/>
        <v>1.2230000000000001</v>
      </c>
      <c r="Q66" s="2">
        <f t="shared" ca="1" si="0"/>
        <v>1.181</v>
      </c>
      <c r="R66" s="2">
        <f t="shared" ca="1" si="0"/>
        <v>1.2230000000000001</v>
      </c>
      <c r="S66" s="2">
        <f t="shared" ca="1" si="0"/>
        <v>1.3460000000000001</v>
      </c>
      <c r="T66" s="2">
        <f t="shared" ca="1" si="0"/>
        <v>1.5580000000000001</v>
      </c>
      <c r="U66" s="2">
        <f t="shared" ca="1" si="0"/>
        <v>1.873</v>
      </c>
      <c r="V66" s="2">
        <f t="shared" ca="1" si="0"/>
        <v>2.2679999999999998</v>
      </c>
      <c r="W66" s="2">
        <f t="shared" ca="1" si="0"/>
        <v>2.7269999999999999</v>
      </c>
      <c r="X66" s="2">
        <f t="shared" ca="1" si="0"/>
        <v>3.2389999999999999</v>
      </c>
      <c r="Y66" s="2">
        <f t="shared" ca="1" si="0"/>
        <v>3.8610000000000002</v>
      </c>
    </row>
    <row r="67" spans="2:25" x14ac:dyDescent="0.3">
      <c r="B67" s="6">
        <v>64</v>
      </c>
      <c r="C67" s="9">
        <v>2.48</v>
      </c>
      <c r="D67" s="9">
        <v>2.2240000000000002</v>
      </c>
      <c r="E67" s="9">
        <v>2.2229999999999999</v>
      </c>
      <c r="F67" s="9">
        <v>2.149</v>
      </c>
      <c r="I67" s="2">
        <f t="shared" ca="1" si="0"/>
        <v>4.0970000000000004</v>
      </c>
      <c r="J67" s="2">
        <f t="shared" ca="1" si="0"/>
        <v>3.4039999999999999</v>
      </c>
      <c r="K67" s="2">
        <f t="shared" ca="1" si="0"/>
        <v>2.8660000000000001</v>
      </c>
      <c r="L67" s="2">
        <f t="shared" ca="1" si="0"/>
        <v>2.4460000000000002</v>
      </c>
      <c r="M67" s="2">
        <f t="shared" ca="1" si="0"/>
        <v>2.0739999999999998</v>
      </c>
      <c r="N67" s="2">
        <f t="shared" ca="1" si="0"/>
        <v>1.778</v>
      </c>
      <c r="O67" s="2">
        <f t="shared" ca="1" si="0"/>
        <v>1.56</v>
      </c>
      <c r="P67" s="2">
        <f t="shared" ca="1" si="0"/>
        <v>1.43</v>
      </c>
      <c r="Q67" s="2">
        <f t="shared" ca="1" si="0"/>
        <v>1.389</v>
      </c>
      <c r="R67" s="2">
        <f t="shared" ca="1" si="0"/>
        <v>1.4339999999999999</v>
      </c>
      <c r="S67" s="2">
        <f t="shared" ca="1" si="0"/>
        <v>1.5640000000000001</v>
      </c>
      <c r="T67" s="2">
        <f t="shared" ca="1" si="0"/>
        <v>1.786</v>
      </c>
      <c r="U67" s="2">
        <f t="shared" ca="1" si="0"/>
        <v>2.0910000000000002</v>
      </c>
      <c r="V67" s="2">
        <f t="shared" ca="1" si="0"/>
        <v>2.476</v>
      </c>
      <c r="W67" s="2">
        <f t="shared" ca="1" si="0"/>
        <v>2.9180000000000001</v>
      </c>
      <c r="X67" s="2">
        <f t="shared" ca="1" si="0"/>
        <v>3.4409999999999998</v>
      </c>
      <c r="Y67" s="2">
        <f t="shared" ca="1" si="0"/>
        <v>4.0999999999999996</v>
      </c>
    </row>
    <row r="68" spans="2:25" x14ac:dyDescent="0.3">
      <c r="B68" s="6">
        <v>65</v>
      </c>
      <c r="C68" s="9">
        <v>2.927</v>
      </c>
      <c r="D68" s="9">
        <v>2.6059999999999999</v>
      </c>
      <c r="E68" s="9">
        <v>2.6040000000000001</v>
      </c>
      <c r="F68" s="9">
        <v>2.5099999999999998</v>
      </c>
      <c r="I68" s="2">
        <f t="shared" ca="1" si="0"/>
        <v>4.4089999999999998</v>
      </c>
      <c r="J68" s="2">
        <f t="shared" ca="1" si="0"/>
        <v>3.7469999999999999</v>
      </c>
      <c r="K68" s="2">
        <f t="shared" ca="1" si="0"/>
        <v>3.1549999999999998</v>
      </c>
      <c r="L68" s="2">
        <f t="shared" ca="1" si="0"/>
        <v>2.7360000000000002</v>
      </c>
      <c r="M68" s="2">
        <f t="shared" ca="1" si="0"/>
        <v>2.3769999999999998</v>
      </c>
      <c r="N68" s="2">
        <f t="shared" ca="1" si="0"/>
        <v>2.0819999999999999</v>
      </c>
      <c r="O68" s="2">
        <f t="shared" ca="1" si="0"/>
        <v>1.8660000000000001</v>
      </c>
      <c r="P68" s="2">
        <f t="shared" ca="1" si="0"/>
        <v>1.732</v>
      </c>
      <c r="Q68" s="2">
        <f t="shared" ca="1" si="0"/>
        <v>1.6910000000000001</v>
      </c>
      <c r="R68" s="2">
        <f t="shared" ca="1" si="0"/>
        <v>1.7430000000000001</v>
      </c>
      <c r="S68" s="2">
        <f t="shared" ca="1" si="0"/>
        <v>1.883</v>
      </c>
      <c r="T68" s="2">
        <f t="shared" ca="1" si="0"/>
        <v>2.1030000000000002</v>
      </c>
      <c r="U68" s="2">
        <f t="shared" ca="1" si="0"/>
        <v>2.4</v>
      </c>
      <c r="V68" s="2">
        <f t="shared" ca="1" si="0"/>
        <v>2.7679999999999998</v>
      </c>
      <c r="W68" s="2">
        <f t="shared" ca="1" si="0"/>
        <v>3.1920000000000002</v>
      </c>
      <c r="X68" s="2">
        <f t="shared" ca="1" si="0"/>
        <v>3.7610000000000001</v>
      </c>
      <c r="Y68" s="2">
        <f t="shared" ca="1" si="0"/>
        <v>4.4249999999999998</v>
      </c>
    </row>
    <row r="69" spans="2:25" x14ac:dyDescent="0.3">
      <c r="B69" s="6">
        <v>66</v>
      </c>
      <c r="C69" s="9">
        <v>3.4590000000000001</v>
      </c>
      <c r="D69" s="9">
        <v>3.0750000000000002</v>
      </c>
      <c r="E69" s="9">
        <v>3.07</v>
      </c>
      <c r="F69" s="9">
        <v>2.9470000000000001</v>
      </c>
      <c r="I69" s="2">
        <f t="shared" ca="1" si="0"/>
        <v>4.5880000000000001</v>
      </c>
      <c r="J69" s="2">
        <f t="shared" ca="1" si="0"/>
        <v>4.1219999999999999</v>
      </c>
      <c r="K69" s="2">
        <f t="shared" ca="1" si="0"/>
        <v>3.5630000000000002</v>
      </c>
      <c r="L69" s="2">
        <f t="shared" ca="1" si="0"/>
        <v>3.093</v>
      </c>
      <c r="M69" s="2">
        <f t="shared" ca="1" si="0"/>
        <v>2.7469999999999999</v>
      </c>
      <c r="N69" s="2">
        <f t="shared" ca="1" si="0"/>
        <v>2.4620000000000002</v>
      </c>
      <c r="O69" s="2">
        <f t="shared" ca="1" si="0"/>
        <v>2.2490000000000001</v>
      </c>
      <c r="P69" s="2">
        <f t="shared" ca="1" si="0"/>
        <v>2.121</v>
      </c>
      <c r="Q69" s="2">
        <f t="shared" ca="1" si="0"/>
        <v>2.0790000000000002</v>
      </c>
      <c r="R69" s="2">
        <f t="shared" ca="1" si="0"/>
        <v>2.1259999999999999</v>
      </c>
      <c r="S69" s="2">
        <f t="shared" ca="1" si="0"/>
        <v>2.262</v>
      </c>
      <c r="T69" s="2">
        <f t="shared" ca="1" si="0"/>
        <v>2.4830000000000001</v>
      </c>
      <c r="U69" s="2">
        <f t="shared" ca="1" si="0"/>
        <v>2.7770000000000001</v>
      </c>
      <c r="V69" s="2">
        <f t="shared" ca="1" si="0"/>
        <v>3.1280000000000001</v>
      </c>
      <c r="W69" s="2">
        <f t="shared" ca="1" si="0"/>
        <v>3.5880000000000001</v>
      </c>
      <c r="X69" s="2">
        <f t="shared" ca="1" si="0"/>
        <v>4.1660000000000004</v>
      </c>
      <c r="Y69" s="2">
        <f t="shared" ca="1" si="0"/>
        <v>4.7309999999999999</v>
      </c>
    </row>
    <row r="70" spans="2:25" x14ac:dyDescent="0.3">
      <c r="B70" s="6">
        <v>67</v>
      </c>
      <c r="C70" s="9">
        <v>4.13</v>
      </c>
      <c r="D70" s="9">
        <v>3.681</v>
      </c>
      <c r="E70" s="9">
        <v>3.6739999999999999</v>
      </c>
      <c r="F70" s="9">
        <v>3.5059999999999998</v>
      </c>
      <c r="I70" s="3">
        <f t="shared" ca="1" si="0"/>
        <v>4.6559999999999997</v>
      </c>
      <c r="J70" s="2">
        <f t="shared" ca="1" si="0"/>
        <v>4.431</v>
      </c>
      <c r="K70" s="2">
        <f t="shared" ca="1" si="0"/>
        <v>4.0460000000000003</v>
      </c>
      <c r="L70" s="2">
        <f t="shared" ca="1" si="0"/>
        <v>3.5550000000000002</v>
      </c>
      <c r="M70" s="2">
        <f t="shared" ca="1" si="0"/>
        <v>3.1760000000000002</v>
      </c>
      <c r="N70" s="2">
        <f t="shared" ca="1" si="0"/>
        <v>2.915</v>
      </c>
      <c r="O70" s="2">
        <f t="shared" ca="1" si="0"/>
        <v>2.7090000000000001</v>
      </c>
      <c r="P70" s="2">
        <f t="shared" ca="1" si="0"/>
        <v>2.577</v>
      </c>
      <c r="Q70" s="2">
        <f t="shared" ca="1" si="0"/>
        <v>2.5379999999999998</v>
      </c>
      <c r="R70" s="2">
        <f t="shared" ca="1" si="0"/>
        <v>2.581</v>
      </c>
      <c r="S70" s="2">
        <f t="shared" ca="1" si="0"/>
        <v>2.7130000000000001</v>
      </c>
      <c r="T70" s="2">
        <f t="shared" ca="1" si="0"/>
        <v>2.9209999999999998</v>
      </c>
      <c r="U70" s="2">
        <f t="shared" ca="1" si="0"/>
        <v>3.1920000000000002</v>
      </c>
      <c r="V70" s="2">
        <f t="shared" ca="1" si="0"/>
        <v>3.581</v>
      </c>
      <c r="W70" s="2">
        <f t="shared" ca="1" si="0"/>
        <v>4.1219999999999999</v>
      </c>
      <c r="X70" s="2">
        <f t="shared" ca="1" si="0"/>
        <v>4.601</v>
      </c>
      <c r="Y70" s="3">
        <f t="shared" ca="1" si="0"/>
        <v>4.9939999999999998</v>
      </c>
    </row>
    <row r="71" spans="2:25" x14ac:dyDescent="0.3">
      <c r="B71" s="6">
        <v>68</v>
      </c>
      <c r="C71" s="9">
        <v>3.835</v>
      </c>
      <c r="D71" s="9">
        <v>3.4180000000000001</v>
      </c>
      <c r="E71" s="9">
        <v>3.4180000000000001</v>
      </c>
      <c r="F71" s="9">
        <v>3.28</v>
      </c>
    </row>
    <row r="72" spans="2:25" x14ac:dyDescent="0.3">
      <c r="B72" s="6">
        <v>69</v>
      </c>
      <c r="C72" s="9">
        <v>3.1819999999999999</v>
      </c>
      <c r="D72" s="9">
        <v>2.847</v>
      </c>
      <c r="E72" s="9">
        <v>2.847</v>
      </c>
      <c r="F72" s="9">
        <v>2.7370000000000001</v>
      </c>
      <c r="H72" t="s">
        <v>1</v>
      </c>
      <c r="I72" s="10">
        <f t="shared" ref="I72:Y84" ca="1" si="1">INDIRECT("D"&amp;(17*ROW(1:1)+ROW($D$3)-19+IF(COLUMN(C:C)&gt;19,50000,COLUMN(C:C)-1)))</f>
        <v>4.1390000000000002</v>
      </c>
      <c r="J72" s="2">
        <f t="shared" ca="1" si="1"/>
        <v>3.9039999999999999</v>
      </c>
      <c r="K72" s="2">
        <f t="shared" ca="1" si="1"/>
        <v>3.544</v>
      </c>
      <c r="L72" s="2">
        <f t="shared" ca="1" si="1"/>
        <v>3.097</v>
      </c>
      <c r="M72" s="2">
        <f t="shared" ca="1" si="1"/>
        <v>2.76</v>
      </c>
      <c r="N72" s="2">
        <f t="shared" ca="1" si="1"/>
        <v>2.5339999999999998</v>
      </c>
      <c r="O72" s="2">
        <f t="shared" ca="1" si="1"/>
        <v>2.3660000000000001</v>
      </c>
      <c r="P72" s="2">
        <f t="shared" ca="1" si="1"/>
        <v>2.2589999999999999</v>
      </c>
      <c r="Q72" s="2">
        <f t="shared" ca="1" si="1"/>
        <v>2.2309999999999999</v>
      </c>
      <c r="R72" s="2">
        <f t="shared" ca="1" si="1"/>
        <v>2.2690000000000001</v>
      </c>
      <c r="S72" s="2">
        <f t="shared" ca="1" si="1"/>
        <v>2.375</v>
      </c>
      <c r="T72" s="2">
        <f t="shared" ca="1" si="1"/>
        <v>2.5499999999999998</v>
      </c>
      <c r="U72" s="2">
        <f t="shared" ca="1" si="1"/>
        <v>2.78</v>
      </c>
      <c r="V72" s="2">
        <f t="shared" ca="1" si="1"/>
        <v>3.1160000000000001</v>
      </c>
      <c r="W72" s="2">
        <f t="shared" ca="1" si="1"/>
        <v>3.581</v>
      </c>
      <c r="X72" s="2">
        <f t="shared" ca="1" si="1"/>
        <v>4.0279999999999996</v>
      </c>
      <c r="Y72" s="10">
        <f t="shared" ca="1" si="1"/>
        <v>4.4269999999999996</v>
      </c>
    </row>
    <row r="73" spans="2:25" x14ac:dyDescent="0.3">
      <c r="B73" s="6">
        <v>70</v>
      </c>
      <c r="C73" s="9">
        <v>2.665</v>
      </c>
      <c r="D73" s="9">
        <v>2.3959999999999999</v>
      </c>
      <c r="E73" s="9">
        <v>2.3969999999999998</v>
      </c>
      <c r="F73" s="9">
        <v>2.3170000000000002</v>
      </c>
      <c r="I73" s="2">
        <f t="shared" ca="1" si="1"/>
        <v>4.1070000000000002</v>
      </c>
      <c r="J73" s="2">
        <f t="shared" ca="1" si="1"/>
        <v>3.6629999999999998</v>
      </c>
      <c r="K73" s="2">
        <f t="shared" ca="1" si="1"/>
        <v>3.1560000000000001</v>
      </c>
      <c r="L73" s="2">
        <f t="shared" ca="1" si="1"/>
        <v>2.7349999999999999</v>
      </c>
      <c r="M73" s="2">
        <f t="shared" ca="1" si="1"/>
        <v>2.4350000000000001</v>
      </c>
      <c r="N73" s="2">
        <f t="shared" ca="1" si="1"/>
        <v>2.194</v>
      </c>
      <c r="O73" s="2">
        <f t="shared" ca="1" si="1"/>
        <v>2.0139999999999998</v>
      </c>
      <c r="P73" s="2">
        <f t="shared" ca="1" si="1"/>
        <v>1.907</v>
      </c>
      <c r="Q73" s="2">
        <f t="shared" ca="1" si="1"/>
        <v>1.875</v>
      </c>
      <c r="R73" s="2">
        <f t="shared" ca="1" si="1"/>
        <v>1.9159999999999999</v>
      </c>
      <c r="S73" s="2">
        <f t="shared" ca="1" si="1"/>
        <v>2.028</v>
      </c>
      <c r="T73" s="2">
        <f t="shared" ca="1" si="1"/>
        <v>2.2090000000000001</v>
      </c>
      <c r="U73" s="2">
        <f t="shared" ca="1" si="1"/>
        <v>2.4590000000000001</v>
      </c>
      <c r="V73" s="2">
        <f t="shared" ca="1" si="1"/>
        <v>2.762</v>
      </c>
      <c r="W73" s="2">
        <f t="shared" ca="1" si="1"/>
        <v>3.1779999999999999</v>
      </c>
      <c r="X73" s="2">
        <f t="shared" ca="1" si="1"/>
        <v>3.7050000000000001</v>
      </c>
      <c r="Y73" s="2">
        <f t="shared" ca="1" si="1"/>
        <v>4.2359999999999998</v>
      </c>
    </row>
    <row r="74" spans="2:25" x14ac:dyDescent="0.3">
      <c r="B74" s="6">
        <v>71</v>
      </c>
      <c r="C74" s="9">
        <v>2.226</v>
      </c>
      <c r="D74" s="9">
        <v>2.0190000000000001</v>
      </c>
      <c r="E74" s="9">
        <v>2.02</v>
      </c>
      <c r="F74" s="9">
        <v>1.9630000000000001</v>
      </c>
      <c r="I74" s="2">
        <f t="shared" ca="1" si="1"/>
        <v>3.9129999999999998</v>
      </c>
      <c r="J74" s="2">
        <f t="shared" ca="1" si="1"/>
        <v>3.3330000000000002</v>
      </c>
      <c r="K74" s="2">
        <f t="shared" ca="1" si="1"/>
        <v>2.819</v>
      </c>
      <c r="L74" s="2">
        <f t="shared" ca="1" si="1"/>
        <v>2.448</v>
      </c>
      <c r="M74" s="2">
        <f t="shared" ca="1" si="1"/>
        <v>2.1360000000000001</v>
      </c>
      <c r="N74" s="2">
        <f t="shared" ca="1" si="1"/>
        <v>1.889</v>
      </c>
      <c r="O74" s="2">
        <f t="shared" ca="1" si="1"/>
        <v>1.7090000000000001</v>
      </c>
      <c r="P74" s="2">
        <f t="shared" ca="1" si="1"/>
        <v>1.5980000000000001</v>
      </c>
      <c r="Q74" s="2">
        <f t="shared" ca="1" si="1"/>
        <v>1.5609999999999999</v>
      </c>
      <c r="R74" s="2">
        <f t="shared" ca="1" si="1"/>
        <v>1.601</v>
      </c>
      <c r="S74" s="2">
        <f t="shared" ca="1" si="1"/>
        <v>1.714</v>
      </c>
      <c r="T74" s="2">
        <f t="shared" ca="1" si="1"/>
        <v>1.8979999999999999</v>
      </c>
      <c r="U74" s="2">
        <f t="shared" ca="1" si="1"/>
        <v>2.1539999999999999</v>
      </c>
      <c r="V74" s="2">
        <f t="shared" ca="1" si="1"/>
        <v>2.4750000000000001</v>
      </c>
      <c r="W74" s="2">
        <f t="shared" ca="1" si="1"/>
        <v>2.8490000000000002</v>
      </c>
      <c r="X74" s="2">
        <f t="shared" ca="1" si="1"/>
        <v>3.3580000000000001</v>
      </c>
      <c r="Y74" s="2">
        <f t="shared" ca="1" si="1"/>
        <v>3.97</v>
      </c>
    </row>
    <row r="75" spans="2:25" x14ac:dyDescent="0.3">
      <c r="B75" s="6">
        <v>72</v>
      </c>
      <c r="C75" s="9">
        <v>1.853</v>
      </c>
      <c r="D75" s="9">
        <v>1.71</v>
      </c>
      <c r="E75" s="9">
        <v>1.7110000000000001</v>
      </c>
      <c r="F75" s="9">
        <v>1.6679999999999999</v>
      </c>
      <c r="I75" s="2">
        <f t="shared" ca="1" si="1"/>
        <v>3.649</v>
      </c>
      <c r="J75" s="2">
        <f t="shared" ca="1" si="1"/>
        <v>3.0390000000000001</v>
      </c>
      <c r="K75" s="2">
        <f t="shared" ca="1" si="1"/>
        <v>2.5680000000000001</v>
      </c>
      <c r="L75" s="2">
        <f t="shared" ca="1" si="1"/>
        <v>2.2040000000000002</v>
      </c>
      <c r="M75" s="2">
        <f t="shared" ca="1" si="1"/>
        <v>1.893</v>
      </c>
      <c r="N75" s="2">
        <f t="shared" ca="1" si="1"/>
        <v>1.647</v>
      </c>
      <c r="O75" s="2">
        <f t="shared" ca="1" si="1"/>
        <v>1.462</v>
      </c>
      <c r="P75" s="2">
        <f t="shared" ca="1" si="1"/>
        <v>1.351</v>
      </c>
      <c r="Q75" s="2">
        <f t="shared" ca="1" si="1"/>
        <v>1.3140000000000001</v>
      </c>
      <c r="R75" s="2">
        <f t="shared" ca="1" si="1"/>
        <v>1.3520000000000001</v>
      </c>
      <c r="S75" s="2">
        <f t="shared" ca="1" si="1"/>
        <v>1.4610000000000001</v>
      </c>
      <c r="T75" s="2">
        <f t="shared" ca="1" si="1"/>
        <v>1.647</v>
      </c>
      <c r="U75" s="2">
        <f t="shared" ca="1" si="1"/>
        <v>1.901</v>
      </c>
      <c r="V75" s="2">
        <f t="shared" ca="1" si="1"/>
        <v>2.2240000000000002</v>
      </c>
      <c r="W75" s="2">
        <f t="shared" ca="1" si="1"/>
        <v>2.6059999999999999</v>
      </c>
      <c r="X75" s="2">
        <f t="shared" ca="1" si="1"/>
        <v>3.0750000000000002</v>
      </c>
      <c r="Y75" s="2">
        <f t="shared" ca="1" si="1"/>
        <v>3.681</v>
      </c>
    </row>
    <row r="76" spans="2:25" x14ac:dyDescent="0.3">
      <c r="B76" s="6">
        <v>73</v>
      </c>
      <c r="C76" s="9">
        <v>1.552</v>
      </c>
      <c r="D76" s="9">
        <v>1.4630000000000001</v>
      </c>
      <c r="E76" s="9">
        <v>1.4630000000000001</v>
      </c>
      <c r="F76" s="9">
        <v>1.427</v>
      </c>
      <c r="I76" s="2">
        <f t="shared" ca="1" si="1"/>
        <v>3.4180000000000001</v>
      </c>
      <c r="J76" s="2">
        <f t="shared" ca="1" si="1"/>
        <v>2.847</v>
      </c>
      <c r="K76" s="2">
        <f t="shared" ca="1" si="1"/>
        <v>2.3959999999999999</v>
      </c>
      <c r="L76" s="2">
        <f t="shared" ca="1" si="1"/>
        <v>2.0190000000000001</v>
      </c>
      <c r="M76" s="2">
        <f t="shared" ca="1" si="1"/>
        <v>1.71</v>
      </c>
      <c r="N76" s="2">
        <f t="shared" ca="1" si="1"/>
        <v>1.4630000000000001</v>
      </c>
      <c r="O76" s="2">
        <f t="shared" ca="1" si="1"/>
        <v>1.2849999999999999</v>
      </c>
      <c r="P76" s="2">
        <f t="shared" ca="1" si="1"/>
        <v>1.1830000000000001</v>
      </c>
      <c r="Q76" s="2">
        <f t="shared" ca="1" si="1"/>
        <v>1.1479999999999999</v>
      </c>
      <c r="R76" s="2">
        <f t="shared" ca="1" si="1"/>
        <v>1.1839999999999999</v>
      </c>
      <c r="S76" s="2">
        <f t="shared" ca="1" si="1"/>
        <v>1.2869999999999999</v>
      </c>
      <c r="T76" s="2">
        <f t="shared" ca="1" si="1"/>
        <v>1.4650000000000001</v>
      </c>
      <c r="U76" s="2">
        <f t="shared" ca="1" si="1"/>
        <v>1.7230000000000001</v>
      </c>
      <c r="V76" s="2">
        <f t="shared" ca="1" si="1"/>
        <v>2.0419999999999998</v>
      </c>
      <c r="W76" s="2">
        <f t="shared" ca="1" si="1"/>
        <v>2.427</v>
      </c>
      <c r="X76" s="2">
        <f t="shared" ca="1" si="1"/>
        <v>2.8719999999999999</v>
      </c>
      <c r="Y76" s="2">
        <f t="shared" ca="1" si="1"/>
        <v>3.4279999999999999</v>
      </c>
    </row>
    <row r="77" spans="2:25" x14ac:dyDescent="0.3">
      <c r="B77" s="6">
        <v>74</v>
      </c>
      <c r="C77" s="9">
        <v>1.339</v>
      </c>
      <c r="D77" s="9">
        <v>1.2849999999999999</v>
      </c>
      <c r="E77" s="9">
        <v>1.286</v>
      </c>
      <c r="F77" s="9">
        <v>1.2589999999999999</v>
      </c>
      <c r="I77" s="2">
        <f t="shared" ca="1" si="1"/>
        <v>3.2839999999999998</v>
      </c>
      <c r="J77" s="2">
        <f t="shared" ca="1" si="1"/>
        <v>2.742</v>
      </c>
      <c r="K77" s="2">
        <f t="shared" ca="1" si="1"/>
        <v>2.2959999999999998</v>
      </c>
      <c r="L77" s="2">
        <f t="shared" ca="1" si="1"/>
        <v>1.917</v>
      </c>
      <c r="M77" s="2">
        <f t="shared" ca="1" si="1"/>
        <v>1.601</v>
      </c>
      <c r="N77" s="2">
        <f t="shared" ca="1" si="1"/>
        <v>1.349</v>
      </c>
      <c r="O77" s="2">
        <f t="shared" ca="1" si="1"/>
        <v>1.18</v>
      </c>
      <c r="P77" s="2">
        <f t="shared" ca="1" si="1"/>
        <v>1.0740000000000001</v>
      </c>
      <c r="Q77" s="2">
        <f t="shared" ca="1" si="1"/>
        <v>1.04</v>
      </c>
      <c r="R77" s="2">
        <f t="shared" ca="1" si="1"/>
        <v>1.08</v>
      </c>
      <c r="S77" s="2">
        <f t="shared" ca="1" si="1"/>
        <v>1.19</v>
      </c>
      <c r="T77" s="2">
        <f t="shared" ca="1" si="1"/>
        <v>1.361</v>
      </c>
      <c r="U77" s="2">
        <f t="shared" ca="1" si="1"/>
        <v>1.615</v>
      </c>
      <c r="V77" s="2">
        <f t="shared" ca="1" si="1"/>
        <v>1.9370000000000001</v>
      </c>
      <c r="W77" s="2">
        <f t="shared" ca="1" si="1"/>
        <v>2.3220000000000001</v>
      </c>
      <c r="X77" s="2">
        <f t="shared" ca="1" si="1"/>
        <v>2.7589999999999999</v>
      </c>
      <c r="Y77" s="2">
        <f t="shared" ca="1" si="1"/>
        <v>3.2669999999999999</v>
      </c>
    </row>
    <row r="78" spans="2:25" x14ac:dyDescent="0.3">
      <c r="B78" s="6">
        <v>75</v>
      </c>
      <c r="C78" s="9">
        <v>1.2150000000000001</v>
      </c>
      <c r="D78" s="9">
        <v>1.1830000000000001</v>
      </c>
      <c r="E78" s="9">
        <v>1.1830000000000001</v>
      </c>
      <c r="F78" s="9">
        <v>1.1639999999999999</v>
      </c>
      <c r="I78" s="2">
        <f t="shared" ca="1" si="1"/>
        <v>3.2429999999999999</v>
      </c>
      <c r="J78" s="2">
        <f t="shared" ca="1" si="1"/>
        <v>2.7149999999999999</v>
      </c>
      <c r="K78" s="2">
        <f t="shared" ca="1" si="1"/>
        <v>2.27</v>
      </c>
      <c r="L78" s="2">
        <f t="shared" ca="1" si="1"/>
        <v>1.887</v>
      </c>
      <c r="M78" s="2">
        <f t="shared" ca="1" si="1"/>
        <v>1.5660000000000001</v>
      </c>
      <c r="N78" s="2">
        <f t="shared" ca="1" si="1"/>
        <v>1.3160000000000001</v>
      </c>
      <c r="O78" s="2">
        <f t="shared" ca="1" si="1"/>
        <v>1.1439999999999999</v>
      </c>
      <c r="P78" s="2">
        <f t="shared" ca="1" si="1"/>
        <v>1.0349999999999999</v>
      </c>
      <c r="Q78" s="2">
        <f t="shared" ca="1" si="1"/>
        <v>1.004</v>
      </c>
      <c r="R78" s="2">
        <f t="shared" ca="1" si="1"/>
        <v>1.0389999999999999</v>
      </c>
      <c r="S78" s="2">
        <f t="shared" ca="1" si="1"/>
        <v>1.1539999999999999</v>
      </c>
      <c r="T78" s="2">
        <f t="shared" ca="1" si="1"/>
        <v>1.3280000000000001</v>
      </c>
      <c r="U78" s="2">
        <f t="shared" ca="1" si="1"/>
        <v>1.581</v>
      </c>
      <c r="V78" s="2">
        <f t="shared" ca="1" si="1"/>
        <v>1.9079999999999999</v>
      </c>
      <c r="W78" s="2">
        <f t="shared" ca="1" si="1"/>
        <v>2.294</v>
      </c>
      <c r="X78" s="2">
        <f t="shared" ca="1" si="1"/>
        <v>2.7309999999999999</v>
      </c>
      <c r="Y78" s="2">
        <f t="shared" ca="1" si="1"/>
        <v>3.2290000000000001</v>
      </c>
    </row>
    <row r="79" spans="2:25" x14ac:dyDescent="0.3">
      <c r="B79" s="6">
        <v>76</v>
      </c>
      <c r="C79" s="9">
        <v>1.173</v>
      </c>
      <c r="D79" s="9">
        <v>1.1479999999999999</v>
      </c>
      <c r="E79" s="9">
        <v>1.1479999999999999</v>
      </c>
      <c r="F79" s="9">
        <v>1.1339999999999999</v>
      </c>
      <c r="I79" s="2">
        <f t="shared" ca="1" si="1"/>
        <v>3.278</v>
      </c>
      <c r="J79" s="2">
        <f t="shared" ca="1" si="1"/>
        <v>2.7480000000000002</v>
      </c>
      <c r="K79" s="2">
        <f t="shared" ca="1" si="1"/>
        <v>2.31</v>
      </c>
      <c r="L79" s="2">
        <f t="shared" ca="1" si="1"/>
        <v>1.9319999999999999</v>
      </c>
      <c r="M79" s="2">
        <f t="shared" ca="1" si="1"/>
        <v>1.615</v>
      </c>
      <c r="N79" s="2">
        <f t="shared" ca="1" si="1"/>
        <v>1.359</v>
      </c>
      <c r="O79" s="2">
        <f t="shared" ca="1" si="1"/>
        <v>1.1859999999999999</v>
      </c>
      <c r="P79" s="2">
        <f t="shared" ca="1" si="1"/>
        <v>1.0760000000000001</v>
      </c>
      <c r="Q79" s="2">
        <f t="shared" ca="1" si="1"/>
        <v>1.038</v>
      </c>
      <c r="R79" s="2">
        <f t="shared" ca="1" si="1"/>
        <v>1.079</v>
      </c>
      <c r="S79" s="2">
        <f t="shared" ca="1" si="1"/>
        <v>1.1890000000000001</v>
      </c>
      <c r="T79" s="2">
        <f t="shared" ca="1" si="1"/>
        <v>1.3620000000000001</v>
      </c>
      <c r="U79" s="2">
        <f t="shared" ca="1" si="1"/>
        <v>1.621</v>
      </c>
      <c r="V79" s="2">
        <f t="shared" ca="1" si="1"/>
        <v>1.948</v>
      </c>
      <c r="W79" s="2">
        <f t="shared" ca="1" si="1"/>
        <v>2.339</v>
      </c>
      <c r="X79" s="2">
        <f t="shared" ca="1" si="1"/>
        <v>2.7759999999999998</v>
      </c>
      <c r="Y79" s="2">
        <f t="shared" ca="1" si="1"/>
        <v>3.28</v>
      </c>
    </row>
    <row r="80" spans="2:25" x14ac:dyDescent="0.3">
      <c r="B80" s="6">
        <v>77</v>
      </c>
      <c r="C80" s="9">
        <v>1.2190000000000001</v>
      </c>
      <c r="D80" s="9">
        <v>1.1839999999999999</v>
      </c>
      <c r="E80" s="9">
        <v>1.1839999999999999</v>
      </c>
      <c r="F80" s="9">
        <v>1.1639999999999999</v>
      </c>
      <c r="I80" s="2">
        <f t="shared" ca="1" si="1"/>
        <v>3.423</v>
      </c>
      <c r="J80" s="2">
        <f t="shared" ca="1" si="1"/>
        <v>2.8570000000000002</v>
      </c>
      <c r="K80" s="2">
        <f t="shared" ca="1" si="1"/>
        <v>2.41</v>
      </c>
      <c r="L80" s="2">
        <f t="shared" ca="1" si="1"/>
        <v>2.0350000000000001</v>
      </c>
      <c r="M80" s="2">
        <f t="shared" ca="1" si="1"/>
        <v>1.724</v>
      </c>
      <c r="N80" s="2">
        <f t="shared" ca="1" si="1"/>
        <v>1.474</v>
      </c>
      <c r="O80" s="2">
        <f t="shared" ca="1" si="1"/>
        <v>1.2949999999999999</v>
      </c>
      <c r="P80" s="2">
        <f t="shared" ca="1" si="1"/>
        <v>1.1919999999999999</v>
      </c>
      <c r="Q80" s="2">
        <f t="shared" ca="1" si="1"/>
        <v>1.157</v>
      </c>
      <c r="R80" s="2">
        <f t="shared" ca="1" si="1"/>
        <v>1.19</v>
      </c>
      <c r="S80" s="2">
        <f t="shared" ca="1" si="1"/>
        <v>1.292</v>
      </c>
      <c r="T80" s="2">
        <f t="shared" ca="1" si="1"/>
        <v>1.4690000000000001</v>
      </c>
      <c r="U80" s="2">
        <f t="shared" ca="1" si="1"/>
        <v>1.7290000000000001</v>
      </c>
      <c r="V80" s="2">
        <f t="shared" ca="1" si="1"/>
        <v>2.0539999999999998</v>
      </c>
      <c r="W80" s="2">
        <f t="shared" ca="1" si="1"/>
        <v>2.4390000000000001</v>
      </c>
      <c r="X80" s="2">
        <f t="shared" ca="1" si="1"/>
        <v>2.8839999999999999</v>
      </c>
      <c r="Y80" s="2">
        <f t="shared" ca="1" si="1"/>
        <v>3.4369999999999998</v>
      </c>
    </row>
    <row r="81" spans="2:25" x14ac:dyDescent="0.3">
      <c r="B81" s="6">
        <v>78</v>
      </c>
      <c r="C81" s="9">
        <v>1.3440000000000001</v>
      </c>
      <c r="D81" s="9">
        <v>1.2869999999999999</v>
      </c>
      <c r="E81" s="9">
        <v>1.2869999999999999</v>
      </c>
      <c r="F81" s="9">
        <v>1.2569999999999999</v>
      </c>
      <c r="I81" s="2">
        <f t="shared" ca="1" si="1"/>
        <v>3.657</v>
      </c>
      <c r="J81" s="2">
        <f t="shared" ca="1" si="1"/>
        <v>3.0529999999999999</v>
      </c>
      <c r="K81" s="2">
        <f t="shared" ca="1" si="1"/>
        <v>2.5830000000000002</v>
      </c>
      <c r="L81" s="2">
        <f t="shared" ca="1" si="1"/>
        <v>2.2160000000000002</v>
      </c>
      <c r="M81" s="2">
        <f t="shared" ca="1" si="1"/>
        <v>1.903</v>
      </c>
      <c r="N81" s="2">
        <f t="shared" ca="1" si="1"/>
        <v>1.657</v>
      </c>
      <c r="O81" s="2">
        <f t="shared" ca="1" si="1"/>
        <v>1.476</v>
      </c>
      <c r="P81" s="2">
        <f t="shared" ca="1" si="1"/>
        <v>1.3680000000000001</v>
      </c>
      <c r="Q81" s="2">
        <f t="shared" ca="1" si="1"/>
        <v>1.3340000000000001</v>
      </c>
      <c r="R81" s="2">
        <f t="shared" ca="1" si="1"/>
        <v>1.37</v>
      </c>
      <c r="S81" s="2">
        <f t="shared" ca="1" si="1"/>
        <v>1.476</v>
      </c>
      <c r="T81" s="2">
        <f t="shared" ca="1" si="1"/>
        <v>1.66</v>
      </c>
      <c r="U81" s="2">
        <f t="shared" ca="1" si="1"/>
        <v>1.91</v>
      </c>
      <c r="V81" s="2">
        <f t="shared" ca="1" si="1"/>
        <v>2.23</v>
      </c>
      <c r="W81" s="2">
        <f t="shared" ca="1" si="1"/>
        <v>2.609</v>
      </c>
      <c r="X81" s="2">
        <f t="shared" ca="1" si="1"/>
        <v>3.0649999999999999</v>
      </c>
      <c r="Y81" s="2">
        <f t="shared" ca="1" si="1"/>
        <v>3.6629999999999998</v>
      </c>
    </row>
    <row r="82" spans="2:25" x14ac:dyDescent="0.3">
      <c r="B82" s="6">
        <v>79</v>
      </c>
      <c r="C82" s="9">
        <v>1.5589999999999999</v>
      </c>
      <c r="D82" s="9">
        <v>1.4650000000000001</v>
      </c>
      <c r="E82" s="9">
        <v>1.4650000000000001</v>
      </c>
      <c r="F82" s="9">
        <v>1.425</v>
      </c>
      <c r="I82" s="2">
        <f t="shared" ca="1" si="1"/>
        <v>3.9329999999999998</v>
      </c>
      <c r="J82" s="2">
        <f t="shared" ca="1" si="1"/>
        <v>3.351</v>
      </c>
      <c r="K82" s="2">
        <f t="shared" ca="1" si="1"/>
        <v>2.8359999999999999</v>
      </c>
      <c r="L82" s="2">
        <f t="shared" ca="1" si="1"/>
        <v>2.4670000000000001</v>
      </c>
      <c r="M82" s="2">
        <f t="shared" ca="1" si="1"/>
        <v>2.1589999999999998</v>
      </c>
      <c r="N82" s="2">
        <f t="shared" ca="1" si="1"/>
        <v>1.911</v>
      </c>
      <c r="O82" s="2">
        <f t="shared" ca="1" si="1"/>
        <v>1.7310000000000001</v>
      </c>
      <c r="P82" s="2">
        <f t="shared" ca="1" si="1"/>
        <v>1.619</v>
      </c>
      <c r="Q82" s="2">
        <f t="shared" ca="1" si="1"/>
        <v>1.5840000000000001</v>
      </c>
      <c r="R82" s="2">
        <f t="shared" ca="1" si="1"/>
        <v>1.6259999999999999</v>
      </c>
      <c r="S82" s="2">
        <f t="shared" ca="1" si="1"/>
        <v>1.742</v>
      </c>
      <c r="T82" s="2">
        <f t="shared" ca="1" si="1"/>
        <v>1.9219999999999999</v>
      </c>
      <c r="U82" s="2">
        <f t="shared" ca="1" si="1"/>
        <v>2.1669999999999998</v>
      </c>
      <c r="V82" s="2">
        <f t="shared" ca="1" si="1"/>
        <v>2.4780000000000002</v>
      </c>
      <c r="W82" s="2">
        <f t="shared" ca="1" si="1"/>
        <v>2.8450000000000002</v>
      </c>
      <c r="X82" s="2">
        <f t="shared" ca="1" si="1"/>
        <v>3.351</v>
      </c>
      <c r="Y82" s="2">
        <f t="shared" ca="1" si="1"/>
        <v>3.9609999999999999</v>
      </c>
    </row>
    <row r="83" spans="2:25" x14ac:dyDescent="0.3">
      <c r="B83" s="6">
        <v>80</v>
      </c>
      <c r="C83" s="9">
        <v>1.8720000000000001</v>
      </c>
      <c r="D83" s="9">
        <v>1.7230000000000001</v>
      </c>
      <c r="E83" s="9">
        <v>1.722</v>
      </c>
      <c r="F83" s="9">
        <v>1.6719999999999999</v>
      </c>
      <c r="I83" s="2">
        <f t="shared" ca="1" si="1"/>
        <v>4.1310000000000002</v>
      </c>
      <c r="J83" s="2">
        <f t="shared" ca="1" si="1"/>
        <v>3.6909999999999998</v>
      </c>
      <c r="K83" s="2">
        <f t="shared" ca="1" si="1"/>
        <v>3.194</v>
      </c>
      <c r="L83" s="2">
        <f t="shared" ca="1" si="1"/>
        <v>2.78</v>
      </c>
      <c r="M83" s="2">
        <f t="shared" ca="1" si="1"/>
        <v>2.4780000000000002</v>
      </c>
      <c r="N83" s="2">
        <f t="shared" ca="1" si="1"/>
        <v>2.2320000000000002</v>
      </c>
      <c r="O83" s="2">
        <f t="shared" ca="1" si="1"/>
        <v>2.0499999999999998</v>
      </c>
      <c r="P83" s="2">
        <f t="shared" ca="1" si="1"/>
        <v>1.9390000000000001</v>
      </c>
      <c r="Q83" s="2">
        <f t="shared" ca="1" si="1"/>
        <v>1.9039999999999999</v>
      </c>
      <c r="R83" s="2">
        <f t="shared" ca="1" si="1"/>
        <v>1.9419999999999999</v>
      </c>
      <c r="S83" s="2">
        <f t="shared" ca="1" si="1"/>
        <v>2.056</v>
      </c>
      <c r="T83" s="2">
        <f t="shared" ca="1" si="1"/>
        <v>2.2410000000000001</v>
      </c>
      <c r="U83" s="2">
        <f t="shared" ca="1" si="1"/>
        <v>2.492</v>
      </c>
      <c r="V83" s="2">
        <f t="shared" ca="1" si="1"/>
        <v>2.79</v>
      </c>
      <c r="W83" s="2">
        <f t="shared" ca="1" si="1"/>
        <v>3.1890000000000001</v>
      </c>
      <c r="X83" s="2">
        <f t="shared" ca="1" si="1"/>
        <v>3.706</v>
      </c>
      <c r="Y83" s="2">
        <f t="shared" ca="1" si="1"/>
        <v>4.2549999999999999</v>
      </c>
    </row>
    <row r="84" spans="2:25" x14ac:dyDescent="0.3">
      <c r="B84" s="6">
        <v>81</v>
      </c>
      <c r="C84" s="9">
        <v>2.2599999999999998</v>
      </c>
      <c r="D84" s="9">
        <v>2.0419999999999998</v>
      </c>
      <c r="E84" s="9">
        <v>2.04</v>
      </c>
      <c r="F84" s="9">
        <v>1.9770000000000001</v>
      </c>
      <c r="I84" s="10">
        <f t="shared" ca="1" si="1"/>
        <v>4.2690000000000001</v>
      </c>
      <c r="J84" s="2">
        <f t="shared" ca="1" si="1"/>
        <v>4.0179999999999998</v>
      </c>
      <c r="K84" s="2">
        <f t="shared" ca="1" si="1"/>
        <v>3.649</v>
      </c>
      <c r="L84" s="2">
        <f t="shared" ca="1" si="1"/>
        <v>3.2050000000000001</v>
      </c>
      <c r="M84" s="2">
        <f t="shared" ca="1" si="1"/>
        <v>2.87</v>
      </c>
      <c r="N84" s="2">
        <f t="shared" ca="1" si="1"/>
        <v>2.6339999999999999</v>
      </c>
      <c r="O84" s="2">
        <f t="shared" ca="1" si="1"/>
        <v>2.452</v>
      </c>
      <c r="P84" s="2">
        <f t="shared" ca="1" si="1"/>
        <v>2.3319999999999999</v>
      </c>
      <c r="Q84" s="2">
        <f t="shared" ca="1" si="1"/>
        <v>2.294</v>
      </c>
      <c r="R84" s="2">
        <f t="shared" ca="1" si="1"/>
        <v>2.3330000000000002</v>
      </c>
      <c r="S84" s="2">
        <f t="shared" ca="1" si="1"/>
        <v>2.4489999999999998</v>
      </c>
      <c r="T84" s="2">
        <f t="shared" ca="1" si="1"/>
        <v>2.63</v>
      </c>
      <c r="U84" s="2">
        <f t="shared" ca="1" si="1"/>
        <v>2.8690000000000002</v>
      </c>
      <c r="V84" s="2">
        <f t="shared" ca="1" si="1"/>
        <v>3.21</v>
      </c>
      <c r="W84" s="2">
        <f t="shared" ca="1" si="1"/>
        <v>3.681</v>
      </c>
      <c r="X84" s="2">
        <f t="shared" ca="1" si="1"/>
        <v>4.1269999999999998</v>
      </c>
      <c r="Y84" s="10">
        <f t="shared" ca="1" si="1"/>
        <v>4.5380000000000003</v>
      </c>
    </row>
    <row r="85" spans="2:25" x14ac:dyDescent="0.3">
      <c r="B85" s="6">
        <v>82</v>
      </c>
      <c r="C85" s="9">
        <v>2.7160000000000002</v>
      </c>
      <c r="D85" s="9">
        <v>2.427</v>
      </c>
      <c r="E85" s="9">
        <v>2.4239999999999999</v>
      </c>
      <c r="F85" s="9">
        <v>2.3410000000000002</v>
      </c>
    </row>
    <row r="86" spans="2:25" x14ac:dyDescent="0.3">
      <c r="B86" s="6">
        <v>83</v>
      </c>
      <c r="C86" s="9">
        <v>3.2280000000000002</v>
      </c>
      <c r="D86" s="9">
        <v>2.8719999999999999</v>
      </c>
      <c r="E86" s="9">
        <v>2.8679999999999999</v>
      </c>
      <c r="F86" s="9">
        <v>2.7559999999999998</v>
      </c>
      <c r="H86" t="s">
        <v>2</v>
      </c>
      <c r="I86" s="11">
        <f t="shared" ref="I86:Y98" ca="1" si="2">INDIRECT("E"&amp;(17*ROW(1:1)+ROW($E$3)-19+IF(COLUMN(C:C)&gt;19,50000,COLUMN(C:C)-1)))</f>
        <v>4.1399999999999997</v>
      </c>
      <c r="J86" s="2">
        <f t="shared" ca="1" si="2"/>
        <v>3.9049999999999998</v>
      </c>
      <c r="K86" s="2">
        <f t="shared" ca="1" si="2"/>
        <v>3.5470000000000002</v>
      </c>
      <c r="L86" s="2">
        <f t="shared" ca="1" si="2"/>
        <v>3.1019999999999999</v>
      </c>
      <c r="M86" s="2">
        <f t="shared" ca="1" si="2"/>
        <v>2.7650000000000001</v>
      </c>
      <c r="N86" s="2">
        <f t="shared" ca="1" si="2"/>
        <v>2.5390000000000001</v>
      </c>
      <c r="O86" s="2">
        <f t="shared" ca="1" si="2"/>
        <v>2.371</v>
      </c>
      <c r="P86" s="2">
        <f t="shared" ca="1" si="2"/>
        <v>2.2639999999999998</v>
      </c>
      <c r="Q86" s="2">
        <f t="shared" ca="1" si="2"/>
        <v>2.2349999999999999</v>
      </c>
      <c r="R86" s="2">
        <f t="shared" ca="1" si="2"/>
        <v>2.2730000000000001</v>
      </c>
      <c r="S86" s="2">
        <f t="shared" ca="1" si="2"/>
        <v>2.379</v>
      </c>
      <c r="T86" s="2">
        <f t="shared" ca="1" si="2"/>
        <v>2.5529999999999999</v>
      </c>
      <c r="U86" s="2">
        <f t="shared" ca="1" si="2"/>
        <v>2.7829999999999999</v>
      </c>
      <c r="V86" s="2">
        <f t="shared" ca="1" si="2"/>
        <v>3.1190000000000002</v>
      </c>
      <c r="W86" s="2">
        <f t="shared" ca="1" si="2"/>
        <v>3.581</v>
      </c>
      <c r="X86" s="2">
        <f t="shared" ca="1" si="2"/>
        <v>4.0270000000000001</v>
      </c>
      <c r="Y86" s="11">
        <f t="shared" ca="1" si="2"/>
        <v>4.4240000000000004</v>
      </c>
    </row>
    <row r="87" spans="2:25" x14ac:dyDescent="0.3">
      <c r="B87" s="6">
        <v>84</v>
      </c>
      <c r="C87" s="9">
        <v>3.8490000000000002</v>
      </c>
      <c r="D87" s="9">
        <v>3.4279999999999999</v>
      </c>
      <c r="E87" s="9">
        <v>3.4209999999999998</v>
      </c>
      <c r="F87" s="9">
        <v>3.2730000000000001</v>
      </c>
      <c r="I87" s="2">
        <f t="shared" ca="1" si="2"/>
        <v>4.1059999999999999</v>
      </c>
      <c r="J87" s="2">
        <f t="shared" ca="1" si="2"/>
        <v>3.6640000000000001</v>
      </c>
      <c r="K87" s="2">
        <f t="shared" ca="1" si="2"/>
        <v>3.1579999999999999</v>
      </c>
      <c r="L87" s="2">
        <f t="shared" ca="1" si="2"/>
        <v>2.7370000000000001</v>
      </c>
      <c r="M87" s="2">
        <f t="shared" ca="1" si="2"/>
        <v>2.4380000000000002</v>
      </c>
      <c r="N87" s="2">
        <f t="shared" ca="1" si="2"/>
        <v>2.1970000000000001</v>
      </c>
      <c r="O87" s="2">
        <f t="shared" ca="1" si="2"/>
        <v>2.0179999999999998</v>
      </c>
      <c r="P87" s="2">
        <f t="shared" ca="1" si="2"/>
        <v>1.909</v>
      </c>
      <c r="Q87" s="2">
        <f t="shared" ca="1" si="2"/>
        <v>1.877</v>
      </c>
      <c r="R87" s="2">
        <f t="shared" ca="1" si="2"/>
        <v>1.917</v>
      </c>
      <c r="S87" s="2">
        <f t="shared" ca="1" si="2"/>
        <v>2.0299999999999998</v>
      </c>
      <c r="T87" s="2">
        <f t="shared" ca="1" si="2"/>
        <v>2.2109999999999999</v>
      </c>
      <c r="U87" s="2">
        <f t="shared" ca="1" si="2"/>
        <v>2.46</v>
      </c>
      <c r="V87" s="2">
        <f t="shared" ca="1" si="2"/>
        <v>2.7629999999999999</v>
      </c>
      <c r="W87" s="2">
        <f t="shared" ca="1" si="2"/>
        <v>3.1779999999999999</v>
      </c>
      <c r="X87" s="2">
        <f t="shared" ca="1" si="2"/>
        <v>3.7029999999999998</v>
      </c>
      <c r="Y87" s="2">
        <f t="shared" ca="1" si="2"/>
        <v>4.2309999999999999</v>
      </c>
    </row>
    <row r="88" spans="2:25" x14ac:dyDescent="0.3">
      <c r="B88" s="6">
        <v>85</v>
      </c>
      <c r="C88" s="9">
        <v>3.6880000000000002</v>
      </c>
      <c r="D88" s="9">
        <v>3.2839999999999998</v>
      </c>
      <c r="E88" s="9">
        <v>3.2839999999999998</v>
      </c>
      <c r="F88" s="9">
        <v>3.1539999999999999</v>
      </c>
      <c r="I88" s="2">
        <f t="shared" ca="1" si="2"/>
        <v>3.9129999999999998</v>
      </c>
      <c r="J88" s="2">
        <f t="shared" ca="1" si="2"/>
        <v>3.3340000000000001</v>
      </c>
      <c r="K88" s="2">
        <f t="shared" ca="1" si="2"/>
        <v>2.82</v>
      </c>
      <c r="L88" s="2">
        <f t="shared" ca="1" si="2"/>
        <v>2.4489999999999998</v>
      </c>
      <c r="M88" s="2">
        <f t="shared" ca="1" si="2"/>
        <v>2.1379999999999999</v>
      </c>
      <c r="N88" s="2">
        <f t="shared" ca="1" si="2"/>
        <v>1.891</v>
      </c>
      <c r="O88" s="2">
        <f t="shared" ca="1" si="2"/>
        <v>1.712</v>
      </c>
      <c r="P88" s="2">
        <f t="shared" ca="1" si="2"/>
        <v>1.6</v>
      </c>
      <c r="Q88" s="2">
        <f t="shared" ca="1" si="2"/>
        <v>1.5620000000000001</v>
      </c>
      <c r="R88" s="2">
        <f t="shared" ca="1" si="2"/>
        <v>1.601</v>
      </c>
      <c r="S88" s="2">
        <f t="shared" ca="1" si="2"/>
        <v>1.7150000000000001</v>
      </c>
      <c r="T88" s="2">
        <f t="shared" ca="1" si="2"/>
        <v>1.899</v>
      </c>
      <c r="U88" s="2">
        <f t="shared" ca="1" si="2"/>
        <v>2.1539999999999999</v>
      </c>
      <c r="V88" s="2">
        <f t="shared" ca="1" si="2"/>
        <v>2.4740000000000002</v>
      </c>
      <c r="W88" s="2">
        <f t="shared" ca="1" si="2"/>
        <v>2.8460000000000001</v>
      </c>
      <c r="X88" s="2">
        <f t="shared" ca="1" si="2"/>
        <v>3.3540000000000001</v>
      </c>
      <c r="Y88" s="2">
        <f t="shared" ca="1" si="2"/>
        <v>3.9630000000000001</v>
      </c>
    </row>
    <row r="89" spans="2:25" x14ac:dyDescent="0.3">
      <c r="B89" s="6">
        <v>86</v>
      </c>
      <c r="C89" s="9">
        <v>3.0649999999999999</v>
      </c>
      <c r="D89" s="9">
        <v>2.742</v>
      </c>
      <c r="E89" s="9">
        <v>2.742</v>
      </c>
      <c r="F89" s="9">
        <v>2.6389999999999998</v>
      </c>
      <c r="I89" s="2">
        <f t="shared" ca="1" si="2"/>
        <v>3.649</v>
      </c>
      <c r="J89" s="2">
        <f t="shared" ca="1" si="2"/>
        <v>3.0390000000000001</v>
      </c>
      <c r="K89" s="2">
        <f t="shared" ca="1" si="2"/>
        <v>2.569</v>
      </c>
      <c r="L89" s="2">
        <f t="shared" ca="1" si="2"/>
        <v>2.2050000000000001</v>
      </c>
      <c r="M89" s="2">
        <f t="shared" ca="1" si="2"/>
        <v>1.8939999999999999</v>
      </c>
      <c r="N89" s="2">
        <f t="shared" ca="1" si="2"/>
        <v>1.649</v>
      </c>
      <c r="O89" s="2">
        <f t="shared" ca="1" si="2"/>
        <v>1.464</v>
      </c>
      <c r="P89" s="2">
        <f t="shared" ca="1" si="2"/>
        <v>1.351</v>
      </c>
      <c r="Q89" s="2">
        <f t="shared" ca="1" si="2"/>
        <v>1.3140000000000001</v>
      </c>
      <c r="R89" s="2">
        <f t="shared" ca="1" si="2"/>
        <v>1.3520000000000001</v>
      </c>
      <c r="S89" s="2">
        <f t="shared" ca="1" si="2"/>
        <v>1.4610000000000001</v>
      </c>
      <c r="T89" s="2">
        <f t="shared" ca="1" si="2"/>
        <v>1.647</v>
      </c>
      <c r="U89" s="2">
        <f t="shared" ca="1" si="2"/>
        <v>1.9</v>
      </c>
      <c r="V89" s="2">
        <f t="shared" ca="1" si="2"/>
        <v>2.2229999999999999</v>
      </c>
      <c r="W89" s="2">
        <f t="shared" ca="1" si="2"/>
        <v>2.6040000000000001</v>
      </c>
      <c r="X89" s="2">
        <f t="shared" ca="1" si="2"/>
        <v>3.07</v>
      </c>
      <c r="Y89" s="2">
        <f t="shared" ca="1" si="2"/>
        <v>3.6739999999999999</v>
      </c>
    </row>
    <row r="90" spans="2:25" x14ac:dyDescent="0.3">
      <c r="B90" s="6">
        <v>87</v>
      </c>
      <c r="C90" s="9">
        <v>2.5489999999999999</v>
      </c>
      <c r="D90" s="9">
        <v>2.2959999999999998</v>
      </c>
      <c r="E90" s="9">
        <v>2.2959999999999998</v>
      </c>
      <c r="F90" s="9">
        <v>2.2229999999999999</v>
      </c>
      <c r="I90" s="2">
        <f t="shared" ca="1" si="2"/>
        <v>3.4180000000000001</v>
      </c>
      <c r="J90" s="2">
        <f t="shared" ca="1" si="2"/>
        <v>2.847</v>
      </c>
      <c r="K90" s="2">
        <f t="shared" ca="1" si="2"/>
        <v>2.3969999999999998</v>
      </c>
      <c r="L90" s="2">
        <f t="shared" ca="1" si="2"/>
        <v>2.02</v>
      </c>
      <c r="M90" s="2">
        <f t="shared" ca="1" si="2"/>
        <v>1.7110000000000001</v>
      </c>
      <c r="N90" s="2">
        <f t="shared" ca="1" si="2"/>
        <v>1.4630000000000001</v>
      </c>
      <c r="O90" s="2">
        <f t="shared" ca="1" si="2"/>
        <v>1.286</v>
      </c>
      <c r="P90" s="2">
        <f t="shared" ca="1" si="2"/>
        <v>1.1830000000000001</v>
      </c>
      <c r="Q90" s="2">
        <f t="shared" ca="1" si="2"/>
        <v>1.1479999999999999</v>
      </c>
      <c r="R90" s="2">
        <f t="shared" ca="1" si="2"/>
        <v>1.1839999999999999</v>
      </c>
      <c r="S90" s="2">
        <f t="shared" ca="1" si="2"/>
        <v>1.2869999999999999</v>
      </c>
      <c r="T90" s="2">
        <f t="shared" ca="1" si="2"/>
        <v>1.4650000000000001</v>
      </c>
      <c r="U90" s="2">
        <f t="shared" ca="1" si="2"/>
        <v>1.722</v>
      </c>
      <c r="V90" s="2">
        <f t="shared" ca="1" si="2"/>
        <v>2.04</v>
      </c>
      <c r="W90" s="2">
        <f t="shared" ca="1" si="2"/>
        <v>2.4239999999999999</v>
      </c>
      <c r="X90" s="2">
        <f t="shared" ca="1" si="2"/>
        <v>2.8679999999999999</v>
      </c>
      <c r="Y90" s="2">
        <f t="shared" ca="1" si="2"/>
        <v>3.4209999999999998</v>
      </c>
    </row>
    <row r="91" spans="2:25" x14ac:dyDescent="0.3">
      <c r="B91" s="6">
        <v>88</v>
      </c>
      <c r="C91" s="9">
        <v>2.101</v>
      </c>
      <c r="D91" s="9">
        <v>1.917</v>
      </c>
      <c r="E91" s="9">
        <v>1.917</v>
      </c>
      <c r="F91" s="9">
        <v>1.863</v>
      </c>
      <c r="I91" s="2">
        <f t="shared" ca="1" si="2"/>
        <v>3.2839999999999998</v>
      </c>
      <c r="J91" s="2">
        <f t="shared" ca="1" si="2"/>
        <v>2.742</v>
      </c>
      <c r="K91" s="2">
        <f t="shared" ca="1" si="2"/>
        <v>2.2959999999999998</v>
      </c>
      <c r="L91" s="2">
        <f t="shared" ca="1" si="2"/>
        <v>1.917</v>
      </c>
      <c r="M91" s="2">
        <f t="shared" ca="1" si="2"/>
        <v>1.6020000000000001</v>
      </c>
      <c r="N91" s="2">
        <f t="shared" ca="1" si="2"/>
        <v>1.35</v>
      </c>
      <c r="O91" s="2">
        <f t="shared" ca="1" si="2"/>
        <v>1.181</v>
      </c>
      <c r="P91" s="2">
        <f t="shared" ca="1" si="2"/>
        <v>1.075</v>
      </c>
      <c r="Q91" s="2">
        <f t="shared" ca="1" si="2"/>
        <v>1.04</v>
      </c>
      <c r="R91" s="2">
        <f t="shared" ca="1" si="2"/>
        <v>1.08</v>
      </c>
      <c r="S91" s="2">
        <f t="shared" ca="1" si="2"/>
        <v>1.19</v>
      </c>
      <c r="T91" s="2">
        <f t="shared" ca="1" si="2"/>
        <v>1.361</v>
      </c>
      <c r="U91" s="2">
        <f t="shared" ca="1" si="2"/>
        <v>1.6140000000000001</v>
      </c>
      <c r="V91" s="2">
        <f t="shared" ca="1" si="2"/>
        <v>1.9359999999999999</v>
      </c>
      <c r="W91" s="2">
        <f t="shared" ca="1" si="2"/>
        <v>2.319</v>
      </c>
      <c r="X91" s="2">
        <f t="shared" ca="1" si="2"/>
        <v>2.7549999999999999</v>
      </c>
      <c r="Y91" s="2">
        <f t="shared" ca="1" si="2"/>
        <v>3.2610000000000001</v>
      </c>
    </row>
    <row r="92" spans="2:25" x14ac:dyDescent="0.3">
      <c r="B92" s="6">
        <v>89</v>
      </c>
      <c r="C92" s="9">
        <v>1.718</v>
      </c>
      <c r="D92" s="9">
        <v>1.601</v>
      </c>
      <c r="E92" s="9">
        <v>1.6020000000000001</v>
      </c>
      <c r="F92" s="9">
        <v>1.5629999999999999</v>
      </c>
      <c r="I92" s="2">
        <f t="shared" ca="1" si="2"/>
        <v>3.2429999999999999</v>
      </c>
      <c r="J92" s="2">
        <f t="shared" ca="1" si="2"/>
        <v>2.7149999999999999</v>
      </c>
      <c r="K92" s="2">
        <f t="shared" ca="1" si="2"/>
        <v>2.27</v>
      </c>
      <c r="L92" s="2">
        <f t="shared" ca="1" si="2"/>
        <v>1.8879999999999999</v>
      </c>
      <c r="M92" s="2">
        <f t="shared" ca="1" si="2"/>
        <v>1.5669999999999999</v>
      </c>
      <c r="N92" s="2">
        <f t="shared" ca="1" si="2"/>
        <v>1.3169999999999999</v>
      </c>
      <c r="O92" s="2">
        <f t="shared" ca="1" si="2"/>
        <v>1.145</v>
      </c>
      <c r="P92" s="2">
        <f t="shared" ca="1" si="2"/>
        <v>1.0349999999999999</v>
      </c>
      <c r="Q92" s="2">
        <f t="shared" ca="1" si="2"/>
        <v>1.004</v>
      </c>
      <c r="R92" s="2">
        <f t="shared" ca="1" si="2"/>
        <v>1.0389999999999999</v>
      </c>
      <c r="S92" s="2">
        <f t="shared" ca="1" si="2"/>
        <v>1.1539999999999999</v>
      </c>
      <c r="T92" s="2">
        <f t="shared" ca="1" si="2"/>
        <v>1.3280000000000001</v>
      </c>
      <c r="U92" s="2">
        <f t="shared" ca="1" si="2"/>
        <v>1.58</v>
      </c>
      <c r="V92" s="2">
        <f t="shared" ca="1" si="2"/>
        <v>1.9059999999999999</v>
      </c>
      <c r="W92" s="2">
        <f t="shared" ca="1" si="2"/>
        <v>2.29</v>
      </c>
      <c r="X92" s="2">
        <f t="shared" ca="1" si="2"/>
        <v>2.726</v>
      </c>
      <c r="Y92" s="2">
        <f t="shared" ca="1" si="2"/>
        <v>3.22</v>
      </c>
    </row>
    <row r="93" spans="2:25" x14ac:dyDescent="0.3">
      <c r="B93" s="6">
        <v>90</v>
      </c>
      <c r="C93" s="9">
        <v>1.415</v>
      </c>
      <c r="D93" s="9">
        <v>1.349</v>
      </c>
      <c r="E93" s="9">
        <v>1.35</v>
      </c>
      <c r="F93" s="9">
        <v>1.323</v>
      </c>
      <c r="I93" s="2">
        <f t="shared" ca="1" si="2"/>
        <v>3.2770000000000001</v>
      </c>
      <c r="J93" s="2">
        <f t="shared" ca="1" si="2"/>
        <v>2.7469999999999999</v>
      </c>
      <c r="K93" s="2">
        <f t="shared" ca="1" si="2"/>
        <v>2.3090000000000002</v>
      </c>
      <c r="L93" s="2">
        <f t="shared" ca="1" si="2"/>
        <v>1.9319999999999999</v>
      </c>
      <c r="M93" s="2">
        <f t="shared" ca="1" si="2"/>
        <v>1.615</v>
      </c>
      <c r="N93" s="2">
        <f t="shared" ca="1" si="2"/>
        <v>1.36</v>
      </c>
      <c r="O93" s="2">
        <f t="shared" ca="1" si="2"/>
        <v>1.1859999999999999</v>
      </c>
      <c r="P93" s="2">
        <f t="shared" ca="1" si="2"/>
        <v>1.075</v>
      </c>
      <c r="Q93" s="2">
        <f t="shared" ca="1" si="2"/>
        <v>1.0369999999999999</v>
      </c>
      <c r="R93" s="2">
        <f t="shared" ca="1" si="2"/>
        <v>1.0780000000000001</v>
      </c>
      <c r="S93" s="2">
        <f t="shared" ca="1" si="2"/>
        <v>1.1879999999999999</v>
      </c>
      <c r="T93" s="2">
        <f t="shared" ca="1" si="2"/>
        <v>1.361</v>
      </c>
      <c r="U93" s="2">
        <f t="shared" ca="1" si="2"/>
        <v>1.619</v>
      </c>
      <c r="V93" s="2">
        <f t="shared" ca="1" si="2"/>
        <v>1.9450000000000001</v>
      </c>
      <c r="W93" s="2">
        <f t="shared" ca="1" si="2"/>
        <v>2.335</v>
      </c>
      <c r="X93" s="2">
        <f t="shared" ca="1" si="2"/>
        <v>2.77</v>
      </c>
      <c r="Y93" s="2">
        <f t="shared" ca="1" si="2"/>
        <v>3.2709999999999999</v>
      </c>
    </row>
    <row r="94" spans="2:25" x14ac:dyDescent="0.3">
      <c r="B94" s="6">
        <v>91</v>
      </c>
      <c r="C94" s="9">
        <v>1.212</v>
      </c>
      <c r="D94" s="9">
        <v>1.18</v>
      </c>
      <c r="E94" s="9">
        <v>1.181</v>
      </c>
      <c r="F94" s="9">
        <v>1.161</v>
      </c>
      <c r="I94" s="2">
        <f t="shared" ca="1" si="2"/>
        <v>3.4209999999999998</v>
      </c>
      <c r="J94" s="2">
        <f t="shared" ca="1" si="2"/>
        <v>2.855</v>
      </c>
      <c r="K94" s="2">
        <f t="shared" ca="1" si="2"/>
        <v>2.4079999999999999</v>
      </c>
      <c r="L94" s="2">
        <f t="shared" ca="1" si="2"/>
        <v>2.0339999999999998</v>
      </c>
      <c r="M94" s="2">
        <f t="shared" ca="1" si="2"/>
        <v>1.7230000000000001</v>
      </c>
      <c r="N94" s="2">
        <f t="shared" ca="1" si="2"/>
        <v>1.4730000000000001</v>
      </c>
      <c r="O94" s="2">
        <f t="shared" ca="1" si="2"/>
        <v>1.294</v>
      </c>
      <c r="P94" s="2">
        <f t="shared" ca="1" si="2"/>
        <v>1.19</v>
      </c>
      <c r="Q94" s="2">
        <f t="shared" ca="1" si="2"/>
        <v>1.155</v>
      </c>
      <c r="R94" s="2">
        <f t="shared" ca="1" si="2"/>
        <v>1.1879999999999999</v>
      </c>
      <c r="S94" s="2">
        <f t="shared" ca="1" si="2"/>
        <v>1.29</v>
      </c>
      <c r="T94" s="2">
        <f t="shared" ca="1" si="2"/>
        <v>1.466</v>
      </c>
      <c r="U94" s="2">
        <f t="shared" ca="1" si="2"/>
        <v>1.726</v>
      </c>
      <c r="V94" s="2">
        <f t="shared" ca="1" si="2"/>
        <v>2.0499999999999998</v>
      </c>
      <c r="W94" s="2">
        <f t="shared" ca="1" si="2"/>
        <v>2.4340000000000002</v>
      </c>
      <c r="X94" s="2">
        <f t="shared" ca="1" si="2"/>
        <v>2.8769999999999998</v>
      </c>
      <c r="Y94" s="2">
        <f t="shared" ca="1" si="2"/>
        <v>3.4260000000000002</v>
      </c>
    </row>
    <row r="95" spans="2:25" x14ac:dyDescent="0.3">
      <c r="B95" s="6">
        <v>92</v>
      </c>
      <c r="C95" s="9">
        <v>1.0880000000000001</v>
      </c>
      <c r="D95" s="9">
        <v>1.0740000000000001</v>
      </c>
      <c r="E95" s="9">
        <v>1.075</v>
      </c>
      <c r="F95" s="9">
        <v>1.0660000000000001</v>
      </c>
      <c r="I95" s="2">
        <f t="shared" ca="1" si="2"/>
        <v>3.6539999999999999</v>
      </c>
      <c r="J95" s="2">
        <f t="shared" ca="1" si="2"/>
        <v>3.0489999999999999</v>
      </c>
      <c r="K95" s="2">
        <f t="shared" ca="1" si="2"/>
        <v>2.58</v>
      </c>
      <c r="L95" s="2">
        <f t="shared" ca="1" si="2"/>
        <v>2.2130000000000001</v>
      </c>
      <c r="M95" s="2">
        <f t="shared" ca="1" si="2"/>
        <v>1.901</v>
      </c>
      <c r="N95" s="2">
        <f t="shared" ca="1" si="2"/>
        <v>1.6559999999999999</v>
      </c>
      <c r="O95" s="2">
        <f t="shared" ca="1" si="2"/>
        <v>1.474</v>
      </c>
      <c r="P95" s="2">
        <f t="shared" ca="1" si="2"/>
        <v>1.3660000000000001</v>
      </c>
      <c r="Q95" s="2">
        <f t="shared" ca="1" si="2"/>
        <v>1.331</v>
      </c>
      <c r="R95" s="2">
        <f t="shared" ca="1" si="2"/>
        <v>1.367</v>
      </c>
      <c r="S95" s="2">
        <f t="shared" ca="1" si="2"/>
        <v>1.4730000000000001</v>
      </c>
      <c r="T95" s="2">
        <f t="shared" ca="1" si="2"/>
        <v>1.6559999999999999</v>
      </c>
      <c r="U95" s="2">
        <f t="shared" ca="1" si="2"/>
        <v>1.9059999999999999</v>
      </c>
      <c r="V95" s="2">
        <f t="shared" ca="1" si="2"/>
        <v>2.2250000000000001</v>
      </c>
      <c r="W95" s="2">
        <f t="shared" ca="1" si="2"/>
        <v>2.6030000000000002</v>
      </c>
      <c r="X95" s="2">
        <f t="shared" ca="1" si="2"/>
        <v>3.0569999999999999</v>
      </c>
      <c r="Y95" s="2">
        <f t="shared" ca="1" si="2"/>
        <v>3.6509999999999998</v>
      </c>
    </row>
    <row r="96" spans="2:25" x14ac:dyDescent="0.3">
      <c r="B96" s="6">
        <v>93</v>
      </c>
      <c r="C96" s="9">
        <v>1.048</v>
      </c>
      <c r="D96" s="9">
        <v>1.04</v>
      </c>
      <c r="E96" s="9">
        <v>1.04</v>
      </c>
      <c r="F96" s="9">
        <v>1.0369999999999999</v>
      </c>
      <c r="I96" s="2">
        <f t="shared" ca="1" si="2"/>
        <v>3.9279999999999999</v>
      </c>
      <c r="J96" s="2">
        <f t="shared" ca="1" si="2"/>
        <v>3.347</v>
      </c>
      <c r="K96" s="2">
        <f t="shared" ca="1" si="2"/>
        <v>2.8319999999999999</v>
      </c>
      <c r="L96" s="2">
        <f t="shared" ca="1" si="2"/>
        <v>2.464</v>
      </c>
      <c r="M96" s="2">
        <f t="shared" ca="1" si="2"/>
        <v>2.1560000000000001</v>
      </c>
      <c r="N96" s="2">
        <f t="shared" ca="1" si="2"/>
        <v>1.909</v>
      </c>
      <c r="O96" s="2">
        <f t="shared" ca="1" si="2"/>
        <v>1.728</v>
      </c>
      <c r="P96" s="2">
        <f t="shared" ca="1" si="2"/>
        <v>1.6160000000000001</v>
      </c>
      <c r="Q96" s="2">
        <f t="shared" ca="1" si="2"/>
        <v>1.581</v>
      </c>
      <c r="R96" s="2">
        <f t="shared" ca="1" si="2"/>
        <v>1.623</v>
      </c>
      <c r="S96" s="2">
        <f t="shared" ca="1" si="2"/>
        <v>1.738</v>
      </c>
      <c r="T96" s="2">
        <f t="shared" ca="1" si="2"/>
        <v>1.9179999999999999</v>
      </c>
      <c r="U96" s="2">
        <f t="shared" ca="1" si="2"/>
        <v>2.1619999999999999</v>
      </c>
      <c r="V96" s="2">
        <f t="shared" ca="1" si="2"/>
        <v>2.4729999999999999</v>
      </c>
      <c r="W96" s="2">
        <f t="shared" ca="1" si="2"/>
        <v>2.8380000000000001</v>
      </c>
      <c r="X96" s="2">
        <f t="shared" ca="1" si="2"/>
        <v>3.3420000000000001</v>
      </c>
      <c r="Y96" s="2">
        <f t="shared" ca="1" si="2"/>
        <v>3.95</v>
      </c>
    </row>
    <row r="97" spans="2:25" x14ac:dyDescent="0.3">
      <c r="B97" s="6">
        <v>94</v>
      </c>
      <c r="C97" s="9">
        <v>1.095</v>
      </c>
      <c r="D97" s="9">
        <v>1.08</v>
      </c>
      <c r="E97" s="9">
        <v>1.08</v>
      </c>
      <c r="F97" s="9">
        <v>1.071</v>
      </c>
      <c r="I97" s="2">
        <f t="shared" ca="1" si="2"/>
        <v>4.1269999999999998</v>
      </c>
      <c r="J97" s="2">
        <f t="shared" ca="1" si="2"/>
        <v>3.6859999999999999</v>
      </c>
      <c r="K97" s="2">
        <f t="shared" ca="1" si="2"/>
        <v>3.1909999999999998</v>
      </c>
      <c r="L97" s="2">
        <f t="shared" ca="1" si="2"/>
        <v>2.7770000000000001</v>
      </c>
      <c r="M97" s="2">
        <f t="shared" ca="1" si="2"/>
        <v>2.476</v>
      </c>
      <c r="N97" s="2">
        <f t="shared" ca="1" si="2"/>
        <v>2.23</v>
      </c>
      <c r="O97" s="2">
        <f t="shared" ca="1" si="2"/>
        <v>2.0470000000000002</v>
      </c>
      <c r="P97" s="2">
        <f t="shared" ca="1" si="2"/>
        <v>1.9359999999999999</v>
      </c>
      <c r="Q97" s="2">
        <f t="shared" ca="1" si="2"/>
        <v>1.9</v>
      </c>
      <c r="R97" s="2">
        <f t="shared" ca="1" si="2"/>
        <v>1.9379999999999999</v>
      </c>
      <c r="S97" s="2">
        <f t="shared" ca="1" si="2"/>
        <v>2.052</v>
      </c>
      <c r="T97" s="2">
        <f t="shared" ca="1" si="2"/>
        <v>2.2370000000000001</v>
      </c>
      <c r="U97" s="2">
        <f t="shared" ca="1" si="2"/>
        <v>2.4870000000000001</v>
      </c>
      <c r="V97" s="2">
        <f t="shared" ca="1" si="2"/>
        <v>2.7829999999999999</v>
      </c>
      <c r="W97" s="2">
        <f t="shared" ca="1" si="2"/>
        <v>3.18</v>
      </c>
      <c r="X97" s="2">
        <f t="shared" ca="1" si="2"/>
        <v>3.6949999999999998</v>
      </c>
      <c r="Y97" s="2">
        <f t="shared" ca="1" si="2"/>
        <v>4.242</v>
      </c>
    </row>
    <row r="98" spans="2:25" x14ac:dyDescent="0.3">
      <c r="B98" s="6">
        <v>95</v>
      </c>
      <c r="C98" s="9">
        <v>1.224</v>
      </c>
      <c r="D98" s="9">
        <v>1.19</v>
      </c>
      <c r="E98" s="9">
        <v>1.19</v>
      </c>
      <c r="F98" s="9">
        <v>1.169</v>
      </c>
      <c r="I98" s="11">
        <f t="shared" ca="1" si="2"/>
        <v>4.266</v>
      </c>
      <c r="J98" s="2">
        <f t="shared" ca="1" si="2"/>
        <v>4.0129999999999999</v>
      </c>
      <c r="K98" s="2">
        <f t="shared" ca="1" si="2"/>
        <v>3.645</v>
      </c>
      <c r="L98" s="2">
        <f t="shared" ca="1" si="2"/>
        <v>3.202</v>
      </c>
      <c r="M98" s="2">
        <f t="shared" ca="1" si="2"/>
        <v>2.867</v>
      </c>
      <c r="N98" s="2">
        <f t="shared" ca="1" si="2"/>
        <v>2.6320000000000001</v>
      </c>
      <c r="O98" s="2">
        <f t="shared" ca="1" si="2"/>
        <v>2.4489999999999998</v>
      </c>
      <c r="P98" s="2">
        <f t="shared" ca="1" si="2"/>
        <v>2.3279999999999998</v>
      </c>
      <c r="Q98" s="2">
        <f t="shared" ca="1" si="2"/>
        <v>2.29</v>
      </c>
      <c r="R98" s="2">
        <f t="shared" ca="1" si="2"/>
        <v>2.3279999999999998</v>
      </c>
      <c r="S98" s="2">
        <f t="shared" ca="1" si="2"/>
        <v>2.4449999999999998</v>
      </c>
      <c r="T98" s="2">
        <f t="shared" ca="1" si="2"/>
        <v>2.625</v>
      </c>
      <c r="U98" s="2">
        <f t="shared" ca="1" si="2"/>
        <v>2.8639999999999999</v>
      </c>
      <c r="V98" s="2">
        <f t="shared" ca="1" si="2"/>
        <v>3.202</v>
      </c>
      <c r="W98" s="2">
        <f t="shared" ca="1" si="2"/>
        <v>3.6709999999999998</v>
      </c>
      <c r="X98" s="2">
        <f t="shared" ca="1" si="2"/>
        <v>4.117</v>
      </c>
      <c r="Y98" s="11">
        <f t="shared" ca="1" si="2"/>
        <v>4.5289999999999999</v>
      </c>
    </row>
    <row r="99" spans="2:25" x14ac:dyDescent="0.3">
      <c r="B99" s="6">
        <v>96</v>
      </c>
      <c r="C99" s="9">
        <v>1.43</v>
      </c>
      <c r="D99" s="9">
        <v>1.361</v>
      </c>
      <c r="E99" s="9">
        <v>1.361</v>
      </c>
      <c r="F99" s="9">
        <v>1.33</v>
      </c>
    </row>
    <row r="100" spans="2:25" x14ac:dyDescent="0.3">
      <c r="B100" s="6">
        <v>97</v>
      </c>
      <c r="C100" s="9">
        <v>1.7390000000000001</v>
      </c>
      <c r="D100" s="9">
        <v>1.615</v>
      </c>
      <c r="E100" s="9">
        <v>1.6140000000000001</v>
      </c>
      <c r="F100" s="9">
        <v>1.5720000000000001</v>
      </c>
      <c r="H100" t="s">
        <v>3</v>
      </c>
      <c r="I100" s="13">
        <f t="shared" ref="I100:Y112" ca="1" si="3">INDIRECT("F"&amp;(17*ROW(1:1)+ROW($F$3)-19+IF(COLUMN(C:C)&gt;19,50000,COLUMN(C:C)-1)))</f>
        <v>3.9380000000000002</v>
      </c>
      <c r="J100" s="2">
        <f t="shared" ca="1" si="3"/>
        <v>3.6850000000000001</v>
      </c>
      <c r="K100" s="2">
        <f t="shared" ca="1" si="3"/>
        <v>3.3540000000000001</v>
      </c>
      <c r="L100" s="2">
        <f t="shared" ca="1" si="3"/>
        <v>2.9420000000000002</v>
      </c>
      <c r="M100" s="2">
        <f t="shared" ca="1" si="3"/>
        <v>2.63</v>
      </c>
      <c r="N100" s="2">
        <f t="shared" ca="1" si="3"/>
        <v>2.42</v>
      </c>
      <c r="O100" s="2">
        <f t="shared" ca="1" si="3"/>
        <v>2.2639999999999998</v>
      </c>
      <c r="P100" s="2">
        <f t="shared" ca="1" si="3"/>
        <v>2.165</v>
      </c>
      <c r="Q100" s="2">
        <f t="shared" ca="1" si="3"/>
        <v>2.133</v>
      </c>
      <c r="R100" s="2">
        <f t="shared" ca="1" si="3"/>
        <v>2.1669999999999998</v>
      </c>
      <c r="S100" s="2">
        <f t="shared" ca="1" si="3"/>
        <v>2.27</v>
      </c>
      <c r="T100" s="2">
        <f t="shared" ca="1" si="3"/>
        <v>2.4289999999999998</v>
      </c>
      <c r="U100" s="2">
        <f t="shared" ca="1" si="3"/>
        <v>2.64</v>
      </c>
      <c r="V100" s="2">
        <f t="shared" ca="1" si="3"/>
        <v>2.9489999999999998</v>
      </c>
      <c r="W100" s="2">
        <f t="shared" ca="1" si="3"/>
        <v>3.3780000000000001</v>
      </c>
      <c r="X100" s="2">
        <f t="shared" ca="1" si="3"/>
        <v>3.7909999999999999</v>
      </c>
      <c r="Y100" s="13">
        <f t="shared" ca="1" si="3"/>
        <v>4.1630000000000003</v>
      </c>
    </row>
    <row r="101" spans="2:25" x14ac:dyDescent="0.3">
      <c r="B101" s="6">
        <v>98</v>
      </c>
      <c r="C101" s="9">
        <v>2.1339999999999999</v>
      </c>
      <c r="D101" s="9">
        <v>1.9370000000000001</v>
      </c>
      <c r="E101" s="9">
        <v>1.9359999999999999</v>
      </c>
      <c r="F101" s="9">
        <v>1.877</v>
      </c>
      <c r="I101" s="2">
        <f t="shared" ca="1" si="3"/>
        <v>3.9039999999999999</v>
      </c>
      <c r="J101" s="2">
        <f t="shared" ca="1" si="3"/>
        <v>3.4870000000000001</v>
      </c>
      <c r="K101" s="2">
        <f t="shared" ca="1" si="3"/>
        <v>3.0179999999999998</v>
      </c>
      <c r="L101" s="2">
        <f t="shared" ca="1" si="3"/>
        <v>2.6240000000000001</v>
      </c>
      <c r="M101" s="2">
        <f t="shared" ca="1" si="3"/>
        <v>2.3410000000000002</v>
      </c>
      <c r="N101" s="2">
        <f t="shared" ca="1" si="3"/>
        <v>2.117</v>
      </c>
      <c r="O101" s="2">
        <f t="shared" ca="1" si="3"/>
        <v>1.9490000000000001</v>
      </c>
      <c r="P101" s="2">
        <f t="shared" ca="1" si="3"/>
        <v>1.8460000000000001</v>
      </c>
      <c r="Q101" s="2">
        <f t="shared" ca="1" si="3"/>
        <v>1.8120000000000001</v>
      </c>
      <c r="R101" s="2">
        <f t="shared" ca="1" si="3"/>
        <v>1.8520000000000001</v>
      </c>
      <c r="S101" s="2">
        <f t="shared" ca="1" si="3"/>
        <v>1.9590000000000001</v>
      </c>
      <c r="T101" s="2">
        <f t="shared" ca="1" si="3"/>
        <v>2.1269999999999998</v>
      </c>
      <c r="U101" s="2">
        <f t="shared" ca="1" si="3"/>
        <v>2.36</v>
      </c>
      <c r="V101" s="2">
        <f t="shared" ca="1" si="3"/>
        <v>2.6419999999999999</v>
      </c>
      <c r="W101" s="2">
        <f t="shared" ca="1" si="3"/>
        <v>3.0289999999999999</v>
      </c>
      <c r="X101" s="2">
        <f t="shared" ca="1" si="3"/>
        <v>3.5139999999999998</v>
      </c>
      <c r="Y101" s="2">
        <f t="shared" ca="1" si="3"/>
        <v>4.0010000000000003</v>
      </c>
    </row>
    <row r="102" spans="2:25" x14ac:dyDescent="0.3">
      <c r="B102" s="6">
        <v>99</v>
      </c>
      <c r="C102" s="9">
        <v>2.5950000000000002</v>
      </c>
      <c r="D102" s="9">
        <v>2.3220000000000001</v>
      </c>
      <c r="E102" s="9">
        <v>2.319</v>
      </c>
      <c r="F102" s="9">
        <v>2.2400000000000002</v>
      </c>
      <c r="I102" s="2">
        <f t="shared" ca="1" si="3"/>
        <v>3.7389999999999999</v>
      </c>
      <c r="J102" s="2">
        <f t="shared" ca="1" si="3"/>
        <v>3.194</v>
      </c>
      <c r="K102" s="2">
        <f t="shared" ca="1" si="3"/>
        <v>2.714</v>
      </c>
      <c r="L102" s="2">
        <f t="shared" ca="1" si="3"/>
        <v>2.3650000000000002</v>
      </c>
      <c r="M102" s="2">
        <f t="shared" ca="1" si="3"/>
        <v>2.0710000000000002</v>
      </c>
      <c r="N102" s="2">
        <f t="shared" ca="1" si="3"/>
        <v>1.835</v>
      </c>
      <c r="O102" s="2">
        <f t="shared" ca="1" si="3"/>
        <v>1.665</v>
      </c>
      <c r="P102" s="2">
        <f t="shared" ca="1" si="3"/>
        <v>1.5580000000000001</v>
      </c>
      <c r="Q102" s="2">
        <f t="shared" ca="1" si="3"/>
        <v>1.5229999999999999</v>
      </c>
      <c r="R102" s="2">
        <f t="shared" ca="1" si="3"/>
        <v>1.5589999999999999</v>
      </c>
      <c r="S102" s="2">
        <f t="shared" ca="1" si="3"/>
        <v>1.6659999999999999</v>
      </c>
      <c r="T102" s="2">
        <f t="shared" ca="1" si="3"/>
        <v>1.841</v>
      </c>
      <c r="U102" s="2">
        <f t="shared" ca="1" si="3"/>
        <v>2.0830000000000002</v>
      </c>
      <c r="V102" s="2">
        <f t="shared" ca="1" si="3"/>
        <v>2.3849999999999998</v>
      </c>
      <c r="W102" s="2">
        <f t="shared" ca="1" si="3"/>
        <v>2.734</v>
      </c>
      <c r="X102" s="2">
        <f t="shared" ca="1" si="3"/>
        <v>3.206</v>
      </c>
      <c r="Y102" s="2">
        <f t="shared" ca="1" si="3"/>
        <v>3.7669999999999999</v>
      </c>
    </row>
    <row r="103" spans="2:25" x14ac:dyDescent="0.3">
      <c r="B103" s="6">
        <v>100</v>
      </c>
      <c r="C103" s="9">
        <v>3.0979999999999999</v>
      </c>
      <c r="D103" s="9">
        <v>2.7589999999999999</v>
      </c>
      <c r="E103" s="9">
        <v>2.7549999999999999</v>
      </c>
      <c r="F103" s="9">
        <v>2.6480000000000001</v>
      </c>
      <c r="I103" s="2">
        <f t="shared" ca="1" si="3"/>
        <v>3.492</v>
      </c>
      <c r="J103" s="2">
        <f t="shared" ca="1" si="3"/>
        <v>2.9180000000000001</v>
      </c>
      <c r="K103" s="2">
        <f t="shared" ca="1" si="3"/>
        <v>2.4769999999999999</v>
      </c>
      <c r="L103" s="2">
        <f t="shared" ca="1" si="3"/>
        <v>2.1360000000000001</v>
      </c>
      <c r="M103" s="2">
        <f t="shared" ca="1" si="3"/>
        <v>1.843</v>
      </c>
      <c r="N103" s="2">
        <f t="shared" ca="1" si="3"/>
        <v>1.6060000000000001</v>
      </c>
      <c r="O103" s="2">
        <f t="shared" ca="1" si="3"/>
        <v>1.427</v>
      </c>
      <c r="P103" s="2">
        <f t="shared" ca="1" si="3"/>
        <v>1.3220000000000001</v>
      </c>
      <c r="Q103" s="2">
        <f t="shared" ca="1" si="3"/>
        <v>1.288</v>
      </c>
      <c r="R103" s="2">
        <f t="shared" ca="1" si="3"/>
        <v>1.3220000000000001</v>
      </c>
      <c r="S103" s="2">
        <f t="shared" ca="1" si="3"/>
        <v>1.423</v>
      </c>
      <c r="T103" s="2">
        <f t="shared" ca="1" si="3"/>
        <v>1.599</v>
      </c>
      <c r="U103" s="2">
        <f t="shared" ca="1" si="3"/>
        <v>1.8420000000000001</v>
      </c>
      <c r="V103" s="2">
        <f t="shared" ca="1" si="3"/>
        <v>2.149</v>
      </c>
      <c r="W103" s="2">
        <f t="shared" ca="1" si="3"/>
        <v>2.5099999999999998</v>
      </c>
      <c r="X103" s="2">
        <f t="shared" ca="1" si="3"/>
        <v>2.9470000000000001</v>
      </c>
      <c r="Y103" s="2">
        <f t="shared" ca="1" si="3"/>
        <v>3.5059999999999998</v>
      </c>
    </row>
    <row r="104" spans="2:25" x14ac:dyDescent="0.3">
      <c r="B104" s="6">
        <v>101</v>
      </c>
      <c r="C104" s="9">
        <v>3.6640000000000001</v>
      </c>
      <c r="D104" s="9">
        <v>3.2669999999999999</v>
      </c>
      <c r="E104" s="9">
        <v>3.2610000000000001</v>
      </c>
      <c r="F104" s="9">
        <v>3.12</v>
      </c>
      <c r="I104" s="2">
        <f t="shared" ca="1" si="3"/>
        <v>3.28</v>
      </c>
      <c r="J104" s="2">
        <f t="shared" ca="1" si="3"/>
        <v>2.7370000000000001</v>
      </c>
      <c r="K104" s="2">
        <f t="shared" ca="1" si="3"/>
        <v>2.3170000000000002</v>
      </c>
      <c r="L104" s="2">
        <f t="shared" ca="1" si="3"/>
        <v>1.9630000000000001</v>
      </c>
      <c r="M104" s="2">
        <f t="shared" ca="1" si="3"/>
        <v>1.6679999999999999</v>
      </c>
      <c r="N104" s="2">
        <f t="shared" ca="1" si="3"/>
        <v>1.427</v>
      </c>
      <c r="O104" s="2">
        <f t="shared" ca="1" si="3"/>
        <v>1.2589999999999999</v>
      </c>
      <c r="P104" s="2">
        <f t="shared" ca="1" si="3"/>
        <v>1.1639999999999999</v>
      </c>
      <c r="Q104" s="2">
        <f t="shared" ca="1" si="3"/>
        <v>1.1339999999999999</v>
      </c>
      <c r="R104" s="2">
        <f t="shared" ca="1" si="3"/>
        <v>1.1639999999999999</v>
      </c>
      <c r="S104" s="2">
        <f t="shared" ca="1" si="3"/>
        <v>1.2569999999999999</v>
      </c>
      <c r="T104" s="2">
        <f t="shared" ca="1" si="3"/>
        <v>1.425</v>
      </c>
      <c r="U104" s="2">
        <f t="shared" ca="1" si="3"/>
        <v>1.6719999999999999</v>
      </c>
      <c r="V104" s="2">
        <f t="shared" ca="1" si="3"/>
        <v>1.9770000000000001</v>
      </c>
      <c r="W104" s="2">
        <f t="shared" ca="1" si="3"/>
        <v>2.3410000000000002</v>
      </c>
      <c r="X104" s="2">
        <f t="shared" ca="1" si="3"/>
        <v>2.7559999999999998</v>
      </c>
      <c r="Y104" s="2">
        <f t="shared" ca="1" si="3"/>
        <v>3.2730000000000001</v>
      </c>
    </row>
    <row r="105" spans="2:25" x14ac:dyDescent="0.3">
      <c r="B105" s="6">
        <v>102</v>
      </c>
      <c r="C105" s="9">
        <v>3.6339999999999999</v>
      </c>
      <c r="D105" s="9">
        <v>3.2429999999999999</v>
      </c>
      <c r="E105" s="9">
        <v>3.2429999999999999</v>
      </c>
      <c r="F105" s="9">
        <v>3.1120000000000001</v>
      </c>
      <c r="I105" s="2">
        <f t="shared" ca="1" si="3"/>
        <v>3.1539999999999999</v>
      </c>
      <c r="J105" s="2">
        <f t="shared" ca="1" si="3"/>
        <v>2.6389999999999998</v>
      </c>
      <c r="K105" s="2">
        <f t="shared" ca="1" si="3"/>
        <v>2.2229999999999999</v>
      </c>
      <c r="L105" s="2">
        <f t="shared" ca="1" si="3"/>
        <v>1.863</v>
      </c>
      <c r="M105" s="2">
        <f t="shared" ca="1" si="3"/>
        <v>1.5629999999999999</v>
      </c>
      <c r="N105" s="2">
        <f t="shared" ca="1" si="3"/>
        <v>1.323</v>
      </c>
      <c r="O105" s="2">
        <f t="shared" ca="1" si="3"/>
        <v>1.161</v>
      </c>
      <c r="P105" s="2">
        <f t="shared" ca="1" si="3"/>
        <v>1.0660000000000001</v>
      </c>
      <c r="Q105" s="2">
        <f t="shared" ca="1" si="3"/>
        <v>1.0369999999999999</v>
      </c>
      <c r="R105" s="2">
        <f t="shared" ca="1" si="3"/>
        <v>1.071</v>
      </c>
      <c r="S105" s="2">
        <f t="shared" ca="1" si="3"/>
        <v>1.169</v>
      </c>
      <c r="T105" s="2">
        <f t="shared" ca="1" si="3"/>
        <v>1.33</v>
      </c>
      <c r="U105" s="2">
        <f t="shared" ca="1" si="3"/>
        <v>1.5720000000000001</v>
      </c>
      <c r="V105" s="2">
        <f t="shared" ca="1" si="3"/>
        <v>1.877</v>
      </c>
      <c r="W105" s="2">
        <f t="shared" ca="1" si="3"/>
        <v>2.2400000000000002</v>
      </c>
      <c r="X105" s="2">
        <f t="shared" ca="1" si="3"/>
        <v>2.6480000000000001</v>
      </c>
      <c r="Y105" s="2">
        <f t="shared" ca="1" si="3"/>
        <v>3.12</v>
      </c>
    </row>
    <row r="106" spans="2:25" x14ac:dyDescent="0.3">
      <c r="B106" s="6">
        <v>103</v>
      </c>
      <c r="C106" s="9">
        <v>3.0310000000000001</v>
      </c>
      <c r="D106" s="9">
        <v>2.7149999999999999</v>
      </c>
      <c r="E106" s="9">
        <v>2.7149999999999999</v>
      </c>
      <c r="F106" s="9">
        <v>2.6139999999999999</v>
      </c>
      <c r="I106" s="2">
        <f t="shared" ca="1" si="3"/>
        <v>3.1120000000000001</v>
      </c>
      <c r="J106" s="2">
        <f t="shared" ca="1" si="3"/>
        <v>2.6139999999999999</v>
      </c>
      <c r="K106" s="2">
        <f t="shared" ca="1" si="3"/>
        <v>2.1989999999999998</v>
      </c>
      <c r="L106" s="2">
        <f t="shared" ca="1" si="3"/>
        <v>1.8380000000000001</v>
      </c>
      <c r="M106" s="2">
        <f t="shared" ca="1" si="3"/>
        <v>1.5329999999999999</v>
      </c>
      <c r="N106" s="2">
        <f t="shared" ca="1" si="3"/>
        <v>1.2929999999999999</v>
      </c>
      <c r="O106" s="2">
        <f t="shared" ca="1" si="3"/>
        <v>1.131</v>
      </c>
      <c r="P106" s="2">
        <f t="shared" ca="1" si="3"/>
        <v>1.0309999999999999</v>
      </c>
      <c r="Q106" s="2">
        <f t="shared" ca="1" si="3"/>
        <v>1.006</v>
      </c>
      <c r="R106" s="2">
        <f t="shared" ca="1" si="3"/>
        <v>1.036</v>
      </c>
      <c r="S106" s="2">
        <f t="shared" ca="1" si="3"/>
        <v>1.139</v>
      </c>
      <c r="T106" s="2">
        <f t="shared" ca="1" si="3"/>
        <v>1.3009999999999999</v>
      </c>
      <c r="U106" s="2">
        <f t="shared" ca="1" si="3"/>
        <v>1.5409999999999999</v>
      </c>
      <c r="V106" s="2">
        <f t="shared" ca="1" si="3"/>
        <v>1.849</v>
      </c>
      <c r="W106" s="2">
        <f t="shared" ca="1" si="3"/>
        <v>2.2120000000000002</v>
      </c>
      <c r="X106" s="2">
        <f t="shared" ca="1" si="3"/>
        <v>2.6190000000000002</v>
      </c>
      <c r="Y106" s="2">
        <f t="shared" ca="1" si="3"/>
        <v>3.08</v>
      </c>
    </row>
    <row r="107" spans="2:25" x14ac:dyDescent="0.3">
      <c r="B107" s="6">
        <v>104</v>
      </c>
      <c r="C107" s="9">
        <v>2.5169999999999999</v>
      </c>
      <c r="D107" s="9">
        <v>2.27</v>
      </c>
      <c r="E107" s="9">
        <v>2.27</v>
      </c>
      <c r="F107" s="9">
        <v>2.1989999999999998</v>
      </c>
      <c r="I107" s="2">
        <f t="shared" ca="1" si="3"/>
        <v>3.149</v>
      </c>
      <c r="J107" s="2">
        <f t="shared" ca="1" si="3"/>
        <v>2.6459999999999999</v>
      </c>
      <c r="K107" s="2">
        <f t="shared" ca="1" si="3"/>
        <v>2.2370000000000001</v>
      </c>
      <c r="L107" s="2">
        <f t="shared" ca="1" si="3"/>
        <v>1.8819999999999999</v>
      </c>
      <c r="M107" s="2">
        <f t="shared" ca="1" si="3"/>
        <v>1.5780000000000001</v>
      </c>
      <c r="N107" s="2">
        <f t="shared" ca="1" si="3"/>
        <v>1.3320000000000001</v>
      </c>
      <c r="O107" s="2">
        <f t="shared" ca="1" si="3"/>
        <v>1.167</v>
      </c>
      <c r="P107" s="2">
        <f t="shared" ca="1" si="3"/>
        <v>1.0669999999999999</v>
      </c>
      <c r="Q107" s="2">
        <f t="shared" ca="1" si="3"/>
        <v>1.034</v>
      </c>
      <c r="R107" s="2">
        <f t="shared" ca="1" si="3"/>
        <v>1.069</v>
      </c>
      <c r="S107" s="2">
        <f t="shared" ca="1" si="3"/>
        <v>1.1679999999999999</v>
      </c>
      <c r="T107" s="2">
        <f t="shared" ca="1" si="3"/>
        <v>1.331</v>
      </c>
      <c r="U107" s="2">
        <f t="shared" ca="1" si="3"/>
        <v>1.5780000000000001</v>
      </c>
      <c r="V107" s="2">
        <f t="shared" ca="1" si="3"/>
        <v>1.8879999999999999</v>
      </c>
      <c r="W107" s="2">
        <f t="shared" ca="1" si="3"/>
        <v>2.2549999999999999</v>
      </c>
      <c r="X107" s="2">
        <f t="shared" ca="1" si="3"/>
        <v>2.6659999999999999</v>
      </c>
      <c r="Y107" s="2">
        <f t="shared" ca="1" si="3"/>
        <v>3.1339999999999999</v>
      </c>
    </row>
    <row r="108" spans="2:25" x14ac:dyDescent="0.3">
      <c r="B108" s="6">
        <v>105</v>
      </c>
      <c r="C108" s="9">
        <v>2.0640000000000001</v>
      </c>
      <c r="D108" s="9">
        <v>1.887</v>
      </c>
      <c r="E108" s="9">
        <v>1.8879999999999999</v>
      </c>
      <c r="F108" s="9">
        <v>1.8380000000000001</v>
      </c>
      <c r="I108" s="2">
        <f t="shared" ca="1" si="3"/>
        <v>3.282</v>
      </c>
      <c r="J108" s="2">
        <f t="shared" ca="1" si="3"/>
        <v>2.746</v>
      </c>
      <c r="K108" s="2">
        <f t="shared" ca="1" si="3"/>
        <v>2.33</v>
      </c>
      <c r="L108" s="2">
        <f t="shared" ca="1" si="3"/>
        <v>1.976</v>
      </c>
      <c r="M108" s="2">
        <f t="shared" ca="1" si="3"/>
        <v>1.679</v>
      </c>
      <c r="N108" s="2">
        <f t="shared" ca="1" si="3"/>
        <v>1.4370000000000001</v>
      </c>
      <c r="O108" s="2">
        <f t="shared" ca="1" si="3"/>
        <v>1.2649999999999999</v>
      </c>
      <c r="P108" s="2">
        <f t="shared" ca="1" si="3"/>
        <v>1.171</v>
      </c>
      <c r="Q108" s="2">
        <f t="shared" ca="1" si="3"/>
        <v>1.141</v>
      </c>
      <c r="R108" s="2">
        <f t="shared" ca="1" si="3"/>
        <v>1.169</v>
      </c>
      <c r="S108" s="2">
        <f t="shared" ca="1" si="3"/>
        <v>1.26</v>
      </c>
      <c r="T108" s="2">
        <f t="shared" ca="1" si="3"/>
        <v>1.4279999999999999</v>
      </c>
      <c r="U108" s="2">
        <f t="shared" ca="1" si="3"/>
        <v>1.677</v>
      </c>
      <c r="V108" s="2">
        <f t="shared" ca="1" si="3"/>
        <v>1.9870000000000001</v>
      </c>
      <c r="W108" s="2">
        <f t="shared" ca="1" si="3"/>
        <v>2.3540000000000001</v>
      </c>
      <c r="X108" s="2">
        <f t="shared" ca="1" si="3"/>
        <v>2.7709999999999999</v>
      </c>
      <c r="Y108" s="2">
        <f t="shared" ca="1" si="3"/>
        <v>3.282</v>
      </c>
    </row>
    <row r="109" spans="2:25" x14ac:dyDescent="0.3">
      <c r="B109" s="6">
        <v>106</v>
      </c>
      <c r="C109" s="9">
        <v>1.675</v>
      </c>
      <c r="D109" s="9">
        <v>1.5660000000000001</v>
      </c>
      <c r="E109" s="9">
        <v>1.5669999999999999</v>
      </c>
      <c r="F109" s="9">
        <v>1.5329999999999999</v>
      </c>
      <c r="I109" s="2">
        <f t="shared" ca="1" si="3"/>
        <v>3.504</v>
      </c>
      <c r="J109" s="2">
        <f t="shared" ca="1" si="3"/>
        <v>2.931</v>
      </c>
      <c r="K109" s="2">
        <f t="shared" ca="1" si="3"/>
        <v>2.4900000000000002</v>
      </c>
      <c r="L109" s="2">
        <f t="shared" ca="1" si="3"/>
        <v>2.1419999999999999</v>
      </c>
      <c r="M109" s="2">
        <f t="shared" ca="1" si="3"/>
        <v>1.8440000000000001</v>
      </c>
      <c r="N109" s="2">
        <f t="shared" ca="1" si="3"/>
        <v>1.609</v>
      </c>
      <c r="O109" s="2">
        <f t="shared" ca="1" si="3"/>
        <v>1.4350000000000001</v>
      </c>
      <c r="P109" s="2">
        <f t="shared" ca="1" si="3"/>
        <v>1.3360000000000001</v>
      </c>
      <c r="Q109" s="2">
        <f t="shared" ca="1" si="3"/>
        <v>1.306</v>
      </c>
      <c r="R109" s="2">
        <f t="shared" ca="1" si="3"/>
        <v>1.3380000000000001</v>
      </c>
      <c r="S109" s="2">
        <f t="shared" ca="1" si="3"/>
        <v>1.4350000000000001</v>
      </c>
      <c r="T109" s="2">
        <f t="shared" ca="1" si="3"/>
        <v>1.609</v>
      </c>
      <c r="U109" s="2">
        <f t="shared" ca="1" si="3"/>
        <v>1.85</v>
      </c>
      <c r="V109" s="2">
        <f t="shared" ca="1" si="3"/>
        <v>2.1539999999999999</v>
      </c>
      <c r="W109" s="2">
        <f t="shared" ca="1" si="3"/>
        <v>2.5099999999999998</v>
      </c>
      <c r="X109" s="2">
        <f t="shared" ca="1" si="3"/>
        <v>2.9359999999999999</v>
      </c>
      <c r="Y109" s="2">
        <f t="shared" ca="1" si="3"/>
        <v>3.4830000000000001</v>
      </c>
    </row>
    <row r="110" spans="2:25" x14ac:dyDescent="0.3">
      <c r="B110" s="6">
        <v>107</v>
      </c>
      <c r="C110" s="9">
        <v>1.3720000000000001</v>
      </c>
      <c r="D110" s="9">
        <v>1.3160000000000001</v>
      </c>
      <c r="E110" s="9">
        <v>1.3169999999999999</v>
      </c>
      <c r="F110" s="9">
        <v>1.2929999999999999</v>
      </c>
      <c r="I110" s="2">
        <f t="shared" ca="1" si="3"/>
        <v>3.7530000000000001</v>
      </c>
      <c r="J110" s="2">
        <f t="shared" ca="1" si="3"/>
        <v>3.2109999999999999</v>
      </c>
      <c r="K110" s="2">
        <f t="shared" ca="1" si="3"/>
        <v>2.7290000000000001</v>
      </c>
      <c r="L110" s="2">
        <f t="shared" ca="1" si="3"/>
        <v>2.379</v>
      </c>
      <c r="M110" s="2">
        <f t="shared" ca="1" si="3"/>
        <v>2.0859999999999999</v>
      </c>
      <c r="N110" s="2">
        <f t="shared" ca="1" si="3"/>
        <v>1.85</v>
      </c>
      <c r="O110" s="2">
        <f t="shared" ca="1" si="3"/>
        <v>1.679</v>
      </c>
      <c r="P110" s="2">
        <f t="shared" ca="1" si="3"/>
        <v>1.575</v>
      </c>
      <c r="Q110" s="2">
        <f t="shared" ca="1" si="3"/>
        <v>1.5429999999999999</v>
      </c>
      <c r="R110" s="2">
        <f t="shared" ca="1" si="3"/>
        <v>1.5820000000000001</v>
      </c>
      <c r="S110" s="2">
        <f t="shared" ca="1" si="3"/>
        <v>1.69</v>
      </c>
      <c r="T110" s="2">
        <f t="shared" ca="1" si="3"/>
        <v>1.861</v>
      </c>
      <c r="U110" s="2">
        <f t="shared" ca="1" si="3"/>
        <v>2.0950000000000002</v>
      </c>
      <c r="V110" s="2">
        <f t="shared" ca="1" si="3"/>
        <v>2.391</v>
      </c>
      <c r="W110" s="2">
        <f t="shared" ca="1" si="3"/>
        <v>2.7349999999999999</v>
      </c>
      <c r="X110" s="2">
        <f t="shared" ca="1" si="3"/>
        <v>3.1970000000000001</v>
      </c>
      <c r="Y110" s="2">
        <f t="shared" ca="1" si="3"/>
        <v>3.7509999999999999</v>
      </c>
    </row>
    <row r="111" spans="2:25" x14ac:dyDescent="0.3">
      <c r="B111" s="6">
        <v>108</v>
      </c>
      <c r="C111" s="9">
        <v>1.1679999999999999</v>
      </c>
      <c r="D111" s="9">
        <v>1.1439999999999999</v>
      </c>
      <c r="E111" s="9">
        <v>1.145</v>
      </c>
      <c r="F111" s="9">
        <v>1.131</v>
      </c>
      <c r="I111" s="2">
        <f t="shared" ca="1" si="3"/>
        <v>3.9350000000000001</v>
      </c>
      <c r="J111" s="2">
        <f t="shared" ca="1" si="3"/>
        <v>3.5230000000000001</v>
      </c>
      <c r="K111" s="2">
        <f t="shared" ca="1" si="3"/>
        <v>3.0640000000000001</v>
      </c>
      <c r="L111" s="2">
        <f t="shared" ca="1" si="3"/>
        <v>2.673</v>
      </c>
      <c r="M111" s="2">
        <f t="shared" ca="1" si="3"/>
        <v>2.387</v>
      </c>
      <c r="N111" s="2">
        <f t="shared" ca="1" si="3"/>
        <v>2.153</v>
      </c>
      <c r="O111" s="2">
        <f t="shared" ca="1" si="3"/>
        <v>1.982</v>
      </c>
      <c r="P111" s="2">
        <f t="shared" ca="1" si="3"/>
        <v>1.877</v>
      </c>
      <c r="Q111" s="2">
        <f t="shared" ca="1" si="3"/>
        <v>1.843</v>
      </c>
      <c r="R111" s="2">
        <f t="shared" ca="1" si="3"/>
        <v>1.88</v>
      </c>
      <c r="S111" s="2">
        <f t="shared" ca="1" si="3"/>
        <v>1.988</v>
      </c>
      <c r="T111" s="2">
        <f t="shared" ca="1" si="3"/>
        <v>2.1619999999999999</v>
      </c>
      <c r="U111" s="2">
        <f t="shared" ca="1" si="3"/>
        <v>2.399</v>
      </c>
      <c r="V111" s="2">
        <f t="shared" ca="1" si="3"/>
        <v>2.681</v>
      </c>
      <c r="W111" s="2">
        <f t="shared" ca="1" si="3"/>
        <v>3.0550000000000002</v>
      </c>
      <c r="X111" s="2">
        <f t="shared" ca="1" si="3"/>
        <v>3.5289999999999999</v>
      </c>
      <c r="Y111" s="2">
        <f t="shared" ca="1" si="3"/>
        <v>4.0229999999999997</v>
      </c>
    </row>
    <row r="112" spans="2:25" x14ac:dyDescent="0.3">
      <c r="B112" s="6">
        <v>109</v>
      </c>
      <c r="C112" s="9">
        <v>1.042</v>
      </c>
      <c r="D112" s="9">
        <v>1.0349999999999999</v>
      </c>
      <c r="E112" s="9">
        <v>1.0349999999999999</v>
      </c>
      <c r="F112" s="9">
        <v>1.0309999999999999</v>
      </c>
      <c r="I112" s="13">
        <f t="shared" ca="1" si="3"/>
        <v>4.0650000000000004</v>
      </c>
      <c r="J112" s="2">
        <f t="shared" ca="1" si="3"/>
        <v>3.8180000000000001</v>
      </c>
      <c r="K112" s="2">
        <f t="shared" ca="1" si="3"/>
        <v>3.4849999999999999</v>
      </c>
      <c r="L112" s="2">
        <f t="shared" ca="1" si="3"/>
        <v>3.0739999999999998</v>
      </c>
      <c r="M112" s="2">
        <f t="shared" ca="1" si="3"/>
        <v>2.754</v>
      </c>
      <c r="N112" s="2">
        <f t="shared" ca="1" si="3"/>
        <v>2.5310000000000001</v>
      </c>
      <c r="O112" s="2">
        <f t="shared" ca="1" si="3"/>
        <v>2.36</v>
      </c>
      <c r="P112" s="2">
        <f t="shared" ca="1" si="3"/>
        <v>2.2429999999999999</v>
      </c>
      <c r="Q112" s="2">
        <f t="shared" ca="1" si="3"/>
        <v>2.2069999999999999</v>
      </c>
      <c r="R112" s="2">
        <f t="shared" ca="1" si="3"/>
        <v>2.246</v>
      </c>
      <c r="S112" s="2">
        <f t="shared" ca="1" si="3"/>
        <v>2.3559999999999999</v>
      </c>
      <c r="T112" s="2">
        <f t="shared" ca="1" si="3"/>
        <v>2.5219999999999998</v>
      </c>
      <c r="U112" s="2">
        <f t="shared" ca="1" si="3"/>
        <v>2.7490000000000001</v>
      </c>
      <c r="V112" s="2">
        <f t="shared" ca="1" si="3"/>
        <v>3.0640000000000001</v>
      </c>
      <c r="W112" s="2">
        <f t="shared" ca="1" si="3"/>
        <v>3.5030000000000001</v>
      </c>
      <c r="X112" s="2">
        <f t="shared" ca="1" si="3"/>
        <v>3.915</v>
      </c>
      <c r="Y112" s="13">
        <f t="shared" ca="1" si="3"/>
        <v>4.298</v>
      </c>
    </row>
    <row r="113" spans="2:6" x14ac:dyDescent="0.3">
      <c r="B113" s="6">
        <v>110</v>
      </c>
      <c r="C113" s="9">
        <v>1.0049999999999999</v>
      </c>
      <c r="D113" s="9">
        <v>1.004</v>
      </c>
      <c r="E113" s="9">
        <v>1.004</v>
      </c>
      <c r="F113" s="9">
        <v>1.006</v>
      </c>
    </row>
    <row r="114" spans="2:6" x14ac:dyDescent="0.3">
      <c r="B114" s="6">
        <v>111</v>
      </c>
      <c r="C114" s="9">
        <v>1.0469999999999999</v>
      </c>
      <c r="D114" s="9">
        <v>1.0389999999999999</v>
      </c>
      <c r="E114" s="9">
        <v>1.0389999999999999</v>
      </c>
      <c r="F114" s="9">
        <v>1.036</v>
      </c>
    </row>
    <row r="115" spans="2:6" x14ac:dyDescent="0.3">
      <c r="B115" s="6">
        <v>112</v>
      </c>
      <c r="C115" s="9">
        <v>1.179</v>
      </c>
      <c r="D115" s="9">
        <v>1.1539999999999999</v>
      </c>
      <c r="E115" s="9">
        <v>1.1539999999999999</v>
      </c>
      <c r="F115" s="9">
        <v>1.139</v>
      </c>
    </row>
    <row r="116" spans="2:6" x14ac:dyDescent="0.3">
      <c r="B116" s="6">
        <v>113</v>
      </c>
      <c r="C116" s="9">
        <v>1.387</v>
      </c>
      <c r="D116" s="9">
        <v>1.3280000000000001</v>
      </c>
      <c r="E116" s="9">
        <v>1.3280000000000001</v>
      </c>
      <c r="F116" s="9">
        <v>1.3009999999999999</v>
      </c>
    </row>
    <row r="117" spans="2:6" x14ac:dyDescent="0.3">
      <c r="B117" s="6">
        <v>114</v>
      </c>
      <c r="C117" s="9">
        <v>1.696</v>
      </c>
      <c r="D117" s="9">
        <v>1.581</v>
      </c>
      <c r="E117" s="9">
        <v>1.58</v>
      </c>
      <c r="F117" s="9">
        <v>1.5409999999999999</v>
      </c>
    </row>
    <row r="118" spans="2:6" x14ac:dyDescent="0.3">
      <c r="B118" s="6">
        <v>115</v>
      </c>
      <c r="C118" s="9">
        <v>2.0960000000000001</v>
      </c>
      <c r="D118" s="9">
        <v>1.9079999999999999</v>
      </c>
      <c r="E118" s="9">
        <v>1.9059999999999999</v>
      </c>
      <c r="F118" s="9">
        <v>1.849</v>
      </c>
    </row>
    <row r="119" spans="2:6" x14ac:dyDescent="0.3">
      <c r="B119" s="6">
        <v>116</v>
      </c>
      <c r="C119" s="9">
        <v>2.5590000000000002</v>
      </c>
      <c r="D119" s="9">
        <v>2.294</v>
      </c>
      <c r="E119" s="9">
        <v>2.29</v>
      </c>
      <c r="F119" s="9">
        <v>2.2120000000000002</v>
      </c>
    </row>
    <row r="120" spans="2:6" x14ac:dyDescent="0.3">
      <c r="B120" s="6">
        <v>117</v>
      </c>
      <c r="C120" s="9">
        <v>3.0680000000000001</v>
      </c>
      <c r="D120" s="9">
        <v>2.7309999999999999</v>
      </c>
      <c r="E120" s="9">
        <v>2.726</v>
      </c>
      <c r="F120" s="9">
        <v>2.6190000000000002</v>
      </c>
    </row>
    <row r="121" spans="2:6" x14ac:dyDescent="0.3">
      <c r="B121" s="6">
        <v>118</v>
      </c>
      <c r="C121" s="9">
        <v>3.63</v>
      </c>
      <c r="D121" s="9">
        <v>3.2290000000000001</v>
      </c>
      <c r="E121" s="9">
        <v>3.22</v>
      </c>
      <c r="F121" s="9">
        <v>3.08</v>
      </c>
    </row>
    <row r="122" spans="2:6" x14ac:dyDescent="0.3">
      <c r="B122" s="6">
        <v>119</v>
      </c>
      <c r="C122" s="9">
        <v>3.6739999999999999</v>
      </c>
      <c r="D122" s="9">
        <v>3.278</v>
      </c>
      <c r="E122" s="9">
        <v>3.2770000000000001</v>
      </c>
      <c r="F122" s="9">
        <v>3.149</v>
      </c>
    </row>
    <row r="123" spans="2:6" x14ac:dyDescent="0.3">
      <c r="B123" s="6">
        <v>120</v>
      </c>
      <c r="C123" s="9">
        <v>3.0640000000000001</v>
      </c>
      <c r="D123" s="9">
        <v>2.7480000000000002</v>
      </c>
      <c r="E123" s="9">
        <v>2.7469999999999999</v>
      </c>
      <c r="F123" s="9">
        <v>2.6459999999999999</v>
      </c>
    </row>
    <row r="124" spans="2:6" x14ac:dyDescent="0.3">
      <c r="B124" s="6">
        <v>121</v>
      </c>
      <c r="C124" s="9">
        <v>2.5579999999999998</v>
      </c>
      <c r="D124" s="9">
        <v>2.31</v>
      </c>
      <c r="E124" s="9">
        <v>2.3090000000000002</v>
      </c>
      <c r="F124" s="9">
        <v>2.2370000000000001</v>
      </c>
    </row>
    <row r="125" spans="2:6" x14ac:dyDescent="0.3">
      <c r="B125" s="6">
        <v>122</v>
      </c>
      <c r="C125" s="9">
        <v>2.1150000000000002</v>
      </c>
      <c r="D125" s="9">
        <v>1.9319999999999999</v>
      </c>
      <c r="E125" s="9">
        <v>1.9319999999999999</v>
      </c>
      <c r="F125" s="9">
        <v>1.8819999999999999</v>
      </c>
    </row>
    <row r="126" spans="2:6" x14ac:dyDescent="0.3">
      <c r="B126" s="6">
        <v>123</v>
      </c>
      <c r="C126" s="9">
        <v>1.73</v>
      </c>
      <c r="D126" s="9">
        <v>1.615</v>
      </c>
      <c r="E126" s="9">
        <v>1.615</v>
      </c>
      <c r="F126" s="9">
        <v>1.5780000000000001</v>
      </c>
    </row>
    <row r="127" spans="2:6" x14ac:dyDescent="0.3">
      <c r="B127" s="6">
        <v>124</v>
      </c>
      <c r="C127" s="9">
        <v>1.423</v>
      </c>
      <c r="D127" s="9">
        <v>1.359</v>
      </c>
      <c r="E127" s="9">
        <v>1.36</v>
      </c>
      <c r="F127" s="9">
        <v>1.3320000000000001</v>
      </c>
    </row>
    <row r="128" spans="2:6" x14ac:dyDescent="0.3">
      <c r="B128" s="6">
        <v>125</v>
      </c>
      <c r="C128" s="9">
        <v>1.2170000000000001</v>
      </c>
      <c r="D128" s="9">
        <v>1.1859999999999999</v>
      </c>
      <c r="E128" s="9">
        <v>1.1859999999999999</v>
      </c>
      <c r="F128" s="9">
        <v>1.167</v>
      </c>
    </row>
    <row r="129" spans="2:6" x14ac:dyDescent="0.3">
      <c r="B129" s="6">
        <v>126</v>
      </c>
      <c r="C129" s="9">
        <v>1.0900000000000001</v>
      </c>
      <c r="D129" s="9">
        <v>1.0760000000000001</v>
      </c>
      <c r="E129" s="9">
        <v>1.075</v>
      </c>
      <c r="F129" s="9">
        <v>1.0669999999999999</v>
      </c>
    </row>
    <row r="130" spans="2:6" x14ac:dyDescent="0.3">
      <c r="B130" s="6">
        <v>127</v>
      </c>
      <c r="C130" s="9">
        <v>1.046</v>
      </c>
      <c r="D130" s="9">
        <v>1.038</v>
      </c>
      <c r="E130" s="9">
        <v>1.0369999999999999</v>
      </c>
      <c r="F130" s="9">
        <v>1.034</v>
      </c>
    </row>
    <row r="131" spans="2:6" x14ac:dyDescent="0.3">
      <c r="B131" s="6">
        <v>128</v>
      </c>
      <c r="C131" s="9">
        <v>1.093</v>
      </c>
      <c r="D131" s="9">
        <v>1.079</v>
      </c>
      <c r="E131" s="9">
        <v>1.0780000000000001</v>
      </c>
      <c r="F131" s="9">
        <v>1.069</v>
      </c>
    </row>
    <row r="132" spans="2:6" x14ac:dyDescent="0.3">
      <c r="B132" s="6">
        <v>129</v>
      </c>
      <c r="C132" s="9">
        <v>1.2210000000000001</v>
      </c>
      <c r="D132" s="9">
        <v>1.1890000000000001</v>
      </c>
      <c r="E132" s="9">
        <v>1.1879999999999999</v>
      </c>
      <c r="F132" s="9">
        <v>1.1679999999999999</v>
      </c>
    </row>
    <row r="133" spans="2:6" x14ac:dyDescent="0.3">
      <c r="B133" s="6">
        <v>130</v>
      </c>
      <c r="C133" s="9">
        <v>1.429</v>
      </c>
      <c r="D133" s="9">
        <v>1.3620000000000001</v>
      </c>
      <c r="E133" s="9">
        <v>1.361</v>
      </c>
      <c r="F133" s="9">
        <v>1.331</v>
      </c>
    </row>
    <row r="134" spans="2:6" x14ac:dyDescent="0.3">
      <c r="B134" s="6">
        <v>131</v>
      </c>
      <c r="C134" s="9">
        <v>1.7430000000000001</v>
      </c>
      <c r="D134" s="9">
        <v>1.621</v>
      </c>
      <c r="E134" s="9">
        <v>1.619</v>
      </c>
      <c r="F134" s="9">
        <v>1.5780000000000001</v>
      </c>
    </row>
    <row r="135" spans="2:6" x14ac:dyDescent="0.3">
      <c r="B135" s="6">
        <v>132</v>
      </c>
      <c r="C135" s="9">
        <v>2.1429999999999998</v>
      </c>
      <c r="D135" s="9">
        <v>1.948</v>
      </c>
      <c r="E135" s="9">
        <v>1.9450000000000001</v>
      </c>
      <c r="F135" s="9">
        <v>1.8879999999999999</v>
      </c>
    </row>
    <row r="136" spans="2:6" x14ac:dyDescent="0.3">
      <c r="B136" s="6">
        <v>133</v>
      </c>
      <c r="C136" s="9">
        <v>2.6110000000000002</v>
      </c>
      <c r="D136" s="9">
        <v>2.339</v>
      </c>
      <c r="E136" s="9">
        <v>2.335</v>
      </c>
      <c r="F136" s="9">
        <v>2.2549999999999999</v>
      </c>
    </row>
    <row r="137" spans="2:6" x14ac:dyDescent="0.3">
      <c r="B137" s="6">
        <v>134</v>
      </c>
      <c r="C137" s="9">
        <v>3.12</v>
      </c>
      <c r="D137" s="9">
        <v>2.7759999999999998</v>
      </c>
      <c r="E137" s="9">
        <v>2.77</v>
      </c>
      <c r="F137" s="9">
        <v>2.6659999999999999</v>
      </c>
    </row>
    <row r="138" spans="2:6" x14ac:dyDescent="0.3">
      <c r="B138" s="6">
        <v>135</v>
      </c>
      <c r="C138" s="9">
        <v>3.6880000000000002</v>
      </c>
      <c r="D138" s="9">
        <v>3.28</v>
      </c>
      <c r="E138" s="9">
        <v>3.2709999999999999</v>
      </c>
      <c r="F138" s="9">
        <v>3.1339999999999999</v>
      </c>
    </row>
    <row r="139" spans="2:6" x14ac:dyDescent="0.3">
      <c r="B139" s="6">
        <v>136</v>
      </c>
      <c r="C139" s="9">
        <v>3.83</v>
      </c>
      <c r="D139" s="9">
        <v>3.423</v>
      </c>
      <c r="E139" s="9">
        <v>3.4209999999999998</v>
      </c>
      <c r="F139" s="9">
        <v>3.282</v>
      </c>
    </row>
    <row r="140" spans="2:6" x14ac:dyDescent="0.3">
      <c r="B140" s="6">
        <v>137</v>
      </c>
      <c r="C140" s="9">
        <v>3.1840000000000002</v>
      </c>
      <c r="D140" s="9">
        <v>2.8570000000000002</v>
      </c>
      <c r="E140" s="9">
        <v>2.855</v>
      </c>
      <c r="F140" s="9">
        <v>2.746</v>
      </c>
    </row>
    <row r="141" spans="2:6" x14ac:dyDescent="0.3">
      <c r="B141" s="6">
        <v>138</v>
      </c>
      <c r="C141" s="9">
        <v>2.6709999999999998</v>
      </c>
      <c r="D141" s="9">
        <v>2.41</v>
      </c>
      <c r="E141" s="9">
        <v>2.4079999999999999</v>
      </c>
      <c r="F141" s="9">
        <v>2.33</v>
      </c>
    </row>
    <row r="142" spans="2:6" x14ac:dyDescent="0.3">
      <c r="B142" s="6">
        <v>139</v>
      </c>
      <c r="C142" s="9">
        <v>2.2360000000000002</v>
      </c>
      <c r="D142" s="9">
        <v>2.0350000000000001</v>
      </c>
      <c r="E142" s="9">
        <v>2.0339999999999998</v>
      </c>
      <c r="F142" s="9">
        <v>1.976</v>
      </c>
    </row>
    <row r="143" spans="2:6" x14ac:dyDescent="0.3">
      <c r="B143" s="6">
        <v>140</v>
      </c>
      <c r="C143" s="9">
        <v>1.8620000000000001</v>
      </c>
      <c r="D143" s="9">
        <v>1.724</v>
      </c>
      <c r="E143" s="9">
        <v>1.7230000000000001</v>
      </c>
      <c r="F143" s="9">
        <v>1.679</v>
      </c>
    </row>
    <row r="144" spans="2:6" x14ac:dyDescent="0.3">
      <c r="B144" s="6">
        <v>141</v>
      </c>
      <c r="C144" s="9">
        <v>1.5589999999999999</v>
      </c>
      <c r="D144" s="9">
        <v>1.474</v>
      </c>
      <c r="E144" s="9">
        <v>1.4730000000000001</v>
      </c>
      <c r="F144" s="9">
        <v>1.4370000000000001</v>
      </c>
    </row>
    <row r="145" spans="2:6" x14ac:dyDescent="0.3">
      <c r="B145" s="6">
        <v>142</v>
      </c>
      <c r="C145" s="9">
        <v>1.347</v>
      </c>
      <c r="D145" s="9">
        <v>1.2949999999999999</v>
      </c>
      <c r="E145" s="9">
        <v>1.294</v>
      </c>
      <c r="F145" s="9">
        <v>1.2649999999999999</v>
      </c>
    </row>
    <row r="146" spans="2:6" x14ac:dyDescent="0.3">
      <c r="B146" s="6">
        <v>143</v>
      </c>
      <c r="C146" s="9">
        <v>1.2230000000000001</v>
      </c>
      <c r="D146" s="9">
        <v>1.1919999999999999</v>
      </c>
      <c r="E146" s="9">
        <v>1.19</v>
      </c>
      <c r="F146" s="9">
        <v>1.171</v>
      </c>
    </row>
    <row r="147" spans="2:6" x14ac:dyDescent="0.3">
      <c r="B147" s="6">
        <v>144</v>
      </c>
      <c r="C147" s="9">
        <v>1.181</v>
      </c>
      <c r="D147" s="9">
        <v>1.157</v>
      </c>
      <c r="E147" s="9">
        <v>1.155</v>
      </c>
      <c r="F147" s="9">
        <v>1.141</v>
      </c>
    </row>
    <row r="148" spans="2:6" x14ac:dyDescent="0.3">
      <c r="B148" s="6">
        <v>145</v>
      </c>
      <c r="C148" s="9">
        <v>1.2230000000000001</v>
      </c>
      <c r="D148" s="9">
        <v>1.19</v>
      </c>
      <c r="E148" s="9">
        <v>1.1879999999999999</v>
      </c>
      <c r="F148" s="9">
        <v>1.169</v>
      </c>
    </row>
    <row r="149" spans="2:6" x14ac:dyDescent="0.3">
      <c r="B149" s="6">
        <v>146</v>
      </c>
      <c r="C149" s="9">
        <v>1.3460000000000001</v>
      </c>
      <c r="D149" s="9">
        <v>1.292</v>
      </c>
      <c r="E149" s="9">
        <v>1.29</v>
      </c>
      <c r="F149" s="9">
        <v>1.26</v>
      </c>
    </row>
    <row r="150" spans="2:6" x14ac:dyDescent="0.3">
      <c r="B150" s="6">
        <v>147</v>
      </c>
      <c r="C150" s="9">
        <v>1.5580000000000001</v>
      </c>
      <c r="D150" s="9">
        <v>1.4690000000000001</v>
      </c>
      <c r="E150" s="9">
        <v>1.466</v>
      </c>
      <c r="F150" s="9">
        <v>1.4279999999999999</v>
      </c>
    </row>
    <row r="151" spans="2:6" x14ac:dyDescent="0.3">
      <c r="B151" s="6">
        <v>148</v>
      </c>
      <c r="C151" s="9">
        <v>1.873</v>
      </c>
      <c r="D151" s="9">
        <v>1.7290000000000001</v>
      </c>
      <c r="E151" s="9">
        <v>1.726</v>
      </c>
      <c r="F151" s="9">
        <v>1.677</v>
      </c>
    </row>
    <row r="152" spans="2:6" x14ac:dyDescent="0.3">
      <c r="B152" s="6">
        <v>149</v>
      </c>
      <c r="C152" s="9">
        <v>2.2679999999999998</v>
      </c>
      <c r="D152" s="9">
        <v>2.0539999999999998</v>
      </c>
      <c r="E152" s="9">
        <v>2.0499999999999998</v>
      </c>
      <c r="F152" s="9">
        <v>1.9870000000000001</v>
      </c>
    </row>
    <row r="153" spans="2:6" x14ac:dyDescent="0.3">
      <c r="B153" s="6">
        <v>150</v>
      </c>
      <c r="C153" s="9">
        <v>2.7269999999999999</v>
      </c>
      <c r="D153" s="9">
        <v>2.4390000000000001</v>
      </c>
      <c r="E153" s="9">
        <v>2.4340000000000002</v>
      </c>
      <c r="F153" s="9">
        <v>2.3540000000000001</v>
      </c>
    </row>
    <row r="154" spans="2:6" x14ac:dyDescent="0.3">
      <c r="B154" s="6">
        <v>151</v>
      </c>
      <c r="C154" s="9">
        <v>3.2389999999999999</v>
      </c>
      <c r="D154" s="9">
        <v>2.8839999999999999</v>
      </c>
      <c r="E154" s="9">
        <v>2.8769999999999998</v>
      </c>
      <c r="F154" s="9">
        <v>2.7709999999999999</v>
      </c>
    </row>
    <row r="155" spans="2:6" x14ac:dyDescent="0.3">
      <c r="B155" s="6">
        <v>152</v>
      </c>
      <c r="C155" s="9">
        <v>3.8610000000000002</v>
      </c>
      <c r="D155" s="9">
        <v>3.4369999999999998</v>
      </c>
      <c r="E155" s="9">
        <v>3.4260000000000002</v>
      </c>
      <c r="F155" s="9">
        <v>3.282</v>
      </c>
    </row>
    <row r="156" spans="2:6" x14ac:dyDescent="0.3">
      <c r="B156" s="6">
        <v>153</v>
      </c>
      <c r="C156" s="9">
        <v>4.0970000000000004</v>
      </c>
      <c r="D156" s="9">
        <v>3.657</v>
      </c>
      <c r="E156" s="9">
        <v>3.6539999999999999</v>
      </c>
      <c r="F156" s="9">
        <v>3.504</v>
      </c>
    </row>
    <row r="157" spans="2:6" x14ac:dyDescent="0.3">
      <c r="B157" s="6">
        <v>154</v>
      </c>
      <c r="C157" s="9">
        <v>3.4039999999999999</v>
      </c>
      <c r="D157" s="9">
        <v>3.0529999999999999</v>
      </c>
      <c r="E157" s="9">
        <v>3.0489999999999999</v>
      </c>
      <c r="F157" s="9">
        <v>2.931</v>
      </c>
    </row>
    <row r="158" spans="2:6" x14ac:dyDescent="0.3">
      <c r="B158" s="6">
        <v>155</v>
      </c>
      <c r="C158" s="9">
        <v>2.8660000000000001</v>
      </c>
      <c r="D158" s="9">
        <v>2.5830000000000002</v>
      </c>
      <c r="E158" s="9">
        <v>2.58</v>
      </c>
      <c r="F158" s="9">
        <v>2.4900000000000002</v>
      </c>
    </row>
    <row r="159" spans="2:6" x14ac:dyDescent="0.3">
      <c r="B159" s="6">
        <v>156</v>
      </c>
      <c r="C159" s="9">
        <v>2.4460000000000002</v>
      </c>
      <c r="D159" s="9">
        <v>2.2160000000000002</v>
      </c>
      <c r="E159" s="9">
        <v>2.2130000000000001</v>
      </c>
      <c r="F159" s="9">
        <v>2.1419999999999999</v>
      </c>
    </row>
    <row r="160" spans="2:6" x14ac:dyDescent="0.3">
      <c r="B160" s="6">
        <v>157</v>
      </c>
      <c r="C160" s="9">
        <v>2.0739999999999998</v>
      </c>
      <c r="D160" s="9">
        <v>1.903</v>
      </c>
      <c r="E160" s="9">
        <v>1.901</v>
      </c>
      <c r="F160" s="9">
        <v>1.8440000000000001</v>
      </c>
    </row>
    <row r="161" spans="2:6" x14ac:dyDescent="0.3">
      <c r="B161" s="6">
        <v>158</v>
      </c>
      <c r="C161" s="9">
        <v>1.778</v>
      </c>
      <c r="D161" s="9">
        <v>1.657</v>
      </c>
      <c r="E161" s="9">
        <v>1.6559999999999999</v>
      </c>
      <c r="F161" s="9">
        <v>1.609</v>
      </c>
    </row>
    <row r="162" spans="2:6" x14ac:dyDescent="0.3">
      <c r="B162" s="6">
        <v>159</v>
      </c>
      <c r="C162" s="9">
        <v>1.56</v>
      </c>
      <c r="D162" s="9">
        <v>1.476</v>
      </c>
      <c r="E162" s="9">
        <v>1.474</v>
      </c>
      <c r="F162" s="9">
        <v>1.4350000000000001</v>
      </c>
    </row>
    <row r="163" spans="2:6" x14ac:dyDescent="0.3">
      <c r="B163" s="6">
        <v>160</v>
      </c>
      <c r="C163" s="9">
        <v>1.43</v>
      </c>
      <c r="D163" s="9">
        <v>1.3680000000000001</v>
      </c>
      <c r="E163" s="9">
        <v>1.3660000000000001</v>
      </c>
      <c r="F163" s="9">
        <v>1.3360000000000001</v>
      </c>
    </row>
    <row r="164" spans="2:6" x14ac:dyDescent="0.3">
      <c r="B164" s="6">
        <v>161</v>
      </c>
      <c r="C164" s="9">
        <v>1.389</v>
      </c>
      <c r="D164" s="9">
        <v>1.3340000000000001</v>
      </c>
      <c r="E164" s="9">
        <v>1.331</v>
      </c>
      <c r="F164" s="9">
        <v>1.306</v>
      </c>
    </row>
    <row r="165" spans="2:6" x14ac:dyDescent="0.3">
      <c r="B165" s="6">
        <v>162</v>
      </c>
      <c r="C165" s="9">
        <v>1.4339999999999999</v>
      </c>
      <c r="D165" s="9">
        <v>1.37</v>
      </c>
      <c r="E165" s="9">
        <v>1.367</v>
      </c>
      <c r="F165" s="9">
        <v>1.3380000000000001</v>
      </c>
    </row>
    <row r="166" spans="2:6" x14ac:dyDescent="0.3">
      <c r="B166" s="6">
        <v>163</v>
      </c>
      <c r="C166" s="9">
        <v>1.5640000000000001</v>
      </c>
      <c r="D166" s="9">
        <v>1.476</v>
      </c>
      <c r="E166" s="9">
        <v>1.4730000000000001</v>
      </c>
      <c r="F166" s="9">
        <v>1.4350000000000001</v>
      </c>
    </row>
    <row r="167" spans="2:6" x14ac:dyDescent="0.3">
      <c r="B167" s="6">
        <v>164</v>
      </c>
      <c r="C167" s="9">
        <v>1.786</v>
      </c>
      <c r="D167" s="9">
        <v>1.66</v>
      </c>
      <c r="E167" s="9">
        <v>1.6559999999999999</v>
      </c>
      <c r="F167" s="9">
        <v>1.609</v>
      </c>
    </row>
    <row r="168" spans="2:6" x14ac:dyDescent="0.3">
      <c r="B168" s="6">
        <v>165</v>
      </c>
      <c r="C168" s="9">
        <v>2.0910000000000002</v>
      </c>
      <c r="D168" s="9">
        <v>1.91</v>
      </c>
      <c r="E168" s="9">
        <v>1.9059999999999999</v>
      </c>
      <c r="F168" s="9">
        <v>1.85</v>
      </c>
    </row>
    <row r="169" spans="2:6" x14ac:dyDescent="0.3">
      <c r="B169" s="6">
        <v>166</v>
      </c>
      <c r="C169" s="9">
        <v>2.476</v>
      </c>
      <c r="D169" s="9">
        <v>2.23</v>
      </c>
      <c r="E169" s="9">
        <v>2.2250000000000001</v>
      </c>
      <c r="F169" s="9">
        <v>2.1539999999999999</v>
      </c>
    </row>
    <row r="170" spans="2:6" x14ac:dyDescent="0.3">
      <c r="B170" s="6">
        <v>167</v>
      </c>
      <c r="C170" s="9">
        <v>2.9180000000000001</v>
      </c>
      <c r="D170" s="9">
        <v>2.609</v>
      </c>
      <c r="E170" s="9">
        <v>2.6030000000000002</v>
      </c>
      <c r="F170" s="9">
        <v>2.5099999999999998</v>
      </c>
    </row>
    <row r="171" spans="2:6" x14ac:dyDescent="0.3">
      <c r="B171" s="6">
        <v>168</v>
      </c>
      <c r="C171" s="9">
        <v>3.4409999999999998</v>
      </c>
      <c r="D171" s="9">
        <v>3.0649999999999999</v>
      </c>
      <c r="E171" s="9">
        <v>3.0569999999999999</v>
      </c>
      <c r="F171" s="9">
        <v>2.9359999999999999</v>
      </c>
    </row>
    <row r="172" spans="2:6" x14ac:dyDescent="0.3">
      <c r="B172" s="6">
        <v>169</v>
      </c>
      <c r="C172" s="9">
        <v>4.0999999999999996</v>
      </c>
      <c r="D172" s="9">
        <v>3.6629999999999998</v>
      </c>
      <c r="E172" s="9">
        <v>3.6509999999999998</v>
      </c>
      <c r="F172" s="9">
        <v>3.4830000000000001</v>
      </c>
    </row>
    <row r="173" spans="2:6" x14ac:dyDescent="0.3">
      <c r="B173" s="6">
        <v>170</v>
      </c>
      <c r="C173" s="9">
        <v>4.4089999999999998</v>
      </c>
      <c r="D173" s="9">
        <v>3.9329999999999998</v>
      </c>
      <c r="E173" s="9">
        <v>3.9279999999999999</v>
      </c>
      <c r="F173" s="9">
        <v>3.7530000000000001</v>
      </c>
    </row>
    <row r="174" spans="2:6" x14ac:dyDescent="0.3">
      <c r="B174" s="6">
        <v>171</v>
      </c>
      <c r="C174" s="9">
        <v>3.7469999999999999</v>
      </c>
      <c r="D174" s="9">
        <v>3.351</v>
      </c>
      <c r="E174" s="9">
        <v>3.347</v>
      </c>
      <c r="F174" s="9">
        <v>3.2109999999999999</v>
      </c>
    </row>
    <row r="175" spans="2:6" x14ac:dyDescent="0.3">
      <c r="B175" s="6">
        <v>172</v>
      </c>
      <c r="C175" s="9">
        <v>3.1549999999999998</v>
      </c>
      <c r="D175" s="9">
        <v>2.8359999999999999</v>
      </c>
      <c r="E175" s="9">
        <v>2.8319999999999999</v>
      </c>
      <c r="F175" s="9">
        <v>2.7290000000000001</v>
      </c>
    </row>
    <row r="176" spans="2:6" x14ac:dyDescent="0.3">
      <c r="B176" s="6">
        <v>173</v>
      </c>
      <c r="C176" s="9">
        <v>2.7360000000000002</v>
      </c>
      <c r="D176" s="9">
        <v>2.4670000000000001</v>
      </c>
      <c r="E176" s="9">
        <v>2.464</v>
      </c>
      <c r="F176" s="9">
        <v>2.379</v>
      </c>
    </row>
    <row r="177" spans="2:6" x14ac:dyDescent="0.3">
      <c r="B177" s="6">
        <v>174</v>
      </c>
      <c r="C177" s="9">
        <v>2.3769999999999998</v>
      </c>
      <c r="D177" s="9">
        <v>2.1589999999999998</v>
      </c>
      <c r="E177" s="9">
        <v>2.1560000000000001</v>
      </c>
      <c r="F177" s="9">
        <v>2.0859999999999999</v>
      </c>
    </row>
    <row r="178" spans="2:6" x14ac:dyDescent="0.3">
      <c r="B178" s="6">
        <v>175</v>
      </c>
      <c r="C178" s="9">
        <v>2.0819999999999999</v>
      </c>
      <c r="D178" s="9">
        <v>1.911</v>
      </c>
      <c r="E178" s="9">
        <v>1.909</v>
      </c>
      <c r="F178" s="9">
        <v>1.85</v>
      </c>
    </row>
    <row r="179" spans="2:6" x14ac:dyDescent="0.3">
      <c r="B179" s="6">
        <v>176</v>
      </c>
      <c r="C179" s="9">
        <v>1.8660000000000001</v>
      </c>
      <c r="D179" s="9">
        <v>1.7310000000000001</v>
      </c>
      <c r="E179" s="9">
        <v>1.728</v>
      </c>
      <c r="F179" s="9">
        <v>1.679</v>
      </c>
    </row>
    <row r="180" spans="2:6" x14ac:dyDescent="0.3">
      <c r="B180" s="6">
        <v>177</v>
      </c>
      <c r="C180" s="9">
        <v>1.732</v>
      </c>
      <c r="D180" s="9">
        <v>1.619</v>
      </c>
      <c r="E180" s="9">
        <v>1.6160000000000001</v>
      </c>
      <c r="F180" s="9">
        <v>1.575</v>
      </c>
    </row>
    <row r="181" spans="2:6" x14ac:dyDescent="0.3">
      <c r="B181" s="6">
        <v>178</v>
      </c>
      <c r="C181" s="9">
        <v>1.6910000000000001</v>
      </c>
      <c r="D181" s="9">
        <v>1.5840000000000001</v>
      </c>
      <c r="E181" s="9">
        <v>1.581</v>
      </c>
      <c r="F181" s="9">
        <v>1.5429999999999999</v>
      </c>
    </row>
    <row r="182" spans="2:6" x14ac:dyDescent="0.3">
      <c r="B182" s="6">
        <v>179</v>
      </c>
      <c r="C182" s="9">
        <v>1.7430000000000001</v>
      </c>
      <c r="D182" s="9">
        <v>1.6259999999999999</v>
      </c>
      <c r="E182" s="9">
        <v>1.623</v>
      </c>
      <c r="F182" s="9">
        <v>1.5820000000000001</v>
      </c>
    </row>
    <row r="183" spans="2:6" x14ac:dyDescent="0.3">
      <c r="B183" s="6">
        <v>180</v>
      </c>
      <c r="C183" s="9">
        <v>1.883</v>
      </c>
      <c r="D183" s="9">
        <v>1.742</v>
      </c>
      <c r="E183" s="9">
        <v>1.738</v>
      </c>
      <c r="F183" s="9">
        <v>1.69</v>
      </c>
    </row>
    <row r="184" spans="2:6" x14ac:dyDescent="0.3">
      <c r="B184" s="6">
        <v>181</v>
      </c>
      <c r="C184" s="9">
        <v>2.1030000000000002</v>
      </c>
      <c r="D184" s="9">
        <v>1.9219999999999999</v>
      </c>
      <c r="E184" s="9">
        <v>1.9179999999999999</v>
      </c>
      <c r="F184" s="9">
        <v>1.861</v>
      </c>
    </row>
    <row r="185" spans="2:6" x14ac:dyDescent="0.3">
      <c r="B185" s="6">
        <v>182</v>
      </c>
      <c r="C185" s="9">
        <v>2.4</v>
      </c>
      <c r="D185" s="9">
        <v>2.1669999999999998</v>
      </c>
      <c r="E185" s="9">
        <v>2.1619999999999999</v>
      </c>
      <c r="F185" s="9">
        <v>2.0950000000000002</v>
      </c>
    </row>
    <row r="186" spans="2:6" x14ac:dyDescent="0.3">
      <c r="B186" s="6">
        <v>183</v>
      </c>
      <c r="C186" s="9">
        <v>2.7679999999999998</v>
      </c>
      <c r="D186" s="9">
        <v>2.4780000000000002</v>
      </c>
      <c r="E186" s="9">
        <v>2.4729999999999999</v>
      </c>
      <c r="F186" s="9">
        <v>2.391</v>
      </c>
    </row>
    <row r="187" spans="2:6" x14ac:dyDescent="0.3">
      <c r="B187" s="6">
        <v>184</v>
      </c>
      <c r="C187" s="9">
        <v>3.1920000000000002</v>
      </c>
      <c r="D187" s="9">
        <v>2.8450000000000002</v>
      </c>
      <c r="E187" s="9">
        <v>2.8380000000000001</v>
      </c>
      <c r="F187" s="9">
        <v>2.7349999999999999</v>
      </c>
    </row>
    <row r="188" spans="2:6" x14ac:dyDescent="0.3">
      <c r="B188" s="6">
        <v>185</v>
      </c>
      <c r="C188" s="9">
        <v>3.7610000000000001</v>
      </c>
      <c r="D188" s="9">
        <v>3.351</v>
      </c>
      <c r="E188" s="9">
        <v>3.3420000000000001</v>
      </c>
      <c r="F188" s="9">
        <v>3.1970000000000001</v>
      </c>
    </row>
    <row r="189" spans="2:6" x14ac:dyDescent="0.3">
      <c r="B189" s="6">
        <v>186</v>
      </c>
      <c r="C189" s="9">
        <v>4.4249999999999998</v>
      </c>
      <c r="D189" s="9">
        <v>3.9609999999999999</v>
      </c>
      <c r="E189" s="9">
        <v>3.95</v>
      </c>
      <c r="F189" s="9">
        <v>3.7509999999999999</v>
      </c>
    </row>
    <row r="190" spans="2:6" x14ac:dyDescent="0.3">
      <c r="B190" s="6">
        <v>187</v>
      </c>
      <c r="C190" s="9">
        <v>4.5880000000000001</v>
      </c>
      <c r="D190" s="9">
        <v>4.1310000000000002</v>
      </c>
      <c r="E190" s="9">
        <v>4.1269999999999998</v>
      </c>
      <c r="F190" s="9">
        <v>3.9350000000000001</v>
      </c>
    </row>
    <row r="191" spans="2:6" x14ac:dyDescent="0.3">
      <c r="B191" s="6">
        <v>188</v>
      </c>
      <c r="C191" s="9">
        <v>4.1219999999999999</v>
      </c>
      <c r="D191" s="9">
        <v>3.6909999999999998</v>
      </c>
      <c r="E191" s="9">
        <v>3.6859999999999999</v>
      </c>
      <c r="F191" s="9">
        <v>3.5230000000000001</v>
      </c>
    </row>
    <row r="192" spans="2:6" x14ac:dyDescent="0.3">
      <c r="B192" s="6">
        <v>189</v>
      </c>
      <c r="C192" s="9">
        <v>3.5630000000000002</v>
      </c>
      <c r="D192" s="9">
        <v>3.194</v>
      </c>
      <c r="E192" s="9">
        <v>3.1909999999999998</v>
      </c>
      <c r="F192" s="9">
        <v>3.0640000000000001</v>
      </c>
    </row>
    <row r="193" spans="2:6" x14ac:dyDescent="0.3">
      <c r="B193" s="6">
        <v>190</v>
      </c>
      <c r="C193" s="9">
        <v>3.093</v>
      </c>
      <c r="D193" s="9">
        <v>2.78</v>
      </c>
      <c r="E193" s="9">
        <v>2.7770000000000001</v>
      </c>
      <c r="F193" s="9">
        <v>2.673</v>
      </c>
    </row>
    <row r="194" spans="2:6" x14ac:dyDescent="0.3">
      <c r="B194" s="6">
        <v>191</v>
      </c>
      <c r="C194" s="9">
        <v>2.7469999999999999</v>
      </c>
      <c r="D194" s="9">
        <v>2.4780000000000002</v>
      </c>
      <c r="E194" s="9">
        <v>2.476</v>
      </c>
      <c r="F194" s="9">
        <v>2.387</v>
      </c>
    </row>
    <row r="195" spans="2:6" x14ac:dyDescent="0.3">
      <c r="B195" s="6">
        <v>192</v>
      </c>
      <c r="C195" s="9">
        <v>2.4620000000000002</v>
      </c>
      <c r="D195" s="9">
        <v>2.2320000000000002</v>
      </c>
      <c r="E195" s="9">
        <v>2.23</v>
      </c>
      <c r="F195" s="9">
        <v>2.153</v>
      </c>
    </row>
    <row r="196" spans="2:6" x14ac:dyDescent="0.3">
      <c r="B196" s="6">
        <v>193</v>
      </c>
      <c r="C196" s="9">
        <v>2.2490000000000001</v>
      </c>
      <c r="D196" s="9">
        <v>2.0499999999999998</v>
      </c>
      <c r="E196" s="9">
        <v>2.0470000000000002</v>
      </c>
      <c r="F196" s="9">
        <v>1.982</v>
      </c>
    </row>
    <row r="197" spans="2:6" x14ac:dyDescent="0.3">
      <c r="B197" s="6">
        <v>194</v>
      </c>
      <c r="C197" s="9">
        <v>2.121</v>
      </c>
      <c r="D197" s="9">
        <v>1.9390000000000001</v>
      </c>
      <c r="E197" s="9">
        <v>1.9359999999999999</v>
      </c>
      <c r="F197" s="9">
        <v>1.877</v>
      </c>
    </row>
    <row r="198" spans="2:6" x14ac:dyDescent="0.3">
      <c r="B198" s="6">
        <v>195</v>
      </c>
      <c r="C198" s="9">
        <v>2.0790000000000002</v>
      </c>
      <c r="D198" s="9">
        <v>1.9039999999999999</v>
      </c>
      <c r="E198" s="9">
        <v>1.9</v>
      </c>
      <c r="F198" s="9">
        <v>1.843</v>
      </c>
    </row>
    <row r="199" spans="2:6" x14ac:dyDescent="0.3">
      <c r="B199" s="6">
        <v>196</v>
      </c>
      <c r="C199" s="9">
        <v>2.1259999999999999</v>
      </c>
      <c r="D199" s="9">
        <v>1.9419999999999999</v>
      </c>
      <c r="E199" s="9">
        <v>1.9379999999999999</v>
      </c>
      <c r="F199" s="9">
        <v>1.88</v>
      </c>
    </row>
    <row r="200" spans="2:6" x14ac:dyDescent="0.3">
      <c r="B200" s="6">
        <v>197</v>
      </c>
      <c r="C200" s="9">
        <v>2.262</v>
      </c>
      <c r="D200" s="9">
        <v>2.056</v>
      </c>
      <c r="E200" s="9">
        <v>2.052</v>
      </c>
      <c r="F200" s="9">
        <v>1.988</v>
      </c>
    </row>
    <row r="201" spans="2:6" x14ac:dyDescent="0.3">
      <c r="B201" s="6">
        <v>198</v>
      </c>
      <c r="C201" s="9">
        <v>2.4830000000000001</v>
      </c>
      <c r="D201" s="9">
        <v>2.2410000000000001</v>
      </c>
      <c r="E201" s="9">
        <v>2.2370000000000001</v>
      </c>
      <c r="F201" s="9">
        <v>2.1619999999999999</v>
      </c>
    </row>
    <row r="202" spans="2:6" x14ac:dyDescent="0.3">
      <c r="B202" s="6">
        <v>199</v>
      </c>
      <c r="C202" s="9">
        <v>2.7770000000000001</v>
      </c>
      <c r="D202" s="9">
        <v>2.492</v>
      </c>
      <c r="E202" s="9">
        <v>2.4870000000000001</v>
      </c>
      <c r="F202" s="9">
        <v>2.399</v>
      </c>
    </row>
    <row r="203" spans="2:6" x14ac:dyDescent="0.3">
      <c r="B203" s="6">
        <v>200</v>
      </c>
      <c r="C203" s="9">
        <v>3.1280000000000001</v>
      </c>
      <c r="D203" s="9">
        <v>2.79</v>
      </c>
      <c r="E203" s="9">
        <v>2.7829999999999999</v>
      </c>
      <c r="F203" s="9">
        <v>2.681</v>
      </c>
    </row>
    <row r="204" spans="2:6" x14ac:dyDescent="0.3">
      <c r="B204" s="6">
        <v>201</v>
      </c>
      <c r="C204" s="9">
        <v>3.5880000000000001</v>
      </c>
      <c r="D204" s="9">
        <v>3.1890000000000001</v>
      </c>
      <c r="E204" s="9">
        <v>3.18</v>
      </c>
      <c r="F204" s="9">
        <v>3.0550000000000002</v>
      </c>
    </row>
    <row r="205" spans="2:6" x14ac:dyDescent="0.3">
      <c r="B205" s="6">
        <v>202</v>
      </c>
      <c r="C205" s="9">
        <v>4.1660000000000004</v>
      </c>
      <c r="D205" s="9">
        <v>3.706</v>
      </c>
      <c r="E205" s="9">
        <v>3.6949999999999998</v>
      </c>
      <c r="F205" s="9">
        <v>3.5289999999999999</v>
      </c>
    </row>
    <row r="206" spans="2:6" x14ac:dyDescent="0.3">
      <c r="B206" s="6">
        <v>203</v>
      </c>
      <c r="C206" s="9">
        <v>4.7309999999999999</v>
      </c>
      <c r="D206" s="9">
        <v>4.2549999999999999</v>
      </c>
      <c r="E206" s="9">
        <v>4.242</v>
      </c>
      <c r="F206" s="9">
        <v>4.0229999999999997</v>
      </c>
    </row>
    <row r="207" spans="2:6" x14ac:dyDescent="0.3">
      <c r="B207" s="6">
        <v>204</v>
      </c>
      <c r="C207" s="9">
        <v>4.6559999999999997</v>
      </c>
      <c r="D207" s="9">
        <v>4.2690000000000001</v>
      </c>
      <c r="E207" s="9">
        <v>4.266</v>
      </c>
      <c r="F207" s="9">
        <v>4.0650000000000004</v>
      </c>
    </row>
    <row r="208" spans="2:6" x14ac:dyDescent="0.3">
      <c r="B208" s="6">
        <v>205</v>
      </c>
      <c r="C208" s="9">
        <v>4.431</v>
      </c>
      <c r="D208" s="9">
        <v>4.0179999999999998</v>
      </c>
      <c r="E208" s="9">
        <v>4.0129999999999999</v>
      </c>
      <c r="F208" s="9">
        <v>3.8180000000000001</v>
      </c>
    </row>
    <row r="209" spans="1:89" x14ac:dyDescent="0.3">
      <c r="B209" s="6">
        <v>206</v>
      </c>
      <c r="C209" s="9">
        <v>4.0460000000000003</v>
      </c>
      <c r="D209" s="9">
        <v>3.649</v>
      </c>
      <c r="E209" s="9">
        <v>3.645</v>
      </c>
      <c r="F209" s="9">
        <v>3.4849999999999999</v>
      </c>
    </row>
    <row r="210" spans="1:89" x14ac:dyDescent="0.3">
      <c r="B210" s="6">
        <v>207</v>
      </c>
      <c r="C210" s="9">
        <v>3.5550000000000002</v>
      </c>
      <c r="D210" s="9">
        <v>3.2050000000000001</v>
      </c>
      <c r="E210" s="9">
        <v>3.202</v>
      </c>
      <c r="F210" s="9">
        <v>3.0739999999999998</v>
      </c>
    </row>
    <row r="211" spans="1:89" x14ac:dyDescent="0.3">
      <c r="B211" s="6">
        <v>208</v>
      </c>
      <c r="C211" s="9">
        <v>3.1760000000000002</v>
      </c>
      <c r="D211" s="9">
        <v>2.87</v>
      </c>
      <c r="E211" s="9">
        <v>2.867</v>
      </c>
      <c r="F211" s="9">
        <v>2.754</v>
      </c>
    </row>
    <row r="212" spans="1:89" x14ac:dyDescent="0.3">
      <c r="B212" s="6">
        <v>209</v>
      </c>
      <c r="C212" s="9">
        <v>2.915</v>
      </c>
      <c r="D212" s="9">
        <v>2.6339999999999999</v>
      </c>
      <c r="E212" s="9">
        <v>2.6320000000000001</v>
      </c>
      <c r="F212" s="9">
        <v>2.5310000000000001</v>
      </c>
    </row>
    <row r="213" spans="1:89" x14ac:dyDescent="0.3">
      <c r="B213" s="6">
        <v>210</v>
      </c>
      <c r="C213" s="9">
        <v>2.7090000000000001</v>
      </c>
      <c r="D213" s="9">
        <v>2.452</v>
      </c>
      <c r="E213" s="9">
        <v>2.4489999999999998</v>
      </c>
      <c r="F213" s="9">
        <v>2.36</v>
      </c>
    </row>
    <row r="214" spans="1:89" x14ac:dyDescent="0.3">
      <c r="B214" s="6">
        <v>211</v>
      </c>
      <c r="C214" s="9">
        <v>2.577</v>
      </c>
      <c r="D214" s="9">
        <v>2.3319999999999999</v>
      </c>
      <c r="E214" s="9">
        <v>2.3279999999999998</v>
      </c>
      <c r="F214" s="9">
        <v>2.2429999999999999</v>
      </c>
    </row>
    <row r="215" spans="1:89" x14ac:dyDescent="0.3">
      <c r="B215" s="6">
        <v>212</v>
      </c>
      <c r="C215" s="9">
        <v>2.5379999999999998</v>
      </c>
      <c r="D215" s="9">
        <v>2.294</v>
      </c>
      <c r="E215" s="9">
        <v>2.29</v>
      </c>
      <c r="F215" s="9">
        <v>2.2069999999999999</v>
      </c>
    </row>
    <row r="216" spans="1:89" x14ac:dyDescent="0.3">
      <c r="B216" s="6">
        <v>213</v>
      </c>
      <c r="C216" s="9">
        <v>2.581</v>
      </c>
      <c r="D216" s="9">
        <v>2.3330000000000002</v>
      </c>
      <c r="E216" s="9">
        <v>2.3279999999999998</v>
      </c>
      <c r="F216" s="9">
        <v>2.246</v>
      </c>
    </row>
    <row r="217" spans="1:89" x14ac:dyDescent="0.3">
      <c r="B217" s="6">
        <v>214</v>
      </c>
      <c r="C217" s="9">
        <v>2.7130000000000001</v>
      </c>
      <c r="D217" s="9">
        <v>2.4489999999999998</v>
      </c>
      <c r="E217" s="9">
        <v>2.4449999999999998</v>
      </c>
      <c r="F217" s="9">
        <v>2.3559999999999999</v>
      </c>
    </row>
    <row r="218" spans="1:89" x14ac:dyDescent="0.3">
      <c r="B218" s="6">
        <v>215</v>
      </c>
      <c r="C218" s="9">
        <v>2.9209999999999998</v>
      </c>
      <c r="D218" s="9">
        <v>2.63</v>
      </c>
      <c r="E218" s="9">
        <v>2.625</v>
      </c>
      <c r="F218" s="9">
        <v>2.5219999999999998</v>
      </c>
    </row>
    <row r="219" spans="1:89" x14ac:dyDescent="0.3">
      <c r="B219" s="6">
        <v>216</v>
      </c>
      <c r="C219" s="9">
        <v>3.1920000000000002</v>
      </c>
      <c r="D219" s="9">
        <v>2.8690000000000002</v>
      </c>
      <c r="E219" s="9">
        <v>2.8639999999999999</v>
      </c>
      <c r="F219" s="9">
        <v>2.7490000000000001</v>
      </c>
    </row>
    <row r="220" spans="1:89" x14ac:dyDescent="0.3">
      <c r="B220" s="6">
        <v>217</v>
      </c>
      <c r="C220" s="9">
        <v>3.581</v>
      </c>
      <c r="D220" s="9">
        <v>3.21</v>
      </c>
      <c r="E220" s="9">
        <v>3.202</v>
      </c>
      <c r="F220" s="9">
        <v>3.0640000000000001</v>
      </c>
    </row>
    <row r="221" spans="1:89" x14ac:dyDescent="0.3">
      <c r="B221" s="6">
        <v>218</v>
      </c>
      <c r="C221" s="9">
        <v>4.1219999999999999</v>
      </c>
      <c r="D221" s="9">
        <v>3.681</v>
      </c>
      <c r="E221" s="9">
        <v>3.6709999999999998</v>
      </c>
      <c r="F221" s="9">
        <v>3.5030000000000001</v>
      </c>
    </row>
    <row r="222" spans="1:89" x14ac:dyDescent="0.3">
      <c r="B222" s="6">
        <v>219</v>
      </c>
      <c r="C222" s="9">
        <v>4.601</v>
      </c>
      <c r="D222" s="9">
        <v>4.1269999999999998</v>
      </c>
      <c r="E222" s="9">
        <v>4.117</v>
      </c>
      <c r="F222" s="9">
        <v>3.915</v>
      </c>
    </row>
    <row r="223" spans="1:89" x14ac:dyDescent="0.3">
      <c r="B223" s="6">
        <v>220</v>
      </c>
      <c r="C223" s="9">
        <v>4.9939999999999998</v>
      </c>
      <c r="D223" s="9">
        <v>4.5380000000000003</v>
      </c>
      <c r="E223" s="9">
        <v>4.5289999999999999</v>
      </c>
      <c r="F223" s="9">
        <v>4.298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9791-2DC8-4137-AA2A-B4469299646A}">
  <sheetPr codeName="工作表6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843.67</v>
      </c>
      <c r="J2" s="2">
        <f ca="1">goldenOTP_check!J2*J58</f>
        <v>866.7</v>
      </c>
      <c r="K2" s="2">
        <f ca="1">goldenOTP_check!K2*K58</f>
        <v>904.08399999999995</v>
      </c>
      <c r="L2" s="2">
        <f ca="1">goldenOTP_check!L2*L58</f>
        <v>924.52099999999996</v>
      </c>
      <c r="M2" s="2">
        <f ca="1">goldenOTP_check!M2*M58</f>
        <v>966.14400000000001</v>
      </c>
      <c r="N2" s="2">
        <f ca="1">goldenOTP_check!N2*N58</f>
        <v>958.30499999999995</v>
      </c>
      <c r="O2" s="2">
        <f ca="1">goldenOTP_check!O2*O58</f>
        <v>973.37000000000012</v>
      </c>
      <c r="P2" s="2">
        <f ca="1">goldenOTP_check!P2*P58</f>
        <v>1009.976</v>
      </c>
      <c r="Q2" s="2">
        <f ca="1">goldenOTP_check!Q2*Q58</f>
        <v>990.44600000000003</v>
      </c>
      <c r="R2" s="2">
        <f ca="1">goldenOTP_check!R2*R58</f>
        <v>1012</v>
      </c>
      <c r="S2" s="2">
        <f ca="1">goldenOTP_check!S2*S58</f>
        <v>1002.0780000000001</v>
      </c>
      <c r="T2" s="2">
        <f ca="1">goldenOTP_check!T2*T58</f>
        <v>994.45500000000004</v>
      </c>
      <c r="U2" s="2">
        <f ca="1">goldenOTP_check!U2*U58</f>
        <v>966.14400000000001</v>
      </c>
      <c r="V2" s="2">
        <f ca="1">goldenOTP_check!V2*V58</f>
        <v>928.49200000000008</v>
      </c>
      <c r="W2" s="2">
        <f ca="1">goldenOTP_check!W2*W58</f>
        <v>913.27699999999993</v>
      </c>
      <c r="X2" s="2">
        <f ca="1">goldenOTP_check!X2*X58</f>
        <v>871.29</v>
      </c>
      <c r="Y2" s="3">
        <f ca="1">goldenOTP_check!Y2*Y58</f>
        <v>841.04100000000005</v>
      </c>
      <c r="BA2"/>
      <c r="BB2"/>
      <c r="BC2"/>
      <c r="BD2"/>
    </row>
    <row r="3" spans="2:56" x14ac:dyDescent="0.3">
      <c r="B3" s="8">
        <v>0</v>
      </c>
      <c r="C3" s="9">
        <v>3.53</v>
      </c>
      <c r="D3" s="9">
        <v>3.2530000000000001</v>
      </c>
      <c r="E3" s="9">
        <v>3.2509999999999999</v>
      </c>
      <c r="F3" s="9">
        <v>3.085</v>
      </c>
      <c r="H3" t="s">
        <v>6</v>
      </c>
      <c r="I3" s="2">
        <f ca="1">goldenOTP_check!I3*I59</f>
        <v>911.79</v>
      </c>
      <c r="J3" s="2">
        <f ca="1">goldenOTP_check!J3*J59</f>
        <v>931.98</v>
      </c>
      <c r="K3" s="2">
        <f ca="1">goldenOTP_check!K3*K59</f>
        <v>938.05</v>
      </c>
      <c r="L3" s="2">
        <f ca="1">goldenOTP_check!L3*L59</f>
        <v>984.32100000000003</v>
      </c>
      <c r="M3" s="2">
        <f ca="1">goldenOTP_check!M3*M59</f>
        <v>997.81000000000006</v>
      </c>
      <c r="N3" s="2">
        <f ca="1">goldenOTP_check!N3*N59</f>
        <v>1033.1369999999999</v>
      </c>
      <c r="O3" s="2">
        <f ca="1">goldenOTP_check!O3*O59</f>
        <v>1029.3</v>
      </c>
      <c r="P3" s="2">
        <f ca="1">goldenOTP_check!P3*P59</f>
        <v>1046.4000000000001</v>
      </c>
      <c r="Q3" s="2">
        <f ca="1">goldenOTP_check!Q3*Q59</f>
        <v>1050.309</v>
      </c>
      <c r="R3" s="2">
        <f ca="1">goldenOTP_check!R3*R59</f>
        <v>1046.4000000000001</v>
      </c>
      <c r="S3" s="2">
        <f ca="1">goldenOTP_check!S3*S59</f>
        <v>1052.3519999999999</v>
      </c>
      <c r="T3" s="2">
        <f ca="1">goldenOTP_check!T3*T59</f>
        <v>1036.8399999999999</v>
      </c>
      <c r="U3" s="2">
        <f ca="1">goldenOTP_check!U3*U59</f>
        <v>1004.39</v>
      </c>
      <c r="V3" s="2">
        <f ca="1">goldenOTP_check!V3*V59</f>
        <v>991.51199999999994</v>
      </c>
      <c r="W3" s="2">
        <f ca="1">goldenOTP_check!W3*W59</f>
        <v>948.6350000000001</v>
      </c>
      <c r="X3" s="2">
        <f ca="1">goldenOTP_check!X3*X59</f>
        <v>938.00300000000004</v>
      </c>
      <c r="Y3" s="2">
        <f ca="1">goldenOTP_check!Y3*Y59</f>
        <v>853.995</v>
      </c>
      <c r="BA3"/>
      <c r="BB3"/>
      <c r="BC3"/>
      <c r="BD3"/>
    </row>
    <row r="4" spans="2:56" x14ac:dyDescent="0.3">
      <c r="B4" s="6">
        <v>1</v>
      </c>
      <c r="C4" s="9">
        <v>3.21</v>
      </c>
      <c r="D4" s="9">
        <v>2.9380000000000002</v>
      </c>
      <c r="E4" s="9">
        <v>2.9390000000000001</v>
      </c>
      <c r="F4" s="9">
        <v>2.7949999999999999</v>
      </c>
      <c r="I4" s="2">
        <f ca="1">goldenOTP_check!I4*I60</f>
        <v>908.28000000000009</v>
      </c>
      <c r="J4" s="2">
        <f ca="1">goldenOTP_check!J4*J60</f>
        <v>946.74599999999998</v>
      </c>
      <c r="K4" s="2">
        <f ca="1">goldenOTP_check!K4*K60</f>
        <v>972.31999999999994</v>
      </c>
      <c r="L4" s="2">
        <f ca="1">goldenOTP_check!L4*L60</f>
        <v>993.57999999999993</v>
      </c>
      <c r="M4" s="2">
        <f ca="1">goldenOTP_check!M4*M60</f>
        <v>1025.1949999999999</v>
      </c>
      <c r="N4" s="2">
        <f ca="1">goldenOTP_check!N4*N60</f>
        <v>1049.087</v>
      </c>
      <c r="O4" s="2">
        <f ca="1">goldenOTP_check!O4*O60</f>
        <v>1057.26</v>
      </c>
      <c r="P4" s="2">
        <f ca="1">goldenOTP_check!P4*P60</f>
        <v>1054.058</v>
      </c>
      <c r="Q4" s="2">
        <f ca="1">goldenOTP_check!Q4*Q60</f>
        <v>1052.556</v>
      </c>
      <c r="R4" s="2">
        <f ca="1">goldenOTP_check!R4*R60</f>
        <v>1058.2940000000001</v>
      </c>
      <c r="S4" s="2">
        <f ca="1">goldenOTP_check!S4*S60</f>
        <v>1067.31</v>
      </c>
      <c r="T4" s="2">
        <f ca="1">goldenOTP_check!T4*T60</f>
        <v>1058.8630000000001</v>
      </c>
      <c r="U4" s="2">
        <f ca="1">goldenOTP_check!U4*U60</f>
        <v>1036.556</v>
      </c>
      <c r="V4" s="2">
        <f ca="1">goldenOTP_check!V4*V60</f>
        <v>1004.8599999999999</v>
      </c>
      <c r="W4" s="2">
        <f ca="1">goldenOTP_check!W4*W60</f>
        <v>981.79600000000005</v>
      </c>
      <c r="X4" s="2">
        <f ca="1">goldenOTP_check!X4*X60</f>
        <v>950.27600000000007</v>
      </c>
      <c r="Y4" s="2">
        <f ca="1">goldenOTP_check!Y4*Y60</f>
        <v>900.74</v>
      </c>
      <c r="BA4"/>
      <c r="BB4"/>
      <c r="BC4"/>
      <c r="BD4"/>
    </row>
    <row r="5" spans="2:56" x14ac:dyDescent="0.3">
      <c r="B5" s="6">
        <v>2</v>
      </c>
      <c r="C5" s="9">
        <v>2.8519999999999999</v>
      </c>
      <c r="D5" s="9">
        <v>2.6040000000000001</v>
      </c>
      <c r="E5" s="9">
        <v>2.6070000000000002</v>
      </c>
      <c r="F5" s="9">
        <v>2.4889999999999999</v>
      </c>
      <c r="I5" s="2">
        <f ca="1">goldenOTP_check!I5*I61</f>
        <v>908.40199999999993</v>
      </c>
      <c r="J5" s="2">
        <f ca="1">goldenOTP_check!J5*J61</f>
        <v>944.13600000000008</v>
      </c>
      <c r="K5" s="2">
        <f ca="1">goldenOTP_check!K5*K61</f>
        <v>987.423</v>
      </c>
      <c r="L5" s="2">
        <f ca="1">goldenOTP_check!L5*L61</f>
        <v>1027.847</v>
      </c>
      <c r="M5" s="2">
        <f ca="1">goldenOTP_check!M5*M61</f>
        <v>1046.643</v>
      </c>
      <c r="N5" s="2">
        <f ca="1">goldenOTP_check!N5*N61</f>
        <v>1054.1859999999999</v>
      </c>
      <c r="O5" s="2">
        <f ca="1">goldenOTP_check!O5*O61</f>
        <v>1051.2639999999999</v>
      </c>
      <c r="P5" s="2">
        <f ca="1">goldenOTP_check!P5*P61</f>
        <v>1048.623</v>
      </c>
      <c r="Q5" s="2">
        <f ca="1">goldenOTP_check!Q5*Q61</f>
        <v>1060.45</v>
      </c>
      <c r="R5" s="2">
        <f ca="1">goldenOTP_check!R5*R61</f>
        <v>1055.922</v>
      </c>
      <c r="S5" s="2">
        <f ca="1">goldenOTP_check!S5*S61</f>
        <v>1065.0159999999998</v>
      </c>
      <c r="T5" s="2">
        <f ca="1">goldenOTP_check!T5*T61</f>
        <v>1070.1480000000001</v>
      </c>
      <c r="U5" s="2">
        <f ca="1">goldenOTP_check!U5*U61</f>
        <v>1061.307</v>
      </c>
      <c r="V5" s="2">
        <f ca="1">goldenOTP_check!V5*V61</f>
        <v>1041.0719999999999</v>
      </c>
      <c r="W5" s="2">
        <f ca="1">goldenOTP_check!W5*W61</f>
        <v>995.91600000000005</v>
      </c>
      <c r="X5" s="2">
        <f ca="1">goldenOTP_check!X5*X61</f>
        <v>944.88799999999992</v>
      </c>
      <c r="Y5" s="2">
        <f ca="1">goldenOTP_check!Y5*Y61</f>
        <v>898.66800000000001</v>
      </c>
      <c r="BA5"/>
      <c r="BB5"/>
      <c r="BC5"/>
      <c r="BD5"/>
    </row>
    <row r="6" spans="2:56" x14ac:dyDescent="0.3">
      <c r="B6" s="6">
        <v>3</v>
      </c>
      <c r="C6" s="9">
        <v>2.5609999999999999</v>
      </c>
      <c r="D6" s="9">
        <v>2.34</v>
      </c>
      <c r="E6" s="9">
        <v>2.343</v>
      </c>
      <c r="F6" s="9">
        <v>2.2450000000000001</v>
      </c>
      <c r="I6" s="2">
        <f ca="1">goldenOTP_check!I6*I62</f>
        <v>905.7600000000001</v>
      </c>
      <c r="J6" s="2">
        <f ca="1">goldenOTP_check!J6*J62</f>
        <v>981.38400000000001</v>
      </c>
      <c r="K6" s="2">
        <f ca="1">goldenOTP_check!K6*K62</f>
        <v>1005.4519999999999</v>
      </c>
      <c r="L6" s="2">
        <f ca="1">goldenOTP_check!L6*L62</f>
        <v>1046.5919999999999</v>
      </c>
      <c r="M6" s="2">
        <f ca="1">goldenOTP_check!M6*M62</f>
        <v>1054.5800000000002</v>
      </c>
      <c r="N6" s="2">
        <f ca="1">goldenOTP_check!N6*N62</f>
        <v>1050.5</v>
      </c>
      <c r="O6" s="2">
        <f ca="1">goldenOTP_check!O6*O62</f>
        <v>1049.433</v>
      </c>
      <c r="P6" s="2">
        <f ca="1">goldenOTP_check!P6*P62</f>
        <v>1048.895</v>
      </c>
      <c r="Q6" s="2">
        <f ca="1">goldenOTP_check!Q6*Q62</f>
        <v>1052.557</v>
      </c>
      <c r="R6" s="2">
        <f ca="1">goldenOTP_check!R6*R62</f>
        <v>1054.325</v>
      </c>
      <c r="S6" s="2">
        <f ca="1">goldenOTP_check!S6*S62</f>
        <v>1058.75</v>
      </c>
      <c r="T6" s="2">
        <f ca="1">goldenOTP_check!T6*T62</f>
        <v>1060.432</v>
      </c>
      <c r="U6" s="2">
        <f ca="1">goldenOTP_check!U6*U62</f>
        <v>1065.97</v>
      </c>
      <c r="V6" s="2">
        <f ca="1">goldenOTP_check!V6*V62</f>
        <v>1057.5360000000001</v>
      </c>
      <c r="W6" s="2">
        <f ca="1">goldenOTP_check!W6*W62</f>
        <v>1016.538</v>
      </c>
      <c r="X6" s="2">
        <f ca="1">goldenOTP_check!X6*X62</f>
        <v>961.2</v>
      </c>
      <c r="Y6" s="2">
        <f ca="1">goldenOTP_check!Y6*Y62</f>
        <v>917.98800000000006</v>
      </c>
      <c r="BA6"/>
      <c r="BB6"/>
      <c r="BC6"/>
      <c r="BD6"/>
    </row>
    <row r="7" spans="2:56" x14ac:dyDescent="0.3">
      <c r="B7" s="6">
        <v>4</v>
      </c>
      <c r="C7" s="9">
        <v>2.3679999999999999</v>
      </c>
      <c r="D7" s="9">
        <v>2.1669999999999998</v>
      </c>
      <c r="E7" s="9">
        <v>2.1709999999999998</v>
      </c>
      <c r="F7" s="9">
        <v>2.0859999999999999</v>
      </c>
      <c r="I7" s="2">
        <f ca="1">goldenOTP_check!I7*I63</f>
        <v>909.07499999999993</v>
      </c>
      <c r="J7" s="2">
        <f ca="1">goldenOTP_check!J7*J63</f>
        <v>974.59199999999987</v>
      </c>
      <c r="K7" s="2">
        <f ca="1">goldenOTP_check!K7*K63</f>
        <v>1010.4820000000001</v>
      </c>
      <c r="L7" s="2">
        <f ca="1">goldenOTP_check!L7*L63</f>
        <v>1033.8</v>
      </c>
      <c r="M7" s="2">
        <f ca="1">goldenOTP_check!M7*M63</f>
        <v>1043.4680000000001</v>
      </c>
      <c r="N7" s="2">
        <f ca="1">goldenOTP_check!N7*N63</f>
        <v>1043.7569999999998</v>
      </c>
      <c r="O7" s="2">
        <f ca="1">goldenOTP_check!O7*O63</f>
        <v>1045.2750000000001</v>
      </c>
      <c r="P7" s="2">
        <f ca="1">goldenOTP_check!P7*P63</f>
        <v>1030.5159999999998</v>
      </c>
      <c r="Q7" s="2">
        <f ca="1">goldenOTP_check!Q7*Q63</f>
        <v>1026.5319999999999</v>
      </c>
      <c r="R7" s="2">
        <f ca="1">goldenOTP_check!R7*R63</f>
        <v>1048.2240000000002</v>
      </c>
      <c r="S7" s="2">
        <f ca="1">goldenOTP_check!S7*S63</f>
        <v>1052.5150000000001</v>
      </c>
      <c r="T7" s="2">
        <f ca="1">goldenOTP_check!T7*T63</f>
        <v>1049.434</v>
      </c>
      <c r="U7" s="2">
        <f ca="1">goldenOTP_check!U7*U63</f>
        <v>1051.2340000000002</v>
      </c>
      <c r="V7" s="2">
        <f ca="1">goldenOTP_check!V7*V63</f>
        <v>1044.6000000000001</v>
      </c>
      <c r="W7" s="2">
        <f ca="1">goldenOTP_check!W7*W63</f>
        <v>1024.144</v>
      </c>
      <c r="X7" s="2">
        <f ca="1">goldenOTP_check!X7*X63</f>
        <v>986.01300000000003</v>
      </c>
      <c r="Y7" s="2">
        <f ca="1">goldenOTP_check!Y7*Y63</f>
        <v>914.94</v>
      </c>
      <c r="BA7"/>
      <c r="BB7"/>
      <c r="BC7"/>
      <c r="BD7"/>
    </row>
    <row r="8" spans="2:56" x14ac:dyDescent="0.3">
      <c r="B8" s="6">
        <v>5</v>
      </c>
      <c r="C8" s="9">
        <v>2.2029999999999998</v>
      </c>
      <c r="D8" s="9">
        <v>2.024</v>
      </c>
      <c r="E8" s="9">
        <v>2.028</v>
      </c>
      <c r="F8" s="9">
        <v>1.9510000000000001</v>
      </c>
      <c r="I8" s="2">
        <f ca="1">goldenOTP_check!I8*I64</f>
        <v>934.98300000000006</v>
      </c>
      <c r="J8" s="2">
        <f ca="1">goldenOTP_check!J8*J64</f>
        <v>991.36500000000001</v>
      </c>
      <c r="K8" s="2">
        <f ca="1">goldenOTP_check!K8*K64</f>
        <v>1016.9390000000001</v>
      </c>
      <c r="L8" s="2">
        <f ca="1">goldenOTP_check!L8*L64</f>
        <v>1031.3679999999999</v>
      </c>
      <c r="M8" s="2">
        <f ca="1">goldenOTP_check!M8*M64</f>
        <v>1046.8440000000001</v>
      </c>
      <c r="N8" s="2">
        <f ca="1">goldenOTP_check!N8*N64</f>
        <v>1040.4100000000001</v>
      </c>
      <c r="O8" s="2">
        <f ca="1">goldenOTP_check!O8*O64</f>
        <v>1035.835</v>
      </c>
      <c r="P8" s="2">
        <f ca="1">goldenOTP_check!P8*P64</f>
        <v>1029.9689999999998</v>
      </c>
      <c r="Q8" s="2">
        <f ca="1">goldenOTP_check!Q8*Q64</f>
        <v>1027.0920000000001</v>
      </c>
      <c r="R8" s="2">
        <f ca="1">goldenOTP_check!R8*R64</f>
        <v>1035.963</v>
      </c>
      <c r="S8" s="2">
        <f ca="1">goldenOTP_check!S8*S64</f>
        <v>1062.3889999999999</v>
      </c>
      <c r="T8" s="2">
        <f ca="1">goldenOTP_check!T8*T64</f>
        <v>1053.77</v>
      </c>
      <c r="U8" s="2">
        <f ca="1">goldenOTP_check!U8*U64</f>
        <v>1060.6950000000002</v>
      </c>
      <c r="V8" s="2">
        <f ca="1">goldenOTP_check!V8*V64</f>
        <v>1044.1990000000001</v>
      </c>
      <c r="W8" s="2">
        <f ca="1">goldenOTP_check!W8*W64</f>
        <v>1028.83</v>
      </c>
      <c r="X8" s="2">
        <f ca="1">goldenOTP_check!X8*X64</f>
        <v>971.20799999999997</v>
      </c>
      <c r="Y8" s="2">
        <f ca="1">goldenOTP_check!Y8*Y64</f>
        <v>942.57100000000003</v>
      </c>
    </row>
    <row r="9" spans="2:56" x14ac:dyDescent="0.3">
      <c r="B9" s="6">
        <v>6</v>
      </c>
      <c r="C9" s="9">
        <v>2.0710000000000002</v>
      </c>
      <c r="D9" s="9">
        <v>1.9139999999999999</v>
      </c>
      <c r="E9" s="9">
        <v>1.917</v>
      </c>
      <c r="F9" s="9">
        <v>1.85</v>
      </c>
      <c r="I9" s="2">
        <f ca="1">goldenOTP_check!I9*I65</f>
        <v>913.56000000000006</v>
      </c>
      <c r="J9" s="2">
        <f ca="1">goldenOTP_check!J9*J65</f>
        <v>975.0150000000001</v>
      </c>
      <c r="K9" s="2">
        <f ca="1">goldenOTP_check!K9*K65</f>
        <v>1007.446</v>
      </c>
      <c r="L9" s="2">
        <f ca="1">goldenOTP_check!L9*L65</f>
        <v>1045.421</v>
      </c>
      <c r="M9" s="2">
        <f ca="1">goldenOTP_check!M9*M65</f>
        <v>1048.2539999999999</v>
      </c>
      <c r="N9" s="2">
        <f ca="1">goldenOTP_check!N9*N65</f>
        <v>1046.0329999999999</v>
      </c>
      <c r="O9" s="2">
        <f ca="1">goldenOTP_check!O9*O65</f>
        <v>1043.5459999999998</v>
      </c>
      <c r="P9" s="2">
        <f ca="1">goldenOTP_check!P9*P65</f>
        <v>1028.704</v>
      </c>
      <c r="Q9" s="2">
        <f ca="1">goldenOTP_check!Q9*Q65</f>
        <v>1027.971</v>
      </c>
      <c r="R9" s="2">
        <f ca="1">goldenOTP_check!R9*R65</f>
        <v>1040.4160000000002</v>
      </c>
      <c r="S9" s="2">
        <f ca="1">goldenOTP_check!S9*S65</f>
        <v>1061.886</v>
      </c>
      <c r="T9" s="2">
        <f ca="1">goldenOTP_check!T9*T65</f>
        <v>1063.316</v>
      </c>
      <c r="U9" s="2">
        <f ca="1">goldenOTP_check!U9*U65</f>
        <v>1066.896</v>
      </c>
      <c r="V9" s="2">
        <f ca="1">goldenOTP_check!V9*V65</f>
        <v>1043.4000000000001</v>
      </c>
      <c r="W9" s="2">
        <f ca="1">goldenOTP_check!W9*W65</f>
        <v>1021.614</v>
      </c>
      <c r="X9" s="2">
        <f ca="1">goldenOTP_check!X9*X65</f>
        <v>980.09100000000012</v>
      </c>
      <c r="Y9" s="2">
        <f ca="1">goldenOTP_check!Y9*Y65</f>
        <v>905.96999999999991</v>
      </c>
    </row>
    <row r="10" spans="2:56" x14ac:dyDescent="0.3">
      <c r="B10" s="6">
        <v>7</v>
      </c>
      <c r="C10" s="9">
        <v>1.996</v>
      </c>
      <c r="D10" s="9">
        <v>1.85</v>
      </c>
      <c r="E10" s="9">
        <v>1.853</v>
      </c>
      <c r="F10" s="9">
        <v>1.7869999999999999</v>
      </c>
      <c r="I10" s="2">
        <f ca="1">goldenOTP_check!I10*I66</f>
        <v>907.42500000000007</v>
      </c>
      <c r="J10" s="2">
        <f ca="1">goldenOTP_check!J10*J66</f>
        <v>981.38400000000001</v>
      </c>
      <c r="K10" s="2">
        <f ca="1">goldenOTP_check!K10*K66</f>
        <v>1001.5959999999999</v>
      </c>
      <c r="L10" s="2">
        <f ca="1">goldenOTP_check!L10*L66</f>
        <v>1038.528</v>
      </c>
      <c r="M10" s="2">
        <f ca="1">goldenOTP_check!M10*M66</f>
        <v>1043.19</v>
      </c>
      <c r="N10" s="2">
        <f ca="1">goldenOTP_check!N10*N66</f>
        <v>1053.808</v>
      </c>
      <c r="O10" s="2">
        <f ca="1">goldenOTP_check!O10*O66</f>
        <v>1050.192</v>
      </c>
      <c r="P10" s="2">
        <f ca="1">goldenOTP_check!P10*P66</f>
        <v>1047.2139999999999</v>
      </c>
      <c r="Q10" s="2">
        <f ca="1">goldenOTP_check!Q10*Q66</f>
        <v>1050.1560000000002</v>
      </c>
      <c r="R10" s="2">
        <f ca="1">goldenOTP_check!R10*R66</f>
        <v>1053.633</v>
      </c>
      <c r="S10" s="2">
        <f ca="1">goldenOTP_check!S10*S66</f>
        <v>1060.4880000000001</v>
      </c>
      <c r="T10" s="2">
        <f ca="1">goldenOTP_check!T10*T66</f>
        <v>1068.5519999999999</v>
      </c>
      <c r="U10" s="2">
        <f ca="1">goldenOTP_check!U10*U66</f>
        <v>1059.27</v>
      </c>
      <c r="V10" s="2">
        <f ca="1">goldenOTP_check!V10*V66</f>
        <v>1054.6559999999999</v>
      </c>
      <c r="W10" s="2">
        <f ca="1">goldenOTP_check!W10*W66</f>
        <v>1014.128</v>
      </c>
      <c r="X10" s="2">
        <f ca="1">goldenOTP_check!X10*X66</f>
        <v>988.38800000000003</v>
      </c>
      <c r="Y10" s="2">
        <f ca="1">goldenOTP_check!Y10*Y66</f>
        <v>903.76199999999994</v>
      </c>
    </row>
    <row r="11" spans="2:56" x14ac:dyDescent="0.3">
      <c r="B11" s="6">
        <v>8</v>
      </c>
      <c r="C11" s="9">
        <v>1.9730000000000001</v>
      </c>
      <c r="D11" s="9">
        <v>1.8280000000000001</v>
      </c>
      <c r="E11" s="9">
        <v>1.831</v>
      </c>
      <c r="F11" s="9">
        <v>1.77</v>
      </c>
      <c r="I11" s="2">
        <f ca="1">goldenOTP_check!I11*I67</f>
        <v>929.5</v>
      </c>
      <c r="J11" s="2">
        <f ca="1">goldenOTP_check!J11*J67</f>
        <v>966.12000000000012</v>
      </c>
      <c r="K11" s="2">
        <f ca="1">goldenOTP_check!K11*K67</f>
        <v>981.16499999999996</v>
      </c>
      <c r="L11" s="2">
        <f ca="1">goldenOTP_check!L11*L67</f>
        <v>1023.086</v>
      </c>
      <c r="M11" s="2">
        <f ca="1">goldenOTP_check!M11*M67</f>
        <v>1039.922</v>
      </c>
      <c r="N11" s="2">
        <f ca="1">goldenOTP_check!N11*N67</f>
        <v>1044.47</v>
      </c>
      <c r="O11" s="2">
        <f ca="1">goldenOTP_check!O11*O67</f>
        <v>1054.5840000000001</v>
      </c>
      <c r="P11" s="2">
        <f ca="1">goldenOTP_check!P11*P67</f>
        <v>1048.502</v>
      </c>
      <c r="Q11" s="2">
        <f ca="1">goldenOTP_check!Q11*Q67</f>
        <v>1040.4100000000001</v>
      </c>
      <c r="R11" s="2">
        <f ca="1">goldenOTP_check!R11*R67</f>
        <v>1050.1479999999999</v>
      </c>
      <c r="S11" s="2">
        <f ca="1">goldenOTP_check!S11*S67</f>
        <v>1042.096</v>
      </c>
      <c r="T11" s="2">
        <f ca="1">goldenOTP_check!T11*T67</f>
        <v>1048.634</v>
      </c>
      <c r="U11" s="2">
        <f ca="1">goldenOTP_check!U11*U67</f>
        <v>1046.643</v>
      </c>
      <c r="V11" s="2">
        <f ca="1">goldenOTP_check!V11*V67</f>
        <v>1033.6659999999999</v>
      </c>
      <c r="W11" s="2">
        <f ca="1">goldenOTP_check!W11*W67</f>
        <v>994.57500000000005</v>
      </c>
      <c r="X11" s="2">
        <f ca="1">goldenOTP_check!X11*X67</f>
        <v>977.76</v>
      </c>
      <c r="Y11" s="2">
        <f ca="1">goldenOTP_check!Y11*Y67</f>
        <v>891.86999999999989</v>
      </c>
      <c r="BD11"/>
    </row>
    <row r="12" spans="2:56" x14ac:dyDescent="0.3">
      <c r="B12" s="6">
        <v>9</v>
      </c>
      <c r="C12" s="9">
        <v>2</v>
      </c>
      <c r="D12" s="9">
        <v>1.853</v>
      </c>
      <c r="E12" s="9">
        <v>1.855</v>
      </c>
      <c r="F12" s="9">
        <v>1.7949999999999999</v>
      </c>
      <c r="I12" s="2">
        <f ca="1">goldenOTP_check!I12*I68</f>
        <v>899</v>
      </c>
      <c r="J12" s="2">
        <f ca="1">goldenOTP_check!J12*J68</f>
        <v>941.09799999999996</v>
      </c>
      <c r="K12" s="2">
        <f ca="1">goldenOTP_check!K12*K68</f>
        <v>969.43600000000004</v>
      </c>
      <c r="L12" s="2">
        <f ca="1">goldenOTP_check!L12*L68</f>
        <v>1013.6460000000001</v>
      </c>
      <c r="M12" s="2">
        <f ca="1">goldenOTP_check!M12*M68</f>
        <v>1017.621</v>
      </c>
      <c r="N12" s="2">
        <f ca="1">goldenOTP_check!N12*N68</f>
        <v>1038.7</v>
      </c>
      <c r="O12" s="2">
        <f ca="1">goldenOTP_check!O12*O68</f>
        <v>1044.53</v>
      </c>
      <c r="P12" s="2">
        <f ca="1">goldenOTP_check!P12*P68</f>
        <v>1054.7070000000001</v>
      </c>
      <c r="Q12" s="2">
        <f ca="1">goldenOTP_check!Q12*Q68</f>
        <v>1050.489</v>
      </c>
      <c r="R12" s="2">
        <f ca="1">goldenOTP_check!R12*R68</f>
        <v>1054.7070000000001</v>
      </c>
      <c r="S12" s="2">
        <f ca="1">goldenOTP_check!S12*S68</f>
        <v>1047.8800000000001</v>
      </c>
      <c r="T12" s="2">
        <f ca="1">goldenOTP_check!T12*T68</f>
        <v>1044.1990000000001</v>
      </c>
      <c r="U12" s="2">
        <f ca="1">goldenOTP_check!U12*U68</f>
        <v>1024.654</v>
      </c>
      <c r="V12" s="2">
        <f ca="1">goldenOTP_check!V12*V68</f>
        <v>998.75</v>
      </c>
      <c r="W12" s="2">
        <f ca="1">goldenOTP_check!W12*W68</f>
        <v>979.32399999999996</v>
      </c>
      <c r="X12" s="2">
        <f ca="1">goldenOTP_check!X12*X68</f>
        <v>949.56999999999994</v>
      </c>
      <c r="Y12" s="2">
        <f ca="1">goldenOTP_check!Y12*Y68</f>
        <v>900.74</v>
      </c>
      <c r="BD12"/>
    </row>
    <row r="13" spans="2:56" x14ac:dyDescent="0.3">
      <c r="B13" s="6">
        <v>10</v>
      </c>
      <c r="C13" s="9">
        <v>2.0790000000000002</v>
      </c>
      <c r="D13" s="9">
        <v>1.923</v>
      </c>
      <c r="E13" s="9">
        <v>1.9259999999999999</v>
      </c>
      <c r="F13" s="9">
        <v>1.861</v>
      </c>
      <c r="I13" s="2">
        <f ca="1">goldenOTP_check!I13*I69</f>
        <v>908.82</v>
      </c>
      <c r="J13" s="2">
        <f ca="1">goldenOTP_check!J13*J69</f>
        <v>927.22499999999991</v>
      </c>
      <c r="K13" s="2">
        <f ca="1">goldenOTP_check!K13*K69</f>
        <v>934.76499999999999</v>
      </c>
      <c r="L13" s="2">
        <f ca="1">goldenOTP_check!L13*L69</f>
        <v>978.39900000000011</v>
      </c>
      <c r="M13" s="2">
        <f ca="1">goldenOTP_check!M13*M69</f>
        <v>1013.6460000000001</v>
      </c>
      <c r="N13" s="2">
        <f ca="1">goldenOTP_check!N13*N69</f>
        <v>1019.383</v>
      </c>
      <c r="O13" s="2">
        <f ca="1">goldenOTP_check!O13*O69</f>
        <v>1036.2239999999999</v>
      </c>
      <c r="P13" s="2">
        <f ca="1">goldenOTP_check!P13*P69</f>
        <v>1050.92</v>
      </c>
      <c r="Q13" s="2">
        <f ca="1">goldenOTP_check!Q13*Q69</f>
        <v>1037.4780000000001</v>
      </c>
      <c r="R13" s="2">
        <f ca="1">goldenOTP_check!R13*R69</f>
        <v>1057.03</v>
      </c>
      <c r="S13" s="2">
        <f ca="1">goldenOTP_check!S13*S69</f>
        <v>1047.7439999999999</v>
      </c>
      <c r="T13" s="2">
        <f ca="1">goldenOTP_check!T13*T69</f>
        <v>1032.6079999999999</v>
      </c>
      <c r="U13" s="2">
        <f ca="1">goldenOTP_check!U13*U69</f>
        <v>1024.732</v>
      </c>
      <c r="V13" s="2">
        <f ca="1">goldenOTP_check!V13*V69</f>
        <v>987.70500000000004</v>
      </c>
      <c r="W13" s="2">
        <f ca="1">goldenOTP_check!W13*W69</f>
        <v>941.33500000000004</v>
      </c>
      <c r="X13" s="2">
        <f ca="1">goldenOTP_check!X13*X69</f>
        <v>930.39499999999998</v>
      </c>
      <c r="Y13" s="2">
        <f ca="1">goldenOTP_check!Y13*Y69</f>
        <v>901.26</v>
      </c>
      <c r="BD13"/>
    </row>
    <row r="14" spans="2:56" x14ac:dyDescent="0.3">
      <c r="B14" s="6">
        <v>11</v>
      </c>
      <c r="C14" s="9">
        <v>2.2050000000000001</v>
      </c>
      <c r="D14" s="9">
        <v>2.036</v>
      </c>
      <c r="E14" s="9">
        <v>2.0379999999999998</v>
      </c>
      <c r="F14" s="9">
        <v>1.964</v>
      </c>
      <c r="I14" s="3">
        <f ca="1">goldenOTP_check!I14*I70</f>
        <v>913.41</v>
      </c>
      <c r="J14" s="2">
        <f ca="1">goldenOTP_check!J14*J70</f>
        <v>926.92600000000004</v>
      </c>
      <c r="K14" s="2">
        <f ca="1">goldenOTP_check!K14*K70</f>
        <v>906.62</v>
      </c>
      <c r="L14" s="2">
        <f ca="1">goldenOTP_check!L14*L70</f>
        <v>925.60400000000004</v>
      </c>
      <c r="M14" s="2">
        <f ca="1">goldenOTP_check!M14*M70</f>
        <v>955.86400000000003</v>
      </c>
      <c r="N14" s="2">
        <f ca="1">goldenOTP_check!N14*N70</f>
        <v>990.84699999999998</v>
      </c>
      <c r="O14" s="2">
        <f ca="1">goldenOTP_check!O14*O70</f>
        <v>999.18599999999992</v>
      </c>
      <c r="P14" s="2">
        <f ca="1">goldenOTP_check!P14*P70</f>
        <v>1002.996</v>
      </c>
      <c r="Q14" s="2">
        <f ca="1">goldenOTP_check!Q14*Q70</f>
        <v>1024.694</v>
      </c>
      <c r="R14" s="2">
        <f ca="1">goldenOTP_check!R14*R70</f>
        <v>1011.5300000000001</v>
      </c>
      <c r="S14" s="2">
        <f ca="1">goldenOTP_check!S14*S70</f>
        <v>1017.02</v>
      </c>
      <c r="T14" s="2">
        <f ca="1">goldenOTP_check!T14*T70</f>
        <v>1009.338</v>
      </c>
      <c r="U14" s="2">
        <f ca="1">goldenOTP_check!U14*U70</f>
        <v>970.81200000000001</v>
      </c>
      <c r="V14" s="2">
        <f ca="1">goldenOTP_check!V14*V70</f>
        <v>936.79500000000007</v>
      </c>
      <c r="W14" s="2">
        <f ca="1">goldenOTP_check!W14*W70</f>
        <v>911.05799999999999</v>
      </c>
      <c r="X14" s="2">
        <f ca="1">goldenOTP_check!X14*X70</f>
        <v>918.63200000000006</v>
      </c>
      <c r="Y14" s="3">
        <f ca="1">goldenOTP_check!Y14*Y70</f>
        <v>891.99</v>
      </c>
      <c r="BD14"/>
    </row>
    <row r="15" spans="2:56" x14ac:dyDescent="0.3">
      <c r="B15" s="6">
        <v>12</v>
      </c>
      <c r="C15" s="9">
        <v>2.3679999999999999</v>
      </c>
      <c r="D15" s="9">
        <v>2.1789999999999998</v>
      </c>
      <c r="E15" s="9">
        <v>2.181</v>
      </c>
      <c r="F15" s="9">
        <v>2.1</v>
      </c>
      <c r="BD15"/>
    </row>
    <row r="16" spans="2:56" x14ac:dyDescent="0.3">
      <c r="B16" s="6">
        <v>13</v>
      </c>
      <c r="C16" s="9">
        <v>2.5720000000000001</v>
      </c>
      <c r="D16" s="9">
        <v>2.3610000000000002</v>
      </c>
      <c r="E16" s="9">
        <v>2.3620000000000001</v>
      </c>
      <c r="F16" s="9">
        <v>2.27</v>
      </c>
      <c r="H16" t="s">
        <v>1</v>
      </c>
      <c r="I16" s="10">
        <f ca="1">goldenOTP_check!I16*I72</f>
        <v>858.79200000000003</v>
      </c>
      <c r="J16" s="2">
        <f ca="1">goldenOTP_check!J16*J72</f>
        <v>881.40000000000009</v>
      </c>
      <c r="K16" s="2">
        <f ca="1">goldenOTP_check!K16*K72</f>
        <v>906.19200000000001</v>
      </c>
      <c r="L16" s="2">
        <f ca="1">goldenOTP_check!L16*L72</f>
        <v>926.64</v>
      </c>
      <c r="M16" s="2">
        <f ca="1">goldenOTP_check!M16*M72</f>
        <v>946.97899999999993</v>
      </c>
      <c r="N16" s="2">
        <f ca="1">goldenOTP_check!N16*N72</f>
        <v>965.44799999999998</v>
      </c>
      <c r="O16" s="2">
        <f ca="1">goldenOTP_check!O16*O72</f>
        <v>970.39799999999991</v>
      </c>
      <c r="P16" s="2">
        <f ca="1">goldenOTP_check!P16*P72</f>
        <v>989.75</v>
      </c>
      <c r="Q16" s="2">
        <f ca="1">goldenOTP_check!Q16*Q72</f>
        <v>983.46400000000006</v>
      </c>
      <c r="R16" s="2">
        <f ca="1">goldenOTP_check!R16*R72</f>
        <v>991.35500000000002</v>
      </c>
      <c r="S16" s="2">
        <f ca="1">goldenOTP_check!S16*S72</f>
        <v>988.42200000000003</v>
      </c>
      <c r="T16" s="2">
        <f ca="1">goldenOTP_check!T16*T72</f>
        <v>971.17200000000003</v>
      </c>
      <c r="U16" s="2">
        <f ca="1">goldenOTP_check!U16*U72</f>
        <v>952.22299999999996</v>
      </c>
      <c r="V16" s="2">
        <f ca="1">goldenOTP_check!V16*V72</f>
        <v>934.95600000000013</v>
      </c>
      <c r="W16" s="2">
        <f ca="1">goldenOTP_check!W16*W72</f>
        <v>919.41599999999994</v>
      </c>
      <c r="X16" s="2">
        <f ca="1">goldenOTP_check!X16*X72</f>
        <v>891.9</v>
      </c>
      <c r="Y16" s="10">
        <f ca="1">goldenOTP_check!Y16*Y72</f>
        <v>864.86399999999992</v>
      </c>
    </row>
    <row r="17" spans="2:25" x14ac:dyDescent="0.3">
      <c r="B17" s="6">
        <v>14</v>
      </c>
      <c r="C17" s="9">
        <v>2.8809999999999998</v>
      </c>
      <c r="D17" s="9">
        <v>2.6419999999999999</v>
      </c>
      <c r="E17" s="9">
        <v>2.641</v>
      </c>
      <c r="F17" s="9">
        <v>2.532</v>
      </c>
      <c r="H17" t="s">
        <v>6</v>
      </c>
      <c r="I17" s="2">
        <f ca="1">goldenOTP_check!I17*I73</f>
        <v>884.31200000000001</v>
      </c>
      <c r="J17" s="2">
        <f ca="1">goldenOTP_check!J17*J73</f>
        <v>905.85600000000011</v>
      </c>
      <c r="K17" s="2">
        <f ca="1">goldenOTP_check!K17*K73</f>
        <v>926.30100000000004</v>
      </c>
      <c r="L17" s="2">
        <f ca="1">goldenOTP_check!L17*L73</f>
        <v>958.27199999999993</v>
      </c>
      <c r="M17" s="2">
        <f ca="1">goldenOTP_check!M17*M73</f>
        <v>985.88</v>
      </c>
      <c r="N17" s="2">
        <f ca="1">goldenOTP_check!N17*N73</f>
        <v>1014.5849999999999</v>
      </c>
      <c r="O17" s="2">
        <f ca="1">goldenOTP_check!O17*O73</f>
        <v>1029.3210000000001</v>
      </c>
      <c r="P17" s="2">
        <f ca="1">goldenOTP_check!P17*P73</f>
        <v>1033.2</v>
      </c>
      <c r="Q17" s="2">
        <f ca="1">goldenOTP_check!Q17*Q73</f>
        <v>1037.779</v>
      </c>
      <c r="R17" s="2">
        <f ca="1">goldenOTP_check!R17*R73</f>
        <v>1035.0899999999999</v>
      </c>
      <c r="S17" s="2">
        <f ca="1">goldenOTP_check!S17*S73</f>
        <v>1034.748</v>
      </c>
      <c r="T17" s="2">
        <f ca="1">goldenOTP_check!T17*T73</f>
        <v>1022.4109999999999</v>
      </c>
      <c r="U17" s="2">
        <f ca="1">goldenOTP_check!U17*U73</f>
        <v>996.4430000000001</v>
      </c>
      <c r="V17" s="2">
        <f ca="1">goldenOTP_check!V17*V73</f>
        <v>969.92000000000007</v>
      </c>
      <c r="W17" s="2">
        <f ca="1">goldenOTP_check!W17*W73</f>
        <v>941.23500000000001</v>
      </c>
      <c r="X17" s="2">
        <f ca="1">goldenOTP_check!X17*X73</f>
        <v>919.33600000000001</v>
      </c>
      <c r="Y17" s="2">
        <f ca="1">goldenOTP_check!Y17*Y73</f>
        <v>888.03</v>
      </c>
    </row>
    <row r="18" spans="2:25" x14ac:dyDescent="0.3">
      <c r="B18" s="6">
        <v>15</v>
      </c>
      <c r="C18" s="9">
        <v>3.2269999999999999</v>
      </c>
      <c r="D18" s="9">
        <v>2.9729999999999999</v>
      </c>
      <c r="E18" s="9">
        <v>2.9710000000000001</v>
      </c>
      <c r="F18" s="9">
        <v>2.8380000000000001</v>
      </c>
      <c r="I18" s="2">
        <f ca="1">goldenOTP_check!I18*I74</f>
        <v>908.83899999999994</v>
      </c>
      <c r="J18" s="2">
        <f ca="1">goldenOTP_check!J18*J74</f>
        <v>924.20800000000008</v>
      </c>
      <c r="K18" s="2">
        <f ca="1">goldenOTP_check!K18*K74</f>
        <v>960.02400000000011</v>
      </c>
      <c r="L18" s="2">
        <f ca="1">goldenOTP_check!L18*L74</f>
        <v>995.09500000000003</v>
      </c>
      <c r="M18" s="2">
        <f ca="1">goldenOTP_check!M18*M74</f>
        <v>1016.025</v>
      </c>
      <c r="N18" s="2">
        <f ca="1">goldenOTP_check!N18*N74</f>
        <v>1035.2149999999999</v>
      </c>
      <c r="O18" s="2">
        <f ca="1">goldenOTP_check!O18*O74</f>
        <v>1044.106</v>
      </c>
      <c r="P18" s="2">
        <f ca="1">goldenOTP_check!P18*P74</f>
        <v>1050.3150000000001</v>
      </c>
      <c r="Q18" s="2">
        <f ca="1">goldenOTP_check!Q18*Q74</f>
        <v>1059.568</v>
      </c>
      <c r="R18" s="2">
        <f ca="1">goldenOTP_check!R18*R74</f>
        <v>1056.1949999999999</v>
      </c>
      <c r="S18" s="2">
        <f ca="1">goldenOTP_check!S18*S74</f>
        <v>1057.3489999999999</v>
      </c>
      <c r="T18" s="2">
        <f ca="1">goldenOTP_check!T18*T74</f>
        <v>1049.317</v>
      </c>
      <c r="U18" s="2">
        <f ca="1">goldenOTP_check!U18*U74</f>
        <v>1031.55</v>
      </c>
      <c r="V18" s="2">
        <f ca="1">goldenOTP_check!V18*V74</f>
        <v>999.46100000000001</v>
      </c>
      <c r="W18" s="2">
        <f ca="1">goldenOTP_check!W18*W74</f>
        <v>964.02199999999993</v>
      </c>
      <c r="X18" s="2">
        <f ca="1">goldenOTP_check!X18*X74</f>
        <v>936.24000000000012</v>
      </c>
      <c r="Y18" s="2">
        <f ca="1">goldenOTP_check!Y18*Y74</f>
        <v>914.54499999999996</v>
      </c>
    </row>
    <row r="19" spans="2:25" x14ac:dyDescent="0.3">
      <c r="B19" s="6">
        <v>16</v>
      </c>
      <c r="C19" s="9">
        <v>3.5190000000000001</v>
      </c>
      <c r="D19" s="9">
        <v>3.2759999999999998</v>
      </c>
      <c r="E19" s="9">
        <v>3.2719999999999998</v>
      </c>
      <c r="F19" s="9">
        <v>3.1139999999999999</v>
      </c>
      <c r="I19" s="2">
        <f ca="1">goldenOTP_check!I19*I75</f>
        <v>907.92099999999994</v>
      </c>
      <c r="J19" s="2">
        <f ca="1">goldenOTP_check!J19*J75</f>
        <v>941.92700000000002</v>
      </c>
      <c r="K19" s="2">
        <f ca="1">goldenOTP_check!K19*K75</f>
        <v>980.27799999999991</v>
      </c>
      <c r="L19" s="2">
        <f ca="1">goldenOTP_check!L19*L75</f>
        <v>1010.672</v>
      </c>
      <c r="M19" s="2">
        <f ca="1">goldenOTP_check!M19*M75</f>
        <v>1033.2920000000001</v>
      </c>
      <c r="N19" s="2">
        <f ca="1">goldenOTP_check!N19*N75</f>
        <v>1046.904</v>
      </c>
      <c r="O19" s="2">
        <f ca="1">goldenOTP_check!O19*O75</f>
        <v>1053.904</v>
      </c>
      <c r="P19" s="2">
        <f ca="1">goldenOTP_check!P19*P75</f>
        <v>1057.9780000000001</v>
      </c>
      <c r="Q19" s="2">
        <f ca="1">goldenOTP_check!Q19*Q75</f>
        <v>1063.537</v>
      </c>
      <c r="R19" s="2">
        <f ca="1">goldenOTP_check!R19*R75</f>
        <v>1065.547</v>
      </c>
      <c r="S19" s="2">
        <f ca="1">goldenOTP_check!S19*S75</f>
        <v>1070.6199999999999</v>
      </c>
      <c r="T19" s="2">
        <f ca="1">goldenOTP_check!T19*T75</f>
        <v>1065.7280000000001</v>
      </c>
      <c r="U19" s="2">
        <f ca="1">goldenOTP_check!U19*U75</f>
        <v>1051.8810000000001</v>
      </c>
      <c r="V19" s="2">
        <f ca="1">goldenOTP_check!V19*V75</f>
        <v>1029.1189999999999</v>
      </c>
      <c r="W19" s="2">
        <f ca="1">goldenOTP_check!W19*W75</f>
        <v>995.18899999999996</v>
      </c>
      <c r="X19" s="2">
        <f ca="1">goldenOTP_check!X19*X75</f>
        <v>952.15199999999993</v>
      </c>
      <c r="Y19" s="2">
        <f ca="1">goldenOTP_check!Y19*Y75</f>
        <v>912.38</v>
      </c>
    </row>
    <row r="20" spans="2:25" x14ac:dyDescent="0.3">
      <c r="B20" s="6">
        <v>17</v>
      </c>
      <c r="C20" s="9">
        <v>3.3769999999999998</v>
      </c>
      <c r="D20" s="9">
        <v>3.0920000000000001</v>
      </c>
      <c r="E20" s="9">
        <v>3.0910000000000002</v>
      </c>
      <c r="F20" s="9">
        <v>2.9590000000000001</v>
      </c>
      <c r="I20" s="2">
        <f ca="1">goldenOTP_check!I20*I76</f>
        <v>903.87000000000012</v>
      </c>
      <c r="J20" s="2">
        <f ca="1">goldenOTP_check!J20*J76</f>
        <v>955.71899999999994</v>
      </c>
      <c r="K20" s="2">
        <f ca="1">goldenOTP_check!K20*K76</f>
        <v>990.99199999999996</v>
      </c>
      <c r="L20" s="2">
        <f ca="1">goldenOTP_check!L20*L76</f>
        <v>1032.992</v>
      </c>
      <c r="M20" s="2">
        <f ca="1">goldenOTP_check!M20*M76</f>
        <v>1048.086</v>
      </c>
      <c r="N20" s="2">
        <f ca="1">goldenOTP_check!N20*N76</f>
        <v>1051.5159999999998</v>
      </c>
      <c r="O20" s="2">
        <f ca="1">goldenOTP_check!O20*O76</f>
        <v>1053.17</v>
      </c>
      <c r="P20" s="2">
        <f ca="1">goldenOTP_check!P20*P76</f>
        <v>1052.2199999999998</v>
      </c>
      <c r="Q20" s="2">
        <f ca="1">goldenOTP_check!Q20*Q76</f>
        <v>1053.74</v>
      </c>
      <c r="R20" s="2">
        <f ca="1">goldenOTP_check!R20*R76</f>
        <v>1058.681</v>
      </c>
      <c r="S20" s="2">
        <f ca="1">goldenOTP_check!S20*S76</f>
        <v>1065.4060000000002</v>
      </c>
      <c r="T20" s="2">
        <f ca="1">goldenOTP_check!T20*T76</f>
        <v>1066.6400000000001</v>
      </c>
      <c r="U20" s="2">
        <f ca="1">goldenOTP_check!U20*U76</f>
        <v>1063.53</v>
      </c>
      <c r="V20" s="2">
        <f ca="1">goldenOTP_check!V20*V76</f>
        <v>1040.778</v>
      </c>
      <c r="W20" s="2">
        <f ca="1">goldenOTP_check!W20*W76</f>
        <v>1009.496</v>
      </c>
      <c r="X20" s="2">
        <f ca="1">goldenOTP_check!X20*X76</f>
        <v>972.76199999999994</v>
      </c>
      <c r="Y20" s="2">
        <f ca="1">goldenOTP_check!Y20*Y76</f>
        <v>916.21199999999999</v>
      </c>
    </row>
    <row r="21" spans="2:25" x14ac:dyDescent="0.3">
      <c r="B21" s="6">
        <v>18</v>
      </c>
      <c r="C21" s="9">
        <v>2.94</v>
      </c>
      <c r="D21" s="9">
        <v>2.6880000000000002</v>
      </c>
      <c r="E21" s="9">
        <v>2.6890000000000001</v>
      </c>
      <c r="F21" s="9">
        <v>2.5790000000000002</v>
      </c>
      <c r="I21" s="2">
        <f ca="1">goldenOTP_check!I21*I77</f>
        <v>898.38</v>
      </c>
      <c r="J21" s="2">
        <f ca="1">goldenOTP_check!J21*J77</f>
        <v>959.45399999999995</v>
      </c>
      <c r="K21" s="2">
        <f ca="1">goldenOTP_check!K21*K77</f>
        <v>993.20799999999997</v>
      </c>
      <c r="L21" s="2">
        <f ca="1">goldenOTP_check!L21*L77</f>
        <v>1030.3200000000002</v>
      </c>
      <c r="M21" s="2">
        <f ca="1">goldenOTP_check!M21*M77</f>
        <v>1054.7639999999999</v>
      </c>
      <c r="N21" s="2">
        <f ca="1">goldenOTP_check!N21*N77</f>
        <v>1055.808</v>
      </c>
      <c r="O21" s="2">
        <f ca="1">goldenOTP_check!O21*O77</f>
        <v>1052.557</v>
      </c>
      <c r="P21" s="2">
        <f ca="1">goldenOTP_check!P21*P77</f>
        <v>1036.761</v>
      </c>
      <c r="Q21" s="2">
        <f ca="1">goldenOTP_check!Q21*Q77</f>
        <v>1029.8249999999998</v>
      </c>
      <c r="R21" s="2">
        <f ca="1">goldenOTP_check!R21*R77</f>
        <v>1043.614</v>
      </c>
      <c r="S21" s="2">
        <f ca="1">goldenOTP_check!S21*S77</f>
        <v>1063.7049999999999</v>
      </c>
      <c r="T21" s="2">
        <f ca="1">goldenOTP_check!T21*T77</f>
        <v>1066.8059999999998</v>
      </c>
      <c r="U21" s="2">
        <f ca="1">goldenOTP_check!U21*U77</f>
        <v>1058.8890000000001</v>
      </c>
      <c r="V21" s="2">
        <f ca="1">goldenOTP_check!V21*V77</f>
        <v>1046.856</v>
      </c>
      <c r="W21" s="2">
        <f ca="1">goldenOTP_check!W21*W77</f>
        <v>1011.968</v>
      </c>
      <c r="X21" s="2">
        <f ca="1">goldenOTP_check!X21*X77</f>
        <v>978.48</v>
      </c>
      <c r="Y21" s="2">
        <f ca="1">goldenOTP_check!Y21*Y77</f>
        <v>932.5200000000001</v>
      </c>
    </row>
    <row r="22" spans="2:25" x14ac:dyDescent="0.3">
      <c r="B22" s="6">
        <v>19</v>
      </c>
      <c r="C22" s="9">
        <v>2.57</v>
      </c>
      <c r="D22" s="9">
        <v>2.3570000000000002</v>
      </c>
      <c r="E22" s="9">
        <v>2.3580000000000001</v>
      </c>
      <c r="F22" s="9">
        <v>2.27</v>
      </c>
      <c r="I22" s="2">
        <f ca="1">goldenOTP_check!I22*I78</f>
        <v>904.93200000000002</v>
      </c>
      <c r="J22" s="2">
        <f ca="1">goldenOTP_check!J22*J78</f>
        <v>962.06400000000008</v>
      </c>
      <c r="K22" s="2">
        <f ca="1">goldenOTP_check!K22*K78</f>
        <v>999.36900000000003</v>
      </c>
      <c r="L22" s="2">
        <f ca="1">goldenOTP_check!L22*L78</f>
        <v>1037.617</v>
      </c>
      <c r="M22" s="2">
        <f ca="1">goldenOTP_check!M22*M78</f>
        <v>1043.0079999999998</v>
      </c>
      <c r="N22" s="2">
        <f ca="1">goldenOTP_check!N22*N78</f>
        <v>1047.682</v>
      </c>
      <c r="O22" s="2">
        <f ca="1">goldenOTP_check!O22*O78</f>
        <v>1046.1000000000001</v>
      </c>
      <c r="P22" s="2">
        <f ca="1">goldenOTP_check!P22*P78</f>
        <v>1027.0260000000001</v>
      </c>
      <c r="Q22" s="2">
        <f ca="1">goldenOTP_check!Q22*Q78</f>
        <v>1028.1149999999998</v>
      </c>
      <c r="R22" s="2">
        <f ca="1">goldenOTP_check!R22*R78</f>
        <v>1034.0329999999999</v>
      </c>
      <c r="S22" s="2">
        <f ca="1">goldenOTP_check!S22*S78</f>
        <v>1063.2180000000001</v>
      </c>
      <c r="T22" s="2">
        <f ca="1">goldenOTP_check!T22*T78</f>
        <v>1064.942</v>
      </c>
      <c r="U22" s="2">
        <f ca="1">goldenOTP_check!U22*U78</f>
        <v>1061.9580000000001</v>
      </c>
      <c r="V22" s="2">
        <f ca="1">goldenOTP_check!V22*V78</f>
        <v>1046.846</v>
      </c>
      <c r="W22" s="2">
        <f ca="1">goldenOTP_check!W22*W78</f>
        <v>1017.4200000000001</v>
      </c>
      <c r="X22" s="2">
        <f ca="1">goldenOTP_check!X22*X78</f>
        <v>977.67</v>
      </c>
      <c r="Y22" s="2">
        <f ca="1">goldenOTP_check!Y22*Y78</f>
        <v>915.13799999999992</v>
      </c>
    </row>
    <row r="23" spans="2:25" x14ac:dyDescent="0.3">
      <c r="B23" s="6">
        <v>20</v>
      </c>
      <c r="C23" s="9">
        <v>2.327</v>
      </c>
      <c r="D23" s="9">
        <v>2.1389999999999998</v>
      </c>
      <c r="E23" s="9">
        <v>2.14</v>
      </c>
      <c r="F23" s="9">
        <v>2.0640000000000001</v>
      </c>
      <c r="I23" s="2">
        <f ca="1">goldenOTP_check!I23*I79</f>
        <v>901.72799999999995</v>
      </c>
      <c r="J23" s="2">
        <f ca="1">goldenOTP_check!J23*J79</f>
        <v>960.36</v>
      </c>
      <c r="K23" s="2">
        <f ca="1">goldenOTP_check!K23*K79</f>
        <v>1002.158</v>
      </c>
      <c r="L23" s="2">
        <f ca="1">goldenOTP_check!L23*L79</f>
        <v>1032.6510000000001</v>
      </c>
      <c r="M23" s="2">
        <f ca="1">goldenOTP_check!M23*M79</f>
        <v>1044.306</v>
      </c>
      <c r="N23" s="2">
        <f ca="1">goldenOTP_check!N23*N79</f>
        <v>1050.5160000000001</v>
      </c>
      <c r="O23" s="2">
        <f ca="1">goldenOTP_check!O23*O79</f>
        <v>1045.3300000000002</v>
      </c>
      <c r="P23" s="2">
        <f ca="1">goldenOTP_check!P23*P79</f>
        <v>1027.296</v>
      </c>
      <c r="Q23" s="2">
        <f ca="1">goldenOTP_check!Q23*Q79</f>
        <v>1025.0240000000001</v>
      </c>
      <c r="R23" s="2">
        <f ca="1">goldenOTP_check!R23*R79</f>
        <v>1040.088</v>
      </c>
      <c r="S23" s="2">
        <f ca="1">goldenOTP_check!S23*S79</f>
        <v>1059.06</v>
      </c>
      <c r="T23" s="2">
        <f ca="1">goldenOTP_check!T23*T79</f>
        <v>1065.1139999999998</v>
      </c>
      <c r="U23" s="2">
        <f ca="1">goldenOTP_check!U23*U79</f>
        <v>1058.8890000000001</v>
      </c>
      <c r="V23" s="2">
        <f ca="1">goldenOTP_check!V23*V79</f>
        <v>1046.856</v>
      </c>
      <c r="W23" s="2">
        <f ca="1">goldenOTP_check!W23*W79</f>
        <v>1009.824</v>
      </c>
      <c r="X23" s="2">
        <f ca="1">goldenOTP_check!X23*X79</f>
        <v>973.94999999999993</v>
      </c>
      <c r="Y23" s="2">
        <f ca="1">goldenOTP_check!Y23*Y79</f>
        <v>926.06</v>
      </c>
    </row>
    <row r="24" spans="2:25" x14ac:dyDescent="0.3">
      <c r="B24" s="6">
        <v>21</v>
      </c>
      <c r="C24" s="9">
        <v>2.1230000000000002</v>
      </c>
      <c r="D24" s="9">
        <v>1.96</v>
      </c>
      <c r="E24" s="9">
        <v>1.962</v>
      </c>
      <c r="F24" s="9">
        <v>1.8959999999999999</v>
      </c>
      <c r="I24" s="2">
        <f ca="1">goldenOTP_check!I24*I80</f>
        <v>905.68500000000006</v>
      </c>
      <c r="J24" s="2">
        <f ca="1">goldenOTP_check!J24*J80</f>
        <v>957.90400000000011</v>
      </c>
      <c r="K24" s="2">
        <f ca="1">goldenOTP_check!K24*K80</f>
        <v>990.47800000000007</v>
      </c>
      <c r="L24" s="2">
        <f ca="1">goldenOTP_check!L24*L80</f>
        <v>1026.912</v>
      </c>
      <c r="M24" s="2">
        <f ca="1">goldenOTP_check!M24*M80</f>
        <v>1047.1320000000001</v>
      </c>
      <c r="N24" s="2">
        <f ca="1">goldenOTP_check!N24*N80</f>
        <v>1048.2139999999999</v>
      </c>
      <c r="O24" s="2">
        <f ca="1">goldenOTP_check!O24*O80</f>
        <v>1047.768</v>
      </c>
      <c r="P24" s="2">
        <f ca="1">goldenOTP_check!P24*P80</f>
        <v>1042.3380000000002</v>
      </c>
      <c r="Q24" s="2">
        <f ca="1">goldenOTP_check!Q24*Q80</f>
        <v>1048.0020000000002</v>
      </c>
      <c r="R24" s="2">
        <f ca="1">goldenOTP_check!R24*R80</f>
        <v>1049.77</v>
      </c>
      <c r="S24" s="2">
        <f ca="1">goldenOTP_check!S24*S80</f>
        <v>1060.0740000000001</v>
      </c>
      <c r="T24" s="2">
        <f ca="1">goldenOTP_check!T24*T80</f>
        <v>1057.884</v>
      </c>
      <c r="U24" s="2">
        <f ca="1">goldenOTP_check!U24*U80</f>
        <v>1058.616</v>
      </c>
      <c r="V24" s="2">
        <f ca="1">goldenOTP_check!V24*V80</f>
        <v>1047.5840000000001</v>
      </c>
      <c r="W24" s="2">
        <f ca="1">goldenOTP_check!W24*W80</f>
        <v>1007.4399999999999</v>
      </c>
      <c r="X24" s="2">
        <f ca="1">goldenOTP_check!X24*X80</f>
        <v>972.32500000000005</v>
      </c>
      <c r="Y24" s="2">
        <f ca="1">goldenOTP_check!Y24*Y80</f>
        <v>915.84900000000005</v>
      </c>
    </row>
    <row r="25" spans="2:25" x14ac:dyDescent="0.3">
      <c r="B25" s="6">
        <v>22</v>
      </c>
      <c r="C25" s="9">
        <v>1.9530000000000001</v>
      </c>
      <c r="D25" s="9">
        <v>1.8149999999999999</v>
      </c>
      <c r="E25" s="9">
        <v>1.8169999999999999</v>
      </c>
      <c r="F25" s="9">
        <v>1.758</v>
      </c>
      <c r="I25" s="2">
        <f ca="1">goldenOTP_check!I25*I81</f>
        <v>900.375</v>
      </c>
      <c r="J25" s="2">
        <f ca="1">goldenOTP_check!J25*J81</f>
        <v>937.8370000000001</v>
      </c>
      <c r="K25" s="2">
        <f ca="1">goldenOTP_check!K25*K81</f>
        <v>977.39200000000005</v>
      </c>
      <c r="L25" s="2">
        <f ca="1">goldenOTP_check!L25*L81</f>
        <v>1017.456</v>
      </c>
      <c r="M25" s="2">
        <f ca="1">goldenOTP_check!M25*M81</f>
        <v>1037.788</v>
      </c>
      <c r="N25" s="2">
        <f ca="1">goldenOTP_check!N25*N81</f>
        <v>1047.55</v>
      </c>
      <c r="O25" s="2">
        <f ca="1">goldenOTP_check!O25*O81</f>
        <v>1043.556</v>
      </c>
      <c r="P25" s="2">
        <f ca="1">goldenOTP_check!P25*P81</f>
        <v>1049.04</v>
      </c>
      <c r="Q25" s="2">
        <f ca="1">goldenOTP_check!Q25*Q81</f>
        <v>1051.134</v>
      </c>
      <c r="R25" s="2">
        <f ca="1">goldenOTP_check!R25*R81</f>
        <v>1052.424</v>
      </c>
      <c r="S25" s="2">
        <f ca="1">goldenOTP_check!S25*S81</f>
        <v>1049.924</v>
      </c>
      <c r="T25" s="2">
        <f ca="1">goldenOTP_check!T25*T81</f>
        <v>1055.58</v>
      </c>
      <c r="U25" s="2">
        <f ca="1">goldenOTP_check!U25*U81</f>
        <v>1049.434</v>
      </c>
      <c r="V25" s="2">
        <f ca="1">goldenOTP_check!V25*V81</f>
        <v>1023.529</v>
      </c>
      <c r="W25" s="2">
        <f ca="1">goldenOTP_check!W25*W81</f>
        <v>994.70800000000008</v>
      </c>
      <c r="X25" s="2">
        <f ca="1">goldenOTP_check!X25*X81</f>
        <v>955.01499999999999</v>
      </c>
      <c r="Y25" s="2">
        <f ca="1">goldenOTP_check!Y25*Y81</f>
        <v>917.18200000000002</v>
      </c>
    </row>
    <row r="26" spans="2:25" x14ac:dyDescent="0.3">
      <c r="B26" s="6">
        <v>23</v>
      </c>
      <c r="C26" s="9">
        <v>1.825</v>
      </c>
      <c r="D26" s="9">
        <v>1.7070000000000001</v>
      </c>
      <c r="E26" s="9">
        <v>1.7090000000000001</v>
      </c>
      <c r="F26" s="9">
        <v>1.6559999999999999</v>
      </c>
      <c r="I26" s="2">
        <f ca="1">goldenOTP_check!I26*I82</f>
        <v>903.13300000000004</v>
      </c>
      <c r="J26" s="2">
        <f ca="1">goldenOTP_check!J26*J82</f>
        <v>922.70400000000006</v>
      </c>
      <c r="K26" s="2">
        <f ca="1">goldenOTP_check!K26*K82</f>
        <v>950.03800000000001</v>
      </c>
      <c r="L26" s="2">
        <f ca="1">goldenOTP_check!L26*L82</f>
        <v>993.56799999999998</v>
      </c>
      <c r="M26" s="2">
        <f ca="1">goldenOTP_check!M26*M82</f>
        <v>1012</v>
      </c>
      <c r="N26" s="2">
        <f ca="1">goldenOTP_check!N26*N82</f>
        <v>1038.4349999999999</v>
      </c>
      <c r="O26" s="2">
        <f ca="1">goldenOTP_check!O26*O82</f>
        <v>1042.47</v>
      </c>
      <c r="P26" s="2">
        <f ca="1">goldenOTP_check!P26*P82</f>
        <v>1045.5509999999999</v>
      </c>
      <c r="Q26" s="2">
        <f ca="1">goldenOTP_check!Q26*Q82</f>
        <v>1043.0240000000001</v>
      </c>
      <c r="R26" s="2">
        <f ca="1">goldenOTP_check!R26*R82</f>
        <v>1047.7739999999999</v>
      </c>
      <c r="S26" s="2">
        <f ca="1">goldenOTP_check!S26*S82</f>
        <v>1048.788</v>
      </c>
      <c r="T26" s="2">
        <f ca="1">goldenOTP_check!T26*T82</f>
        <v>1037.779</v>
      </c>
      <c r="U26" s="2">
        <f ca="1">goldenOTP_check!U26*U82</f>
        <v>1023.5</v>
      </c>
      <c r="V26" s="2">
        <f ca="1">goldenOTP_check!V26*V82</f>
        <v>995.43700000000001</v>
      </c>
      <c r="W26" s="2">
        <f ca="1">goldenOTP_check!W26*W82</f>
        <v>964.02199999999993</v>
      </c>
      <c r="X26" s="2">
        <f ca="1">goldenOTP_check!X26*X82</f>
        <v>938.12</v>
      </c>
      <c r="Y26" s="2">
        <f ca="1">goldenOTP_check!Y26*Y82</f>
        <v>917.71500000000003</v>
      </c>
    </row>
    <row r="27" spans="2:25" x14ac:dyDescent="0.3">
      <c r="B27" s="6">
        <v>24</v>
      </c>
      <c r="C27" s="9">
        <v>1.744</v>
      </c>
      <c r="D27" s="9">
        <v>1.64</v>
      </c>
      <c r="E27" s="9">
        <v>1.641</v>
      </c>
      <c r="F27" s="9">
        <v>1.5960000000000001</v>
      </c>
      <c r="I27" s="2">
        <f ca="1">goldenOTP_check!I27*I83</f>
        <v>904.13700000000006</v>
      </c>
      <c r="J27" s="2">
        <f ca="1">goldenOTP_check!J27*J83</f>
        <v>924.72800000000007</v>
      </c>
      <c r="K27" s="2">
        <f ca="1">goldenOTP_check!K27*K83</f>
        <v>929.44500000000005</v>
      </c>
      <c r="L27" s="2">
        <f ca="1">goldenOTP_check!L27*L83</f>
        <v>959.61599999999999</v>
      </c>
      <c r="M27" s="2">
        <f ca="1">goldenOTP_check!M27*M83</f>
        <v>984.37099999999998</v>
      </c>
      <c r="N27" s="2">
        <f ca="1">goldenOTP_check!N27*N83</f>
        <v>1008.995</v>
      </c>
      <c r="O27" s="2">
        <f ca="1">goldenOTP_check!O27*O83</f>
        <v>1022.085</v>
      </c>
      <c r="P27" s="2">
        <f ca="1">goldenOTP_check!P27*P83</f>
        <v>1035.4079999999999</v>
      </c>
      <c r="Q27" s="2">
        <f ca="1">goldenOTP_check!Q27*Q83</f>
        <v>1031.3689999999999</v>
      </c>
      <c r="R27" s="2">
        <f ca="1">goldenOTP_check!R27*R83</f>
        <v>1041.768</v>
      </c>
      <c r="S27" s="2">
        <f ca="1">goldenOTP_check!S27*S83</f>
        <v>1035.3510000000001</v>
      </c>
      <c r="T27" s="2">
        <f ca="1">goldenOTP_check!T27*T83</f>
        <v>1023.529</v>
      </c>
      <c r="U27" s="2">
        <f ca="1">goldenOTP_check!U27*U83</f>
        <v>998.45500000000004</v>
      </c>
      <c r="V27" s="2">
        <f ca="1">goldenOTP_check!V27*V83</f>
        <v>972.16</v>
      </c>
      <c r="W27" s="2">
        <f ca="1">goldenOTP_check!W27*W83</f>
        <v>938.48399999999992</v>
      </c>
      <c r="X27" s="2">
        <f ca="1">goldenOTP_check!X27*X83</f>
        <v>932.61699999999996</v>
      </c>
      <c r="Y27" s="2">
        <f ca="1">goldenOTP_check!Y27*Y83</f>
        <v>905.01</v>
      </c>
    </row>
    <row r="28" spans="2:25" x14ac:dyDescent="0.3">
      <c r="B28" s="6">
        <v>25</v>
      </c>
      <c r="C28" s="9">
        <v>1.7190000000000001</v>
      </c>
      <c r="D28" s="9">
        <v>1.619</v>
      </c>
      <c r="E28" s="9">
        <v>1.62</v>
      </c>
      <c r="F28" s="9">
        <v>1.5780000000000001</v>
      </c>
      <c r="I28" s="10">
        <f ca="1">goldenOTP_check!I28*I84</f>
        <v>898.19100000000003</v>
      </c>
      <c r="J28" s="2">
        <f ca="1">goldenOTP_check!J28*J84</f>
        <v>899.39200000000005</v>
      </c>
      <c r="K28" s="2">
        <f ca="1">goldenOTP_check!K28*K84</f>
        <v>905.01400000000001</v>
      </c>
      <c r="L28" s="2">
        <f ca="1">goldenOTP_check!L28*L84</f>
        <v>926.98699999999997</v>
      </c>
      <c r="M28" s="2">
        <f ca="1">goldenOTP_check!M28*M84</f>
        <v>946.37400000000002</v>
      </c>
      <c r="N28" s="2">
        <f ca="1">goldenOTP_check!N28*N84</f>
        <v>964.91</v>
      </c>
      <c r="O28" s="2">
        <f ca="1">goldenOTP_check!O28*O84</f>
        <v>985.101</v>
      </c>
      <c r="P28" s="2">
        <f ca="1">goldenOTP_check!P28*P84</f>
        <v>985.94999999999993</v>
      </c>
      <c r="Q28" s="2">
        <f ca="1">goldenOTP_check!Q28*Q84</f>
        <v>1002.294</v>
      </c>
      <c r="R28" s="2">
        <f ca="1">goldenOTP_check!R28*R84</f>
        <v>994.34999999999991</v>
      </c>
      <c r="S28" s="2">
        <f ca="1">goldenOTP_check!S28*S84</f>
        <v>1001.325</v>
      </c>
      <c r="T28" s="2">
        <f ca="1">goldenOTP_check!T28*T84</f>
        <v>984.18</v>
      </c>
      <c r="U28" s="2">
        <f ca="1">goldenOTP_check!U28*U84</f>
        <v>962.67600000000004</v>
      </c>
      <c r="V28" s="2">
        <f ca="1">goldenOTP_check!V28*V84</f>
        <v>939.82399999999996</v>
      </c>
      <c r="W28" s="2">
        <f ca="1">goldenOTP_check!W28*W84</f>
        <v>912.17499999999995</v>
      </c>
      <c r="X28" s="2">
        <f ca="1">goldenOTP_check!X28*X84</f>
        <v>894.60799999999995</v>
      </c>
      <c r="Y28" s="10">
        <f ca="1">goldenOTP_check!Y28*Y84</f>
        <v>878.28500000000008</v>
      </c>
    </row>
    <row r="29" spans="2:25" x14ac:dyDescent="0.3">
      <c r="B29" s="6">
        <v>26</v>
      </c>
      <c r="C29" s="9">
        <v>1.744</v>
      </c>
      <c r="D29" s="9">
        <v>1.643</v>
      </c>
      <c r="E29" s="9">
        <v>1.6439999999999999</v>
      </c>
      <c r="F29" s="9">
        <v>1.6</v>
      </c>
    </row>
    <row r="30" spans="2:25" x14ac:dyDescent="0.3">
      <c r="B30" s="6">
        <v>27</v>
      </c>
      <c r="C30" s="9">
        <v>1.827</v>
      </c>
      <c r="D30" s="9">
        <v>1.716</v>
      </c>
      <c r="E30" s="9">
        <v>1.7170000000000001</v>
      </c>
      <c r="F30" s="9">
        <v>1.667</v>
      </c>
      <c r="H30" t="s">
        <v>2</v>
      </c>
      <c r="I30" s="11">
        <f ca="1">goldenOTP_check!I30*I86</f>
        <v>851.76199999999994</v>
      </c>
      <c r="J30" s="2">
        <f ca="1">goldenOTP_check!J30*J86</f>
        <v>899.33400000000006</v>
      </c>
      <c r="K30" s="2">
        <f ca="1">goldenOTP_check!K30*K86</f>
        <v>922.87800000000004</v>
      </c>
      <c r="L30" s="2">
        <f ca="1">goldenOTP_check!L30*L86</f>
        <v>941.88599999999997</v>
      </c>
      <c r="M30" s="2">
        <f ca="1">goldenOTP_check!M30*M86</f>
        <v>957.41099999999994</v>
      </c>
      <c r="N30" s="2">
        <f ca="1">goldenOTP_check!N30*N86</f>
        <v>979.524</v>
      </c>
      <c r="O30" s="2">
        <f ca="1">goldenOTP_check!O30*O86</f>
        <v>993.00599999999997</v>
      </c>
      <c r="P30" s="2">
        <f ca="1">goldenOTP_check!P30*P86</f>
        <v>1011.7379999999999</v>
      </c>
      <c r="Q30" s="2">
        <f ca="1">goldenOTP_check!Q30*Q86</f>
        <v>1005.2189999999999</v>
      </c>
      <c r="R30" s="2">
        <f ca="1">goldenOTP_check!R30*R86</f>
        <v>1012.83</v>
      </c>
      <c r="S30" s="2">
        <f ca="1">goldenOTP_check!S30*S86</f>
        <v>997.66800000000001</v>
      </c>
      <c r="T30" s="2">
        <f ca="1">goldenOTP_check!T30*T86</f>
        <v>984.35399999999993</v>
      </c>
      <c r="U30" s="2">
        <f ca="1">goldenOTP_check!U30*U86</f>
        <v>961.82100000000003</v>
      </c>
      <c r="V30" s="2">
        <f ca="1">goldenOTP_check!V30*V86</f>
        <v>949.524</v>
      </c>
      <c r="W30" s="2">
        <f ca="1">goldenOTP_check!W30*W86</f>
        <v>934.91399999999999</v>
      </c>
      <c r="X30" s="2">
        <f ca="1">goldenOTP_check!X30*X86</f>
        <v>909.12599999999998</v>
      </c>
      <c r="Y30" s="11">
        <f ca="1">goldenOTP_check!Y30*Y86</f>
        <v>857.2639999999999</v>
      </c>
    </row>
    <row r="31" spans="2:25" x14ac:dyDescent="0.3">
      <c r="B31" s="6">
        <v>28</v>
      </c>
      <c r="C31" s="9">
        <v>1.96</v>
      </c>
      <c r="D31" s="9">
        <v>1.829</v>
      </c>
      <c r="E31" s="9">
        <v>1.83</v>
      </c>
      <c r="F31" s="9">
        <v>1.774</v>
      </c>
      <c r="H31" t="s">
        <v>6</v>
      </c>
      <c r="I31" s="2">
        <f ca="1">goldenOTP_check!I31*I87</f>
        <v>899.48100000000011</v>
      </c>
      <c r="J31" s="2">
        <f ca="1">goldenOTP_check!J31*J87</f>
        <v>922.327</v>
      </c>
      <c r="K31" s="2">
        <f ca="1">goldenOTP_check!K31*K87</f>
        <v>938.48400000000004</v>
      </c>
      <c r="L31" s="2">
        <f ca="1">goldenOTP_check!L31*L87</f>
        <v>969.42000000000007</v>
      </c>
      <c r="M31" s="2">
        <f ca="1">goldenOTP_check!M31*M87</f>
        <v>1008.468</v>
      </c>
      <c r="N31" s="2">
        <f ca="1">goldenOTP_check!N31*N87</f>
        <v>1024.788</v>
      </c>
      <c r="O31" s="2">
        <f ca="1">goldenOTP_check!O31*O87</f>
        <v>1049.326</v>
      </c>
      <c r="P31" s="2">
        <f ca="1">goldenOTP_check!P31*P87</f>
        <v>1051.8810000000001</v>
      </c>
      <c r="Q31" s="2">
        <f ca="1">goldenOTP_check!Q31*Q87</f>
        <v>1057.8600000000001</v>
      </c>
      <c r="R31" s="2">
        <f ca="1">goldenOTP_check!R31*R87</f>
        <v>1053.8039999999999</v>
      </c>
      <c r="S31" s="2">
        <f ca="1">goldenOTP_check!S31*S87</f>
        <v>1054.2380000000001</v>
      </c>
      <c r="T31" s="2">
        <f ca="1">goldenOTP_check!T31*T87</f>
        <v>1032.1200000000001</v>
      </c>
      <c r="U31" s="2">
        <f ca="1">goldenOTP_check!U31*U87</f>
        <v>1018.748</v>
      </c>
      <c r="V31" s="2">
        <f ca="1">goldenOTP_check!V31*V87</f>
        <v>980.29200000000003</v>
      </c>
      <c r="W31" s="2">
        <f ca="1">goldenOTP_check!W31*W87</f>
        <v>952.41399999999987</v>
      </c>
      <c r="X31" s="2">
        <f ca="1">goldenOTP_check!X31*X87</f>
        <v>934.67500000000007</v>
      </c>
      <c r="Y31" s="2">
        <f ca="1">goldenOTP_check!Y31*Y87</f>
        <v>902.1</v>
      </c>
    </row>
    <row r="32" spans="2:25" x14ac:dyDescent="0.3">
      <c r="B32" s="6">
        <v>29</v>
      </c>
      <c r="C32" s="9">
        <v>2.137</v>
      </c>
      <c r="D32" s="9">
        <v>1.9810000000000001</v>
      </c>
      <c r="E32" s="9">
        <v>1.982</v>
      </c>
      <c r="F32" s="9">
        <v>1.92</v>
      </c>
      <c r="I32" s="2">
        <f ca="1">goldenOTP_check!I32*I88</f>
        <v>902.79000000000008</v>
      </c>
      <c r="J32" s="2">
        <f ca="1">goldenOTP_check!J32*J88</f>
        <v>938.95600000000002</v>
      </c>
      <c r="K32" s="2">
        <f ca="1">goldenOTP_check!K32*K88</f>
        <v>960.02400000000011</v>
      </c>
      <c r="L32" s="2">
        <f ca="1">goldenOTP_check!L32*L88</f>
        <v>995.60399999999993</v>
      </c>
      <c r="M32" s="2">
        <f ca="1">goldenOTP_check!M32*M88</f>
        <v>1027.2080000000001</v>
      </c>
      <c r="N32" s="2">
        <f ca="1">goldenOTP_check!N32*N88</f>
        <v>1055.9010000000001</v>
      </c>
      <c r="O32" s="2">
        <f ca="1">goldenOTP_check!O32*O88</f>
        <v>1061.2920000000001</v>
      </c>
      <c r="P32" s="2">
        <f ca="1">goldenOTP_check!P32*P88</f>
        <v>1067.463</v>
      </c>
      <c r="Q32" s="2">
        <f ca="1">goldenOTP_check!Q32*Q88</f>
        <v>1075.067</v>
      </c>
      <c r="R32" s="2">
        <f ca="1">goldenOTP_check!R32*R88</f>
        <v>1073.4390000000001</v>
      </c>
      <c r="S32" s="2">
        <f ca="1">goldenOTP_check!S32*S88</f>
        <v>1074.0359999999998</v>
      </c>
      <c r="T32" s="2">
        <f ca="1">goldenOTP_check!T32*T88</f>
        <v>1068.961</v>
      </c>
      <c r="U32" s="2">
        <f ca="1">goldenOTP_check!U32*U88</f>
        <v>1041.7329999999999</v>
      </c>
      <c r="V32" s="2">
        <f ca="1">goldenOTP_check!V32*V88</f>
        <v>1010.874</v>
      </c>
      <c r="W32" s="2">
        <f ca="1">goldenOTP_check!W32*W88</f>
        <v>974.16800000000012</v>
      </c>
      <c r="X32" s="2">
        <f ca="1">goldenOTP_check!X32*X88</f>
        <v>950.03399999999999</v>
      </c>
      <c r="Y32" s="2">
        <f ca="1">goldenOTP_check!Y32*Y88</f>
        <v>929.91700000000003</v>
      </c>
    </row>
    <row r="33" spans="2:25" x14ac:dyDescent="0.3">
      <c r="B33" s="6">
        <v>30</v>
      </c>
      <c r="C33" s="9">
        <v>2.3439999999999999</v>
      </c>
      <c r="D33" s="9">
        <v>2.165</v>
      </c>
      <c r="E33" s="9">
        <v>2.1640000000000001</v>
      </c>
      <c r="F33" s="9">
        <v>2.0950000000000002</v>
      </c>
      <c r="I33" s="2">
        <f ca="1">goldenOTP_check!I33*I89</f>
        <v>907.57799999999997</v>
      </c>
      <c r="J33" s="2">
        <f ca="1">goldenOTP_check!J33*J89</f>
        <v>941.51800000000003</v>
      </c>
      <c r="K33" s="2">
        <f ca="1">goldenOTP_check!K33*K89</f>
        <v>979.79699999999991</v>
      </c>
      <c r="L33" s="2">
        <f ca="1">goldenOTP_check!L33*L89</f>
        <v>1020.276</v>
      </c>
      <c r="M33" s="2">
        <f ca="1">goldenOTP_check!M33*M89</f>
        <v>1042.9640000000002</v>
      </c>
      <c r="N33" s="2">
        <f ca="1">goldenOTP_check!N33*N89</f>
        <v>1063.5450000000001</v>
      </c>
      <c r="O33" s="2">
        <f ca="1">goldenOTP_check!O33*O89</f>
        <v>1062.6499999999999</v>
      </c>
      <c r="P33" s="2">
        <f ca="1">goldenOTP_check!P33*P89</f>
        <v>1071.816</v>
      </c>
      <c r="Q33" s="2">
        <f ca="1">goldenOTP_check!Q33*Q89</f>
        <v>1077.1880000000001</v>
      </c>
      <c r="R33" s="2">
        <f ca="1">goldenOTP_check!R33*R89</f>
        <v>1079.4839999999999</v>
      </c>
      <c r="S33" s="2">
        <f ca="1">goldenOTP_check!S33*S89</f>
        <v>1078.69</v>
      </c>
      <c r="T33" s="2">
        <f ca="1">goldenOTP_check!T33*T89</f>
        <v>1073.8300000000002</v>
      </c>
      <c r="U33" s="2">
        <f ca="1">goldenOTP_check!U33*U89</f>
        <v>1060.433</v>
      </c>
      <c r="V33" s="2">
        <f ca="1">goldenOTP_check!V33*V89</f>
        <v>1036.6320000000001</v>
      </c>
      <c r="W33" s="2">
        <f ca="1">goldenOTP_check!W33*W89</f>
        <v>993.26499999999999</v>
      </c>
      <c r="X33" s="2">
        <f ca="1">goldenOTP_check!X33*X89</f>
        <v>950.51599999999996</v>
      </c>
      <c r="Y33" s="2">
        <f ca="1">goldenOTP_check!Y33*Y89</f>
        <v>928.9</v>
      </c>
    </row>
    <row r="34" spans="2:25" x14ac:dyDescent="0.3">
      <c r="B34" s="6">
        <v>31</v>
      </c>
      <c r="C34" s="9">
        <v>2.5990000000000002</v>
      </c>
      <c r="D34" s="9">
        <v>2.395</v>
      </c>
      <c r="E34" s="9">
        <v>2.3929999999999998</v>
      </c>
      <c r="F34" s="9">
        <v>2.3130000000000002</v>
      </c>
      <c r="I34" s="2">
        <f ca="1">goldenOTP_check!I34*I90</f>
        <v>903.14400000000001</v>
      </c>
      <c r="J34" s="2">
        <f ca="1">goldenOTP_check!J34*J90</f>
        <v>955.71899999999994</v>
      </c>
      <c r="K34" s="2">
        <f ca="1">goldenOTP_check!K34*K90</f>
        <v>1002.56</v>
      </c>
      <c r="L34" s="2">
        <f ca="1">goldenOTP_check!L34*L90</f>
        <v>1032.992</v>
      </c>
      <c r="M34" s="2">
        <f ca="1">goldenOTP_check!M34*M90</f>
        <v>1057.0440000000001</v>
      </c>
      <c r="N34" s="2">
        <f ca="1">goldenOTP_check!N34*N90</f>
        <v>1060.2440000000001</v>
      </c>
      <c r="O34" s="2">
        <f ca="1">goldenOTP_check!O34*O90</f>
        <v>1059.1950000000002</v>
      </c>
      <c r="P34" s="2">
        <f ca="1">goldenOTP_check!P34*P90</f>
        <v>1064.9649999999999</v>
      </c>
      <c r="Q34" s="2">
        <f ca="1">goldenOTP_check!Q34*Q90</f>
        <v>1065.1200000000001</v>
      </c>
      <c r="R34" s="2">
        <f ca="1">goldenOTP_check!R34*R90</f>
        <v>1071.51</v>
      </c>
      <c r="S34" s="2">
        <f ca="1">goldenOTP_check!S34*S90</f>
        <v>1070.6220000000001</v>
      </c>
      <c r="T34" s="2">
        <f ca="1">goldenOTP_check!T34*T90</f>
        <v>1073.8779999999999</v>
      </c>
      <c r="U34" s="2">
        <f ca="1">goldenOTP_check!U34*U90</f>
        <v>1062.828</v>
      </c>
      <c r="V34" s="2">
        <f ca="1">goldenOTP_check!V34*V90</f>
        <v>1048.192</v>
      </c>
      <c r="W34" s="2">
        <f ca="1">goldenOTP_check!W34*W90</f>
        <v>1007.9540000000001</v>
      </c>
      <c r="X34" s="2">
        <f ca="1">goldenOTP_check!X34*X90</f>
        <v>971.01400000000001</v>
      </c>
      <c r="Y34" s="2">
        <f ca="1">goldenOTP_check!Y34*Y90</f>
        <v>914.03399999999988</v>
      </c>
    </row>
    <row r="35" spans="2:25" x14ac:dyDescent="0.3">
      <c r="B35" s="6">
        <v>32</v>
      </c>
      <c r="C35" s="9">
        <v>2.9590000000000001</v>
      </c>
      <c r="D35" s="9">
        <v>2.7280000000000002</v>
      </c>
      <c r="E35" s="9">
        <v>2.7250000000000001</v>
      </c>
      <c r="F35" s="9">
        <v>2.6269999999999998</v>
      </c>
      <c r="I35" s="2">
        <f ca="1">goldenOTP_check!I35*I91</f>
        <v>916.93999999999994</v>
      </c>
      <c r="J35" s="2">
        <f ca="1">goldenOTP_check!J35*J91</f>
        <v>959.00099999999998</v>
      </c>
      <c r="K35" s="2">
        <f ca="1">goldenOTP_check!K35*K91</f>
        <v>993.20799999999997</v>
      </c>
      <c r="L35" s="2">
        <f ca="1">goldenOTP_check!L35*L91</f>
        <v>1030.9559999999999</v>
      </c>
      <c r="M35" s="2">
        <f ca="1">goldenOTP_check!M35*M91</f>
        <v>1054.7639999999999</v>
      </c>
      <c r="N35" s="2">
        <f ca="1">goldenOTP_check!N35*N91</f>
        <v>1055.808</v>
      </c>
      <c r="O35" s="2">
        <f ca="1">goldenOTP_check!O35*O91</f>
        <v>1052.557</v>
      </c>
      <c r="P35" s="2">
        <f ca="1">goldenOTP_check!P35*P91</f>
        <v>1042.056</v>
      </c>
      <c r="Q35" s="2">
        <f ca="1">goldenOTP_check!Q35*Q91</f>
        <v>1035.0340000000001</v>
      </c>
      <c r="R35" s="2">
        <f ca="1">goldenOTP_check!R35*R91</f>
        <v>1047.96</v>
      </c>
      <c r="S35" s="2">
        <f ca="1">goldenOTP_check!S35*S91</f>
        <v>1063.7049999999999</v>
      </c>
      <c r="T35" s="2">
        <f ca="1">goldenOTP_check!T35*T91</f>
        <v>1066.8059999999998</v>
      </c>
      <c r="U35" s="2">
        <f ca="1">goldenOTP_check!U35*U91</f>
        <v>1058.1479999999999</v>
      </c>
      <c r="V35" s="2">
        <f ca="1">goldenOTP_check!V35*V91</f>
        <v>1045.5839999999998</v>
      </c>
      <c r="W35" s="2">
        <f ca="1">goldenOTP_check!W35*W91</f>
        <v>1010.36</v>
      </c>
      <c r="X35" s="2">
        <f ca="1">goldenOTP_check!X35*X91</f>
        <v>976.66800000000001</v>
      </c>
      <c r="Y35" s="2">
        <f ca="1">goldenOTP_check!Y35*Y91</f>
        <v>930.61999999999989</v>
      </c>
    </row>
    <row r="36" spans="2:25" x14ac:dyDescent="0.3">
      <c r="B36" s="6">
        <v>33</v>
      </c>
      <c r="C36" s="9">
        <v>3.3490000000000002</v>
      </c>
      <c r="D36" s="9">
        <v>3.105</v>
      </c>
      <c r="E36" s="9">
        <v>3.1</v>
      </c>
      <c r="F36" s="9">
        <v>2.976</v>
      </c>
      <c r="I36" s="2">
        <f ca="1">goldenOTP_check!I36*I92</f>
        <v>904.17599999999993</v>
      </c>
      <c r="J36" s="2">
        <f ca="1">goldenOTP_check!J36*J92</f>
        <v>961.60500000000013</v>
      </c>
      <c r="K36" s="2">
        <f ca="1">goldenOTP_check!K36*K92</f>
        <v>998.822</v>
      </c>
      <c r="L36" s="2">
        <f ca="1">goldenOTP_check!L36*L92</f>
        <v>1028.0830000000001</v>
      </c>
      <c r="M36" s="2">
        <f ca="1">goldenOTP_check!M36*M92</f>
        <v>1043.7660000000001</v>
      </c>
      <c r="N36" s="2">
        <f ca="1">goldenOTP_check!N36*N92</f>
        <v>1048.5450000000001</v>
      </c>
      <c r="O36" s="2">
        <f ca="1">goldenOTP_check!O36*O92</f>
        <v>1040.6000000000001</v>
      </c>
      <c r="P36" s="2">
        <f ca="1">goldenOTP_check!P36*P92</f>
        <v>1027.0260000000001</v>
      </c>
      <c r="Q36" s="2">
        <f ca="1">goldenOTP_check!Q36*Q92</f>
        <v>1027.0920000000001</v>
      </c>
      <c r="R36" s="2">
        <f ca="1">goldenOTP_check!R36*R92</f>
        <v>1034.0329999999999</v>
      </c>
      <c r="S36" s="2">
        <f ca="1">goldenOTP_check!S36*S92</f>
        <v>1056.682</v>
      </c>
      <c r="T36" s="2">
        <f ca="1">goldenOTP_check!T36*T92</f>
        <v>1057.538</v>
      </c>
      <c r="U36" s="2">
        <f ca="1">goldenOTP_check!U36*U92</f>
        <v>1052.048</v>
      </c>
      <c r="V36" s="2">
        <f ca="1">goldenOTP_check!V36*V92</f>
        <v>1045.5520000000001</v>
      </c>
      <c r="W36" s="2">
        <f ca="1">goldenOTP_check!W36*W92</f>
        <v>1006.494</v>
      </c>
      <c r="X36" s="2">
        <f ca="1">goldenOTP_check!X36*X92</f>
        <v>975.83399999999995</v>
      </c>
      <c r="Y36" s="2">
        <f ca="1">goldenOTP_check!Y36*Y92</f>
        <v>912.87</v>
      </c>
    </row>
    <row r="37" spans="2:25" x14ac:dyDescent="0.3">
      <c r="B37" s="6">
        <v>34</v>
      </c>
      <c r="C37" s="9">
        <v>3.1320000000000001</v>
      </c>
      <c r="D37" s="9">
        <v>2.867</v>
      </c>
      <c r="E37" s="9">
        <v>2.8660000000000001</v>
      </c>
      <c r="F37" s="9">
        <v>2.7629999999999999</v>
      </c>
      <c r="I37" s="2">
        <f ca="1">goldenOTP_check!I37*I93</f>
        <v>900.61199999999997</v>
      </c>
      <c r="J37" s="2">
        <f ca="1">goldenOTP_check!J37*J93</f>
        <v>959.45399999999995</v>
      </c>
      <c r="K37" s="2">
        <f ca="1">goldenOTP_check!K37*K93</f>
        <v>990.52800000000002</v>
      </c>
      <c r="L37" s="2">
        <f ca="1">goldenOTP_check!L37*L93</f>
        <v>1023.96</v>
      </c>
      <c r="M37" s="2">
        <f ca="1">goldenOTP_check!M37*M93</f>
        <v>1036.6590000000001</v>
      </c>
      <c r="N37" s="2">
        <f ca="1">goldenOTP_check!N37*N93</f>
        <v>1043.9639999999999</v>
      </c>
      <c r="O37" s="2">
        <f ca="1">goldenOTP_check!O37*O93</f>
        <v>1038.6220000000001</v>
      </c>
      <c r="P37" s="2">
        <f ca="1">goldenOTP_check!P37*P93</f>
        <v>1027.296</v>
      </c>
      <c r="Q37" s="2">
        <f ca="1">goldenOTP_check!Q37*Q93</f>
        <v>1024.0229999999999</v>
      </c>
      <c r="R37" s="2">
        <f ca="1">goldenOTP_check!R37*R93</f>
        <v>1039.104</v>
      </c>
      <c r="S37" s="2">
        <f ca="1">goldenOTP_check!S37*S93</f>
        <v>1051.297</v>
      </c>
      <c r="T37" s="2">
        <f ca="1">goldenOTP_check!T37*T93</f>
        <v>1057.9780000000001</v>
      </c>
      <c r="U37" s="2">
        <f ca="1">goldenOTP_check!U37*U93</f>
        <v>1058.1479999999999</v>
      </c>
      <c r="V37" s="2">
        <f ca="1">goldenOTP_check!V37*V93</f>
        <v>1035.0899999999999</v>
      </c>
      <c r="W37" s="2">
        <f ca="1">goldenOTP_check!W37*W93</f>
        <v>1008.216</v>
      </c>
      <c r="X37" s="2">
        <f ca="1">goldenOTP_check!X37*X93</f>
        <v>960.96</v>
      </c>
      <c r="Y37" s="2">
        <f ca="1">goldenOTP_check!Y37*Y93</f>
        <v>908.82</v>
      </c>
    </row>
    <row r="38" spans="2:25" x14ac:dyDescent="0.3">
      <c r="B38" s="6">
        <v>35</v>
      </c>
      <c r="C38" s="9">
        <v>2.6819999999999999</v>
      </c>
      <c r="D38" s="9">
        <v>2.4580000000000002</v>
      </c>
      <c r="E38" s="9">
        <v>2.4580000000000002</v>
      </c>
      <c r="F38" s="9">
        <v>2.37</v>
      </c>
      <c r="I38" s="2">
        <f ca="1">goldenOTP_check!I38*I94</f>
        <v>904.596</v>
      </c>
      <c r="J38" s="2">
        <f ca="1">goldenOTP_check!J38*J94</f>
        <v>956.59300000000007</v>
      </c>
      <c r="K38" s="2">
        <f ca="1">goldenOTP_check!K38*K94</f>
        <v>989.45</v>
      </c>
      <c r="L38" s="2">
        <f ca="1">goldenOTP_check!L38*L94</f>
        <v>1017.8639999999999</v>
      </c>
      <c r="M38" s="2">
        <f ca="1">goldenOTP_check!M38*M94</f>
        <v>1037.556</v>
      </c>
      <c r="N38" s="2">
        <f ca="1">goldenOTP_check!N38*N94</f>
        <v>1040.3719999999998</v>
      </c>
      <c r="O38" s="2">
        <f ca="1">goldenOTP_check!O38*O94</f>
        <v>1040.934</v>
      </c>
      <c r="P38" s="2">
        <f ca="1">goldenOTP_check!P38*P94</f>
        <v>1033.76</v>
      </c>
      <c r="Q38" s="2">
        <f ca="1">goldenOTP_check!Q38*Q94</f>
        <v>1040.6000000000001</v>
      </c>
      <c r="R38" s="2">
        <f ca="1">goldenOTP_check!R38*R94</f>
        <v>1041.144</v>
      </c>
      <c r="S38" s="2">
        <f ca="1">goldenOTP_check!S38*S94</f>
        <v>1052.296</v>
      </c>
      <c r="T38" s="2">
        <f ca="1">goldenOTP_check!T38*T94</f>
        <v>1049.6569999999999</v>
      </c>
      <c r="U38" s="2">
        <f ca="1">goldenOTP_check!U38*U94</f>
        <v>1049.682</v>
      </c>
      <c r="V38" s="2">
        <f ca="1">goldenOTP_check!V38*V94</f>
        <v>1036.557</v>
      </c>
      <c r="W38" s="2">
        <f ca="1">goldenOTP_check!W38*W94</f>
        <v>995.60399999999993</v>
      </c>
      <c r="X38" s="2">
        <f ca="1">goldenOTP_check!X38*X94</f>
        <v>956.3889999999999</v>
      </c>
      <c r="Y38" s="2">
        <f ca="1">goldenOTP_check!Y38*Y94</f>
        <v>918.34</v>
      </c>
    </row>
    <row r="39" spans="2:25" x14ac:dyDescent="0.3">
      <c r="B39" s="6">
        <v>36</v>
      </c>
      <c r="C39" s="9">
        <v>2.36</v>
      </c>
      <c r="D39" s="9">
        <v>2.1720000000000002</v>
      </c>
      <c r="E39" s="9">
        <v>2.1720000000000002</v>
      </c>
      <c r="F39" s="9">
        <v>2.101</v>
      </c>
      <c r="I39" s="2">
        <f ca="1">goldenOTP_check!I39*I95</f>
        <v>878.03499999999997</v>
      </c>
      <c r="J39" s="2">
        <f ca="1">goldenOTP_check!J39*J95</f>
        <v>936.20100000000002</v>
      </c>
      <c r="K39" s="2">
        <f ca="1">goldenOTP_check!K39*K95</f>
        <v>965.80399999999997</v>
      </c>
      <c r="L39" s="2">
        <f ca="1">goldenOTP_check!L39*L95</f>
        <v>1006.759</v>
      </c>
      <c r="M39" s="2">
        <f ca="1">goldenOTP_check!M39*M95</f>
        <v>1026.8820000000001</v>
      </c>
      <c r="N39" s="2">
        <f ca="1">goldenOTP_check!N39*N95</f>
        <v>1037.492</v>
      </c>
      <c r="O39" s="2">
        <f ca="1">goldenOTP_check!O39*O95</f>
        <v>1041.9639999999999</v>
      </c>
      <c r="P39" s="2">
        <f ca="1">goldenOTP_check!P39*P95</f>
        <v>1041.1579999999999</v>
      </c>
      <c r="Q39" s="2">
        <f ca="1">goldenOTP_check!Q39*Q95</f>
        <v>1042.1120000000001</v>
      </c>
      <c r="R39" s="2">
        <f ca="1">goldenOTP_check!R39*R95</f>
        <v>1043.681</v>
      </c>
      <c r="S39" s="2">
        <f ca="1">goldenOTP_check!S39*S95</f>
        <v>1040.9560000000001</v>
      </c>
      <c r="T39" s="2">
        <f ca="1">goldenOTP_check!T39*T95</f>
        <v>1037.5170000000001</v>
      </c>
      <c r="U39" s="2">
        <f ca="1">goldenOTP_check!U39*U95</f>
        <v>1029.048</v>
      </c>
      <c r="V39" s="2">
        <f ca="1">goldenOTP_check!V39*V95</f>
        <v>1009.778</v>
      </c>
      <c r="W39" s="2">
        <f ca="1">goldenOTP_check!W39*W95</f>
        <v>981.98800000000006</v>
      </c>
      <c r="X39" s="2">
        <f ca="1">goldenOTP_check!X39*X95</f>
        <v>940.91600000000005</v>
      </c>
      <c r="Y39" s="2">
        <f ca="1">goldenOTP_check!Y39*Y95</f>
        <v>919.08</v>
      </c>
    </row>
    <row r="40" spans="2:25" x14ac:dyDescent="0.3">
      <c r="B40" s="6">
        <v>37</v>
      </c>
      <c r="C40" s="9">
        <v>2.1139999999999999</v>
      </c>
      <c r="D40" s="9">
        <v>1.9550000000000001</v>
      </c>
      <c r="E40" s="9">
        <v>1.956</v>
      </c>
      <c r="F40" s="9">
        <v>1.8939999999999999</v>
      </c>
      <c r="I40" s="2">
        <f ca="1">goldenOTP_check!I40*I96</f>
        <v>901.548</v>
      </c>
      <c r="J40" s="2">
        <f ca="1">goldenOTP_check!J40*J96</f>
        <v>921.2</v>
      </c>
      <c r="K40" s="2">
        <f ca="1">goldenOTP_check!K40*K96</f>
        <v>948.72699999999998</v>
      </c>
      <c r="L40" s="2">
        <f ca="1">goldenOTP_check!L40*L96</f>
        <v>980.34699999999998</v>
      </c>
      <c r="M40" s="2">
        <f ca="1">goldenOTP_check!M40*M96</f>
        <v>1002.0600000000001</v>
      </c>
      <c r="N40" s="2">
        <f ca="1">goldenOTP_check!N40*N96</f>
        <v>1027.5229999999999</v>
      </c>
      <c r="O40" s="2">
        <f ca="1">goldenOTP_check!O40*O96</f>
        <v>1033.6510000000001</v>
      </c>
      <c r="P40" s="2">
        <f ca="1">goldenOTP_check!P40*P96</f>
        <v>1034.8799999999999</v>
      </c>
      <c r="Q40" s="2">
        <f ca="1">goldenOTP_check!Q40*Q96</f>
        <v>1033.848</v>
      </c>
      <c r="R40" s="2">
        <f ca="1">goldenOTP_check!R40*R96</f>
        <v>1037.085</v>
      </c>
      <c r="S40" s="2">
        <f ca="1">goldenOTP_check!S40*S96</f>
        <v>1039.2270000000001</v>
      </c>
      <c r="T40" s="2">
        <f ca="1">goldenOTP_check!T40*T96</f>
        <v>1027.7760000000001</v>
      </c>
      <c r="U40" s="2">
        <f ca="1">goldenOTP_check!U40*U96</f>
        <v>1012.32</v>
      </c>
      <c r="V40" s="2">
        <f ca="1">goldenOTP_check!V40*V96</f>
        <v>983.55000000000007</v>
      </c>
      <c r="W40" s="2">
        <f ca="1">goldenOTP_check!W40*W96</f>
        <v>948.2</v>
      </c>
      <c r="X40" s="2">
        <f ca="1">goldenOTP_check!X40*X96</f>
        <v>920.56</v>
      </c>
      <c r="Y40" s="2">
        <f ca="1">goldenOTP_check!Y40*Y96</f>
        <v>920.31499999999994</v>
      </c>
    </row>
    <row r="41" spans="2:25" x14ac:dyDescent="0.3">
      <c r="B41" s="6">
        <v>38</v>
      </c>
      <c r="C41" s="9">
        <v>1.895</v>
      </c>
      <c r="D41" s="9">
        <v>1.7669999999999999</v>
      </c>
      <c r="E41" s="9">
        <v>1.768</v>
      </c>
      <c r="F41" s="9">
        <v>1.714</v>
      </c>
      <c r="I41" s="2">
        <f ca="1">goldenOTP_check!I41*I97</f>
        <v>908.59299999999996</v>
      </c>
      <c r="J41" s="2">
        <f ca="1">goldenOTP_check!J41*J97</f>
        <v>906.86699999999996</v>
      </c>
      <c r="K41" s="2">
        <f ca="1">goldenOTP_check!K41*K97</f>
        <v>928.26600000000008</v>
      </c>
      <c r="L41" s="2">
        <f ca="1">goldenOTP_check!L41*L97</f>
        <v>945.88000000000011</v>
      </c>
      <c r="M41" s="2">
        <f ca="1">goldenOTP_check!M41*M97</f>
        <v>973.59</v>
      </c>
      <c r="N41" s="2">
        <f ca="1">goldenOTP_check!N41*N97</f>
        <v>997.05899999999997</v>
      </c>
      <c r="O41" s="2">
        <f ca="1">goldenOTP_check!O41*O97</f>
        <v>1010.721</v>
      </c>
      <c r="P41" s="2">
        <f ca="1">goldenOTP_check!P41*P97</f>
        <v>1023.75</v>
      </c>
      <c r="Q41" s="2">
        <f ca="1">goldenOTP_check!Q41*Q97</f>
        <v>1021.4160000000001</v>
      </c>
      <c r="R41" s="2">
        <f ca="1">goldenOTP_check!R41*R97</f>
        <v>1030.05</v>
      </c>
      <c r="S41" s="2">
        <f ca="1">goldenOTP_check!S41*S97</f>
        <v>1023.2579999999999</v>
      </c>
      <c r="T41" s="2">
        <f ca="1">goldenOTP_check!T41*T97</f>
        <v>1010.884</v>
      </c>
      <c r="U41" s="2">
        <f ca="1">goldenOTP_check!U41*U97</f>
        <v>986.53800000000001</v>
      </c>
      <c r="V41" s="2">
        <f ca="1">goldenOTP_check!V41*V97</f>
        <v>956.93000000000006</v>
      </c>
      <c r="W41" s="2">
        <f ca="1">goldenOTP_check!W41*W97</f>
        <v>921.83400000000006</v>
      </c>
      <c r="X41" s="2">
        <f ca="1">goldenOTP_check!X41*X97</f>
        <v>913.94400000000007</v>
      </c>
      <c r="Y41" s="2">
        <f ca="1">goldenOTP_check!Y41*Y97</f>
        <v>908.59299999999996</v>
      </c>
    </row>
    <row r="42" spans="2:25" x14ac:dyDescent="0.3">
      <c r="B42" s="6">
        <v>39</v>
      </c>
      <c r="C42" s="9">
        <v>1.7170000000000001</v>
      </c>
      <c r="D42" s="9">
        <v>1.615</v>
      </c>
      <c r="E42" s="9">
        <v>1.617</v>
      </c>
      <c r="F42" s="9">
        <v>1.5669999999999999</v>
      </c>
      <c r="I42" s="11">
        <f ca="1">goldenOTP_check!I42*I98</f>
        <v>903.24300000000005</v>
      </c>
      <c r="J42" s="2">
        <f ca="1">goldenOTP_check!J42*J98</f>
        <v>900.90000000000009</v>
      </c>
      <c r="K42" s="2">
        <f ca="1">goldenOTP_check!K42*K98</f>
        <v>903.65</v>
      </c>
      <c r="L42" s="2">
        <f ca="1">goldenOTP_check!L42*L98</f>
        <v>911.92299999999989</v>
      </c>
      <c r="M42" s="2">
        <f ca="1">goldenOTP_check!M42*M98</f>
        <v>949.92400000000009</v>
      </c>
      <c r="N42" s="2">
        <f ca="1">goldenOTP_check!N42*N98</f>
        <v>951.6640000000001</v>
      </c>
      <c r="O42" s="2">
        <f ca="1">goldenOTP_check!O42*O98</f>
        <v>972.44100000000003</v>
      </c>
      <c r="P42" s="2">
        <f ca="1">goldenOTP_check!P42*P98</f>
        <v>975</v>
      </c>
      <c r="Q42" s="2">
        <f ca="1">goldenOTP_check!Q42*Q98</f>
        <v>991.38</v>
      </c>
      <c r="R42" s="2">
        <f ca="1">goldenOTP_check!R42*R98</f>
        <v>983.32</v>
      </c>
      <c r="S42" s="2">
        <f ca="1">goldenOTP_check!S42*S98</f>
        <v>987.97199999999998</v>
      </c>
      <c r="T42" s="2">
        <f ca="1">goldenOTP_check!T42*T98</f>
        <v>969.76</v>
      </c>
      <c r="U42" s="2">
        <f ca="1">goldenOTP_check!U42*U98</f>
        <v>949.3359999999999</v>
      </c>
      <c r="V42" s="2">
        <f ca="1">goldenOTP_check!V42*V98</f>
        <v>923.41300000000001</v>
      </c>
      <c r="W42" s="2">
        <f ca="1">goldenOTP_check!W42*W98</f>
        <v>915.12400000000002</v>
      </c>
      <c r="X42" s="2">
        <f ca="1">goldenOTP_check!X42*X98</f>
        <v>895.2</v>
      </c>
      <c r="Y42" s="11">
        <f ca="1">goldenOTP_check!Y42*Y98</f>
        <v>859.84800000000007</v>
      </c>
    </row>
    <row r="43" spans="2:25" x14ac:dyDescent="0.3">
      <c r="B43" s="6">
        <v>40</v>
      </c>
      <c r="C43" s="9">
        <v>1.5780000000000001</v>
      </c>
      <c r="D43" s="9">
        <v>1.498</v>
      </c>
      <c r="E43" s="9">
        <v>1.4990000000000001</v>
      </c>
      <c r="F43" s="9">
        <v>1.458</v>
      </c>
    </row>
    <row r="44" spans="2:25" x14ac:dyDescent="0.3">
      <c r="B44" s="6">
        <v>41</v>
      </c>
      <c r="C44" s="9">
        <v>1.4930000000000001</v>
      </c>
      <c r="D44" s="9">
        <v>1.429</v>
      </c>
      <c r="E44" s="9">
        <v>1.429</v>
      </c>
      <c r="F44" s="9">
        <v>1.395</v>
      </c>
      <c r="H44" t="s">
        <v>3</v>
      </c>
      <c r="I44" s="12">
        <f ca="1">goldenOTP_check!I44*I100</f>
        <v>817.52499999999998</v>
      </c>
      <c r="J44" s="4">
        <f ca="1">goldenOTP_check!J44*J100</f>
        <v>869.245</v>
      </c>
      <c r="K44" s="4">
        <f ca="1">goldenOTP_check!K44*K100</f>
        <v>876.12799999999993</v>
      </c>
      <c r="L44" s="4">
        <f ca="1">goldenOTP_check!L44*L100</f>
        <v>918.20500000000004</v>
      </c>
      <c r="M44" s="4">
        <f ca="1">goldenOTP_check!M44*M100</f>
        <v>940.78599999999994</v>
      </c>
      <c r="N44" s="4">
        <f ca="1">goldenOTP_check!N44*N100</f>
        <v>930.62700000000007</v>
      </c>
      <c r="O44" s="4">
        <f ca="1">goldenOTP_check!O44*O100</f>
        <v>967.55000000000007</v>
      </c>
      <c r="P44" s="4">
        <f ca="1">goldenOTP_check!P44*P100</f>
        <v>975.702</v>
      </c>
      <c r="Q44" s="4">
        <f ca="1">goldenOTP_check!Q44*Q100</f>
        <v>985.89</v>
      </c>
      <c r="R44" s="4">
        <f ca="1">goldenOTP_check!R44*R100</f>
        <v>980.06999999999994</v>
      </c>
      <c r="S44" s="4">
        <f ca="1">goldenOTP_check!S44*S100</f>
        <v>973.303</v>
      </c>
      <c r="T44" s="4">
        <f ca="1">goldenOTP_check!T44*T100</f>
        <v>936.82799999999997</v>
      </c>
      <c r="U44" s="4">
        <f ca="1">goldenOTP_check!U44*U100</f>
        <v>947.1</v>
      </c>
      <c r="V44" s="4">
        <f ca="1">goldenOTP_check!V44*V100</f>
        <v>894.38</v>
      </c>
      <c r="W44" s="4">
        <f ca="1">goldenOTP_check!W44*W100</f>
        <v>891.26400000000001</v>
      </c>
      <c r="X44" s="4">
        <f ca="1">goldenOTP_check!X44*X100</f>
        <v>882.61800000000005</v>
      </c>
      <c r="Y44" s="12">
        <f ca="1">goldenOTP_check!Y44*Y100</f>
        <v>825.20999999999992</v>
      </c>
    </row>
    <row r="45" spans="2:25" x14ac:dyDescent="0.3">
      <c r="B45" s="6">
        <v>42</v>
      </c>
      <c r="C45" s="9">
        <v>1.468</v>
      </c>
      <c r="D45" s="9">
        <v>1.409</v>
      </c>
      <c r="E45" s="9">
        <v>1.409</v>
      </c>
      <c r="F45" s="9">
        <v>1.379</v>
      </c>
      <c r="H45" t="s">
        <v>6</v>
      </c>
      <c r="I45" s="4">
        <f ca="1">goldenOTP_check!I45*I101</f>
        <v>875.86400000000003</v>
      </c>
      <c r="J45" s="4">
        <f ca="1">goldenOTP_check!J45*J101</f>
        <v>879.43900000000008</v>
      </c>
      <c r="K45" s="4">
        <f ca="1">goldenOTP_check!K45*K101</f>
        <v>903.46</v>
      </c>
      <c r="L45" s="4">
        <f ca="1">goldenOTP_check!L45*L101</f>
        <v>939.12</v>
      </c>
      <c r="M45" s="4">
        <f ca="1">goldenOTP_check!M45*M101</f>
        <v>970.75199999999995</v>
      </c>
      <c r="N45" s="4">
        <f ca="1">goldenOTP_check!N45*N101</f>
        <v>998.54399999999998</v>
      </c>
      <c r="O45" s="4">
        <f ca="1">goldenOTP_check!O45*O101</f>
        <v>1016.784</v>
      </c>
      <c r="P45" s="4">
        <f ca="1">goldenOTP_check!P45*P101</f>
        <v>1016.652</v>
      </c>
      <c r="Q45" s="4">
        <f ca="1">goldenOTP_check!Q45*Q101</f>
        <v>1022.5440000000001</v>
      </c>
      <c r="R45" s="4">
        <f ca="1">goldenOTP_check!R45*R101</f>
        <v>1019.2</v>
      </c>
      <c r="S45" s="4">
        <f ca="1">goldenOTP_check!S45*S101</f>
        <v>1023.538</v>
      </c>
      <c r="T45" s="4">
        <f ca="1">goldenOTP_check!T45*T101</f>
        <v>1007.6320000000001</v>
      </c>
      <c r="U45" s="4">
        <f ca="1">goldenOTP_check!U45*U101</f>
        <v>983.04</v>
      </c>
      <c r="V45" s="4">
        <f ca="1">goldenOTP_check!V45*V101</f>
        <v>953.22500000000014</v>
      </c>
      <c r="W45" s="4">
        <f ca="1">goldenOTP_check!W45*W101</f>
        <v>920.57400000000007</v>
      </c>
      <c r="X45" s="4">
        <f ca="1">goldenOTP_check!X45*X101</f>
        <v>895.8069999999999</v>
      </c>
      <c r="Y45" s="4">
        <f ca="1">goldenOTP_check!Y45*Y101</f>
        <v>880.89599999999996</v>
      </c>
    </row>
    <row r="46" spans="2:25" x14ac:dyDescent="0.3">
      <c r="B46" s="6">
        <v>43</v>
      </c>
      <c r="C46" s="9">
        <v>1.4990000000000001</v>
      </c>
      <c r="D46" s="9">
        <v>1.4370000000000001</v>
      </c>
      <c r="E46" s="9">
        <v>1.4370000000000001</v>
      </c>
      <c r="F46" s="9">
        <v>1.4039999999999999</v>
      </c>
      <c r="I46" s="4">
        <f ca="1">goldenOTP_check!I46*I102</f>
        <v>867.58199999999999</v>
      </c>
      <c r="J46" s="4">
        <f ca="1">goldenOTP_check!J46*J102</f>
        <v>888.75</v>
      </c>
      <c r="K46" s="4">
        <f ca="1">goldenOTP_check!K46*K102</f>
        <v>930.74299999999994</v>
      </c>
      <c r="L46" s="4">
        <f ca="1">goldenOTP_check!L46*L102</f>
        <v>969.72799999999995</v>
      </c>
      <c r="M46" s="4">
        <f ca="1">goldenOTP_check!M46*M102</f>
        <v>994.12</v>
      </c>
      <c r="N46" s="4">
        <f ca="1">goldenOTP_check!N46*N102</f>
        <v>1015.4159999999999</v>
      </c>
      <c r="O46" s="4">
        <f ca="1">goldenOTP_check!O46*O102</f>
        <v>1027.8899999999999</v>
      </c>
      <c r="P46" s="4">
        <f ca="1">goldenOTP_check!P46*P102</f>
        <v>1046.25</v>
      </c>
      <c r="Q46" s="4">
        <f ca="1">goldenOTP_check!Q46*Q102</f>
        <v>1050.798</v>
      </c>
      <c r="R46" s="4">
        <f ca="1">goldenOTP_check!R46*R102</f>
        <v>1053</v>
      </c>
      <c r="S46" s="4">
        <f ca="1">goldenOTP_check!S46*S102</f>
        <v>1041.2850000000001</v>
      </c>
      <c r="T46" s="4">
        <f ca="1">goldenOTP_check!T46*T102</f>
        <v>1031.616</v>
      </c>
      <c r="U46" s="4">
        <f ca="1">goldenOTP_check!U46*U102</f>
        <v>1012.1</v>
      </c>
      <c r="V46" s="4">
        <f ca="1">goldenOTP_check!V46*V102</f>
        <v>989.69600000000003</v>
      </c>
      <c r="W46" s="4">
        <f ca="1">goldenOTP_check!W46*W102</f>
        <v>949.34899999999993</v>
      </c>
      <c r="X46" s="4">
        <f ca="1">goldenOTP_check!X46*X102</f>
        <v>904.125</v>
      </c>
      <c r="Y46" s="4">
        <f ca="1">goldenOTP_check!Y46*Y102</f>
        <v>872.29200000000003</v>
      </c>
    </row>
    <row r="47" spans="2:25" x14ac:dyDescent="0.3">
      <c r="B47" s="6">
        <v>44</v>
      </c>
      <c r="C47" s="9">
        <v>1.593</v>
      </c>
      <c r="D47" s="9">
        <v>1.5169999999999999</v>
      </c>
      <c r="E47" s="9">
        <v>1.5169999999999999</v>
      </c>
      <c r="F47" s="9">
        <v>1.4770000000000001</v>
      </c>
      <c r="I47" s="4">
        <f ca="1">goldenOTP_check!I47*I103</f>
        <v>892.39300000000003</v>
      </c>
      <c r="J47" s="4">
        <f ca="1">goldenOTP_check!J47*J103</f>
        <v>910.84299999999996</v>
      </c>
      <c r="K47" s="4">
        <f ca="1">goldenOTP_check!K47*K103</f>
        <v>965.77500000000009</v>
      </c>
      <c r="L47" s="4">
        <f ca="1">goldenOTP_check!L47*L103</f>
        <v>996.83999999999992</v>
      </c>
      <c r="M47" s="4">
        <f ca="1">goldenOTP_check!M47*M103</f>
        <v>1012.824</v>
      </c>
      <c r="N47" s="4">
        <f ca="1">goldenOTP_check!N47*N103</f>
        <v>1037.556</v>
      </c>
      <c r="O47" s="4">
        <f ca="1">goldenOTP_check!O47*O103</f>
        <v>1041.03</v>
      </c>
      <c r="P47" s="4">
        <f ca="1">goldenOTP_check!P47*P103</f>
        <v>1050.0430000000001</v>
      </c>
      <c r="Q47" s="4">
        <f ca="1">goldenOTP_check!Q47*Q103</f>
        <v>1053.2160000000001</v>
      </c>
      <c r="R47" s="4">
        <f ca="1">goldenOTP_check!R47*R103</f>
        <v>1058.5730000000001</v>
      </c>
      <c r="S47" s="4">
        <f ca="1">goldenOTP_check!S47*S103</f>
        <v>1058.7840000000001</v>
      </c>
      <c r="T47" s="4">
        <f ca="1">goldenOTP_check!T47*T103</f>
        <v>1041.0639999999999</v>
      </c>
      <c r="U47" s="4">
        <f ca="1">goldenOTP_check!U47*U103</f>
        <v>1035.5040000000001</v>
      </c>
      <c r="V47" s="4">
        <f ca="1">goldenOTP_check!V47*V103</f>
        <v>999.25800000000004</v>
      </c>
      <c r="W47" s="4">
        <f ca="1">goldenOTP_check!W47*W103</f>
        <v>961.15500000000009</v>
      </c>
      <c r="X47" s="4">
        <f ca="1">goldenOTP_check!X47*X103</f>
        <v>925.56700000000001</v>
      </c>
      <c r="Y47" s="4">
        <f ca="1">goldenOTP_check!Y47*Y103</f>
        <v>897.97699999999998</v>
      </c>
    </row>
    <row r="48" spans="2:25" x14ac:dyDescent="0.3">
      <c r="B48" s="6">
        <v>45</v>
      </c>
      <c r="C48" s="9">
        <v>1.7330000000000001</v>
      </c>
      <c r="D48" s="9">
        <v>1.637</v>
      </c>
      <c r="E48" s="9">
        <v>1.637</v>
      </c>
      <c r="F48" s="9">
        <v>1.5920000000000001</v>
      </c>
      <c r="I48" s="4">
        <f ca="1">goldenOTP_check!I48*I104</f>
        <v>893.36799999999994</v>
      </c>
      <c r="J48" s="4">
        <f ca="1">goldenOTP_check!J48*J104</f>
        <v>916.27200000000005</v>
      </c>
      <c r="K48" s="4">
        <f ca="1">goldenOTP_check!K48*K104</f>
        <v>959.48800000000006</v>
      </c>
      <c r="L48" s="4">
        <f ca="1">goldenOTP_check!L48*L104</f>
        <v>1014.328</v>
      </c>
      <c r="M48" s="4">
        <f ca="1">goldenOTP_check!M48*M104</f>
        <v>1022.955</v>
      </c>
      <c r="N48" s="4">
        <f ca="1">goldenOTP_check!N48*N104</f>
        <v>1038.6089999999999</v>
      </c>
      <c r="O48" s="4">
        <f ca="1">goldenOTP_check!O48*O104</f>
        <v>1043.999</v>
      </c>
      <c r="P48" s="4">
        <f ca="1">goldenOTP_check!P48*P104</f>
        <v>1042.9079999999999</v>
      </c>
      <c r="Q48" s="4">
        <f ca="1">goldenOTP_check!Q48*Q104</f>
        <v>1055.2750000000001</v>
      </c>
      <c r="R48" s="4">
        <f ca="1">goldenOTP_check!R48*R104</f>
        <v>1049.4319999999998</v>
      </c>
      <c r="S48" s="4">
        <f ca="1">goldenOTP_check!S48*S104</f>
        <v>1056.4170000000001</v>
      </c>
      <c r="T48" s="4">
        <f ca="1">goldenOTP_check!T48*T104</f>
        <v>1053.942</v>
      </c>
      <c r="U48" s="4">
        <f ca="1">goldenOTP_check!U48*U104</f>
        <v>1042.6950000000002</v>
      </c>
      <c r="V48" s="4">
        <f ca="1">goldenOTP_check!V48*V104</f>
        <v>1014.972</v>
      </c>
      <c r="W48" s="4">
        <f ca="1">goldenOTP_check!W48*W104</f>
        <v>981.50400000000002</v>
      </c>
      <c r="X48" s="4">
        <f ca="1">goldenOTP_check!X48*X104</f>
        <v>937.00800000000004</v>
      </c>
      <c r="Y48" s="4">
        <f ca="1">goldenOTP_check!Y48*Y104</f>
        <v>909.32100000000003</v>
      </c>
    </row>
    <row r="49" spans="2:25" x14ac:dyDescent="0.3">
      <c r="B49" s="6">
        <v>46</v>
      </c>
      <c r="C49" s="9">
        <v>1.9159999999999999</v>
      </c>
      <c r="D49" s="9">
        <v>1.794</v>
      </c>
      <c r="E49" s="9">
        <v>1.7929999999999999</v>
      </c>
      <c r="F49" s="9">
        <v>1.7450000000000001</v>
      </c>
      <c r="I49" s="4">
        <f ca="1">goldenOTP_check!I49*I105</f>
        <v>884.20700000000011</v>
      </c>
      <c r="J49" s="4">
        <f ca="1">goldenOTP_check!J49*J105</f>
        <v>934.56999999999994</v>
      </c>
      <c r="K49" s="4">
        <f ca="1">goldenOTP_check!K49*K105</f>
        <v>962.26800000000003</v>
      </c>
      <c r="L49" s="4">
        <f ca="1">goldenOTP_check!L49*L105</f>
        <v>1005.186</v>
      </c>
      <c r="M49" s="4">
        <f ca="1">goldenOTP_check!M49*M105</f>
        <v>1033.5</v>
      </c>
      <c r="N49" s="4">
        <f ca="1">goldenOTP_check!N49*N105</f>
        <v>1042.366</v>
      </c>
      <c r="O49" s="4">
        <f ca="1">goldenOTP_check!O49*O105</f>
        <v>1039.18</v>
      </c>
      <c r="P49" s="4">
        <f ca="1">goldenOTP_check!P49*P105</f>
        <v>1037.461</v>
      </c>
      <c r="Q49" s="4">
        <f ca="1">goldenOTP_check!Q49*Q105</f>
        <v>1028</v>
      </c>
      <c r="R49" s="4">
        <f ca="1">goldenOTP_check!R49*R105</f>
        <v>1044.384</v>
      </c>
      <c r="S49" s="4">
        <f ca="1">goldenOTP_check!S49*S105</f>
        <v>1050.364</v>
      </c>
      <c r="T49" s="4">
        <f ca="1">goldenOTP_check!T49*T105</f>
        <v>1040.317</v>
      </c>
      <c r="U49" s="4">
        <f ca="1">goldenOTP_check!U49*U105</f>
        <v>1034.5999999999999</v>
      </c>
      <c r="V49" s="4">
        <f ca="1">goldenOTP_check!V49*V105</f>
        <v>1026.8440000000001</v>
      </c>
      <c r="W49" s="4">
        <f ca="1">goldenOTP_check!W49*W105</f>
        <v>986.298</v>
      </c>
      <c r="X49" s="4">
        <f ca="1">goldenOTP_check!X49*X105</f>
        <v>932.95799999999997</v>
      </c>
      <c r="Y49" s="4">
        <f ca="1">goldenOTP_check!Y49*Y105</f>
        <v>914.60399999999993</v>
      </c>
    </row>
    <row r="50" spans="2:25" x14ac:dyDescent="0.3">
      <c r="B50" s="6">
        <v>47</v>
      </c>
      <c r="C50" s="9">
        <v>2.1379999999999999</v>
      </c>
      <c r="D50" s="9">
        <v>1.9870000000000001</v>
      </c>
      <c r="E50" s="9">
        <v>1.986</v>
      </c>
      <c r="F50" s="9">
        <v>1.9330000000000001</v>
      </c>
      <c r="I50" s="4">
        <f ca="1">goldenOTP_check!I50*I106</f>
        <v>876.24799999999993</v>
      </c>
      <c r="J50" s="4">
        <f ca="1">goldenOTP_check!J50*J106</f>
        <v>923.64999999999986</v>
      </c>
      <c r="K50" s="4">
        <f ca="1">goldenOTP_check!K50*K106</f>
        <v>969.69600000000003</v>
      </c>
      <c r="L50" s="4">
        <f ca="1">goldenOTP_check!L50*L106</f>
        <v>1005.048</v>
      </c>
      <c r="M50" s="4">
        <f ca="1">goldenOTP_check!M50*M106</f>
        <v>1027.1760000000002</v>
      </c>
      <c r="N50" s="4">
        <f ca="1">goldenOTP_check!N50*N106</f>
        <v>1031.616</v>
      </c>
      <c r="O50" s="4">
        <f ca="1">goldenOTP_check!O50*O106</f>
        <v>1025.0409999999999</v>
      </c>
      <c r="P50" s="4">
        <f ca="1">goldenOTP_check!P50*P106</f>
        <v>1022</v>
      </c>
      <c r="Q50" s="4">
        <f ca="1">goldenOTP_check!Q50*Q106</f>
        <v>1030.1609999999998</v>
      </c>
      <c r="R50" s="4">
        <f ca="1">goldenOTP_check!R50*R106</f>
        <v>1029</v>
      </c>
      <c r="S50" s="4">
        <f ca="1">goldenOTP_check!S50*S106</f>
        <v>1041.0720000000001</v>
      </c>
      <c r="T50" s="4">
        <f ca="1">goldenOTP_check!T50*T106</f>
        <v>1050.624</v>
      </c>
      <c r="U50" s="4">
        <f ca="1">goldenOTP_check!U50*U106</f>
        <v>1032.75</v>
      </c>
      <c r="V50" s="4">
        <f ca="1">goldenOTP_check!V50*V106</f>
        <v>1028.376</v>
      </c>
      <c r="W50" s="4">
        <f ca="1">goldenOTP_check!W50*W106</f>
        <v>993.17399999999998</v>
      </c>
      <c r="X50" s="4">
        <f ca="1">goldenOTP_check!X50*X106</f>
        <v>945.03499999999997</v>
      </c>
      <c r="Y50" s="4">
        <f ca="1">goldenOTP_check!Y50*Y106</f>
        <v>891.4079999999999</v>
      </c>
    </row>
    <row r="51" spans="2:25" x14ac:dyDescent="0.3">
      <c r="B51" s="6">
        <v>48</v>
      </c>
      <c r="C51" s="9">
        <v>2.383</v>
      </c>
      <c r="D51" s="9">
        <v>2.206</v>
      </c>
      <c r="E51" s="9">
        <v>2.2040000000000002</v>
      </c>
      <c r="F51" s="9">
        <v>2.1429999999999998</v>
      </c>
      <c r="I51" s="4">
        <f ca="1">goldenOTP_check!I51*I107</f>
        <v>898.1350000000001</v>
      </c>
      <c r="J51" s="4">
        <f ca="1">goldenOTP_check!J51*J107</f>
        <v>909.92199999999991</v>
      </c>
      <c r="K51" s="4">
        <f ca="1">goldenOTP_check!K51*K107</f>
        <v>959.06400000000008</v>
      </c>
      <c r="L51" s="4">
        <f ca="1">goldenOTP_check!L51*L107</f>
        <v>999.45299999999997</v>
      </c>
      <c r="M51" s="4">
        <f ca="1">goldenOTP_check!M51*M107</f>
        <v>1009.474</v>
      </c>
      <c r="N51" s="4">
        <f ca="1">goldenOTP_check!N51*N107</f>
        <v>1016.7690000000001</v>
      </c>
      <c r="O51" s="4">
        <f ca="1">goldenOTP_check!O51*O107</f>
        <v>1026.1320000000001</v>
      </c>
      <c r="P51" s="4">
        <f ca="1">goldenOTP_check!P51*P107</f>
        <v>1014.1859999999999</v>
      </c>
      <c r="Q51" s="4">
        <f ca="1">goldenOTP_check!Q51*Q107</f>
        <v>1020.9999999999999</v>
      </c>
      <c r="R51" s="4">
        <f ca="1">goldenOTP_check!R51*R107</f>
        <v>1024.944</v>
      </c>
      <c r="S51" s="4">
        <f ca="1">goldenOTP_check!S51*S107</f>
        <v>1046.636</v>
      </c>
      <c r="T51" s="4">
        <f ca="1">goldenOTP_check!T51*T107</f>
        <v>1039.4759999999999</v>
      </c>
      <c r="U51" s="4">
        <f ca="1">goldenOTP_check!U51*U107</f>
        <v>1034.5999999999999</v>
      </c>
      <c r="V51" s="4">
        <f ca="1">goldenOTP_check!V51*V107</f>
        <v>1025.5700000000002</v>
      </c>
      <c r="W51" s="4">
        <f ca="1">goldenOTP_check!W51*W107</f>
        <v>983.62800000000004</v>
      </c>
      <c r="X51" s="4">
        <f ca="1">goldenOTP_check!X51*X107</f>
        <v>928.08500000000004</v>
      </c>
      <c r="Y51" s="4">
        <f ca="1">goldenOTP_check!Y51*Y107</f>
        <v>905.79500000000007</v>
      </c>
    </row>
    <row r="52" spans="2:25" x14ac:dyDescent="0.3">
      <c r="B52" s="6">
        <v>49</v>
      </c>
      <c r="C52" s="9">
        <v>2.6920000000000002</v>
      </c>
      <c r="D52" s="9">
        <v>2.4900000000000002</v>
      </c>
      <c r="E52" s="9">
        <v>2.4870000000000001</v>
      </c>
      <c r="F52" s="9">
        <v>2.411</v>
      </c>
      <c r="I52" s="4">
        <f ca="1">goldenOTP_check!I52*I108</f>
        <v>858.67200000000003</v>
      </c>
      <c r="J52" s="4">
        <f ca="1">goldenOTP_check!J52*J108</f>
        <v>916.70399999999995</v>
      </c>
      <c r="K52" s="4">
        <f ca="1">goldenOTP_check!K52*K108</f>
        <v>956.41600000000005</v>
      </c>
      <c r="L52" s="4">
        <f ca="1">goldenOTP_check!L52*L108</f>
        <v>987.28</v>
      </c>
      <c r="M52" s="4">
        <f ca="1">goldenOTP_check!M52*M108</f>
        <v>1012.38</v>
      </c>
      <c r="N52" s="4">
        <f ca="1">goldenOTP_check!N52*N108</f>
        <v>1012.5120000000001</v>
      </c>
      <c r="O52" s="4">
        <f ca="1">goldenOTP_check!O52*O108</f>
        <v>1018.4999999999999</v>
      </c>
      <c r="P52" s="4">
        <f ca="1">goldenOTP_check!P52*P108</f>
        <v>1027.9960000000001</v>
      </c>
      <c r="Q52" s="4">
        <f ca="1">goldenOTP_check!Q52*Q108</f>
        <v>1025.9840000000002</v>
      </c>
      <c r="R52" s="4">
        <f ca="1">goldenOTP_check!R52*R108</f>
        <v>1023.231</v>
      </c>
      <c r="S52" s="4">
        <f ca="1">goldenOTP_check!S52*S108</f>
        <v>1032.5</v>
      </c>
      <c r="T52" s="4">
        <f ca="1">goldenOTP_check!T52*T108</f>
        <v>1031.616</v>
      </c>
      <c r="U52" s="4">
        <f ca="1">goldenOTP_check!U52*U108</f>
        <v>1036.3499999999999</v>
      </c>
      <c r="V52" s="4">
        <f ca="1">goldenOTP_check!V52*V108</f>
        <v>1011.36</v>
      </c>
      <c r="W52" s="4">
        <f ca="1">goldenOTP_check!W52*W108</f>
        <v>979.45600000000002</v>
      </c>
      <c r="X52" s="4">
        <f ca="1">goldenOTP_check!X52*X108</f>
        <v>934.84800000000007</v>
      </c>
      <c r="Y52" s="4">
        <f ca="1">goldenOTP_check!Y52*Y108</f>
        <v>870.42</v>
      </c>
    </row>
    <row r="53" spans="2:25" x14ac:dyDescent="0.3">
      <c r="B53" s="6">
        <v>50</v>
      </c>
      <c r="C53" s="9">
        <v>3.1059999999999999</v>
      </c>
      <c r="D53" s="9">
        <v>2.8849999999999998</v>
      </c>
      <c r="E53" s="9">
        <v>2.879</v>
      </c>
      <c r="F53" s="9">
        <v>2.778</v>
      </c>
      <c r="I53" s="4">
        <f ca="1">goldenOTP_check!I53*I109</f>
        <v>842.82300000000009</v>
      </c>
      <c r="J53" s="4">
        <f ca="1">goldenOTP_check!J53*J109</f>
        <v>905.93499999999995</v>
      </c>
      <c r="K53" s="4">
        <f ca="1">goldenOTP_check!K53*K109</f>
        <v>937.30500000000006</v>
      </c>
      <c r="L53" s="4">
        <f ca="1">goldenOTP_check!L53*L109</f>
        <v>971.40800000000002</v>
      </c>
      <c r="M53" s="4">
        <f ca="1">goldenOTP_check!M53*M109</f>
        <v>1004.4</v>
      </c>
      <c r="N53" s="4">
        <f ca="1">goldenOTP_check!N53*N109</f>
        <v>1009.803</v>
      </c>
      <c r="O53" s="4">
        <f ca="1">goldenOTP_check!O53*O109</f>
        <v>1012.5120000000001</v>
      </c>
      <c r="P53" s="4">
        <f ca="1">goldenOTP_check!P53*P109</f>
        <v>1018.451</v>
      </c>
      <c r="Q53" s="4">
        <f ca="1">goldenOTP_check!Q53*Q109</f>
        <v>1018.482</v>
      </c>
      <c r="R53" s="4">
        <f ca="1">goldenOTP_check!R53*R109</f>
        <v>1021.8150000000001</v>
      </c>
      <c r="S53" s="4">
        <f ca="1">goldenOTP_check!S53*S109</f>
        <v>1020.472</v>
      </c>
      <c r="T53" s="4">
        <f ca="1">goldenOTP_check!T53*T109</f>
        <v>1020.708</v>
      </c>
      <c r="U53" s="4">
        <f ca="1">goldenOTP_check!U53*U109</f>
        <v>1002.638</v>
      </c>
      <c r="V53" s="4">
        <f ca="1">goldenOTP_check!V53*V109</f>
        <v>991.46</v>
      </c>
      <c r="W53" s="4">
        <f ca="1">goldenOTP_check!W53*W109</f>
        <v>959.24700000000007</v>
      </c>
      <c r="X53" s="4">
        <f ca="1">goldenOTP_check!X53*X109</f>
        <v>926.3850000000001</v>
      </c>
      <c r="Y53" s="4">
        <f ca="1">goldenOTP_check!Y53*Y109</f>
        <v>860.13900000000001</v>
      </c>
    </row>
    <row r="54" spans="2:25" x14ac:dyDescent="0.3">
      <c r="B54" s="6">
        <v>51</v>
      </c>
      <c r="C54" s="9">
        <v>2.8929999999999998</v>
      </c>
      <c r="D54" s="9">
        <v>2.6469999999999998</v>
      </c>
      <c r="E54" s="9">
        <v>2.6459999999999999</v>
      </c>
      <c r="F54" s="9">
        <v>2.5569999999999999</v>
      </c>
      <c r="I54" s="4">
        <f ca="1">goldenOTP_check!I54*I110</f>
        <v>860.04599999999994</v>
      </c>
      <c r="J54" s="4">
        <f ca="1">goldenOTP_check!J54*J110</f>
        <v>886.5</v>
      </c>
      <c r="K54" s="4">
        <f ca="1">goldenOTP_check!K54*K110</f>
        <v>905.904</v>
      </c>
      <c r="L54" s="4">
        <f ca="1">goldenOTP_check!L54*L110</f>
        <v>941.5</v>
      </c>
      <c r="M54" s="4">
        <f ca="1">goldenOTP_check!M54*M110</f>
        <v>965.03200000000004</v>
      </c>
      <c r="N54" s="4">
        <f ca="1">goldenOTP_check!N54*N110</f>
        <v>987.35</v>
      </c>
      <c r="O54" s="4">
        <f ca="1">goldenOTP_check!O54*O110</f>
        <v>996.53399999999999</v>
      </c>
      <c r="P54" s="4">
        <f ca="1">goldenOTP_check!P54*P110</f>
        <v>1013.169</v>
      </c>
      <c r="Q54" s="4">
        <f ca="1">goldenOTP_check!Q54*Q110</f>
        <v>1014.0000000000001</v>
      </c>
      <c r="R54" s="4">
        <f ca="1">goldenOTP_check!R54*R110</f>
        <v>1016.125</v>
      </c>
      <c r="S54" s="4">
        <f ca="1">goldenOTP_check!S54*S110</f>
        <v>1003.4639999999999</v>
      </c>
      <c r="T54" s="4">
        <f ca="1">goldenOTP_check!T54*T110</f>
        <v>998.81600000000003</v>
      </c>
      <c r="U54" s="4">
        <f ca="1">goldenOTP_check!U54*U110</f>
        <v>980.36799999999994</v>
      </c>
      <c r="V54" s="4">
        <f ca="1">goldenOTP_check!V54*V110</f>
        <v>960.5</v>
      </c>
      <c r="W54" s="4">
        <f ca="1">goldenOTP_check!W54*W110</f>
        <v>923.18399999999997</v>
      </c>
      <c r="X54" s="4">
        <f ca="1">goldenOTP_check!X54*X110</f>
        <v>903.37499999999989</v>
      </c>
      <c r="Y54" s="4">
        <f ca="1">goldenOTP_check!Y54*Y110</f>
        <v>873.548</v>
      </c>
    </row>
    <row r="55" spans="2:25" x14ac:dyDescent="0.3">
      <c r="B55" s="6">
        <v>52</v>
      </c>
      <c r="C55" s="9">
        <v>2.5110000000000001</v>
      </c>
      <c r="D55" s="9">
        <v>2.3029999999999999</v>
      </c>
      <c r="E55" s="9">
        <v>2.302</v>
      </c>
      <c r="F55" s="9">
        <v>2.2269999999999999</v>
      </c>
      <c r="I55" s="4">
        <f ca="1">goldenOTP_check!I55*I111</f>
        <v>879.12</v>
      </c>
      <c r="J55" s="4">
        <f ca="1">goldenOTP_check!J55*J111</f>
        <v>882.16700000000003</v>
      </c>
      <c r="K55" s="4">
        <f ca="1">goldenOTP_check!K55*K111</f>
        <v>878.15</v>
      </c>
      <c r="L55" s="4">
        <f ca="1">goldenOTP_check!L55*L111</f>
        <v>913.02300000000002</v>
      </c>
      <c r="M55" s="4">
        <f ca="1">goldenOTP_check!M55*M111</f>
        <v>941.5</v>
      </c>
      <c r="N55" s="4">
        <f ca="1">goldenOTP_check!N55*N111</f>
        <v>969.18</v>
      </c>
      <c r="O55" s="4">
        <f ca="1">goldenOTP_check!O55*O111</f>
        <v>985.47400000000005</v>
      </c>
      <c r="P55" s="4">
        <f ca="1">goldenOTP_check!P55*P111</f>
        <v>986.25</v>
      </c>
      <c r="Q55" s="4">
        <f ca="1">goldenOTP_check!Q55*Q111</f>
        <v>995.63099999999997</v>
      </c>
      <c r="R55" s="4">
        <f ca="1">goldenOTP_check!R55*R111</f>
        <v>992.5</v>
      </c>
      <c r="S55" s="4">
        <f ca="1">goldenOTP_check!S55*S111</f>
        <v>999.92200000000003</v>
      </c>
      <c r="T55" s="4">
        <f ca="1">goldenOTP_check!T55*T111</f>
        <v>985.89</v>
      </c>
      <c r="U55" s="4">
        <f ca="1">goldenOTP_check!U55*U111</f>
        <v>960</v>
      </c>
      <c r="V55" s="4">
        <f ca="1">goldenOTP_check!V55*V111</f>
        <v>929.85700000000008</v>
      </c>
      <c r="W55" s="4">
        <f ca="1">goldenOTP_check!W55*W111</f>
        <v>891.27400000000011</v>
      </c>
      <c r="X55" s="4">
        <f ca="1">goldenOTP_check!X55*X111</f>
        <v>892.39700000000005</v>
      </c>
      <c r="Y55" s="4">
        <f ca="1">goldenOTP_check!Y55*Y111</f>
        <v>881.19200000000001</v>
      </c>
    </row>
    <row r="56" spans="2:25" x14ac:dyDescent="0.3">
      <c r="B56" s="6">
        <v>53</v>
      </c>
      <c r="C56" s="9">
        <v>2.2090000000000001</v>
      </c>
      <c r="D56" s="9">
        <v>2.0379999999999998</v>
      </c>
      <c r="E56" s="9">
        <v>2.0369999999999999</v>
      </c>
      <c r="F56" s="9">
        <v>1.9750000000000001</v>
      </c>
      <c r="I56" s="12">
        <f ca="1">goldenOTP_check!I56*I112</f>
        <v>842.43499999999995</v>
      </c>
      <c r="J56" s="4">
        <f ca="1">goldenOTP_check!J56*J112</f>
        <v>851.88800000000003</v>
      </c>
      <c r="K56" s="4">
        <f ca="1">goldenOTP_check!K56*K112</f>
        <v>868.18599999999992</v>
      </c>
      <c r="L56" s="4">
        <f ca="1">goldenOTP_check!L56*L112</f>
        <v>911.02200000000005</v>
      </c>
      <c r="M56" s="4">
        <f ca="1">goldenOTP_check!M56*M112</f>
        <v>932.36000000000013</v>
      </c>
      <c r="N56" s="4">
        <f ca="1">goldenOTP_check!N56*N112</f>
        <v>920.81600000000003</v>
      </c>
      <c r="O56" s="4">
        <f ca="1">goldenOTP_check!O56*O112</f>
        <v>957.952</v>
      </c>
      <c r="P56" s="4">
        <f ca="1">goldenOTP_check!P56*P112</f>
        <v>967.60800000000006</v>
      </c>
      <c r="Q56" s="4">
        <f ca="1">goldenOTP_check!Q56*Q112</f>
        <v>952.94</v>
      </c>
      <c r="R56" s="4">
        <f ca="1">goldenOTP_check!R56*R112</f>
        <v>978.28800000000001</v>
      </c>
      <c r="S56" s="4">
        <f ca="1">goldenOTP_check!S56*S112</f>
        <v>946.36799999999994</v>
      </c>
      <c r="T56" s="4">
        <f ca="1">goldenOTP_check!T56*T112</f>
        <v>942.71800000000007</v>
      </c>
      <c r="U56" s="4">
        <f ca="1">goldenOTP_check!U56*U112</f>
        <v>916.68799999999999</v>
      </c>
      <c r="V56" s="4">
        <f ca="1">goldenOTP_check!V56*V112</f>
        <v>891.24099999999999</v>
      </c>
      <c r="W56" s="4">
        <f ca="1">goldenOTP_check!W56*W112</f>
        <v>876.36999999999989</v>
      </c>
      <c r="X56" s="4">
        <f ca="1">goldenOTP_check!X56*X112</f>
        <v>849.52</v>
      </c>
      <c r="Y56" s="12">
        <f ca="1">goldenOTP_check!Y56*Y112</f>
        <v>827.32999999999993</v>
      </c>
    </row>
    <row r="57" spans="2:25" x14ac:dyDescent="0.3">
      <c r="B57" s="6">
        <v>54</v>
      </c>
      <c r="C57" s="9">
        <v>1.9430000000000001</v>
      </c>
      <c r="D57" s="9">
        <v>1.8080000000000001</v>
      </c>
      <c r="E57" s="9">
        <v>1.8089999999999999</v>
      </c>
      <c r="F57" s="9">
        <v>1.7549999999999999</v>
      </c>
    </row>
    <row r="58" spans="2:25" x14ac:dyDescent="0.3">
      <c r="B58" s="6">
        <v>55</v>
      </c>
      <c r="C58" s="9">
        <v>1.7130000000000001</v>
      </c>
      <c r="D58" s="9">
        <v>1.6120000000000001</v>
      </c>
      <c r="E58" s="9">
        <v>1.6120000000000001</v>
      </c>
      <c r="F58" s="9">
        <v>1.5629999999999999</v>
      </c>
      <c r="H58" t="s">
        <v>5</v>
      </c>
      <c r="I58" s="3">
        <f t="shared" ref="I58:Y70" ca="1" si="0">INDIRECT("C"&amp;(17*ROW(1:1)+ROW($C$3)-19+IF(COLUMN(C:C)&gt;19,50000,COLUMN(C:C)-1)))</f>
        <v>3.53</v>
      </c>
      <c r="J58" s="2">
        <f t="shared" ca="1" si="0"/>
        <v>3.21</v>
      </c>
      <c r="K58" s="2">
        <f t="shared" ca="1" si="0"/>
        <v>2.8519999999999999</v>
      </c>
      <c r="L58" s="2">
        <f t="shared" ca="1" si="0"/>
        <v>2.5609999999999999</v>
      </c>
      <c r="M58" s="2">
        <f t="shared" ca="1" si="0"/>
        <v>2.3679999999999999</v>
      </c>
      <c r="N58" s="2">
        <f t="shared" ca="1" si="0"/>
        <v>2.2029999999999998</v>
      </c>
      <c r="O58" s="2">
        <f t="shared" ca="1" si="0"/>
        <v>2.0710000000000002</v>
      </c>
      <c r="P58" s="2">
        <f t="shared" ca="1" si="0"/>
        <v>1.996</v>
      </c>
      <c r="Q58" s="2">
        <f t="shared" ca="1" si="0"/>
        <v>1.9730000000000001</v>
      </c>
      <c r="R58" s="2">
        <f t="shared" ca="1" si="0"/>
        <v>2</v>
      </c>
      <c r="S58" s="2">
        <f t="shared" ca="1" si="0"/>
        <v>2.0790000000000002</v>
      </c>
      <c r="T58" s="2">
        <f t="shared" ca="1" si="0"/>
        <v>2.2050000000000001</v>
      </c>
      <c r="U58" s="2">
        <f t="shared" ca="1" si="0"/>
        <v>2.3679999999999999</v>
      </c>
      <c r="V58" s="2">
        <f t="shared" ca="1" si="0"/>
        <v>2.5720000000000001</v>
      </c>
      <c r="W58" s="2">
        <f t="shared" ca="1" si="0"/>
        <v>2.8809999999999998</v>
      </c>
      <c r="X58" s="2">
        <f t="shared" ca="1" si="0"/>
        <v>3.2269999999999999</v>
      </c>
      <c r="Y58" s="3">
        <f t="shared" ca="1" si="0"/>
        <v>3.5190000000000001</v>
      </c>
    </row>
    <row r="59" spans="2:25" x14ac:dyDescent="0.3">
      <c r="B59" s="6">
        <v>56</v>
      </c>
      <c r="C59" s="9">
        <v>1.5189999999999999</v>
      </c>
      <c r="D59" s="9">
        <v>1.446</v>
      </c>
      <c r="E59" s="9">
        <v>1.4470000000000001</v>
      </c>
      <c r="F59" s="9">
        <v>1.4039999999999999</v>
      </c>
      <c r="I59" s="2">
        <f t="shared" ca="1" si="0"/>
        <v>3.3769999999999998</v>
      </c>
      <c r="J59" s="2">
        <f t="shared" ca="1" si="0"/>
        <v>2.94</v>
      </c>
      <c r="K59" s="2">
        <f t="shared" ca="1" si="0"/>
        <v>2.57</v>
      </c>
      <c r="L59" s="2">
        <f t="shared" ca="1" si="0"/>
        <v>2.327</v>
      </c>
      <c r="M59" s="2">
        <f t="shared" ca="1" si="0"/>
        <v>2.1230000000000002</v>
      </c>
      <c r="N59" s="2">
        <f t="shared" ca="1" si="0"/>
        <v>1.9530000000000001</v>
      </c>
      <c r="O59" s="2">
        <f t="shared" ca="1" si="0"/>
        <v>1.825</v>
      </c>
      <c r="P59" s="2">
        <f t="shared" ca="1" si="0"/>
        <v>1.744</v>
      </c>
      <c r="Q59" s="2">
        <f t="shared" ca="1" si="0"/>
        <v>1.7190000000000001</v>
      </c>
      <c r="R59" s="2">
        <f t="shared" ca="1" si="0"/>
        <v>1.744</v>
      </c>
      <c r="S59" s="2">
        <f t="shared" ca="1" si="0"/>
        <v>1.827</v>
      </c>
      <c r="T59" s="2">
        <f t="shared" ca="1" si="0"/>
        <v>1.96</v>
      </c>
      <c r="U59" s="2">
        <f t="shared" ca="1" si="0"/>
        <v>2.137</v>
      </c>
      <c r="V59" s="2">
        <f t="shared" ca="1" si="0"/>
        <v>2.3439999999999999</v>
      </c>
      <c r="W59" s="2">
        <f t="shared" ca="1" si="0"/>
        <v>2.5990000000000002</v>
      </c>
      <c r="X59" s="2">
        <f t="shared" ca="1" si="0"/>
        <v>2.9590000000000001</v>
      </c>
      <c r="Y59" s="2">
        <f t="shared" ca="1" si="0"/>
        <v>3.3490000000000002</v>
      </c>
    </row>
    <row r="60" spans="2:25" x14ac:dyDescent="0.3">
      <c r="B60" s="6">
        <v>57</v>
      </c>
      <c r="C60" s="9">
        <v>1.3759999999999999</v>
      </c>
      <c r="D60" s="9">
        <v>1.3240000000000001</v>
      </c>
      <c r="E60" s="9">
        <v>1.325</v>
      </c>
      <c r="F60" s="9">
        <v>1.29</v>
      </c>
      <c r="I60" s="2">
        <f t="shared" ca="1" si="0"/>
        <v>3.1320000000000001</v>
      </c>
      <c r="J60" s="2">
        <f t="shared" ca="1" si="0"/>
        <v>2.6819999999999999</v>
      </c>
      <c r="K60" s="2">
        <f t="shared" ca="1" si="0"/>
        <v>2.36</v>
      </c>
      <c r="L60" s="2">
        <f t="shared" ca="1" si="0"/>
        <v>2.1139999999999999</v>
      </c>
      <c r="M60" s="2">
        <f t="shared" ca="1" si="0"/>
        <v>1.895</v>
      </c>
      <c r="N60" s="2">
        <f t="shared" ca="1" si="0"/>
        <v>1.7170000000000001</v>
      </c>
      <c r="O60" s="2">
        <f t="shared" ca="1" si="0"/>
        <v>1.5780000000000001</v>
      </c>
      <c r="P60" s="2">
        <f t="shared" ca="1" si="0"/>
        <v>1.4930000000000001</v>
      </c>
      <c r="Q60" s="2">
        <f t="shared" ca="1" si="0"/>
        <v>1.468</v>
      </c>
      <c r="R60" s="2">
        <f t="shared" ca="1" si="0"/>
        <v>1.4990000000000001</v>
      </c>
      <c r="S60" s="2">
        <f t="shared" ca="1" si="0"/>
        <v>1.593</v>
      </c>
      <c r="T60" s="2">
        <f t="shared" ca="1" si="0"/>
        <v>1.7330000000000001</v>
      </c>
      <c r="U60" s="2">
        <f t="shared" ca="1" si="0"/>
        <v>1.9159999999999999</v>
      </c>
      <c r="V60" s="2">
        <f t="shared" ca="1" si="0"/>
        <v>2.1379999999999999</v>
      </c>
      <c r="W60" s="2">
        <f t="shared" ca="1" si="0"/>
        <v>2.383</v>
      </c>
      <c r="X60" s="2">
        <f t="shared" ca="1" si="0"/>
        <v>2.6920000000000002</v>
      </c>
      <c r="Y60" s="2">
        <f t="shared" ca="1" si="0"/>
        <v>3.1059999999999999</v>
      </c>
    </row>
    <row r="61" spans="2:25" x14ac:dyDescent="0.3">
      <c r="B61" s="6">
        <v>58</v>
      </c>
      <c r="C61" s="9">
        <v>1.2929999999999999</v>
      </c>
      <c r="D61" s="9">
        <v>1.258</v>
      </c>
      <c r="E61" s="9">
        <v>1.258</v>
      </c>
      <c r="F61" s="9">
        <v>1.2310000000000001</v>
      </c>
      <c r="I61" s="2">
        <f t="shared" ca="1" si="0"/>
        <v>2.8929999999999998</v>
      </c>
      <c r="J61" s="2">
        <f t="shared" ca="1" si="0"/>
        <v>2.5110000000000001</v>
      </c>
      <c r="K61" s="2">
        <f t="shared" ca="1" si="0"/>
        <v>2.2090000000000001</v>
      </c>
      <c r="L61" s="2">
        <f t="shared" ca="1" si="0"/>
        <v>1.9430000000000001</v>
      </c>
      <c r="M61" s="2">
        <f t="shared" ca="1" si="0"/>
        <v>1.7130000000000001</v>
      </c>
      <c r="N61" s="2">
        <f t="shared" ca="1" si="0"/>
        <v>1.5189999999999999</v>
      </c>
      <c r="O61" s="2">
        <f t="shared" ca="1" si="0"/>
        <v>1.3759999999999999</v>
      </c>
      <c r="P61" s="2">
        <f t="shared" ca="1" si="0"/>
        <v>1.2929999999999999</v>
      </c>
      <c r="Q61" s="2">
        <f t="shared" ca="1" si="0"/>
        <v>1.27</v>
      </c>
      <c r="R61" s="2">
        <f t="shared" ca="1" si="0"/>
        <v>1.302</v>
      </c>
      <c r="S61" s="2">
        <f t="shared" ca="1" si="0"/>
        <v>1.3939999999999999</v>
      </c>
      <c r="T61" s="2">
        <f t="shared" ca="1" si="0"/>
        <v>1.542</v>
      </c>
      <c r="U61" s="2">
        <f t="shared" ca="1" si="0"/>
        <v>1.7370000000000001</v>
      </c>
      <c r="V61" s="2">
        <f t="shared" ca="1" si="0"/>
        <v>1.968</v>
      </c>
      <c r="W61" s="2">
        <f t="shared" ca="1" si="0"/>
        <v>2.2280000000000002</v>
      </c>
      <c r="X61" s="2">
        <f t="shared" ca="1" si="0"/>
        <v>2.5129999999999999</v>
      </c>
      <c r="Y61" s="2">
        <f t="shared" ca="1" si="0"/>
        <v>2.8620000000000001</v>
      </c>
    </row>
    <row r="62" spans="2:25" x14ac:dyDescent="0.3">
      <c r="B62" s="6">
        <v>59</v>
      </c>
      <c r="C62" s="9">
        <v>1.27</v>
      </c>
      <c r="D62" s="9">
        <v>1.2410000000000001</v>
      </c>
      <c r="E62" s="9">
        <v>1.2410000000000001</v>
      </c>
      <c r="F62" s="9">
        <v>1.2190000000000001</v>
      </c>
      <c r="I62" s="2">
        <f t="shared" ca="1" si="0"/>
        <v>2.72</v>
      </c>
      <c r="J62" s="2">
        <f t="shared" ca="1" si="0"/>
        <v>2.3820000000000001</v>
      </c>
      <c r="K62" s="2">
        <f t="shared" ca="1" si="0"/>
        <v>2.0859999999999999</v>
      </c>
      <c r="L62" s="2">
        <f t="shared" ca="1" si="0"/>
        <v>1.8169999999999999</v>
      </c>
      <c r="M62" s="2">
        <f t="shared" ca="1" si="0"/>
        <v>1.5740000000000001</v>
      </c>
      <c r="N62" s="2">
        <f t="shared" ca="1" si="0"/>
        <v>1.375</v>
      </c>
      <c r="O62" s="2">
        <f t="shared" ca="1" si="0"/>
        <v>1.2390000000000001</v>
      </c>
      <c r="P62" s="2">
        <f t="shared" ca="1" si="0"/>
        <v>1.159</v>
      </c>
      <c r="Q62" s="2">
        <f t="shared" ca="1" si="0"/>
        <v>1.133</v>
      </c>
      <c r="R62" s="2">
        <f t="shared" ca="1" si="0"/>
        <v>1.165</v>
      </c>
      <c r="S62" s="2">
        <f t="shared" ca="1" si="0"/>
        <v>1.25</v>
      </c>
      <c r="T62" s="2">
        <f t="shared" ca="1" si="0"/>
        <v>1.3879999999999999</v>
      </c>
      <c r="U62" s="2">
        <f t="shared" ca="1" si="0"/>
        <v>1.591</v>
      </c>
      <c r="V62" s="2">
        <f t="shared" ca="1" si="0"/>
        <v>1.8360000000000001</v>
      </c>
      <c r="W62" s="2">
        <f t="shared" ca="1" si="0"/>
        <v>2.109</v>
      </c>
      <c r="X62" s="2">
        <f t="shared" ca="1" si="0"/>
        <v>2.403</v>
      </c>
      <c r="Y62" s="2">
        <f t="shared" ca="1" si="0"/>
        <v>2.7240000000000002</v>
      </c>
    </row>
    <row r="63" spans="2:25" x14ac:dyDescent="0.3">
      <c r="B63" s="6">
        <v>60</v>
      </c>
      <c r="C63" s="9">
        <v>1.302</v>
      </c>
      <c r="D63" s="9">
        <v>1.2669999999999999</v>
      </c>
      <c r="E63" s="9">
        <v>1.2669999999999999</v>
      </c>
      <c r="F63" s="9">
        <v>1.2410000000000001</v>
      </c>
      <c r="I63" s="2">
        <f t="shared" ca="1" si="0"/>
        <v>2.6349999999999998</v>
      </c>
      <c r="J63" s="2">
        <f t="shared" ca="1" si="0"/>
        <v>2.3039999999999998</v>
      </c>
      <c r="K63" s="2">
        <f t="shared" ca="1" si="0"/>
        <v>1.9970000000000001</v>
      </c>
      <c r="L63" s="2">
        <f t="shared" ca="1" si="0"/>
        <v>1.7230000000000001</v>
      </c>
      <c r="M63" s="2">
        <f t="shared" ca="1" si="0"/>
        <v>1.478</v>
      </c>
      <c r="N63" s="2">
        <f t="shared" ca="1" si="0"/>
        <v>1.2869999999999999</v>
      </c>
      <c r="O63" s="2">
        <f t="shared" ca="1" si="0"/>
        <v>1.155</v>
      </c>
      <c r="P63" s="2">
        <f t="shared" ca="1" si="0"/>
        <v>1.069</v>
      </c>
      <c r="Q63" s="2">
        <f t="shared" ca="1" si="0"/>
        <v>1.0389999999999999</v>
      </c>
      <c r="R63" s="2">
        <f t="shared" ca="1" si="0"/>
        <v>1.0740000000000001</v>
      </c>
      <c r="S63" s="2">
        <f t="shared" ca="1" si="0"/>
        <v>1.163</v>
      </c>
      <c r="T63" s="2">
        <f t="shared" ca="1" si="0"/>
        <v>1.294</v>
      </c>
      <c r="U63" s="2">
        <f t="shared" ca="1" si="0"/>
        <v>1.4890000000000001</v>
      </c>
      <c r="V63" s="2">
        <f t="shared" ca="1" si="0"/>
        <v>1.7410000000000001</v>
      </c>
      <c r="W63" s="2">
        <f t="shared" ca="1" si="0"/>
        <v>2.024</v>
      </c>
      <c r="X63" s="2">
        <f t="shared" ca="1" si="0"/>
        <v>2.331</v>
      </c>
      <c r="Y63" s="2">
        <f t="shared" ca="1" si="0"/>
        <v>2.6520000000000001</v>
      </c>
    </row>
    <row r="64" spans="2:25" x14ac:dyDescent="0.3">
      <c r="B64" s="6">
        <v>61</v>
      </c>
      <c r="C64" s="9">
        <v>1.3939999999999999</v>
      </c>
      <c r="D64" s="9">
        <v>1.345</v>
      </c>
      <c r="E64" s="9">
        <v>1.345</v>
      </c>
      <c r="F64" s="9">
        <v>1.3120000000000001</v>
      </c>
      <c r="I64" s="2">
        <f t="shared" ca="1" si="0"/>
        <v>2.6190000000000002</v>
      </c>
      <c r="J64" s="2">
        <f t="shared" ca="1" si="0"/>
        <v>2.2789999999999999</v>
      </c>
      <c r="K64" s="2">
        <f t="shared" ca="1" si="0"/>
        <v>1.9670000000000001</v>
      </c>
      <c r="L64" s="2">
        <f t="shared" ca="1" si="0"/>
        <v>1.6879999999999999</v>
      </c>
      <c r="M64" s="2">
        <f t="shared" ca="1" si="0"/>
        <v>1.4359999999999999</v>
      </c>
      <c r="N64" s="2">
        <f t="shared" ca="1" si="0"/>
        <v>1.246</v>
      </c>
      <c r="O64" s="2">
        <f t="shared" ca="1" si="0"/>
        <v>1.115</v>
      </c>
      <c r="P64" s="2">
        <f t="shared" ca="1" si="0"/>
        <v>1.0309999999999999</v>
      </c>
      <c r="Q64" s="2">
        <f t="shared" ca="1" si="0"/>
        <v>1.004</v>
      </c>
      <c r="R64" s="2">
        <f t="shared" ca="1" si="0"/>
        <v>1.0369999999999999</v>
      </c>
      <c r="S64" s="2">
        <f t="shared" ca="1" si="0"/>
        <v>1.129</v>
      </c>
      <c r="T64" s="2">
        <f t="shared" ca="1" si="0"/>
        <v>1.262</v>
      </c>
      <c r="U64" s="2">
        <f t="shared" ca="1" si="0"/>
        <v>1.4550000000000001</v>
      </c>
      <c r="V64" s="2">
        <f t="shared" ca="1" si="0"/>
        <v>1.7090000000000001</v>
      </c>
      <c r="W64" s="2">
        <f t="shared" ca="1" si="0"/>
        <v>1.99</v>
      </c>
      <c r="X64" s="2">
        <f t="shared" ca="1" si="0"/>
        <v>2.2959999999999998</v>
      </c>
      <c r="Y64" s="2">
        <f t="shared" ca="1" si="0"/>
        <v>2.6110000000000002</v>
      </c>
    </row>
    <row r="65" spans="2:25" x14ac:dyDescent="0.3">
      <c r="B65" s="6">
        <v>62</v>
      </c>
      <c r="C65" s="9">
        <v>1.542</v>
      </c>
      <c r="D65" s="9">
        <v>1.472</v>
      </c>
      <c r="E65" s="9">
        <v>1.4710000000000001</v>
      </c>
      <c r="F65" s="9">
        <v>1.4319999999999999</v>
      </c>
      <c r="I65" s="2">
        <f t="shared" ca="1" si="0"/>
        <v>2.6480000000000001</v>
      </c>
      <c r="J65" s="2">
        <f t="shared" ca="1" si="0"/>
        <v>2.3050000000000002</v>
      </c>
      <c r="K65" s="2">
        <f t="shared" ca="1" si="0"/>
        <v>1.9910000000000001</v>
      </c>
      <c r="L65" s="2">
        <f t="shared" ca="1" si="0"/>
        <v>1.7110000000000001</v>
      </c>
      <c r="M65" s="2">
        <f t="shared" ca="1" si="0"/>
        <v>1.462</v>
      </c>
      <c r="N65" s="2">
        <f t="shared" ca="1" si="0"/>
        <v>1.2709999999999999</v>
      </c>
      <c r="O65" s="2">
        <f t="shared" ca="1" si="0"/>
        <v>1.1379999999999999</v>
      </c>
      <c r="P65" s="2">
        <f t="shared" ca="1" si="0"/>
        <v>1.054</v>
      </c>
      <c r="Q65" s="2">
        <f t="shared" ca="1" si="0"/>
        <v>1.0289999999999999</v>
      </c>
      <c r="R65" s="2">
        <f t="shared" ca="1" si="0"/>
        <v>1.0660000000000001</v>
      </c>
      <c r="S65" s="2">
        <f t="shared" ca="1" si="0"/>
        <v>1.1579999999999999</v>
      </c>
      <c r="T65" s="2">
        <f t="shared" ca="1" si="0"/>
        <v>1.292</v>
      </c>
      <c r="U65" s="2">
        <f t="shared" ca="1" si="0"/>
        <v>1.488</v>
      </c>
      <c r="V65" s="2">
        <f t="shared" ca="1" si="0"/>
        <v>1.7390000000000001</v>
      </c>
      <c r="W65" s="2">
        <f t="shared" ca="1" si="0"/>
        <v>2.0190000000000001</v>
      </c>
      <c r="X65" s="2">
        <f t="shared" ca="1" si="0"/>
        <v>2.3170000000000002</v>
      </c>
      <c r="Y65" s="2">
        <f t="shared" ca="1" si="0"/>
        <v>2.6259999999999999</v>
      </c>
    </row>
    <row r="66" spans="2:25" x14ac:dyDescent="0.3">
      <c r="B66" s="6">
        <v>63</v>
      </c>
      <c r="C66" s="9">
        <v>1.7370000000000001</v>
      </c>
      <c r="D66" s="9">
        <v>1.641</v>
      </c>
      <c r="E66" s="9">
        <v>1.639</v>
      </c>
      <c r="F66" s="9">
        <v>1.5980000000000001</v>
      </c>
      <c r="I66" s="2">
        <f t="shared" ca="1" si="0"/>
        <v>2.7250000000000001</v>
      </c>
      <c r="J66" s="2">
        <f t="shared" ca="1" si="0"/>
        <v>2.3820000000000001</v>
      </c>
      <c r="K66" s="2">
        <f t="shared" ca="1" si="0"/>
        <v>2.0779999999999998</v>
      </c>
      <c r="L66" s="2">
        <f t="shared" ca="1" si="0"/>
        <v>1.8029999999999999</v>
      </c>
      <c r="M66" s="2">
        <f t="shared" ca="1" si="0"/>
        <v>1.5569999999999999</v>
      </c>
      <c r="N66" s="2">
        <f t="shared" ca="1" si="0"/>
        <v>1.3580000000000001</v>
      </c>
      <c r="O66" s="2">
        <f t="shared" ca="1" si="0"/>
        <v>1.224</v>
      </c>
      <c r="P66" s="2">
        <f t="shared" ca="1" si="0"/>
        <v>1.1419999999999999</v>
      </c>
      <c r="Q66" s="2">
        <f t="shared" ca="1" si="0"/>
        <v>1.1160000000000001</v>
      </c>
      <c r="R66" s="2">
        <f t="shared" ca="1" si="0"/>
        <v>1.149</v>
      </c>
      <c r="S66" s="2">
        <f t="shared" ca="1" si="0"/>
        <v>1.236</v>
      </c>
      <c r="T66" s="2">
        <f t="shared" ca="1" si="0"/>
        <v>1.377</v>
      </c>
      <c r="U66" s="2">
        <f t="shared" ca="1" si="0"/>
        <v>1.581</v>
      </c>
      <c r="V66" s="2">
        <f t="shared" ca="1" si="0"/>
        <v>1.831</v>
      </c>
      <c r="W66" s="2">
        <f t="shared" ca="1" si="0"/>
        <v>2.1040000000000001</v>
      </c>
      <c r="X66" s="2">
        <f t="shared" ca="1" si="0"/>
        <v>2.399</v>
      </c>
      <c r="Y66" s="2">
        <f t="shared" ca="1" si="0"/>
        <v>2.714</v>
      </c>
    </row>
    <row r="67" spans="2:25" x14ac:dyDescent="0.3">
      <c r="B67" s="6">
        <v>64</v>
      </c>
      <c r="C67" s="9">
        <v>1.968</v>
      </c>
      <c r="D67" s="9">
        <v>1.841</v>
      </c>
      <c r="E67" s="9">
        <v>1.8380000000000001</v>
      </c>
      <c r="F67" s="9">
        <v>1.794</v>
      </c>
      <c r="I67" s="2">
        <f t="shared" ca="1" si="0"/>
        <v>2.86</v>
      </c>
      <c r="J67" s="2">
        <f t="shared" ca="1" si="0"/>
        <v>2.4900000000000002</v>
      </c>
      <c r="K67" s="2">
        <f t="shared" ca="1" si="0"/>
        <v>2.1949999999999998</v>
      </c>
      <c r="L67" s="2">
        <f t="shared" ca="1" si="0"/>
        <v>1.9339999999999999</v>
      </c>
      <c r="M67" s="2">
        <f t="shared" ca="1" si="0"/>
        <v>1.702</v>
      </c>
      <c r="N67" s="2">
        <f t="shared" ca="1" si="0"/>
        <v>1.5049999999999999</v>
      </c>
      <c r="O67" s="2">
        <f t="shared" ca="1" si="0"/>
        <v>1.359</v>
      </c>
      <c r="P67" s="2">
        <f t="shared" ca="1" si="0"/>
        <v>1.274</v>
      </c>
      <c r="Q67" s="2">
        <f t="shared" ca="1" si="0"/>
        <v>1.246</v>
      </c>
      <c r="R67" s="2">
        <f t="shared" ca="1" si="0"/>
        <v>1.276</v>
      </c>
      <c r="S67" s="2">
        <f t="shared" ca="1" si="0"/>
        <v>1.3640000000000001</v>
      </c>
      <c r="T67" s="2">
        <f t="shared" ca="1" si="0"/>
        <v>1.5109999999999999</v>
      </c>
      <c r="U67" s="2">
        <f t="shared" ca="1" si="0"/>
        <v>1.7130000000000001</v>
      </c>
      <c r="V67" s="2">
        <f t="shared" ca="1" si="0"/>
        <v>1.954</v>
      </c>
      <c r="W67" s="2">
        <f t="shared" ca="1" si="0"/>
        <v>2.2250000000000001</v>
      </c>
      <c r="X67" s="2">
        <f t="shared" ca="1" si="0"/>
        <v>2.52</v>
      </c>
      <c r="Y67" s="2">
        <f t="shared" ca="1" si="0"/>
        <v>2.8769999999999998</v>
      </c>
    </row>
    <row r="68" spans="2:25" x14ac:dyDescent="0.3">
      <c r="B68" s="6">
        <v>65</v>
      </c>
      <c r="C68" s="9">
        <v>2.2280000000000002</v>
      </c>
      <c r="D68" s="9">
        <v>2.069</v>
      </c>
      <c r="E68" s="9">
        <v>2.0649999999999999</v>
      </c>
      <c r="F68" s="9">
        <v>2.0150000000000001</v>
      </c>
      <c r="I68" s="2">
        <f t="shared" ca="1" si="0"/>
        <v>3.1</v>
      </c>
      <c r="J68" s="2">
        <f t="shared" ca="1" si="0"/>
        <v>2.6659999999999999</v>
      </c>
      <c r="K68" s="2">
        <f t="shared" ca="1" si="0"/>
        <v>2.3530000000000002</v>
      </c>
      <c r="L68" s="2">
        <f t="shared" ca="1" si="0"/>
        <v>2.1030000000000002</v>
      </c>
      <c r="M68" s="2">
        <f t="shared" ca="1" si="0"/>
        <v>1.881</v>
      </c>
      <c r="N68" s="2">
        <f t="shared" ca="1" si="0"/>
        <v>1.7</v>
      </c>
      <c r="O68" s="2">
        <f t="shared" ca="1" si="0"/>
        <v>1.5589999999999999</v>
      </c>
      <c r="P68" s="2">
        <f t="shared" ca="1" si="0"/>
        <v>1.4710000000000001</v>
      </c>
      <c r="Q68" s="2">
        <f t="shared" ca="1" si="0"/>
        <v>1.4410000000000001</v>
      </c>
      <c r="R68" s="2">
        <f t="shared" ca="1" si="0"/>
        <v>1.4710000000000001</v>
      </c>
      <c r="S68" s="2">
        <f t="shared" ca="1" si="0"/>
        <v>1.5640000000000001</v>
      </c>
      <c r="T68" s="2">
        <f t="shared" ca="1" si="0"/>
        <v>1.7090000000000001</v>
      </c>
      <c r="U68" s="2">
        <f t="shared" ca="1" si="0"/>
        <v>1.8939999999999999</v>
      </c>
      <c r="V68" s="2">
        <f t="shared" ca="1" si="0"/>
        <v>2.125</v>
      </c>
      <c r="W68" s="2">
        <f t="shared" ca="1" si="0"/>
        <v>2.3769999999999998</v>
      </c>
      <c r="X68" s="2">
        <f t="shared" ca="1" si="0"/>
        <v>2.69</v>
      </c>
      <c r="Y68" s="2">
        <f t="shared" ca="1" si="0"/>
        <v>3.1059999999999999</v>
      </c>
    </row>
    <row r="69" spans="2:25" x14ac:dyDescent="0.3">
      <c r="B69" s="6">
        <v>66</v>
      </c>
      <c r="C69" s="9">
        <v>2.5129999999999999</v>
      </c>
      <c r="D69" s="9">
        <v>2.3279999999999998</v>
      </c>
      <c r="E69" s="9">
        <v>2.3239999999999998</v>
      </c>
      <c r="F69" s="9">
        <v>2.2629999999999999</v>
      </c>
      <c r="I69" s="2">
        <f t="shared" ca="1" si="0"/>
        <v>3.3660000000000001</v>
      </c>
      <c r="J69" s="2">
        <f t="shared" ca="1" si="0"/>
        <v>2.9249999999999998</v>
      </c>
      <c r="K69" s="2">
        <f t="shared" ca="1" si="0"/>
        <v>2.5609999999999999</v>
      </c>
      <c r="L69" s="2">
        <f t="shared" ca="1" si="0"/>
        <v>2.3130000000000002</v>
      </c>
      <c r="M69" s="2">
        <f t="shared" ca="1" si="0"/>
        <v>2.1030000000000002</v>
      </c>
      <c r="N69" s="2">
        <f t="shared" ca="1" si="0"/>
        <v>1.927</v>
      </c>
      <c r="O69" s="2">
        <f t="shared" ca="1" si="0"/>
        <v>1.7989999999999999</v>
      </c>
      <c r="P69" s="2">
        <f t="shared" ca="1" si="0"/>
        <v>1.72</v>
      </c>
      <c r="Q69" s="2">
        <f t="shared" ca="1" si="0"/>
        <v>1.698</v>
      </c>
      <c r="R69" s="2">
        <f t="shared" ca="1" si="0"/>
        <v>1.73</v>
      </c>
      <c r="S69" s="2">
        <f t="shared" ca="1" si="0"/>
        <v>1.819</v>
      </c>
      <c r="T69" s="2">
        <f t="shared" ca="1" si="0"/>
        <v>1.952</v>
      </c>
      <c r="U69" s="2">
        <f t="shared" ca="1" si="0"/>
        <v>2.1259999999999999</v>
      </c>
      <c r="V69" s="2">
        <f t="shared" ca="1" si="0"/>
        <v>2.335</v>
      </c>
      <c r="W69" s="2">
        <f t="shared" ca="1" si="0"/>
        <v>2.5790000000000002</v>
      </c>
      <c r="X69" s="2">
        <f t="shared" ca="1" si="0"/>
        <v>2.9350000000000001</v>
      </c>
      <c r="Y69" s="2">
        <f t="shared" ca="1" si="0"/>
        <v>3.3380000000000001</v>
      </c>
    </row>
    <row r="70" spans="2:25" x14ac:dyDescent="0.3">
      <c r="B70" s="6">
        <v>67</v>
      </c>
      <c r="C70" s="9">
        <v>2.8620000000000001</v>
      </c>
      <c r="D70" s="9">
        <v>2.66</v>
      </c>
      <c r="E70" s="9">
        <v>2.6539999999999999</v>
      </c>
      <c r="F70" s="9">
        <v>2.573</v>
      </c>
      <c r="I70" s="3">
        <f t="shared" ca="1" si="0"/>
        <v>3.5819999999999999</v>
      </c>
      <c r="J70" s="2">
        <f t="shared" ca="1" si="0"/>
        <v>3.2410000000000001</v>
      </c>
      <c r="K70" s="2">
        <f t="shared" ca="1" si="0"/>
        <v>2.86</v>
      </c>
      <c r="L70" s="2">
        <f t="shared" ca="1" si="0"/>
        <v>2.5640000000000001</v>
      </c>
      <c r="M70" s="2">
        <f t="shared" ca="1" si="0"/>
        <v>2.3660000000000001</v>
      </c>
      <c r="N70" s="2">
        <f t="shared" ca="1" si="0"/>
        <v>2.1970000000000001</v>
      </c>
      <c r="O70" s="2">
        <f t="shared" ca="1" si="0"/>
        <v>2.073</v>
      </c>
      <c r="P70" s="2">
        <f t="shared" ca="1" si="0"/>
        <v>1.998</v>
      </c>
      <c r="Q70" s="2">
        <f t="shared" ca="1" si="0"/>
        <v>1.982</v>
      </c>
      <c r="R70" s="2">
        <f t="shared" ca="1" si="0"/>
        <v>2.0150000000000001</v>
      </c>
      <c r="S70" s="2">
        <f t="shared" ca="1" si="0"/>
        <v>2.11</v>
      </c>
      <c r="T70" s="2">
        <f t="shared" ca="1" si="0"/>
        <v>2.238</v>
      </c>
      <c r="U70" s="2">
        <f t="shared" ca="1" si="0"/>
        <v>2.403</v>
      </c>
      <c r="V70" s="2">
        <f t="shared" ca="1" si="0"/>
        <v>2.5950000000000002</v>
      </c>
      <c r="W70" s="2">
        <f t="shared" ca="1" si="0"/>
        <v>2.8740000000000001</v>
      </c>
      <c r="X70" s="2">
        <f t="shared" ca="1" si="0"/>
        <v>3.2120000000000002</v>
      </c>
      <c r="Y70" s="3">
        <f t="shared" ca="1" si="0"/>
        <v>3.4980000000000002</v>
      </c>
    </row>
    <row r="71" spans="2:25" x14ac:dyDescent="0.3">
      <c r="B71" s="6">
        <v>68</v>
      </c>
      <c r="C71" s="9">
        <v>2.72</v>
      </c>
      <c r="D71" s="9">
        <v>2.4900000000000002</v>
      </c>
      <c r="E71" s="9">
        <v>2.488</v>
      </c>
      <c r="F71" s="9">
        <v>2.4079999999999999</v>
      </c>
    </row>
    <row r="72" spans="2:25" x14ac:dyDescent="0.3">
      <c r="B72" s="6">
        <v>69</v>
      </c>
      <c r="C72" s="9">
        <v>2.3820000000000001</v>
      </c>
      <c r="D72" s="9">
        <v>2.1869999999999998</v>
      </c>
      <c r="E72" s="9">
        <v>2.1869999999999998</v>
      </c>
      <c r="F72" s="9">
        <v>2.121</v>
      </c>
      <c r="H72" t="s">
        <v>1</v>
      </c>
      <c r="I72" s="10">
        <f t="shared" ref="I72:Y84" ca="1" si="1">INDIRECT("D"&amp;(17*ROW(1:1)+ROW($D$3)-19+IF(COLUMN(C:C)&gt;19,50000,COLUMN(C:C)-1)))</f>
        <v>3.2530000000000001</v>
      </c>
      <c r="J72" s="2">
        <f t="shared" ca="1" si="1"/>
        <v>2.9380000000000002</v>
      </c>
      <c r="K72" s="2">
        <f t="shared" ca="1" si="1"/>
        <v>2.6040000000000001</v>
      </c>
      <c r="L72" s="2">
        <f t="shared" ca="1" si="1"/>
        <v>2.34</v>
      </c>
      <c r="M72" s="2">
        <f t="shared" ca="1" si="1"/>
        <v>2.1669999999999998</v>
      </c>
      <c r="N72" s="2">
        <f t="shared" ca="1" si="1"/>
        <v>2.024</v>
      </c>
      <c r="O72" s="2">
        <f t="shared" ca="1" si="1"/>
        <v>1.9139999999999999</v>
      </c>
      <c r="P72" s="2">
        <f t="shared" ca="1" si="1"/>
        <v>1.85</v>
      </c>
      <c r="Q72" s="2">
        <f t="shared" ca="1" si="1"/>
        <v>1.8280000000000001</v>
      </c>
      <c r="R72" s="2">
        <f t="shared" ca="1" si="1"/>
        <v>1.853</v>
      </c>
      <c r="S72" s="2">
        <f t="shared" ca="1" si="1"/>
        <v>1.923</v>
      </c>
      <c r="T72" s="2">
        <f t="shared" ca="1" si="1"/>
        <v>2.036</v>
      </c>
      <c r="U72" s="2">
        <f t="shared" ca="1" si="1"/>
        <v>2.1789999999999998</v>
      </c>
      <c r="V72" s="2">
        <f t="shared" ca="1" si="1"/>
        <v>2.3610000000000002</v>
      </c>
      <c r="W72" s="2">
        <f t="shared" ca="1" si="1"/>
        <v>2.6419999999999999</v>
      </c>
      <c r="X72" s="2">
        <f t="shared" ca="1" si="1"/>
        <v>2.9729999999999999</v>
      </c>
      <c r="Y72" s="10">
        <f t="shared" ca="1" si="1"/>
        <v>3.2759999999999998</v>
      </c>
    </row>
    <row r="73" spans="2:25" x14ac:dyDescent="0.3">
      <c r="B73" s="6">
        <v>70</v>
      </c>
      <c r="C73" s="9">
        <v>2.0859999999999999</v>
      </c>
      <c r="D73" s="9">
        <v>1.9279999999999999</v>
      </c>
      <c r="E73" s="9">
        <v>1.9279999999999999</v>
      </c>
      <c r="F73" s="9">
        <v>1.8740000000000001</v>
      </c>
      <c r="I73" s="2">
        <f t="shared" ca="1" si="1"/>
        <v>3.0920000000000001</v>
      </c>
      <c r="J73" s="2">
        <f t="shared" ca="1" si="1"/>
        <v>2.6880000000000002</v>
      </c>
      <c r="K73" s="2">
        <f t="shared" ca="1" si="1"/>
        <v>2.3570000000000002</v>
      </c>
      <c r="L73" s="2">
        <f t="shared" ca="1" si="1"/>
        <v>2.1389999999999998</v>
      </c>
      <c r="M73" s="2">
        <f t="shared" ca="1" si="1"/>
        <v>1.96</v>
      </c>
      <c r="N73" s="2">
        <f t="shared" ca="1" si="1"/>
        <v>1.8149999999999999</v>
      </c>
      <c r="O73" s="2">
        <f t="shared" ca="1" si="1"/>
        <v>1.7070000000000001</v>
      </c>
      <c r="P73" s="2">
        <f t="shared" ca="1" si="1"/>
        <v>1.64</v>
      </c>
      <c r="Q73" s="2">
        <f t="shared" ca="1" si="1"/>
        <v>1.619</v>
      </c>
      <c r="R73" s="2">
        <f t="shared" ca="1" si="1"/>
        <v>1.643</v>
      </c>
      <c r="S73" s="2">
        <f t="shared" ca="1" si="1"/>
        <v>1.716</v>
      </c>
      <c r="T73" s="2">
        <f t="shared" ca="1" si="1"/>
        <v>1.829</v>
      </c>
      <c r="U73" s="2">
        <f t="shared" ca="1" si="1"/>
        <v>1.9810000000000001</v>
      </c>
      <c r="V73" s="2">
        <f t="shared" ca="1" si="1"/>
        <v>2.165</v>
      </c>
      <c r="W73" s="2">
        <f t="shared" ca="1" si="1"/>
        <v>2.395</v>
      </c>
      <c r="X73" s="2">
        <f t="shared" ca="1" si="1"/>
        <v>2.7280000000000002</v>
      </c>
      <c r="Y73" s="2">
        <f t="shared" ca="1" si="1"/>
        <v>3.105</v>
      </c>
    </row>
    <row r="74" spans="2:25" x14ac:dyDescent="0.3">
      <c r="B74" s="6">
        <v>71</v>
      </c>
      <c r="C74" s="9">
        <v>1.8169999999999999</v>
      </c>
      <c r="D74" s="9">
        <v>1.6990000000000001</v>
      </c>
      <c r="E74" s="9">
        <v>1.6990000000000001</v>
      </c>
      <c r="F74" s="9">
        <v>1.6519999999999999</v>
      </c>
      <c r="I74" s="2">
        <f t="shared" ca="1" si="1"/>
        <v>2.867</v>
      </c>
      <c r="J74" s="2">
        <f t="shared" ca="1" si="1"/>
        <v>2.4580000000000002</v>
      </c>
      <c r="K74" s="2">
        <f t="shared" ca="1" si="1"/>
        <v>2.1720000000000002</v>
      </c>
      <c r="L74" s="2">
        <f t="shared" ca="1" si="1"/>
        <v>1.9550000000000001</v>
      </c>
      <c r="M74" s="2">
        <f t="shared" ca="1" si="1"/>
        <v>1.7669999999999999</v>
      </c>
      <c r="N74" s="2">
        <f t="shared" ca="1" si="1"/>
        <v>1.615</v>
      </c>
      <c r="O74" s="2">
        <f t="shared" ca="1" si="1"/>
        <v>1.498</v>
      </c>
      <c r="P74" s="2">
        <f t="shared" ca="1" si="1"/>
        <v>1.429</v>
      </c>
      <c r="Q74" s="2">
        <f t="shared" ca="1" si="1"/>
        <v>1.409</v>
      </c>
      <c r="R74" s="2">
        <f t="shared" ca="1" si="1"/>
        <v>1.4370000000000001</v>
      </c>
      <c r="S74" s="2">
        <f t="shared" ca="1" si="1"/>
        <v>1.5169999999999999</v>
      </c>
      <c r="T74" s="2">
        <f t="shared" ca="1" si="1"/>
        <v>1.637</v>
      </c>
      <c r="U74" s="2">
        <f t="shared" ca="1" si="1"/>
        <v>1.794</v>
      </c>
      <c r="V74" s="2">
        <f t="shared" ca="1" si="1"/>
        <v>1.9870000000000001</v>
      </c>
      <c r="W74" s="2">
        <f t="shared" ca="1" si="1"/>
        <v>2.206</v>
      </c>
      <c r="X74" s="2">
        <f t="shared" ca="1" si="1"/>
        <v>2.4900000000000002</v>
      </c>
      <c r="Y74" s="2">
        <f t="shared" ca="1" si="1"/>
        <v>2.8849999999999998</v>
      </c>
    </row>
    <row r="75" spans="2:25" x14ac:dyDescent="0.3">
      <c r="B75" s="6">
        <v>72</v>
      </c>
      <c r="C75" s="9">
        <v>1.5740000000000001</v>
      </c>
      <c r="D75" s="9">
        <v>1.4930000000000001</v>
      </c>
      <c r="E75" s="9">
        <v>1.4930000000000001</v>
      </c>
      <c r="F75" s="9">
        <v>1.4510000000000001</v>
      </c>
      <c r="I75" s="2">
        <f t="shared" ca="1" si="1"/>
        <v>2.6469999999999998</v>
      </c>
      <c r="J75" s="2">
        <f t="shared" ca="1" si="1"/>
        <v>2.3029999999999999</v>
      </c>
      <c r="K75" s="2">
        <f t="shared" ca="1" si="1"/>
        <v>2.0379999999999998</v>
      </c>
      <c r="L75" s="2">
        <f t="shared" ca="1" si="1"/>
        <v>1.8080000000000001</v>
      </c>
      <c r="M75" s="2">
        <f t="shared" ca="1" si="1"/>
        <v>1.6120000000000001</v>
      </c>
      <c r="N75" s="2">
        <f t="shared" ca="1" si="1"/>
        <v>1.446</v>
      </c>
      <c r="O75" s="2">
        <f t="shared" ca="1" si="1"/>
        <v>1.3240000000000001</v>
      </c>
      <c r="P75" s="2">
        <f t="shared" ca="1" si="1"/>
        <v>1.258</v>
      </c>
      <c r="Q75" s="2">
        <f t="shared" ca="1" si="1"/>
        <v>1.2410000000000001</v>
      </c>
      <c r="R75" s="2">
        <f t="shared" ca="1" si="1"/>
        <v>1.2669999999999999</v>
      </c>
      <c r="S75" s="2">
        <f t="shared" ca="1" si="1"/>
        <v>1.345</v>
      </c>
      <c r="T75" s="2">
        <f t="shared" ca="1" si="1"/>
        <v>1.472</v>
      </c>
      <c r="U75" s="2">
        <f t="shared" ca="1" si="1"/>
        <v>1.641</v>
      </c>
      <c r="V75" s="2">
        <f t="shared" ca="1" si="1"/>
        <v>1.841</v>
      </c>
      <c r="W75" s="2">
        <f t="shared" ca="1" si="1"/>
        <v>2.069</v>
      </c>
      <c r="X75" s="2">
        <f t="shared" ca="1" si="1"/>
        <v>2.3279999999999998</v>
      </c>
      <c r="Y75" s="2">
        <f t="shared" ca="1" si="1"/>
        <v>2.66</v>
      </c>
    </row>
    <row r="76" spans="2:25" x14ac:dyDescent="0.3">
      <c r="B76" s="6">
        <v>73</v>
      </c>
      <c r="C76" s="9">
        <v>1.375</v>
      </c>
      <c r="D76" s="9">
        <v>1.321</v>
      </c>
      <c r="E76" s="9">
        <v>1.3220000000000001</v>
      </c>
      <c r="F76" s="9">
        <v>1.2869999999999999</v>
      </c>
      <c r="I76" s="2">
        <f t="shared" ca="1" si="1"/>
        <v>2.4900000000000002</v>
      </c>
      <c r="J76" s="2">
        <f t="shared" ca="1" si="1"/>
        <v>2.1869999999999998</v>
      </c>
      <c r="K76" s="2">
        <f t="shared" ca="1" si="1"/>
        <v>1.9279999999999999</v>
      </c>
      <c r="L76" s="2">
        <f t="shared" ca="1" si="1"/>
        <v>1.6990000000000001</v>
      </c>
      <c r="M76" s="2">
        <f t="shared" ca="1" si="1"/>
        <v>1.4930000000000001</v>
      </c>
      <c r="N76" s="2">
        <f t="shared" ca="1" si="1"/>
        <v>1.321</v>
      </c>
      <c r="O76" s="2">
        <f t="shared" ca="1" si="1"/>
        <v>1.2050000000000001</v>
      </c>
      <c r="P76" s="2">
        <f t="shared" ca="1" si="1"/>
        <v>1.1399999999999999</v>
      </c>
      <c r="Q76" s="2">
        <f t="shared" ca="1" si="1"/>
        <v>1.121</v>
      </c>
      <c r="R76" s="2">
        <f t="shared" ca="1" si="1"/>
        <v>1.147</v>
      </c>
      <c r="S76" s="2">
        <f t="shared" ca="1" si="1"/>
        <v>1.2190000000000001</v>
      </c>
      <c r="T76" s="2">
        <f t="shared" ca="1" si="1"/>
        <v>1.34</v>
      </c>
      <c r="U76" s="2">
        <f t="shared" ca="1" si="1"/>
        <v>1.5149999999999999</v>
      </c>
      <c r="V76" s="2">
        <f t="shared" ca="1" si="1"/>
        <v>1.726</v>
      </c>
      <c r="W76" s="2">
        <f t="shared" ca="1" si="1"/>
        <v>1.964</v>
      </c>
      <c r="X76" s="2">
        <f t="shared" ca="1" si="1"/>
        <v>2.226</v>
      </c>
      <c r="Y76" s="2">
        <f t="shared" ca="1" si="1"/>
        <v>2.524</v>
      </c>
    </row>
    <row r="77" spans="2:25" x14ac:dyDescent="0.3">
      <c r="B77" s="6">
        <v>74</v>
      </c>
      <c r="C77" s="9">
        <v>1.2390000000000001</v>
      </c>
      <c r="D77" s="9">
        <v>1.2050000000000001</v>
      </c>
      <c r="E77" s="9">
        <v>1.2050000000000001</v>
      </c>
      <c r="F77" s="9">
        <v>1.177</v>
      </c>
      <c r="I77" s="2">
        <f t="shared" ca="1" si="1"/>
        <v>2.415</v>
      </c>
      <c r="J77" s="2">
        <f t="shared" ca="1" si="1"/>
        <v>2.1179999999999999</v>
      </c>
      <c r="K77" s="2">
        <f t="shared" ca="1" si="1"/>
        <v>1.853</v>
      </c>
      <c r="L77" s="2">
        <f t="shared" ca="1" si="1"/>
        <v>1.62</v>
      </c>
      <c r="M77" s="2">
        <f t="shared" ca="1" si="1"/>
        <v>1.4119999999999999</v>
      </c>
      <c r="N77" s="2">
        <f t="shared" ca="1" si="1"/>
        <v>1.248</v>
      </c>
      <c r="O77" s="2">
        <f t="shared" ca="1" si="1"/>
        <v>1.133</v>
      </c>
      <c r="P77" s="2">
        <f t="shared" ca="1" si="1"/>
        <v>1.0589999999999999</v>
      </c>
      <c r="Q77" s="2">
        <f t="shared" ca="1" si="1"/>
        <v>1.0349999999999999</v>
      </c>
      <c r="R77" s="2">
        <f t="shared" ca="1" si="1"/>
        <v>1.0660000000000001</v>
      </c>
      <c r="S77" s="2">
        <f t="shared" ca="1" si="1"/>
        <v>1.145</v>
      </c>
      <c r="T77" s="2">
        <f t="shared" ca="1" si="1"/>
        <v>1.2609999999999999</v>
      </c>
      <c r="U77" s="2">
        <f t="shared" ca="1" si="1"/>
        <v>1.429</v>
      </c>
      <c r="V77" s="2">
        <f t="shared" ca="1" si="1"/>
        <v>1.6459999999999999</v>
      </c>
      <c r="W77" s="2">
        <f t="shared" ca="1" si="1"/>
        <v>1.8879999999999999</v>
      </c>
      <c r="X77" s="2">
        <f t="shared" ca="1" si="1"/>
        <v>2.16</v>
      </c>
      <c r="Y77" s="2">
        <f t="shared" ca="1" si="1"/>
        <v>2.4540000000000002</v>
      </c>
    </row>
    <row r="78" spans="2:25" x14ac:dyDescent="0.3">
      <c r="B78" s="6">
        <v>75</v>
      </c>
      <c r="C78" s="9">
        <v>1.159</v>
      </c>
      <c r="D78" s="9">
        <v>1.1399999999999999</v>
      </c>
      <c r="E78" s="9">
        <v>1.139</v>
      </c>
      <c r="F78" s="9">
        <v>1.119</v>
      </c>
      <c r="I78" s="2">
        <f t="shared" ca="1" si="1"/>
        <v>2.3940000000000001</v>
      </c>
      <c r="J78" s="2">
        <f t="shared" ca="1" si="1"/>
        <v>2.0960000000000001</v>
      </c>
      <c r="K78" s="2">
        <f t="shared" ca="1" si="1"/>
        <v>1.827</v>
      </c>
      <c r="L78" s="2">
        <f t="shared" ca="1" si="1"/>
        <v>1.589</v>
      </c>
      <c r="M78" s="2">
        <f t="shared" ca="1" si="1"/>
        <v>1.3759999999999999</v>
      </c>
      <c r="N78" s="2">
        <f t="shared" ca="1" si="1"/>
        <v>1.214</v>
      </c>
      <c r="O78" s="2">
        <f t="shared" ca="1" si="1"/>
        <v>1.1000000000000001</v>
      </c>
      <c r="P78" s="2">
        <f t="shared" ca="1" si="1"/>
        <v>1.026</v>
      </c>
      <c r="Q78" s="2">
        <f t="shared" ca="1" si="1"/>
        <v>1.0049999999999999</v>
      </c>
      <c r="R78" s="2">
        <f t="shared" ca="1" si="1"/>
        <v>1.0329999999999999</v>
      </c>
      <c r="S78" s="2">
        <f t="shared" ca="1" si="1"/>
        <v>1.1180000000000001</v>
      </c>
      <c r="T78" s="2">
        <f t="shared" ca="1" si="1"/>
        <v>1.234</v>
      </c>
      <c r="U78" s="2">
        <f t="shared" ca="1" si="1"/>
        <v>1.401</v>
      </c>
      <c r="V78" s="2">
        <f t="shared" ca="1" si="1"/>
        <v>1.6180000000000001</v>
      </c>
      <c r="W78" s="2">
        <f t="shared" ca="1" si="1"/>
        <v>1.86</v>
      </c>
      <c r="X78" s="2">
        <f t="shared" ca="1" si="1"/>
        <v>2.13</v>
      </c>
      <c r="Y78" s="2">
        <f t="shared" ca="1" si="1"/>
        <v>2.4209999999999998</v>
      </c>
    </row>
    <row r="79" spans="2:25" x14ac:dyDescent="0.3">
      <c r="B79" s="6">
        <v>76</v>
      </c>
      <c r="C79" s="9">
        <v>1.133</v>
      </c>
      <c r="D79" s="9">
        <v>1.121</v>
      </c>
      <c r="E79" s="9">
        <v>1.1200000000000001</v>
      </c>
      <c r="F79" s="9">
        <v>1.105</v>
      </c>
      <c r="I79" s="2">
        <f t="shared" ca="1" si="1"/>
        <v>2.4239999999999999</v>
      </c>
      <c r="J79" s="2">
        <f t="shared" ca="1" si="1"/>
        <v>2.12</v>
      </c>
      <c r="K79" s="2">
        <f t="shared" ca="1" si="1"/>
        <v>1.849</v>
      </c>
      <c r="L79" s="2">
        <f t="shared" ca="1" si="1"/>
        <v>1.611</v>
      </c>
      <c r="M79" s="2">
        <f t="shared" ca="1" si="1"/>
        <v>1.3979999999999999</v>
      </c>
      <c r="N79" s="2">
        <f t="shared" ca="1" si="1"/>
        <v>1.2330000000000001</v>
      </c>
      <c r="O79" s="2">
        <f t="shared" ca="1" si="1"/>
        <v>1.1180000000000001</v>
      </c>
      <c r="P79" s="2">
        <f t="shared" ca="1" si="1"/>
        <v>1.044</v>
      </c>
      <c r="Q79" s="2">
        <f t="shared" ca="1" si="1"/>
        <v>1.024</v>
      </c>
      <c r="R79" s="2">
        <f t="shared" ca="1" si="1"/>
        <v>1.0569999999999999</v>
      </c>
      <c r="S79" s="2">
        <f t="shared" ca="1" si="1"/>
        <v>1.1399999999999999</v>
      </c>
      <c r="T79" s="2">
        <f t="shared" ca="1" si="1"/>
        <v>1.2589999999999999</v>
      </c>
      <c r="U79" s="2">
        <f t="shared" ca="1" si="1"/>
        <v>1.429</v>
      </c>
      <c r="V79" s="2">
        <f t="shared" ca="1" si="1"/>
        <v>1.6459999999999999</v>
      </c>
      <c r="W79" s="2">
        <f t="shared" ca="1" si="1"/>
        <v>1.8839999999999999</v>
      </c>
      <c r="X79" s="2">
        <f t="shared" ca="1" si="1"/>
        <v>2.15</v>
      </c>
      <c r="Y79" s="2">
        <f t="shared" ca="1" si="1"/>
        <v>2.4369999999999998</v>
      </c>
    </row>
    <row r="80" spans="2:25" x14ac:dyDescent="0.3">
      <c r="B80" s="6">
        <v>77</v>
      </c>
      <c r="C80" s="9">
        <v>1.165</v>
      </c>
      <c r="D80" s="9">
        <v>1.147</v>
      </c>
      <c r="E80" s="9">
        <v>1.1459999999999999</v>
      </c>
      <c r="F80" s="9">
        <v>1.1259999999999999</v>
      </c>
      <c r="I80" s="2">
        <f t="shared" ca="1" si="1"/>
        <v>2.4950000000000001</v>
      </c>
      <c r="J80" s="2">
        <f t="shared" ca="1" si="1"/>
        <v>2.1920000000000002</v>
      </c>
      <c r="K80" s="2">
        <f t="shared" ca="1" si="1"/>
        <v>1.927</v>
      </c>
      <c r="L80" s="2">
        <f t="shared" ca="1" si="1"/>
        <v>1.6890000000000001</v>
      </c>
      <c r="M80" s="2">
        <f t="shared" ca="1" si="1"/>
        <v>1.4790000000000001</v>
      </c>
      <c r="N80" s="2">
        <f t="shared" ca="1" si="1"/>
        <v>1.3069999999999999</v>
      </c>
      <c r="O80" s="2">
        <f t="shared" ca="1" si="1"/>
        <v>1.1919999999999999</v>
      </c>
      <c r="P80" s="2">
        <f t="shared" ca="1" si="1"/>
        <v>1.1220000000000001</v>
      </c>
      <c r="Q80" s="2">
        <f t="shared" ca="1" si="1"/>
        <v>1.1020000000000001</v>
      </c>
      <c r="R80" s="2">
        <f t="shared" ca="1" si="1"/>
        <v>1.1299999999999999</v>
      </c>
      <c r="S80" s="2">
        <f t="shared" ca="1" si="1"/>
        <v>1.206</v>
      </c>
      <c r="T80" s="2">
        <f t="shared" ca="1" si="1"/>
        <v>1.329</v>
      </c>
      <c r="U80" s="2">
        <f t="shared" ca="1" si="1"/>
        <v>1.508</v>
      </c>
      <c r="V80" s="2">
        <f t="shared" ca="1" si="1"/>
        <v>1.7230000000000001</v>
      </c>
      <c r="W80" s="2">
        <f t="shared" ca="1" si="1"/>
        <v>1.96</v>
      </c>
      <c r="X80" s="2">
        <f t="shared" ca="1" si="1"/>
        <v>2.2250000000000001</v>
      </c>
      <c r="Y80" s="2">
        <f t="shared" ca="1" si="1"/>
        <v>2.5230000000000001</v>
      </c>
    </row>
    <row r="81" spans="2:25" x14ac:dyDescent="0.3">
      <c r="B81" s="6">
        <v>78</v>
      </c>
      <c r="C81" s="9">
        <v>1.25</v>
      </c>
      <c r="D81" s="9">
        <v>1.2190000000000001</v>
      </c>
      <c r="E81" s="9">
        <v>1.218</v>
      </c>
      <c r="F81" s="9">
        <v>1.1910000000000001</v>
      </c>
      <c r="I81" s="2">
        <f t="shared" ca="1" si="1"/>
        <v>2.625</v>
      </c>
      <c r="J81" s="2">
        <f t="shared" ca="1" si="1"/>
        <v>2.2930000000000001</v>
      </c>
      <c r="K81" s="2">
        <f t="shared" ca="1" si="1"/>
        <v>2.032</v>
      </c>
      <c r="L81" s="2">
        <f t="shared" ca="1" si="1"/>
        <v>1.804</v>
      </c>
      <c r="M81" s="2">
        <f t="shared" ca="1" si="1"/>
        <v>1.6040000000000001</v>
      </c>
      <c r="N81" s="2">
        <f t="shared" ca="1" si="1"/>
        <v>1.4350000000000001</v>
      </c>
      <c r="O81" s="2">
        <f t="shared" ca="1" si="1"/>
        <v>1.3109999999999999</v>
      </c>
      <c r="P81" s="2">
        <f t="shared" ca="1" si="1"/>
        <v>1.24</v>
      </c>
      <c r="Q81" s="2">
        <f t="shared" ca="1" si="1"/>
        <v>1.218</v>
      </c>
      <c r="R81" s="2">
        <f t="shared" ca="1" si="1"/>
        <v>1.244</v>
      </c>
      <c r="S81" s="2">
        <f t="shared" ca="1" si="1"/>
        <v>1.319</v>
      </c>
      <c r="T81" s="2">
        <f t="shared" ca="1" si="1"/>
        <v>1.446</v>
      </c>
      <c r="U81" s="2">
        <f t="shared" ca="1" si="1"/>
        <v>1.6220000000000001</v>
      </c>
      <c r="V81" s="2">
        <f t="shared" ca="1" si="1"/>
        <v>1.831</v>
      </c>
      <c r="W81" s="2">
        <f t="shared" ca="1" si="1"/>
        <v>2.0680000000000001</v>
      </c>
      <c r="X81" s="2">
        <f t="shared" ca="1" si="1"/>
        <v>2.335</v>
      </c>
      <c r="Y81" s="2">
        <f t="shared" ca="1" si="1"/>
        <v>2.6739999999999999</v>
      </c>
    </row>
    <row r="82" spans="2:25" x14ac:dyDescent="0.3">
      <c r="B82" s="6">
        <v>79</v>
      </c>
      <c r="C82" s="9">
        <v>1.3879999999999999</v>
      </c>
      <c r="D82" s="9">
        <v>1.34</v>
      </c>
      <c r="E82" s="9">
        <v>1.339</v>
      </c>
      <c r="F82" s="9">
        <v>1.306</v>
      </c>
      <c r="I82" s="2">
        <f t="shared" ca="1" si="1"/>
        <v>2.8490000000000002</v>
      </c>
      <c r="J82" s="2">
        <f t="shared" ca="1" si="1"/>
        <v>2.4540000000000002</v>
      </c>
      <c r="K82" s="2">
        <f t="shared" ca="1" si="1"/>
        <v>2.1739999999999999</v>
      </c>
      <c r="L82" s="2">
        <f t="shared" ca="1" si="1"/>
        <v>1.952</v>
      </c>
      <c r="M82" s="2">
        <f t="shared" ca="1" si="1"/>
        <v>1.76</v>
      </c>
      <c r="N82" s="2">
        <f t="shared" ca="1" si="1"/>
        <v>1.605</v>
      </c>
      <c r="O82" s="2">
        <f t="shared" ca="1" si="1"/>
        <v>1.4850000000000001</v>
      </c>
      <c r="P82" s="2">
        <f t="shared" ca="1" si="1"/>
        <v>1.411</v>
      </c>
      <c r="Q82" s="2">
        <f t="shared" ca="1" si="1"/>
        <v>1.387</v>
      </c>
      <c r="R82" s="2">
        <f t="shared" ca="1" si="1"/>
        <v>1.4139999999999999</v>
      </c>
      <c r="S82" s="2">
        <f t="shared" ca="1" si="1"/>
        <v>1.494</v>
      </c>
      <c r="T82" s="2">
        <f t="shared" ca="1" si="1"/>
        <v>1.619</v>
      </c>
      <c r="U82" s="2">
        <f t="shared" ca="1" si="1"/>
        <v>1.78</v>
      </c>
      <c r="V82" s="2">
        <f t="shared" ca="1" si="1"/>
        <v>1.9790000000000001</v>
      </c>
      <c r="W82" s="2">
        <f t="shared" ca="1" si="1"/>
        <v>2.206</v>
      </c>
      <c r="X82" s="2">
        <f t="shared" ca="1" si="1"/>
        <v>2.4950000000000001</v>
      </c>
      <c r="Y82" s="2">
        <f t="shared" ca="1" si="1"/>
        <v>2.895</v>
      </c>
    </row>
    <row r="83" spans="2:25" x14ac:dyDescent="0.3">
      <c r="B83" s="6">
        <v>80</v>
      </c>
      <c r="C83" s="9">
        <v>1.591</v>
      </c>
      <c r="D83" s="9">
        <v>1.5149999999999999</v>
      </c>
      <c r="E83" s="9">
        <v>1.514</v>
      </c>
      <c r="F83" s="9">
        <v>1.4790000000000001</v>
      </c>
      <c r="I83" s="2">
        <f t="shared" ca="1" si="1"/>
        <v>3.1070000000000002</v>
      </c>
      <c r="J83" s="2">
        <f t="shared" ca="1" si="1"/>
        <v>2.6960000000000002</v>
      </c>
      <c r="K83" s="2">
        <f t="shared" ca="1" si="1"/>
        <v>2.3650000000000002</v>
      </c>
      <c r="L83" s="2">
        <f t="shared" ca="1" si="1"/>
        <v>2.1419999999999999</v>
      </c>
      <c r="M83" s="2">
        <f t="shared" ca="1" si="1"/>
        <v>1.9570000000000001</v>
      </c>
      <c r="N83" s="2">
        <f t="shared" ca="1" si="1"/>
        <v>1.8049999999999999</v>
      </c>
      <c r="O83" s="2">
        <f t="shared" ca="1" si="1"/>
        <v>1.6950000000000001</v>
      </c>
      <c r="P83" s="2">
        <f t="shared" ca="1" si="1"/>
        <v>1.6279999999999999</v>
      </c>
      <c r="Q83" s="2">
        <f t="shared" ca="1" si="1"/>
        <v>1.609</v>
      </c>
      <c r="R83" s="2">
        <f t="shared" ca="1" si="1"/>
        <v>1.6379999999999999</v>
      </c>
      <c r="S83" s="2">
        <f t="shared" ca="1" si="1"/>
        <v>1.7170000000000001</v>
      </c>
      <c r="T83" s="2">
        <f t="shared" ca="1" si="1"/>
        <v>1.831</v>
      </c>
      <c r="U83" s="2">
        <f t="shared" ca="1" si="1"/>
        <v>1.9850000000000001</v>
      </c>
      <c r="V83" s="2">
        <f t="shared" ca="1" si="1"/>
        <v>2.17</v>
      </c>
      <c r="W83" s="2">
        <f t="shared" ca="1" si="1"/>
        <v>2.3879999999999999</v>
      </c>
      <c r="X83" s="2">
        <f t="shared" ca="1" si="1"/>
        <v>2.7189999999999999</v>
      </c>
      <c r="Y83" s="2">
        <f t="shared" ca="1" si="1"/>
        <v>3.11</v>
      </c>
    </row>
    <row r="84" spans="2:25" x14ac:dyDescent="0.3">
      <c r="B84" s="6">
        <v>81</v>
      </c>
      <c r="C84" s="9">
        <v>1.8360000000000001</v>
      </c>
      <c r="D84" s="9">
        <v>1.726</v>
      </c>
      <c r="E84" s="9">
        <v>1.724</v>
      </c>
      <c r="F84" s="9">
        <v>1.6859999999999999</v>
      </c>
      <c r="I84" s="10">
        <f t="shared" ca="1" si="1"/>
        <v>3.339</v>
      </c>
      <c r="J84" s="2">
        <f t="shared" ca="1" si="1"/>
        <v>3.008</v>
      </c>
      <c r="K84" s="2">
        <f t="shared" ca="1" si="1"/>
        <v>2.6539999999999999</v>
      </c>
      <c r="L84" s="2">
        <f t="shared" ca="1" si="1"/>
        <v>2.383</v>
      </c>
      <c r="M84" s="2">
        <f t="shared" ca="1" si="1"/>
        <v>2.206</v>
      </c>
      <c r="N84" s="2">
        <f t="shared" ca="1" si="1"/>
        <v>2.0529999999999999</v>
      </c>
      <c r="O84" s="2">
        <f t="shared" ca="1" si="1"/>
        <v>1.9430000000000001</v>
      </c>
      <c r="P84" s="2">
        <f t="shared" ca="1" si="1"/>
        <v>1.8779999999999999</v>
      </c>
      <c r="Q84" s="2">
        <f t="shared" ca="1" si="1"/>
        <v>1.863</v>
      </c>
      <c r="R84" s="2">
        <f t="shared" ca="1" si="1"/>
        <v>1.8939999999999999</v>
      </c>
      <c r="S84" s="2">
        <f t="shared" ca="1" si="1"/>
        <v>1.9750000000000001</v>
      </c>
      <c r="T84" s="2">
        <f t="shared" ca="1" si="1"/>
        <v>2.0939999999999999</v>
      </c>
      <c r="U84" s="2">
        <f t="shared" ca="1" si="1"/>
        <v>2.2440000000000002</v>
      </c>
      <c r="V84" s="2">
        <f t="shared" ca="1" si="1"/>
        <v>2.4159999999999999</v>
      </c>
      <c r="W84" s="2">
        <f t="shared" ca="1" si="1"/>
        <v>2.6749999999999998</v>
      </c>
      <c r="X84" s="2">
        <f t="shared" ca="1" si="1"/>
        <v>2.992</v>
      </c>
      <c r="Y84" s="10">
        <f t="shared" ca="1" si="1"/>
        <v>3.2650000000000001</v>
      </c>
    </row>
    <row r="85" spans="2:25" x14ac:dyDescent="0.3">
      <c r="B85" s="6">
        <v>82</v>
      </c>
      <c r="C85" s="9">
        <v>2.109</v>
      </c>
      <c r="D85" s="9">
        <v>1.964</v>
      </c>
      <c r="E85" s="9">
        <v>1.9610000000000001</v>
      </c>
      <c r="F85" s="9">
        <v>1.917</v>
      </c>
    </row>
    <row r="86" spans="2:25" x14ac:dyDescent="0.3">
      <c r="B86" s="6">
        <v>83</v>
      </c>
      <c r="C86" s="9">
        <v>2.403</v>
      </c>
      <c r="D86" s="9">
        <v>2.226</v>
      </c>
      <c r="E86" s="9">
        <v>2.222</v>
      </c>
      <c r="F86" s="9">
        <v>2.169</v>
      </c>
      <c r="H86" t="s">
        <v>2</v>
      </c>
      <c r="I86" s="11">
        <f t="shared" ref="I86:Y98" ca="1" si="2">INDIRECT("E"&amp;(17*ROW(1:1)+ROW($E$3)-19+IF(COLUMN(C:C)&gt;19,50000,COLUMN(C:C)-1)))</f>
        <v>3.2509999999999999</v>
      </c>
      <c r="J86" s="2">
        <f t="shared" ca="1" si="2"/>
        <v>2.9390000000000001</v>
      </c>
      <c r="K86" s="2">
        <f t="shared" ca="1" si="2"/>
        <v>2.6070000000000002</v>
      </c>
      <c r="L86" s="2">
        <f t="shared" ca="1" si="2"/>
        <v>2.343</v>
      </c>
      <c r="M86" s="2">
        <f t="shared" ca="1" si="2"/>
        <v>2.1709999999999998</v>
      </c>
      <c r="N86" s="2">
        <f t="shared" ca="1" si="2"/>
        <v>2.028</v>
      </c>
      <c r="O86" s="2">
        <f t="shared" ca="1" si="2"/>
        <v>1.917</v>
      </c>
      <c r="P86" s="2">
        <f t="shared" ca="1" si="2"/>
        <v>1.853</v>
      </c>
      <c r="Q86" s="2">
        <f t="shared" ca="1" si="2"/>
        <v>1.831</v>
      </c>
      <c r="R86" s="2">
        <f t="shared" ca="1" si="2"/>
        <v>1.855</v>
      </c>
      <c r="S86" s="2">
        <f t="shared" ca="1" si="2"/>
        <v>1.9259999999999999</v>
      </c>
      <c r="T86" s="2">
        <f t="shared" ca="1" si="2"/>
        <v>2.0379999999999998</v>
      </c>
      <c r="U86" s="2">
        <f t="shared" ca="1" si="2"/>
        <v>2.181</v>
      </c>
      <c r="V86" s="2">
        <f t="shared" ca="1" si="2"/>
        <v>2.3620000000000001</v>
      </c>
      <c r="W86" s="2">
        <f t="shared" ca="1" si="2"/>
        <v>2.641</v>
      </c>
      <c r="X86" s="2">
        <f t="shared" ca="1" si="2"/>
        <v>2.9710000000000001</v>
      </c>
      <c r="Y86" s="11">
        <f t="shared" ca="1" si="2"/>
        <v>3.2719999999999998</v>
      </c>
    </row>
    <row r="87" spans="2:25" x14ac:dyDescent="0.3">
      <c r="B87" s="6">
        <v>84</v>
      </c>
      <c r="C87" s="9">
        <v>2.7240000000000002</v>
      </c>
      <c r="D87" s="9">
        <v>2.524</v>
      </c>
      <c r="E87" s="9">
        <v>2.5179999999999998</v>
      </c>
      <c r="F87" s="9">
        <v>2.4510000000000001</v>
      </c>
      <c r="I87" s="2">
        <f t="shared" ca="1" si="2"/>
        <v>3.0910000000000002</v>
      </c>
      <c r="J87" s="2">
        <f t="shared" ca="1" si="2"/>
        <v>2.6890000000000001</v>
      </c>
      <c r="K87" s="2">
        <f t="shared" ca="1" si="2"/>
        <v>2.3580000000000001</v>
      </c>
      <c r="L87" s="2">
        <f t="shared" ca="1" si="2"/>
        <v>2.14</v>
      </c>
      <c r="M87" s="2">
        <f t="shared" ca="1" si="2"/>
        <v>1.962</v>
      </c>
      <c r="N87" s="2">
        <f t="shared" ca="1" si="2"/>
        <v>1.8169999999999999</v>
      </c>
      <c r="O87" s="2">
        <f t="shared" ca="1" si="2"/>
        <v>1.7090000000000001</v>
      </c>
      <c r="P87" s="2">
        <f t="shared" ca="1" si="2"/>
        <v>1.641</v>
      </c>
      <c r="Q87" s="2">
        <f t="shared" ca="1" si="2"/>
        <v>1.62</v>
      </c>
      <c r="R87" s="2">
        <f t="shared" ca="1" si="2"/>
        <v>1.6439999999999999</v>
      </c>
      <c r="S87" s="2">
        <f t="shared" ca="1" si="2"/>
        <v>1.7170000000000001</v>
      </c>
      <c r="T87" s="2">
        <f t="shared" ca="1" si="2"/>
        <v>1.83</v>
      </c>
      <c r="U87" s="2">
        <f t="shared" ca="1" si="2"/>
        <v>1.982</v>
      </c>
      <c r="V87" s="2">
        <f t="shared" ca="1" si="2"/>
        <v>2.1640000000000001</v>
      </c>
      <c r="W87" s="2">
        <f t="shared" ca="1" si="2"/>
        <v>2.3929999999999998</v>
      </c>
      <c r="X87" s="2">
        <f t="shared" ca="1" si="2"/>
        <v>2.7250000000000001</v>
      </c>
      <c r="Y87" s="2">
        <f t="shared" ca="1" si="2"/>
        <v>3.1</v>
      </c>
    </row>
    <row r="88" spans="2:25" x14ac:dyDescent="0.3">
      <c r="B88" s="6">
        <v>85</v>
      </c>
      <c r="C88" s="9">
        <v>2.6349999999999998</v>
      </c>
      <c r="D88" s="9">
        <v>2.415</v>
      </c>
      <c r="E88" s="9">
        <v>2.4129999999999998</v>
      </c>
      <c r="F88" s="9">
        <v>2.3330000000000002</v>
      </c>
      <c r="I88" s="2">
        <f t="shared" ca="1" si="2"/>
        <v>2.8660000000000001</v>
      </c>
      <c r="J88" s="2">
        <f t="shared" ca="1" si="2"/>
        <v>2.4580000000000002</v>
      </c>
      <c r="K88" s="2">
        <f t="shared" ca="1" si="2"/>
        <v>2.1720000000000002</v>
      </c>
      <c r="L88" s="2">
        <f t="shared" ca="1" si="2"/>
        <v>1.956</v>
      </c>
      <c r="M88" s="2">
        <f t="shared" ca="1" si="2"/>
        <v>1.768</v>
      </c>
      <c r="N88" s="2">
        <f t="shared" ca="1" si="2"/>
        <v>1.617</v>
      </c>
      <c r="O88" s="2">
        <f t="shared" ca="1" si="2"/>
        <v>1.4990000000000001</v>
      </c>
      <c r="P88" s="2">
        <f t="shared" ca="1" si="2"/>
        <v>1.429</v>
      </c>
      <c r="Q88" s="2">
        <f t="shared" ca="1" si="2"/>
        <v>1.409</v>
      </c>
      <c r="R88" s="2">
        <f t="shared" ca="1" si="2"/>
        <v>1.4370000000000001</v>
      </c>
      <c r="S88" s="2">
        <f t="shared" ca="1" si="2"/>
        <v>1.5169999999999999</v>
      </c>
      <c r="T88" s="2">
        <f t="shared" ca="1" si="2"/>
        <v>1.637</v>
      </c>
      <c r="U88" s="2">
        <f t="shared" ca="1" si="2"/>
        <v>1.7929999999999999</v>
      </c>
      <c r="V88" s="2">
        <f t="shared" ca="1" si="2"/>
        <v>1.986</v>
      </c>
      <c r="W88" s="2">
        <f t="shared" ca="1" si="2"/>
        <v>2.2040000000000002</v>
      </c>
      <c r="X88" s="2">
        <f t="shared" ca="1" si="2"/>
        <v>2.4870000000000001</v>
      </c>
      <c r="Y88" s="2">
        <f t="shared" ca="1" si="2"/>
        <v>2.879</v>
      </c>
    </row>
    <row r="89" spans="2:25" x14ac:dyDescent="0.3">
      <c r="B89" s="6">
        <v>86</v>
      </c>
      <c r="C89" s="9">
        <v>2.3039999999999998</v>
      </c>
      <c r="D89" s="9">
        <v>2.1179999999999999</v>
      </c>
      <c r="E89" s="9">
        <v>2.117</v>
      </c>
      <c r="F89" s="9">
        <v>2.0539999999999998</v>
      </c>
      <c r="I89" s="2">
        <f t="shared" ca="1" si="2"/>
        <v>2.6459999999999999</v>
      </c>
      <c r="J89" s="2">
        <f t="shared" ca="1" si="2"/>
        <v>2.302</v>
      </c>
      <c r="K89" s="2">
        <f t="shared" ca="1" si="2"/>
        <v>2.0369999999999999</v>
      </c>
      <c r="L89" s="2">
        <f t="shared" ca="1" si="2"/>
        <v>1.8089999999999999</v>
      </c>
      <c r="M89" s="2">
        <f t="shared" ca="1" si="2"/>
        <v>1.6120000000000001</v>
      </c>
      <c r="N89" s="2">
        <f t="shared" ca="1" si="2"/>
        <v>1.4470000000000001</v>
      </c>
      <c r="O89" s="2">
        <f t="shared" ca="1" si="2"/>
        <v>1.325</v>
      </c>
      <c r="P89" s="2">
        <f t="shared" ca="1" si="2"/>
        <v>1.258</v>
      </c>
      <c r="Q89" s="2">
        <f t="shared" ca="1" si="2"/>
        <v>1.2410000000000001</v>
      </c>
      <c r="R89" s="2">
        <f t="shared" ca="1" si="2"/>
        <v>1.2669999999999999</v>
      </c>
      <c r="S89" s="2">
        <f t="shared" ca="1" si="2"/>
        <v>1.345</v>
      </c>
      <c r="T89" s="2">
        <f t="shared" ca="1" si="2"/>
        <v>1.4710000000000001</v>
      </c>
      <c r="U89" s="2">
        <f t="shared" ca="1" si="2"/>
        <v>1.639</v>
      </c>
      <c r="V89" s="2">
        <f t="shared" ca="1" si="2"/>
        <v>1.8380000000000001</v>
      </c>
      <c r="W89" s="2">
        <f t="shared" ca="1" si="2"/>
        <v>2.0649999999999999</v>
      </c>
      <c r="X89" s="2">
        <f t="shared" ca="1" si="2"/>
        <v>2.3239999999999998</v>
      </c>
      <c r="Y89" s="2">
        <f t="shared" ca="1" si="2"/>
        <v>2.6539999999999999</v>
      </c>
    </row>
    <row r="90" spans="2:25" x14ac:dyDescent="0.3">
      <c r="B90" s="6">
        <v>87</v>
      </c>
      <c r="C90" s="9">
        <v>1.9970000000000001</v>
      </c>
      <c r="D90" s="9">
        <v>1.853</v>
      </c>
      <c r="E90" s="9">
        <v>1.853</v>
      </c>
      <c r="F90" s="9">
        <v>1.802</v>
      </c>
      <c r="I90" s="2">
        <f t="shared" ca="1" si="2"/>
        <v>2.488</v>
      </c>
      <c r="J90" s="2">
        <f t="shared" ca="1" si="2"/>
        <v>2.1869999999999998</v>
      </c>
      <c r="K90" s="2">
        <f t="shared" ca="1" si="2"/>
        <v>1.9279999999999999</v>
      </c>
      <c r="L90" s="2">
        <f t="shared" ca="1" si="2"/>
        <v>1.6990000000000001</v>
      </c>
      <c r="M90" s="2">
        <f t="shared" ca="1" si="2"/>
        <v>1.4930000000000001</v>
      </c>
      <c r="N90" s="2">
        <f t="shared" ca="1" si="2"/>
        <v>1.3220000000000001</v>
      </c>
      <c r="O90" s="2">
        <f t="shared" ca="1" si="2"/>
        <v>1.2050000000000001</v>
      </c>
      <c r="P90" s="2">
        <f t="shared" ca="1" si="2"/>
        <v>1.139</v>
      </c>
      <c r="Q90" s="2">
        <f t="shared" ca="1" si="2"/>
        <v>1.1200000000000001</v>
      </c>
      <c r="R90" s="2">
        <f t="shared" ca="1" si="2"/>
        <v>1.1459999999999999</v>
      </c>
      <c r="S90" s="2">
        <f t="shared" ca="1" si="2"/>
        <v>1.218</v>
      </c>
      <c r="T90" s="2">
        <f t="shared" ca="1" si="2"/>
        <v>1.339</v>
      </c>
      <c r="U90" s="2">
        <f t="shared" ca="1" si="2"/>
        <v>1.514</v>
      </c>
      <c r="V90" s="2">
        <f t="shared" ca="1" si="2"/>
        <v>1.724</v>
      </c>
      <c r="W90" s="2">
        <f t="shared" ca="1" si="2"/>
        <v>1.9610000000000001</v>
      </c>
      <c r="X90" s="2">
        <f t="shared" ca="1" si="2"/>
        <v>2.222</v>
      </c>
      <c r="Y90" s="2">
        <f t="shared" ca="1" si="2"/>
        <v>2.5179999999999998</v>
      </c>
    </row>
    <row r="91" spans="2:25" x14ac:dyDescent="0.3">
      <c r="B91" s="6">
        <v>88</v>
      </c>
      <c r="C91" s="9">
        <v>1.7230000000000001</v>
      </c>
      <c r="D91" s="9">
        <v>1.62</v>
      </c>
      <c r="E91" s="9">
        <v>1.621</v>
      </c>
      <c r="F91" s="9">
        <v>1.5780000000000001</v>
      </c>
      <c r="I91" s="2">
        <f t="shared" ca="1" si="2"/>
        <v>2.4129999999999998</v>
      </c>
      <c r="J91" s="2">
        <f t="shared" ca="1" si="2"/>
        <v>2.117</v>
      </c>
      <c r="K91" s="2">
        <f t="shared" ca="1" si="2"/>
        <v>1.853</v>
      </c>
      <c r="L91" s="2">
        <f t="shared" ca="1" si="2"/>
        <v>1.621</v>
      </c>
      <c r="M91" s="2">
        <f t="shared" ca="1" si="2"/>
        <v>1.4119999999999999</v>
      </c>
      <c r="N91" s="2">
        <f t="shared" ca="1" si="2"/>
        <v>1.248</v>
      </c>
      <c r="O91" s="2">
        <f t="shared" ca="1" si="2"/>
        <v>1.133</v>
      </c>
      <c r="P91" s="2">
        <f t="shared" ca="1" si="2"/>
        <v>1.0589999999999999</v>
      </c>
      <c r="Q91" s="2">
        <f t="shared" ca="1" si="2"/>
        <v>1.034</v>
      </c>
      <c r="R91" s="2">
        <f t="shared" ca="1" si="2"/>
        <v>1.0649999999999999</v>
      </c>
      <c r="S91" s="2">
        <f t="shared" ca="1" si="2"/>
        <v>1.145</v>
      </c>
      <c r="T91" s="2">
        <f t="shared" ca="1" si="2"/>
        <v>1.2609999999999999</v>
      </c>
      <c r="U91" s="2">
        <f t="shared" ca="1" si="2"/>
        <v>1.4279999999999999</v>
      </c>
      <c r="V91" s="2">
        <f t="shared" ca="1" si="2"/>
        <v>1.6439999999999999</v>
      </c>
      <c r="W91" s="2">
        <f t="shared" ca="1" si="2"/>
        <v>1.885</v>
      </c>
      <c r="X91" s="2">
        <f t="shared" ca="1" si="2"/>
        <v>2.1560000000000001</v>
      </c>
      <c r="Y91" s="2">
        <f t="shared" ca="1" si="2"/>
        <v>2.4489999999999998</v>
      </c>
    </row>
    <row r="92" spans="2:25" x14ac:dyDescent="0.3">
      <c r="B92" s="6">
        <v>89</v>
      </c>
      <c r="C92" s="9">
        <v>1.478</v>
      </c>
      <c r="D92" s="9">
        <v>1.4119999999999999</v>
      </c>
      <c r="E92" s="9">
        <v>1.4119999999999999</v>
      </c>
      <c r="F92" s="9">
        <v>1.3779999999999999</v>
      </c>
      <c r="I92" s="2">
        <f t="shared" ca="1" si="2"/>
        <v>2.3919999999999999</v>
      </c>
      <c r="J92" s="2">
        <f t="shared" ca="1" si="2"/>
        <v>2.0950000000000002</v>
      </c>
      <c r="K92" s="2">
        <f t="shared" ca="1" si="2"/>
        <v>1.8260000000000001</v>
      </c>
      <c r="L92" s="2">
        <f t="shared" ca="1" si="2"/>
        <v>1.589</v>
      </c>
      <c r="M92" s="2">
        <f t="shared" ca="1" si="2"/>
        <v>1.377</v>
      </c>
      <c r="N92" s="2">
        <f t="shared" ca="1" si="2"/>
        <v>1.2150000000000001</v>
      </c>
      <c r="O92" s="2">
        <f t="shared" ca="1" si="2"/>
        <v>1.1000000000000001</v>
      </c>
      <c r="P92" s="2">
        <f t="shared" ca="1" si="2"/>
        <v>1.026</v>
      </c>
      <c r="Q92" s="2">
        <f t="shared" ca="1" si="2"/>
        <v>1.004</v>
      </c>
      <c r="R92" s="2">
        <f t="shared" ca="1" si="2"/>
        <v>1.0329999999999999</v>
      </c>
      <c r="S92" s="2">
        <f t="shared" ca="1" si="2"/>
        <v>1.117</v>
      </c>
      <c r="T92" s="2">
        <f t="shared" ca="1" si="2"/>
        <v>1.234</v>
      </c>
      <c r="U92" s="2">
        <f t="shared" ca="1" si="2"/>
        <v>1.399</v>
      </c>
      <c r="V92" s="2">
        <f t="shared" ca="1" si="2"/>
        <v>1.6160000000000001</v>
      </c>
      <c r="W92" s="2">
        <f t="shared" ca="1" si="2"/>
        <v>1.857</v>
      </c>
      <c r="X92" s="2">
        <f t="shared" ca="1" si="2"/>
        <v>2.1259999999999999</v>
      </c>
      <c r="Y92" s="2">
        <f t="shared" ca="1" si="2"/>
        <v>2.415</v>
      </c>
    </row>
    <row r="93" spans="2:25" x14ac:dyDescent="0.3">
      <c r="B93" s="6">
        <v>90</v>
      </c>
      <c r="C93" s="9">
        <v>1.2869999999999999</v>
      </c>
      <c r="D93" s="9">
        <v>1.248</v>
      </c>
      <c r="E93" s="9">
        <v>1.248</v>
      </c>
      <c r="F93" s="9">
        <v>1.222</v>
      </c>
      <c r="I93" s="2">
        <f t="shared" ca="1" si="2"/>
        <v>2.4209999999999998</v>
      </c>
      <c r="J93" s="2">
        <f t="shared" ca="1" si="2"/>
        <v>2.1179999999999999</v>
      </c>
      <c r="K93" s="2">
        <f t="shared" ca="1" si="2"/>
        <v>1.8480000000000001</v>
      </c>
      <c r="L93" s="2">
        <f t="shared" ca="1" si="2"/>
        <v>1.61</v>
      </c>
      <c r="M93" s="2">
        <f t="shared" ca="1" si="2"/>
        <v>1.399</v>
      </c>
      <c r="N93" s="2">
        <f t="shared" ca="1" si="2"/>
        <v>1.234</v>
      </c>
      <c r="O93" s="2">
        <f t="shared" ca="1" si="2"/>
        <v>1.1180000000000001</v>
      </c>
      <c r="P93" s="2">
        <f t="shared" ca="1" si="2"/>
        <v>1.044</v>
      </c>
      <c r="Q93" s="2">
        <f t="shared" ca="1" si="2"/>
        <v>1.0229999999999999</v>
      </c>
      <c r="R93" s="2">
        <f t="shared" ca="1" si="2"/>
        <v>1.056</v>
      </c>
      <c r="S93" s="2">
        <f t="shared" ca="1" si="2"/>
        <v>1.139</v>
      </c>
      <c r="T93" s="2">
        <f t="shared" ca="1" si="2"/>
        <v>1.258</v>
      </c>
      <c r="U93" s="2">
        <f t="shared" ca="1" si="2"/>
        <v>1.4279999999999999</v>
      </c>
      <c r="V93" s="2">
        <f t="shared" ca="1" si="2"/>
        <v>1.643</v>
      </c>
      <c r="W93" s="2">
        <f t="shared" ca="1" si="2"/>
        <v>1.881</v>
      </c>
      <c r="X93" s="2">
        <f t="shared" ca="1" si="2"/>
        <v>2.145</v>
      </c>
      <c r="Y93" s="2">
        <f t="shared" ca="1" si="2"/>
        <v>2.4300000000000002</v>
      </c>
    </row>
    <row r="94" spans="2:25" x14ac:dyDescent="0.3">
      <c r="B94" s="6">
        <v>91</v>
      </c>
      <c r="C94" s="9">
        <v>1.155</v>
      </c>
      <c r="D94" s="9">
        <v>1.133</v>
      </c>
      <c r="E94" s="9">
        <v>1.133</v>
      </c>
      <c r="F94" s="9">
        <v>1.115</v>
      </c>
      <c r="I94" s="2">
        <f t="shared" ca="1" si="2"/>
        <v>2.492</v>
      </c>
      <c r="J94" s="2">
        <f t="shared" ca="1" si="2"/>
        <v>2.1890000000000001</v>
      </c>
      <c r="K94" s="2">
        <f t="shared" ca="1" si="2"/>
        <v>1.925</v>
      </c>
      <c r="L94" s="2">
        <f t="shared" ca="1" si="2"/>
        <v>1.6879999999999999</v>
      </c>
      <c r="M94" s="2">
        <f t="shared" ca="1" si="2"/>
        <v>1.478</v>
      </c>
      <c r="N94" s="2">
        <f t="shared" ca="1" si="2"/>
        <v>1.3069999999999999</v>
      </c>
      <c r="O94" s="2">
        <f t="shared" ca="1" si="2"/>
        <v>1.1910000000000001</v>
      </c>
      <c r="P94" s="2">
        <f t="shared" ca="1" si="2"/>
        <v>1.1200000000000001</v>
      </c>
      <c r="Q94" s="2">
        <f t="shared" ca="1" si="2"/>
        <v>1.1000000000000001</v>
      </c>
      <c r="R94" s="2">
        <f t="shared" ca="1" si="2"/>
        <v>1.1279999999999999</v>
      </c>
      <c r="S94" s="2">
        <f t="shared" ca="1" si="2"/>
        <v>1.204</v>
      </c>
      <c r="T94" s="2">
        <f t="shared" ca="1" si="2"/>
        <v>1.327</v>
      </c>
      <c r="U94" s="2">
        <f t="shared" ca="1" si="2"/>
        <v>1.506</v>
      </c>
      <c r="V94" s="2">
        <f t="shared" ca="1" si="2"/>
        <v>1.7190000000000001</v>
      </c>
      <c r="W94" s="2">
        <f t="shared" ca="1" si="2"/>
        <v>1.956</v>
      </c>
      <c r="X94" s="2">
        <f t="shared" ca="1" si="2"/>
        <v>2.2189999999999999</v>
      </c>
      <c r="Y94" s="2">
        <f t="shared" ca="1" si="2"/>
        <v>2.516</v>
      </c>
    </row>
    <row r="95" spans="2:25" x14ac:dyDescent="0.3">
      <c r="B95" s="6">
        <v>92</v>
      </c>
      <c r="C95" s="9">
        <v>1.069</v>
      </c>
      <c r="D95" s="9">
        <v>1.0589999999999999</v>
      </c>
      <c r="E95" s="9">
        <v>1.0589999999999999</v>
      </c>
      <c r="F95" s="9">
        <v>1.0489999999999999</v>
      </c>
      <c r="I95" s="2">
        <f t="shared" ca="1" si="2"/>
        <v>2.621</v>
      </c>
      <c r="J95" s="2">
        <f t="shared" ca="1" si="2"/>
        <v>2.2890000000000001</v>
      </c>
      <c r="K95" s="2">
        <f t="shared" ca="1" si="2"/>
        <v>2.0289999999999999</v>
      </c>
      <c r="L95" s="2">
        <f t="shared" ca="1" si="2"/>
        <v>1.8009999999999999</v>
      </c>
      <c r="M95" s="2">
        <f t="shared" ca="1" si="2"/>
        <v>1.6020000000000001</v>
      </c>
      <c r="N95" s="2">
        <f t="shared" ca="1" si="2"/>
        <v>1.4330000000000001</v>
      </c>
      <c r="O95" s="2">
        <f t="shared" ca="1" si="2"/>
        <v>1.3089999999999999</v>
      </c>
      <c r="P95" s="2">
        <f t="shared" ca="1" si="2"/>
        <v>1.238</v>
      </c>
      <c r="Q95" s="2">
        <f t="shared" ca="1" si="2"/>
        <v>1.216</v>
      </c>
      <c r="R95" s="2">
        <f t="shared" ca="1" si="2"/>
        <v>1.2410000000000001</v>
      </c>
      <c r="S95" s="2">
        <f t="shared" ca="1" si="2"/>
        <v>1.3160000000000001</v>
      </c>
      <c r="T95" s="2">
        <f t="shared" ca="1" si="2"/>
        <v>1.4430000000000001</v>
      </c>
      <c r="U95" s="2">
        <f t="shared" ca="1" si="2"/>
        <v>1.6180000000000001</v>
      </c>
      <c r="V95" s="2">
        <f t="shared" ca="1" si="2"/>
        <v>1.8260000000000001</v>
      </c>
      <c r="W95" s="2">
        <f t="shared" ca="1" si="2"/>
        <v>2.0630000000000002</v>
      </c>
      <c r="X95" s="2">
        <f t="shared" ca="1" si="2"/>
        <v>2.3290000000000002</v>
      </c>
      <c r="Y95" s="2">
        <f t="shared" ca="1" si="2"/>
        <v>2.6640000000000001</v>
      </c>
    </row>
    <row r="96" spans="2:25" x14ac:dyDescent="0.3">
      <c r="B96" s="6">
        <v>93</v>
      </c>
      <c r="C96" s="9">
        <v>1.0389999999999999</v>
      </c>
      <c r="D96" s="9">
        <v>1.0349999999999999</v>
      </c>
      <c r="E96" s="9">
        <v>1.034</v>
      </c>
      <c r="F96" s="9">
        <v>1.028</v>
      </c>
      <c r="I96" s="2">
        <f t="shared" ca="1" si="2"/>
        <v>2.8439999999999999</v>
      </c>
      <c r="J96" s="2">
        <f t="shared" ca="1" si="2"/>
        <v>2.4500000000000002</v>
      </c>
      <c r="K96" s="2">
        <f t="shared" ca="1" si="2"/>
        <v>2.1709999999999998</v>
      </c>
      <c r="L96" s="2">
        <f t="shared" ca="1" si="2"/>
        <v>1.9490000000000001</v>
      </c>
      <c r="M96" s="2">
        <f t="shared" ca="1" si="2"/>
        <v>1.758</v>
      </c>
      <c r="N96" s="2">
        <f t="shared" ca="1" si="2"/>
        <v>1.603</v>
      </c>
      <c r="O96" s="2">
        <f t="shared" ca="1" si="2"/>
        <v>1.4830000000000001</v>
      </c>
      <c r="P96" s="2">
        <f t="shared" ca="1" si="2"/>
        <v>1.4079999999999999</v>
      </c>
      <c r="Q96" s="2">
        <f t="shared" ca="1" si="2"/>
        <v>1.3839999999999999</v>
      </c>
      <c r="R96" s="2">
        <f t="shared" ca="1" si="2"/>
        <v>1.411</v>
      </c>
      <c r="S96" s="2">
        <f t="shared" ca="1" si="2"/>
        <v>1.4910000000000001</v>
      </c>
      <c r="T96" s="2">
        <f t="shared" ca="1" si="2"/>
        <v>1.6160000000000001</v>
      </c>
      <c r="U96" s="2">
        <f t="shared" ca="1" si="2"/>
        <v>1.776</v>
      </c>
      <c r="V96" s="2">
        <f t="shared" ca="1" si="2"/>
        <v>1.9750000000000001</v>
      </c>
      <c r="W96" s="2">
        <f t="shared" ca="1" si="2"/>
        <v>2.2000000000000002</v>
      </c>
      <c r="X96" s="2">
        <f t="shared" ca="1" si="2"/>
        <v>2.488</v>
      </c>
      <c r="Y96" s="2">
        <f t="shared" ca="1" si="2"/>
        <v>2.8849999999999998</v>
      </c>
    </row>
    <row r="97" spans="2:25" x14ac:dyDescent="0.3">
      <c r="B97" s="6">
        <v>94</v>
      </c>
      <c r="C97" s="9">
        <v>1.0740000000000001</v>
      </c>
      <c r="D97" s="9">
        <v>1.0660000000000001</v>
      </c>
      <c r="E97" s="9">
        <v>1.0649999999999999</v>
      </c>
      <c r="F97" s="9">
        <v>1.056</v>
      </c>
      <c r="I97" s="2">
        <f t="shared" ca="1" si="2"/>
        <v>3.101</v>
      </c>
      <c r="J97" s="2">
        <f t="shared" ca="1" si="2"/>
        <v>2.6909999999999998</v>
      </c>
      <c r="K97" s="2">
        <f t="shared" ca="1" si="2"/>
        <v>2.3620000000000001</v>
      </c>
      <c r="L97" s="2">
        <f t="shared" ca="1" si="2"/>
        <v>2.14</v>
      </c>
      <c r="M97" s="2">
        <f t="shared" ca="1" si="2"/>
        <v>1.9550000000000001</v>
      </c>
      <c r="N97" s="2">
        <f t="shared" ca="1" si="2"/>
        <v>1.8029999999999999</v>
      </c>
      <c r="O97" s="2">
        <f t="shared" ca="1" si="2"/>
        <v>1.6930000000000001</v>
      </c>
      <c r="P97" s="2">
        <f t="shared" ca="1" si="2"/>
        <v>1.625</v>
      </c>
      <c r="Q97" s="2">
        <f t="shared" ca="1" si="2"/>
        <v>1.6060000000000001</v>
      </c>
      <c r="R97" s="2">
        <f t="shared" ca="1" si="2"/>
        <v>1.635</v>
      </c>
      <c r="S97" s="2">
        <f t="shared" ca="1" si="2"/>
        <v>1.714</v>
      </c>
      <c r="T97" s="2">
        <f t="shared" ca="1" si="2"/>
        <v>1.8280000000000001</v>
      </c>
      <c r="U97" s="2">
        <f t="shared" ca="1" si="2"/>
        <v>1.9810000000000001</v>
      </c>
      <c r="V97" s="2">
        <f t="shared" ca="1" si="2"/>
        <v>2.165</v>
      </c>
      <c r="W97" s="2">
        <f t="shared" ca="1" si="2"/>
        <v>2.3820000000000001</v>
      </c>
      <c r="X97" s="2">
        <f t="shared" ca="1" si="2"/>
        <v>2.7120000000000002</v>
      </c>
      <c r="Y97" s="2">
        <f t="shared" ca="1" si="2"/>
        <v>3.101</v>
      </c>
    </row>
    <row r="98" spans="2:25" x14ac:dyDescent="0.3">
      <c r="B98" s="6">
        <v>95</v>
      </c>
      <c r="C98" s="9">
        <v>1.163</v>
      </c>
      <c r="D98" s="9">
        <v>1.145</v>
      </c>
      <c r="E98" s="9">
        <v>1.145</v>
      </c>
      <c r="F98" s="9">
        <v>1.127</v>
      </c>
      <c r="I98" s="11">
        <f t="shared" ca="1" si="2"/>
        <v>3.3330000000000002</v>
      </c>
      <c r="J98" s="2">
        <f t="shared" ca="1" si="2"/>
        <v>3.0030000000000001</v>
      </c>
      <c r="K98" s="2">
        <f t="shared" ca="1" si="2"/>
        <v>2.65</v>
      </c>
      <c r="L98" s="2">
        <f t="shared" ca="1" si="2"/>
        <v>2.3809999999999998</v>
      </c>
      <c r="M98" s="2">
        <f t="shared" ca="1" si="2"/>
        <v>2.2040000000000002</v>
      </c>
      <c r="N98" s="2">
        <f t="shared" ca="1" si="2"/>
        <v>2.0510000000000002</v>
      </c>
      <c r="O98" s="2">
        <f t="shared" ca="1" si="2"/>
        <v>1.9410000000000001</v>
      </c>
      <c r="P98" s="2">
        <f t="shared" ca="1" si="2"/>
        <v>1.875</v>
      </c>
      <c r="Q98" s="2">
        <f t="shared" ca="1" si="2"/>
        <v>1.86</v>
      </c>
      <c r="R98" s="2">
        <f t="shared" ca="1" si="2"/>
        <v>1.891</v>
      </c>
      <c r="S98" s="2">
        <f t="shared" ca="1" si="2"/>
        <v>1.972</v>
      </c>
      <c r="T98" s="2">
        <f t="shared" ca="1" si="2"/>
        <v>2.09</v>
      </c>
      <c r="U98" s="2">
        <f t="shared" ca="1" si="2"/>
        <v>2.2389999999999999</v>
      </c>
      <c r="V98" s="2">
        <f t="shared" ca="1" si="2"/>
        <v>2.411</v>
      </c>
      <c r="W98" s="2">
        <f t="shared" ca="1" si="2"/>
        <v>2.6680000000000001</v>
      </c>
      <c r="X98" s="2">
        <f t="shared" ca="1" si="2"/>
        <v>2.984</v>
      </c>
      <c r="Y98" s="11">
        <f t="shared" ca="1" si="2"/>
        <v>3.2570000000000001</v>
      </c>
    </row>
    <row r="99" spans="2:25" x14ac:dyDescent="0.3">
      <c r="B99" s="6">
        <v>96</v>
      </c>
      <c r="C99" s="9">
        <v>1.294</v>
      </c>
      <c r="D99" s="9">
        <v>1.2609999999999999</v>
      </c>
      <c r="E99" s="9">
        <v>1.2609999999999999</v>
      </c>
      <c r="F99" s="9">
        <v>1.2370000000000001</v>
      </c>
    </row>
    <row r="100" spans="2:25" x14ac:dyDescent="0.3">
      <c r="B100" s="6">
        <v>97</v>
      </c>
      <c r="C100" s="9">
        <v>1.4890000000000001</v>
      </c>
      <c r="D100" s="9">
        <v>1.429</v>
      </c>
      <c r="E100" s="9">
        <v>1.4279999999999999</v>
      </c>
      <c r="F100" s="9">
        <v>1.4</v>
      </c>
      <c r="H100" t="s">
        <v>3</v>
      </c>
      <c r="I100" s="13">
        <f t="shared" ref="I100:Y112" ca="1" si="3">INDIRECT("F"&amp;(17*ROW(1:1)+ROW($F$3)-19+IF(COLUMN(C:C)&gt;19,50000,COLUMN(C:C)-1)))</f>
        <v>3.085</v>
      </c>
      <c r="J100" s="2">
        <f t="shared" ca="1" si="3"/>
        <v>2.7949999999999999</v>
      </c>
      <c r="K100" s="2">
        <f t="shared" ca="1" si="3"/>
        <v>2.4889999999999999</v>
      </c>
      <c r="L100" s="2">
        <f t="shared" ca="1" si="3"/>
        <v>2.2450000000000001</v>
      </c>
      <c r="M100" s="2">
        <f t="shared" ca="1" si="3"/>
        <v>2.0859999999999999</v>
      </c>
      <c r="N100" s="2">
        <f t="shared" ca="1" si="3"/>
        <v>1.9510000000000001</v>
      </c>
      <c r="O100" s="2">
        <f t="shared" ca="1" si="3"/>
        <v>1.85</v>
      </c>
      <c r="P100" s="2">
        <f t="shared" ca="1" si="3"/>
        <v>1.7869999999999999</v>
      </c>
      <c r="Q100" s="2">
        <f t="shared" ca="1" si="3"/>
        <v>1.77</v>
      </c>
      <c r="R100" s="2">
        <f t="shared" ca="1" si="3"/>
        <v>1.7949999999999999</v>
      </c>
      <c r="S100" s="2">
        <f t="shared" ca="1" si="3"/>
        <v>1.861</v>
      </c>
      <c r="T100" s="2">
        <f t="shared" ca="1" si="3"/>
        <v>1.964</v>
      </c>
      <c r="U100" s="2">
        <f t="shared" ca="1" si="3"/>
        <v>2.1</v>
      </c>
      <c r="V100" s="2">
        <f t="shared" ca="1" si="3"/>
        <v>2.27</v>
      </c>
      <c r="W100" s="2">
        <f t="shared" ca="1" si="3"/>
        <v>2.532</v>
      </c>
      <c r="X100" s="2">
        <f t="shared" ca="1" si="3"/>
        <v>2.8380000000000001</v>
      </c>
      <c r="Y100" s="13">
        <f t="shared" ca="1" si="3"/>
        <v>3.1139999999999999</v>
      </c>
    </row>
    <row r="101" spans="2:25" x14ac:dyDescent="0.3">
      <c r="B101" s="6">
        <v>98</v>
      </c>
      <c r="C101" s="9">
        <v>1.7410000000000001</v>
      </c>
      <c r="D101" s="9">
        <v>1.6459999999999999</v>
      </c>
      <c r="E101" s="9">
        <v>1.6439999999999999</v>
      </c>
      <c r="F101" s="9">
        <v>1.6120000000000001</v>
      </c>
      <c r="I101" s="2">
        <f t="shared" ca="1" si="3"/>
        <v>2.9590000000000001</v>
      </c>
      <c r="J101" s="2">
        <f t="shared" ca="1" si="3"/>
        <v>2.5790000000000002</v>
      </c>
      <c r="K101" s="2">
        <f t="shared" ca="1" si="3"/>
        <v>2.27</v>
      </c>
      <c r="L101" s="2">
        <f t="shared" ca="1" si="3"/>
        <v>2.0640000000000001</v>
      </c>
      <c r="M101" s="2">
        <f t="shared" ca="1" si="3"/>
        <v>1.8959999999999999</v>
      </c>
      <c r="N101" s="2">
        <f t="shared" ca="1" si="3"/>
        <v>1.758</v>
      </c>
      <c r="O101" s="2">
        <f t="shared" ca="1" si="3"/>
        <v>1.6559999999999999</v>
      </c>
      <c r="P101" s="2">
        <f t="shared" ca="1" si="3"/>
        <v>1.5960000000000001</v>
      </c>
      <c r="Q101" s="2">
        <f t="shared" ca="1" si="3"/>
        <v>1.5780000000000001</v>
      </c>
      <c r="R101" s="2">
        <f t="shared" ca="1" si="3"/>
        <v>1.6</v>
      </c>
      <c r="S101" s="2">
        <f t="shared" ca="1" si="3"/>
        <v>1.667</v>
      </c>
      <c r="T101" s="2">
        <f t="shared" ca="1" si="3"/>
        <v>1.774</v>
      </c>
      <c r="U101" s="2">
        <f t="shared" ca="1" si="3"/>
        <v>1.92</v>
      </c>
      <c r="V101" s="2">
        <f t="shared" ca="1" si="3"/>
        <v>2.0950000000000002</v>
      </c>
      <c r="W101" s="2">
        <f t="shared" ca="1" si="3"/>
        <v>2.3130000000000002</v>
      </c>
      <c r="X101" s="2">
        <f t="shared" ca="1" si="3"/>
        <v>2.6269999999999998</v>
      </c>
      <c r="Y101" s="2">
        <f t="shared" ca="1" si="3"/>
        <v>2.976</v>
      </c>
    </row>
    <row r="102" spans="2:25" x14ac:dyDescent="0.3">
      <c r="B102" s="6">
        <v>99</v>
      </c>
      <c r="C102" s="9">
        <v>2.024</v>
      </c>
      <c r="D102" s="9">
        <v>1.8879999999999999</v>
      </c>
      <c r="E102" s="9">
        <v>1.885</v>
      </c>
      <c r="F102" s="9">
        <v>1.847</v>
      </c>
      <c r="I102" s="2">
        <f t="shared" ca="1" si="3"/>
        <v>2.7629999999999999</v>
      </c>
      <c r="J102" s="2">
        <f t="shared" ca="1" si="3"/>
        <v>2.37</v>
      </c>
      <c r="K102" s="2">
        <f t="shared" ca="1" si="3"/>
        <v>2.101</v>
      </c>
      <c r="L102" s="2">
        <f t="shared" ca="1" si="3"/>
        <v>1.8939999999999999</v>
      </c>
      <c r="M102" s="2">
        <f t="shared" ca="1" si="3"/>
        <v>1.714</v>
      </c>
      <c r="N102" s="2">
        <f t="shared" ca="1" si="3"/>
        <v>1.5669999999999999</v>
      </c>
      <c r="O102" s="2">
        <f t="shared" ca="1" si="3"/>
        <v>1.458</v>
      </c>
      <c r="P102" s="2">
        <f t="shared" ca="1" si="3"/>
        <v>1.395</v>
      </c>
      <c r="Q102" s="2">
        <f t="shared" ca="1" si="3"/>
        <v>1.379</v>
      </c>
      <c r="R102" s="2">
        <f t="shared" ca="1" si="3"/>
        <v>1.4039999999999999</v>
      </c>
      <c r="S102" s="2">
        <f t="shared" ca="1" si="3"/>
        <v>1.4770000000000001</v>
      </c>
      <c r="T102" s="2">
        <f t="shared" ca="1" si="3"/>
        <v>1.5920000000000001</v>
      </c>
      <c r="U102" s="2">
        <f t="shared" ca="1" si="3"/>
        <v>1.7450000000000001</v>
      </c>
      <c r="V102" s="2">
        <f t="shared" ca="1" si="3"/>
        <v>1.9330000000000001</v>
      </c>
      <c r="W102" s="2">
        <f t="shared" ca="1" si="3"/>
        <v>2.1429999999999998</v>
      </c>
      <c r="X102" s="2">
        <f t="shared" ca="1" si="3"/>
        <v>2.411</v>
      </c>
      <c r="Y102" s="2">
        <f t="shared" ca="1" si="3"/>
        <v>2.778</v>
      </c>
    </row>
    <row r="103" spans="2:25" x14ac:dyDescent="0.3">
      <c r="B103" s="6">
        <v>100</v>
      </c>
      <c r="C103" s="9">
        <v>2.331</v>
      </c>
      <c r="D103" s="9">
        <v>2.16</v>
      </c>
      <c r="E103" s="9">
        <v>2.1560000000000001</v>
      </c>
      <c r="F103" s="9">
        <v>2.1059999999999999</v>
      </c>
      <c r="I103" s="2">
        <f t="shared" ca="1" si="3"/>
        <v>2.5569999999999999</v>
      </c>
      <c r="J103" s="2">
        <f t="shared" ca="1" si="3"/>
        <v>2.2269999999999999</v>
      </c>
      <c r="K103" s="2">
        <f t="shared" ca="1" si="3"/>
        <v>1.9750000000000001</v>
      </c>
      <c r="L103" s="2">
        <f t="shared" ca="1" si="3"/>
        <v>1.7549999999999999</v>
      </c>
      <c r="M103" s="2">
        <f t="shared" ca="1" si="3"/>
        <v>1.5629999999999999</v>
      </c>
      <c r="N103" s="2">
        <f t="shared" ca="1" si="3"/>
        <v>1.4039999999999999</v>
      </c>
      <c r="O103" s="2">
        <f t="shared" ca="1" si="3"/>
        <v>1.29</v>
      </c>
      <c r="P103" s="2">
        <f t="shared" ca="1" si="3"/>
        <v>1.2310000000000001</v>
      </c>
      <c r="Q103" s="2">
        <f t="shared" ca="1" si="3"/>
        <v>1.2190000000000001</v>
      </c>
      <c r="R103" s="2">
        <f t="shared" ca="1" si="3"/>
        <v>1.2410000000000001</v>
      </c>
      <c r="S103" s="2">
        <f t="shared" ca="1" si="3"/>
        <v>1.3120000000000001</v>
      </c>
      <c r="T103" s="2">
        <f t="shared" ca="1" si="3"/>
        <v>1.4319999999999999</v>
      </c>
      <c r="U103" s="2">
        <f t="shared" ca="1" si="3"/>
        <v>1.5980000000000001</v>
      </c>
      <c r="V103" s="2">
        <f t="shared" ca="1" si="3"/>
        <v>1.794</v>
      </c>
      <c r="W103" s="2">
        <f t="shared" ca="1" si="3"/>
        <v>2.0150000000000001</v>
      </c>
      <c r="X103" s="2">
        <f t="shared" ca="1" si="3"/>
        <v>2.2629999999999999</v>
      </c>
      <c r="Y103" s="2">
        <f t="shared" ca="1" si="3"/>
        <v>2.573</v>
      </c>
    </row>
    <row r="104" spans="2:25" x14ac:dyDescent="0.3">
      <c r="B104" s="6">
        <v>101</v>
      </c>
      <c r="C104" s="9">
        <v>2.6520000000000001</v>
      </c>
      <c r="D104" s="9">
        <v>2.4540000000000002</v>
      </c>
      <c r="E104" s="9">
        <v>2.4489999999999998</v>
      </c>
      <c r="F104" s="9">
        <v>2.3879999999999999</v>
      </c>
      <c r="I104" s="2">
        <f t="shared" ca="1" si="3"/>
        <v>2.4079999999999999</v>
      </c>
      <c r="J104" s="2">
        <f t="shared" ca="1" si="3"/>
        <v>2.121</v>
      </c>
      <c r="K104" s="2">
        <f t="shared" ca="1" si="3"/>
        <v>1.8740000000000001</v>
      </c>
      <c r="L104" s="2">
        <f t="shared" ca="1" si="3"/>
        <v>1.6519999999999999</v>
      </c>
      <c r="M104" s="2">
        <f t="shared" ca="1" si="3"/>
        <v>1.4510000000000001</v>
      </c>
      <c r="N104" s="2">
        <f t="shared" ca="1" si="3"/>
        <v>1.2869999999999999</v>
      </c>
      <c r="O104" s="2">
        <f t="shared" ca="1" si="3"/>
        <v>1.177</v>
      </c>
      <c r="P104" s="2">
        <f t="shared" ca="1" si="3"/>
        <v>1.119</v>
      </c>
      <c r="Q104" s="2">
        <f t="shared" ca="1" si="3"/>
        <v>1.105</v>
      </c>
      <c r="R104" s="2">
        <f t="shared" ca="1" si="3"/>
        <v>1.1259999999999999</v>
      </c>
      <c r="S104" s="2">
        <f t="shared" ca="1" si="3"/>
        <v>1.1910000000000001</v>
      </c>
      <c r="T104" s="2">
        <f t="shared" ca="1" si="3"/>
        <v>1.306</v>
      </c>
      <c r="U104" s="2">
        <f t="shared" ca="1" si="3"/>
        <v>1.4790000000000001</v>
      </c>
      <c r="V104" s="2">
        <f t="shared" ca="1" si="3"/>
        <v>1.6859999999999999</v>
      </c>
      <c r="W104" s="2">
        <f t="shared" ca="1" si="3"/>
        <v>1.917</v>
      </c>
      <c r="X104" s="2">
        <f t="shared" ca="1" si="3"/>
        <v>2.169</v>
      </c>
      <c r="Y104" s="2">
        <f t="shared" ca="1" si="3"/>
        <v>2.4510000000000001</v>
      </c>
    </row>
    <row r="105" spans="2:25" x14ac:dyDescent="0.3">
      <c r="B105" s="6">
        <v>102</v>
      </c>
      <c r="C105" s="9">
        <v>2.6190000000000002</v>
      </c>
      <c r="D105" s="9">
        <v>2.3940000000000001</v>
      </c>
      <c r="E105" s="9">
        <v>2.3919999999999999</v>
      </c>
      <c r="F105" s="9">
        <v>2.3119999999999998</v>
      </c>
      <c r="I105" s="2">
        <f t="shared" ca="1" si="3"/>
        <v>2.3330000000000002</v>
      </c>
      <c r="J105" s="2">
        <f t="shared" ca="1" si="3"/>
        <v>2.0539999999999998</v>
      </c>
      <c r="K105" s="2">
        <f t="shared" ca="1" si="3"/>
        <v>1.802</v>
      </c>
      <c r="L105" s="2">
        <f t="shared" ca="1" si="3"/>
        <v>1.5780000000000001</v>
      </c>
      <c r="M105" s="2">
        <f t="shared" ca="1" si="3"/>
        <v>1.3779999999999999</v>
      </c>
      <c r="N105" s="2">
        <f t="shared" ca="1" si="3"/>
        <v>1.222</v>
      </c>
      <c r="O105" s="2">
        <f t="shared" ca="1" si="3"/>
        <v>1.115</v>
      </c>
      <c r="P105" s="2">
        <f t="shared" ca="1" si="3"/>
        <v>1.0489999999999999</v>
      </c>
      <c r="Q105" s="2">
        <f t="shared" ca="1" si="3"/>
        <v>1.028</v>
      </c>
      <c r="R105" s="2">
        <f t="shared" ca="1" si="3"/>
        <v>1.056</v>
      </c>
      <c r="S105" s="2">
        <f t="shared" ca="1" si="3"/>
        <v>1.127</v>
      </c>
      <c r="T105" s="2">
        <f t="shared" ca="1" si="3"/>
        <v>1.2370000000000001</v>
      </c>
      <c r="U105" s="2">
        <f t="shared" ca="1" si="3"/>
        <v>1.4</v>
      </c>
      <c r="V105" s="2">
        <f t="shared" ca="1" si="3"/>
        <v>1.6120000000000001</v>
      </c>
      <c r="W105" s="2">
        <f t="shared" ca="1" si="3"/>
        <v>1.847</v>
      </c>
      <c r="X105" s="2">
        <f t="shared" ca="1" si="3"/>
        <v>2.1059999999999999</v>
      </c>
      <c r="Y105" s="2">
        <f t="shared" ca="1" si="3"/>
        <v>2.3879999999999999</v>
      </c>
    </row>
    <row r="106" spans="2:25" x14ac:dyDescent="0.3">
      <c r="B106" s="6">
        <v>103</v>
      </c>
      <c r="C106" s="9">
        <v>2.2789999999999999</v>
      </c>
      <c r="D106" s="9">
        <v>2.0960000000000001</v>
      </c>
      <c r="E106" s="9">
        <v>2.0950000000000002</v>
      </c>
      <c r="F106" s="9">
        <v>2.0299999999999998</v>
      </c>
      <c r="I106" s="2">
        <f t="shared" ca="1" si="3"/>
        <v>2.3119999999999998</v>
      </c>
      <c r="J106" s="2">
        <f t="shared" ca="1" si="3"/>
        <v>2.0299999999999998</v>
      </c>
      <c r="K106" s="2">
        <f t="shared" ca="1" si="3"/>
        <v>1.776</v>
      </c>
      <c r="L106" s="2">
        <f t="shared" ca="1" si="3"/>
        <v>1.5509999999999999</v>
      </c>
      <c r="M106" s="2">
        <f t="shared" ca="1" si="3"/>
        <v>1.3480000000000001</v>
      </c>
      <c r="N106" s="2">
        <f t="shared" ca="1" si="3"/>
        <v>1.194</v>
      </c>
      <c r="O106" s="2">
        <f t="shared" ca="1" si="3"/>
        <v>1.087</v>
      </c>
      <c r="P106" s="2">
        <f t="shared" ca="1" si="3"/>
        <v>1.022</v>
      </c>
      <c r="Q106" s="2">
        <f t="shared" ca="1" si="3"/>
        <v>1.0069999999999999</v>
      </c>
      <c r="R106" s="2">
        <f t="shared" ca="1" si="3"/>
        <v>1.0289999999999999</v>
      </c>
      <c r="S106" s="2">
        <f t="shared" ca="1" si="3"/>
        <v>1.1040000000000001</v>
      </c>
      <c r="T106" s="2">
        <f t="shared" ca="1" si="3"/>
        <v>1.216</v>
      </c>
      <c r="U106" s="2">
        <f t="shared" ca="1" si="3"/>
        <v>1.377</v>
      </c>
      <c r="V106" s="2">
        <f t="shared" ca="1" si="3"/>
        <v>1.587</v>
      </c>
      <c r="W106" s="2">
        <f t="shared" ca="1" si="3"/>
        <v>1.819</v>
      </c>
      <c r="X106" s="2">
        <f t="shared" ca="1" si="3"/>
        <v>2.077</v>
      </c>
      <c r="Y106" s="2">
        <f t="shared" ca="1" si="3"/>
        <v>2.3519999999999999</v>
      </c>
    </row>
    <row r="107" spans="2:25" x14ac:dyDescent="0.3">
      <c r="B107" s="6">
        <v>104</v>
      </c>
      <c r="C107" s="9">
        <v>1.9670000000000001</v>
      </c>
      <c r="D107" s="9">
        <v>1.827</v>
      </c>
      <c r="E107" s="9">
        <v>1.8260000000000001</v>
      </c>
      <c r="F107" s="9">
        <v>1.776</v>
      </c>
      <c r="I107" s="2">
        <f t="shared" ca="1" si="3"/>
        <v>2.3450000000000002</v>
      </c>
      <c r="J107" s="2">
        <f t="shared" ca="1" si="3"/>
        <v>2.0539999999999998</v>
      </c>
      <c r="K107" s="2">
        <f t="shared" ca="1" si="3"/>
        <v>1.796</v>
      </c>
      <c r="L107" s="2">
        <f t="shared" ca="1" si="3"/>
        <v>1.569</v>
      </c>
      <c r="M107" s="2">
        <f t="shared" ca="1" si="3"/>
        <v>1.3660000000000001</v>
      </c>
      <c r="N107" s="2">
        <f t="shared" ca="1" si="3"/>
        <v>1.2090000000000001</v>
      </c>
      <c r="O107" s="2">
        <f t="shared" ca="1" si="3"/>
        <v>1.101</v>
      </c>
      <c r="P107" s="2">
        <f t="shared" ca="1" si="3"/>
        <v>1.0369999999999999</v>
      </c>
      <c r="Q107" s="2">
        <f t="shared" ca="1" si="3"/>
        <v>1.0209999999999999</v>
      </c>
      <c r="R107" s="2">
        <f t="shared" ca="1" si="3"/>
        <v>1.048</v>
      </c>
      <c r="S107" s="2">
        <f t="shared" ca="1" si="3"/>
        <v>1.123</v>
      </c>
      <c r="T107" s="2">
        <f t="shared" ca="1" si="3"/>
        <v>1.236</v>
      </c>
      <c r="U107" s="2">
        <f t="shared" ca="1" si="3"/>
        <v>1.4</v>
      </c>
      <c r="V107" s="2">
        <f t="shared" ca="1" si="3"/>
        <v>1.61</v>
      </c>
      <c r="W107" s="2">
        <f t="shared" ca="1" si="3"/>
        <v>1.8420000000000001</v>
      </c>
      <c r="X107" s="2">
        <f t="shared" ca="1" si="3"/>
        <v>2.0950000000000002</v>
      </c>
      <c r="Y107" s="2">
        <f t="shared" ca="1" si="3"/>
        <v>2.3650000000000002</v>
      </c>
    </row>
    <row r="108" spans="2:25" x14ac:dyDescent="0.3">
      <c r="B108" s="6">
        <v>105</v>
      </c>
      <c r="C108" s="9">
        <v>1.6879999999999999</v>
      </c>
      <c r="D108" s="9">
        <v>1.589</v>
      </c>
      <c r="E108" s="9">
        <v>1.589</v>
      </c>
      <c r="F108" s="9">
        <v>1.5509999999999999</v>
      </c>
      <c r="I108" s="2">
        <f t="shared" ca="1" si="3"/>
        <v>2.4119999999999999</v>
      </c>
      <c r="J108" s="2">
        <f t="shared" ca="1" si="3"/>
        <v>2.1219999999999999</v>
      </c>
      <c r="K108" s="2">
        <f t="shared" ca="1" si="3"/>
        <v>1.8680000000000001</v>
      </c>
      <c r="L108" s="2">
        <f t="shared" ca="1" si="3"/>
        <v>1.64</v>
      </c>
      <c r="M108" s="2">
        <f t="shared" ca="1" si="3"/>
        <v>1.4359999999999999</v>
      </c>
      <c r="N108" s="2">
        <f t="shared" ca="1" si="3"/>
        <v>1.272</v>
      </c>
      <c r="O108" s="2">
        <f t="shared" ca="1" si="3"/>
        <v>1.1639999999999999</v>
      </c>
      <c r="P108" s="2">
        <f t="shared" ca="1" si="3"/>
        <v>1.103</v>
      </c>
      <c r="Q108" s="2">
        <f t="shared" ca="1" si="3"/>
        <v>1.0880000000000001</v>
      </c>
      <c r="R108" s="2">
        <f t="shared" ca="1" si="3"/>
        <v>1.111</v>
      </c>
      <c r="S108" s="2">
        <f t="shared" ca="1" si="3"/>
        <v>1.18</v>
      </c>
      <c r="T108" s="2">
        <f t="shared" ca="1" si="3"/>
        <v>1.296</v>
      </c>
      <c r="U108" s="2">
        <f t="shared" ca="1" si="3"/>
        <v>1.47</v>
      </c>
      <c r="V108" s="2">
        <f t="shared" ca="1" si="3"/>
        <v>1.68</v>
      </c>
      <c r="W108" s="2">
        <f t="shared" ca="1" si="3"/>
        <v>1.913</v>
      </c>
      <c r="X108" s="2">
        <f t="shared" ca="1" si="3"/>
        <v>2.1640000000000001</v>
      </c>
      <c r="Y108" s="2">
        <f t="shared" ca="1" si="3"/>
        <v>2.4449999999999998</v>
      </c>
    </row>
    <row r="109" spans="2:25" x14ac:dyDescent="0.3">
      <c r="B109" s="6">
        <v>106</v>
      </c>
      <c r="C109" s="9">
        <v>1.4359999999999999</v>
      </c>
      <c r="D109" s="9">
        <v>1.3759999999999999</v>
      </c>
      <c r="E109" s="9">
        <v>1.377</v>
      </c>
      <c r="F109" s="9">
        <v>1.3480000000000001</v>
      </c>
      <c r="I109" s="2">
        <f t="shared" ca="1" si="3"/>
        <v>2.5310000000000001</v>
      </c>
      <c r="J109" s="2">
        <f t="shared" ca="1" si="3"/>
        <v>2.2149999999999999</v>
      </c>
      <c r="K109" s="2">
        <f t="shared" ca="1" si="3"/>
        <v>1.9650000000000001</v>
      </c>
      <c r="L109" s="2">
        <f t="shared" ca="1" si="3"/>
        <v>1.744</v>
      </c>
      <c r="M109" s="2">
        <f t="shared" ca="1" si="3"/>
        <v>1.55</v>
      </c>
      <c r="N109" s="2">
        <f t="shared" ca="1" si="3"/>
        <v>1.389</v>
      </c>
      <c r="O109" s="2">
        <f t="shared" ca="1" si="3"/>
        <v>1.272</v>
      </c>
      <c r="P109" s="2">
        <f t="shared" ca="1" si="3"/>
        <v>1.2110000000000001</v>
      </c>
      <c r="Q109" s="2">
        <f t="shared" ca="1" si="3"/>
        <v>1.194</v>
      </c>
      <c r="R109" s="2">
        <f t="shared" ca="1" si="3"/>
        <v>1.2150000000000001</v>
      </c>
      <c r="S109" s="2">
        <f t="shared" ca="1" si="3"/>
        <v>1.282</v>
      </c>
      <c r="T109" s="2">
        <f t="shared" ca="1" si="3"/>
        <v>1.4039999999999999</v>
      </c>
      <c r="U109" s="2">
        <f t="shared" ca="1" si="3"/>
        <v>1.5740000000000001</v>
      </c>
      <c r="V109" s="2">
        <f t="shared" ca="1" si="3"/>
        <v>1.78</v>
      </c>
      <c r="W109" s="2">
        <f t="shared" ca="1" si="3"/>
        <v>2.0110000000000001</v>
      </c>
      <c r="X109" s="2">
        <f t="shared" ca="1" si="3"/>
        <v>2.2650000000000001</v>
      </c>
      <c r="Y109" s="2">
        <f t="shared" ca="1" si="3"/>
        <v>2.5830000000000002</v>
      </c>
    </row>
    <row r="110" spans="2:25" x14ac:dyDescent="0.3">
      <c r="B110" s="6">
        <v>107</v>
      </c>
      <c r="C110" s="9">
        <v>1.246</v>
      </c>
      <c r="D110" s="9">
        <v>1.214</v>
      </c>
      <c r="E110" s="9">
        <v>1.2150000000000001</v>
      </c>
      <c r="F110" s="9">
        <v>1.194</v>
      </c>
      <c r="I110" s="2">
        <f t="shared" ca="1" si="3"/>
        <v>2.7389999999999999</v>
      </c>
      <c r="J110" s="2">
        <f t="shared" ca="1" si="3"/>
        <v>2.3639999999999999</v>
      </c>
      <c r="K110" s="2">
        <f t="shared" ca="1" si="3"/>
        <v>2.097</v>
      </c>
      <c r="L110" s="2">
        <f t="shared" ca="1" si="3"/>
        <v>1.883</v>
      </c>
      <c r="M110" s="2">
        <f t="shared" ca="1" si="3"/>
        <v>1.6990000000000001</v>
      </c>
      <c r="N110" s="2">
        <f t="shared" ca="1" si="3"/>
        <v>1.55</v>
      </c>
      <c r="O110" s="2">
        <f t="shared" ca="1" si="3"/>
        <v>1.4379999999999999</v>
      </c>
      <c r="P110" s="2">
        <f t="shared" ca="1" si="3"/>
        <v>1.371</v>
      </c>
      <c r="Q110" s="2">
        <f t="shared" ca="1" si="3"/>
        <v>1.3520000000000001</v>
      </c>
      <c r="R110" s="2">
        <f t="shared" ca="1" si="3"/>
        <v>1.375</v>
      </c>
      <c r="S110" s="2">
        <f t="shared" ca="1" si="3"/>
        <v>1.448</v>
      </c>
      <c r="T110" s="2">
        <f t="shared" ca="1" si="3"/>
        <v>1.5680000000000001</v>
      </c>
      <c r="U110" s="2">
        <f t="shared" ca="1" si="3"/>
        <v>1.726</v>
      </c>
      <c r="V110" s="2">
        <f t="shared" ca="1" si="3"/>
        <v>1.921</v>
      </c>
      <c r="W110" s="2">
        <f t="shared" ca="1" si="3"/>
        <v>2.137</v>
      </c>
      <c r="X110" s="2">
        <f t="shared" ca="1" si="3"/>
        <v>2.4089999999999998</v>
      </c>
      <c r="Y110" s="2">
        <f t="shared" ca="1" si="3"/>
        <v>2.782</v>
      </c>
    </row>
    <row r="111" spans="2:25" x14ac:dyDescent="0.3">
      <c r="B111" s="6">
        <v>108</v>
      </c>
      <c r="C111" s="9">
        <v>1.115</v>
      </c>
      <c r="D111" s="9">
        <v>1.1000000000000001</v>
      </c>
      <c r="E111" s="9">
        <v>1.1000000000000001</v>
      </c>
      <c r="F111" s="9">
        <v>1.087</v>
      </c>
      <c r="I111" s="2">
        <f t="shared" ca="1" si="3"/>
        <v>2.97</v>
      </c>
      <c r="J111" s="2">
        <f t="shared" ca="1" si="3"/>
        <v>2.5870000000000002</v>
      </c>
      <c r="K111" s="2">
        <f t="shared" ca="1" si="3"/>
        <v>2.2749999999999999</v>
      </c>
      <c r="L111" s="2">
        <f t="shared" ca="1" si="3"/>
        <v>2.0609999999999999</v>
      </c>
      <c r="M111" s="2">
        <f t="shared" ca="1" si="3"/>
        <v>1.883</v>
      </c>
      <c r="N111" s="2">
        <f t="shared" ca="1" si="3"/>
        <v>1.74</v>
      </c>
      <c r="O111" s="2">
        <f t="shared" ca="1" si="3"/>
        <v>1.637</v>
      </c>
      <c r="P111" s="2">
        <f t="shared" ca="1" si="3"/>
        <v>1.5780000000000001</v>
      </c>
      <c r="Q111" s="2">
        <f t="shared" ca="1" si="3"/>
        <v>1.5629999999999999</v>
      </c>
      <c r="R111" s="2">
        <f t="shared" ca="1" si="3"/>
        <v>1.5880000000000001</v>
      </c>
      <c r="S111" s="2">
        <f t="shared" ca="1" si="3"/>
        <v>1.661</v>
      </c>
      <c r="T111" s="2">
        <f t="shared" ca="1" si="3"/>
        <v>1.77</v>
      </c>
      <c r="U111" s="2">
        <f t="shared" ca="1" si="3"/>
        <v>1.92</v>
      </c>
      <c r="V111" s="2">
        <f t="shared" ca="1" si="3"/>
        <v>2.0990000000000002</v>
      </c>
      <c r="W111" s="2">
        <f t="shared" ca="1" si="3"/>
        <v>2.3090000000000002</v>
      </c>
      <c r="X111" s="2">
        <f t="shared" ca="1" si="3"/>
        <v>2.617</v>
      </c>
      <c r="Y111" s="2">
        <f t="shared" ca="1" si="3"/>
        <v>2.9769999999999999</v>
      </c>
    </row>
    <row r="112" spans="2:25" x14ac:dyDescent="0.3">
      <c r="B112" s="6">
        <v>109</v>
      </c>
      <c r="C112" s="9">
        <v>1.0309999999999999</v>
      </c>
      <c r="D112" s="9">
        <v>1.026</v>
      </c>
      <c r="E112" s="9">
        <v>1.026</v>
      </c>
      <c r="F112" s="9">
        <v>1.022</v>
      </c>
      <c r="I112" s="13">
        <f t="shared" ca="1" si="3"/>
        <v>3.1789999999999998</v>
      </c>
      <c r="J112" s="2">
        <f t="shared" ca="1" si="3"/>
        <v>2.8780000000000001</v>
      </c>
      <c r="K112" s="2">
        <f t="shared" ca="1" si="3"/>
        <v>2.5459999999999998</v>
      </c>
      <c r="L112" s="2">
        <f t="shared" ca="1" si="3"/>
        <v>2.2890000000000001</v>
      </c>
      <c r="M112" s="2">
        <f t="shared" ca="1" si="3"/>
        <v>2.1190000000000002</v>
      </c>
      <c r="N112" s="2">
        <f t="shared" ca="1" si="3"/>
        <v>1.976</v>
      </c>
      <c r="O112" s="2">
        <f t="shared" ca="1" si="3"/>
        <v>1.871</v>
      </c>
      <c r="P112" s="2">
        <f t="shared" ca="1" si="3"/>
        <v>1.8120000000000001</v>
      </c>
      <c r="Q112" s="2">
        <f t="shared" ca="1" si="3"/>
        <v>1.798</v>
      </c>
      <c r="R112" s="2">
        <f t="shared" ca="1" si="3"/>
        <v>1.8320000000000001</v>
      </c>
      <c r="S112" s="2">
        <f t="shared" ca="1" si="3"/>
        <v>1.9079999999999999</v>
      </c>
      <c r="T112" s="2">
        <f t="shared" ca="1" si="3"/>
        <v>2.0230000000000001</v>
      </c>
      <c r="U112" s="2">
        <f t="shared" ca="1" si="3"/>
        <v>2.1619999999999999</v>
      </c>
      <c r="V112" s="2">
        <f t="shared" ca="1" si="3"/>
        <v>2.327</v>
      </c>
      <c r="W112" s="2">
        <f t="shared" ca="1" si="3"/>
        <v>2.57</v>
      </c>
      <c r="X112" s="2">
        <f t="shared" ca="1" si="3"/>
        <v>2.87</v>
      </c>
      <c r="Y112" s="13">
        <f t="shared" ca="1" si="3"/>
        <v>3.1219999999999999</v>
      </c>
    </row>
    <row r="113" spans="2:6" x14ac:dyDescent="0.3">
      <c r="B113" s="6">
        <v>110</v>
      </c>
      <c r="C113" s="9">
        <v>1.004</v>
      </c>
      <c r="D113" s="9">
        <v>1.0049999999999999</v>
      </c>
      <c r="E113" s="9">
        <v>1.004</v>
      </c>
      <c r="F113" s="9">
        <v>1.0069999999999999</v>
      </c>
    </row>
    <row r="114" spans="2:6" x14ac:dyDescent="0.3">
      <c r="B114" s="6">
        <v>111</v>
      </c>
      <c r="C114" s="9">
        <v>1.0369999999999999</v>
      </c>
      <c r="D114" s="9">
        <v>1.0329999999999999</v>
      </c>
      <c r="E114" s="9">
        <v>1.0329999999999999</v>
      </c>
      <c r="F114" s="9">
        <v>1.0289999999999999</v>
      </c>
    </row>
    <row r="115" spans="2:6" x14ac:dyDescent="0.3">
      <c r="B115" s="6">
        <v>112</v>
      </c>
      <c r="C115" s="9">
        <v>1.129</v>
      </c>
      <c r="D115" s="9">
        <v>1.1180000000000001</v>
      </c>
      <c r="E115" s="9">
        <v>1.117</v>
      </c>
      <c r="F115" s="9">
        <v>1.1040000000000001</v>
      </c>
    </row>
    <row r="116" spans="2:6" x14ac:dyDescent="0.3">
      <c r="B116" s="6">
        <v>113</v>
      </c>
      <c r="C116" s="9">
        <v>1.262</v>
      </c>
      <c r="D116" s="9">
        <v>1.234</v>
      </c>
      <c r="E116" s="9">
        <v>1.234</v>
      </c>
      <c r="F116" s="9">
        <v>1.216</v>
      </c>
    </row>
    <row r="117" spans="2:6" x14ac:dyDescent="0.3">
      <c r="B117" s="6">
        <v>114</v>
      </c>
      <c r="C117" s="9">
        <v>1.4550000000000001</v>
      </c>
      <c r="D117" s="9">
        <v>1.401</v>
      </c>
      <c r="E117" s="9">
        <v>1.399</v>
      </c>
      <c r="F117" s="9">
        <v>1.377</v>
      </c>
    </row>
    <row r="118" spans="2:6" x14ac:dyDescent="0.3">
      <c r="B118" s="6">
        <v>115</v>
      </c>
      <c r="C118" s="9">
        <v>1.7090000000000001</v>
      </c>
      <c r="D118" s="9">
        <v>1.6180000000000001</v>
      </c>
      <c r="E118" s="9">
        <v>1.6160000000000001</v>
      </c>
      <c r="F118" s="9">
        <v>1.587</v>
      </c>
    </row>
    <row r="119" spans="2:6" x14ac:dyDescent="0.3">
      <c r="B119" s="6">
        <v>116</v>
      </c>
      <c r="C119" s="9">
        <v>1.99</v>
      </c>
      <c r="D119" s="9">
        <v>1.86</v>
      </c>
      <c r="E119" s="9">
        <v>1.857</v>
      </c>
      <c r="F119" s="9">
        <v>1.819</v>
      </c>
    </row>
    <row r="120" spans="2:6" x14ac:dyDescent="0.3">
      <c r="B120" s="6">
        <v>117</v>
      </c>
      <c r="C120" s="9">
        <v>2.2959999999999998</v>
      </c>
      <c r="D120" s="9">
        <v>2.13</v>
      </c>
      <c r="E120" s="9">
        <v>2.1259999999999999</v>
      </c>
      <c r="F120" s="9">
        <v>2.077</v>
      </c>
    </row>
    <row r="121" spans="2:6" x14ac:dyDescent="0.3">
      <c r="B121" s="6">
        <v>118</v>
      </c>
      <c r="C121" s="9">
        <v>2.6110000000000002</v>
      </c>
      <c r="D121" s="9">
        <v>2.4209999999999998</v>
      </c>
      <c r="E121" s="9">
        <v>2.415</v>
      </c>
      <c r="F121" s="9">
        <v>2.3519999999999999</v>
      </c>
    </row>
    <row r="122" spans="2:6" x14ac:dyDescent="0.3">
      <c r="B122" s="6">
        <v>119</v>
      </c>
      <c r="C122" s="9">
        <v>2.6480000000000001</v>
      </c>
      <c r="D122" s="9">
        <v>2.4239999999999999</v>
      </c>
      <c r="E122" s="9">
        <v>2.4209999999999998</v>
      </c>
      <c r="F122" s="9">
        <v>2.3450000000000002</v>
      </c>
    </row>
    <row r="123" spans="2:6" x14ac:dyDescent="0.3">
      <c r="B123" s="6">
        <v>120</v>
      </c>
      <c r="C123" s="9">
        <v>2.3050000000000002</v>
      </c>
      <c r="D123" s="9">
        <v>2.12</v>
      </c>
      <c r="E123" s="9">
        <v>2.1179999999999999</v>
      </c>
      <c r="F123" s="9">
        <v>2.0539999999999998</v>
      </c>
    </row>
    <row r="124" spans="2:6" x14ac:dyDescent="0.3">
      <c r="B124" s="6">
        <v>121</v>
      </c>
      <c r="C124" s="9">
        <v>1.9910000000000001</v>
      </c>
      <c r="D124" s="9">
        <v>1.849</v>
      </c>
      <c r="E124" s="9">
        <v>1.8480000000000001</v>
      </c>
      <c r="F124" s="9">
        <v>1.796</v>
      </c>
    </row>
    <row r="125" spans="2:6" x14ac:dyDescent="0.3">
      <c r="B125" s="6">
        <v>122</v>
      </c>
      <c r="C125" s="9">
        <v>1.7110000000000001</v>
      </c>
      <c r="D125" s="9">
        <v>1.611</v>
      </c>
      <c r="E125" s="9">
        <v>1.61</v>
      </c>
      <c r="F125" s="9">
        <v>1.569</v>
      </c>
    </row>
    <row r="126" spans="2:6" x14ac:dyDescent="0.3">
      <c r="B126" s="6">
        <v>123</v>
      </c>
      <c r="C126" s="9">
        <v>1.462</v>
      </c>
      <c r="D126" s="9">
        <v>1.3979999999999999</v>
      </c>
      <c r="E126" s="9">
        <v>1.399</v>
      </c>
      <c r="F126" s="9">
        <v>1.3660000000000001</v>
      </c>
    </row>
    <row r="127" spans="2:6" x14ac:dyDescent="0.3">
      <c r="B127" s="6">
        <v>124</v>
      </c>
      <c r="C127" s="9">
        <v>1.2709999999999999</v>
      </c>
      <c r="D127" s="9">
        <v>1.2330000000000001</v>
      </c>
      <c r="E127" s="9">
        <v>1.234</v>
      </c>
      <c r="F127" s="9">
        <v>1.2090000000000001</v>
      </c>
    </row>
    <row r="128" spans="2:6" x14ac:dyDescent="0.3">
      <c r="B128" s="6">
        <v>125</v>
      </c>
      <c r="C128" s="9">
        <v>1.1379999999999999</v>
      </c>
      <c r="D128" s="9">
        <v>1.1180000000000001</v>
      </c>
      <c r="E128" s="9">
        <v>1.1180000000000001</v>
      </c>
      <c r="F128" s="9">
        <v>1.101</v>
      </c>
    </row>
    <row r="129" spans="2:6" x14ac:dyDescent="0.3">
      <c r="B129" s="6">
        <v>126</v>
      </c>
      <c r="C129" s="9">
        <v>1.054</v>
      </c>
      <c r="D129" s="9">
        <v>1.044</v>
      </c>
      <c r="E129" s="9">
        <v>1.044</v>
      </c>
      <c r="F129" s="9">
        <v>1.0369999999999999</v>
      </c>
    </row>
    <row r="130" spans="2:6" x14ac:dyDescent="0.3">
      <c r="B130" s="6">
        <v>127</v>
      </c>
      <c r="C130" s="9">
        <v>1.0289999999999999</v>
      </c>
      <c r="D130" s="9">
        <v>1.024</v>
      </c>
      <c r="E130" s="9">
        <v>1.0229999999999999</v>
      </c>
      <c r="F130" s="9">
        <v>1.0209999999999999</v>
      </c>
    </row>
    <row r="131" spans="2:6" x14ac:dyDescent="0.3">
      <c r="B131" s="6">
        <v>128</v>
      </c>
      <c r="C131" s="9">
        <v>1.0660000000000001</v>
      </c>
      <c r="D131" s="9">
        <v>1.0569999999999999</v>
      </c>
      <c r="E131" s="9">
        <v>1.056</v>
      </c>
      <c r="F131" s="9">
        <v>1.048</v>
      </c>
    </row>
    <row r="132" spans="2:6" x14ac:dyDescent="0.3">
      <c r="B132" s="6">
        <v>129</v>
      </c>
      <c r="C132" s="9">
        <v>1.1579999999999999</v>
      </c>
      <c r="D132" s="9">
        <v>1.1399999999999999</v>
      </c>
      <c r="E132" s="9">
        <v>1.139</v>
      </c>
      <c r="F132" s="9">
        <v>1.123</v>
      </c>
    </row>
    <row r="133" spans="2:6" x14ac:dyDescent="0.3">
      <c r="B133" s="6">
        <v>130</v>
      </c>
      <c r="C133" s="9">
        <v>1.292</v>
      </c>
      <c r="D133" s="9">
        <v>1.2589999999999999</v>
      </c>
      <c r="E133" s="9">
        <v>1.258</v>
      </c>
      <c r="F133" s="9">
        <v>1.236</v>
      </c>
    </row>
    <row r="134" spans="2:6" x14ac:dyDescent="0.3">
      <c r="B134" s="6">
        <v>131</v>
      </c>
      <c r="C134" s="9">
        <v>1.488</v>
      </c>
      <c r="D134" s="9">
        <v>1.429</v>
      </c>
      <c r="E134" s="9">
        <v>1.4279999999999999</v>
      </c>
      <c r="F134" s="9">
        <v>1.4</v>
      </c>
    </row>
    <row r="135" spans="2:6" x14ac:dyDescent="0.3">
      <c r="B135" s="6">
        <v>132</v>
      </c>
      <c r="C135" s="9">
        <v>1.7390000000000001</v>
      </c>
      <c r="D135" s="9">
        <v>1.6459999999999999</v>
      </c>
      <c r="E135" s="9">
        <v>1.643</v>
      </c>
      <c r="F135" s="9">
        <v>1.61</v>
      </c>
    </row>
    <row r="136" spans="2:6" x14ac:dyDescent="0.3">
      <c r="B136" s="6">
        <v>133</v>
      </c>
      <c r="C136" s="9">
        <v>2.0190000000000001</v>
      </c>
      <c r="D136" s="9">
        <v>1.8839999999999999</v>
      </c>
      <c r="E136" s="9">
        <v>1.881</v>
      </c>
      <c r="F136" s="9">
        <v>1.8420000000000001</v>
      </c>
    </row>
    <row r="137" spans="2:6" x14ac:dyDescent="0.3">
      <c r="B137" s="6">
        <v>134</v>
      </c>
      <c r="C137" s="9">
        <v>2.3170000000000002</v>
      </c>
      <c r="D137" s="9">
        <v>2.15</v>
      </c>
      <c r="E137" s="9">
        <v>2.145</v>
      </c>
      <c r="F137" s="9">
        <v>2.0950000000000002</v>
      </c>
    </row>
    <row r="138" spans="2:6" x14ac:dyDescent="0.3">
      <c r="B138" s="6">
        <v>135</v>
      </c>
      <c r="C138" s="9">
        <v>2.6259999999999999</v>
      </c>
      <c r="D138" s="9">
        <v>2.4369999999999998</v>
      </c>
      <c r="E138" s="9">
        <v>2.4300000000000002</v>
      </c>
      <c r="F138" s="9">
        <v>2.3650000000000002</v>
      </c>
    </row>
    <row r="139" spans="2:6" x14ac:dyDescent="0.3">
      <c r="B139" s="6">
        <v>136</v>
      </c>
      <c r="C139" s="9">
        <v>2.7250000000000001</v>
      </c>
      <c r="D139" s="9">
        <v>2.4950000000000001</v>
      </c>
      <c r="E139" s="9">
        <v>2.492</v>
      </c>
      <c r="F139" s="9">
        <v>2.4119999999999999</v>
      </c>
    </row>
    <row r="140" spans="2:6" x14ac:dyDescent="0.3">
      <c r="B140" s="6">
        <v>137</v>
      </c>
      <c r="C140" s="9">
        <v>2.3820000000000001</v>
      </c>
      <c r="D140" s="9">
        <v>2.1920000000000002</v>
      </c>
      <c r="E140" s="9">
        <v>2.1890000000000001</v>
      </c>
      <c r="F140" s="9">
        <v>2.1219999999999999</v>
      </c>
    </row>
    <row r="141" spans="2:6" x14ac:dyDescent="0.3">
      <c r="B141" s="6">
        <v>138</v>
      </c>
      <c r="C141" s="9">
        <v>2.0779999999999998</v>
      </c>
      <c r="D141" s="9">
        <v>1.927</v>
      </c>
      <c r="E141" s="9">
        <v>1.925</v>
      </c>
      <c r="F141" s="9">
        <v>1.8680000000000001</v>
      </c>
    </row>
    <row r="142" spans="2:6" x14ac:dyDescent="0.3">
      <c r="B142" s="6">
        <v>139</v>
      </c>
      <c r="C142" s="9">
        <v>1.8029999999999999</v>
      </c>
      <c r="D142" s="9">
        <v>1.6890000000000001</v>
      </c>
      <c r="E142" s="9">
        <v>1.6879999999999999</v>
      </c>
      <c r="F142" s="9">
        <v>1.64</v>
      </c>
    </row>
    <row r="143" spans="2:6" x14ac:dyDescent="0.3">
      <c r="B143" s="6">
        <v>140</v>
      </c>
      <c r="C143" s="9">
        <v>1.5569999999999999</v>
      </c>
      <c r="D143" s="9">
        <v>1.4790000000000001</v>
      </c>
      <c r="E143" s="9">
        <v>1.478</v>
      </c>
      <c r="F143" s="9">
        <v>1.4359999999999999</v>
      </c>
    </row>
    <row r="144" spans="2:6" x14ac:dyDescent="0.3">
      <c r="B144" s="6">
        <v>141</v>
      </c>
      <c r="C144" s="9">
        <v>1.3580000000000001</v>
      </c>
      <c r="D144" s="9">
        <v>1.3069999999999999</v>
      </c>
      <c r="E144" s="9">
        <v>1.3069999999999999</v>
      </c>
      <c r="F144" s="9">
        <v>1.272</v>
      </c>
    </row>
    <row r="145" spans="2:6" x14ac:dyDescent="0.3">
      <c r="B145" s="6">
        <v>142</v>
      </c>
      <c r="C145" s="9">
        <v>1.224</v>
      </c>
      <c r="D145" s="9">
        <v>1.1919999999999999</v>
      </c>
      <c r="E145" s="9">
        <v>1.1910000000000001</v>
      </c>
      <c r="F145" s="9">
        <v>1.1639999999999999</v>
      </c>
    </row>
    <row r="146" spans="2:6" x14ac:dyDescent="0.3">
      <c r="B146" s="6">
        <v>143</v>
      </c>
      <c r="C146" s="9">
        <v>1.1419999999999999</v>
      </c>
      <c r="D146" s="9">
        <v>1.1220000000000001</v>
      </c>
      <c r="E146" s="9">
        <v>1.1200000000000001</v>
      </c>
      <c r="F146" s="9">
        <v>1.103</v>
      </c>
    </row>
    <row r="147" spans="2:6" x14ac:dyDescent="0.3">
      <c r="B147" s="6">
        <v>144</v>
      </c>
      <c r="C147" s="9">
        <v>1.1160000000000001</v>
      </c>
      <c r="D147" s="9">
        <v>1.1020000000000001</v>
      </c>
      <c r="E147" s="9">
        <v>1.1000000000000001</v>
      </c>
      <c r="F147" s="9">
        <v>1.0880000000000001</v>
      </c>
    </row>
    <row r="148" spans="2:6" x14ac:dyDescent="0.3">
      <c r="B148" s="6">
        <v>145</v>
      </c>
      <c r="C148" s="9">
        <v>1.149</v>
      </c>
      <c r="D148" s="9">
        <v>1.1299999999999999</v>
      </c>
      <c r="E148" s="9">
        <v>1.1279999999999999</v>
      </c>
      <c r="F148" s="9">
        <v>1.111</v>
      </c>
    </row>
    <row r="149" spans="2:6" x14ac:dyDescent="0.3">
      <c r="B149" s="6">
        <v>146</v>
      </c>
      <c r="C149" s="9">
        <v>1.236</v>
      </c>
      <c r="D149" s="9">
        <v>1.206</v>
      </c>
      <c r="E149" s="9">
        <v>1.204</v>
      </c>
      <c r="F149" s="9">
        <v>1.18</v>
      </c>
    </row>
    <row r="150" spans="2:6" x14ac:dyDescent="0.3">
      <c r="B150" s="6">
        <v>147</v>
      </c>
      <c r="C150" s="9">
        <v>1.377</v>
      </c>
      <c r="D150" s="9">
        <v>1.329</v>
      </c>
      <c r="E150" s="9">
        <v>1.327</v>
      </c>
      <c r="F150" s="9">
        <v>1.296</v>
      </c>
    </row>
    <row r="151" spans="2:6" x14ac:dyDescent="0.3">
      <c r="B151" s="6">
        <v>148</v>
      </c>
      <c r="C151" s="9">
        <v>1.581</v>
      </c>
      <c r="D151" s="9">
        <v>1.508</v>
      </c>
      <c r="E151" s="9">
        <v>1.506</v>
      </c>
      <c r="F151" s="9">
        <v>1.47</v>
      </c>
    </row>
    <row r="152" spans="2:6" x14ac:dyDescent="0.3">
      <c r="B152" s="6">
        <v>149</v>
      </c>
      <c r="C152" s="9">
        <v>1.831</v>
      </c>
      <c r="D152" s="9">
        <v>1.7230000000000001</v>
      </c>
      <c r="E152" s="9">
        <v>1.7190000000000001</v>
      </c>
      <c r="F152" s="9">
        <v>1.68</v>
      </c>
    </row>
    <row r="153" spans="2:6" x14ac:dyDescent="0.3">
      <c r="B153" s="6">
        <v>150</v>
      </c>
      <c r="C153" s="9">
        <v>2.1040000000000001</v>
      </c>
      <c r="D153" s="9">
        <v>1.96</v>
      </c>
      <c r="E153" s="9">
        <v>1.956</v>
      </c>
      <c r="F153" s="9">
        <v>1.913</v>
      </c>
    </row>
    <row r="154" spans="2:6" x14ac:dyDescent="0.3">
      <c r="B154" s="6">
        <v>151</v>
      </c>
      <c r="C154" s="9">
        <v>2.399</v>
      </c>
      <c r="D154" s="9">
        <v>2.2250000000000001</v>
      </c>
      <c r="E154" s="9">
        <v>2.2189999999999999</v>
      </c>
      <c r="F154" s="9">
        <v>2.1640000000000001</v>
      </c>
    </row>
    <row r="155" spans="2:6" x14ac:dyDescent="0.3">
      <c r="B155" s="6">
        <v>152</v>
      </c>
      <c r="C155" s="9">
        <v>2.714</v>
      </c>
      <c r="D155" s="9">
        <v>2.5230000000000001</v>
      </c>
      <c r="E155" s="9">
        <v>2.516</v>
      </c>
      <c r="F155" s="9">
        <v>2.4449999999999998</v>
      </c>
    </row>
    <row r="156" spans="2:6" x14ac:dyDescent="0.3">
      <c r="B156" s="6">
        <v>153</v>
      </c>
      <c r="C156" s="9">
        <v>2.86</v>
      </c>
      <c r="D156" s="9">
        <v>2.625</v>
      </c>
      <c r="E156" s="9">
        <v>2.621</v>
      </c>
      <c r="F156" s="9">
        <v>2.5310000000000001</v>
      </c>
    </row>
    <row r="157" spans="2:6" x14ac:dyDescent="0.3">
      <c r="B157" s="6">
        <v>154</v>
      </c>
      <c r="C157" s="9">
        <v>2.4900000000000002</v>
      </c>
      <c r="D157" s="9">
        <v>2.2930000000000001</v>
      </c>
      <c r="E157" s="9">
        <v>2.2890000000000001</v>
      </c>
      <c r="F157" s="9">
        <v>2.2149999999999999</v>
      </c>
    </row>
    <row r="158" spans="2:6" x14ac:dyDescent="0.3">
      <c r="B158" s="6">
        <v>155</v>
      </c>
      <c r="C158" s="9">
        <v>2.1949999999999998</v>
      </c>
      <c r="D158" s="9">
        <v>2.032</v>
      </c>
      <c r="E158" s="9">
        <v>2.0289999999999999</v>
      </c>
      <c r="F158" s="9">
        <v>1.9650000000000001</v>
      </c>
    </row>
    <row r="159" spans="2:6" x14ac:dyDescent="0.3">
      <c r="B159" s="6">
        <v>156</v>
      </c>
      <c r="C159" s="9">
        <v>1.9339999999999999</v>
      </c>
      <c r="D159" s="9">
        <v>1.804</v>
      </c>
      <c r="E159" s="9">
        <v>1.8009999999999999</v>
      </c>
      <c r="F159" s="9">
        <v>1.744</v>
      </c>
    </row>
    <row r="160" spans="2:6" x14ac:dyDescent="0.3">
      <c r="B160" s="6">
        <v>157</v>
      </c>
      <c r="C160" s="9">
        <v>1.702</v>
      </c>
      <c r="D160" s="9">
        <v>1.6040000000000001</v>
      </c>
      <c r="E160" s="9">
        <v>1.6020000000000001</v>
      </c>
      <c r="F160" s="9">
        <v>1.55</v>
      </c>
    </row>
    <row r="161" spans="2:6" x14ac:dyDescent="0.3">
      <c r="B161" s="6">
        <v>158</v>
      </c>
      <c r="C161" s="9">
        <v>1.5049999999999999</v>
      </c>
      <c r="D161" s="9">
        <v>1.4350000000000001</v>
      </c>
      <c r="E161" s="9">
        <v>1.4330000000000001</v>
      </c>
      <c r="F161" s="9">
        <v>1.389</v>
      </c>
    </row>
    <row r="162" spans="2:6" x14ac:dyDescent="0.3">
      <c r="B162" s="6">
        <v>159</v>
      </c>
      <c r="C162" s="9">
        <v>1.359</v>
      </c>
      <c r="D162" s="9">
        <v>1.3109999999999999</v>
      </c>
      <c r="E162" s="9">
        <v>1.3089999999999999</v>
      </c>
      <c r="F162" s="9">
        <v>1.272</v>
      </c>
    </row>
    <row r="163" spans="2:6" x14ac:dyDescent="0.3">
      <c r="B163" s="6">
        <v>160</v>
      </c>
      <c r="C163" s="9">
        <v>1.274</v>
      </c>
      <c r="D163" s="9">
        <v>1.24</v>
      </c>
      <c r="E163" s="9">
        <v>1.238</v>
      </c>
      <c r="F163" s="9">
        <v>1.2110000000000001</v>
      </c>
    </row>
    <row r="164" spans="2:6" x14ac:dyDescent="0.3">
      <c r="B164" s="6">
        <v>161</v>
      </c>
      <c r="C164" s="9">
        <v>1.246</v>
      </c>
      <c r="D164" s="9">
        <v>1.218</v>
      </c>
      <c r="E164" s="9">
        <v>1.216</v>
      </c>
      <c r="F164" s="9">
        <v>1.194</v>
      </c>
    </row>
    <row r="165" spans="2:6" x14ac:dyDescent="0.3">
      <c r="B165" s="6">
        <v>162</v>
      </c>
      <c r="C165" s="9">
        <v>1.276</v>
      </c>
      <c r="D165" s="9">
        <v>1.244</v>
      </c>
      <c r="E165" s="9">
        <v>1.2410000000000001</v>
      </c>
      <c r="F165" s="9">
        <v>1.2150000000000001</v>
      </c>
    </row>
    <row r="166" spans="2:6" x14ac:dyDescent="0.3">
      <c r="B166" s="6">
        <v>163</v>
      </c>
      <c r="C166" s="9">
        <v>1.3640000000000001</v>
      </c>
      <c r="D166" s="9">
        <v>1.319</v>
      </c>
      <c r="E166" s="9">
        <v>1.3160000000000001</v>
      </c>
      <c r="F166" s="9">
        <v>1.282</v>
      </c>
    </row>
    <row r="167" spans="2:6" x14ac:dyDescent="0.3">
      <c r="B167" s="6">
        <v>164</v>
      </c>
      <c r="C167" s="9">
        <v>1.5109999999999999</v>
      </c>
      <c r="D167" s="9">
        <v>1.446</v>
      </c>
      <c r="E167" s="9">
        <v>1.4430000000000001</v>
      </c>
      <c r="F167" s="9">
        <v>1.4039999999999999</v>
      </c>
    </row>
    <row r="168" spans="2:6" x14ac:dyDescent="0.3">
      <c r="B168" s="6">
        <v>165</v>
      </c>
      <c r="C168" s="9">
        <v>1.7130000000000001</v>
      </c>
      <c r="D168" s="9">
        <v>1.6220000000000001</v>
      </c>
      <c r="E168" s="9">
        <v>1.6180000000000001</v>
      </c>
      <c r="F168" s="9">
        <v>1.5740000000000001</v>
      </c>
    </row>
    <row r="169" spans="2:6" x14ac:dyDescent="0.3">
      <c r="B169" s="6">
        <v>166</v>
      </c>
      <c r="C169" s="9">
        <v>1.954</v>
      </c>
      <c r="D169" s="9">
        <v>1.831</v>
      </c>
      <c r="E169" s="9">
        <v>1.8260000000000001</v>
      </c>
      <c r="F169" s="9">
        <v>1.78</v>
      </c>
    </row>
    <row r="170" spans="2:6" x14ac:dyDescent="0.3">
      <c r="B170" s="6">
        <v>167</v>
      </c>
      <c r="C170" s="9">
        <v>2.2250000000000001</v>
      </c>
      <c r="D170" s="9">
        <v>2.0680000000000001</v>
      </c>
      <c r="E170" s="9">
        <v>2.0630000000000002</v>
      </c>
      <c r="F170" s="9">
        <v>2.0110000000000001</v>
      </c>
    </row>
    <row r="171" spans="2:6" x14ac:dyDescent="0.3">
      <c r="B171" s="6">
        <v>168</v>
      </c>
      <c r="C171" s="9">
        <v>2.52</v>
      </c>
      <c r="D171" s="9">
        <v>2.335</v>
      </c>
      <c r="E171" s="9">
        <v>2.3290000000000002</v>
      </c>
      <c r="F171" s="9">
        <v>2.2650000000000001</v>
      </c>
    </row>
    <row r="172" spans="2:6" x14ac:dyDescent="0.3">
      <c r="B172" s="6">
        <v>169</v>
      </c>
      <c r="C172" s="9">
        <v>2.8769999999999998</v>
      </c>
      <c r="D172" s="9">
        <v>2.6739999999999999</v>
      </c>
      <c r="E172" s="9">
        <v>2.6640000000000001</v>
      </c>
      <c r="F172" s="9">
        <v>2.5830000000000002</v>
      </c>
    </row>
    <row r="173" spans="2:6" x14ac:dyDescent="0.3">
      <c r="B173" s="6">
        <v>170</v>
      </c>
      <c r="C173" s="9">
        <v>3.1</v>
      </c>
      <c r="D173" s="9">
        <v>2.8490000000000002</v>
      </c>
      <c r="E173" s="9">
        <v>2.8439999999999999</v>
      </c>
      <c r="F173" s="9">
        <v>2.7389999999999999</v>
      </c>
    </row>
    <row r="174" spans="2:6" x14ac:dyDescent="0.3">
      <c r="B174" s="6">
        <v>171</v>
      </c>
      <c r="C174" s="9">
        <v>2.6659999999999999</v>
      </c>
      <c r="D174" s="9">
        <v>2.4540000000000002</v>
      </c>
      <c r="E174" s="9">
        <v>2.4500000000000002</v>
      </c>
      <c r="F174" s="9">
        <v>2.3639999999999999</v>
      </c>
    </row>
    <row r="175" spans="2:6" x14ac:dyDescent="0.3">
      <c r="B175" s="6">
        <v>172</v>
      </c>
      <c r="C175" s="9">
        <v>2.3530000000000002</v>
      </c>
      <c r="D175" s="9">
        <v>2.1739999999999999</v>
      </c>
      <c r="E175" s="9">
        <v>2.1709999999999998</v>
      </c>
      <c r="F175" s="9">
        <v>2.097</v>
      </c>
    </row>
    <row r="176" spans="2:6" x14ac:dyDescent="0.3">
      <c r="B176" s="6">
        <v>173</v>
      </c>
      <c r="C176" s="9">
        <v>2.1030000000000002</v>
      </c>
      <c r="D176" s="9">
        <v>1.952</v>
      </c>
      <c r="E176" s="9">
        <v>1.9490000000000001</v>
      </c>
      <c r="F176" s="9">
        <v>1.883</v>
      </c>
    </row>
    <row r="177" spans="2:6" x14ac:dyDescent="0.3">
      <c r="B177" s="6">
        <v>174</v>
      </c>
      <c r="C177" s="9">
        <v>1.881</v>
      </c>
      <c r="D177" s="9">
        <v>1.76</v>
      </c>
      <c r="E177" s="9">
        <v>1.758</v>
      </c>
      <c r="F177" s="9">
        <v>1.6990000000000001</v>
      </c>
    </row>
    <row r="178" spans="2:6" x14ac:dyDescent="0.3">
      <c r="B178" s="6">
        <v>175</v>
      </c>
      <c r="C178" s="9">
        <v>1.7</v>
      </c>
      <c r="D178" s="9">
        <v>1.605</v>
      </c>
      <c r="E178" s="9">
        <v>1.603</v>
      </c>
      <c r="F178" s="9">
        <v>1.55</v>
      </c>
    </row>
    <row r="179" spans="2:6" x14ac:dyDescent="0.3">
      <c r="B179" s="6">
        <v>176</v>
      </c>
      <c r="C179" s="9">
        <v>1.5589999999999999</v>
      </c>
      <c r="D179" s="9">
        <v>1.4850000000000001</v>
      </c>
      <c r="E179" s="9">
        <v>1.4830000000000001</v>
      </c>
      <c r="F179" s="9">
        <v>1.4379999999999999</v>
      </c>
    </row>
    <row r="180" spans="2:6" x14ac:dyDescent="0.3">
      <c r="B180" s="6">
        <v>177</v>
      </c>
      <c r="C180" s="9">
        <v>1.4710000000000001</v>
      </c>
      <c r="D180" s="9">
        <v>1.411</v>
      </c>
      <c r="E180" s="9">
        <v>1.4079999999999999</v>
      </c>
      <c r="F180" s="9">
        <v>1.371</v>
      </c>
    </row>
    <row r="181" spans="2:6" x14ac:dyDescent="0.3">
      <c r="B181" s="6">
        <v>178</v>
      </c>
      <c r="C181" s="9">
        <v>1.4410000000000001</v>
      </c>
      <c r="D181" s="9">
        <v>1.387</v>
      </c>
      <c r="E181" s="9">
        <v>1.3839999999999999</v>
      </c>
      <c r="F181" s="9">
        <v>1.3520000000000001</v>
      </c>
    </row>
    <row r="182" spans="2:6" x14ac:dyDescent="0.3">
      <c r="B182" s="6">
        <v>179</v>
      </c>
      <c r="C182" s="9">
        <v>1.4710000000000001</v>
      </c>
      <c r="D182" s="9">
        <v>1.4139999999999999</v>
      </c>
      <c r="E182" s="9">
        <v>1.411</v>
      </c>
      <c r="F182" s="9">
        <v>1.375</v>
      </c>
    </row>
    <row r="183" spans="2:6" x14ac:dyDescent="0.3">
      <c r="B183" s="6">
        <v>180</v>
      </c>
      <c r="C183" s="9">
        <v>1.5640000000000001</v>
      </c>
      <c r="D183" s="9">
        <v>1.494</v>
      </c>
      <c r="E183" s="9">
        <v>1.4910000000000001</v>
      </c>
      <c r="F183" s="9">
        <v>1.448</v>
      </c>
    </row>
    <row r="184" spans="2:6" x14ac:dyDescent="0.3">
      <c r="B184" s="6">
        <v>181</v>
      </c>
      <c r="C184" s="9">
        <v>1.7090000000000001</v>
      </c>
      <c r="D184" s="9">
        <v>1.619</v>
      </c>
      <c r="E184" s="9">
        <v>1.6160000000000001</v>
      </c>
      <c r="F184" s="9">
        <v>1.5680000000000001</v>
      </c>
    </row>
    <row r="185" spans="2:6" x14ac:dyDescent="0.3">
      <c r="B185" s="6">
        <v>182</v>
      </c>
      <c r="C185" s="9">
        <v>1.8939999999999999</v>
      </c>
      <c r="D185" s="9">
        <v>1.78</v>
      </c>
      <c r="E185" s="9">
        <v>1.776</v>
      </c>
      <c r="F185" s="9">
        <v>1.726</v>
      </c>
    </row>
    <row r="186" spans="2:6" x14ac:dyDescent="0.3">
      <c r="B186" s="6">
        <v>183</v>
      </c>
      <c r="C186" s="9">
        <v>2.125</v>
      </c>
      <c r="D186" s="9">
        <v>1.9790000000000001</v>
      </c>
      <c r="E186" s="9">
        <v>1.9750000000000001</v>
      </c>
      <c r="F186" s="9">
        <v>1.921</v>
      </c>
    </row>
    <row r="187" spans="2:6" x14ac:dyDescent="0.3">
      <c r="B187" s="6">
        <v>184</v>
      </c>
      <c r="C187" s="9">
        <v>2.3769999999999998</v>
      </c>
      <c r="D187" s="9">
        <v>2.206</v>
      </c>
      <c r="E187" s="9">
        <v>2.2000000000000002</v>
      </c>
      <c r="F187" s="9">
        <v>2.137</v>
      </c>
    </row>
    <row r="188" spans="2:6" x14ac:dyDescent="0.3">
      <c r="B188" s="6">
        <v>185</v>
      </c>
      <c r="C188" s="9">
        <v>2.69</v>
      </c>
      <c r="D188" s="9">
        <v>2.4950000000000001</v>
      </c>
      <c r="E188" s="9">
        <v>2.488</v>
      </c>
      <c r="F188" s="9">
        <v>2.4089999999999998</v>
      </c>
    </row>
    <row r="189" spans="2:6" x14ac:dyDescent="0.3">
      <c r="B189" s="6">
        <v>186</v>
      </c>
      <c r="C189" s="9">
        <v>3.1059999999999999</v>
      </c>
      <c r="D189" s="9">
        <v>2.895</v>
      </c>
      <c r="E189" s="9">
        <v>2.8849999999999998</v>
      </c>
      <c r="F189" s="9">
        <v>2.782</v>
      </c>
    </row>
    <row r="190" spans="2:6" x14ac:dyDescent="0.3">
      <c r="B190" s="6">
        <v>187</v>
      </c>
      <c r="C190" s="9">
        <v>3.3660000000000001</v>
      </c>
      <c r="D190" s="9">
        <v>3.1070000000000002</v>
      </c>
      <c r="E190" s="9">
        <v>3.101</v>
      </c>
      <c r="F190" s="9">
        <v>2.97</v>
      </c>
    </row>
    <row r="191" spans="2:6" x14ac:dyDescent="0.3">
      <c r="B191" s="6">
        <v>188</v>
      </c>
      <c r="C191" s="9">
        <v>2.9249999999999998</v>
      </c>
      <c r="D191" s="9">
        <v>2.6960000000000002</v>
      </c>
      <c r="E191" s="9">
        <v>2.6909999999999998</v>
      </c>
      <c r="F191" s="9">
        <v>2.5870000000000002</v>
      </c>
    </row>
    <row r="192" spans="2:6" x14ac:dyDescent="0.3">
      <c r="B192" s="6">
        <v>189</v>
      </c>
      <c r="C192" s="9">
        <v>2.5609999999999999</v>
      </c>
      <c r="D192" s="9">
        <v>2.3650000000000002</v>
      </c>
      <c r="E192" s="9">
        <v>2.3620000000000001</v>
      </c>
      <c r="F192" s="9">
        <v>2.2749999999999999</v>
      </c>
    </row>
    <row r="193" spans="2:6" x14ac:dyDescent="0.3">
      <c r="B193" s="6">
        <v>190</v>
      </c>
      <c r="C193" s="9">
        <v>2.3130000000000002</v>
      </c>
      <c r="D193" s="9">
        <v>2.1419999999999999</v>
      </c>
      <c r="E193" s="9">
        <v>2.14</v>
      </c>
      <c r="F193" s="9">
        <v>2.0609999999999999</v>
      </c>
    </row>
    <row r="194" spans="2:6" x14ac:dyDescent="0.3">
      <c r="B194" s="6">
        <v>191</v>
      </c>
      <c r="C194" s="9">
        <v>2.1030000000000002</v>
      </c>
      <c r="D194" s="9">
        <v>1.9570000000000001</v>
      </c>
      <c r="E194" s="9">
        <v>1.9550000000000001</v>
      </c>
      <c r="F194" s="9">
        <v>1.883</v>
      </c>
    </row>
    <row r="195" spans="2:6" x14ac:dyDescent="0.3">
      <c r="B195" s="6">
        <v>192</v>
      </c>
      <c r="C195" s="9">
        <v>1.927</v>
      </c>
      <c r="D195" s="9">
        <v>1.8049999999999999</v>
      </c>
      <c r="E195" s="9">
        <v>1.8029999999999999</v>
      </c>
      <c r="F195" s="9">
        <v>1.74</v>
      </c>
    </row>
    <row r="196" spans="2:6" x14ac:dyDescent="0.3">
      <c r="B196" s="6">
        <v>193</v>
      </c>
      <c r="C196" s="9">
        <v>1.7989999999999999</v>
      </c>
      <c r="D196" s="9">
        <v>1.6950000000000001</v>
      </c>
      <c r="E196" s="9">
        <v>1.6930000000000001</v>
      </c>
      <c r="F196" s="9">
        <v>1.637</v>
      </c>
    </row>
    <row r="197" spans="2:6" x14ac:dyDescent="0.3">
      <c r="B197" s="6">
        <v>194</v>
      </c>
      <c r="C197" s="9">
        <v>1.72</v>
      </c>
      <c r="D197" s="9">
        <v>1.6279999999999999</v>
      </c>
      <c r="E197" s="9">
        <v>1.625</v>
      </c>
      <c r="F197" s="9">
        <v>1.5780000000000001</v>
      </c>
    </row>
    <row r="198" spans="2:6" x14ac:dyDescent="0.3">
      <c r="B198" s="6">
        <v>195</v>
      </c>
      <c r="C198" s="9">
        <v>1.698</v>
      </c>
      <c r="D198" s="9">
        <v>1.609</v>
      </c>
      <c r="E198" s="9">
        <v>1.6060000000000001</v>
      </c>
      <c r="F198" s="9">
        <v>1.5629999999999999</v>
      </c>
    </row>
    <row r="199" spans="2:6" x14ac:dyDescent="0.3">
      <c r="B199" s="6">
        <v>196</v>
      </c>
      <c r="C199" s="9">
        <v>1.73</v>
      </c>
      <c r="D199" s="9">
        <v>1.6379999999999999</v>
      </c>
      <c r="E199" s="9">
        <v>1.635</v>
      </c>
      <c r="F199" s="9">
        <v>1.5880000000000001</v>
      </c>
    </row>
    <row r="200" spans="2:6" x14ac:dyDescent="0.3">
      <c r="B200" s="6">
        <v>197</v>
      </c>
      <c r="C200" s="9">
        <v>1.819</v>
      </c>
      <c r="D200" s="9">
        <v>1.7170000000000001</v>
      </c>
      <c r="E200" s="9">
        <v>1.714</v>
      </c>
      <c r="F200" s="9">
        <v>1.661</v>
      </c>
    </row>
    <row r="201" spans="2:6" x14ac:dyDescent="0.3">
      <c r="B201" s="6">
        <v>198</v>
      </c>
      <c r="C201" s="9">
        <v>1.952</v>
      </c>
      <c r="D201" s="9">
        <v>1.831</v>
      </c>
      <c r="E201" s="9">
        <v>1.8280000000000001</v>
      </c>
      <c r="F201" s="9">
        <v>1.77</v>
      </c>
    </row>
    <row r="202" spans="2:6" x14ac:dyDescent="0.3">
      <c r="B202" s="6">
        <v>199</v>
      </c>
      <c r="C202" s="9">
        <v>2.1259999999999999</v>
      </c>
      <c r="D202" s="9">
        <v>1.9850000000000001</v>
      </c>
      <c r="E202" s="9">
        <v>1.9810000000000001</v>
      </c>
      <c r="F202" s="9">
        <v>1.92</v>
      </c>
    </row>
    <row r="203" spans="2:6" x14ac:dyDescent="0.3">
      <c r="B203" s="6">
        <v>200</v>
      </c>
      <c r="C203" s="9">
        <v>2.335</v>
      </c>
      <c r="D203" s="9">
        <v>2.17</v>
      </c>
      <c r="E203" s="9">
        <v>2.165</v>
      </c>
      <c r="F203" s="9">
        <v>2.0990000000000002</v>
      </c>
    </row>
    <row r="204" spans="2:6" x14ac:dyDescent="0.3">
      <c r="B204" s="6">
        <v>201</v>
      </c>
      <c r="C204" s="9">
        <v>2.5790000000000002</v>
      </c>
      <c r="D204" s="9">
        <v>2.3879999999999999</v>
      </c>
      <c r="E204" s="9">
        <v>2.3820000000000001</v>
      </c>
      <c r="F204" s="9">
        <v>2.3090000000000002</v>
      </c>
    </row>
    <row r="205" spans="2:6" x14ac:dyDescent="0.3">
      <c r="B205" s="6">
        <v>202</v>
      </c>
      <c r="C205" s="9">
        <v>2.9350000000000001</v>
      </c>
      <c r="D205" s="9">
        <v>2.7189999999999999</v>
      </c>
      <c r="E205" s="9">
        <v>2.7120000000000002</v>
      </c>
      <c r="F205" s="9">
        <v>2.617</v>
      </c>
    </row>
    <row r="206" spans="2:6" x14ac:dyDescent="0.3">
      <c r="B206" s="6">
        <v>203</v>
      </c>
      <c r="C206" s="9">
        <v>3.3380000000000001</v>
      </c>
      <c r="D206" s="9">
        <v>3.11</v>
      </c>
      <c r="E206" s="9">
        <v>3.101</v>
      </c>
      <c r="F206" s="9">
        <v>2.9769999999999999</v>
      </c>
    </row>
    <row r="207" spans="2:6" x14ac:dyDescent="0.3">
      <c r="B207" s="6">
        <v>204</v>
      </c>
      <c r="C207" s="9">
        <v>3.5819999999999999</v>
      </c>
      <c r="D207" s="9">
        <v>3.339</v>
      </c>
      <c r="E207" s="9">
        <v>3.3330000000000002</v>
      </c>
      <c r="F207" s="9">
        <v>3.1789999999999998</v>
      </c>
    </row>
    <row r="208" spans="2:6" x14ac:dyDescent="0.3">
      <c r="B208" s="6">
        <v>205</v>
      </c>
      <c r="C208" s="9">
        <v>3.2410000000000001</v>
      </c>
      <c r="D208" s="9">
        <v>3.008</v>
      </c>
      <c r="E208" s="9">
        <v>3.0030000000000001</v>
      </c>
      <c r="F208" s="9">
        <v>2.8780000000000001</v>
      </c>
    </row>
    <row r="209" spans="1:89" x14ac:dyDescent="0.3">
      <c r="B209" s="6">
        <v>206</v>
      </c>
      <c r="C209" s="9">
        <v>2.86</v>
      </c>
      <c r="D209" s="9">
        <v>2.6539999999999999</v>
      </c>
      <c r="E209" s="9">
        <v>2.65</v>
      </c>
      <c r="F209" s="9">
        <v>2.5459999999999998</v>
      </c>
    </row>
    <row r="210" spans="1:89" x14ac:dyDescent="0.3">
      <c r="B210" s="6">
        <v>207</v>
      </c>
      <c r="C210" s="9">
        <v>2.5640000000000001</v>
      </c>
      <c r="D210" s="9">
        <v>2.383</v>
      </c>
      <c r="E210" s="9">
        <v>2.3809999999999998</v>
      </c>
      <c r="F210" s="9">
        <v>2.2890000000000001</v>
      </c>
    </row>
    <row r="211" spans="1:89" x14ac:dyDescent="0.3">
      <c r="B211" s="6">
        <v>208</v>
      </c>
      <c r="C211" s="9">
        <v>2.3660000000000001</v>
      </c>
      <c r="D211" s="9">
        <v>2.206</v>
      </c>
      <c r="E211" s="9">
        <v>2.2040000000000002</v>
      </c>
      <c r="F211" s="9">
        <v>2.1190000000000002</v>
      </c>
    </row>
    <row r="212" spans="1:89" x14ac:dyDescent="0.3">
      <c r="B212" s="6">
        <v>209</v>
      </c>
      <c r="C212" s="9">
        <v>2.1970000000000001</v>
      </c>
      <c r="D212" s="9">
        <v>2.0529999999999999</v>
      </c>
      <c r="E212" s="9">
        <v>2.0510000000000002</v>
      </c>
      <c r="F212" s="9">
        <v>1.976</v>
      </c>
    </row>
    <row r="213" spans="1:89" x14ac:dyDescent="0.3">
      <c r="B213" s="6">
        <v>210</v>
      </c>
      <c r="C213" s="9">
        <v>2.073</v>
      </c>
      <c r="D213" s="9">
        <v>1.9430000000000001</v>
      </c>
      <c r="E213" s="9">
        <v>1.9410000000000001</v>
      </c>
      <c r="F213" s="9">
        <v>1.871</v>
      </c>
    </row>
    <row r="214" spans="1:89" x14ac:dyDescent="0.3">
      <c r="B214" s="6">
        <v>211</v>
      </c>
      <c r="C214" s="9">
        <v>1.998</v>
      </c>
      <c r="D214" s="9">
        <v>1.8779999999999999</v>
      </c>
      <c r="E214" s="9">
        <v>1.875</v>
      </c>
      <c r="F214" s="9">
        <v>1.8120000000000001</v>
      </c>
    </row>
    <row r="215" spans="1:89" x14ac:dyDescent="0.3">
      <c r="B215" s="6">
        <v>212</v>
      </c>
      <c r="C215" s="9">
        <v>1.982</v>
      </c>
      <c r="D215" s="9">
        <v>1.863</v>
      </c>
      <c r="E215" s="9">
        <v>1.86</v>
      </c>
      <c r="F215" s="9">
        <v>1.798</v>
      </c>
    </row>
    <row r="216" spans="1:89" x14ac:dyDescent="0.3">
      <c r="B216" s="6">
        <v>213</v>
      </c>
      <c r="C216" s="9">
        <v>2.0150000000000001</v>
      </c>
      <c r="D216" s="9">
        <v>1.8939999999999999</v>
      </c>
      <c r="E216" s="9">
        <v>1.891</v>
      </c>
      <c r="F216" s="9">
        <v>1.8320000000000001</v>
      </c>
    </row>
    <row r="217" spans="1:89" x14ac:dyDescent="0.3">
      <c r="B217" s="6">
        <v>214</v>
      </c>
      <c r="C217" s="9">
        <v>2.11</v>
      </c>
      <c r="D217" s="9">
        <v>1.9750000000000001</v>
      </c>
      <c r="E217" s="9">
        <v>1.972</v>
      </c>
      <c r="F217" s="9">
        <v>1.9079999999999999</v>
      </c>
    </row>
    <row r="218" spans="1:89" x14ac:dyDescent="0.3">
      <c r="B218" s="6">
        <v>215</v>
      </c>
      <c r="C218" s="9">
        <v>2.238</v>
      </c>
      <c r="D218" s="9">
        <v>2.0939999999999999</v>
      </c>
      <c r="E218" s="9">
        <v>2.09</v>
      </c>
      <c r="F218" s="9">
        <v>2.0230000000000001</v>
      </c>
    </row>
    <row r="219" spans="1:89" x14ac:dyDescent="0.3">
      <c r="B219" s="6">
        <v>216</v>
      </c>
      <c r="C219" s="9">
        <v>2.403</v>
      </c>
      <c r="D219" s="9">
        <v>2.2440000000000002</v>
      </c>
      <c r="E219" s="9">
        <v>2.2389999999999999</v>
      </c>
      <c r="F219" s="9">
        <v>2.1619999999999999</v>
      </c>
    </row>
    <row r="220" spans="1:89" x14ac:dyDescent="0.3">
      <c r="B220" s="6">
        <v>217</v>
      </c>
      <c r="C220" s="9">
        <v>2.5950000000000002</v>
      </c>
      <c r="D220" s="9">
        <v>2.4159999999999999</v>
      </c>
      <c r="E220" s="9">
        <v>2.411</v>
      </c>
      <c r="F220" s="9">
        <v>2.327</v>
      </c>
    </row>
    <row r="221" spans="1:89" x14ac:dyDescent="0.3">
      <c r="B221" s="6">
        <v>218</v>
      </c>
      <c r="C221" s="9">
        <v>2.8740000000000001</v>
      </c>
      <c r="D221" s="9">
        <v>2.6749999999999998</v>
      </c>
      <c r="E221" s="9">
        <v>2.6680000000000001</v>
      </c>
      <c r="F221" s="9">
        <v>2.57</v>
      </c>
    </row>
    <row r="222" spans="1:89" x14ac:dyDescent="0.3">
      <c r="B222" s="6">
        <v>219</v>
      </c>
      <c r="C222" s="9">
        <v>3.2120000000000002</v>
      </c>
      <c r="D222" s="9">
        <v>2.992</v>
      </c>
      <c r="E222" s="9">
        <v>2.984</v>
      </c>
      <c r="F222" s="9">
        <v>2.87</v>
      </c>
    </row>
    <row r="223" spans="1:89" x14ac:dyDescent="0.3">
      <c r="B223" s="6">
        <v>220</v>
      </c>
      <c r="C223" s="9">
        <v>3.4980000000000002</v>
      </c>
      <c r="D223" s="9">
        <v>3.2650000000000001</v>
      </c>
      <c r="E223" s="9">
        <v>3.2570000000000001</v>
      </c>
      <c r="F223" s="9">
        <v>3.1219999999999999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060F8-AC8C-44AC-AB27-8B0BF90A77B9}">
  <sheetPr codeName="工作表7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838.89</v>
      </c>
      <c r="J2" s="2">
        <f ca="1">goldenOTP_check!J2*J58</f>
        <v>858.32999999999993</v>
      </c>
      <c r="K2" s="2">
        <f ca="1">goldenOTP_check!K2*K58</f>
        <v>893.30600000000004</v>
      </c>
      <c r="L2" s="2">
        <f ca="1">goldenOTP_check!L2*L58</f>
        <v>911.52499999999998</v>
      </c>
      <c r="M2" s="2">
        <f ca="1">goldenOTP_check!M2*M58</f>
        <v>951.4559999999999</v>
      </c>
      <c r="N2" s="2">
        <f ca="1">goldenOTP_check!N2*N58</f>
        <v>943.94999999999993</v>
      </c>
      <c r="O2" s="2">
        <f ca="1">goldenOTP_check!O2*O58</f>
        <v>958.80000000000007</v>
      </c>
      <c r="P2" s="2">
        <f ca="1">goldenOTP_check!P2*P58</f>
        <v>993.78399999999999</v>
      </c>
      <c r="Q2" s="2">
        <f ca="1">goldenOTP_check!Q2*Q58</f>
        <v>973.37800000000004</v>
      </c>
      <c r="R2" s="2">
        <f ca="1">goldenOTP_check!R2*R58</f>
        <v>992.26600000000008</v>
      </c>
      <c r="S2" s="2">
        <f ca="1">goldenOTP_check!S2*S58</f>
        <v>982.31599999999992</v>
      </c>
      <c r="T2" s="2">
        <f ca="1">goldenOTP_check!T2*T58</f>
        <v>973.25799999999992</v>
      </c>
      <c r="U2" s="2">
        <f ca="1">goldenOTP_check!U2*U58</f>
        <v>945.33600000000001</v>
      </c>
      <c r="V2" s="2">
        <f ca="1">goldenOTP_check!V2*V58</f>
        <v>906.83199999999999</v>
      </c>
      <c r="W2" s="2">
        <f ca="1">goldenOTP_check!W2*W58</f>
        <v>892.03800000000001</v>
      </c>
      <c r="X2" s="2">
        <f ca="1">goldenOTP_check!X2*X58</f>
        <v>851.84999999999991</v>
      </c>
      <c r="Y2" s="3">
        <f ca="1">goldenOTP_check!Y2*Y58</f>
        <v>823.11599999999999</v>
      </c>
      <c r="BA2"/>
      <c r="BB2"/>
      <c r="BC2"/>
      <c r="BD2"/>
    </row>
    <row r="3" spans="2:56" x14ac:dyDescent="0.3">
      <c r="B3" s="8">
        <v>0</v>
      </c>
      <c r="C3" s="9">
        <v>3.51</v>
      </c>
      <c r="D3" s="9">
        <v>3.2679999999999998</v>
      </c>
      <c r="E3" s="9">
        <v>3.2669999999999999</v>
      </c>
      <c r="F3" s="9">
        <v>3.1150000000000002</v>
      </c>
      <c r="H3" t="s">
        <v>6</v>
      </c>
      <c r="I3" s="2">
        <f ca="1">goldenOTP_check!I3*I59</f>
        <v>903.42000000000007</v>
      </c>
      <c r="J3" s="2">
        <f ca="1">goldenOTP_check!J3*J59</f>
        <v>921.202</v>
      </c>
      <c r="K3" s="2">
        <f ca="1">goldenOTP_check!K3*K59</f>
        <v>926.005</v>
      </c>
      <c r="L3" s="2">
        <f ca="1">goldenOTP_check!L3*L59</f>
        <v>970.78499999999997</v>
      </c>
      <c r="M3" s="2">
        <f ca="1">goldenOTP_check!M3*M59</f>
        <v>984.18</v>
      </c>
      <c r="N3" s="2">
        <f ca="1">goldenOTP_check!N3*N59</f>
        <v>1019.383</v>
      </c>
      <c r="O3" s="2">
        <f ca="1">goldenOTP_check!O3*O59</f>
        <v>1015.2</v>
      </c>
      <c r="P3" s="2">
        <f ca="1">goldenOTP_check!P3*P59</f>
        <v>1032</v>
      </c>
      <c r="Q3" s="2">
        <f ca="1">goldenOTP_check!Q3*Q59</f>
        <v>1035.0339999999999</v>
      </c>
      <c r="R3" s="2">
        <f ca="1">goldenOTP_check!R3*R59</f>
        <v>1030.8</v>
      </c>
      <c r="S3" s="2">
        <f ca="1">goldenOTP_check!S3*S59</f>
        <v>1034.4960000000001</v>
      </c>
      <c r="T3" s="2">
        <f ca="1">goldenOTP_check!T3*T59</f>
        <v>1016.2090000000001</v>
      </c>
      <c r="U3" s="2">
        <f ca="1">goldenOTP_check!U3*U59</f>
        <v>982.3</v>
      </c>
      <c r="V3" s="2">
        <f ca="1">goldenOTP_check!V3*V59</f>
        <v>968.24700000000007</v>
      </c>
      <c r="W3" s="2">
        <f ca="1">goldenOTP_check!W3*W59</f>
        <v>926.36999999999989</v>
      </c>
      <c r="X3" s="2">
        <f ca="1">goldenOTP_check!X3*X59</f>
        <v>915.81299999999999</v>
      </c>
      <c r="Y3" s="2">
        <f ca="1">goldenOTP_check!Y3*Y59</f>
        <v>833.59500000000003</v>
      </c>
      <c r="BA3"/>
      <c r="BB3"/>
      <c r="BC3"/>
      <c r="BD3"/>
    </row>
    <row r="4" spans="2:56" x14ac:dyDescent="0.3">
      <c r="B4" s="6">
        <v>1</v>
      </c>
      <c r="C4" s="9">
        <v>3.1789999999999998</v>
      </c>
      <c r="D4" s="9">
        <v>2.9470000000000001</v>
      </c>
      <c r="E4" s="9">
        <v>2.9489999999999998</v>
      </c>
      <c r="F4" s="9">
        <v>2.8170000000000002</v>
      </c>
      <c r="I4" s="2">
        <f ca="1">goldenOTP_check!I4*I60</f>
        <v>899.57999999999993</v>
      </c>
      <c r="J4" s="2">
        <f ca="1">goldenOTP_check!J4*J60</f>
        <v>935.80299999999988</v>
      </c>
      <c r="K4" s="2">
        <f ca="1">goldenOTP_check!K4*K60</f>
        <v>960.37199999999996</v>
      </c>
      <c r="L4" s="2">
        <f ca="1">goldenOTP_check!L4*L60</f>
        <v>981.36</v>
      </c>
      <c r="M4" s="2">
        <f ca="1">goldenOTP_check!M4*M60</f>
        <v>1013.8340000000001</v>
      </c>
      <c r="N4" s="2">
        <f ca="1">goldenOTP_check!N4*N60</f>
        <v>1037.4780000000001</v>
      </c>
      <c r="O4" s="2">
        <f ca="1">goldenOTP_check!O4*O60</f>
        <v>1047.21</v>
      </c>
      <c r="P4" s="2">
        <f ca="1">goldenOTP_check!P4*P60</f>
        <v>1044.174</v>
      </c>
      <c r="Q4" s="2">
        <f ca="1">goldenOTP_check!Q4*Q60</f>
        <v>1041.8010000000002</v>
      </c>
      <c r="R4" s="2">
        <f ca="1">goldenOTP_check!R4*R60</f>
        <v>1045.586</v>
      </c>
      <c r="S4" s="2">
        <f ca="1">goldenOTP_check!S4*S60</f>
        <v>1051.9000000000001</v>
      </c>
      <c r="T4" s="2">
        <f ca="1">goldenOTP_check!T4*T60</f>
        <v>1040.5330000000001</v>
      </c>
      <c r="U4" s="2">
        <f ca="1">goldenOTP_check!U4*U60</f>
        <v>1015.9979999999999</v>
      </c>
      <c r="V4" s="2">
        <f ca="1">goldenOTP_check!V4*V60</f>
        <v>982.3</v>
      </c>
      <c r="W4" s="2">
        <f ca="1">goldenOTP_check!W4*W60</f>
        <v>958.31200000000001</v>
      </c>
      <c r="X4" s="2">
        <f ca="1">goldenOTP_check!X4*X60</f>
        <v>927.3309999999999</v>
      </c>
      <c r="Y4" s="2">
        <f ca="1">goldenOTP_check!Y4*Y60</f>
        <v>879.28</v>
      </c>
      <c r="BA4"/>
      <c r="BB4"/>
      <c r="BC4"/>
      <c r="BD4"/>
    </row>
    <row r="5" spans="2:56" x14ac:dyDescent="0.3">
      <c r="B5" s="6">
        <v>2</v>
      </c>
      <c r="C5" s="9">
        <v>2.8180000000000001</v>
      </c>
      <c r="D5" s="9">
        <v>2.61</v>
      </c>
      <c r="E5" s="9">
        <v>2.6139999999999999</v>
      </c>
      <c r="F5" s="9">
        <v>2.5049999999999999</v>
      </c>
      <c r="I5" s="2">
        <f ca="1">goldenOTP_check!I5*I61</f>
        <v>898.66800000000001</v>
      </c>
      <c r="J5" s="2">
        <f ca="1">goldenOTP_check!J5*J61</f>
        <v>932.85599999999999</v>
      </c>
      <c r="K5" s="2">
        <f ca="1">goldenOTP_check!K5*K61</f>
        <v>975.80099999999993</v>
      </c>
      <c r="L5" s="2">
        <f ca="1">goldenOTP_check!L5*L61</f>
        <v>1017.2670000000001</v>
      </c>
      <c r="M5" s="2">
        <f ca="1">goldenOTP_check!M5*M61</f>
        <v>1036.867</v>
      </c>
      <c r="N5" s="2">
        <f ca="1">goldenOTP_check!N5*N61</f>
        <v>1047.2459999999999</v>
      </c>
      <c r="O5" s="2">
        <f ca="1">goldenOTP_check!O5*O61</f>
        <v>1045.9159999999999</v>
      </c>
      <c r="P5" s="2">
        <f ca="1">goldenOTP_check!P5*P61</f>
        <v>1043.7569999999998</v>
      </c>
      <c r="Q5" s="2">
        <f ca="1">goldenOTP_check!Q5*Q61</f>
        <v>1054.605</v>
      </c>
      <c r="R5" s="2">
        <f ca="1">goldenOTP_check!R5*R61</f>
        <v>1047.8120000000001</v>
      </c>
      <c r="S5" s="2">
        <f ca="1">goldenOTP_check!S5*S61</f>
        <v>1053.556</v>
      </c>
      <c r="T5" s="2">
        <f ca="1">goldenOTP_check!T5*T61</f>
        <v>1054.1859999999999</v>
      </c>
      <c r="U5" s="2">
        <f ca="1">goldenOTP_check!U5*U61</f>
        <v>1042.366</v>
      </c>
      <c r="V5" s="2">
        <f ca="1">goldenOTP_check!V5*V61</f>
        <v>1018.8539999999999</v>
      </c>
      <c r="W5" s="2">
        <f ca="1">goldenOTP_check!W5*W61</f>
        <v>973.11900000000003</v>
      </c>
      <c r="X5" s="2">
        <f ca="1">goldenOTP_check!X5*X61</f>
        <v>921.952</v>
      </c>
      <c r="Y5" s="2">
        <f ca="1">goldenOTP_check!Y5*Y61</f>
        <v>877.31600000000003</v>
      </c>
      <c r="BA5"/>
      <c r="BB5"/>
      <c r="BC5"/>
      <c r="BD5"/>
    </row>
    <row r="6" spans="2:56" x14ac:dyDescent="0.3">
      <c r="B6" s="6">
        <v>3</v>
      </c>
      <c r="C6" s="9">
        <v>2.5249999999999999</v>
      </c>
      <c r="D6" s="9">
        <v>2.3420000000000001</v>
      </c>
      <c r="E6" s="9">
        <v>2.3460000000000001</v>
      </c>
      <c r="F6" s="9">
        <v>2.2559999999999998</v>
      </c>
      <c r="I6" s="2">
        <f ca="1">goldenOTP_check!I6*I62</f>
        <v>896.76900000000001</v>
      </c>
      <c r="J6" s="2">
        <f ca="1">goldenOTP_check!J6*J62</f>
        <v>970.26</v>
      </c>
      <c r="K6" s="2">
        <f ca="1">goldenOTP_check!K6*K62</f>
        <v>993.40199999999993</v>
      </c>
      <c r="L6" s="2">
        <f ca="1">goldenOTP_check!L6*L62</f>
        <v>1036.2239999999999</v>
      </c>
      <c r="M6" s="2">
        <f ca="1">goldenOTP_check!M6*M62</f>
        <v>1047.21</v>
      </c>
      <c r="N6" s="2">
        <f ca="1">goldenOTP_check!N6*N62</f>
        <v>1045.152</v>
      </c>
      <c r="O6" s="2">
        <f ca="1">goldenOTP_check!O6*O62</f>
        <v>1046.0450000000001</v>
      </c>
      <c r="P6" s="2">
        <f ca="1">goldenOTP_check!P6*P62</f>
        <v>1047.085</v>
      </c>
      <c r="Q6" s="2">
        <f ca="1">goldenOTP_check!Q6*Q62</f>
        <v>1049.77</v>
      </c>
      <c r="R6" s="2">
        <f ca="1">goldenOTP_check!R6*R62</f>
        <v>1048.895</v>
      </c>
      <c r="S6" s="2">
        <f ca="1">goldenOTP_check!S6*S62</f>
        <v>1049.433</v>
      </c>
      <c r="T6" s="2">
        <f ca="1">goldenOTP_check!T6*T62</f>
        <v>1046.68</v>
      </c>
      <c r="U6" s="2">
        <f ca="1">goldenOTP_check!U6*U62</f>
        <v>1047.21</v>
      </c>
      <c r="V6" s="2">
        <f ca="1">goldenOTP_check!V6*V62</f>
        <v>1035.0719999999999</v>
      </c>
      <c r="W6" s="2">
        <f ca="1">goldenOTP_check!W6*W62</f>
        <v>992.4380000000001</v>
      </c>
      <c r="X6" s="2">
        <f ca="1">goldenOTP_check!X6*X62</f>
        <v>937.2</v>
      </c>
      <c r="Y6" s="2">
        <f ca="1">goldenOTP_check!Y6*Y62</f>
        <v>895.072</v>
      </c>
      <c r="BA6"/>
      <c r="BB6"/>
      <c r="BC6"/>
      <c r="BD6"/>
    </row>
    <row r="7" spans="2:56" x14ac:dyDescent="0.3">
      <c r="B7" s="6">
        <v>4</v>
      </c>
      <c r="C7" s="9">
        <v>2.3319999999999999</v>
      </c>
      <c r="D7" s="9">
        <v>2.1659999999999999</v>
      </c>
      <c r="E7" s="9">
        <v>2.17</v>
      </c>
      <c r="F7" s="9">
        <v>2.0939999999999999</v>
      </c>
      <c r="I7" s="2">
        <f ca="1">goldenOTP_check!I7*I63</f>
        <v>900.10500000000002</v>
      </c>
      <c r="J7" s="2">
        <f ca="1">goldenOTP_check!J7*J63</f>
        <v>963.59400000000005</v>
      </c>
      <c r="K7" s="2">
        <f ca="1">goldenOTP_check!K7*K63</f>
        <v>1000.3620000000001</v>
      </c>
      <c r="L7" s="2">
        <f ca="1">goldenOTP_check!L7*L63</f>
        <v>1025.4000000000001</v>
      </c>
      <c r="M7" s="2">
        <f ca="1">goldenOTP_check!M7*M63</f>
        <v>1037.114</v>
      </c>
      <c r="N7" s="2">
        <f ca="1">goldenOTP_check!N7*N63</f>
        <v>1041.3240000000001</v>
      </c>
      <c r="O7" s="2">
        <f ca="1">goldenOTP_check!O7*O63</f>
        <v>1045.2750000000001</v>
      </c>
      <c r="P7" s="2">
        <f ca="1">goldenOTP_check!P7*P63</f>
        <v>1032.444</v>
      </c>
      <c r="Q7" s="2">
        <f ca="1">goldenOTP_check!Q7*Q63</f>
        <v>1026.5319999999999</v>
      </c>
      <c r="R7" s="2">
        <f ca="1">goldenOTP_check!R7*R63</f>
        <v>1045.296</v>
      </c>
      <c r="S7" s="2">
        <f ca="1">goldenOTP_check!S7*S63</f>
        <v>1046.1799999999998</v>
      </c>
      <c r="T7" s="2">
        <f ca="1">goldenOTP_check!T7*T63</f>
        <v>1038.08</v>
      </c>
      <c r="U7" s="2">
        <f ca="1">goldenOTP_check!U7*U63</f>
        <v>1034.29</v>
      </c>
      <c r="V7" s="2">
        <f ca="1">goldenOTP_check!V7*V63</f>
        <v>1023.6</v>
      </c>
      <c r="W7" s="2">
        <f ca="1">goldenOTP_check!W7*W63</f>
        <v>1000.8679999999999</v>
      </c>
      <c r="X7" s="2">
        <f ca="1">goldenOTP_check!X7*X63</f>
        <v>961.90200000000004</v>
      </c>
      <c r="Y7" s="2">
        <f ca="1">goldenOTP_check!Y7*Y63</f>
        <v>890.44499999999994</v>
      </c>
      <c r="BA7"/>
      <c r="BB7"/>
      <c r="BC7"/>
      <c r="BD7"/>
    </row>
    <row r="8" spans="2:56" x14ac:dyDescent="0.3">
      <c r="B8" s="6">
        <v>5</v>
      </c>
      <c r="C8" s="9">
        <v>2.17</v>
      </c>
      <c r="D8" s="9">
        <v>2.0230000000000001</v>
      </c>
      <c r="E8" s="9">
        <v>2.0270000000000001</v>
      </c>
      <c r="F8" s="9">
        <v>1.958</v>
      </c>
      <c r="I8" s="2">
        <f ca="1">goldenOTP_check!I8*I64</f>
        <v>926.05799999999999</v>
      </c>
      <c r="J8" s="2">
        <f ca="1">goldenOTP_check!J8*J64</f>
        <v>980.92499999999995</v>
      </c>
      <c r="K8" s="2">
        <f ca="1">goldenOTP_check!K8*K64</f>
        <v>1006.599</v>
      </c>
      <c r="L8" s="2">
        <f ca="1">goldenOTP_check!L8*L64</f>
        <v>1023.4250000000001</v>
      </c>
      <c r="M8" s="2">
        <f ca="1">goldenOTP_check!M8*M64</f>
        <v>1041.741</v>
      </c>
      <c r="N8" s="2">
        <f ca="1">goldenOTP_check!N8*N64</f>
        <v>1038.74</v>
      </c>
      <c r="O8" s="2">
        <f ca="1">goldenOTP_check!O8*O64</f>
        <v>1037.693</v>
      </c>
      <c r="P8" s="2">
        <f ca="1">goldenOTP_check!P8*P64</f>
        <v>1030.9680000000001</v>
      </c>
      <c r="Q8" s="2">
        <f ca="1">goldenOTP_check!Q8*Q64</f>
        <v>1029.1379999999999</v>
      </c>
      <c r="R8" s="2">
        <f ca="1">goldenOTP_check!R8*R64</f>
        <v>1033.9649999999999</v>
      </c>
      <c r="S8" s="2">
        <f ca="1">goldenOTP_check!S8*S64</f>
        <v>1055.8020000000001</v>
      </c>
      <c r="T8" s="2">
        <f ca="1">goldenOTP_check!T8*T64</f>
        <v>1042.08</v>
      </c>
      <c r="U8" s="2">
        <f ca="1">goldenOTP_check!U8*U64</f>
        <v>1043.9279999999999</v>
      </c>
      <c r="V8" s="2">
        <f ca="1">goldenOTP_check!V8*V64</f>
        <v>1024.0360000000001</v>
      </c>
      <c r="W8" s="2">
        <f ca="1">goldenOTP_check!W8*W64</f>
        <v>1006.082</v>
      </c>
      <c r="X8" s="2">
        <f ca="1">goldenOTP_check!X8*X64</f>
        <v>947.9430000000001</v>
      </c>
      <c r="Y8" s="2">
        <f ca="1">goldenOTP_check!Y8*Y64</f>
        <v>919.4670000000001</v>
      </c>
    </row>
    <row r="9" spans="2:56" x14ac:dyDescent="0.3">
      <c r="B9" s="6">
        <v>6</v>
      </c>
      <c r="C9" s="9">
        <v>2.04</v>
      </c>
      <c r="D9" s="9">
        <v>1.911</v>
      </c>
      <c r="E9" s="9">
        <v>1.915</v>
      </c>
      <c r="F9" s="9">
        <v>1.855</v>
      </c>
      <c r="I9" s="2">
        <f ca="1">goldenOTP_check!I9*I65</f>
        <v>904.245</v>
      </c>
      <c r="J9" s="2">
        <f ca="1">goldenOTP_check!J9*J65</f>
        <v>964.86300000000006</v>
      </c>
      <c r="K9" s="2">
        <f ca="1">goldenOTP_check!K9*K65</f>
        <v>997.83199999999999</v>
      </c>
      <c r="L9" s="2">
        <f ca="1">goldenOTP_check!L9*L65</f>
        <v>1037.4780000000001</v>
      </c>
      <c r="M9" s="2">
        <f ca="1">goldenOTP_check!M9*M65</f>
        <v>1042.518</v>
      </c>
      <c r="N9" s="2">
        <f ca="1">goldenOTP_check!N9*N65</f>
        <v>1043.5640000000001</v>
      </c>
      <c r="O9" s="2">
        <f ca="1">goldenOTP_check!O9*O65</f>
        <v>1044.463</v>
      </c>
      <c r="P9" s="2">
        <f ca="1">goldenOTP_check!P9*P65</f>
        <v>1030.6559999999999</v>
      </c>
      <c r="Q9" s="2">
        <f ca="1">goldenOTP_check!Q9*Q65</f>
        <v>1027.971</v>
      </c>
      <c r="R9" s="2">
        <f ca="1">goldenOTP_check!R9*R65</f>
        <v>1037.4880000000001</v>
      </c>
      <c r="S9" s="2">
        <f ca="1">goldenOTP_check!S9*S65</f>
        <v>1054.55</v>
      </c>
      <c r="T9" s="2">
        <f ca="1">goldenOTP_check!T9*T65</f>
        <v>1050.971</v>
      </c>
      <c r="U9" s="2">
        <f ca="1">goldenOTP_check!U9*U65</f>
        <v>1050.405</v>
      </c>
      <c r="V9" s="2">
        <f ca="1">goldenOTP_check!V9*V65</f>
        <v>1023</v>
      </c>
      <c r="W9" s="2">
        <f ca="1">goldenOTP_check!W9*W65</f>
        <v>998.33800000000008</v>
      </c>
      <c r="X9" s="2">
        <f ca="1">goldenOTP_check!X9*X65</f>
        <v>955.9799999999999</v>
      </c>
      <c r="Y9" s="2">
        <f ca="1">goldenOTP_check!Y9*Y65</f>
        <v>883.2</v>
      </c>
    </row>
    <row r="10" spans="2:56" x14ac:dyDescent="0.3">
      <c r="B10" s="6">
        <v>7</v>
      </c>
      <c r="C10" s="9">
        <v>1.964</v>
      </c>
      <c r="D10" s="9">
        <v>1.8440000000000001</v>
      </c>
      <c r="E10" s="9">
        <v>1.8480000000000001</v>
      </c>
      <c r="F10" s="9">
        <v>1.7909999999999999</v>
      </c>
      <c r="I10" s="2">
        <f ca="1">goldenOTP_check!I10*I66</f>
        <v>898.101</v>
      </c>
      <c r="J10" s="2">
        <f ca="1">goldenOTP_check!J10*J66</f>
        <v>971.49600000000009</v>
      </c>
      <c r="K10" s="2">
        <f ca="1">goldenOTP_check!K10*K66</f>
        <v>991.47399999999993</v>
      </c>
      <c r="L10" s="2">
        <f ca="1">goldenOTP_check!L10*L66</f>
        <v>1029.8879999999999</v>
      </c>
      <c r="M10" s="2">
        <f ca="1">goldenOTP_check!M10*M66</f>
        <v>1036.49</v>
      </c>
      <c r="N10" s="2">
        <f ca="1">goldenOTP_check!N10*N66</f>
        <v>1049.9279999999999</v>
      </c>
      <c r="O10" s="2">
        <f ca="1">goldenOTP_check!O10*O66</f>
        <v>1047.6180000000002</v>
      </c>
      <c r="P10" s="2">
        <f ca="1">goldenOTP_check!P10*P66</f>
        <v>1046.297</v>
      </c>
      <c r="Q10" s="2">
        <f ca="1">goldenOTP_check!Q10*Q66</f>
        <v>1047.3330000000001</v>
      </c>
      <c r="R10" s="2">
        <f ca="1">goldenOTP_check!R10*R66</f>
        <v>1048.1310000000001</v>
      </c>
      <c r="S10" s="2">
        <f ca="1">goldenOTP_check!S10*S66</f>
        <v>1051.9079999999999</v>
      </c>
      <c r="T10" s="2">
        <f ca="1">goldenOTP_check!T10*T66</f>
        <v>1054.5840000000001</v>
      </c>
      <c r="U10" s="2">
        <f ca="1">goldenOTP_check!U10*U66</f>
        <v>1041.8499999999999</v>
      </c>
      <c r="V10" s="2">
        <f ca="1">goldenOTP_check!V10*V66</f>
        <v>1033.3440000000001</v>
      </c>
      <c r="W10" s="2">
        <f ca="1">goldenOTP_check!W10*W66</f>
        <v>991.47399999999993</v>
      </c>
      <c r="X10" s="2">
        <f ca="1">goldenOTP_check!X10*X66</f>
        <v>965.31600000000003</v>
      </c>
      <c r="Y10" s="2">
        <f ca="1">goldenOTP_check!Y10*Y66</f>
        <v>882.7829999999999</v>
      </c>
    </row>
    <row r="11" spans="2:56" x14ac:dyDescent="0.3">
      <c r="B11" s="6">
        <v>8</v>
      </c>
      <c r="C11" s="9">
        <v>1.9390000000000001</v>
      </c>
      <c r="D11" s="9">
        <v>1.8220000000000001</v>
      </c>
      <c r="E11" s="9">
        <v>1.8260000000000001</v>
      </c>
      <c r="F11" s="9">
        <v>1.7709999999999999</v>
      </c>
      <c r="I11" s="2">
        <f ca="1">goldenOTP_check!I11*I67</f>
        <v>919.75</v>
      </c>
      <c r="J11" s="2">
        <f ca="1">goldenOTP_check!J11*J67</f>
        <v>956.42</v>
      </c>
      <c r="K11" s="2">
        <f ca="1">goldenOTP_check!K11*K67</f>
        <v>970.88400000000001</v>
      </c>
      <c r="L11" s="2">
        <f ca="1">goldenOTP_check!L11*L67</f>
        <v>1012.506</v>
      </c>
      <c r="M11" s="2">
        <f ca="1">goldenOTP_check!M11*M67</f>
        <v>1030.7570000000001</v>
      </c>
      <c r="N11" s="2">
        <f ca="1">goldenOTP_check!N11*N67</f>
        <v>1036.836</v>
      </c>
      <c r="O11" s="2">
        <f ca="1">goldenOTP_check!O11*O67</f>
        <v>1049.152</v>
      </c>
      <c r="P11" s="2">
        <f ca="1">goldenOTP_check!P11*P67</f>
        <v>1042.741</v>
      </c>
      <c r="Q11" s="2">
        <f ca="1">goldenOTP_check!Q11*Q67</f>
        <v>1032.895</v>
      </c>
      <c r="R11" s="2">
        <f ca="1">goldenOTP_check!R11*R67</f>
        <v>1041.095</v>
      </c>
      <c r="S11" s="2">
        <f ca="1">goldenOTP_check!S11*S67</f>
        <v>1029.8720000000001</v>
      </c>
      <c r="T11" s="2">
        <f ca="1">goldenOTP_check!T11*T67</f>
        <v>1031.9780000000001</v>
      </c>
      <c r="U11" s="2">
        <f ca="1">goldenOTP_check!U11*U67</f>
        <v>1026.48</v>
      </c>
      <c r="V11" s="2">
        <f ca="1">goldenOTP_check!V11*V67</f>
        <v>1011.448</v>
      </c>
      <c r="W11" s="2">
        <f ca="1">goldenOTP_check!W11*W67</f>
        <v>971.77800000000002</v>
      </c>
      <c r="X11" s="2">
        <f ca="1">goldenOTP_check!X11*X67</f>
        <v>954.09199999999998</v>
      </c>
      <c r="Y11" s="2">
        <f ca="1">goldenOTP_check!Y11*Y67</f>
        <v>870.17</v>
      </c>
      <c r="BD11"/>
    </row>
    <row r="12" spans="2:56" x14ac:dyDescent="0.3">
      <c r="B12" s="6">
        <v>9</v>
      </c>
      <c r="C12" s="9">
        <v>1.9610000000000001</v>
      </c>
      <c r="D12" s="9">
        <v>1.8440000000000001</v>
      </c>
      <c r="E12" s="9">
        <v>1.8480000000000001</v>
      </c>
      <c r="F12" s="9">
        <v>1.7929999999999999</v>
      </c>
      <c r="I12" s="2">
        <f ca="1">goldenOTP_check!I12*I68</f>
        <v>892.91000000000008</v>
      </c>
      <c r="J12" s="2">
        <f ca="1">goldenOTP_check!J12*J68</f>
        <v>932.27300000000002</v>
      </c>
      <c r="K12" s="2">
        <f ca="1">goldenOTP_check!K12*K68</f>
        <v>959.13599999999997</v>
      </c>
      <c r="L12" s="2">
        <f ca="1">goldenOTP_check!L12*L68</f>
        <v>1003.042</v>
      </c>
      <c r="M12" s="2">
        <f ca="1">goldenOTP_check!M12*M68</f>
        <v>1006.801</v>
      </c>
      <c r="N12" s="2">
        <f ca="1">goldenOTP_check!N12*N68</f>
        <v>1028.3130000000001</v>
      </c>
      <c r="O12" s="2">
        <f ca="1">goldenOTP_check!O12*O68</f>
        <v>1035.1499999999999</v>
      </c>
      <c r="P12" s="2">
        <f ca="1">goldenOTP_check!P12*P68</f>
        <v>1043.952</v>
      </c>
      <c r="Q12" s="2">
        <f ca="1">goldenOTP_check!Q12*Q68</f>
        <v>1039.5539999999999</v>
      </c>
      <c r="R12" s="2">
        <f ca="1">goldenOTP_check!R12*R68</f>
        <v>1041.8010000000002</v>
      </c>
      <c r="S12" s="2">
        <f ca="1">goldenOTP_check!S12*S68</f>
        <v>1032.47</v>
      </c>
      <c r="T12" s="2">
        <f ca="1">goldenOTP_check!T12*T68</f>
        <v>1025.258</v>
      </c>
      <c r="U12" s="2">
        <f ca="1">goldenOTP_check!U12*U68</f>
        <v>1003.5549999999999</v>
      </c>
      <c r="V12" s="2">
        <f ca="1">goldenOTP_check!V12*V68</f>
        <v>976.18999999999994</v>
      </c>
      <c r="W12" s="2">
        <f ca="1">goldenOTP_check!W12*W68</f>
        <v>956.66399999999999</v>
      </c>
      <c r="X12" s="2">
        <f ca="1">goldenOTP_check!X12*X68</f>
        <v>926.97799999999995</v>
      </c>
      <c r="Y12" s="2">
        <f ca="1">goldenOTP_check!Y12*Y68</f>
        <v>879.56999999999994</v>
      </c>
      <c r="BD12"/>
    </row>
    <row r="13" spans="2:56" x14ac:dyDescent="0.3">
      <c r="B13" s="6">
        <v>10</v>
      </c>
      <c r="C13" s="9">
        <v>2.0379999999999998</v>
      </c>
      <c r="D13" s="9">
        <v>1.9119999999999999</v>
      </c>
      <c r="E13" s="9">
        <v>1.9159999999999999</v>
      </c>
      <c r="F13" s="9">
        <v>1.8580000000000001</v>
      </c>
      <c r="I13" s="2">
        <f ca="1">goldenOTP_check!I13*I69</f>
        <v>904.77</v>
      </c>
      <c r="J13" s="2">
        <f ca="1">goldenOTP_check!J13*J69</f>
        <v>920.56799999999998</v>
      </c>
      <c r="K13" s="2">
        <f ca="1">goldenOTP_check!K13*K69</f>
        <v>926.36999999999989</v>
      </c>
      <c r="L13" s="2">
        <f ca="1">goldenOTP_check!L13*L69</f>
        <v>968.24700000000007</v>
      </c>
      <c r="M13" s="2">
        <f ca="1">goldenOTP_check!M13*M69</f>
        <v>1002.0780000000001</v>
      </c>
      <c r="N13" s="2">
        <f ca="1">goldenOTP_check!N13*N69</f>
        <v>1007.745</v>
      </c>
      <c r="O13" s="2">
        <f ca="1">goldenOTP_check!O13*O69</f>
        <v>1023.5519999999999</v>
      </c>
      <c r="P13" s="2">
        <f ca="1">goldenOTP_check!P13*P69</f>
        <v>1037.4780000000001</v>
      </c>
      <c r="Q13" s="2">
        <f ca="1">goldenOTP_check!Q13*Q69</f>
        <v>1022.814</v>
      </c>
      <c r="R13" s="2">
        <f ca="1">goldenOTP_check!R13*R69</f>
        <v>1041.144</v>
      </c>
      <c r="S13" s="2">
        <f ca="1">goldenOTP_check!S13*S69</f>
        <v>1029.8879999999999</v>
      </c>
      <c r="T13" s="2">
        <f ca="1">goldenOTP_check!T13*T69</f>
        <v>1012.506</v>
      </c>
      <c r="U13" s="2">
        <f ca="1">goldenOTP_check!U13*U69</f>
        <v>1003.042</v>
      </c>
      <c r="V13" s="2">
        <f ca="1">goldenOTP_check!V13*V69</f>
        <v>965.70899999999995</v>
      </c>
      <c r="W13" s="2">
        <f ca="1">goldenOTP_check!W13*W69</f>
        <v>919.8</v>
      </c>
      <c r="X13" s="2">
        <f ca="1">goldenOTP_check!X13*X69</f>
        <v>909.15599999999995</v>
      </c>
      <c r="Y13" s="2">
        <f ca="1">goldenOTP_check!Y13*Y69</f>
        <v>880.47</v>
      </c>
      <c r="BD13"/>
    </row>
    <row r="14" spans="2:56" x14ac:dyDescent="0.3">
      <c r="B14" s="6">
        <v>11</v>
      </c>
      <c r="C14" s="9">
        <v>2.1579999999999999</v>
      </c>
      <c r="D14" s="9">
        <v>2.0209999999999999</v>
      </c>
      <c r="E14" s="9">
        <v>2.024</v>
      </c>
      <c r="F14" s="9">
        <v>1.958</v>
      </c>
      <c r="I14" s="3">
        <f ca="1">goldenOTP_check!I14*I70</f>
        <v>910.86</v>
      </c>
      <c r="J14" s="2">
        <f ca="1">goldenOTP_check!J14*J70</f>
        <v>921.49199999999996</v>
      </c>
      <c r="K14" s="2">
        <f ca="1">goldenOTP_check!K14*K70</f>
        <v>899.32900000000006</v>
      </c>
      <c r="L14" s="2">
        <f ca="1">goldenOTP_check!L14*L70</f>
        <v>915.85699999999997</v>
      </c>
      <c r="M14" s="2">
        <f ca="1">goldenOTP_check!M14*M70</f>
        <v>944.95600000000002</v>
      </c>
      <c r="N14" s="2">
        <f ca="1">goldenOTP_check!N14*N70</f>
        <v>977.76800000000003</v>
      </c>
      <c r="O14" s="2">
        <f ca="1">goldenOTP_check!O14*O70</f>
        <v>984.24399999999991</v>
      </c>
      <c r="P14" s="2">
        <f ca="1">goldenOTP_check!P14*P70</f>
        <v>987.93600000000004</v>
      </c>
      <c r="Q14" s="2">
        <f ca="1">goldenOTP_check!Q14*Q70</f>
        <v>1008.15</v>
      </c>
      <c r="R14" s="2">
        <f ca="1">goldenOTP_check!R14*R70</f>
        <v>992.45400000000006</v>
      </c>
      <c r="S14" s="2">
        <f ca="1">goldenOTP_check!S14*S70</f>
        <v>997.25799999999992</v>
      </c>
      <c r="T14" s="2">
        <f ca="1">goldenOTP_check!T14*T70</f>
        <v>988.5920000000001</v>
      </c>
      <c r="U14" s="2">
        <f ca="1">goldenOTP_check!U14*U70</f>
        <v>949.40000000000009</v>
      </c>
      <c r="V14" s="2">
        <f ca="1">goldenOTP_check!V14*V70</f>
        <v>915.85699999999997</v>
      </c>
      <c r="W14" s="2">
        <f ca="1">goldenOTP_check!W14*W70</f>
        <v>890.13599999999997</v>
      </c>
      <c r="X14" s="2">
        <f ca="1">goldenOTP_check!X14*X70</f>
        <v>898.04000000000008</v>
      </c>
      <c r="Y14" s="3">
        <f ca="1">goldenOTP_check!Y14*Y70</f>
        <v>872.61</v>
      </c>
      <c r="BD14"/>
    </row>
    <row r="15" spans="2:56" x14ac:dyDescent="0.3">
      <c r="B15" s="6">
        <v>12</v>
      </c>
      <c r="C15" s="9">
        <v>2.3170000000000002</v>
      </c>
      <c r="D15" s="9">
        <v>2.1619999999999999</v>
      </c>
      <c r="E15" s="9">
        <v>2.1640000000000001</v>
      </c>
      <c r="F15" s="9">
        <v>2.09</v>
      </c>
      <c r="BD15"/>
    </row>
    <row r="16" spans="2:56" x14ac:dyDescent="0.3">
      <c r="B16" s="6">
        <v>13</v>
      </c>
      <c r="C16" s="9">
        <v>2.512</v>
      </c>
      <c r="D16" s="9">
        <v>2.339</v>
      </c>
      <c r="E16" s="9">
        <v>2.3410000000000002</v>
      </c>
      <c r="F16" s="9">
        <v>2.2570000000000001</v>
      </c>
      <c r="H16" t="s">
        <v>1</v>
      </c>
      <c r="I16" s="10">
        <f ca="1">goldenOTP_check!I16*I72</f>
        <v>862.75199999999995</v>
      </c>
      <c r="J16" s="2">
        <f ca="1">goldenOTP_check!J16*J72</f>
        <v>884.1</v>
      </c>
      <c r="K16" s="2">
        <f ca="1">goldenOTP_check!K16*K72</f>
        <v>908.28</v>
      </c>
      <c r="L16" s="2">
        <f ca="1">goldenOTP_check!L16*L72</f>
        <v>927.43200000000002</v>
      </c>
      <c r="M16" s="2">
        <f ca="1">goldenOTP_check!M16*M72</f>
        <v>946.54199999999992</v>
      </c>
      <c r="N16" s="2">
        <f ca="1">goldenOTP_check!N16*N72</f>
        <v>964.97100000000012</v>
      </c>
      <c r="O16" s="2">
        <f ca="1">goldenOTP_check!O16*O72</f>
        <v>968.87700000000007</v>
      </c>
      <c r="P16" s="2">
        <f ca="1">goldenOTP_check!P16*P72</f>
        <v>986.54000000000008</v>
      </c>
      <c r="Q16" s="2">
        <f ca="1">goldenOTP_check!Q16*Q72</f>
        <v>980.23599999999999</v>
      </c>
      <c r="R16" s="2">
        <f ca="1">goldenOTP_check!R16*R72</f>
        <v>986.54000000000008</v>
      </c>
      <c r="S16" s="2">
        <f ca="1">goldenOTP_check!S16*S72</f>
        <v>982.76799999999992</v>
      </c>
      <c r="T16" s="2">
        <f ca="1">goldenOTP_check!T16*T72</f>
        <v>964.01699999999994</v>
      </c>
      <c r="U16" s="2">
        <f ca="1">goldenOTP_check!U16*U72</f>
        <v>944.79399999999998</v>
      </c>
      <c r="V16" s="2">
        <f ca="1">goldenOTP_check!V16*V72</f>
        <v>926.24400000000003</v>
      </c>
      <c r="W16" s="2">
        <f ca="1">goldenOTP_check!W16*W72</f>
        <v>911.06399999999996</v>
      </c>
      <c r="X16" s="2">
        <f ca="1">goldenOTP_check!X16*X72</f>
        <v>883.19999999999993</v>
      </c>
      <c r="Y16" s="10">
        <f ca="1">goldenOTP_check!Y16*Y72</f>
        <v>855.62400000000002</v>
      </c>
    </row>
    <row r="17" spans="2:25" x14ac:dyDescent="0.3">
      <c r="B17" s="6">
        <v>14</v>
      </c>
      <c r="C17" s="9">
        <v>2.8140000000000001</v>
      </c>
      <c r="D17" s="9">
        <v>2.6179999999999999</v>
      </c>
      <c r="E17" s="9">
        <v>2.6190000000000002</v>
      </c>
      <c r="F17" s="9">
        <v>2.5169999999999999</v>
      </c>
      <c r="H17" t="s">
        <v>6</v>
      </c>
      <c r="I17" s="2">
        <f ca="1">goldenOTP_check!I17*I73</f>
        <v>888.03</v>
      </c>
      <c r="J17" s="2">
        <f ca="1">goldenOTP_check!J17*J73</f>
        <v>908.55200000000002</v>
      </c>
      <c r="K17" s="2">
        <f ca="1">goldenOTP_check!K17*K73</f>
        <v>927.4799999999999</v>
      </c>
      <c r="L17" s="2">
        <f ca="1">goldenOTP_check!L17*L73</f>
        <v>957.82399999999996</v>
      </c>
      <c r="M17" s="2">
        <f ca="1">goldenOTP_check!M17*M73</f>
        <v>984.87400000000002</v>
      </c>
      <c r="N17" s="2">
        <f ca="1">goldenOTP_check!N17*N73</f>
        <v>1012.908</v>
      </c>
      <c r="O17" s="2">
        <f ca="1">goldenOTP_check!O17*O73</f>
        <v>1026.306</v>
      </c>
      <c r="P17" s="2">
        <f ca="1">goldenOTP_check!P17*P73</f>
        <v>1029.4199999999998</v>
      </c>
      <c r="Q17" s="2">
        <f ca="1">goldenOTP_check!Q17*Q73</f>
        <v>1032.6510000000001</v>
      </c>
      <c r="R17" s="2">
        <f ca="1">goldenOTP_check!R17*R73</f>
        <v>1029.4199999999998</v>
      </c>
      <c r="S17" s="2">
        <f ca="1">goldenOTP_check!S17*S73</f>
        <v>1027.5119999999999</v>
      </c>
      <c r="T17" s="2">
        <f ca="1">goldenOTP_check!T17*T73</f>
        <v>1014.5849999999999</v>
      </c>
      <c r="U17" s="2">
        <f ca="1">goldenOTP_check!U17*U73</f>
        <v>987.89199999999994</v>
      </c>
      <c r="V17" s="2">
        <f ca="1">goldenOTP_check!V17*V73</f>
        <v>960.06399999999985</v>
      </c>
      <c r="W17" s="2">
        <f ca="1">goldenOTP_check!W17*W73</f>
        <v>931.803</v>
      </c>
      <c r="X17" s="2">
        <f ca="1">goldenOTP_check!X17*X73</f>
        <v>909.90000000000009</v>
      </c>
      <c r="Y17" s="2">
        <f ca="1">goldenOTP_check!Y17*Y73</f>
        <v>878.59199999999998</v>
      </c>
    </row>
    <row r="18" spans="2:25" x14ac:dyDescent="0.3">
      <c r="B18" s="6">
        <v>15</v>
      </c>
      <c r="C18" s="9">
        <v>3.1549999999999998</v>
      </c>
      <c r="D18" s="9">
        <v>2.944</v>
      </c>
      <c r="E18" s="9">
        <v>2.9430000000000001</v>
      </c>
      <c r="F18" s="9">
        <v>2.8180000000000001</v>
      </c>
      <c r="I18" s="2">
        <f ca="1">goldenOTP_check!I18*I74</f>
        <v>912.64300000000003</v>
      </c>
      <c r="J18" s="2">
        <f ca="1">goldenOTP_check!J18*J74</f>
        <v>926.46399999999994</v>
      </c>
      <c r="K18" s="2">
        <f ca="1">goldenOTP_check!K18*K74</f>
        <v>960.90800000000002</v>
      </c>
      <c r="L18" s="2">
        <f ca="1">goldenOTP_check!L18*L74</f>
        <v>995.09500000000003</v>
      </c>
      <c r="M18" s="2">
        <f ca="1">goldenOTP_check!M18*M74</f>
        <v>1015.45</v>
      </c>
      <c r="N18" s="2">
        <f ca="1">goldenOTP_check!N18*N74</f>
        <v>1033.2920000000001</v>
      </c>
      <c r="O18" s="2">
        <f ca="1">goldenOTP_check!O18*O74</f>
        <v>1042.0150000000001</v>
      </c>
      <c r="P18" s="2">
        <f ca="1">goldenOTP_check!P18*P74</f>
        <v>1046.6399999999999</v>
      </c>
      <c r="Q18" s="2">
        <f ca="1">goldenOTP_check!Q18*Q74</f>
        <v>1055.056</v>
      </c>
      <c r="R18" s="2">
        <f ca="1">goldenOTP_check!R18*R74</f>
        <v>1050.3150000000001</v>
      </c>
      <c r="S18" s="2">
        <f ca="1">goldenOTP_check!S18*S74</f>
        <v>1049.682</v>
      </c>
      <c r="T18" s="2">
        <f ca="1">goldenOTP_check!T18*T74</f>
        <v>1040.9840000000002</v>
      </c>
      <c r="U18" s="2">
        <f ca="1">goldenOTP_check!U18*U74</f>
        <v>1021.775</v>
      </c>
      <c r="V18" s="2">
        <f ca="1">goldenOTP_check!V18*V74</f>
        <v>989.40100000000007</v>
      </c>
      <c r="W18" s="2">
        <f ca="1">goldenOTP_check!W18*W74</f>
        <v>953.97099999999989</v>
      </c>
      <c r="X18" s="2">
        <f ca="1">goldenOTP_check!X18*X74</f>
        <v>926.46399999999994</v>
      </c>
      <c r="Y18" s="2">
        <f ca="1">goldenOTP_check!Y18*Y74</f>
        <v>904.08399999999995</v>
      </c>
    </row>
    <row r="19" spans="2:25" x14ac:dyDescent="0.3">
      <c r="B19" s="6">
        <v>16</v>
      </c>
      <c r="C19" s="9">
        <v>3.444</v>
      </c>
      <c r="D19" s="9">
        <v>3.2410000000000001</v>
      </c>
      <c r="E19" s="9">
        <v>3.24</v>
      </c>
      <c r="F19" s="9">
        <v>3.0950000000000002</v>
      </c>
      <c r="I19" s="2">
        <f ca="1">goldenOTP_check!I19*I75</f>
        <v>912.38</v>
      </c>
      <c r="J19" s="2">
        <f ca="1">goldenOTP_check!J19*J75</f>
        <v>944.38100000000009</v>
      </c>
      <c r="K19" s="2">
        <f ca="1">goldenOTP_check!K19*K75</f>
        <v>981.721</v>
      </c>
      <c r="L19" s="2">
        <f ca="1">goldenOTP_check!L19*L75</f>
        <v>1011.231</v>
      </c>
      <c r="M19" s="2">
        <f ca="1">goldenOTP_check!M19*M75</f>
        <v>1032.6510000000001</v>
      </c>
      <c r="N19" s="2">
        <f ca="1">goldenOTP_check!N19*N75</f>
        <v>1046.18</v>
      </c>
      <c r="O19" s="2">
        <f ca="1">goldenOTP_check!O19*O75</f>
        <v>1053.1079999999999</v>
      </c>
      <c r="P19" s="2">
        <f ca="1">goldenOTP_check!P19*P75</f>
        <v>1055.4549999999999</v>
      </c>
      <c r="Q19" s="2">
        <f ca="1">goldenOTP_check!Q19*Q75</f>
        <v>1060.1090000000002</v>
      </c>
      <c r="R19" s="2">
        <f ca="1">goldenOTP_check!R19*R75</f>
        <v>1060.501</v>
      </c>
      <c r="S19" s="2">
        <f ca="1">goldenOTP_check!S19*S75</f>
        <v>1063.4560000000001</v>
      </c>
      <c r="T19" s="2">
        <f ca="1">goldenOTP_check!T19*T75</f>
        <v>1057.04</v>
      </c>
      <c r="U19" s="2">
        <f ca="1">goldenOTP_check!U19*U75</f>
        <v>1041.625</v>
      </c>
      <c r="V19" s="2">
        <f ca="1">goldenOTP_check!V19*V75</f>
        <v>1018.498</v>
      </c>
      <c r="W19" s="2">
        <f ca="1">goldenOTP_check!W19*W75</f>
        <v>984.60700000000008</v>
      </c>
      <c r="X19" s="2">
        <f ca="1">goldenOTP_check!X19*X75</f>
        <v>941.92700000000002</v>
      </c>
      <c r="Y19" s="2">
        <f ca="1">goldenOTP_check!Y19*Y75</f>
        <v>902.77600000000007</v>
      </c>
    </row>
    <row r="20" spans="2:25" x14ac:dyDescent="0.3">
      <c r="B20" s="6">
        <v>17</v>
      </c>
      <c r="C20" s="9">
        <v>3.3460000000000001</v>
      </c>
      <c r="D20" s="9">
        <v>3.105</v>
      </c>
      <c r="E20" s="9">
        <v>3.105</v>
      </c>
      <c r="F20" s="9">
        <v>2.9809999999999999</v>
      </c>
      <c r="I20" s="2">
        <f ca="1">goldenOTP_check!I20*I76</f>
        <v>907.5</v>
      </c>
      <c r="J20" s="2">
        <f ca="1">goldenOTP_check!J20*J76</f>
        <v>957.90400000000011</v>
      </c>
      <c r="K20" s="2">
        <f ca="1">goldenOTP_check!K20*K76</f>
        <v>992.02</v>
      </c>
      <c r="L20" s="2">
        <f ca="1">goldenOTP_check!L20*L76</f>
        <v>1032.992</v>
      </c>
      <c r="M20" s="2">
        <f ca="1">goldenOTP_check!M20*M76</f>
        <v>1047.384</v>
      </c>
      <c r="N20" s="2">
        <f ca="1">goldenOTP_check!N20*N76</f>
        <v>1050.72</v>
      </c>
      <c r="O20" s="2">
        <f ca="1">goldenOTP_check!O20*O76</f>
        <v>1052.296</v>
      </c>
      <c r="P20" s="2">
        <f ca="1">goldenOTP_check!P20*P76</f>
        <v>1050.3739999999998</v>
      </c>
      <c r="Q20" s="2">
        <f ca="1">goldenOTP_check!Q20*Q76</f>
        <v>1049.98</v>
      </c>
      <c r="R20" s="2">
        <f ca="1">goldenOTP_check!R20*R76</f>
        <v>1053.143</v>
      </c>
      <c r="S20" s="2">
        <f ca="1">goldenOTP_check!S20*S76</f>
        <v>1057.54</v>
      </c>
      <c r="T20" s="2">
        <f ca="1">goldenOTP_check!T20*T76</f>
        <v>1057.088</v>
      </c>
      <c r="U20" s="2">
        <f ca="1">goldenOTP_check!U20*U76</f>
        <v>1053</v>
      </c>
      <c r="V20" s="2">
        <f ca="1">goldenOTP_check!V20*V76</f>
        <v>1029.3210000000001</v>
      </c>
      <c r="W20" s="2">
        <f ca="1">goldenOTP_check!W20*W76</f>
        <v>997.67399999999998</v>
      </c>
      <c r="X20" s="2">
        <f ca="1">goldenOTP_check!X20*X76</f>
        <v>961.40000000000009</v>
      </c>
      <c r="Y20" s="2">
        <f ca="1">goldenOTP_check!Y20*Y76</f>
        <v>905.68500000000006</v>
      </c>
    </row>
    <row r="21" spans="2:25" x14ac:dyDescent="0.3">
      <c r="B21" s="6">
        <v>18</v>
      </c>
      <c r="C21" s="9">
        <v>2.9060000000000001</v>
      </c>
      <c r="D21" s="9">
        <v>2.6960000000000002</v>
      </c>
      <c r="E21" s="9">
        <v>2.698</v>
      </c>
      <c r="F21" s="9">
        <v>2.5950000000000002</v>
      </c>
      <c r="I21" s="2">
        <f ca="1">goldenOTP_check!I21*I77</f>
        <v>901.72799999999995</v>
      </c>
      <c r="J21" s="2">
        <f ca="1">goldenOTP_check!J21*J77</f>
        <v>962.17200000000003</v>
      </c>
      <c r="K21" s="2">
        <f ca="1">goldenOTP_check!K21*K77</f>
        <v>994.81600000000003</v>
      </c>
      <c r="L21" s="2">
        <f ca="1">goldenOTP_check!L21*L77</f>
        <v>1030.9559999999999</v>
      </c>
      <c r="M21" s="2">
        <f ca="1">goldenOTP_check!M21*M77</f>
        <v>1054.7639999999999</v>
      </c>
      <c r="N21" s="2">
        <f ca="1">goldenOTP_check!N21*N77</f>
        <v>1055.808</v>
      </c>
      <c r="O21" s="2">
        <f ca="1">goldenOTP_check!O21*O77</f>
        <v>1052.557</v>
      </c>
      <c r="P21" s="2">
        <f ca="1">goldenOTP_check!P21*P77</f>
        <v>1035.7820000000002</v>
      </c>
      <c r="Q21" s="2">
        <f ca="1">goldenOTP_check!Q21*Q77</f>
        <v>1026.8399999999999</v>
      </c>
      <c r="R21" s="2">
        <f ca="1">goldenOTP_check!R21*R77</f>
        <v>1038.7190000000001</v>
      </c>
      <c r="S21" s="2">
        <f ca="1">goldenOTP_check!S21*S77</f>
        <v>1056.2729999999999</v>
      </c>
      <c r="T21" s="2">
        <f ca="1">goldenOTP_check!T21*T77</f>
        <v>1057.5</v>
      </c>
      <c r="U21" s="2">
        <f ca="1">goldenOTP_check!U21*U77</f>
        <v>1048.5150000000001</v>
      </c>
      <c r="V21" s="2">
        <f ca="1">goldenOTP_check!V21*V77</f>
        <v>1035.4079999999999</v>
      </c>
      <c r="W21" s="2">
        <f ca="1">goldenOTP_check!W21*W77</f>
        <v>1000.712</v>
      </c>
      <c r="X21" s="2">
        <f ca="1">goldenOTP_check!X21*X77</f>
        <v>966.702</v>
      </c>
      <c r="Y21" s="2">
        <f ca="1">goldenOTP_check!Y21*Y77</f>
        <v>921.49999999999989</v>
      </c>
    </row>
    <row r="22" spans="2:25" x14ac:dyDescent="0.3">
      <c r="B22" s="6">
        <v>19</v>
      </c>
      <c r="C22" s="9">
        <v>2.5369999999999999</v>
      </c>
      <c r="D22" s="9">
        <v>2.36</v>
      </c>
      <c r="E22" s="9">
        <v>2.3620000000000001</v>
      </c>
      <c r="F22" s="9">
        <v>2.2810000000000001</v>
      </c>
      <c r="I22" s="2">
        <f ca="1">goldenOTP_check!I22*I78</f>
        <v>908.71199999999999</v>
      </c>
      <c r="J22" s="2">
        <f ca="1">goldenOTP_check!J22*J78</f>
        <v>964.81799999999998</v>
      </c>
      <c r="K22" s="2">
        <f ca="1">goldenOTP_check!K22*K78</f>
        <v>1001.01</v>
      </c>
      <c r="L22" s="2">
        <f ca="1">goldenOTP_check!L22*L78</f>
        <v>1038.27</v>
      </c>
      <c r="M22" s="2">
        <f ca="1">goldenOTP_check!M22*M78</f>
        <v>1043.0079999999998</v>
      </c>
      <c r="N22" s="2">
        <f ca="1">goldenOTP_check!N22*N78</f>
        <v>1047.682</v>
      </c>
      <c r="O22" s="2">
        <f ca="1">goldenOTP_check!O22*O78</f>
        <v>1046.1000000000001</v>
      </c>
      <c r="P22" s="2">
        <f ca="1">goldenOTP_check!P22*P78</f>
        <v>1025.0240000000001</v>
      </c>
      <c r="Q22" s="2">
        <f ca="1">goldenOTP_check!Q22*Q78</f>
        <v>1026.069</v>
      </c>
      <c r="R22" s="2">
        <f ca="1">goldenOTP_check!R22*R78</f>
        <v>1030.029</v>
      </c>
      <c r="S22" s="2">
        <f ca="1">goldenOTP_check!S22*S78</f>
        <v>1054.6589999999999</v>
      </c>
      <c r="T22" s="2">
        <f ca="1">goldenOTP_check!T22*T78</f>
        <v>1055.4490000000001</v>
      </c>
      <c r="U22" s="2">
        <f ca="1">goldenOTP_check!U22*U78</f>
        <v>1050.588</v>
      </c>
      <c r="V22" s="2">
        <f ca="1">goldenOTP_check!V22*V78</f>
        <v>1034.5529999999999</v>
      </c>
      <c r="W22" s="2">
        <f ca="1">goldenOTP_check!W22*W78</f>
        <v>1005.3860000000001</v>
      </c>
      <c r="X22" s="2">
        <f ca="1">goldenOTP_check!X22*X78</f>
        <v>966.19499999999994</v>
      </c>
      <c r="Y22" s="2">
        <f ca="1">goldenOTP_check!Y22*Y78</f>
        <v>904.17599999999993</v>
      </c>
    </row>
    <row r="23" spans="2:25" x14ac:dyDescent="0.3">
      <c r="B23" s="6">
        <v>20</v>
      </c>
      <c r="C23" s="9">
        <v>2.2949999999999999</v>
      </c>
      <c r="D23" s="9">
        <v>2.1379999999999999</v>
      </c>
      <c r="E23" s="9">
        <v>2.141</v>
      </c>
      <c r="F23" s="9">
        <v>2.0720000000000001</v>
      </c>
      <c r="I23" s="2">
        <f ca="1">goldenOTP_check!I23*I79</f>
        <v>905.44800000000009</v>
      </c>
      <c r="J23" s="2">
        <f ca="1">goldenOTP_check!J23*J79</f>
        <v>963.07799999999997</v>
      </c>
      <c r="K23" s="2">
        <f ca="1">goldenOTP_check!K23*K79</f>
        <v>1003.7840000000001</v>
      </c>
      <c r="L23" s="2">
        <f ca="1">goldenOTP_check!L23*L79</f>
        <v>1033.2920000000001</v>
      </c>
      <c r="M23" s="2">
        <f ca="1">goldenOTP_check!M23*M79</f>
        <v>1044.306</v>
      </c>
      <c r="N23" s="2">
        <f ca="1">goldenOTP_check!N23*N79</f>
        <v>1050.5160000000001</v>
      </c>
      <c r="O23" s="2">
        <f ca="1">goldenOTP_check!O23*O79</f>
        <v>1045.3300000000002</v>
      </c>
      <c r="P23" s="2">
        <f ca="1">goldenOTP_check!P23*P79</f>
        <v>1026.3119999999999</v>
      </c>
      <c r="Q23" s="2">
        <f ca="1">goldenOTP_check!Q23*Q79</f>
        <v>1022.021</v>
      </c>
      <c r="R23" s="2">
        <f ca="1">goldenOTP_check!R23*R79</f>
        <v>1034.184</v>
      </c>
      <c r="S23" s="2">
        <f ca="1">goldenOTP_check!S23*S79</f>
        <v>1051.6279999999999</v>
      </c>
      <c r="T23" s="2">
        <f ca="1">goldenOTP_check!T23*T79</f>
        <v>1054.962</v>
      </c>
      <c r="U23" s="2">
        <f ca="1">goldenOTP_check!U23*U79</f>
        <v>1047.0330000000001</v>
      </c>
      <c r="V23" s="2">
        <f ca="1">goldenOTP_check!V23*V79</f>
        <v>1034.136</v>
      </c>
      <c r="W23" s="2">
        <f ca="1">goldenOTP_check!W23*W79</f>
        <v>998.03200000000004</v>
      </c>
      <c r="X23" s="2">
        <f ca="1">goldenOTP_check!X23*X79</f>
        <v>962.17200000000003</v>
      </c>
      <c r="Y23" s="2">
        <f ca="1">goldenOTP_check!Y23*Y79</f>
        <v>914.66</v>
      </c>
    </row>
    <row r="24" spans="2:25" x14ac:dyDescent="0.3">
      <c r="B24" s="6">
        <v>21</v>
      </c>
      <c r="C24" s="9">
        <v>2.0939999999999999</v>
      </c>
      <c r="D24" s="9">
        <v>1.958</v>
      </c>
      <c r="E24" s="9">
        <v>1.962</v>
      </c>
      <c r="F24" s="9">
        <v>1.9019999999999999</v>
      </c>
      <c r="I24" s="2">
        <f ca="1">goldenOTP_check!I24*I80</f>
        <v>910.76699999999994</v>
      </c>
      <c r="J24" s="2">
        <f ca="1">goldenOTP_check!J24*J80</f>
        <v>960.96299999999997</v>
      </c>
      <c r="K24" s="2">
        <f ca="1">goldenOTP_check!K24*K80</f>
        <v>992.02</v>
      </c>
      <c r="L24" s="2">
        <f ca="1">goldenOTP_check!L24*L80</f>
        <v>1028.1279999999999</v>
      </c>
      <c r="M24" s="2">
        <f ca="1">goldenOTP_check!M24*M80</f>
        <v>1047.1320000000001</v>
      </c>
      <c r="N24" s="2">
        <f ca="1">goldenOTP_check!N24*N80</f>
        <v>1047.412</v>
      </c>
      <c r="O24" s="2">
        <f ca="1">goldenOTP_check!O24*O80</f>
        <v>1046.01</v>
      </c>
      <c r="P24" s="2">
        <f ca="1">goldenOTP_check!P24*P80</f>
        <v>1040.48</v>
      </c>
      <c r="Q24" s="2">
        <f ca="1">goldenOTP_check!Q24*Q80</f>
        <v>1044.1980000000001</v>
      </c>
      <c r="R24" s="2">
        <f ca="1">goldenOTP_check!R24*R80</f>
        <v>1043.2670000000001</v>
      </c>
      <c r="S24" s="2">
        <f ca="1">goldenOTP_check!S24*S80</f>
        <v>1051.2839999999999</v>
      </c>
      <c r="T24" s="2">
        <f ca="1">goldenOTP_check!T24*T80</f>
        <v>1047.5360000000001</v>
      </c>
      <c r="U24" s="2">
        <f ca="1">goldenOTP_check!U24*U80</f>
        <v>1047.384</v>
      </c>
      <c r="V24" s="2">
        <f ca="1">goldenOTP_check!V24*V80</f>
        <v>1035.424</v>
      </c>
      <c r="W24" s="2">
        <f ca="1">goldenOTP_check!W24*W80</f>
        <v>996.13199999999995</v>
      </c>
      <c r="X24" s="2">
        <f ca="1">goldenOTP_check!X24*X80</f>
        <v>960.96299999999997</v>
      </c>
      <c r="Y24" s="2">
        <f ca="1">goldenOTP_check!Y24*Y80</f>
        <v>905.68500000000006</v>
      </c>
    </row>
    <row r="25" spans="2:25" x14ac:dyDescent="0.3">
      <c r="B25" s="6">
        <v>22</v>
      </c>
      <c r="C25" s="9">
        <v>1.927</v>
      </c>
      <c r="D25" s="9">
        <v>1.8120000000000001</v>
      </c>
      <c r="E25" s="9">
        <v>1.8160000000000001</v>
      </c>
      <c r="F25" s="9">
        <v>1.762</v>
      </c>
      <c r="I25" s="2">
        <f ca="1">goldenOTP_check!I25*I81</f>
        <v>905.5200000000001</v>
      </c>
      <c r="J25" s="2">
        <f ca="1">goldenOTP_check!J25*J81</f>
        <v>941.10900000000004</v>
      </c>
      <c r="K25" s="2">
        <f ca="1">goldenOTP_check!K25*K81</f>
        <v>978.83500000000004</v>
      </c>
      <c r="L25" s="2">
        <f ca="1">goldenOTP_check!L25*L81</f>
        <v>1016.8919999999999</v>
      </c>
      <c r="M25" s="2">
        <f ca="1">goldenOTP_check!M25*M81</f>
        <v>1036.4940000000001</v>
      </c>
      <c r="N25" s="2">
        <f ca="1">goldenOTP_check!N25*N81</f>
        <v>1045.3599999999999</v>
      </c>
      <c r="O25" s="2">
        <f ca="1">goldenOTP_check!O25*O81</f>
        <v>1039.576</v>
      </c>
      <c r="P25" s="2">
        <f ca="1">goldenOTP_check!P25*P81</f>
        <v>1043.9639999999999</v>
      </c>
      <c r="Q25" s="2">
        <f ca="1">goldenOTP_check!Q25*Q81</f>
        <v>1045.0930000000001</v>
      </c>
      <c r="R25" s="2">
        <f ca="1">goldenOTP_check!R25*R81</f>
        <v>1043.9639999999999</v>
      </c>
      <c r="S25" s="2">
        <f ca="1">goldenOTP_check!S25*S81</f>
        <v>1039.576</v>
      </c>
      <c r="T25" s="2">
        <f ca="1">goldenOTP_check!T25*T81</f>
        <v>1043.8999999999999</v>
      </c>
      <c r="U25" s="2">
        <f ca="1">goldenOTP_check!U25*U81</f>
        <v>1036.4940000000001</v>
      </c>
      <c r="V25" s="2">
        <f ca="1">goldenOTP_check!V25*V81</f>
        <v>1010.672</v>
      </c>
      <c r="W25" s="2">
        <f ca="1">goldenOTP_check!W25*W81</f>
        <v>982.68300000000011</v>
      </c>
      <c r="X25" s="2">
        <f ca="1">goldenOTP_check!X25*X81</f>
        <v>943.56299999999999</v>
      </c>
      <c r="Y25" s="2">
        <f ca="1">goldenOTP_check!Y25*Y81</f>
        <v>906.89200000000005</v>
      </c>
    </row>
    <row r="26" spans="2:25" x14ac:dyDescent="0.3">
      <c r="B26" s="6">
        <v>23</v>
      </c>
      <c r="C26" s="9">
        <v>1.8</v>
      </c>
      <c r="D26" s="9">
        <v>1.702</v>
      </c>
      <c r="E26" s="9">
        <v>1.7050000000000001</v>
      </c>
      <c r="F26" s="9">
        <v>1.6559999999999999</v>
      </c>
      <c r="I26" s="2">
        <f ca="1">goldenOTP_check!I26*I82</f>
        <v>909.15599999999995</v>
      </c>
      <c r="J26" s="2">
        <f ca="1">goldenOTP_check!J26*J82</f>
        <v>926.83999999999992</v>
      </c>
      <c r="K26" s="2">
        <f ca="1">goldenOTP_check!K26*K82</f>
        <v>951.78599999999994</v>
      </c>
      <c r="L26" s="2">
        <f ca="1">goldenOTP_check!L26*L82</f>
        <v>994.077</v>
      </c>
      <c r="M26" s="2">
        <f ca="1">goldenOTP_check!M26*M82</f>
        <v>1010.85</v>
      </c>
      <c r="N26" s="2">
        <f ca="1">goldenOTP_check!N26*N82</f>
        <v>1035.847</v>
      </c>
      <c r="O26" s="2">
        <f ca="1">goldenOTP_check!O26*O82</f>
        <v>1038.96</v>
      </c>
      <c r="P26" s="2">
        <f ca="1">goldenOTP_check!P26*P82</f>
        <v>1039.623</v>
      </c>
      <c r="Q26" s="2">
        <f ca="1">goldenOTP_check!Q26*Q82</f>
        <v>1035.5039999999999</v>
      </c>
      <c r="R26" s="2">
        <f ca="1">goldenOTP_check!R26*R82</f>
        <v>1038.8819999999998</v>
      </c>
      <c r="S26" s="2">
        <f ca="1">goldenOTP_check!S26*S82</f>
        <v>1038.258</v>
      </c>
      <c r="T26" s="2">
        <f ca="1">goldenOTP_check!T26*T82</f>
        <v>1026.8820000000001</v>
      </c>
      <c r="U26" s="2">
        <f ca="1">goldenOTP_check!U26*U82</f>
        <v>1011.425</v>
      </c>
      <c r="V26" s="2">
        <f ca="1">goldenOTP_check!V26*V82</f>
        <v>983.86799999999994</v>
      </c>
      <c r="W26" s="2">
        <f ca="1">goldenOTP_check!W26*W82</f>
        <v>952.66000000000008</v>
      </c>
      <c r="X26" s="2">
        <f ca="1">goldenOTP_check!X26*X82</f>
        <v>927.21600000000012</v>
      </c>
      <c r="Y26" s="2">
        <f ca="1">goldenOTP_check!Y26*Y82</f>
        <v>907.57100000000003</v>
      </c>
    </row>
    <row r="27" spans="2:25" x14ac:dyDescent="0.3">
      <c r="B27" s="6">
        <v>24</v>
      </c>
      <c r="C27" s="9">
        <v>1.72</v>
      </c>
      <c r="D27" s="9">
        <v>1.6339999999999999</v>
      </c>
      <c r="E27" s="9">
        <v>1.637</v>
      </c>
      <c r="F27" s="9">
        <v>1.5940000000000001</v>
      </c>
      <c r="I27" s="2">
        <f ca="1">goldenOTP_check!I27*I83</f>
        <v>911.41200000000003</v>
      </c>
      <c r="J27" s="2">
        <f ca="1">goldenOTP_check!J27*J83</f>
        <v>930.21600000000001</v>
      </c>
      <c r="K27" s="2">
        <f ca="1">goldenOTP_check!K27*K83</f>
        <v>932.98200000000008</v>
      </c>
      <c r="L27" s="2">
        <f ca="1">goldenOTP_check!L27*L83</f>
        <v>960.96</v>
      </c>
      <c r="M27" s="2">
        <f ca="1">goldenOTP_check!M27*M83</f>
        <v>983.86799999999994</v>
      </c>
      <c r="N27" s="2">
        <f ca="1">goldenOTP_check!N27*N83</f>
        <v>1006.759</v>
      </c>
      <c r="O27" s="2">
        <f ca="1">goldenOTP_check!O27*O83</f>
        <v>1018.467</v>
      </c>
      <c r="P27" s="2">
        <f ca="1">goldenOTP_check!P27*P83</f>
        <v>1029.684</v>
      </c>
      <c r="Q27" s="2">
        <f ca="1">goldenOTP_check!Q27*Q83</f>
        <v>1024.318</v>
      </c>
      <c r="R27" s="2">
        <f ca="1">goldenOTP_check!R27*R83</f>
        <v>1033.5</v>
      </c>
      <c r="S27" s="2">
        <f ca="1">goldenOTP_check!S27*S83</f>
        <v>1025.703</v>
      </c>
      <c r="T27" s="2">
        <f ca="1">goldenOTP_check!T27*T83</f>
        <v>1013.467</v>
      </c>
      <c r="U27" s="2">
        <f ca="1">goldenOTP_check!U27*U83</f>
        <v>987.38900000000001</v>
      </c>
      <c r="V27" s="2">
        <f ca="1">goldenOTP_check!V27*V83</f>
        <v>960.96</v>
      </c>
      <c r="W27" s="2">
        <f ca="1">goldenOTP_check!W27*W83</f>
        <v>928.65899999999999</v>
      </c>
      <c r="X27" s="2">
        <f ca="1">goldenOTP_check!X27*X83</f>
        <v>923.01299999999992</v>
      </c>
      <c r="Y27" s="2">
        <f ca="1">goldenOTP_check!Y27*Y83</f>
        <v>895.98900000000003</v>
      </c>
    </row>
    <row r="28" spans="2:25" x14ac:dyDescent="0.3">
      <c r="B28" s="6">
        <v>25</v>
      </c>
      <c r="C28" s="9">
        <v>1.694</v>
      </c>
      <c r="D28" s="9">
        <v>1.611</v>
      </c>
      <c r="E28" s="9">
        <v>1.6140000000000001</v>
      </c>
      <c r="F28" s="9">
        <v>1.575</v>
      </c>
      <c r="I28" s="10">
        <f ca="1">goldenOTP_check!I28*I84</f>
        <v>906.53</v>
      </c>
      <c r="J28" s="2">
        <f ca="1">goldenOTP_check!J28*J84</f>
        <v>906.26900000000001</v>
      </c>
      <c r="K28" s="2">
        <f ca="1">goldenOTP_check!K28*K84</f>
        <v>909.44699999999989</v>
      </c>
      <c r="L28" s="2">
        <f ca="1">goldenOTP_check!L28*L84</f>
        <v>929.32099999999991</v>
      </c>
      <c r="M28" s="2">
        <f ca="1">goldenOTP_check!M28*M84</f>
        <v>946.37400000000002</v>
      </c>
      <c r="N28" s="2">
        <f ca="1">goldenOTP_check!N28*N84</f>
        <v>963.49999999999989</v>
      </c>
      <c r="O28" s="2">
        <f ca="1">goldenOTP_check!O28*O84</f>
        <v>981.55200000000002</v>
      </c>
      <c r="P28" s="2">
        <f ca="1">goldenOTP_check!P28*P84</f>
        <v>980.7</v>
      </c>
      <c r="Q28" s="2">
        <f ca="1">goldenOTP_check!Q28*Q84</f>
        <v>994.76199999999994</v>
      </c>
      <c r="R28" s="2">
        <f ca="1">goldenOTP_check!R28*R84</f>
        <v>985.94999999999993</v>
      </c>
      <c r="S28" s="2">
        <f ca="1">goldenOTP_check!S28*S84</f>
        <v>992.19900000000007</v>
      </c>
      <c r="T28" s="2">
        <f ca="1">goldenOTP_check!T28*T84</f>
        <v>973.84</v>
      </c>
      <c r="U28" s="2">
        <f ca="1">goldenOTP_check!U28*U84</f>
        <v>951.95099999999991</v>
      </c>
      <c r="V28" s="2">
        <f ca="1">goldenOTP_check!V28*V84</f>
        <v>929.32099999999991</v>
      </c>
      <c r="W28" s="2">
        <f ca="1">goldenOTP_check!W28*W84</f>
        <v>903.30899999999997</v>
      </c>
      <c r="X28" s="2">
        <f ca="1">goldenOTP_check!X28*X84</f>
        <v>885.93700000000001</v>
      </c>
      <c r="Y28" s="10">
        <f ca="1">goldenOTP_check!Y28*Y84</f>
        <v>870.75300000000004</v>
      </c>
    </row>
    <row r="29" spans="2:25" x14ac:dyDescent="0.3">
      <c r="B29" s="6">
        <v>26</v>
      </c>
      <c r="C29" s="9">
        <v>1.718</v>
      </c>
      <c r="D29" s="9">
        <v>1.6339999999999999</v>
      </c>
      <c r="E29" s="9">
        <v>1.635</v>
      </c>
      <c r="F29" s="9">
        <v>1.5940000000000001</v>
      </c>
    </row>
    <row r="30" spans="2:25" x14ac:dyDescent="0.3">
      <c r="B30" s="6">
        <v>27</v>
      </c>
      <c r="C30" s="9">
        <v>1.796</v>
      </c>
      <c r="D30" s="9">
        <v>1.704</v>
      </c>
      <c r="E30" s="9">
        <v>1.706</v>
      </c>
      <c r="F30" s="9">
        <v>1.66</v>
      </c>
      <c r="H30" t="s">
        <v>2</v>
      </c>
      <c r="I30" s="11">
        <f ca="1">goldenOTP_check!I30*I86</f>
        <v>855.95399999999995</v>
      </c>
      <c r="J30" s="2">
        <f ca="1">goldenOTP_check!J30*J86</f>
        <v>902.39400000000001</v>
      </c>
      <c r="K30" s="2">
        <f ca="1">goldenOTP_check!K30*K86</f>
        <v>925.35599999999999</v>
      </c>
      <c r="L30" s="2">
        <f ca="1">goldenOTP_check!L30*L86</f>
        <v>943.09199999999998</v>
      </c>
      <c r="M30" s="2">
        <f ca="1">goldenOTP_check!M30*M86</f>
        <v>956.96999999999991</v>
      </c>
      <c r="N30" s="2">
        <f ca="1">goldenOTP_check!N30*N86</f>
        <v>979.04100000000005</v>
      </c>
      <c r="O30" s="2">
        <f ca="1">goldenOTP_check!O30*O86</f>
        <v>991.97</v>
      </c>
      <c r="P30" s="2">
        <f ca="1">goldenOTP_check!P30*P86</f>
        <v>1009.008</v>
      </c>
      <c r="Q30" s="2">
        <f ca="1">goldenOTP_check!Q30*Q86</f>
        <v>1002.474</v>
      </c>
      <c r="R30" s="2">
        <f ca="1">goldenOTP_check!R30*R86</f>
        <v>1009.008</v>
      </c>
      <c r="S30" s="2">
        <f ca="1">goldenOTP_check!S30*S86</f>
        <v>992.48799999999994</v>
      </c>
      <c r="T30" s="2">
        <f ca="1">goldenOTP_check!T30*T86</f>
        <v>977.59199999999998</v>
      </c>
      <c r="U30" s="2">
        <f ca="1">goldenOTP_check!U30*U86</f>
        <v>954.32400000000007</v>
      </c>
      <c r="V30" s="2">
        <f ca="1">goldenOTP_check!V30*V86</f>
        <v>941.08200000000011</v>
      </c>
      <c r="W30" s="2">
        <f ca="1">goldenOTP_check!W30*W86</f>
        <v>927.12600000000009</v>
      </c>
      <c r="X30" s="2">
        <f ca="1">goldenOTP_check!X30*X86</f>
        <v>900.55799999999999</v>
      </c>
      <c r="Y30" s="11">
        <f ca="1">goldenOTP_check!Y30*Y86</f>
        <v>848.88000000000011</v>
      </c>
    </row>
    <row r="31" spans="2:25" x14ac:dyDescent="0.3">
      <c r="B31" s="6">
        <v>28</v>
      </c>
      <c r="C31" s="9">
        <v>1.921</v>
      </c>
      <c r="D31" s="9">
        <v>1.8149999999999999</v>
      </c>
      <c r="E31" s="9">
        <v>1.8169999999999999</v>
      </c>
      <c r="F31" s="9">
        <v>1.7649999999999999</v>
      </c>
      <c r="H31" t="s">
        <v>6</v>
      </c>
      <c r="I31" s="2">
        <f ca="1">goldenOTP_check!I31*I87</f>
        <v>903.55499999999995</v>
      </c>
      <c r="J31" s="2">
        <f ca="1">goldenOTP_check!J31*J87</f>
        <v>925.41399999999999</v>
      </c>
      <c r="K31" s="2">
        <f ca="1">goldenOTP_check!K31*K87</f>
        <v>940.07600000000002</v>
      </c>
      <c r="L31" s="2">
        <f ca="1">goldenOTP_check!L31*L87</f>
        <v>969.87300000000005</v>
      </c>
      <c r="M31" s="2">
        <f ca="1">goldenOTP_check!M31*M87</f>
        <v>1008.468</v>
      </c>
      <c r="N31" s="2">
        <f ca="1">goldenOTP_check!N31*N87</f>
        <v>1024.2239999999999</v>
      </c>
      <c r="O31" s="2">
        <f ca="1">goldenOTP_check!O31*O87</f>
        <v>1046.8700000000001</v>
      </c>
      <c r="P31" s="2">
        <f ca="1">goldenOTP_check!P31*P87</f>
        <v>1049.317</v>
      </c>
      <c r="Q31" s="2">
        <f ca="1">goldenOTP_check!Q31*Q87</f>
        <v>1053.942</v>
      </c>
      <c r="R31" s="2">
        <f ca="1">goldenOTP_check!R31*R87</f>
        <v>1048.0350000000001</v>
      </c>
      <c r="S31" s="2">
        <f ca="1">goldenOTP_check!S31*S87</f>
        <v>1047.4839999999999</v>
      </c>
      <c r="T31" s="2">
        <f ca="1">goldenOTP_check!T31*T87</f>
        <v>1024.788</v>
      </c>
      <c r="U31" s="2">
        <f ca="1">goldenOTP_check!U31*U87</f>
        <v>1010.01</v>
      </c>
      <c r="V31" s="2">
        <f ca="1">goldenOTP_check!V31*V87</f>
        <v>971.23200000000008</v>
      </c>
      <c r="W31" s="2">
        <f ca="1">goldenOTP_check!W31*W87</f>
        <v>943.65800000000002</v>
      </c>
      <c r="X31" s="2">
        <f ca="1">goldenOTP_check!X31*X87</f>
        <v>925.75699999999995</v>
      </c>
      <c r="Y31" s="2">
        <f ca="1">goldenOTP_check!Y31*Y87</f>
        <v>892.78800000000001</v>
      </c>
    </row>
    <row r="32" spans="2:25" x14ac:dyDescent="0.3">
      <c r="B32" s="6">
        <v>29</v>
      </c>
      <c r="C32" s="9">
        <v>2.09</v>
      </c>
      <c r="D32" s="9">
        <v>1.964</v>
      </c>
      <c r="E32" s="9">
        <v>1.9650000000000001</v>
      </c>
      <c r="F32" s="9">
        <v>1.9079999999999999</v>
      </c>
      <c r="I32" s="2">
        <f ca="1">goldenOTP_check!I32*I88</f>
        <v>907.19999999999993</v>
      </c>
      <c r="J32" s="2">
        <f ca="1">goldenOTP_check!J32*J88</f>
        <v>941.63</v>
      </c>
      <c r="K32" s="2">
        <f ca="1">goldenOTP_check!K32*K88</f>
        <v>961.34999999999991</v>
      </c>
      <c r="L32" s="2">
        <f ca="1">goldenOTP_check!L32*L88</f>
        <v>996.11300000000006</v>
      </c>
      <c r="M32" s="2">
        <f ca="1">goldenOTP_check!M32*M88</f>
        <v>1027.2080000000001</v>
      </c>
      <c r="N32" s="2">
        <f ca="1">goldenOTP_check!N32*N88</f>
        <v>1054.595</v>
      </c>
      <c r="O32" s="2">
        <f ca="1">goldenOTP_check!O32*O88</f>
        <v>1059.876</v>
      </c>
      <c r="P32" s="2">
        <f ca="1">goldenOTP_check!P32*P88</f>
        <v>1065.222</v>
      </c>
      <c r="Q32" s="2">
        <f ca="1">goldenOTP_check!Q32*Q88</f>
        <v>1071.252</v>
      </c>
      <c r="R32" s="2">
        <f ca="1">goldenOTP_check!R32*R88</f>
        <v>1068.21</v>
      </c>
      <c r="S32" s="2">
        <f ca="1">goldenOTP_check!S32*S88</f>
        <v>1066.9559999999999</v>
      </c>
      <c r="T32" s="2">
        <f ca="1">goldenOTP_check!T32*T88</f>
        <v>1061.125</v>
      </c>
      <c r="U32" s="2">
        <f ca="1">goldenOTP_check!U32*U88</f>
        <v>1033.018</v>
      </c>
      <c r="V32" s="2">
        <f ca="1">goldenOTP_check!V32*V88</f>
        <v>1000.694</v>
      </c>
      <c r="W32" s="2">
        <f ca="1">goldenOTP_check!W32*W88</f>
        <v>964.00200000000007</v>
      </c>
      <c r="X32" s="2">
        <f ca="1">goldenOTP_check!X32*X88</f>
        <v>940.10199999999998</v>
      </c>
      <c r="Y32" s="2">
        <f ca="1">goldenOTP_check!Y32*Y88</f>
        <v>919.904</v>
      </c>
    </row>
    <row r="33" spans="2:25" x14ac:dyDescent="0.3">
      <c r="B33" s="6">
        <v>30</v>
      </c>
      <c r="C33" s="9">
        <v>2.2890000000000001</v>
      </c>
      <c r="D33" s="9">
        <v>2.1429999999999998</v>
      </c>
      <c r="E33" s="9">
        <v>2.1440000000000001</v>
      </c>
      <c r="F33" s="9">
        <v>2.0819999999999999</v>
      </c>
      <c r="I33" s="2">
        <f ca="1">goldenOTP_check!I33*I89</f>
        <v>912.38</v>
      </c>
      <c r="J33" s="2">
        <f ca="1">goldenOTP_check!J33*J89</f>
        <v>944.38100000000009</v>
      </c>
      <c r="K33" s="2">
        <f ca="1">goldenOTP_check!K33*K89</f>
        <v>981.721</v>
      </c>
      <c r="L33" s="2">
        <f ca="1">goldenOTP_check!L33*L89</f>
        <v>1021.404</v>
      </c>
      <c r="M33" s="2">
        <f ca="1">goldenOTP_check!M33*M89</f>
        <v>1043.6110000000001</v>
      </c>
      <c r="N33" s="2">
        <f ca="1">goldenOTP_check!N33*N89</f>
        <v>1063.5450000000001</v>
      </c>
      <c r="O33" s="2">
        <f ca="1">goldenOTP_check!O33*O89</f>
        <v>1061.848</v>
      </c>
      <c r="P33" s="2">
        <f ca="1">goldenOTP_check!P33*P89</f>
        <v>1070.1120000000001</v>
      </c>
      <c r="Q33" s="2">
        <f ca="1">goldenOTP_check!Q33*Q89</f>
        <v>1073.7160000000001</v>
      </c>
      <c r="R33" s="2">
        <f ca="1">goldenOTP_check!R33*R89</f>
        <v>1074.3719999999998</v>
      </c>
      <c r="S33" s="2">
        <f ca="1">goldenOTP_check!S33*S89</f>
        <v>1071.472</v>
      </c>
      <c r="T33" s="2">
        <f ca="1">goldenOTP_check!T33*T89</f>
        <v>1065.8</v>
      </c>
      <c r="U33" s="2">
        <f ca="1">goldenOTP_check!U33*U89</f>
        <v>1050.7280000000001</v>
      </c>
      <c r="V33" s="2">
        <f ca="1">goldenOTP_check!V33*V89</f>
        <v>1026.48</v>
      </c>
      <c r="W33" s="2">
        <f ca="1">goldenOTP_check!W33*W89</f>
        <v>983.16399999999999</v>
      </c>
      <c r="X33" s="2">
        <f ca="1">goldenOTP_check!X33*X89</f>
        <v>940.69999999999993</v>
      </c>
      <c r="Y33" s="2">
        <f ca="1">goldenOTP_check!Y33*Y89</f>
        <v>919.80000000000007</v>
      </c>
    </row>
    <row r="34" spans="2:25" x14ac:dyDescent="0.3">
      <c r="B34" s="6">
        <v>31</v>
      </c>
      <c r="C34" s="9">
        <v>2.5379999999999998</v>
      </c>
      <c r="D34" s="9">
        <v>2.371</v>
      </c>
      <c r="E34" s="9">
        <v>2.371</v>
      </c>
      <c r="F34" s="9">
        <v>2.2959999999999998</v>
      </c>
      <c r="I34" s="2">
        <f ca="1">goldenOTP_check!I34*I90</f>
        <v>907.13700000000006</v>
      </c>
      <c r="J34" s="2">
        <f ca="1">goldenOTP_check!J34*J90</f>
        <v>957.90400000000011</v>
      </c>
      <c r="K34" s="2">
        <f ca="1">goldenOTP_check!K34*K90</f>
        <v>1004.12</v>
      </c>
      <c r="L34" s="2">
        <f ca="1">goldenOTP_check!L34*L90</f>
        <v>1033.5999999999999</v>
      </c>
      <c r="M34" s="2">
        <f ca="1">goldenOTP_check!M34*M90</f>
        <v>1057.0440000000001</v>
      </c>
      <c r="N34" s="2">
        <f ca="1">goldenOTP_check!N34*N90</f>
        <v>1060.2440000000001</v>
      </c>
      <c r="O34" s="2">
        <f ca="1">goldenOTP_check!O34*O90</f>
        <v>1059.1950000000002</v>
      </c>
      <c r="P34" s="2">
        <f ca="1">goldenOTP_check!P34*P90</f>
        <v>1064.03</v>
      </c>
      <c r="Q34" s="2">
        <f ca="1">goldenOTP_check!Q34*Q90</f>
        <v>1062.2670000000001</v>
      </c>
      <c r="R34" s="2">
        <f ca="1">goldenOTP_check!R34*R90</f>
        <v>1066.835</v>
      </c>
      <c r="S34" s="2">
        <f ca="1">goldenOTP_check!S34*S90</f>
        <v>1063.5899999999999</v>
      </c>
      <c r="T34" s="2">
        <f ca="1">goldenOTP_check!T34*T90</f>
        <v>1065.056</v>
      </c>
      <c r="U34" s="2">
        <f ca="1">goldenOTP_check!U34*U90</f>
        <v>1052.298</v>
      </c>
      <c r="V34" s="2">
        <f ca="1">goldenOTP_check!V34*V90</f>
        <v>1037.248</v>
      </c>
      <c r="W34" s="2">
        <f ca="1">goldenOTP_check!W34*W90</f>
        <v>996.64600000000007</v>
      </c>
      <c r="X34" s="2">
        <f ca="1">goldenOTP_check!X34*X90</f>
        <v>960.08900000000006</v>
      </c>
      <c r="Y34" s="2">
        <f ca="1">goldenOTP_check!Y34*Y90</f>
        <v>903.87000000000012</v>
      </c>
    </row>
    <row r="35" spans="2:25" x14ac:dyDescent="0.3">
      <c r="B35" s="6">
        <v>32</v>
      </c>
      <c r="C35" s="9">
        <v>2.8889999999999998</v>
      </c>
      <c r="D35" s="9">
        <v>2.7</v>
      </c>
      <c r="E35" s="9">
        <v>2.6989999999999998</v>
      </c>
      <c r="F35" s="9">
        <v>2.6040000000000001</v>
      </c>
      <c r="I35" s="2">
        <f ca="1">goldenOTP_check!I35*I91</f>
        <v>921.12</v>
      </c>
      <c r="J35" s="2">
        <f ca="1">goldenOTP_check!J35*J91</f>
        <v>962.17200000000003</v>
      </c>
      <c r="K35" s="2">
        <f ca="1">goldenOTP_check!K35*K91</f>
        <v>995.35199999999998</v>
      </c>
      <c r="L35" s="2">
        <f ca="1">goldenOTP_check!L35*L91</f>
        <v>1032.2280000000001</v>
      </c>
      <c r="M35" s="2">
        <f ca="1">goldenOTP_check!M35*M91</f>
        <v>1055.511</v>
      </c>
      <c r="N35" s="2">
        <f ca="1">goldenOTP_check!N35*N91</f>
        <v>1056.654</v>
      </c>
      <c r="O35" s="2">
        <f ca="1">goldenOTP_check!O35*O91</f>
        <v>1053.4859999999999</v>
      </c>
      <c r="P35" s="2">
        <f ca="1">goldenOTP_check!P35*P91</f>
        <v>1042.056</v>
      </c>
      <c r="Q35" s="2">
        <f ca="1">goldenOTP_check!Q35*Q91</f>
        <v>1033.0319999999999</v>
      </c>
      <c r="R35" s="2">
        <f ca="1">goldenOTP_check!R35*R91</f>
        <v>1044.0239999999999</v>
      </c>
      <c r="S35" s="2">
        <f ca="1">goldenOTP_check!S35*S91</f>
        <v>1057.202</v>
      </c>
      <c r="T35" s="2">
        <f ca="1">goldenOTP_check!T35*T91</f>
        <v>1057.5</v>
      </c>
      <c r="U35" s="2">
        <f ca="1">goldenOTP_check!U35*U91</f>
        <v>1047.7739999999999</v>
      </c>
      <c r="V35" s="2">
        <f ca="1">goldenOTP_check!V35*V91</f>
        <v>1034.136</v>
      </c>
      <c r="W35" s="2">
        <f ca="1">goldenOTP_check!W35*W91</f>
        <v>999.64</v>
      </c>
      <c r="X35" s="2">
        <f ca="1">goldenOTP_check!X35*X91</f>
        <v>965.34299999999985</v>
      </c>
      <c r="Y35" s="2">
        <f ca="1">goldenOTP_check!Y35*Y91</f>
        <v>919.6</v>
      </c>
    </row>
    <row r="36" spans="2:25" x14ac:dyDescent="0.3">
      <c r="B36" s="6">
        <v>33</v>
      </c>
      <c r="C36" s="9">
        <v>3.2690000000000001</v>
      </c>
      <c r="D36" s="9">
        <v>3.0720000000000001</v>
      </c>
      <c r="E36" s="9">
        <v>3.0680000000000001</v>
      </c>
      <c r="F36" s="9">
        <v>2.95</v>
      </c>
      <c r="I36" s="2">
        <f ca="1">goldenOTP_check!I36*I92</f>
        <v>908.33400000000006</v>
      </c>
      <c r="J36" s="2">
        <f ca="1">goldenOTP_check!J36*J92</f>
        <v>964.35900000000004</v>
      </c>
      <c r="K36" s="2">
        <f ca="1">goldenOTP_check!K36*K92</f>
        <v>1001.01</v>
      </c>
      <c r="L36" s="2">
        <f ca="1">goldenOTP_check!L36*L92</f>
        <v>1029.377</v>
      </c>
      <c r="M36" s="2">
        <f ca="1">goldenOTP_check!M36*M92</f>
        <v>1044.5239999999999</v>
      </c>
      <c r="N36" s="2">
        <f ca="1">goldenOTP_check!N36*N92</f>
        <v>1049.4079999999999</v>
      </c>
      <c r="O36" s="2">
        <f ca="1">goldenOTP_check!O36*O92</f>
        <v>1042.4920000000002</v>
      </c>
      <c r="P36" s="2">
        <f ca="1">goldenOTP_check!P36*P92</f>
        <v>1026.0249999999999</v>
      </c>
      <c r="Q36" s="2">
        <f ca="1">goldenOTP_check!Q36*Q92</f>
        <v>1026.069</v>
      </c>
      <c r="R36" s="2">
        <f ca="1">goldenOTP_check!R36*R92</f>
        <v>1030.029</v>
      </c>
      <c r="S36" s="2">
        <f ca="1">goldenOTP_check!S36*S92</f>
        <v>1049.114</v>
      </c>
      <c r="T36" s="2">
        <f ca="1">goldenOTP_check!T36*T92</f>
        <v>1048.1110000000001</v>
      </c>
      <c r="U36" s="2">
        <f ca="1">goldenOTP_check!U36*U92</f>
        <v>1041.52</v>
      </c>
      <c r="V36" s="2">
        <f ca="1">goldenOTP_check!V36*V92</f>
        <v>1033.9059999999999</v>
      </c>
      <c r="W36" s="2">
        <f ca="1">goldenOTP_check!W36*W92</f>
        <v>995.11200000000008</v>
      </c>
      <c r="X36" s="2">
        <f ca="1">goldenOTP_check!X36*X92</f>
        <v>964.81799999999998</v>
      </c>
      <c r="Y36" s="2">
        <f ca="1">goldenOTP_check!Y36*Y92</f>
        <v>902.28600000000006</v>
      </c>
    </row>
    <row r="37" spans="2:25" x14ac:dyDescent="0.3">
      <c r="B37" s="6">
        <v>34</v>
      </c>
      <c r="C37" s="9">
        <v>3.1019999999999999</v>
      </c>
      <c r="D37" s="9">
        <v>2.879</v>
      </c>
      <c r="E37" s="9">
        <v>2.88</v>
      </c>
      <c r="F37" s="9">
        <v>2.778</v>
      </c>
      <c r="I37" s="2">
        <f ca="1">goldenOTP_check!I37*I93</f>
        <v>904.70399999999995</v>
      </c>
      <c r="J37" s="2">
        <f ca="1">goldenOTP_check!J37*J93</f>
        <v>962.625</v>
      </c>
      <c r="K37" s="2">
        <f ca="1">goldenOTP_check!K37*K93</f>
        <v>992.67200000000003</v>
      </c>
      <c r="L37" s="2">
        <f ca="1">goldenOTP_check!L37*L93</f>
        <v>1025.8679999999999</v>
      </c>
      <c r="M37" s="2">
        <f ca="1">goldenOTP_check!M37*M93</f>
        <v>1036.6590000000001</v>
      </c>
      <c r="N37" s="2">
        <f ca="1">goldenOTP_check!N37*N93</f>
        <v>1043.9639999999999</v>
      </c>
      <c r="O37" s="2">
        <f ca="1">goldenOTP_check!O37*O93</f>
        <v>1038.6220000000001</v>
      </c>
      <c r="P37" s="2">
        <f ca="1">goldenOTP_check!P37*P93</f>
        <v>1026.3119999999999</v>
      </c>
      <c r="Q37" s="2">
        <f ca="1">goldenOTP_check!Q37*Q93</f>
        <v>1022.021</v>
      </c>
      <c r="R37" s="2">
        <f ca="1">goldenOTP_check!R37*R93</f>
        <v>1033.2</v>
      </c>
      <c r="S37" s="2">
        <f ca="1">goldenOTP_check!S37*S93</f>
        <v>1043.913</v>
      </c>
      <c r="T37" s="2">
        <f ca="1">goldenOTP_check!T37*T93</f>
        <v>1047.886</v>
      </c>
      <c r="U37" s="2">
        <f ca="1">goldenOTP_check!U37*U93</f>
        <v>1046.2919999999999</v>
      </c>
      <c r="V37" s="2">
        <f ca="1">goldenOTP_check!V37*V93</f>
        <v>1023.1200000000001</v>
      </c>
      <c r="W37" s="2">
        <f ca="1">goldenOTP_check!W37*W93</f>
        <v>996.96</v>
      </c>
      <c r="X37" s="2">
        <f ca="1">goldenOTP_check!X37*X93</f>
        <v>949.76</v>
      </c>
      <c r="Y37" s="2">
        <f ca="1">goldenOTP_check!Y37*Y93</f>
        <v>898.34800000000007</v>
      </c>
    </row>
    <row r="38" spans="2:25" x14ac:dyDescent="0.3">
      <c r="B38" s="6">
        <v>35</v>
      </c>
      <c r="C38" s="9">
        <v>2.6509999999999998</v>
      </c>
      <c r="D38" s="9">
        <v>2.464</v>
      </c>
      <c r="E38" s="9">
        <v>2.4649999999999999</v>
      </c>
      <c r="F38" s="9">
        <v>2.3839999999999999</v>
      </c>
      <c r="I38" s="2">
        <f ca="1">goldenOTP_check!I38*I94</f>
        <v>909.67799999999988</v>
      </c>
      <c r="J38" s="2">
        <f ca="1">goldenOTP_check!J38*J94</f>
        <v>960.08900000000006</v>
      </c>
      <c r="K38" s="2">
        <f ca="1">goldenOTP_check!K38*K94</f>
        <v>991.50599999999997</v>
      </c>
      <c r="L38" s="2">
        <f ca="1">goldenOTP_check!L38*L94</f>
        <v>1019.0699999999999</v>
      </c>
      <c r="M38" s="2">
        <f ca="1">goldenOTP_check!M38*M94</f>
        <v>1038.258</v>
      </c>
      <c r="N38" s="2">
        <f ca="1">goldenOTP_check!N38*N94</f>
        <v>1039.576</v>
      </c>
      <c r="O38" s="2">
        <f ca="1">goldenOTP_check!O38*O94</f>
        <v>1039.1860000000001</v>
      </c>
      <c r="P38" s="2">
        <f ca="1">goldenOTP_check!P38*P94</f>
        <v>1032.837</v>
      </c>
      <c r="Q38" s="2">
        <f ca="1">goldenOTP_check!Q38*Q94</f>
        <v>1036.816</v>
      </c>
      <c r="R38" s="2">
        <f ca="1">goldenOTP_check!R38*R94</f>
        <v>1035.606</v>
      </c>
      <c r="S38" s="2">
        <f ca="1">goldenOTP_check!S38*S94</f>
        <v>1044.43</v>
      </c>
      <c r="T38" s="2">
        <f ca="1">goldenOTP_check!T38*T94</f>
        <v>1040.165</v>
      </c>
      <c r="U38" s="2">
        <f ca="1">goldenOTP_check!U38*U94</f>
        <v>1038.53</v>
      </c>
      <c r="V38" s="2">
        <f ca="1">goldenOTP_check!V38*V94</f>
        <v>1025.0999999999999</v>
      </c>
      <c r="W38" s="2">
        <f ca="1">goldenOTP_check!W38*W94</f>
        <v>984.40599999999995</v>
      </c>
      <c r="X38" s="2">
        <f ca="1">goldenOTP_check!X38*X94</f>
        <v>945.61400000000003</v>
      </c>
      <c r="Y38" s="2">
        <f ca="1">goldenOTP_check!Y38*Y94</f>
        <v>908.12</v>
      </c>
    </row>
    <row r="39" spans="2:25" x14ac:dyDescent="0.3">
      <c r="B39" s="6">
        <v>36</v>
      </c>
      <c r="C39" s="9">
        <v>2.331</v>
      </c>
      <c r="D39" s="9">
        <v>2.1739999999999999</v>
      </c>
      <c r="E39" s="9">
        <v>2.1749999999999998</v>
      </c>
      <c r="F39" s="9">
        <v>2.1110000000000002</v>
      </c>
      <c r="I39" s="2">
        <f ca="1">goldenOTP_check!I39*I95</f>
        <v>883.39499999999998</v>
      </c>
      <c r="J39" s="2">
        <f ca="1">goldenOTP_check!J39*J95</f>
        <v>939.88200000000006</v>
      </c>
      <c r="K39" s="2">
        <f ca="1">goldenOTP_check!K39*K95</f>
        <v>967.70799999999997</v>
      </c>
      <c r="L39" s="2">
        <f ca="1">goldenOTP_check!L39*L95</f>
        <v>1007.318</v>
      </c>
      <c r="M39" s="2">
        <f ca="1">goldenOTP_check!M39*M95</f>
        <v>1026.241</v>
      </c>
      <c r="N39" s="2">
        <f ca="1">goldenOTP_check!N39*N95</f>
        <v>1036.0440000000001</v>
      </c>
      <c r="O39" s="2">
        <f ca="1">goldenOTP_check!O39*O95</f>
        <v>1038.78</v>
      </c>
      <c r="P39" s="2">
        <f ca="1">goldenOTP_check!P39*P95</f>
        <v>1036.953</v>
      </c>
      <c r="Q39" s="2">
        <f ca="1">goldenOTP_check!Q39*Q95</f>
        <v>1036.1130000000001</v>
      </c>
      <c r="R39" s="2">
        <f ca="1">goldenOTP_check!R39*R95</f>
        <v>1036.1120000000001</v>
      </c>
      <c r="S39" s="2">
        <f ca="1">goldenOTP_check!S39*S95</f>
        <v>1031.4639999999999</v>
      </c>
      <c r="T39" s="2">
        <f ca="1">goldenOTP_check!T39*T95</f>
        <v>1026.732</v>
      </c>
      <c r="U39" s="2">
        <f ca="1">goldenOTP_check!U39*U95</f>
        <v>1016.9639999999999</v>
      </c>
      <c r="V39" s="2">
        <f ca="1">goldenOTP_check!V39*V95</f>
        <v>998.16499999999996</v>
      </c>
      <c r="W39" s="2">
        <f ca="1">goldenOTP_check!W39*W95</f>
        <v>970.56400000000008</v>
      </c>
      <c r="X39" s="2">
        <f ca="1">goldenOTP_check!X39*X95</f>
        <v>930.00800000000004</v>
      </c>
      <c r="Y39" s="2">
        <f ca="1">goldenOTP_check!Y39*Y95</f>
        <v>909.42000000000007</v>
      </c>
    </row>
    <row r="40" spans="2:25" x14ac:dyDescent="0.3">
      <c r="B40" s="6">
        <v>37</v>
      </c>
      <c r="C40" s="9">
        <v>2.0880000000000001</v>
      </c>
      <c r="D40" s="9">
        <v>1.9550000000000001</v>
      </c>
      <c r="E40" s="9">
        <v>1.9570000000000001</v>
      </c>
      <c r="F40" s="9">
        <v>1.9019999999999999</v>
      </c>
      <c r="I40" s="2">
        <f ca="1">goldenOTP_check!I40*I96</f>
        <v>907.88799999999992</v>
      </c>
      <c r="J40" s="2">
        <f ca="1">goldenOTP_check!J40*J96</f>
        <v>925.7120000000001</v>
      </c>
      <c r="K40" s="2">
        <f ca="1">goldenOTP_check!K40*K96</f>
        <v>950.91200000000003</v>
      </c>
      <c r="L40" s="2">
        <f ca="1">goldenOTP_check!L40*L96</f>
        <v>981.35300000000007</v>
      </c>
      <c r="M40" s="2">
        <f ca="1">goldenOTP_check!M40*M96</f>
        <v>1001.4899999999999</v>
      </c>
      <c r="N40" s="2">
        <f ca="1">goldenOTP_check!N40*N96</f>
        <v>1025.6000000000001</v>
      </c>
      <c r="O40" s="2">
        <f ca="1">goldenOTP_check!O40*O96</f>
        <v>1030.8630000000001</v>
      </c>
      <c r="P40" s="2">
        <f ca="1">goldenOTP_check!P40*P96</f>
        <v>1029.7350000000001</v>
      </c>
      <c r="Q40" s="2">
        <f ca="1">goldenOTP_check!Q40*Q96</f>
        <v>1026.3780000000002</v>
      </c>
      <c r="R40" s="2">
        <f ca="1">goldenOTP_check!R40*R96</f>
        <v>1029</v>
      </c>
      <c r="S40" s="2">
        <f ca="1">goldenOTP_check!S40*S96</f>
        <v>1029.4690000000001</v>
      </c>
      <c r="T40" s="2">
        <f ca="1">goldenOTP_check!T40*T96</f>
        <v>1017.6</v>
      </c>
      <c r="U40" s="2">
        <f ca="1">goldenOTP_check!U40*U96</f>
        <v>1000.92</v>
      </c>
      <c r="V40" s="2">
        <f ca="1">goldenOTP_check!V40*V96</f>
        <v>972.096</v>
      </c>
      <c r="W40" s="2">
        <f ca="1">goldenOTP_check!W40*W96</f>
        <v>937.42499999999995</v>
      </c>
      <c r="X40" s="2">
        <f ca="1">goldenOTP_check!X40*X96</f>
        <v>910.19999999999993</v>
      </c>
      <c r="Y40" s="2">
        <f ca="1">goldenOTP_check!Y40*Y96</f>
        <v>910.42600000000004</v>
      </c>
    </row>
    <row r="41" spans="2:25" x14ac:dyDescent="0.3">
      <c r="B41" s="6">
        <v>38</v>
      </c>
      <c r="C41" s="9">
        <v>1.8740000000000001</v>
      </c>
      <c r="D41" s="9">
        <v>1.766</v>
      </c>
      <c r="E41" s="9">
        <v>1.768</v>
      </c>
      <c r="F41" s="9">
        <v>1.7190000000000001</v>
      </c>
      <c r="I41" s="2">
        <f ca="1">goldenOTP_check!I41*I97</f>
        <v>916.50400000000002</v>
      </c>
      <c r="J41" s="2">
        <f ca="1">goldenOTP_check!J41*J97</f>
        <v>912.59600000000012</v>
      </c>
      <c r="K41" s="2">
        <f ca="1">goldenOTP_check!K41*K97</f>
        <v>931.803</v>
      </c>
      <c r="L41" s="2">
        <f ca="1">goldenOTP_check!L41*L97</f>
        <v>947.2059999999999</v>
      </c>
      <c r="M41" s="2">
        <f ca="1">goldenOTP_check!M41*M97</f>
        <v>973.59</v>
      </c>
      <c r="N41" s="2">
        <f ca="1">goldenOTP_check!N41*N97</f>
        <v>995.4</v>
      </c>
      <c r="O41" s="2">
        <f ca="1">goldenOTP_check!O41*O97</f>
        <v>1007.736</v>
      </c>
      <c r="P41" s="2">
        <f ca="1">goldenOTP_check!P41*P97</f>
        <v>1019.34</v>
      </c>
      <c r="Q41" s="2">
        <f ca="1">goldenOTP_check!Q41*Q97</f>
        <v>1015.056</v>
      </c>
      <c r="R41" s="2">
        <f ca="1">goldenOTP_check!R41*R97</f>
        <v>1022.49</v>
      </c>
      <c r="S41" s="2">
        <f ca="1">goldenOTP_check!S41*S97</f>
        <v>1014.303</v>
      </c>
      <c r="T41" s="2">
        <f ca="1">goldenOTP_check!T41*T97</f>
        <v>1001.4829999999999</v>
      </c>
      <c r="U41" s="2">
        <f ca="1">goldenOTP_check!U41*U97</f>
        <v>976.07999999999993</v>
      </c>
      <c r="V41" s="2">
        <f ca="1">goldenOTP_check!V41*V97</f>
        <v>946.322</v>
      </c>
      <c r="W41" s="2">
        <f ca="1">goldenOTP_check!W41*W97</f>
        <v>912.54600000000005</v>
      </c>
      <c r="X41" s="2">
        <f ca="1">goldenOTP_check!X41*X97</f>
        <v>904.50800000000004</v>
      </c>
      <c r="Y41" s="2">
        <f ca="1">goldenOTP_check!Y41*Y97</f>
        <v>899.803</v>
      </c>
    </row>
    <row r="42" spans="2:25" x14ac:dyDescent="0.3">
      <c r="B42" s="6">
        <v>39</v>
      </c>
      <c r="C42" s="9">
        <v>1.698</v>
      </c>
      <c r="D42" s="9">
        <v>1.6120000000000001</v>
      </c>
      <c r="E42" s="9">
        <v>1.615</v>
      </c>
      <c r="F42" s="9">
        <v>1.569</v>
      </c>
      <c r="I42" s="11">
        <f ca="1">goldenOTP_check!I42*I98</f>
        <v>911.91500000000008</v>
      </c>
      <c r="J42" s="2">
        <f ca="1">goldenOTP_check!J42*J98</f>
        <v>908.1</v>
      </c>
      <c r="K42" s="2">
        <f ca="1">goldenOTP_check!K42*K98</f>
        <v>908.42400000000009</v>
      </c>
      <c r="L42" s="2">
        <f ca="1">goldenOTP_check!L42*L98</f>
        <v>914.221</v>
      </c>
      <c r="M42" s="2">
        <f ca="1">goldenOTP_check!M42*M98</f>
        <v>950.35500000000002</v>
      </c>
      <c r="N42" s="2">
        <f ca="1">goldenOTP_check!N42*N98</f>
        <v>951.19999999999993</v>
      </c>
      <c r="O42" s="2">
        <f ca="1">goldenOTP_check!O42*O98</f>
        <v>969.43500000000006</v>
      </c>
      <c r="P42" s="2">
        <f ca="1">goldenOTP_check!P42*P98</f>
        <v>970.84</v>
      </c>
      <c r="Q42" s="2">
        <f ca="1">goldenOTP_check!Q42*Q98</f>
        <v>984.45100000000002</v>
      </c>
      <c r="R42" s="2">
        <f ca="1">goldenOTP_check!R42*R98</f>
        <v>975.52</v>
      </c>
      <c r="S42" s="2">
        <f ca="1">goldenOTP_check!S42*S98</f>
        <v>979.45500000000004</v>
      </c>
      <c r="T42" s="2">
        <f ca="1">goldenOTP_check!T42*T98</f>
        <v>960.4799999999999</v>
      </c>
      <c r="U42" s="2">
        <f ca="1">goldenOTP_check!U42*U98</f>
        <v>940.00800000000004</v>
      </c>
      <c r="V42" s="2">
        <f ca="1">goldenOTP_check!V42*V98</f>
        <v>913.83800000000008</v>
      </c>
      <c r="W42" s="2">
        <f ca="1">goldenOTP_check!W42*W98</f>
        <v>906.89200000000005</v>
      </c>
      <c r="X42" s="2">
        <f ca="1">goldenOTP_check!X42*X98</f>
        <v>886.8</v>
      </c>
      <c r="Y42" s="11">
        <f ca="1">goldenOTP_check!Y42*Y98</f>
        <v>852.72</v>
      </c>
    </row>
    <row r="43" spans="2:25" x14ac:dyDescent="0.3">
      <c r="B43" s="6">
        <v>40</v>
      </c>
      <c r="C43" s="9">
        <v>1.5629999999999999</v>
      </c>
      <c r="D43" s="9">
        <v>1.4950000000000001</v>
      </c>
      <c r="E43" s="9">
        <v>1.4970000000000001</v>
      </c>
      <c r="F43" s="9">
        <v>1.458</v>
      </c>
    </row>
    <row r="44" spans="2:25" x14ac:dyDescent="0.3">
      <c r="B44" s="6">
        <v>41</v>
      </c>
      <c r="C44" s="9">
        <v>1.4790000000000001</v>
      </c>
      <c r="D44" s="9">
        <v>1.4239999999999999</v>
      </c>
      <c r="E44" s="9">
        <v>1.4259999999999999</v>
      </c>
      <c r="F44" s="9">
        <v>1.3939999999999999</v>
      </c>
      <c r="H44" t="s">
        <v>3</v>
      </c>
      <c r="I44" s="12">
        <f ca="1">goldenOTP_check!I44*I100</f>
        <v>825.47500000000002</v>
      </c>
      <c r="J44" s="4">
        <f ca="1">goldenOTP_check!J44*J100</f>
        <v>876.0870000000001</v>
      </c>
      <c r="K44" s="4">
        <f ca="1">goldenOTP_check!K44*K100</f>
        <v>881.76</v>
      </c>
      <c r="L44" s="4">
        <f ca="1">goldenOTP_check!L44*L100</f>
        <v>922.70399999999995</v>
      </c>
      <c r="M44" s="4">
        <f ca="1">goldenOTP_check!M44*M100</f>
        <v>944.39399999999989</v>
      </c>
      <c r="N44" s="4">
        <f ca="1">goldenOTP_check!N44*N100</f>
        <v>933.96600000000001</v>
      </c>
      <c r="O44" s="4">
        <f ca="1">goldenOTP_check!O44*O100</f>
        <v>970.16499999999996</v>
      </c>
      <c r="P44" s="4">
        <f ca="1">goldenOTP_check!P44*P100</f>
        <v>977.88599999999997</v>
      </c>
      <c r="Q44" s="4">
        <f ca="1">goldenOTP_check!Q44*Q100</f>
        <v>986.447</v>
      </c>
      <c r="R44" s="4">
        <f ca="1">goldenOTP_check!R44*R100</f>
        <v>978.97799999999995</v>
      </c>
      <c r="S44" s="4">
        <f ca="1">goldenOTP_check!S44*S100</f>
        <v>971.73400000000004</v>
      </c>
      <c r="T44" s="4">
        <f ca="1">goldenOTP_check!T44*T100</f>
        <v>933.96600000000001</v>
      </c>
      <c r="U44" s="4">
        <f ca="1">goldenOTP_check!U44*U100</f>
        <v>942.58999999999992</v>
      </c>
      <c r="V44" s="4">
        <f ca="1">goldenOTP_check!V44*V100</f>
        <v>889.25800000000004</v>
      </c>
      <c r="W44" s="4">
        <f ca="1">goldenOTP_check!W44*W100</f>
        <v>885.98399999999992</v>
      </c>
      <c r="X44" s="4">
        <f ca="1">goldenOTP_check!X44*X100</f>
        <v>876.39800000000002</v>
      </c>
      <c r="Y44" s="12">
        <f ca="1">goldenOTP_check!Y44*Y100</f>
        <v>820.17500000000007</v>
      </c>
    </row>
    <row r="45" spans="2:25" x14ac:dyDescent="0.3">
      <c r="B45" s="6">
        <v>42</v>
      </c>
      <c r="C45" s="9">
        <v>1.4530000000000001</v>
      </c>
      <c r="D45" s="9">
        <v>1.403</v>
      </c>
      <c r="E45" s="9">
        <v>1.4039999999999999</v>
      </c>
      <c r="F45" s="9">
        <v>1.3759999999999999</v>
      </c>
      <c r="H45" t="s">
        <v>6</v>
      </c>
      <c r="I45" s="4">
        <f ca="1">goldenOTP_check!I45*I101</f>
        <v>882.37599999999998</v>
      </c>
      <c r="J45" s="4">
        <f ca="1">goldenOTP_check!J45*J101</f>
        <v>884.8950000000001</v>
      </c>
      <c r="K45" s="4">
        <f ca="1">goldenOTP_check!K45*K101</f>
        <v>907.83800000000008</v>
      </c>
      <c r="L45" s="4">
        <f ca="1">goldenOTP_check!L45*L101</f>
        <v>942.76</v>
      </c>
      <c r="M45" s="4">
        <f ca="1">goldenOTP_check!M45*M101</f>
        <v>973.82399999999996</v>
      </c>
      <c r="N45" s="4">
        <f ca="1">goldenOTP_check!N45*N101</f>
        <v>1000.816</v>
      </c>
      <c r="O45" s="4">
        <f ca="1">goldenOTP_check!O45*O101</f>
        <v>1016.784</v>
      </c>
      <c r="P45" s="4">
        <f ca="1">goldenOTP_check!P45*P101</f>
        <v>1015.378</v>
      </c>
      <c r="Q45" s="4">
        <f ca="1">goldenOTP_check!Q45*Q101</f>
        <v>1020.6</v>
      </c>
      <c r="R45" s="4">
        <f ca="1">goldenOTP_check!R45*R101</f>
        <v>1015.378</v>
      </c>
      <c r="S45" s="4">
        <f ca="1">goldenOTP_check!S45*S101</f>
        <v>1019.2399999999999</v>
      </c>
      <c r="T45" s="4">
        <f ca="1">goldenOTP_check!T45*T101</f>
        <v>1002.52</v>
      </c>
      <c r="U45" s="4">
        <f ca="1">goldenOTP_check!U45*U101</f>
        <v>976.89599999999996</v>
      </c>
      <c r="V45" s="4">
        <f ca="1">goldenOTP_check!V45*V101</f>
        <v>947.31</v>
      </c>
      <c r="W45" s="4">
        <f ca="1">goldenOTP_check!W45*W101</f>
        <v>913.80799999999988</v>
      </c>
      <c r="X45" s="4">
        <f ca="1">goldenOTP_check!X45*X101</f>
        <v>887.96400000000006</v>
      </c>
      <c r="Y45" s="4">
        <f ca="1">goldenOTP_check!Y45*Y101</f>
        <v>873.2</v>
      </c>
    </row>
    <row r="46" spans="2:25" x14ac:dyDescent="0.3">
      <c r="B46" s="6">
        <v>43</v>
      </c>
      <c r="C46" s="9">
        <v>1.4810000000000001</v>
      </c>
      <c r="D46" s="9">
        <v>1.429</v>
      </c>
      <c r="E46" s="9">
        <v>1.43</v>
      </c>
      <c r="F46" s="9">
        <v>1.3979999999999999</v>
      </c>
      <c r="I46" s="4">
        <f ca="1">goldenOTP_check!I46*I102</f>
        <v>872.29200000000003</v>
      </c>
      <c r="J46" s="4">
        <f ca="1">goldenOTP_check!J46*J102</f>
        <v>894</v>
      </c>
      <c r="K46" s="4">
        <f ca="1">goldenOTP_check!K46*K102</f>
        <v>935.17300000000012</v>
      </c>
      <c r="L46" s="4">
        <f ca="1">goldenOTP_check!L46*L102</f>
        <v>973.82399999999996</v>
      </c>
      <c r="M46" s="4">
        <f ca="1">goldenOTP_check!M46*M102</f>
        <v>997.0200000000001</v>
      </c>
      <c r="N46" s="4">
        <f ca="1">goldenOTP_check!N46*N102</f>
        <v>1016.712</v>
      </c>
      <c r="O46" s="4">
        <f ca="1">goldenOTP_check!O46*O102</f>
        <v>1027.8899999999999</v>
      </c>
      <c r="P46" s="4">
        <f ca="1">goldenOTP_check!P46*P102</f>
        <v>1045.5</v>
      </c>
      <c r="Q46" s="4">
        <f ca="1">goldenOTP_check!Q46*Q102</f>
        <v>1048.5119999999999</v>
      </c>
      <c r="R46" s="4">
        <f ca="1">goldenOTP_check!R46*R102</f>
        <v>1048.5</v>
      </c>
      <c r="S46" s="4">
        <f ca="1">goldenOTP_check!S46*S102</f>
        <v>1035.645</v>
      </c>
      <c r="T46" s="4">
        <f ca="1">goldenOTP_check!T46*T102</f>
        <v>1024.4880000000001</v>
      </c>
      <c r="U46" s="4">
        <f ca="1">goldenOTP_check!U46*U102</f>
        <v>1004.56</v>
      </c>
      <c r="V46" s="4">
        <f ca="1">goldenOTP_check!V46*V102</f>
        <v>982.52800000000002</v>
      </c>
      <c r="W46" s="4">
        <f ca="1">goldenOTP_check!W46*W102</f>
        <v>941.81799999999998</v>
      </c>
      <c r="X46" s="4">
        <f ca="1">goldenOTP_check!X46*X102</f>
        <v>896.25</v>
      </c>
      <c r="Y46" s="4">
        <f ca="1">goldenOTP_check!Y46*Y102</f>
        <v>864.12799999999993</v>
      </c>
    </row>
    <row r="47" spans="2:25" x14ac:dyDescent="0.3">
      <c r="B47" s="6">
        <v>44</v>
      </c>
      <c r="C47" s="9">
        <v>1.57</v>
      </c>
      <c r="D47" s="9">
        <v>1.506</v>
      </c>
      <c r="E47" s="9">
        <v>1.5069999999999999</v>
      </c>
      <c r="F47" s="9">
        <v>1.4690000000000001</v>
      </c>
      <c r="I47" s="4">
        <f ca="1">goldenOTP_check!I47*I103</f>
        <v>899.024</v>
      </c>
      <c r="J47" s="4">
        <f ca="1">goldenOTP_check!J47*J103</f>
        <v>916.56900000000007</v>
      </c>
      <c r="K47" s="4">
        <f ca="1">goldenOTP_check!K47*K103</f>
        <v>970.66500000000008</v>
      </c>
      <c r="L47" s="4">
        <f ca="1">goldenOTP_check!L47*L103</f>
        <v>1000.2479999999999</v>
      </c>
      <c r="M47" s="4">
        <f ca="1">goldenOTP_check!M47*M103</f>
        <v>1015.4159999999999</v>
      </c>
      <c r="N47" s="4">
        <f ca="1">goldenOTP_check!N47*N103</f>
        <v>1039.7729999999999</v>
      </c>
      <c r="O47" s="4">
        <f ca="1">goldenOTP_check!O47*O103</f>
        <v>1041.837</v>
      </c>
      <c r="P47" s="4">
        <f ca="1">goldenOTP_check!P47*P103</f>
        <v>1050.0430000000001</v>
      </c>
      <c r="Q47" s="4">
        <f ca="1">goldenOTP_check!Q47*Q103</f>
        <v>1051.4880000000001</v>
      </c>
      <c r="R47" s="4">
        <f ca="1">goldenOTP_check!R47*R103</f>
        <v>1055.1610000000001</v>
      </c>
      <c r="S47" s="4">
        <f ca="1">goldenOTP_check!S47*S103</f>
        <v>1053.135</v>
      </c>
      <c r="T47" s="4">
        <f ca="1">goldenOTP_check!T47*T103</f>
        <v>1034.521</v>
      </c>
      <c r="U47" s="4">
        <f ca="1">goldenOTP_check!U47*U103</f>
        <v>1027.08</v>
      </c>
      <c r="V47" s="4">
        <f ca="1">goldenOTP_check!V47*V103</f>
        <v>991.46</v>
      </c>
      <c r="W47" s="4">
        <f ca="1">goldenOTP_check!W47*W103</f>
        <v>953.52300000000002</v>
      </c>
      <c r="X47" s="4">
        <f ca="1">goldenOTP_check!X47*X103</f>
        <v>917.79600000000005</v>
      </c>
      <c r="Y47" s="4">
        <f ca="1">goldenOTP_check!Y47*Y103</f>
        <v>890.64800000000002</v>
      </c>
    </row>
    <row r="48" spans="2:25" x14ac:dyDescent="0.3">
      <c r="B48" s="6">
        <v>45</v>
      </c>
      <c r="C48" s="9">
        <v>1.7030000000000001</v>
      </c>
      <c r="D48" s="9">
        <v>1.6240000000000001</v>
      </c>
      <c r="E48" s="9">
        <v>1.625</v>
      </c>
      <c r="F48" s="9">
        <v>1.581</v>
      </c>
      <c r="I48" s="4">
        <f ca="1">goldenOTP_check!I48*I104</f>
        <v>900.41700000000003</v>
      </c>
      <c r="J48" s="4">
        <f ca="1">goldenOTP_check!J48*J104</f>
        <v>922.31999999999994</v>
      </c>
      <c r="K48" s="4">
        <f ca="1">goldenOTP_check!K48*K104</f>
        <v>964.096</v>
      </c>
      <c r="L48" s="4">
        <f ca="1">goldenOTP_check!L48*L104</f>
        <v>1017.398</v>
      </c>
      <c r="M48" s="4">
        <f ca="1">goldenOTP_check!M48*M104</f>
        <v>1025.07</v>
      </c>
      <c r="N48" s="4">
        <f ca="1">goldenOTP_check!N48*N104</f>
        <v>1040.223</v>
      </c>
      <c r="O48" s="4">
        <f ca="1">goldenOTP_check!O48*O104</f>
        <v>1044.886</v>
      </c>
      <c r="P48" s="4">
        <f ca="1">goldenOTP_check!P48*P104</f>
        <v>1042.9079999999999</v>
      </c>
      <c r="Q48" s="4">
        <f ca="1">goldenOTP_check!Q48*Q104</f>
        <v>1052.4100000000001</v>
      </c>
      <c r="R48" s="4">
        <f ca="1">goldenOTP_check!R48*R104</f>
        <v>1045.7040000000002</v>
      </c>
      <c r="S48" s="4">
        <f ca="1">goldenOTP_check!S48*S104</f>
        <v>1050.2079999999999</v>
      </c>
      <c r="T48" s="4">
        <f ca="1">goldenOTP_check!T48*T104</f>
        <v>1046.6789999999999</v>
      </c>
      <c r="U48" s="4">
        <f ca="1">goldenOTP_check!U48*U104</f>
        <v>1033.53</v>
      </c>
      <c r="V48" s="4">
        <f ca="1">goldenOTP_check!V48*V104</f>
        <v>1005.3399999999999</v>
      </c>
      <c r="W48" s="4">
        <f ca="1">goldenOTP_check!W48*W104</f>
        <v>972.8</v>
      </c>
      <c r="X48" s="4">
        <f ca="1">goldenOTP_check!X48*X104</f>
        <v>928.36800000000005</v>
      </c>
      <c r="Y48" s="4">
        <f ca="1">goldenOTP_check!Y48*Y104</f>
        <v>900.41700000000003</v>
      </c>
    </row>
    <row r="49" spans="2:25" x14ac:dyDescent="0.3">
      <c r="B49" s="6">
        <v>46</v>
      </c>
      <c r="C49" s="9">
        <v>1.8779999999999999</v>
      </c>
      <c r="D49" s="9">
        <v>1.7769999999999999</v>
      </c>
      <c r="E49" s="9">
        <v>1.778</v>
      </c>
      <c r="F49" s="9">
        <v>1.732</v>
      </c>
      <c r="I49" s="4">
        <f ca="1">goldenOTP_check!I49*I105</f>
        <v>891.029</v>
      </c>
      <c r="J49" s="4">
        <f ca="1">goldenOTP_check!J49*J105</f>
        <v>940.94</v>
      </c>
      <c r="K49" s="4">
        <f ca="1">goldenOTP_check!K49*K105</f>
        <v>968.14199999999994</v>
      </c>
      <c r="L49" s="4">
        <f ca="1">goldenOTP_check!L49*L105</f>
        <v>1009.645</v>
      </c>
      <c r="M49" s="4">
        <f ca="1">goldenOTP_check!M49*M105</f>
        <v>1037.25</v>
      </c>
      <c r="N49" s="4">
        <f ca="1">goldenOTP_check!N49*N105</f>
        <v>1044.9250000000002</v>
      </c>
      <c r="O49" s="4">
        <f ca="1">goldenOTP_check!O49*O105</f>
        <v>1041.0440000000001</v>
      </c>
      <c r="P49" s="4">
        <f ca="1">goldenOTP_check!P49*P105</f>
        <v>1037.461</v>
      </c>
      <c r="Q49" s="4">
        <f ca="1">goldenOTP_check!Q49*Q105</f>
        <v>1027</v>
      </c>
      <c r="R49" s="4">
        <f ca="1">goldenOTP_check!R49*R105</f>
        <v>1040.4280000000001</v>
      </c>
      <c r="S49" s="4">
        <f ca="1">goldenOTP_check!S49*S105</f>
        <v>1043.8400000000001</v>
      </c>
      <c r="T49" s="4">
        <f ca="1">goldenOTP_check!T49*T105</f>
        <v>1032.748</v>
      </c>
      <c r="U49" s="4">
        <f ca="1">goldenOTP_check!U49*U105</f>
        <v>1026.471</v>
      </c>
      <c r="V49" s="4">
        <f ca="1">goldenOTP_check!V49*V105</f>
        <v>1017.289</v>
      </c>
      <c r="W49" s="4">
        <f ca="1">goldenOTP_check!W49*W105</f>
        <v>977.75400000000002</v>
      </c>
      <c r="X49" s="4">
        <f ca="1">goldenOTP_check!X49*X105</f>
        <v>924.98400000000004</v>
      </c>
      <c r="Y49" s="4">
        <f ca="1">goldenOTP_check!Y49*Y105</f>
        <v>905.79500000000007</v>
      </c>
    </row>
    <row r="50" spans="2:25" x14ac:dyDescent="0.3">
      <c r="B50" s="6">
        <v>47</v>
      </c>
      <c r="C50" s="9">
        <v>2.09</v>
      </c>
      <c r="D50" s="9">
        <v>1.9670000000000001</v>
      </c>
      <c r="E50" s="9">
        <v>1.966</v>
      </c>
      <c r="F50" s="9">
        <v>1.919</v>
      </c>
      <c r="I50" s="4">
        <f ca="1">goldenOTP_check!I50*I106</f>
        <v>884.96500000000003</v>
      </c>
      <c r="J50" s="4">
        <f ca="1">goldenOTP_check!J50*J106</f>
        <v>930.93</v>
      </c>
      <c r="K50" s="4">
        <f ca="1">goldenOTP_check!K50*K106</f>
        <v>975.702</v>
      </c>
      <c r="L50" s="4">
        <f ca="1">goldenOTP_check!L50*L106</f>
        <v>1008.9359999999999</v>
      </c>
      <c r="M50" s="4">
        <f ca="1">goldenOTP_check!M50*M106</f>
        <v>1030.2240000000002</v>
      </c>
      <c r="N50" s="4">
        <f ca="1">goldenOTP_check!N50*N106</f>
        <v>1034.2080000000001</v>
      </c>
      <c r="O50" s="4">
        <f ca="1">goldenOTP_check!O50*O106</f>
        <v>1026.9269999999999</v>
      </c>
      <c r="P50" s="4">
        <f ca="1">goldenOTP_check!P50*P106</f>
        <v>1022</v>
      </c>
      <c r="Q50" s="4">
        <f ca="1">goldenOTP_check!Q50*Q106</f>
        <v>1029.1379999999999</v>
      </c>
      <c r="R50" s="4">
        <f ca="1">goldenOTP_check!R50*R106</f>
        <v>1025</v>
      </c>
      <c r="S50" s="4">
        <f ca="1">goldenOTP_check!S50*S106</f>
        <v>1034.471</v>
      </c>
      <c r="T50" s="4">
        <f ca="1">goldenOTP_check!T50*T106</f>
        <v>1042.848</v>
      </c>
      <c r="U50" s="4">
        <f ca="1">goldenOTP_check!U50*U106</f>
        <v>1023.75</v>
      </c>
      <c r="V50" s="4">
        <f ca="1">goldenOTP_check!V50*V106</f>
        <v>1018.6560000000001</v>
      </c>
      <c r="W50" s="4">
        <f ca="1">goldenOTP_check!W50*W106</f>
        <v>983.89200000000005</v>
      </c>
      <c r="X50" s="4">
        <f ca="1">goldenOTP_check!X50*X106</f>
        <v>936.38999999999987</v>
      </c>
      <c r="Y50" s="4">
        <f ca="1">goldenOTP_check!Y50*Y106</f>
        <v>883.44899999999996</v>
      </c>
    </row>
    <row r="51" spans="2:25" x14ac:dyDescent="0.3">
      <c r="B51" s="6">
        <v>48</v>
      </c>
      <c r="C51" s="9">
        <v>2.3260000000000001</v>
      </c>
      <c r="D51" s="9">
        <v>2.1829999999999998</v>
      </c>
      <c r="E51" s="9">
        <v>2.181</v>
      </c>
      <c r="F51" s="9">
        <v>2.1259999999999999</v>
      </c>
      <c r="I51" s="4">
        <f ca="1">goldenOTP_check!I51*I107</f>
        <v>906.178</v>
      </c>
      <c r="J51" s="4">
        <f ca="1">goldenOTP_check!J51*J107</f>
        <v>917.45300000000009</v>
      </c>
      <c r="K51" s="4">
        <f ca="1">goldenOTP_check!K51*K107</f>
        <v>965.47199999999998</v>
      </c>
      <c r="L51" s="4">
        <f ca="1">goldenOTP_check!L51*L107</f>
        <v>1004.549</v>
      </c>
      <c r="M51" s="4">
        <f ca="1">goldenOTP_check!M51*M107</f>
        <v>1012.4300000000001</v>
      </c>
      <c r="N51" s="4">
        <f ca="1">goldenOTP_check!N51*N107</f>
        <v>1019.2919999999999</v>
      </c>
      <c r="O51" s="4">
        <f ca="1">goldenOTP_check!O51*O107</f>
        <v>1027.9960000000001</v>
      </c>
      <c r="P51" s="4">
        <f ca="1">goldenOTP_check!P51*P107</f>
        <v>1014.1859999999999</v>
      </c>
      <c r="Q51" s="4">
        <f ca="1">goldenOTP_check!Q51*Q107</f>
        <v>1018.9999999999999</v>
      </c>
      <c r="R51" s="4">
        <f ca="1">goldenOTP_check!R51*R107</f>
        <v>1021.032</v>
      </c>
      <c r="S51" s="4">
        <f ca="1">goldenOTP_check!S51*S107</f>
        <v>1039.18</v>
      </c>
      <c r="T51" s="4">
        <f ca="1">goldenOTP_check!T51*T107</f>
        <v>1031.066</v>
      </c>
      <c r="U51" s="4">
        <f ca="1">goldenOTP_check!U51*U107</f>
        <v>1024.9929999999999</v>
      </c>
      <c r="V51" s="4">
        <f ca="1">goldenOTP_check!V51*V107</f>
        <v>1015.378</v>
      </c>
      <c r="W51" s="4">
        <f ca="1">goldenOTP_check!W51*W107</f>
        <v>974.55</v>
      </c>
      <c r="X51" s="4">
        <f ca="1">goldenOTP_check!X51*X107</f>
        <v>919.66800000000001</v>
      </c>
      <c r="Y51" s="4">
        <f ca="1">goldenOTP_check!Y51*Y107</f>
        <v>897.36900000000003</v>
      </c>
    </row>
    <row r="52" spans="2:25" x14ac:dyDescent="0.3">
      <c r="B52" s="6">
        <v>49</v>
      </c>
      <c r="C52" s="9">
        <v>2.6269999999999998</v>
      </c>
      <c r="D52" s="9">
        <v>2.464</v>
      </c>
      <c r="E52" s="9">
        <v>2.4609999999999999</v>
      </c>
      <c r="F52" s="9">
        <v>2.39</v>
      </c>
      <c r="I52" s="4">
        <f ca="1">goldenOTP_check!I52*I108</f>
        <v>866.86</v>
      </c>
      <c r="J52" s="4">
        <f ca="1">goldenOTP_check!J52*J108</f>
        <v>924.04799999999989</v>
      </c>
      <c r="K52" s="4">
        <f ca="1">goldenOTP_check!K52*K108</f>
        <v>963.072</v>
      </c>
      <c r="L52" s="4">
        <f ca="1">goldenOTP_check!L52*L108</f>
        <v>992.09599999999989</v>
      </c>
      <c r="M52" s="4">
        <f ca="1">goldenOTP_check!M52*M108</f>
        <v>1015.9050000000001</v>
      </c>
      <c r="N52" s="4">
        <f ca="1">goldenOTP_check!N52*N108</f>
        <v>1014.9</v>
      </c>
      <c r="O52" s="4">
        <f ca="1">goldenOTP_check!O52*O108</f>
        <v>1020.2499999999999</v>
      </c>
      <c r="P52" s="4">
        <f ca="1">goldenOTP_check!P52*P108</f>
        <v>1027.9960000000001</v>
      </c>
      <c r="Q52" s="4">
        <f ca="1">goldenOTP_check!Q52*Q108</f>
        <v>1023.155</v>
      </c>
      <c r="R52" s="4">
        <f ca="1">goldenOTP_check!R52*R108</f>
        <v>1019.547</v>
      </c>
      <c r="S52" s="4">
        <f ca="1">goldenOTP_check!S52*S108</f>
        <v>1025.5</v>
      </c>
      <c r="T52" s="4">
        <f ca="1">goldenOTP_check!T52*T108</f>
        <v>1024.452</v>
      </c>
      <c r="U52" s="4">
        <f ca="1">goldenOTP_check!U52*U108</f>
        <v>1026.48</v>
      </c>
      <c r="V52" s="4">
        <f ca="1">goldenOTP_check!V52*V108</f>
        <v>1002.33</v>
      </c>
      <c r="W52" s="4">
        <f ca="1">goldenOTP_check!W52*W108</f>
        <v>970.75199999999995</v>
      </c>
      <c r="X52" s="4">
        <f ca="1">goldenOTP_check!X52*X108</f>
        <v>927.50399999999991</v>
      </c>
      <c r="Y52" s="4">
        <f ca="1">goldenOTP_check!Y52*Y108</f>
        <v>862.58799999999997</v>
      </c>
    </row>
    <row r="53" spans="2:25" x14ac:dyDescent="0.3">
      <c r="B53" s="6">
        <v>50</v>
      </c>
      <c r="C53" s="9">
        <v>3.032</v>
      </c>
      <c r="D53" s="9">
        <v>2.8519999999999999</v>
      </c>
      <c r="E53" s="9">
        <v>2.8479999999999999</v>
      </c>
      <c r="F53" s="9">
        <v>2.7519999999999998</v>
      </c>
      <c r="I53" s="4">
        <f ca="1">goldenOTP_check!I53*I109</f>
        <v>851.48099999999999</v>
      </c>
      <c r="J53" s="4">
        <f ca="1">goldenOTP_check!J53*J109</f>
        <v>913.70600000000002</v>
      </c>
      <c r="K53" s="4">
        <f ca="1">goldenOTP_check!K53*K109</f>
        <v>943.50599999999997</v>
      </c>
      <c r="L53" s="4">
        <f ca="1">goldenOTP_check!L53*L109</f>
        <v>975.86400000000003</v>
      </c>
      <c r="M53" s="4">
        <f ca="1">goldenOTP_check!M53*M109</f>
        <v>1007.64</v>
      </c>
      <c r="N53" s="4">
        <f ca="1">goldenOTP_check!N53*N109</f>
        <v>1011.2570000000001</v>
      </c>
      <c r="O53" s="4">
        <f ca="1">goldenOTP_check!O53*O109</f>
        <v>1012.5120000000001</v>
      </c>
      <c r="P53" s="4">
        <f ca="1">goldenOTP_check!P53*P109</f>
        <v>1016.7690000000001</v>
      </c>
      <c r="Q53" s="4">
        <f ca="1">goldenOTP_check!Q53*Q109</f>
        <v>1015.0699999999999</v>
      </c>
      <c r="R53" s="4">
        <f ca="1">goldenOTP_check!R53*R109</f>
        <v>1016.7690000000001</v>
      </c>
      <c r="S53" s="4">
        <f ca="1">goldenOTP_check!S53*S109</f>
        <v>1014.104</v>
      </c>
      <c r="T53" s="4">
        <f ca="1">goldenOTP_check!T53*T109</f>
        <v>1013.438</v>
      </c>
      <c r="U53" s="4">
        <f ca="1">goldenOTP_check!U53*U109</f>
        <v>993.72</v>
      </c>
      <c r="V53" s="4">
        <f ca="1">goldenOTP_check!V53*V109</f>
        <v>982.548</v>
      </c>
      <c r="W53" s="4">
        <f ca="1">goldenOTP_check!W53*W109</f>
        <v>950.66100000000006</v>
      </c>
      <c r="X53" s="4">
        <f ca="1">goldenOTP_check!X53*X109</f>
        <v>918.20500000000004</v>
      </c>
      <c r="Y53" s="4">
        <f ca="1">goldenOTP_check!Y53*Y109</f>
        <v>853.14599999999996</v>
      </c>
    </row>
    <row r="54" spans="2:25" x14ac:dyDescent="0.3">
      <c r="B54" s="6">
        <v>51</v>
      </c>
      <c r="C54" s="9">
        <v>2.8620000000000001</v>
      </c>
      <c r="D54" s="9">
        <v>2.66</v>
      </c>
      <c r="E54" s="9">
        <v>2.66</v>
      </c>
      <c r="F54" s="9">
        <v>2.5760000000000001</v>
      </c>
      <c r="I54" s="4">
        <f ca="1">goldenOTP_check!I54*I110</f>
        <v>869.78</v>
      </c>
      <c r="J54" s="4">
        <f ca="1">goldenOTP_check!J54*J110</f>
        <v>894.37499999999989</v>
      </c>
      <c r="K54" s="4">
        <f ca="1">goldenOTP_check!K54*K110</f>
        <v>912.38400000000001</v>
      </c>
      <c r="L54" s="4">
        <f ca="1">goldenOTP_check!L54*L110</f>
        <v>946.5</v>
      </c>
      <c r="M54" s="4">
        <f ca="1">goldenOTP_check!M54*M110</f>
        <v>967.87199999999996</v>
      </c>
      <c r="N54" s="4">
        <f ca="1">goldenOTP_check!N54*N110</f>
        <v>989.26099999999997</v>
      </c>
      <c r="O54" s="4">
        <f ca="1">goldenOTP_check!O54*O110</f>
        <v>996.53399999999999</v>
      </c>
      <c r="P54" s="4">
        <f ca="1">goldenOTP_check!P54*P110</f>
        <v>1010.9520000000001</v>
      </c>
      <c r="Q54" s="4">
        <f ca="1">goldenOTP_check!Q54*Q110</f>
        <v>1010.25</v>
      </c>
      <c r="R54" s="4">
        <f ca="1">goldenOTP_check!R54*R110</f>
        <v>1010.9520000000001</v>
      </c>
      <c r="S54" s="4">
        <f ca="1">goldenOTP_check!S54*S110</f>
        <v>997.22700000000009</v>
      </c>
      <c r="T54" s="4">
        <f ca="1">goldenOTP_check!T54*T110</f>
        <v>991.17200000000003</v>
      </c>
      <c r="U54" s="4">
        <f ca="1">goldenOTP_check!U54*U110</f>
        <v>971.84800000000007</v>
      </c>
      <c r="V54" s="4">
        <f ca="1">goldenOTP_check!V54*V110</f>
        <v>953</v>
      </c>
      <c r="W54" s="4">
        <f ca="1">goldenOTP_check!W54*W110</f>
        <v>915.84</v>
      </c>
      <c r="X54" s="4">
        <f ca="1">goldenOTP_check!X54*X110</f>
        <v>896.25</v>
      </c>
      <c r="Y54" s="4">
        <f ca="1">goldenOTP_check!Y54*Y110</f>
        <v>866.95400000000006</v>
      </c>
    </row>
    <row r="55" spans="2:25" x14ac:dyDescent="0.3">
      <c r="B55" s="6">
        <v>52</v>
      </c>
      <c r="C55" s="9">
        <v>2.4809999999999999</v>
      </c>
      <c r="D55" s="9">
        <v>2.3090000000000002</v>
      </c>
      <c r="E55" s="9">
        <v>2.3090000000000002</v>
      </c>
      <c r="F55" s="9">
        <v>2.2410000000000001</v>
      </c>
      <c r="I55" s="4">
        <f ca="1">goldenOTP_check!I55*I111</f>
        <v>892.44</v>
      </c>
      <c r="J55" s="4">
        <f ca="1">goldenOTP_check!J55*J111</f>
        <v>891.71500000000003</v>
      </c>
      <c r="K55" s="4">
        <f ca="1">goldenOTP_check!K55*K111</f>
        <v>886.25599999999997</v>
      </c>
      <c r="L55" s="4">
        <f ca="1">goldenOTP_check!L55*L111</f>
        <v>919.22500000000002</v>
      </c>
      <c r="M55" s="4">
        <f ca="1">goldenOTP_check!M55*M111</f>
        <v>946.5</v>
      </c>
      <c r="N55" s="4">
        <f ca="1">goldenOTP_check!N55*N111</f>
        <v>971.96500000000003</v>
      </c>
      <c r="O55" s="4">
        <f ca="1">goldenOTP_check!O55*O111</f>
        <v>986.678</v>
      </c>
      <c r="P55" s="4">
        <f ca="1">goldenOTP_check!P55*P111</f>
        <v>984.375</v>
      </c>
      <c r="Q55" s="4">
        <f ca="1">goldenOTP_check!Q55*Q111</f>
        <v>991.80899999999997</v>
      </c>
      <c r="R55" s="4">
        <f ca="1">goldenOTP_check!R55*R111</f>
        <v>988.125</v>
      </c>
      <c r="S55" s="4">
        <f ca="1">goldenOTP_check!S55*S111</f>
        <v>993.90200000000004</v>
      </c>
      <c r="T55" s="4">
        <f ca="1">goldenOTP_check!T55*T111</f>
        <v>980.32</v>
      </c>
      <c r="U55" s="4">
        <f ca="1">goldenOTP_check!U55*U111</f>
        <v>953.5</v>
      </c>
      <c r="V55" s="4">
        <f ca="1">goldenOTP_check!V55*V111</f>
        <v>922.76900000000012</v>
      </c>
      <c r="W55" s="4">
        <f ca="1">goldenOTP_check!W55*W111</f>
        <v>884.71199999999988</v>
      </c>
      <c r="X55" s="4">
        <f ca="1">goldenOTP_check!X55*X111</f>
        <v>885.91800000000001</v>
      </c>
      <c r="Y55" s="4">
        <f ca="1">goldenOTP_check!Y55*Y111</f>
        <v>874.976</v>
      </c>
    </row>
    <row r="56" spans="2:25" x14ac:dyDescent="0.3">
      <c r="B56" s="6">
        <v>53</v>
      </c>
      <c r="C56" s="9">
        <v>2.1829999999999998</v>
      </c>
      <c r="D56" s="9">
        <v>2.0409999999999999</v>
      </c>
      <c r="E56" s="9">
        <v>2.0409999999999999</v>
      </c>
      <c r="F56" s="9">
        <v>1.9850000000000001</v>
      </c>
      <c r="I56" s="12">
        <f ca="1">goldenOTP_check!I56*I112</f>
        <v>858.07</v>
      </c>
      <c r="J56" s="4">
        <f ca="1">goldenOTP_check!J56*J112</f>
        <v>861.952</v>
      </c>
      <c r="K56" s="4">
        <f ca="1">goldenOTP_check!K56*K112</f>
        <v>876.36999999999989</v>
      </c>
      <c r="L56" s="4">
        <f ca="1">goldenOTP_check!L56*L112</f>
        <v>918.18599999999992</v>
      </c>
      <c r="M56" s="4">
        <f ca="1">goldenOTP_check!M56*M112</f>
        <v>937.63999999999987</v>
      </c>
      <c r="N56" s="4">
        <f ca="1">goldenOTP_check!N56*N112</f>
        <v>924.54399999999998</v>
      </c>
      <c r="O56" s="4">
        <f ca="1">goldenOTP_check!O56*O112</f>
        <v>960.51199999999994</v>
      </c>
      <c r="P56" s="4">
        <f ca="1">goldenOTP_check!P56*P112</f>
        <v>967.60800000000006</v>
      </c>
      <c r="Q56" s="4">
        <f ca="1">goldenOTP_check!Q56*Q112</f>
        <v>950.82</v>
      </c>
      <c r="R56" s="4">
        <f ca="1">goldenOTP_check!R56*R112</f>
        <v>973.48199999999997</v>
      </c>
      <c r="S56" s="4">
        <f ca="1">goldenOTP_check!S56*S112</f>
        <v>942.4</v>
      </c>
      <c r="T56" s="4">
        <f ca="1">goldenOTP_check!T56*T112</f>
        <v>937.12600000000009</v>
      </c>
      <c r="U56" s="4">
        <f ca="1">goldenOTP_check!U56*U112</f>
        <v>911.17600000000004</v>
      </c>
      <c r="V56" s="4">
        <f ca="1">goldenOTP_check!V56*V112</f>
        <v>884.34700000000009</v>
      </c>
      <c r="W56" s="4">
        <f ca="1">goldenOTP_check!W56*W112</f>
        <v>870.57299999999998</v>
      </c>
      <c r="X56" s="4">
        <f ca="1">goldenOTP_check!X56*X112</f>
        <v>843.89599999999996</v>
      </c>
      <c r="Y56" s="12">
        <f ca="1">goldenOTP_check!Y56*Y112</f>
        <v>821.23500000000001</v>
      </c>
    </row>
    <row r="57" spans="2:25" x14ac:dyDescent="0.3">
      <c r="B57" s="6">
        <v>54</v>
      </c>
      <c r="C57" s="9">
        <v>1.923</v>
      </c>
      <c r="D57" s="9">
        <v>1.8089999999999999</v>
      </c>
      <c r="E57" s="9">
        <v>1.8109999999999999</v>
      </c>
      <c r="F57" s="9">
        <v>1.7609999999999999</v>
      </c>
    </row>
    <row r="58" spans="2:25" x14ac:dyDescent="0.3">
      <c r="B58" s="6">
        <v>55</v>
      </c>
      <c r="C58" s="9">
        <v>1.6970000000000001</v>
      </c>
      <c r="D58" s="9">
        <v>1.611</v>
      </c>
      <c r="E58" s="9">
        <v>1.613</v>
      </c>
      <c r="F58" s="9">
        <v>1.5669999999999999</v>
      </c>
      <c r="H58" t="s">
        <v>5</v>
      </c>
      <c r="I58" s="3">
        <f t="shared" ref="I58:Y70" ca="1" si="0">INDIRECT("C"&amp;(17*ROW(1:1)+ROW($C$3)-19+IF(COLUMN(C:C)&gt;19,50000,COLUMN(C:C)-1)))</f>
        <v>3.51</v>
      </c>
      <c r="J58" s="2">
        <f t="shared" ca="1" si="0"/>
        <v>3.1789999999999998</v>
      </c>
      <c r="K58" s="2">
        <f t="shared" ca="1" si="0"/>
        <v>2.8180000000000001</v>
      </c>
      <c r="L58" s="2">
        <f t="shared" ca="1" si="0"/>
        <v>2.5249999999999999</v>
      </c>
      <c r="M58" s="2">
        <f t="shared" ca="1" si="0"/>
        <v>2.3319999999999999</v>
      </c>
      <c r="N58" s="2">
        <f t="shared" ca="1" si="0"/>
        <v>2.17</v>
      </c>
      <c r="O58" s="2">
        <f t="shared" ca="1" si="0"/>
        <v>2.04</v>
      </c>
      <c r="P58" s="2">
        <f t="shared" ca="1" si="0"/>
        <v>1.964</v>
      </c>
      <c r="Q58" s="2">
        <f t="shared" ca="1" si="0"/>
        <v>1.9390000000000001</v>
      </c>
      <c r="R58" s="2">
        <f t="shared" ca="1" si="0"/>
        <v>1.9610000000000001</v>
      </c>
      <c r="S58" s="2">
        <f t="shared" ca="1" si="0"/>
        <v>2.0379999999999998</v>
      </c>
      <c r="T58" s="2">
        <f t="shared" ca="1" si="0"/>
        <v>2.1579999999999999</v>
      </c>
      <c r="U58" s="2">
        <f t="shared" ca="1" si="0"/>
        <v>2.3170000000000002</v>
      </c>
      <c r="V58" s="2">
        <f t="shared" ca="1" si="0"/>
        <v>2.512</v>
      </c>
      <c r="W58" s="2">
        <f t="shared" ca="1" si="0"/>
        <v>2.8140000000000001</v>
      </c>
      <c r="X58" s="2">
        <f t="shared" ca="1" si="0"/>
        <v>3.1549999999999998</v>
      </c>
      <c r="Y58" s="3">
        <f t="shared" ca="1" si="0"/>
        <v>3.444</v>
      </c>
    </row>
    <row r="59" spans="2:25" x14ac:dyDescent="0.3">
      <c r="B59" s="6">
        <v>56</v>
      </c>
      <c r="C59" s="9">
        <v>1.5089999999999999</v>
      </c>
      <c r="D59" s="9">
        <v>1.4450000000000001</v>
      </c>
      <c r="E59" s="9">
        <v>1.4470000000000001</v>
      </c>
      <c r="F59" s="9">
        <v>1.407</v>
      </c>
      <c r="I59" s="2">
        <f t="shared" ca="1" si="0"/>
        <v>3.3460000000000001</v>
      </c>
      <c r="J59" s="2">
        <f t="shared" ca="1" si="0"/>
        <v>2.9060000000000001</v>
      </c>
      <c r="K59" s="2">
        <f t="shared" ca="1" si="0"/>
        <v>2.5369999999999999</v>
      </c>
      <c r="L59" s="2">
        <f t="shared" ca="1" si="0"/>
        <v>2.2949999999999999</v>
      </c>
      <c r="M59" s="2">
        <f t="shared" ca="1" si="0"/>
        <v>2.0939999999999999</v>
      </c>
      <c r="N59" s="2">
        <f t="shared" ca="1" si="0"/>
        <v>1.927</v>
      </c>
      <c r="O59" s="2">
        <f t="shared" ca="1" si="0"/>
        <v>1.8</v>
      </c>
      <c r="P59" s="2">
        <f t="shared" ca="1" si="0"/>
        <v>1.72</v>
      </c>
      <c r="Q59" s="2">
        <f t="shared" ca="1" si="0"/>
        <v>1.694</v>
      </c>
      <c r="R59" s="2">
        <f t="shared" ca="1" si="0"/>
        <v>1.718</v>
      </c>
      <c r="S59" s="2">
        <f t="shared" ca="1" si="0"/>
        <v>1.796</v>
      </c>
      <c r="T59" s="2">
        <f t="shared" ca="1" si="0"/>
        <v>1.921</v>
      </c>
      <c r="U59" s="2">
        <f t="shared" ca="1" si="0"/>
        <v>2.09</v>
      </c>
      <c r="V59" s="2">
        <f t="shared" ca="1" si="0"/>
        <v>2.2890000000000001</v>
      </c>
      <c r="W59" s="2">
        <f t="shared" ca="1" si="0"/>
        <v>2.5379999999999998</v>
      </c>
      <c r="X59" s="2">
        <f t="shared" ca="1" si="0"/>
        <v>2.8889999999999998</v>
      </c>
      <c r="Y59" s="2">
        <f t="shared" ca="1" si="0"/>
        <v>3.2690000000000001</v>
      </c>
    </row>
    <row r="60" spans="2:25" x14ac:dyDescent="0.3">
      <c r="B60" s="6">
        <v>57</v>
      </c>
      <c r="C60" s="9">
        <v>1.369</v>
      </c>
      <c r="D60" s="9">
        <v>1.323</v>
      </c>
      <c r="E60" s="9">
        <v>1.3240000000000001</v>
      </c>
      <c r="F60" s="9">
        <v>1.2909999999999999</v>
      </c>
      <c r="I60" s="2">
        <f t="shared" ca="1" si="0"/>
        <v>3.1019999999999999</v>
      </c>
      <c r="J60" s="2">
        <f t="shared" ca="1" si="0"/>
        <v>2.6509999999999998</v>
      </c>
      <c r="K60" s="2">
        <f t="shared" ca="1" si="0"/>
        <v>2.331</v>
      </c>
      <c r="L60" s="2">
        <f t="shared" ca="1" si="0"/>
        <v>2.0880000000000001</v>
      </c>
      <c r="M60" s="2">
        <f t="shared" ca="1" si="0"/>
        <v>1.8740000000000001</v>
      </c>
      <c r="N60" s="2">
        <f t="shared" ca="1" si="0"/>
        <v>1.698</v>
      </c>
      <c r="O60" s="2">
        <f t="shared" ca="1" si="0"/>
        <v>1.5629999999999999</v>
      </c>
      <c r="P60" s="2">
        <f t="shared" ca="1" si="0"/>
        <v>1.4790000000000001</v>
      </c>
      <c r="Q60" s="2">
        <f t="shared" ca="1" si="0"/>
        <v>1.4530000000000001</v>
      </c>
      <c r="R60" s="2">
        <f t="shared" ca="1" si="0"/>
        <v>1.4810000000000001</v>
      </c>
      <c r="S60" s="2">
        <f t="shared" ca="1" si="0"/>
        <v>1.57</v>
      </c>
      <c r="T60" s="2">
        <f t="shared" ca="1" si="0"/>
        <v>1.7030000000000001</v>
      </c>
      <c r="U60" s="2">
        <f t="shared" ca="1" si="0"/>
        <v>1.8779999999999999</v>
      </c>
      <c r="V60" s="2">
        <f t="shared" ca="1" si="0"/>
        <v>2.09</v>
      </c>
      <c r="W60" s="2">
        <f t="shared" ca="1" si="0"/>
        <v>2.3260000000000001</v>
      </c>
      <c r="X60" s="2">
        <f t="shared" ca="1" si="0"/>
        <v>2.6269999999999998</v>
      </c>
      <c r="Y60" s="2">
        <f t="shared" ca="1" si="0"/>
        <v>3.032</v>
      </c>
    </row>
    <row r="61" spans="2:25" x14ac:dyDescent="0.3">
      <c r="B61" s="6">
        <v>58</v>
      </c>
      <c r="C61" s="9">
        <v>1.2869999999999999</v>
      </c>
      <c r="D61" s="9">
        <v>1.2549999999999999</v>
      </c>
      <c r="E61" s="9">
        <v>1.256</v>
      </c>
      <c r="F61" s="9">
        <v>1.2310000000000001</v>
      </c>
      <c r="I61" s="2">
        <f t="shared" ca="1" si="0"/>
        <v>2.8620000000000001</v>
      </c>
      <c r="J61" s="2">
        <f t="shared" ca="1" si="0"/>
        <v>2.4809999999999999</v>
      </c>
      <c r="K61" s="2">
        <f t="shared" ca="1" si="0"/>
        <v>2.1829999999999998</v>
      </c>
      <c r="L61" s="2">
        <f t="shared" ca="1" si="0"/>
        <v>1.923</v>
      </c>
      <c r="M61" s="2">
        <f t="shared" ca="1" si="0"/>
        <v>1.6970000000000001</v>
      </c>
      <c r="N61" s="2">
        <f t="shared" ca="1" si="0"/>
        <v>1.5089999999999999</v>
      </c>
      <c r="O61" s="2">
        <f t="shared" ca="1" si="0"/>
        <v>1.369</v>
      </c>
      <c r="P61" s="2">
        <f t="shared" ca="1" si="0"/>
        <v>1.2869999999999999</v>
      </c>
      <c r="Q61" s="2">
        <f t="shared" ca="1" si="0"/>
        <v>1.2629999999999999</v>
      </c>
      <c r="R61" s="2">
        <f t="shared" ca="1" si="0"/>
        <v>1.292</v>
      </c>
      <c r="S61" s="2">
        <f t="shared" ca="1" si="0"/>
        <v>1.379</v>
      </c>
      <c r="T61" s="2">
        <f t="shared" ca="1" si="0"/>
        <v>1.5189999999999999</v>
      </c>
      <c r="U61" s="2">
        <f t="shared" ca="1" si="0"/>
        <v>1.706</v>
      </c>
      <c r="V61" s="2">
        <f t="shared" ca="1" si="0"/>
        <v>1.9259999999999999</v>
      </c>
      <c r="W61" s="2">
        <f t="shared" ca="1" si="0"/>
        <v>2.177</v>
      </c>
      <c r="X61" s="2">
        <f t="shared" ca="1" si="0"/>
        <v>2.452</v>
      </c>
      <c r="Y61" s="2">
        <f t="shared" ca="1" si="0"/>
        <v>2.794</v>
      </c>
    </row>
    <row r="62" spans="2:25" x14ac:dyDescent="0.3">
      <c r="B62" s="6">
        <v>59</v>
      </c>
      <c r="C62" s="9">
        <v>1.2629999999999999</v>
      </c>
      <c r="D62" s="9">
        <v>1.2370000000000001</v>
      </c>
      <c r="E62" s="9">
        <v>1.2370000000000001</v>
      </c>
      <c r="F62" s="9">
        <v>1.2170000000000001</v>
      </c>
      <c r="I62" s="2">
        <f t="shared" ca="1" si="0"/>
        <v>2.6930000000000001</v>
      </c>
      <c r="J62" s="2">
        <f t="shared" ca="1" si="0"/>
        <v>2.355</v>
      </c>
      <c r="K62" s="2">
        <f t="shared" ca="1" si="0"/>
        <v>2.0609999999999999</v>
      </c>
      <c r="L62" s="2">
        <f t="shared" ca="1" si="0"/>
        <v>1.7989999999999999</v>
      </c>
      <c r="M62" s="2">
        <f t="shared" ca="1" si="0"/>
        <v>1.5629999999999999</v>
      </c>
      <c r="N62" s="2">
        <f t="shared" ca="1" si="0"/>
        <v>1.3680000000000001</v>
      </c>
      <c r="O62" s="2">
        <f t="shared" ca="1" si="0"/>
        <v>1.2350000000000001</v>
      </c>
      <c r="P62" s="2">
        <f t="shared" ca="1" si="0"/>
        <v>1.157</v>
      </c>
      <c r="Q62" s="2">
        <f t="shared" ca="1" si="0"/>
        <v>1.1299999999999999</v>
      </c>
      <c r="R62" s="2">
        <f t="shared" ca="1" si="0"/>
        <v>1.159</v>
      </c>
      <c r="S62" s="2">
        <f t="shared" ca="1" si="0"/>
        <v>1.2390000000000001</v>
      </c>
      <c r="T62" s="2">
        <f t="shared" ca="1" si="0"/>
        <v>1.37</v>
      </c>
      <c r="U62" s="2">
        <f t="shared" ca="1" si="0"/>
        <v>1.5629999999999999</v>
      </c>
      <c r="V62" s="2">
        <f t="shared" ca="1" si="0"/>
        <v>1.7969999999999999</v>
      </c>
      <c r="W62" s="2">
        <f t="shared" ca="1" si="0"/>
        <v>2.0590000000000002</v>
      </c>
      <c r="X62" s="2">
        <f t="shared" ca="1" si="0"/>
        <v>2.343</v>
      </c>
      <c r="Y62" s="2">
        <f t="shared" ca="1" si="0"/>
        <v>2.6560000000000001</v>
      </c>
    </row>
    <row r="63" spans="2:25" x14ac:dyDescent="0.3">
      <c r="B63" s="6">
        <v>60</v>
      </c>
      <c r="C63" s="9">
        <v>1.292</v>
      </c>
      <c r="D63" s="9">
        <v>1.2609999999999999</v>
      </c>
      <c r="E63" s="9">
        <v>1.2609999999999999</v>
      </c>
      <c r="F63" s="9">
        <v>1.2370000000000001</v>
      </c>
      <c r="I63" s="2">
        <f t="shared" ca="1" si="0"/>
        <v>2.609</v>
      </c>
      <c r="J63" s="2">
        <f t="shared" ca="1" si="0"/>
        <v>2.278</v>
      </c>
      <c r="K63" s="2">
        <f t="shared" ca="1" si="0"/>
        <v>1.9770000000000001</v>
      </c>
      <c r="L63" s="2">
        <f t="shared" ca="1" si="0"/>
        <v>1.7090000000000001</v>
      </c>
      <c r="M63" s="2">
        <f t="shared" ca="1" si="0"/>
        <v>1.4690000000000001</v>
      </c>
      <c r="N63" s="2">
        <f t="shared" ca="1" si="0"/>
        <v>1.284</v>
      </c>
      <c r="O63" s="2">
        <f t="shared" ca="1" si="0"/>
        <v>1.155</v>
      </c>
      <c r="P63" s="2">
        <f t="shared" ca="1" si="0"/>
        <v>1.071</v>
      </c>
      <c r="Q63" s="2">
        <f t="shared" ca="1" si="0"/>
        <v>1.0389999999999999</v>
      </c>
      <c r="R63" s="2">
        <f t="shared" ca="1" si="0"/>
        <v>1.071</v>
      </c>
      <c r="S63" s="2">
        <f t="shared" ca="1" si="0"/>
        <v>1.1559999999999999</v>
      </c>
      <c r="T63" s="2">
        <f t="shared" ca="1" si="0"/>
        <v>1.28</v>
      </c>
      <c r="U63" s="2">
        <f t="shared" ca="1" si="0"/>
        <v>1.4650000000000001</v>
      </c>
      <c r="V63" s="2">
        <f t="shared" ca="1" si="0"/>
        <v>1.706</v>
      </c>
      <c r="W63" s="2">
        <f t="shared" ca="1" si="0"/>
        <v>1.978</v>
      </c>
      <c r="X63" s="2">
        <f t="shared" ca="1" si="0"/>
        <v>2.274</v>
      </c>
      <c r="Y63" s="2">
        <f t="shared" ca="1" si="0"/>
        <v>2.581</v>
      </c>
    </row>
    <row r="64" spans="2:25" x14ac:dyDescent="0.3">
      <c r="B64" s="6">
        <v>61</v>
      </c>
      <c r="C64" s="9">
        <v>1.379</v>
      </c>
      <c r="D64" s="9">
        <v>1.3360000000000001</v>
      </c>
      <c r="E64" s="9">
        <v>1.3360000000000001</v>
      </c>
      <c r="F64" s="9">
        <v>1.3049999999999999</v>
      </c>
      <c r="I64" s="2">
        <f t="shared" ca="1" si="0"/>
        <v>2.5939999999999999</v>
      </c>
      <c r="J64" s="2">
        <f t="shared" ca="1" si="0"/>
        <v>2.2549999999999999</v>
      </c>
      <c r="K64" s="2">
        <f t="shared" ca="1" si="0"/>
        <v>1.9470000000000001</v>
      </c>
      <c r="L64" s="2">
        <f t="shared" ca="1" si="0"/>
        <v>1.675</v>
      </c>
      <c r="M64" s="2">
        <f t="shared" ca="1" si="0"/>
        <v>1.429</v>
      </c>
      <c r="N64" s="2">
        <f t="shared" ca="1" si="0"/>
        <v>1.244</v>
      </c>
      <c r="O64" s="2">
        <f t="shared" ca="1" si="0"/>
        <v>1.117</v>
      </c>
      <c r="P64" s="2">
        <f t="shared" ca="1" si="0"/>
        <v>1.032</v>
      </c>
      <c r="Q64" s="2">
        <f t="shared" ca="1" si="0"/>
        <v>1.006</v>
      </c>
      <c r="R64" s="2">
        <f t="shared" ca="1" si="0"/>
        <v>1.0349999999999999</v>
      </c>
      <c r="S64" s="2">
        <f t="shared" ca="1" si="0"/>
        <v>1.1220000000000001</v>
      </c>
      <c r="T64" s="2">
        <f t="shared" ca="1" si="0"/>
        <v>1.248</v>
      </c>
      <c r="U64" s="2">
        <f t="shared" ca="1" si="0"/>
        <v>1.4319999999999999</v>
      </c>
      <c r="V64" s="2">
        <f t="shared" ca="1" si="0"/>
        <v>1.6759999999999999</v>
      </c>
      <c r="W64" s="2">
        <f t="shared" ca="1" si="0"/>
        <v>1.946</v>
      </c>
      <c r="X64" s="2">
        <f t="shared" ca="1" si="0"/>
        <v>2.2410000000000001</v>
      </c>
      <c r="Y64" s="2">
        <f t="shared" ca="1" si="0"/>
        <v>2.5470000000000002</v>
      </c>
    </row>
    <row r="65" spans="2:25" x14ac:dyDescent="0.3">
      <c r="B65" s="6">
        <v>62</v>
      </c>
      <c r="C65" s="9">
        <v>1.5189999999999999</v>
      </c>
      <c r="D65" s="9">
        <v>1.46</v>
      </c>
      <c r="E65" s="9">
        <v>1.46</v>
      </c>
      <c r="F65" s="9">
        <v>1.423</v>
      </c>
      <c r="I65" s="2">
        <f t="shared" ca="1" si="0"/>
        <v>2.621</v>
      </c>
      <c r="J65" s="2">
        <f t="shared" ca="1" si="0"/>
        <v>2.2810000000000001</v>
      </c>
      <c r="K65" s="2">
        <f t="shared" ca="1" si="0"/>
        <v>1.972</v>
      </c>
      <c r="L65" s="2">
        <f t="shared" ca="1" si="0"/>
        <v>1.698</v>
      </c>
      <c r="M65" s="2">
        <f t="shared" ca="1" si="0"/>
        <v>1.454</v>
      </c>
      <c r="N65" s="2">
        <f t="shared" ca="1" si="0"/>
        <v>1.268</v>
      </c>
      <c r="O65" s="2">
        <f t="shared" ca="1" si="0"/>
        <v>1.139</v>
      </c>
      <c r="P65" s="2">
        <f t="shared" ca="1" si="0"/>
        <v>1.056</v>
      </c>
      <c r="Q65" s="2">
        <f t="shared" ca="1" si="0"/>
        <v>1.0289999999999999</v>
      </c>
      <c r="R65" s="2">
        <f t="shared" ca="1" si="0"/>
        <v>1.0629999999999999</v>
      </c>
      <c r="S65" s="2">
        <f t="shared" ca="1" si="0"/>
        <v>1.1499999999999999</v>
      </c>
      <c r="T65" s="2">
        <f t="shared" ca="1" si="0"/>
        <v>1.2769999999999999</v>
      </c>
      <c r="U65" s="2">
        <f t="shared" ca="1" si="0"/>
        <v>1.4650000000000001</v>
      </c>
      <c r="V65" s="2">
        <f t="shared" ca="1" si="0"/>
        <v>1.7050000000000001</v>
      </c>
      <c r="W65" s="2">
        <f t="shared" ca="1" si="0"/>
        <v>1.9730000000000001</v>
      </c>
      <c r="X65" s="2">
        <f t="shared" ca="1" si="0"/>
        <v>2.2599999999999998</v>
      </c>
      <c r="Y65" s="2">
        <f t="shared" ca="1" si="0"/>
        <v>2.56</v>
      </c>
    </row>
    <row r="66" spans="2:25" x14ac:dyDescent="0.3">
      <c r="B66" s="6">
        <v>63</v>
      </c>
      <c r="C66" s="9">
        <v>1.706</v>
      </c>
      <c r="D66" s="9">
        <v>1.625</v>
      </c>
      <c r="E66" s="9">
        <v>1.6240000000000001</v>
      </c>
      <c r="F66" s="9">
        <v>1.585</v>
      </c>
      <c r="I66" s="2">
        <f t="shared" ca="1" si="0"/>
        <v>2.6970000000000001</v>
      </c>
      <c r="J66" s="2">
        <f t="shared" ca="1" si="0"/>
        <v>2.3580000000000001</v>
      </c>
      <c r="K66" s="2">
        <f t="shared" ca="1" si="0"/>
        <v>2.0569999999999999</v>
      </c>
      <c r="L66" s="2">
        <f t="shared" ca="1" si="0"/>
        <v>1.788</v>
      </c>
      <c r="M66" s="2">
        <f t="shared" ca="1" si="0"/>
        <v>1.5469999999999999</v>
      </c>
      <c r="N66" s="2">
        <f t="shared" ca="1" si="0"/>
        <v>1.353</v>
      </c>
      <c r="O66" s="2">
        <f t="shared" ca="1" si="0"/>
        <v>1.2210000000000001</v>
      </c>
      <c r="P66" s="2">
        <f t="shared" ca="1" si="0"/>
        <v>1.141</v>
      </c>
      <c r="Q66" s="2">
        <f t="shared" ca="1" si="0"/>
        <v>1.113</v>
      </c>
      <c r="R66" s="2">
        <f t="shared" ca="1" si="0"/>
        <v>1.143</v>
      </c>
      <c r="S66" s="2">
        <f t="shared" ca="1" si="0"/>
        <v>1.226</v>
      </c>
      <c r="T66" s="2">
        <f t="shared" ca="1" si="0"/>
        <v>1.359</v>
      </c>
      <c r="U66" s="2">
        <f t="shared" ca="1" si="0"/>
        <v>1.5549999999999999</v>
      </c>
      <c r="V66" s="2">
        <f t="shared" ca="1" si="0"/>
        <v>1.794</v>
      </c>
      <c r="W66" s="2">
        <f t="shared" ca="1" si="0"/>
        <v>2.0569999999999999</v>
      </c>
      <c r="X66" s="2">
        <f t="shared" ca="1" si="0"/>
        <v>2.343</v>
      </c>
      <c r="Y66" s="2">
        <f t="shared" ca="1" si="0"/>
        <v>2.6509999999999998</v>
      </c>
    </row>
    <row r="67" spans="2:25" x14ac:dyDescent="0.3">
      <c r="B67" s="6">
        <v>64</v>
      </c>
      <c r="C67" s="9">
        <v>1.9259999999999999</v>
      </c>
      <c r="D67" s="9">
        <v>1.8220000000000001</v>
      </c>
      <c r="E67" s="9">
        <v>1.82</v>
      </c>
      <c r="F67" s="9">
        <v>1.78</v>
      </c>
      <c r="I67" s="2">
        <f t="shared" ca="1" si="0"/>
        <v>2.83</v>
      </c>
      <c r="J67" s="2">
        <f t="shared" ca="1" si="0"/>
        <v>2.4649999999999999</v>
      </c>
      <c r="K67" s="2">
        <f t="shared" ca="1" si="0"/>
        <v>2.1720000000000002</v>
      </c>
      <c r="L67" s="2">
        <f t="shared" ca="1" si="0"/>
        <v>1.9139999999999999</v>
      </c>
      <c r="M67" s="2">
        <f t="shared" ca="1" si="0"/>
        <v>1.6870000000000001</v>
      </c>
      <c r="N67" s="2">
        <f t="shared" ca="1" si="0"/>
        <v>1.494</v>
      </c>
      <c r="O67" s="2">
        <f t="shared" ca="1" si="0"/>
        <v>1.3520000000000001</v>
      </c>
      <c r="P67" s="2">
        <f t="shared" ca="1" si="0"/>
        <v>1.2669999999999999</v>
      </c>
      <c r="Q67" s="2">
        <f t="shared" ca="1" si="0"/>
        <v>1.2370000000000001</v>
      </c>
      <c r="R67" s="2">
        <f t="shared" ca="1" si="0"/>
        <v>1.2649999999999999</v>
      </c>
      <c r="S67" s="2">
        <f t="shared" ca="1" si="0"/>
        <v>1.3480000000000001</v>
      </c>
      <c r="T67" s="2">
        <f t="shared" ca="1" si="0"/>
        <v>1.4870000000000001</v>
      </c>
      <c r="U67" s="2">
        <f t="shared" ca="1" si="0"/>
        <v>1.68</v>
      </c>
      <c r="V67" s="2">
        <f t="shared" ca="1" si="0"/>
        <v>1.9119999999999999</v>
      </c>
      <c r="W67" s="2">
        <f t="shared" ca="1" si="0"/>
        <v>2.1739999999999999</v>
      </c>
      <c r="X67" s="2">
        <f t="shared" ca="1" si="0"/>
        <v>2.4590000000000001</v>
      </c>
      <c r="Y67" s="2">
        <f t="shared" ca="1" si="0"/>
        <v>2.8069999999999999</v>
      </c>
    </row>
    <row r="68" spans="2:25" x14ac:dyDescent="0.3">
      <c r="B68" s="6">
        <v>65</v>
      </c>
      <c r="C68" s="9">
        <v>2.177</v>
      </c>
      <c r="D68" s="9">
        <v>2.0470000000000002</v>
      </c>
      <c r="E68" s="9">
        <v>2.044</v>
      </c>
      <c r="F68" s="9">
        <v>1.9990000000000001</v>
      </c>
      <c r="I68" s="2">
        <f t="shared" ca="1" si="0"/>
        <v>3.0790000000000002</v>
      </c>
      <c r="J68" s="2">
        <f t="shared" ca="1" si="0"/>
        <v>2.641</v>
      </c>
      <c r="K68" s="2">
        <f t="shared" ca="1" si="0"/>
        <v>2.3279999999999998</v>
      </c>
      <c r="L68" s="2">
        <f t="shared" ca="1" si="0"/>
        <v>2.081</v>
      </c>
      <c r="M68" s="2">
        <f t="shared" ca="1" si="0"/>
        <v>1.861</v>
      </c>
      <c r="N68" s="2">
        <f t="shared" ca="1" si="0"/>
        <v>1.6830000000000001</v>
      </c>
      <c r="O68" s="2">
        <f t="shared" ca="1" si="0"/>
        <v>1.5449999999999999</v>
      </c>
      <c r="P68" s="2">
        <f t="shared" ca="1" si="0"/>
        <v>1.456</v>
      </c>
      <c r="Q68" s="2">
        <f t="shared" ca="1" si="0"/>
        <v>1.4259999999999999</v>
      </c>
      <c r="R68" s="2">
        <f t="shared" ca="1" si="0"/>
        <v>1.4530000000000001</v>
      </c>
      <c r="S68" s="2">
        <f t="shared" ca="1" si="0"/>
        <v>1.5409999999999999</v>
      </c>
      <c r="T68" s="2">
        <f t="shared" ca="1" si="0"/>
        <v>1.6779999999999999</v>
      </c>
      <c r="U68" s="2">
        <f t="shared" ca="1" si="0"/>
        <v>1.855</v>
      </c>
      <c r="V68" s="2">
        <f t="shared" ca="1" si="0"/>
        <v>2.077</v>
      </c>
      <c r="W68" s="2">
        <f t="shared" ca="1" si="0"/>
        <v>2.3220000000000001</v>
      </c>
      <c r="X68" s="2">
        <f t="shared" ca="1" si="0"/>
        <v>2.6259999999999999</v>
      </c>
      <c r="Y68" s="2">
        <f t="shared" ca="1" si="0"/>
        <v>3.0329999999999999</v>
      </c>
    </row>
    <row r="69" spans="2:25" x14ac:dyDescent="0.3">
      <c r="B69" s="6">
        <v>66</v>
      </c>
      <c r="C69" s="9">
        <v>2.452</v>
      </c>
      <c r="D69" s="9">
        <v>2.3029999999999999</v>
      </c>
      <c r="E69" s="9">
        <v>2.2999999999999998</v>
      </c>
      <c r="F69" s="9">
        <v>2.2440000000000002</v>
      </c>
      <c r="I69" s="2">
        <f t="shared" ca="1" si="0"/>
        <v>3.351</v>
      </c>
      <c r="J69" s="2">
        <f t="shared" ca="1" si="0"/>
        <v>2.9039999999999999</v>
      </c>
      <c r="K69" s="2">
        <f t="shared" ca="1" si="0"/>
        <v>2.5379999999999998</v>
      </c>
      <c r="L69" s="2">
        <f t="shared" ca="1" si="0"/>
        <v>2.2890000000000001</v>
      </c>
      <c r="M69" s="2">
        <f t="shared" ca="1" si="0"/>
        <v>2.0790000000000002</v>
      </c>
      <c r="N69" s="2">
        <f t="shared" ca="1" si="0"/>
        <v>1.905</v>
      </c>
      <c r="O69" s="2">
        <f t="shared" ca="1" si="0"/>
        <v>1.7769999999999999</v>
      </c>
      <c r="P69" s="2">
        <f t="shared" ca="1" si="0"/>
        <v>1.698</v>
      </c>
      <c r="Q69" s="2">
        <f t="shared" ca="1" si="0"/>
        <v>1.6739999999999999</v>
      </c>
      <c r="R69" s="2">
        <f t="shared" ca="1" si="0"/>
        <v>1.704</v>
      </c>
      <c r="S69" s="2">
        <f t="shared" ca="1" si="0"/>
        <v>1.788</v>
      </c>
      <c r="T69" s="2">
        <f t="shared" ca="1" si="0"/>
        <v>1.9139999999999999</v>
      </c>
      <c r="U69" s="2">
        <f t="shared" ca="1" si="0"/>
        <v>2.081</v>
      </c>
      <c r="V69" s="2">
        <f t="shared" ca="1" si="0"/>
        <v>2.2829999999999999</v>
      </c>
      <c r="W69" s="2">
        <f t="shared" ca="1" si="0"/>
        <v>2.52</v>
      </c>
      <c r="X69" s="2">
        <f t="shared" ca="1" si="0"/>
        <v>2.8679999999999999</v>
      </c>
      <c r="Y69" s="2">
        <f t="shared" ca="1" si="0"/>
        <v>3.2610000000000001</v>
      </c>
    </row>
    <row r="70" spans="2:25" x14ac:dyDescent="0.3">
      <c r="B70" s="6">
        <v>67</v>
      </c>
      <c r="C70" s="9">
        <v>2.794</v>
      </c>
      <c r="D70" s="9">
        <v>2.6320000000000001</v>
      </c>
      <c r="E70" s="9">
        <v>2.6280000000000001</v>
      </c>
      <c r="F70" s="9">
        <v>2.552</v>
      </c>
      <c r="I70" s="3">
        <f t="shared" ca="1" si="0"/>
        <v>3.5720000000000001</v>
      </c>
      <c r="J70" s="2">
        <f t="shared" ca="1" si="0"/>
        <v>3.222</v>
      </c>
      <c r="K70" s="2">
        <f t="shared" ca="1" si="0"/>
        <v>2.8370000000000002</v>
      </c>
      <c r="L70" s="2">
        <f t="shared" ca="1" si="0"/>
        <v>2.5369999999999999</v>
      </c>
      <c r="M70" s="2">
        <f t="shared" ca="1" si="0"/>
        <v>2.339</v>
      </c>
      <c r="N70" s="2">
        <f t="shared" ca="1" si="0"/>
        <v>2.1680000000000001</v>
      </c>
      <c r="O70" s="2">
        <f t="shared" ca="1" si="0"/>
        <v>2.0419999999999998</v>
      </c>
      <c r="P70" s="2">
        <f t="shared" ca="1" si="0"/>
        <v>1.968</v>
      </c>
      <c r="Q70" s="2">
        <f t="shared" ca="1" si="0"/>
        <v>1.95</v>
      </c>
      <c r="R70" s="2">
        <f t="shared" ca="1" si="0"/>
        <v>1.9770000000000001</v>
      </c>
      <c r="S70" s="2">
        <f t="shared" ca="1" si="0"/>
        <v>2.069</v>
      </c>
      <c r="T70" s="2">
        <f t="shared" ca="1" si="0"/>
        <v>2.1920000000000002</v>
      </c>
      <c r="U70" s="2">
        <f t="shared" ca="1" si="0"/>
        <v>2.35</v>
      </c>
      <c r="V70" s="2">
        <f t="shared" ca="1" si="0"/>
        <v>2.5369999999999999</v>
      </c>
      <c r="W70" s="2">
        <f t="shared" ca="1" si="0"/>
        <v>2.8079999999999998</v>
      </c>
      <c r="X70" s="2">
        <f t="shared" ca="1" si="0"/>
        <v>3.14</v>
      </c>
      <c r="Y70" s="3">
        <f t="shared" ca="1" si="0"/>
        <v>3.4220000000000002</v>
      </c>
    </row>
    <row r="71" spans="2:25" x14ac:dyDescent="0.3">
      <c r="B71" s="6">
        <v>68</v>
      </c>
      <c r="C71" s="9">
        <v>2.6930000000000001</v>
      </c>
      <c r="D71" s="9">
        <v>2.5</v>
      </c>
      <c r="E71" s="9">
        <v>2.4990000000000001</v>
      </c>
      <c r="F71" s="9">
        <v>2.427</v>
      </c>
    </row>
    <row r="72" spans="2:25" x14ac:dyDescent="0.3">
      <c r="B72" s="6">
        <v>69</v>
      </c>
      <c r="C72" s="9">
        <v>2.355</v>
      </c>
      <c r="D72" s="9">
        <v>2.1920000000000002</v>
      </c>
      <c r="E72" s="9">
        <v>2.1920000000000002</v>
      </c>
      <c r="F72" s="9">
        <v>2.1349999999999998</v>
      </c>
      <c r="H72" t="s">
        <v>1</v>
      </c>
      <c r="I72" s="10">
        <f t="shared" ref="I72:Y84" ca="1" si="1">INDIRECT("D"&amp;(17*ROW(1:1)+ROW($D$3)-19+IF(COLUMN(C:C)&gt;19,50000,COLUMN(C:C)-1)))</f>
        <v>3.2679999999999998</v>
      </c>
      <c r="J72" s="2">
        <f t="shared" ca="1" si="1"/>
        <v>2.9470000000000001</v>
      </c>
      <c r="K72" s="2">
        <f t="shared" ca="1" si="1"/>
        <v>2.61</v>
      </c>
      <c r="L72" s="2">
        <f t="shared" ca="1" si="1"/>
        <v>2.3420000000000001</v>
      </c>
      <c r="M72" s="2">
        <f t="shared" ca="1" si="1"/>
        <v>2.1659999999999999</v>
      </c>
      <c r="N72" s="2">
        <f t="shared" ca="1" si="1"/>
        <v>2.0230000000000001</v>
      </c>
      <c r="O72" s="2">
        <f t="shared" ca="1" si="1"/>
        <v>1.911</v>
      </c>
      <c r="P72" s="2">
        <f t="shared" ca="1" si="1"/>
        <v>1.8440000000000001</v>
      </c>
      <c r="Q72" s="2">
        <f t="shared" ca="1" si="1"/>
        <v>1.8220000000000001</v>
      </c>
      <c r="R72" s="2">
        <f t="shared" ca="1" si="1"/>
        <v>1.8440000000000001</v>
      </c>
      <c r="S72" s="2">
        <f t="shared" ca="1" si="1"/>
        <v>1.9119999999999999</v>
      </c>
      <c r="T72" s="2">
        <f t="shared" ca="1" si="1"/>
        <v>2.0209999999999999</v>
      </c>
      <c r="U72" s="2">
        <f t="shared" ca="1" si="1"/>
        <v>2.1619999999999999</v>
      </c>
      <c r="V72" s="2">
        <f t="shared" ca="1" si="1"/>
        <v>2.339</v>
      </c>
      <c r="W72" s="2">
        <f t="shared" ca="1" si="1"/>
        <v>2.6179999999999999</v>
      </c>
      <c r="X72" s="2">
        <f t="shared" ca="1" si="1"/>
        <v>2.944</v>
      </c>
      <c r="Y72" s="10">
        <f t="shared" ca="1" si="1"/>
        <v>3.2410000000000001</v>
      </c>
    </row>
    <row r="73" spans="2:25" x14ac:dyDescent="0.3">
      <c r="B73" s="6">
        <v>70</v>
      </c>
      <c r="C73" s="9">
        <v>2.0609999999999999</v>
      </c>
      <c r="D73" s="9">
        <v>1.93</v>
      </c>
      <c r="E73" s="9">
        <v>1.931</v>
      </c>
      <c r="F73" s="9">
        <v>1.883</v>
      </c>
      <c r="I73" s="2">
        <f t="shared" ca="1" si="1"/>
        <v>3.105</v>
      </c>
      <c r="J73" s="2">
        <f t="shared" ca="1" si="1"/>
        <v>2.6960000000000002</v>
      </c>
      <c r="K73" s="2">
        <f t="shared" ca="1" si="1"/>
        <v>2.36</v>
      </c>
      <c r="L73" s="2">
        <f t="shared" ca="1" si="1"/>
        <v>2.1379999999999999</v>
      </c>
      <c r="M73" s="2">
        <f t="shared" ca="1" si="1"/>
        <v>1.958</v>
      </c>
      <c r="N73" s="2">
        <f t="shared" ca="1" si="1"/>
        <v>1.8120000000000001</v>
      </c>
      <c r="O73" s="2">
        <f t="shared" ca="1" si="1"/>
        <v>1.702</v>
      </c>
      <c r="P73" s="2">
        <f t="shared" ca="1" si="1"/>
        <v>1.6339999999999999</v>
      </c>
      <c r="Q73" s="2">
        <f t="shared" ca="1" si="1"/>
        <v>1.611</v>
      </c>
      <c r="R73" s="2">
        <f t="shared" ca="1" si="1"/>
        <v>1.6339999999999999</v>
      </c>
      <c r="S73" s="2">
        <f t="shared" ca="1" si="1"/>
        <v>1.704</v>
      </c>
      <c r="T73" s="2">
        <f t="shared" ca="1" si="1"/>
        <v>1.8149999999999999</v>
      </c>
      <c r="U73" s="2">
        <f t="shared" ca="1" si="1"/>
        <v>1.964</v>
      </c>
      <c r="V73" s="2">
        <f t="shared" ca="1" si="1"/>
        <v>2.1429999999999998</v>
      </c>
      <c r="W73" s="2">
        <f t="shared" ca="1" si="1"/>
        <v>2.371</v>
      </c>
      <c r="X73" s="2">
        <f t="shared" ca="1" si="1"/>
        <v>2.7</v>
      </c>
      <c r="Y73" s="2">
        <f t="shared" ca="1" si="1"/>
        <v>3.0720000000000001</v>
      </c>
    </row>
    <row r="74" spans="2:25" x14ac:dyDescent="0.3">
      <c r="B74" s="6">
        <v>71</v>
      </c>
      <c r="C74" s="9">
        <v>1.7989999999999999</v>
      </c>
      <c r="D74" s="9">
        <v>1.6990000000000001</v>
      </c>
      <c r="E74" s="9">
        <v>1.7</v>
      </c>
      <c r="F74" s="9">
        <v>1.657</v>
      </c>
      <c r="I74" s="2">
        <f t="shared" ca="1" si="1"/>
        <v>2.879</v>
      </c>
      <c r="J74" s="2">
        <f t="shared" ca="1" si="1"/>
        <v>2.464</v>
      </c>
      <c r="K74" s="2">
        <f t="shared" ca="1" si="1"/>
        <v>2.1739999999999999</v>
      </c>
      <c r="L74" s="2">
        <f t="shared" ca="1" si="1"/>
        <v>1.9550000000000001</v>
      </c>
      <c r="M74" s="2">
        <f t="shared" ca="1" si="1"/>
        <v>1.766</v>
      </c>
      <c r="N74" s="2">
        <f t="shared" ca="1" si="1"/>
        <v>1.6120000000000001</v>
      </c>
      <c r="O74" s="2">
        <f t="shared" ca="1" si="1"/>
        <v>1.4950000000000001</v>
      </c>
      <c r="P74" s="2">
        <f t="shared" ca="1" si="1"/>
        <v>1.4239999999999999</v>
      </c>
      <c r="Q74" s="2">
        <f t="shared" ca="1" si="1"/>
        <v>1.403</v>
      </c>
      <c r="R74" s="2">
        <f t="shared" ca="1" si="1"/>
        <v>1.429</v>
      </c>
      <c r="S74" s="2">
        <f t="shared" ca="1" si="1"/>
        <v>1.506</v>
      </c>
      <c r="T74" s="2">
        <f t="shared" ca="1" si="1"/>
        <v>1.6240000000000001</v>
      </c>
      <c r="U74" s="2">
        <f t="shared" ca="1" si="1"/>
        <v>1.7769999999999999</v>
      </c>
      <c r="V74" s="2">
        <f t="shared" ca="1" si="1"/>
        <v>1.9670000000000001</v>
      </c>
      <c r="W74" s="2">
        <f t="shared" ca="1" si="1"/>
        <v>2.1829999999999998</v>
      </c>
      <c r="X74" s="2">
        <f t="shared" ca="1" si="1"/>
        <v>2.464</v>
      </c>
      <c r="Y74" s="2">
        <f t="shared" ca="1" si="1"/>
        <v>2.8519999999999999</v>
      </c>
    </row>
    <row r="75" spans="2:25" x14ac:dyDescent="0.3">
      <c r="B75" s="6">
        <v>72</v>
      </c>
      <c r="C75" s="9">
        <v>1.5629999999999999</v>
      </c>
      <c r="D75" s="9">
        <v>1.492</v>
      </c>
      <c r="E75" s="9">
        <v>1.4930000000000001</v>
      </c>
      <c r="F75" s="9">
        <v>1.454</v>
      </c>
      <c r="I75" s="2">
        <f t="shared" ca="1" si="1"/>
        <v>2.66</v>
      </c>
      <c r="J75" s="2">
        <f t="shared" ca="1" si="1"/>
        <v>2.3090000000000002</v>
      </c>
      <c r="K75" s="2">
        <f t="shared" ca="1" si="1"/>
        <v>2.0409999999999999</v>
      </c>
      <c r="L75" s="2">
        <f t="shared" ca="1" si="1"/>
        <v>1.8089999999999999</v>
      </c>
      <c r="M75" s="2">
        <f t="shared" ca="1" si="1"/>
        <v>1.611</v>
      </c>
      <c r="N75" s="2">
        <f t="shared" ca="1" si="1"/>
        <v>1.4450000000000001</v>
      </c>
      <c r="O75" s="2">
        <f t="shared" ca="1" si="1"/>
        <v>1.323</v>
      </c>
      <c r="P75" s="2">
        <f t="shared" ca="1" si="1"/>
        <v>1.2549999999999999</v>
      </c>
      <c r="Q75" s="2">
        <f t="shared" ca="1" si="1"/>
        <v>1.2370000000000001</v>
      </c>
      <c r="R75" s="2">
        <f t="shared" ca="1" si="1"/>
        <v>1.2609999999999999</v>
      </c>
      <c r="S75" s="2">
        <f t="shared" ca="1" si="1"/>
        <v>1.3360000000000001</v>
      </c>
      <c r="T75" s="2">
        <f t="shared" ca="1" si="1"/>
        <v>1.46</v>
      </c>
      <c r="U75" s="2">
        <f t="shared" ca="1" si="1"/>
        <v>1.625</v>
      </c>
      <c r="V75" s="2">
        <f t="shared" ca="1" si="1"/>
        <v>1.8220000000000001</v>
      </c>
      <c r="W75" s="2">
        <f t="shared" ca="1" si="1"/>
        <v>2.0470000000000002</v>
      </c>
      <c r="X75" s="2">
        <f t="shared" ca="1" si="1"/>
        <v>2.3029999999999999</v>
      </c>
      <c r="Y75" s="2">
        <f t="shared" ca="1" si="1"/>
        <v>2.6320000000000001</v>
      </c>
    </row>
    <row r="76" spans="2:25" x14ac:dyDescent="0.3">
      <c r="B76" s="6">
        <v>73</v>
      </c>
      <c r="C76" s="9">
        <v>1.3680000000000001</v>
      </c>
      <c r="D76" s="9">
        <v>1.32</v>
      </c>
      <c r="E76" s="9">
        <v>1.3220000000000001</v>
      </c>
      <c r="F76" s="9">
        <v>1.2889999999999999</v>
      </c>
      <c r="I76" s="2">
        <f t="shared" ca="1" si="1"/>
        <v>2.5</v>
      </c>
      <c r="J76" s="2">
        <f t="shared" ca="1" si="1"/>
        <v>2.1920000000000002</v>
      </c>
      <c r="K76" s="2">
        <f t="shared" ca="1" si="1"/>
        <v>1.93</v>
      </c>
      <c r="L76" s="2">
        <f t="shared" ca="1" si="1"/>
        <v>1.6990000000000001</v>
      </c>
      <c r="M76" s="2">
        <f t="shared" ca="1" si="1"/>
        <v>1.492</v>
      </c>
      <c r="N76" s="2">
        <f t="shared" ca="1" si="1"/>
        <v>1.32</v>
      </c>
      <c r="O76" s="2">
        <f t="shared" ca="1" si="1"/>
        <v>1.204</v>
      </c>
      <c r="P76" s="2">
        <f t="shared" ca="1" si="1"/>
        <v>1.1379999999999999</v>
      </c>
      <c r="Q76" s="2">
        <f t="shared" ca="1" si="1"/>
        <v>1.117</v>
      </c>
      <c r="R76" s="2">
        <f t="shared" ca="1" si="1"/>
        <v>1.141</v>
      </c>
      <c r="S76" s="2">
        <f t="shared" ca="1" si="1"/>
        <v>1.21</v>
      </c>
      <c r="T76" s="2">
        <f t="shared" ca="1" si="1"/>
        <v>1.3280000000000001</v>
      </c>
      <c r="U76" s="2">
        <f t="shared" ca="1" si="1"/>
        <v>1.5</v>
      </c>
      <c r="V76" s="2">
        <f t="shared" ca="1" si="1"/>
        <v>1.7070000000000001</v>
      </c>
      <c r="W76" s="2">
        <f t="shared" ca="1" si="1"/>
        <v>1.9410000000000001</v>
      </c>
      <c r="X76" s="2">
        <f t="shared" ca="1" si="1"/>
        <v>2.2000000000000002</v>
      </c>
      <c r="Y76" s="2">
        <f t="shared" ca="1" si="1"/>
        <v>2.4950000000000001</v>
      </c>
    </row>
    <row r="77" spans="2:25" x14ac:dyDescent="0.3">
      <c r="B77" s="6">
        <v>74</v>
      </c>
      <c r="C77" s="9">
        <v>1.2350000000000001</v>
      </c>
      <c r="D77" s="9">
        <v>1.204</v>
      </c>
      <c r="E77" s="9">
        <v>1.2050000000000001</v>
      </c>
      <c r="F77" s="9">
        <v>1.1779999999999999</v>
      </c>
      <c r="I77" s="2">
        <f t="shared" ca="1" si="1"/>
        <v>2.4239999999999999</v>
      </c>
      <c r="J77" s="2">
        <f t="shared" ca="1" si="1"/>
        <v>2.1240000000000001</v>
      </c>
      <c r="K77" s="2">
        <f t="shared" ca="1" si="1"/>
        <v>1.8560000000000001</v>
      </c>
      <c r="L77" s="2">
        <f t="shared" ca="1" si="1"/>
        <v>1.621</v>
      </c>
      <c r="M77" s="2">
        <f t="shared" ca="1" si="1"/>
        <v>1.4119999999999999</v>
      </c>
      <c r="N77" s="2">
        <f t="shared" ca="1" si="1"/>
        <v>1.248</v>
      </c>
      <c r="O77" s="2">
        <f t="shared" ca="1" si="1"/>
        <v>1.133</v>
      </c>
      <c r="P77" s="2">
        <f t="shared" ca="1" si="1"/>
        <v>1.0580000000000001</v>
      </c>
      <c r="Q77" s="2">
        <f t="shared" ca="1" si="1"/>
        <v>1.032</v>
      </c>
      <c r="R77" s="2">
        <f t="shared" ca="1" si="1"/>
        <v>1.0609999999999999</v>
      </c>
      <c r="S77" s="2">
        <f t="shared" ca="1" si="1"/>
        <v>1.137</v>
      </c>
      <c r="T77" s="2">
        <f t="shared" ca="1" si="1"/>
        <v>1.25</v>
      </c>
      <c r="U77" s="2">
        <f t="shared" ca="1" si="1"/>
        <v>1.415</v>
      </c>
      <c r="V77" s="2">
        <f t="shared" ca="1" si="1"/>
        <v>1.6279999999999999</v>
      </c>
      <c r="W77" s="2">
        <f t="shared" ca="1" si="1"/>
        <v>1.867</v>
      </c>
      <c r="X77" s="2">
        <f t="shared" ca="1" si="1"/>
        <v>2.1339999999999999</v>
      </c>
      <c r="Y77" s="2">
        <f t="shared" ca="1" si="1"/>
        <v>2.4249999999999998</v>
      </c>
    </row>
    <row r="78" spans="2:25" x14ac:dyDescent="0.3">
      <c r="B78" s="6">
        <v>75</v>
      </c>
      <c r="C78" s="9">
        <v>1.157</v>
      </c>
      <c r="D78" s="9">
        <v>1.1379999999999999</v>
      </c>
      <c r="E78" s="9">
        <v>1.1379999999999999</v>
      </c>
      <c r="F78" s="9">
        <v>1.119</v>
      </c>
      <c r="I78" s="2">
        <f t="shared" ca="1" si="1"/>
        <v>2.4039999999999999</v>
      </c>
      <c r="J78" s="2">
        <f t="shared" ca="1" si="1"/>
        <v>2.1019999999999999</v>
      </c>
      <c r="K78" s="2">
        <f t="shared" ca="1" si="1"/>
        <v>1.83</v>
      </c>
      <c r="L78" s="2">
        <f t="shared" ca="1" si="1"/>
        <v>1.59</v>
      </c>
      <c r="M78" s="2">
        <f t="shared" ca="1" si="1"/>
        <v>1.3759999999999999</v>
      </c>
      <c r="N78" s="2">
        <f t="shared" ca="1" si="1"/>
        <v>1.214</v>
      </c>
      <c r="O78" s="2">
        <f t="shared" ca="1" si="1"/>
        <v>1.1000000000000001</v>
      </c>
      <c r="P78" s="2">
        <f t="shared" ca="1" si="1"/>
        <v>1.024</v>
      </c>
      <c r="Q78" s="2">
        <f t="shared" ca="1" si="1"/>
        <v>1.0029999999999999</v>
      </c>
      <c r="R78" s="2">
        <f t="shared" ca="1" si="1"/>
        <v>1.0289999999999999</v>
      </c>
      <c r="S78" s="2">
        <f t="shared" ca="1" si="1"/>
        <v>1.109</v>
      </c>
      <c r="T78" s="2">
        <f t="shared" ca="1" si="1"/>
        <v>1.2230000000000001</v>
      </c>
      <c r="U78" s="2">
        <f t="shared" ca="1" si="1"/>
        <v>1.3859999999999999</v>
      </c>
      <c r="V78" s="2">
        <f t="shared" ca="1" si="1"/>
        <v>1.599</v>
      </c>
      <c r="W78" s="2">
        <f t="shared" ca="1" si="1"/>
        <v>1.8380000000000001</v>
      </c>
      <c r="X78" s="2">
        <f t="shared" ca="1" si="1"/>
        <v>2.105</v>
      </c>
      <c r="Y78" s="2">
        <f t="shared" ca="1" si="1"/>
        <v>2.3919999999999999</v>
      </c>
    </row>
    <row r="79" spans="2:25" x14ac:dyDescent="0.3">
      <c r="B79" s="6">
        <v>76</v>
      </c>
      <c r="C79" s="9">
        <v>1.1299999999999999</v>
      </c>
      <c r="D79" s="9">
        <v>1.117</v>
      </c>
      <c r="E79" s="9">
        <v>1.117</v>
      </c>
      <c r="F79" s="9">
        <v>1.1020000000000001</v>
      </c>
      <c r="I79" s="2">
        <f t="shared" ca="1" si="1"/>
        <v>2.4340000000000002</v>
      </c>
      <c r="J79" s="2">
        <f t="shared" ca="1" si="1"/>
        <v>2.1259999999999999</v>
      </c>
      <c r="K79" s="2">
        <f t="shared" ca="1" si="1"/>
        <v>1.8520000000000001</v>
      </c>
      <c r="L79" s="2">
        <f t="shared" ca="1" si="1"/>
        <v>1.6120000000000001</v>
      </c>
      <c r="M79" s="2">
        <f t="shared" ca="1" si="1"/>
        <v>1.3979999999999999</v>
      </c>
      <c r="N79" s="2">
        <f t="shared" ca="1" si="1"/>
        <v>1.2330000000000001</v>
      </c>
      <c r="O79" s="2">
        <f t="shared" ca="1" si="1"/>
        <v>1.1180000000000001</v>
      </c>
      <c r="P79" s="2">
        <f t="shared" ca="1" si="1"/>
        <v>1.0429999999999999</v>
      </c>
      <c r="Q79" s="2">
        <f t="shared" ca="1" si="1"/>
        <v>1.0209999999999999</v>
      </c>
      <c r="R79" s="2">
        <f t="shared" ca="1" si="1"/>
        <v>1.0509999999999999</v>
      </c>
      <c r="S79" s="2">
        <f t="shared" ca="1" si="1"/>
        <v>1.1319999999999999</v>
      </c>
      <c r="T79" s="2">
        <f t="shared" ca="1" si="1"/>
        <v>1.2470000000000001</v>
      </c>
      <c r="U79" s="2">
        <f t="shared" ca="1" si="1"/>
        <v>1.413</v>
      </c>
      <c r="V79" s="2">
        <f t="shared" ca="1" si="1"/>
        <v>1.6259999999999999</v>
      </c>
      <c r="W79" s="2">
        <f t="shared" ca="1" si="1"/>
        <v>1.8620000000000001</v>
      </c>
      <c r="X79" s="2">
        <f t="shared" ca="1" si="1"/>
        <v>2.1240000000000001</v>
      </c>
      <c r="Y79" s="2">
        <f t="shared" ca="1" si="1"/>
        <v>2.407</v>
      </c>
    </row>
    <row r="80" spans="2:25" x14ac:dyDescent="0.3">
      <c r="B80" s="6">
        <v>77</v>
      </c>
      <c r="C80" s="9">
        <v>1.159</v>
      </c>
      <c r="D80" s="9">
        <v>1.141</v>
      </c>
      <c r="E80" s="9">
        <v>1.141</v>
      </c>
      <c r="F80" s="9">
        <v>1.1220000000000001</v>
      </c>
      <c r="I80" s="2">
        <f t="shared" ca="1" si="1"/>
        <v>2.5089999999999999</v>
      </c>
      <c r="J80" s="2">
        <f t="shared" ca="1" si="1"/>
        <v>2.1989999999999998</v>
      </c>
      <c r="K80" s="2">
        <f t="shared" ca="1" si="1"/>
        <v>1.93</v>
      </c>
      <c r="L80" s="2">
        <f t="shared" ca="1" si="1"/>
        <v>1.6910000000000001</v>
      </c>
      <c r="M80" s="2">
        <f t="shared" ca="1" si="1"/>
        <v>1.4790000000000001</v>
      </c>
      <c r="N80" s="2">
        <f t="shared" ca="1" si="1"/>
        <v>1.306</v>
      </c>
      <c r="O80" s="2">
        <f t="shared" ca="1" si="1"/>
        <v>1.19</v>
      </c>
      <c r="P80" s="2">
        <f t="shared" ca="1" si="1"/>
        <v>1.1200000000000001</v>
      </c>
      <c r="Q80" s="2">
        <f t="shared" ca="1" si="1"/>
        <v>1.0980000000000001</v>
      </c>
      <c r="R80" s="2">
        <f t="shared" ca="1" si="1"/>
        <v>1.123</v>
      </c>
      <c r="S80" s="2">
        <f t="shared" ca="1" si="1"/>
        <v>1.196</v>
      </c>
      <c r="T80" s="2">
        <f t="shared" ca="1" si="1"/>
        <v>1.3160000000000001</v>
      </c>
      <c r="U80" s="2">
        <f t="shared" ca="1" si="1"/>
        <v>1.492</v>
      </c>
      <c r="V80" s="2">
        <f t="shared" ca="1" si="1"/>
        <v>1.7030000000000001</v>
      </c>
      <c r="W80" s="2">
        <f t="shared" ca="1" si="1"/>
        <v>1.9379999999999999</v>
      </c>
      <c r="X80" s="2">
        <f t="shared" ca="1" si="1"/>
        <v>2.1989999999999998</v>
      </c>
      <c r="Y80" s="2">
        <f t="shared" ca="1" si="1"/>
        <v>2.4950000000000001</v>
      </c>
    </row>
    <row r="81" spans="2:25" x14ac:dyDescent="0.3">
      <c r="B81" s="6">
        <v>78</v>
      </c>
      <c r="C81" s="9">
        <v>1.2390000000000001</v>
      </c>
      <c r="D81" s="9">
        <v>1.21</v>
      </c>
      <c r="E81" s="9">
        <v>1.21</v>
      </c>
      <c r="F81" s="9">
        <v>1.1839999999999999</v>
      </c>
      <c r="I81" s="2">
        <f t="shared" ca="1" si="1"/>
        <v>2.64</v>
      </c>
      <c r="J81" s="2">
        <f t="shared" ca="1" si="1"/>
        <v>2.3010000000000002</v>
      </c>
      <c r="K81" s="2">
        <f t="shared" ca="1" si="1"/>
        <v>2.0350000000000001</v>
      </c>
      <c r="L81" s="2">
        <f t="shared" ca="1" si="1"/>
        <v>1.8029999999999999</v>
      </c>
      <c r="M81" s="2">
        <f t="shared" ca="1" si="1"/>
        <v>1.6020000000000001</v>
      </c>
      <c r="N81" s="2">
        <f t="shared" ca="1" si="1"/>
        <v>1.4319999999999999</v>
      </c>
      <c r="O81" s="2">
        <f t="shared" ca="1" si="1"/>
        <v>1.306</v>
      </c>
      <c r="P81" s="2">
        <f t="shared" ca="1" si="1"/>
        <v>1.234</v>
      </c>
      <c r="Q81" s="2">
        <f t="shared" ca="1" si="1"/>
        <v>1.2110000000000001</v>
      </c>
      <c r="R81" s="2">
        <f t="shared" ca="1" si="1"/>
        <v>1.234</v>
      </c>
      <c r="S81" s="2">
        <f t="shared" ca="1" si="1"/>
        <v>1.306</v>
      </c>
      <c r="T81" s="2">
        <f t="shared" ca="1" si="1"/>
        <v>1.43</v>
      </c>
      <c r="U81" s="2">
        <f t="shared" ca="1" si="1"/>
        <v>1.6020000000000001</v>
      </c>
      <c r="V81" s="2">
        <f t="shared" ca="1" si="1"/>
        <v>1.8080000000000001</v>
      </c>
      <c r="W81" s="2">
        <f t="shared" ca="1" si="1"/>
        <v>2.0430000000000001</v>
      </c>
      <c r="X81" s="2">
        <f t="shared" ca="1" si="1"/>
        <v>2.3069999999999999</v>
      </c>
      <c r="Y81" s="2">
        <f t="shared" ca="1" si="1"/>
        <v>2.6440000000000001</v>
      </c>
    </row>
    <row r="82" spans="2:25" x14ac:dyDescent="0.3">
      <c r="B82" s="6">
        <v>79</v>
      </c>
      <c r="C82" s="9">
        <v>1.37</v>
      </c>
      <c r="D82" s="9">
        <v>1.3280000000000001</v>
      </c>
      <c r="E82" s="9">
        <v>1.3280000000000001</v>
      </c>
      <c r="F82" s="9">
        <v>1.2969999999999999</v>
      </c>
      <c r="I82" s="2">
        <f t="shared" ca="1" si="1"/>
        <v>2.8679999999999999</v>
      </c>
      <c r="J82" s="2">
        <f t="shared" ca="1" si="1"/>
        <v>2.4649999999999999</v>
      </c>
      <c r="K82" s="2">
        <f t="shared" ca="1" si="1"/>
        <v>2.1779999999999999</v>
      </c>
      <c r="L82" s="2">
        <f t="shared" ca="1" si="1"/>
        <v>1.9530000000000001</v>
      </c>
      <c r="M82" s="2">
        <f t="shared" ca="1" si="1"/>
        <v>1.758</v>
      </c>
      <c r="N82" s="2">
        <f t="shared" ca="1" si="1"/>
        <v>1.601</v>
      </c>
      <c r="O82" s="2">
        <f t="shared" ca="1" si="1"/>
        <v>1.48</v>
      </c>
      <c r="P82" s="2">
        <f t="shared" ca="1" si="1"/>
        <v>1.403</v>
      </c>
      <c r="Q82" s="2">
        <f t="shared" ca="1" si="1"/>
        <v>1.377</v>
      </c>
      <c r="R82" s="2">
        <f t="shared" ca="1" si="1"/>
        <v>1.4019999999999999</v>
      </c>
      <c r="S82" s="2">
        <f t="shared" ca="1" si="1"/>
        <v>1.4790000000000001</v>
      </c>
      <c r="T82" s="2">
        <f t="shared" ca="1" si="1"/>
        <v>1.6020000000000001</v>
      </c>
      <c r="U82" s="2">
        <f t="shared" ca="1" si="1"/>
        <v>1.7589999999999999</v>
      </c>
      <c r="V82" s="2">
        <f t="shared" ca="1" si="1"/>
        <v>1.956</v>
      </c>
      <c r="W82" s="2">
        <f t="shared" ca="1" si="1"/>
        <v>2.1800000000000002</v>
      </c>
      <c r="X82" s="2">
        <f t="shared" ca="1" si="1"/>
        <v>2.4660000000000002</v>
      </c>
      <c r="Y82" s="2">
        <f t="shared" ca="1" si="1"/>
        <v>2.863</v>
      </c>
    </row>
    <row r="83" spans="2:25" x14ac:dyDescent="0.3">
      <c r="B83" s="6">
        <v>80</v>
      </c>
      <c r="C83" s="9">
        <v>1.5629999999999999</v>
      </c>
      <c r="D83" s="9">
        <v>1.5</v>
      </c>
      <c r="E83" s="9">
        <v>1.4990000000000001</v>
      </c>
      <c r="F83" s="9">
        <v>1.466</v>
      </c>
      <c r="I83" s="2">
        <f t="shared" ca="1" si="1"/>
        <v>3.1320000000000001</v>
      </c>
      <c r="J83" s="2">
        <f t="shared" ca="1" si="1"/>
        <v>2.7120000000000002</v>
      </c>
      <c r="K83" s="2">
        <f t="shared" ca="1" si="1"/>
        <v>2.3740000000000001</v>
      </c>
      <c r="L83" s="2">
        <f t="shared" ca="1" si="1"/>
        <v>2.145</v>
      </c>
      <c r="M83" s="2">
        <f t="shared" ca="1" si="1"/>
        <v>1.956</v>
      </c>
      <c r="N83" s="2">
        <f t="shared" ca="1" si="1"/>
        <v>1.8009999999999999</v>
      </c>
      <c r="O83" s="2">
        <f t="shared" ca="1" si="1"/>
        <v>1.6890000000000001</v>
      </c>
      <c r="P83" s="2">
        <f t="shared" ca="1" si="1"/>
        <v>1.619</v>
      </c>
      <c r="Q83" s="2">
        <f t="shared" ca="1" si="1"/>
        <v>1.5980000000000001</v>
      </c>
      <c r="R83" s="2">
        <f t="shared" ca="1" si="1"/>
        <v>1.625</v>
      </c>
      <c r="S83" s="2">
        <f t="shared" ca="1" si="1"/>
        <v>1.7010000000000001</v>
      </c>
      <c r="T83" s="2">
        <f t="shared" ca="1" si="1"/>
        <v>1.8129999999999999</v>
      </c>
      <c r="U83" s="2">
        <f t="shared" ca="1" si="1"/>
        <v>1.9630000000000001</v>
      </c>
      <c r="V83" s="2">
        <f t="shared" ca="1" si="1"/>
        <v>2.145</v>
      </c>
      <c r="W83" s="2">
        <f t="shared" ca="1" si="1"/>
        <v>2.363</v>
      </c>
      <c r="X83" s="2">
        <f t="shared" ca="1" si="1"/>
        <v>2.6909999999999998</v>
      </c>
      <c r="Y83" s="2">
        <f t="shared" ca="1" si="1"/>
        <v>3.0790000000000002</v>
      </c>
    </row>
    <row r="84" spans="2:25" x14ac:dyDescent="0.3">
      <c r="B84" s="6">
        <v>81</v>
      </c>
      <c r="C84" s="9">
        <v>1.7969999999999999</v>
      </c>
      <c r="D84" s="9">
        <v>1.7070000000000001</v>
      </c>
      <c r="E84" s="9">
        <v>1.706</v>
      </c>
      <c r="F84" s="9">
        <v>1.67</v>
      </c>
      <c r="I84" s="10">
        <f t="shared" ca="1" si="1"/>
        <v>3.37</v>
      </c>
      <c r="J84" s="2">
        <f t="shared" ca="1" si="1"/>
        <v>3.0310000000000001</v>
      </c>
      <c r="K84" s="2">
        <f t="shared" ca="1" si="1"/>
        <v>2.6669999999999998</v>
      </c>
      <c r="L84" s="2">
        <f t="shared" ca="1" si="1"/>
        <v>2.3889999999999998</v>
      </c>
      <c r="M84" s="2">
        <f t="shared" ca="1" si="1"/>
        <v>2.206</v>
      </c>
      <c r="N84" s="2">
        <f t="shared" ca="1" si="1"/>
        <v>2.0499999999999998</v>
      </c>
      <c r="O84" s="2">
        <f t="shared" ca="1" si="1"/>
        <v>1.9359999999999999</v>
      </c>
      <c r="P84" s="2">
        <f t="shared" ca="1" si="1"/>
        <v>1.8680000000000001</v>
      </c>
      <c r="Q84" s="2">
        <f t="shared" ca="1" si="1"/>
        <v>1.849</v>
      </c>
      <c r="R84" s="2">
        <f t="shared" ca="1" si="1"/>
        <v>1.8779999999999999</v>
      </c>
      <c r="S84" s="2">
        <f t="shared" ca="1" si="1"/>
        <v>1.9570000000000001</v>
      </c>
      <c r="T84" s="2">
        <f t="shared" ca="1" si="1"/>
        <v>2.0720000000000001</v>
      </c>
      <c r="U84" s="2">
        <f t="shared" ca="1" si="1"/>
        <v>2.2189999999999999</v>
      </c>
      <c r="V84" s="2">
        <f t="shared" ca="1" si="1"/>
        <v>2.3889999999999998</v>
      </c>
      <c r="W84" s="2">
        <f t="shared" ca="1" si="1"/>
        <v>2.649</v>
      </c>
      <c r="X84" s="2">
        <f t="shared" ca="1" si="1"/>
        <v>2.9630000000000001</v>
      </c>
      <c r="Y84" s="10">
        <f t="shared" ca="1" si="1"/>
        <v>3.2370000000000001</v>
      </c>
    </row>
    <row r="85" spans="2:25" x14ac:dyDescent="0.3">
      <c r="B85" s="6">
        <v>82</v>
      </c>
      <c r="C85" s="9">
        <v>2.0590000000000002</v>
      </c>
      <c r="D85" s="9">
        <v>1.9410000000000001</v>
      </c>
      <c r="E85" s="9">
        <v>1.9390000000000001</v>
      </c>
      <c r="F85" s="9">
        <v>1.9</v>
      </c>
    </row>
    <row r="86" spans="2:25" x14ac:dyDescent="0.3">
      <c r="B86" s="6">
        <v>83</v>
      </c>
      <c r="C86" s="9">
        <v>2.343</v>
      </c>
      <c r="D86" s="9">
        <v>2.2000000000000002</v>
      </c>
      <c r="E86" s="9">
        <v>2.1970000000000001</v>
      </c>
      <c r="F86" s="9">
        <v>2.149</v>
      </c>
      <c r="H86" t="s">
        <v>2</v>
      </c>
      <c r="I86" s="11">
        <f t="shared" ref="I86:Y98" ca="1" si="2">INDIRECT("E"&amp;(17*ROW(1:1)+ROW($E$3)-19+IF(COLUMN(C:C)&gt;19,50000,COLUMN(C:C)-1)))</f>
        <v>3.2669999999999999</v>
      </c>
      <c r="J86" s="2">
        <f t="shared" ca="1" si="2"/>
        <v>2.9489999999999998</v>
      </c>
      <c r="K86" s="2">
        <f t="shared" ca="1" si="2"/>
        <v>2.6139999999999999</v>
      </c>
      <c r="L86" s="2">
        <f t="shared" ca="1" si="2"/>
        <v>2.3460000000000001</v>
      </c>
      <c r="M86" s="2">
        <f t="shared" ca="1" si="2"/>
        <v>2.17</v>
      </c>
      <c r="N86" s="2">
        <f t="shared" ca="1" si="2"/>
        <v>2.0270000000000001</v>
      </c>
      <c r="O86" s="2">
        <f t="shared" ca="1" si="2"/>
        <v>1.915</v>
      </c>
      <c r="P86" s="2">
        <f t="shared" ca="1" si="2"/>
        <v>1.8480000000000001</v>
      </c>
      <c r="Q86" s="2">
        <f t="shared" ca="1" si="2"/>
        <v>1.8260000000000001</v>
      </c>
      <c r="R86" s="2">
        <f t="shared" ca="1" si="2"/>
        <v>1.8480000000000001</v>
      </c>
      <c r="S86" s="2">
        <f t="shared" ca="1" si="2"/>
        <v>1.9159999999999999</v>
      </c>
      <c r="T86" s="2">
        <f t="shared" ca="1" si="2"/>
        <v>2.024</v>
      </c>
      <c r="U86" s="2">
        <f t="shared" ca="1" si="2"/>
        <v>2.1640000000000001</v>
      </c>
      <c r="V86" s="2">
        <f t="shared" ca="1" si="2"/>
        <v>2.3410000000000002</v>
      </c>
      <c r="W86" s="2">
        <f t="shared" ca="1" si="2"/>
        <v>2.6190000000000002</v>
      </c>
      <c r="X86" s="2">
        <f t="shared" ca="1" si="2"/>
        <v>2.9430000000000001</v>
      </c>
      <c r="Y86" s="11">
        <f t="shared" ca="1" si="2"/>
        <v>3.24</v>
      </c>
    </row>
    <row r="87" spans="2:25" x14ac:dyDescent="0.3">
      <c r="B87" s="6">
        <v>84</v>
      </c>
      <c r="C87" s="9">
        <v>2.6560000000000001</v>
      </c>
      <c r="D87" s="9">
        <v>2.4950000000000001</v>
      </c>
      <c r="E87" s="9">
        <v>2.4900000000000002</v>
      </c>
      <c r="F87" s="9">
        <v>2.427</v>
      </c>
      <c r="I87" s="2">
        <f t="shared" ca="1" si="2"/>
        <v>3.105</v>
      </c>
      <c r="J87" s="2">
        <f t="shared" ca="1" si="2"/>
        <v>2.698</v>
      </c>
      <c r="K87" s="2">
        <f t="shared" ca="1" si="2"/>
        <v>2.3620000000000001</v>
      </c>
      <c r="L87" s="2">
        <f t="shared" ca="1" si="2"/>
        <v>2.141</v>
      </c>
      <c r="M87" s="2">
        <f t="shared" ca="1" si="2"/>
        <v>1.962</v>
      </c>
      <c r="N87" s="2">
        <f t="shared" ca="1" si="2"/>
        <v>1.8160000000000001</v>
      </c>
      <c r="O87" s="2">
        <f t="shared" ca="1" si="2"/>
        <v>1.7050000000000001</v>
      </c>
      <c r="P87" s="2">
        <f t="shared" ca="1" si="2"/>
        <v>1.637</v>
      </c>
      <c r="Q87" s="2">
        <f t="shared" ca="1" si="2"/>
        <v>1.6140000000000001</v>
      </c>
      <c r="R87" s="2">
        <f t="shared" ca="1" si="2"/>
        <v>1.635</v>
      </c>
      <c r="S87" s="2">
        <f t="shared" ca="1" si="2"/>
        <v>1.706</v>
      </c>
      <c r="T87" s="2">
        <f t="shared" ca="1" si="2"/>
        <v>1.8169999999999999</v>
      </c>
      <c r="U87" s="2">
        <f t="shared" ca="1" si="2"/>
        <v>1.9650000000000001</v>
      </c>
      <c r="V87" s="2">
        <f t="shared" ca="1" si="2"/>
        <v>2.1440000000000001</v>
      </c>
      <c r="W87" s="2">
        <f t="shared" ca="1" si="2"/>
        <v>2.371</v>
      </c>
      <c r="X87" s="2">
        <f t="shared" ca="1" si="2"/>
        <v>2.6989999999999998</v>
      </c>
      <c r="Y87" s="2">
        <f t="shared" ca="1" si="2"/>
        <v>3.0680000000000001</v>
      </c>
    </row>
    <row r="88" spans="2:25" x14ac:dyDescent="0.3">
      <c r="B88" s="6">
        <v>85</v>
      </c>
      <c r="C88" s="9">
        <v>2.609</v>
      </c>
      <c r="D88" s="9">
        <v>2.4239999999999999</v>
      </c>
      <c r="E88" s="9">
        <v>2.4239999999999999</v>
      </c>
      <c r="F88" s="9">
        <v>2.351</v>
      </c>
      <c r="I88" s="2">
        <f t="shared" ca="1" si="2"/>
        <v>2.88</v>
      </c>
      <c r="J88" s="2">
        <f t="shared" ca="1" si="2"/>
        <v>2.4649999999999999</v>
      </c>
      <c r="K88" s="2">
        <f t="shared" ca="1" si="2"/>
        <v>2.1749999999999998</v>
      </c>
      <c r="L88" s="2">
        <f t="shared" ca="1" si="2"/>
        <v>1.9570000000000001</v>
      </c>
      <c r="M88" s="2">
        <f t="shared" ca="1" si="2"/>
        <v>1.768</v>
      </c>
      <c r="N88" s="2">
        <f t="shared" ca="1" si="2"/>
        <v>1.615</v>
      </c>
      <c r="O88" s="2">
        <f t="shared" ca="1" si="2"/>
        <v>1.4970000000000001</v>
      </c>
      <c r="P88" s="2">
        <f t="shared" ca="1" si="2"/>
        <v>1.4259999999999999</v>
      </c>
      <c r="Q88" s="2">
        <f t="shared" ca="1" si="2"/>
        <v>1.4039999999999999</v>
      </c>
      <c r="R88" s="2">
        <f t="shared" ca="1" si="2"/>
        <v>1.43</v>
      </c>
      <c r="S88" s="2">
        <f t="shared" ca="1" si="2"/>
        <v>1.5069999999999999</v>
      </c>
      <c r="T88" s="2">
        <f t="shared" ca="1" si="2"/>
        <v>1.625</v>
      </c>
      <c r="U88" s="2">
        <f t="shared" ca="1" si="2"/>
        <v>1.778</v>
      </c>
      <c r="V88" s="2">
        <f t="shared" ca="1" si="2"/>
        <v>1.966</v>
      </c>
      <c r="W88" s="2">
        <f t="shared" ca="1" si="2"/>
        <v>2.181</v>
      </c>
      <c r="X88" s="2">
        <f t="shared" ca="1" si="2"/>
        <v>2.4609999999999999</v>
      </c>
      <c r="Y88" s="2">
        <f t="shared" ca="1" si="2"/>
        <v>2.8479999999999999</v>
      </c>
    </row>
    <row r="89" spans="2:25" x14ac:dyDescent="0.3">
      <c r="B89" s="6">
        <v>86</v>
      </c>
      <c r="C89" s="9">
        <v>2.278</v>
      </c>
      <c r="D89" s="9">
        <v>2.1240000000000001</v>
      </c>
      <c r="E89" s="9">
        <v>2.1240000000000001</v>
      </c>
      <c r="F89" s="9">
        <v>2.0680000000000001</v>
      </c>
      <c r="I89" s="2">
        <f t="shared" ca="1" si="2"/>
        <v>2.66</v>
      </c>
      <c r="J89" s="2">
        <f t="shared" ca="1" si="2"/>
        <v>2.3090000000000002</v>
      </c>
      <c r="K89" s="2">
        <f t="shared" ca="1" si="2"/>
        <v>2.0409999999999999</v>
      </c>
      <c r="L89" s="2">
        <f t="shared" ca="1" si="2"/>
        <v>1.8109999999999999</v>
      </c>
      <c r="M89" s="2">
        <f t="shared" ca="1" si="2"/>
        <v>1.613</v>
      </c>
      <c r="N89" s="2">
        <f t="shared" ca="1" si="2"/>
        <v>1.4470000000000001</v>
      </c>
      <c r="O89" s="2">
        <f t="shared" ca="1" si="2"/>
        <v>1.3240000000000001</v>
      </c>
      <c r="P89" s="2">
        <f t="shared" ca="1" si="2"/>
        <v>1.256</v>
      </c>
      <c r="Q89" s="2">
        <f t="shared" ca="1" si="2"/>
        <v>1.2370000000000001</v>
      </c>
      <c r="R89" s="2">
        <f t="shared" ca="1" si="2"/>
        <v>1.2609999999999999</v>
      </c>
      <c r="S89" s="2">
        <f t="shared" ca="1" si="2"/>
        <v>1.3360000000000001</v>
      </c>
      <c r="T89" s="2">
        <f t="shared" ca="1" si="2"/>
        <v>1.46</v>
      </c>
      <c r="U89" s="2">
        <f t="shared" ca="1" si="2"/>
        <v>1.6240000000000001</v>
      </c>
      <c r="V89" s="2">
        <f t="shared" ca="1" si="2"/>
        <v>1.82</v>
      </c>
      <c r="W89" s="2">
        <f t="shared" ca="1" si="2"/>
        <v>2.044</v>
      </c>
      <c r="X89" s="2">
        <f t="shared" ca="1" si="2"/>
        <v>2.2999999999999998</v>
      </c>
      <c r="Y89" s="2">
        <f t="shared" ca="1" si="2"/>
        <v>2.6280000000000001</v>
      </c>
    </row>
    <row r="90" spans="2:25" x14ac:dyDescent="0.3">
      <c r="B90" s="6">
        <v>87</v>
      </c>
      <c r="C90" s="9">
        <v>1.9770000000000001</v>
      </c>
      <c r="D90" s="9">
        <v>1.8560000000000001</v>
      </c>
      <c r="E90" s="9">
        <v>1.857</v>
      </c>
      <c r="F90" s="9">
        <v>1.8129999999999999</v>
      </c>
      <c r="I90" s="2">
        <f t="shared" ca="1" si="2"/>
        <v>2.4990000000000001</v>
      </c>
      <c r="J90" s="2">
        <f t="shared" ca="1" si="2"/>
        <v>2.1920000000000002</v>
      </c>
      <c r="K90" s="2">
        <f t="shared" ca="1" si="2"/>
        <v>1.931</v>
      </c>
      <c r="L90" s="2">
        <f t="shared" ca="1" si="2"/>
        <v>1.7</v>
      </c>
      <c r="M90" s="2">
        <f t="shared" ca="1" si="2"/>
        <v>1.4930000000000001</v>
      </c>
      <c r="N90" s="2">
        <f t="shared" ca="1" si="2"/>
        <v>1.3220000000000001</v>
      </c>
      <c r="O90" s="2">
        <f t="shared" ca="1" si="2"/>
        <v>1.2050000000000001</v>
      </c>
      <c r="P90" s="2">
        <f t="shared" ca="1" si="2"/>
        <v>1.1379999999999999</v>
      </c>
      <c r="Q90" s="2">
        <f t="shared" ca="1" si="2"/>
        <v>1.117</v>
      </c>
      <c r="R90" s="2">
        <f t="shared" ca="1" si="2"/>
        <v>1.141</v>
      </c>
      <c r="S90" s="2">
        <f t="shared" ca="1" si="2"/>
        <v>1.21</v>
      </c>
      <c r="T90" s="2">
        <f t="shared" ca="1" si="2"/>
        <v>1.3280000000000001</v>
      </c>
      <c r="U90" s="2">
        <f t="shared" ca="1" si="2"/>
        <v>1.4990000000000001</v>
      </c>
      <c r="V90" s="2">
        <f t="shared" ca="1" si="2"/>
        <v>1.706</v>
      </c>
      <c r="W90" s="2">
        <f t="shared" ca="1" si="2"/>
        <v>1.9390000000000001</v>
      </c>
      <c r="X90" s="2">
        <f t="shared" ca="1" si="2"/>
        <v>2.1970000000000001</v>
      </c>
      <c r="Y90" s="2">
        <f t="shared" ca="1" si="2"/>
        <v>2.4900000000000002</v>
      </c>
    </row>
    <row r="91" spans="2:25" x14ac:dyDescent="0.3">
      <c r="B91" s="6">
        <v>88</v>
      </c>
      <c r="C91" s="9">
        <v>1.7090000000000001</v>
      </c>
      <c r="D91" s="9">
        <v>1.621</v>
      </c>
      <c r="E91" s="9">
        <v>1.623</v>
      </c>
      <c r="F91" s="9">
        <v>1.585</v>
      </c>
      <c r="I91" s="2">
        <f t="shared" ca="1" si="2"/>
        <v>2.4239999999999999</v>
      </c>
      <c r="J91" s="2">
        <f t="shared" ca="1" si="2"/>
        <v>2.1240000000000001</v>
      </c>
      <c r="K91" s="2">
        <f t="shared" ca="1" si="2"/>
        <v>1.857</v>
      </c>
      <c r="L91" s="2">
        <f t="shared" ca="1" si="2"/>
        <v>1.623</v>
      </c>
      <c r="M91" s="2">
        <f t="shared" ca="1" si="2"/>
        <v>1.413</v>
      </c>
      <c r="N91" s="2">
        <f t="shared" ca="1" si="2"/>
        <v>1.2490000000000001</v>
      </c>
      <c r="O91" s="2">
        <f t="shared" ca="1" si="2"/>
        <v>1.1339999999999999</v>
      </c>
      <c r="P91" s="2">
        <f t="shared" ca="1" si="2"/>
        <v>1.0589999999999999</v>
      </c>
      <c r="Q91" s="2">
        <f t="shared" ca="1" si="2"/>
        <v>1.032</v>
      </c>
      <c r="R91" s="2">
        <f t="shared" ca="1" si="2"/>
        <v>1.0609999999999999</v>
      </c>
      <c r="S91" s="2">
        <f t="shared" ca="1" si="2"/>
        <v>1.1379999999999999</v>
      </c>
      <c r="T91" s="2">
        <f t="shared" ca="1" si="2"/>
        <v>1.25</v>
      </c>
      <c r="U91" s="2">
        <f t="shared" ca="1" si="2"/>
        <v>1.4139999999999999</v>
      </c>
      <c r="V91" s="2">
        <f t="shared" ca="1" si="2"/>
        <v>1.6259999999999999</v>
      </c>
      <c r="W91" s="2">
        <f t="shared" ca="1" si="2"/>
        <v>1.865</v>
      </c>
      <c r="X91" s="2">
        <f t="shared" ca="1" si="2"/>
        <v>2.1309999999999998</v>
      </c>
      <c r="Y91" s="2">
        <f t="shared" ca="1" si="2"/>
        <v>2.42</v>
      </c>
    </row>
    <row r="92" spans="2:25" x14ac:dyDescent="0.3">
      <c r="B92" s="6">
        <v>89</v>
      </c>
      <c r="C92" s="9">
        <v>1.4690000000000001</v>
      </c>
      <c r="D92" s="9">
        <v>1.4119999999999999</v>
      </c>
      <c r="E92" s="9">
        <v>1.413</v>
      </c>
      <c r="F92" s="9">
        <v>1.383</v>
      </c>
      <c r="I92" s="2">
        <f t="shared" ca="1" si="2"/>
        <v>2.403</v>
      </c>
      <c r="J92" s="2">
        <f t="shared" ca="1" si="2"/>
        <v>2.101</v>
      </c>
      <c r="K92" s="2">
        <f t="shared" ca="1" si="2"/>
        <v>1.83</v>
      </c>
      <c r="L92" s="2">
        <f t="shared" ca="1" si="2"/>
        <v>1.591</v>
      </c>
      <c r="M92" s="2">
        <f t="shared" ca="1" si="2"/>
        <v>1.3779999999999999</v>
      </c>
      <c r="N92" s="2">
        <f t="shared" ca="1" si="2"/>
        <v>1.216</v>
      </c>
      <c r="O92" s="2">
        <f t="shared" ca="1" si="2"/>
        <v>1.1020000000000001</v>
      </c>
      <c r="P92" s="2">
        <f t="shared" ca="1" si="2"/>
        <v>1.0249999999999999</v>
      </c>
      <c r="Q92" s="2">
        <f t="shared" ca="1" si="2"/>
        <v>1.0029999999999999</v>
      </c>
      <c r="R92" s="2">
        <f t="shared" ca="1" si="2"/>
        <v>1.0289999999999999</v>
      </c>
      <c r="S92" s="2">
        <f t="shared" ca="1" si="2"/>
        <v>1.109</v>
      </c>
      <c r="T92" s="2">
        <f t="shared" ca="1" si="2"/>
        <v>1.2230000000000001</v>
      </c>
      <c r="U92" s="2">
        <f t="shared" ca="1" si="2"/>
        <v>1.385</v>
      </c>
      <c r="V92" s="2">
        <f t="shared" ca="1" si="2"/>
        <v>1.5980000000000001</v>
      </c>
      <c r="W92" s="2">
        <f t="shared" ca="1" si="2"/>
        <v>1.8360000000000001</v>
      </c>
      <c r="X92" s="2">
        <f t="shared" ca="1" si="2"/>
        <v>2.1019999999999999</v>
      </c>
      <c r="Y92" s="2">
        <f t="shared" ca="1" si="2"/>
        <v>2.387</v>
      </c>
    </row>
    <row r="93" spans="2:25" x14ac:dyDescent="0.3">
      <c r="B93" s="6">
        <v>90</v>
      </c>
      <c r="C93" s="9">
        <v>1.284</v>
      </c>
      <c r="D93" s="9">
        <v>1.248</v>
      </c>
      <c r="E93" s="9">
        <v>1.2490000000000001</v>
      </c>
      <c r="F93" s="9">
        <v>1.2250000000000001</v>
      </c>
      <c r="I93" s="2">
        <f t="shared" ca="1" si="2"/>
        <v>2.4319999999999999</v>
      </c>
      <c r="J93" s="2">
        <f t="shared" ca="1" si="2"/>
        <v>2.125</v>
      </c>
      <c r="K93" s="2">
        <f t="shared" ca="1" si="2"/>
        <v>1.8520000000000001</v>
      </c>
      <c r="L93" s="2">
        <f t="shared" ca="1" si="2"/>
        <v>1.613</v>
      </c>
      <c r="M93" s="2">
        <f t="shared" ca="1" si="2"/>
        <v>1.399</v>
      </c>
      <c r="N93" s="2">
        <f t="shared" ca="1" si="2"/>
        <v>1.234</v>
      </c>
      <c r="O93" s="2">
        <f t="shared" ca="1" si="2"/>
        <v>1.1180000000000001</v>
      </c>
      <c r="P93" s="2">
        <f t="shared" ca="1" si="2"/>
        <v>1.0429999999999999</v>
      </c>
      <c r="Q93" s="2">
        <f t="shared" ca="1" si="2"/>
        <v>1.0209999999999999</v>
      </c>
      <c r="R93" s="2">
        <f t="shared" ca="1" si="2"/>
        <v>1.05</v>
      </c>
      <c r="S93" s="2">
        <f t="shared" ca="1" si="2"/>
        <v>1.131</v>
      </c>
      <c r="T93" s="2">
        <f t="shared" ca="1" si="2"/>
        <v>1.246</v>
      </c>
      <c r="U93" s="2">
        <f t="shared" ca="1" si="2"/>
        <v>1.4119999999999999</v>
      </c>
      <c r="V93" s="2">
        <f t="shared" ca="1" si="2"/>
        <v>1.6240000000000001</v>
      </c>
      <c r="W93" s="2">
        <f t="shared" ca="1" si="2"/>
        <v>1.86</v>
      </c>
      <c r="X93" s="2">
        <f t="shared" ca="1" si="2"/>
        <v>2.12</v>
      </c>
      <c r="Y93" s="2">
        <f t="shared" ca="1" si="2"/>
        <v>2.4020000000000001</v>
      </c>
    </row>
    <row r="94" spans="2:25" x14ac:dyDescent="0.3">
      <c r="B94" s="6">
        <v>91</v>
      </c>
      <c r="C94" s="9">
        <v>1.155</v>
      </c>
      <c r="D94" s="9">
        <v>1.133</v>
      </c>
      <c r="E94" s="9">
        <v>1.1339999999999999</v>
      </c>
      <c r="F94" s="9">
        <v>1.117</v>
      </c>
      <c r="I94" s="2">
        <f t="shared" ca="1" si="2"/>
        <v>2.5059999999999998</v>
      </c>
      <c r="J94" s="2">
        <f t="shared" ca="1" si="2"/>
        <v>2.1970000000000001</v>
      </c>
      <c r="K94" s="2">
        <f t="shared" ca="1" si="2"/>
        <v>1.929</v>
      </c>
      <c r="L94" s="2">
        <f t="shared" ca="1" si="2"/>
        <v>1.69</v>
      </c>
      <c r="M94" s="2">
        <f t="shared" ca="1" si="2"/>
        <v>1.4790000000000001</v>
      </c>
      <c r="N94" s="2">
        <f t="shared" ca="1" si="2"/>
        <v>1.306</v>
      </c>
      <c r="O94" s="2">
        <f t="shared" ca="1" si="2"/>
        <v>1.1890000000000001</v>
      </c>
      <c r="P94" s="2">
        <f t="shared" ca="1" si="2"/>
        <v>1.119</v>
      </c>
      <c r="Q94" s="2">
        <f t="shared" ca="1" si="2"/>
        <v>1.0960000000000001</v>
      </c>
      <c r="R94" s="2">
        <f t="shared" ca="1" si="2"/>
        <v>1.1220000000000001</v>
      </c>
      <c r="S94" s="2">
        <f t="shared" ca="1" si="2"/>
        <v>1.1950000000000001</v>
      </c>
      <c r="T94" s="2">
        <f t="shared" ca="1" si="2"/>
        <v>1.3149999999999999</v>
      </c>
      <c r="U94" s="2">
        <f t="shared" ca="1" si="2"/>
        <v>1.49</v>
      </c>
      <c r="V94" s="2">
        <f t="shared" ca="1" si="2"/>
        <v>1.7</v>
      </c>
      <c r="W94" s="2">
        <f t="shared" ca="1" si="2"/>
        <v>1.9339999999999999</v>
      </c>
      <c r="X94" s="2">
        <f t="shared" ca="1" si="2"/>
        <v>2.194</v>
      </c>
      <c r="Y94" s="2">
        <f t="shared" ca="1" si="2"/>
        <v>2.488</v>
      </c>
    </row>
    <row r="95" spans="2:25" x14ac:dyDescent="0.3">
      <c r="B95" s="6">
        <v>92</v>
      </c>
      <c r="C95" s="9">
        <v>1.071</v>
      </c>
      <c r="D95" s="9">
        <v>1.0580000000000001</v>
      </c>
      <c r="E95" s="9">
        <v>1.0589999999999999</v>
      </c>
      <c r="F95" s="9">
        <v>1.0489999999999999</v>
      </c>
      <c r="I95" s="2">
        <f t="shared" ca="1" si="2"/>
        <v>2.637</v>
      </c>
      <c r="J95" s="2">
        <f t="shared" ca="1" si="2"/>
        <v>2.298</v>
      </c>
      <c r="K95" s="2">
        <f t="shared" ca="1" si="2"/>
        <v>2.0329999999999999</v>
      </c>
      <c r="L95" s="2">
        <f t="shared" ca="1" si="2"/>
        <v>1.802</v>
      </c>
      <c r="M95" s="2">
        <f t="shared" ca="1" si="2"/>
        <v>1.601</v>
      </c>
      <c r="N95" s="2">
        <f t="shared" ca="1" si="2"/>
        <v>1.431</v>
      </c>
      <c r="O95" s="2">
        <f t="shared" ca="1" si="2"/>
        <v>1.3049999999999999</v>
      </c>
      <c r="P95" s="2">
        <f t="shared" ca="1" si="2"/>
        <v>1.2330000000000001</v>
      </c>
      <c r="Q95" s="2">
        <f t="shared" ca="1" si="2"/>
        <v>1.2090000000000001</v>
      </c>
      <c r="R95" s="2">
        <f t="shared" ca="1" si="2"/>
        <v>1.232</v>
      </c>
      <c r="S95" s="2">
        <f t="shared" ca="1" si="2"/>
        <v>1.304</v>
      </c>
      <c r="T95" s="2">
        <f t="shared" ca="1" si="2"/>
        <v>1.4279999999999999</v>
      </c>
      <c r="U95" s="2">
        <f t="shared" ca="1" si="2"/>
        <v>1.599</v>
      </c>
      <c r="V95" s="2">
        <f t="shared" ca="1" si="2"/>
        <v>1.8049999999999999</v>
      </c>
      <c r="W95" s="2">
        <f t="shared" ca="1" si="2"/>
        <v>2.0390000000000001</v>
      </c>
      <c r="X95" s="2">
        <f t="shared" ca="1" si="2"/>
        <v>2.302</v>
      </c>
      <c r="Y95" s="2">
        <f t="shared" ca="1" si="2"/>
        <v>2.6360000000000001</v>
      </c>
    </row>
    <row r="96" spans="2:25" x14ac:dyDescent="0.3">
      <c r="B96" s="6">
        <v>93</v>
      </c>
      <c r="C96" s="9">
        <v>1.0389999999999999</v>
      </c>
      <c r="D96" s="9">
        <v>1.032</v>
      </c>
      <c r="E96" s="9">
        <v>1.032</v>
      </c>
      <c r="F96" s="9">
        <v>1.0269999999999999</v>
      </c>
      <c r="I96" s="2">
        <f t="shared" ca="1" si="2"/>
        <v>2.8639999999999999</v>
      </c>
      <c r="J96" s="2">
        <f t="shared" ca="1" si="2"/>
        <v>2.4620000000000002</v>
      </c>
      <c r="K96" s="2">
        <f t="shared" ca="1" si="2"/>
        <v>2.1760000000000002</v>
      </c>
      <c r="L96" s="2">
        <f t="shared" ca="1" si="2"/>
        <v>1.9510000000000001</v>
      </c>
      <c r="M96" s="2">
        <f t="shared" ca="1" si="2"/>
        <v>1.7569999999999999</v>
      </c>
      <c r="N96" s="2">
        <f t="shared" ca="1" si="2"/>
        <v>1.6</v>
      </c>
      <c r="O96" s="2">
        <f t="shared" ca="1" si="2"/>
        <v>1.4790000000000001</v>
      </c>
      <c r="P96" s="2">
        <f t="shared" ca="1" si="2"/>
        <v>1.401</v>
      </c>
      <c r="Q96" s="2">
        <f t="shared" ca="1" si="2"/>
        <v>1.3740000000000001</v>
      </c>
      <c r="R96" s="2">
        <f t="shared" ca="1" si="2"/>
        <v>1.4</v>
      </c>
      <c r="S96" s="2">
        <f t="shared" ca="1" si="2"/>
        <v>1.4770000000000001</v>
      </c>
      <c r="T96" s="2">
        <f t="shared" ca="1" si="2"/>
        <v>1.6</v>
      </c>
      <c r="U96" s="2">
        <f t="shared" ca="1" si="2"/>
        <v>1.756</v>
      </c>
      <c r="V96" s="2">
        <f t="shared" ca="1" si="2"/>
        <v>1.952</v>
      </c>
      <c r="W96" s="2">
        <f t="shared" ca="1" si="2"/>
        <v>2.1749999999999998</v>
      </c>
      <c r="X96" s="2">
        <f t="shared" ca="1" si="2"/>
        <v>2.46</v>
      </c>
      <c r="Y96" s="2">
        <f t="shared" ca="1" si="2"/>
        <v>2.8540000000000001</v>
      </c>
    </row>
    <row r="97" spans="2:25" x14ac:dyDescent="0.3">
      <c r="B97" s="6">
        <v>94</v>
      </c>
      <c r="C97" s="9">
        <v>1.071</v>
      </c>
      <c r="D97" s="9">
        <v>1.0609999999999999</v>
      </c>
      <c r="E97" s="9">
        <v>1.0609999999999999</v>
      </c>
      <c r="F97" s="9">
        <v>1.052</v>
      </c>
      <c r="I97" s="2">
        <f t="shared" ca="1" si="2"/>
        <v>3.1280000000000001</v>
      </c>
      <c r="J97" s="2">
        <f t="shared" ca="1" si="2"/>
        <v>2.7080000000000002</v>
      </c>
      <c r="K97" s="2">
        <f t="shared" ca="1" si="2"/>
        <v>2.371</v>
      </c>
      <c r="L97" s="2">
        <f t="shared" ca="1" si="2"/>
        <v>2.1429999999999998</v>
      </c>
      <c r="M97" s="2">
        <f t="shared" ca="1" si="2"/>
        <v>1.9550000000000001</v>
      </c>
      <c r="N97" s="2">
        <f t="shared" ca="1" si="2"/>
        <v>1.8</v>
      </c>
      <c r="O97" s="2">
        <f t="shared" ca="1" si="2"/>
        <v>1.6879999999999999</v>
      </c>
      <c r="P97" s="2">
        <f t="shared" ca="1" si="2"/>
        <v>1.6180000000000001</v>
      </c>
      <c r="Q97" s="2">
        <f t="shared" ca="1" si="2"/>
        <v>1.5960000000000001</v>
      </c>
      <c r="R97" s="2">
        <f t="shared" ca="1" si="2"/>
        <v>1.623</v>
      </c>
      <c r="S97" s="2">
        <f t="shared" ca="1" si="2"/>
        <v>1.6990000000000001</v>
      </c>
      <c r="T97" s="2">
        <f t="shared" ca="1" si="2"/>
        <v>1.8109999999999999</v>
      </c>
      <c r="U97" s="2">
        <f t="shared" ca="1" si="2"/>
        <v>1.96</v>
      </c>
      <c r="V97" s="2">
        <f t="shared" ca="1" si="2"/>
        <v>2.141</v>
      </c>
      <c r="W97" s="2">
        <f t="shared" ca="1" si="2"/>
        <v>2.3580000000000001</v>
      </c>
      <c r="X97" s="2">
        <f t="shared" ca="1" si="2"/>
        <v>2.6840000000000002</v>
      </c>
      <c r="Y97" s="2">
        <f t="shared" ca="1" si="2"/>
        <v>3.0710000000000002</v>
      </c>
    </row>
    <row r="98" spans="2:25" x14ac:dyDescent="0.3">
      <c r="B98" s="6">
        <v>95</v>
      </c>
      <c r="C98" s="9">
        <v>1.1559999999999999</v>
      </c>
      <c r="D98" s="9">
        <v>1.137</v>
      </c>
      <c r="E98" s="9">
        <v>1.1379999999999999</v>
      </c>
      <c r="F98" s="9">
        <v>1.1200000000000001</v>
      </c>
      <c r="I98" s="11">
        <f t="shared" ca="1" si="2"/>
        <v>3.3650000000000002</v>
      </c>
      <c r="J98" s="2">
        <f t="shared" ca="1" si="2"/>
        <v>3.0270000000000001</v>
      </c>
      <c r="K98" s="2">
        <f t="shared" ca="1" si="2"/>
        <v>2.6640000000000001</v>
      </c>
      <c r="L98" s="2">
        <f t="shared" ca="1" si="2"/>
        <v>2.387</v>
      </c>
      <c r="M98" s="2">
        <f t="shared" ca="1" si="2"/>
        <v>2.2050000000000001</v>
      </c>
      <c r="N98" s="2">
        <f t="shared" ca="1" si="2"/>
        <v>2.0499999999999998</v>
      </c>
      <c r="O98" s="2">
        <f t="shared" ca="1" si="2"/>
        <v>1.9350000000000001</v>
      </c>
      <c r="P98" s="2">
        <f t="shared" ca="1" si="2"/>
        <v>1.867</v>
      </c>
      <c r="Q98" s="2">
        <f t="shared" ca="1" si="2"/>
        <v>1.847</v>
      </c>
      <c r="R98" s="2">
        <f t="shared" ca="1" si="2"/>
        <v>1.8759999999999999</v>
      </c>
      <c r="S98" s="2">
        <f t="shared" ca="1" si="2"/>
        <v>1.9550000000000001</v>
      </c>
      <c r="T98" s="2">
        <f t="shared" ca="1" si="2"/>
        <v>2.0699999999999998</v>
      </c>
      <c r="U98" s="2">
        <f t="shared" ca="1" si="2"/>
        <v>2.2170000000000001</v>
      </c>
      <c r="V98" s="2">
        <f t="shared" ca="1" si="2"/>
        <v>2.3860000000000001</v>
      </c>
      <c r="W98" s="2">
        <f t="shared" ca="1" si="2"/>
        <v>2.6440000000000001</v>
      </c>
      <c r="X98" s="2">
        <f t="shared" ca="1" si="2"/>
        <v>2.956</v>
      </c>
      <c r="Y98" s="11">
        <f t="shared" ca="1" si="2"/>
        <v>3.23</v>
      </c>
    </row>
    <row r="99" spans="2:25" x14ac:dyDescent="0.3">
      <c r="B99" s="6">
        <v>96</v>
      </c>
      <c r="C99" s="9">
        <v>1.28</v>
      </c>
      <c r="D99" s="9">
        <v>1.25</v>
      </c>
      <c r="E99" s="9">
        <v>1.25</v>
      </c>
      <c r="F99" s="9">
        <v>1.228</v>
      </c>
    </row>
    <row r="100" spans="2:25" x14ac:dyDescent="0.3">
      <c r="B100" s="6">
        <v>97</v>
      </c>
      <c r="C100" s="9">
        <v>1.4650000000000001</v>
      </c>
      <c r="D100" s="9">
        <v>1.415</v>
      </c>
      <c r="E100" s="9">
        <v>1.4139999999999999</v>
      </c>
      <c r="F100" s="9">
        <v>1.389</v>
      </c>
      <c r="H100" t="s">
        <v>3</v>
      </c>
      <c r="I100" s="13">
        <f t="shared" ref="I100:Y112" ca="1" si="3">INDIRECT("F"&amp;(17*ROW(1:1)+ROW($F$3)-19+IF(COLUMN(C:C)&gt;19,50000,COLUMN(C:C)-1)))</f>
        <v>3.1150000000000002</v>
      </c>
      <c r="J100" s="2">
        <f t="shared" ca="1" si="3"/>
        <v>2.8170000000000002</v>
      </c>
      <c r="K100" s="2">
        <f t="shared" ca="1" si="3"/>
        <v>2.5049999999999999</v>
      </c>
      <c r="L100" s="2">
        <f t="shared" ca="1" si="3"/>
        <v>2.2559999999999998</v>
      </c>
      <c r="M100" s="2">
        <f t="shared" ca="1" si="3"/>
        <v>2.0939999999999999</v>
      </c>
      <c r="N100" s="2">
        <f t="shared" ca="1" si="3"/>
        <v>1.958</v>
      </c>
      <c r="O100" s="2">
        <f t="shared" ca="1" si="3"/>
        <v>1.855</v>
      </c>
      <c r="P100" s="2">
        <f t="shared" ca="1" si="3"/>
        <v>1.7909999999999999</v>
      </c>
      <c r="Q100" s="2">
        <f t="shared" ca="1" si="3"/>
        <v>1.7709999999999999</v>
      </c>
      <c r="R100" s="2">
        <f t="shared" ca="1" si="3"/>
        <v>1.7929999999999999</v>
      </c>
      <c r="S100" s="2">
        <f t="shared" ca="1" si="3"/>
        <v>1.8580000000000001</v>
      </c>
      <c r="T100" s="2">
        <f t="shared" ca="1" si="3"/>
        <v>1.958</v>
      </c>
      <c r="U100" s="2">
        <f t="shared" ca="1" si="3"/>
        <v>2.09</v>
      </c>
      <c r="V100" s="2">
        <f t="shared" ca="1" si="3"/>
        <v>2.2570000000000001</v>
      </c>
      <c r="W100" s="2">
        <f t="shared" ca="1" si="3"/>
        <v>2.5169999999999999</v>
      </c>
      <c r="X100" s="2">
        <f t="shared" ca="1" si="3"/>
        <v>2.8180000000000001</v>
      </c>
      <c r="Y100" s="13">
        <f t="shared" ca="1" si="3"/>
        <v>3.0950000000000002</v>
      </c>
    </row>
    <row r="101" spans="2:25" x14ac:dyDescent="0.3">
      <c r="B101" s="6">
        <v>98</v>
      </c>
      <c r="C101" s="9">
        <v>1.706</v>
      </c>
      <c r="D101" s="9">
        <v>1.6279999999999999</v>
      </c>
      <c r="E101" s="9">
        <v>1.6259999999999999</v>
      </c>
      <c r="F101" s="9">
        <v>1.597</v>
      </c>
      <c r="I101" s="2">
        <f t="shared" ca="1" si="3"/>
        <v>2.9809999999999999</v>
      </c>
      <c r="J101" s="2">
        <f t="shared" ca="1" si="3"/>
        <v>2.5950000000000002</v>
      </c>
      <c r="K101" s="2">
        <f t="shared" ca="1" si="3"/>
        <v>2.2810000000000001</v>
      </c>
      <c r="L101" s="2">
        <f t="shared" ca="1" si="3"/>
        <v>2.0720000000000001</v>
      </c>
      <c r="M101" s="2">
        <f t="shared" ca="1" si="3"/>
        <v>1.9019999999999999</v>
      </c>
      <c r="N101" s="2">
        <f t="shared" ca="1" si="3"/>
        <v>1.762</v>
      </c>
      <c r="O101" s="2">
        <f t="shared" ca="1" si="3"/>
        <v>1.6559999999999999</v>
      </c>
      <c r="P101" s="2">
        <f t="shared" ca="1" si="3"/>
        <v>1.5940000000000001</v>
      </c>
      <c r="Q101" s="2">
        <f t="shared" ca="1" si="3"/>
        <v>1.575</v>
      </c>
      <c r="R101" s="2">
        <f t="shared" ca="1" si="3"/>
        <v>1.5940000000000001</v>
      </c>
      <c r="S101" s="2">
        <f t="shared" ca="1" si="3"/>
        <v>1.66</v>
      </c>
      <c r="T101" s="2">
        <f t="shared" ca="1" si="3"/>
        <v>1.7649999999999999</v>
      </c>
      <c r="U101" s="2">
        <f t="shared" ca="1" si="3"/>
        <v>1.9079999999999999</v>
      </c>
      <c r="V101" s="2">
        <f t="shared" ca="1" si="3"/>
        <v>2.0819999999999999</v>
      </c>
      <c r="W101" s="2">
        <f t="shared" ca="1" si="3"/>
        <v>2.2959999999999998</v>
      </c>
      <c r="X101" s="2">
        <f t="shared" ca="1" si="3"/>
        <v>2.6040000000000001</v>
      </c>
      <c r="Y101" s="2">
        <f t="shared" ca="1" si="3"/>
        <v>2.95</v>
      </c>
    </row>
    <row r="102" spans="2:25" x14ac:dyDescent="0.3">
      <c r="B102" s="6">
        <v>99</v>
      </c>
      <c r="C102" s="9">
        <v>1.978</v>
      </c>
      <c r="D102" s="9">
        <v>1.867</v>
      </c>
      <c r="E102" s="9">
        <v>1.865</v>
      </c>
      <c r="F102" s="9">
        <v>1.831</v>
      </c>
      <c r="I102" s="2">
        <f t="shared" ca="1" si="3"/>
        <v>2.778</v>
      </c>
      <c r="J102" s="2">
        <f t="shared" ca="1" si="3"/>
        <v>2.3839999999999999</v>
      </c>
      <c r="K102" s="2">
        <f t="shared" ca="1" si="3"/>
        <v>2.1110000000000002</v>
      </c>
      <c r="L102" s="2">
        <f t="shared" ca="1" si="3"/>
        <v>1.9019999999999999</v>
      </c>
      <c r="M102" s="2">
        <f t="shared" ca="1" si="3"/>
        <v>1.7190000000000001</v>
      </c>
      <c r="N102" s="2">
        <f t="shared" ca="1" si="3"/>
        <v>1.569</v>
      </c>
      <c r="O102" s="2">
        <f t="shared" ca="1" si="3"/>
        <v>1.458</v>
      </c>
      <c r="P102" s="2">
        <f t="shared" ca="1" si="3"/>
        <v>1.3939999999999999</v>
      </c>
      <c r="Q102" s="2">
        <f t="shared" ca="1" si="3"/>
        <v>1.3759999999999999</v>
      </c>
      <c r="R102" s="2">
        <f t="shared" ca="1" si="3"/>
        <v>1.3979999999999999</v>
      </c>
      <c r="S102" s="2">
        <f t="shared" ca="1" si="3"/>
        <v>1.4690000000000001</v>
      </c>
      <c r="T102" s="2">
        <f t="shared" ca="1" si="3"/>
        <v>1.581</v>
      </c>
      <c r="U102" s="2">
        <f t="shared" ca="1" si="3"/>
        <v>1.732</v>
      </c>
      <c r="V102" s="2">
        <f t="shared" ca="1" si="3"/>
        <v>1.919</v>
      </c>
      <c r="W102" s="2">
        <f t="shared" ca="1" si="3"/>
        <v>2.1259999999999999</v>
      </c>
      <c r="X102" s="2">
        <f t="shared" ca="1" si="3"/>
        <v>2.39</v>
      </c>
      <c r="Y102" s="2">
        <f t="shared" ca="1" si="3"/>
        <v>2.7519999999999998</v>
      </c>
    </row>
    <row r="103" spans="2:25" x14ac:dyDescent="0.3">
      <c r="B103" s="6">
        <v>100</v>
      </c>
      <c r="C103" s="9">
        <v>2.274</v>
      </c>
      <c r="D103" s="9">
        <v>2.1339999999999999</v>
      </c>
      <c r="E103" s="9">
        <v>2.1309999999999998</v>
      </c>
      <c r="F103" s="9">
        <v>2.0880000000000001</v>
      </c>
      <c r="I103" s="2">
        <f t="shared" ca="1" si="3"/>
        <v>2.5760000000000001</v>
      </c>
      <c r="J103" s="2">
        <f t="shared" ca="1" si="3"/>
        <v>2.2410000000000001</v>
      </c>
      <c r="K103" s="2">
        <f t="shared" ca="1" si="3"/>
        <v>1.9850000000000001</v>
      </c>
      <c r="L103" s="2">
        <f t="shared" ca="1" si="3"/>
        <v>1.7609999999999999</v>
      </c>
      <c r="M103" s="2">
        <f t="shared" ca="1" si="3"/>
        <v>1.5669999999999999</v>
      </c>
      <c r="N103" s="2">
        <f t="shared" ca="1" si="3"/>
        <v>1.407</v>
      </c>
      <c r="O103" s="2">
        <f t="shared" ca="1" si="3"/>
        <v>1.2909999999999999</v>
      </c>
      <c r="P103" s="2">
        <f t="shared" ca="1" si="3"/>
        <v>1.2310000000000001</v>
      </c>
      <c r="Q103" s="2">
        <f t="shared" ca="1" si="3"/>
        <v>1.2170000000000001</v>
      </c>
      <c r="R103" s="2">
        <f t="shared" ca="1" si="3"/>
        <v>1.2370000000000001</v>
      </c>
      <c r="S103" s="2">
        <f t="shared" ca="1" si="3"/>
        <v>1.3049999999999999</v>
      </c>
      <c r="T103" s="2">
        <f t="shared" ca="1" si="3"/>
        <v>1.423</v>
      </c>
      <c r="U103" s="2">
        <f t="shared" ca="1" si="3"/>
        <v>1.585</v>
      </c>
      <c r="V103" s="2">
        <f t="shared" ca="1" si="3"/>
        <v>1.78</v>
      </c>
      <c r="W103" s="2">
        <f t="shared" ca="1" si="3"/>
        <v>1.9990000000000001</v>
      </c>
      <c r="X103" s="2">
        <f t="shared" ca="1" si="3"/>
        <v>2.2440000000000002</v>
      </c>
      <c r="Y103" s="2">
        <f t="shared" ca="1" si="3"/>
        <v>2.552</v>
      </c>
    </row>
    <row r="104" spans="2:25" x14ac:dyDescent="0.3">
      <c r="B104" s="6">
        <v>101</v>
      </c>
      <c r="C104" s="9">
        <v>2.581</v>
      </c>
      <c r="D104" s="9">
        <v>2.4249999999999998</v>
      </c>
      <c r="E104" s="9">
        <v>2.42</v>
      </c>
      <c r="F104" s="9">
        <v>2.3650000000000002</v>
      </c>
      <c r="I104" s="2">
        <f t="shared" ca="1" si="3"/>
        <v>2.427</v>
      </c>
      <c r="J104" s="2">
        <f t="shared" ca="1" si="3"/>
        <v>2.1349999999999998</v>
      </c>
      <c r="K104" s="2">
        <f t="shared" ca="1" si="3"/>
        <v>1.883</v>
      </c>
      <c r="L104" s="2">
        <f t="shared" ca="1" si="3"/>
        <v>1.657</v>
      </c>
      <c r="M104" s="2">
        <f t="shared" ca="1" si="3"/>
        <v>1.454</v>
      </c>
      <c r="N104" s="2">
        <f t="shared" ca="1" si="3"/>
        <v>1.2889999999999999</v>
      </c>
      <c r="O104" s="2">
        <f t="shared" ca="1" si="3"/>
        <v>1.1779999999999999</v>
      </c>
      <c r="P104" s="2">
        <f t="shared" ca="1" si="3"/>
        <v>1.119</v>
      </c>
      <c r="Q104" s="2">
        <f t="shared" ca="1" si="3"/>
        <v>1.1020000000000001</v>
      </c>
      <c r="R104" s="2">
        <f t="shared" ca="1" si="3"/>
        <v>1.1220000000000001</v>
      </c>
      <c r="S104" s="2">
        <f t="shared" ca="1" si="3"/>
        <v>1.1839999999999999</v>
      </c>
      <c r="T104" s="2">
        <f t="shared" ca="1" si="3"/>
        <v>1.2969999999999999</v>
      </c>
      <c r="U104" s="2">
        <f t="shared" ca="1" si="3"/>
        <v>1.466</v>
      </c>
      <c r="V104" s="2">
        <f t="shared" ca="1" si="3"/>
        <v>1.67</v>
      </c>
      <c r="W104" s="2">
        <f t="shared" ca="1" si="3"/>
        <v>1.9</v>
      </c>
      <c r="X104" s="2">
        <f t="shared" ca="1" si="3"/>
        <v>2.149</v>
      </c>
      <c r="Y104" s="2">
        <f t="shared" ca="1" si="3"/>
        <v>2.427</v>
      </c>
    </row>
    <row r="105" spans="2:25" x14ac:dyDescent="0.3">
      <c r="B105" s="6">
        <v>102</v>
      </c>
      <c r="C105" s="9">
        <v>2.5939999999999999</v>
      </c>
      <c r="D105" s="9">
        <v>2.4039999999999999</v>
      </c>
      <c r="E105" s="9">
        <v>2.403</v>
      </c>
      <c r="F105" s="9">
        <v>2.335</v>
      </c>
      <c r="I105" s="2">
        <f t="shared" ca="1" si="3"/>
        <v>2.351</v>
      </c>
      <c r="J105" s="2">
        <f t="shared" ca="1" si="3"/>
        <v>2.0680000000000001</v>
      </c>
      <c r="K105" s="2">
        <f t="shared" ca="1" si="3"/>
        <v>1.8129999999999999</v>
      </c>
      <c r="L105" s="2">
        <f t="shared" ca="1" si="3"/>
        <v>1.585</v>
      </c>
      <c r="M105" s="2">
        <f t="shared" ca="1" si="3"/>
        <v>1.383</v>
      </c>
      <c r="N105" s="2">
        <f t="shared" ca="1" si="3"/>
        <v>1.2250000000000001</v>
      </c>
      <c r="O105" s="2">
        <f t="shared" ca="1" si="3"/>
        <v>1.117</v>
      </c>
      <c r="P105" s="2">
        <f t="shared" ca="1" si="3"/>
        <v>1.0489999999999999</v>
      </c>
      <c r="Q105" s="2">
        <f t="shared" ca="1" si="3"/>
        <v>1.0269999999999999</v>
      </c>
      <c r="R105" s="2">
        <f t="shared" ca="1" si="3"/>
        <v>1.052</v>
      </c>
      <c r="S105" s="2">
        <f t="shared" ca="1" si="3"/>
        <v>1.1200000000000001</v>
      </c>
      <c r="T105" s="2">
        <f t="shared" ca="1" si="3"/>
        <v>1.228</v>
      </c>
      <c r="U105" s="2">
        <f t="shared" ca="1" si="3"/>
        <v>1.389</v>
      </c>
      <c r="V105" s="2">
        <f t="shared" ca="1" si="3"/>
        <v>1.597</v>
      </c>
      <c r="W105" s="2">
        <f t="shared" ca="1" si="3"/>
        <v>1.831</v>
      </c>
      <c r="X105" s="2">
        <f t="shared" ca="1" si="3"/>
        <v>2.0880000000000001</v>
      </c>
      <c r="Y105" s="2">
        <f t="shared" ca="1" si="3"/>
        <v>2.3650000000000002</v>
      </c>
    </row>
    <row r="106" spans="2:25" x14ac:dyDescent="0.3">
      <c r="B106" s="6">
        <v>103</v>
      </c>
      <c r="C106" s="9">
        <v>2.2549999999999999</v>
      </c>
      <c r="D106" s="9">
        <v>2.1019999999999999</v>
      </c>
      <c r="E106" s="9">
        <v>2.101</v>
      </c>
      <c r="F106" s="9">
        <v>2.0459999999999998</v>
      </c>
      <c r="I106" s="2">
        <f t="shared" ca="1" si="3"/>
        <v>2.335</v>
      </c>
      <c r="J106" s="2">
        <f t="shared" ca="1" si="3"/>
        <v>2.0459999999999998</v>
      </c>
      <c r="K106" s="2">
        <f t="shared" ca="1" si="3"/>
        <v>1.7869999999999999</v>
      </c>
      <c r="L106" s="2">
        <f t="shared" ca="1" si="3"/>
        <v>1.5569999999999999</v>
      </c>
      <c r="M106" s="2">
        <f t="shared" ca="1" si="3"/>
        <v>1.3520000000000001</v>
      </c>
      <c r="N106" s="2">
        <f t="shared" ca="1" si="3"/>
        <v>1.1970000000000001</v>
      </c>
      <c r="O106" s="2">
        <f t="shared" ca="1" si="3"/>
        <v>1.089</v>
      </c>
      <c r="P106" s="2">
        <f t="shared" ca="1" si="3"/>
        <v>1.022</v>
      </c>
      <c r="Q106" s="2">
        <f t="shared" ca="1" si="3"/>
        <v>1.006</v>
      </c>
      <c r="R106" s="2">
        <f t="shared" ca="1" si="3"/>
        <v>1.0249999999999999</v>
      </c>
      <c r="S106" s="2">
        <f t="shared" ca="1" si="3"/>
        <v>1.097</v>
      </c>
      <c r="T106" s="2">
        <f t="shared" ca="1" si="3"/>
        <v>1.2070000000000001</v>
      </c>
      <c r="U106" s="2">
        <f t="shared" ca="1" si="3"/>
        <v>1.365</v>
      </c>
      <c r="V106" s="2">
        <f t="shared" ca="1" si="3"/>
        <v>1.5720000000000001</v>
      </c>
      <c r="W106" s="2">
        <f t="shared" ca="1" si="3"/>
        <v>1.802</v>
      </c>
      <c r="X106" s="2">
        <f t="shared" ca="1" si="3"/>
        <v>2.0579999999999998</v>
      </c>
      <c r="Y106" s="2">
        <f t="shared" ca="1" si="3"/>
        <v>2.331</v>
      </c>
    </row>
    <row r="107" spans="2:25" x14ac:dyDescent="0.3">
      <c r="B107" s="6">
        <v>104</v>
      </c>
      <c r="C107" s="9">
        <v>1.9470000000000001</v>
      </c>
      <c r="D107" s="9">
        <v>1.83</v>
      </c>
      <c r="E107" s="9">
        <v>1.83</v>
      </c>
      <c r="F107" s="9">
        <v>1.7869999999999999</v>
      </c>
      <c r="I107" s="2">
        <f t="shared" ca="1" si="3"/>
        <v>2.3660000000000001</v>
      </c>
      <c r="J107" s="2">
        <f t="shared" ca="1" si="3"/>
        <v>2.0710000000000002</v>
      </c>
      <c r="K107" s="2">
        <f t="shared" ca="1" si="3"/>
        <v>1.8080000000000001</v>
      </c>
      <c r="L107" s="2">
        <f t="shared" ca="1" si="3"/>
        <v>1.577</v>
      </c>
      <c r="M107" s="2">
        <f t="shared" ca="1" si="3"/>
        <v>1.37</v>
      </c>
      <c r="N107" s="2">
        <f t="shared" ca="1" si="3"/>
        <v>1.212</v>
      </c>
      <c r="O107" s="2">
        <f t="shared" ca="1" si="3"/>
        <v>1.103</v>
      </c>
      <c r="P107" s="2">
        <f t="shared" ca="1" si="3"/>
        <v>1.0369999999999999</v>
      </c>
      <c r="Q107" s="2">
        <f t="shared" ca="1" si="3"/>
        <v>1.0189999999999999</v>
      </c>
      <c r="R107" s="2">
        <f t="shared" ca="1" si="3"/>
        <v>1.044</v>
      </c>
      <c r="S107" s="2">
        <f t="shared" ca="1" si="3"/>
        <v>1.115</v>
      </c>
      <c r="T107" s="2">
        <f t="shared" ca="1" si="3"/>
        <v>1.226</v>
      </c>
      <c r="U107" s="2">
        <f t="shared" ca="1" si="3"/>
        <v>1.387</v>
      </c>
      <c r="V107" s="2">
        <f t="shared" ca="1" si="3"/>
        <v>1.5940000000000001</v>
      </c>
      <c r="W107" s="2">
        <f t="shared" ca="1" si="3"/>
        <v>1.825</v>
      </c>
      <c r="X107" s="2">
        <f t="shared" ca="1" si="3"/>
        <v>2.0760000000000001</v>
      </c>
      <c r="Y107" s="2">
        <f t="shared" ca="1" si="3"/>
        <v>2.343</v>
      </c>
    </row>
    <row r="108" spans="2:25" x14ac:dyDescent="0.3">
      <c r="B108" s="6">
        <v>105</v>
      </c>
      <c r="C108" s="9">
        <v>1.675</v>
      </c>
      <c r="D108" s="9">
        <v>1.59</v>
      </c>
      <c r="E108" s="9">
        <v>1.591</v>
      </c>
      <c r="F108" s="9">
        <v>1.5569999999999999</v>
      </c>
      <c r="I108" s="2">
        <f t="shared" ca="1" si="3"/>
        <v>2.4350000000000001</v>
      </c>
      <c r="J108" s="2">
        <f t="shared" ca="1" si="3"/>
        <v>2.1389999999999998</v>
      </c>
      <c r="K108" s="2">
        <f t="shared" ca="1" si="3"/>
        <v>1.881</v>
      </c>
      <c r="L108" s="2">
        <f t="shared" ca="1" si="3"/>
        <v>1.6479999999999999</v>
      </c>
      <c r="M108" s="2">
        <f t="shared" ca="1" si="3"/>
        <v>1.4410000000000001</v>
      </c>
      <c r="N108" s="2">
        <f t="shared" ca="1" si="3"/>
        <v>1.2749999999999999</v>
      </c>
      <c r="O108" s="2">
        <f t="shared" ca="1" si="3"/>
        <v>1.1659999999999999</v>
      </c>
      <c r="P108" s="2">
        <f t="shared" ca="1" si="3"/>
        <v>1.103</v>
      </c>
      <c r="Q108" s="2">
        <f t="shared" ca="1" si="3"/>
        <v>1.085</v>
      </c>
      <c r="R108" s="2">
        <f t="shared" ca="1" si="3"/>
        <v>1.107</v>
      </c>
      <c r="S108" s="2">
        <f t="shared" ca="1" si="3"/>
        <v>1.1719999999999999</v>
      </c>
      <c r="T108" s="2">
        <f t="shared" ca="1" si="3"/>
        <v>1.2869999999999999</v>
      </c>
      <c r="U108" s="2">
        <f t="shared" ca="1" si="3"/>
        <v>1.456</v>
      </c>
      <c r="V108" s="2">
        <f t="shared" ca="1" si="3"/>
        <v>1.665</v>
      </c>
      <c r="W108" s="2">
        <f t="shared" ca="1" si="3"/>
        <v>1.8959999999999999</v>
      </c>
      <c r="X108" s="2">
        <f t="shared" ca="1" si="3"/>
        <v>2.1469999999999998</v>
      </c>
      <c r="Y108" s="2">
        <f t="shared" ca="1" si="3"/>
        <v>2.423</v>
      </c>
    </row>
    <row r="109" spans="2:25" x14ac:dyDescent="0.3">
      <c r="B109" s="6">
        <v>106</v>
      </c>
      <c r="C109" s="9">
        <v>1.429</v>
      </c>
      <c r="D109" s="9">
        <v>1.3759999999999999</v>
      </c>
      <c r="E109" s="9">
        <v>1.3779999999999999</v>
      </c>
      <c r="F109" s="9">
        <v>1.3520000000000001</v>
      </c>
      <c r="I109" s="2">
        <f t="shared" ca="1" si="3"/>
        <v>2.5569999999999999</v>
      </c>
      <c r="J109" s="2">
        <f t="shared" ca="1" si="3"/>
        <v>2.234</v>
      </c>
      <c r="K109" s="2">
        <f t="shared" ca="1" si="3"/>
        <v>1.978</v>
      </c>
      <c r="L109" s="2">
        <f t="shared" ca="1" si="3"/>
        <v>1.752</v>
      </c>
      <c r="M109" s="2">
        <f t="shared" ca="1" si="3"/>
        <v>1.5549999999999999</v>
      </c>
      <c r="N109" s="2">
        <f t="shared" ca="1" si="3"/>
        <v>1.391</v>
      </c>
      <c r="O109" s="2">
        <f t="shared" ca="1" si="3"/>
        <v>1.272</v>
      </c>
      <c r="P109" s="2">
        <f t="shared" ca="1" si="3"/>
        <v>1.2090000000000001</v>
      </c>
      <c r="Q109" s="2">
        <f t="shared" ca="1" si="3"/>
        <v>1.19</v>
      </c>
      <c r="R109" s="2">
        <f t="shared" ca="1" si="3"/>
        <v>1.2090000000000001</v>
      </c>
      <c r="S109" s="2">
        <f t="shared" ca="1" si="3"/>
        <v>1.274</v>
      </c>
      <c r="T109" s="2">
        <f t="shared" ca="1" si="3"/>
        <v>1.3939999999999999</v>
      </c>
      <c r="U109" s="2">
        <f t="shared" ca="1" si="3"/>
        <v>1.56</v>
      </c>
      <c r="V109" s="2">
        <f t="shared" ca="1" si="3"/>
        <v>1.764</v>
      </c>
      <c r="W109" s="2">
        <f t="shared" ca="1" si="3"/>
        <v>1.9930000000000001</v>
      </c>
      <c r="X109" s="2">
        <f t="shared" ca="1" si="3"/>
        <v>2.2450000000000001</v>
      </c>
      <c r="Y109" s="2">
        <f t="shared" ca="1" si="3"/>
        <v>2.5619999999999998</v>
      </c>
    </row>
    <row r="110" spans="2:25" x14ac:dyDescent="0.3">
      <c r="B110" s="6">
        <v>107</v>
      </c>
      <c r="C110" s="9">
        <v>1.244</v>
      </c>
      <c r="D110" s="9">
        <v>1.214</v>
      </c>
      <c r="E110" s="9">
        <v>1.216</v>
      </c>
      <c r="F110" s="9">
        <v>1.1970000000000001</v>
      </c>
      <c r="I110" s="2">
        <f t="shared" ca="1" si="3"/>
        <v>2.77</v>
      </c>
      <c r="J110" s="2">
        <f t="shared" ca="1" si="3"/>
        <v>2.3849999999999998</v>
      </c>
      <c r="K110" s="2">
        <f t="shared" ca="1" si="3"/>
        <v>2.1120000000000001</v>
      </c>
      <c r="L110" s="2">
        <f t="shared" ca="1" si="3"/>
        <v>1.893</v>
      </c>
      <c r="M110" s="2">
        <f t="shared" ca="1" si="3"/>
        <v>1.704</v>
      </c>
      <c r="N110" s="2">
        <f t="shared" ca="1" si="3"/>
        <v>1.5529999999999999</v>
      </c>
      <c r="O110" s="2">
        <f t="shared" ca="1" si="3"/>
        <v>1.4379999999999999</v>
      </c>
      <c r="P110" s="2">
        <f t="shared" ca="1" si="3"/>
        <v>1.3680000000000001</v>
      </c>
      <c r="Q110" s="2">
        <f t="shared" ca="1" si="3"/>
        <v>1.347</v>
      </c>
      <c r="R110" s="2">
        <f t="shared" ca="1" si="3"/>
        <v>1.3680000000000001</v>
      </c>
      <c r="S110" s="2">
        <f t="shared" ca="1" si="3"/>
        <v>1.4390000000000001</v>
      </c>
      <c r="T110" s="2">
        <f t="shared" ca="1" si="3"/>
        <v>1.556</v>
      </c>
      <c r="U110" s="2">
        <f t="shared" ca="1" si="3"/>
        <v>1.7110000000000001</v>
      </c>
      <c r="V110" s="2">
        <f t="shared" ca="1" si="3"/>
        <v>1.9059999999999999</v>
      </c>
      <c r="W110" s="2">
        <f t="shared" ca="1" si="3"/>
        <v>2.12</v>
      </c>
      <c r="X110" s="2">
        <f t="shared" ca="1" si="3"/>
        <v>2.39</v>
      </c>
      <c r="Y110" s="2">
        <f t="shared" ca="1" si="3"/>
        <v>2.7610000000000001</v>
      </c>
    </row>
    <row r="111" spans="2:25" x14ac:dyDescent="0.3">
      <c r="B111" s="6">
        <v>108</v>
      </c>
      <c r="C111" s="9">
        <v>1.117</v>
      </c>
      <c r="D111" s="9">
        <v>1.1000000000000001</v>
      </c>
      <c r="E111" s="9">
        <v>1.1020000000000001</v>
      </c>
      <c r="F111" s="9">
        <v>1.089</v>
      </c>
      <c r="I111" s="2">
        <f t="shared" ca="1" si="3"/>
        <v>3.0150000000000001</v>
      </c>
      <c r="J111" s="2">
        <f t="shared" ca="1" si="3"/>
        <v>2.6150000000000002</v>
      </c>
      <c r="K111" s="2">
        <f t="shared" ca="1" si="3"/>
        <v>2.2959999999999998</v>
      </c>
      <c r="L111" s="2">
        <f t="shared" ca="1" si="3"/>
        <v>2.0750000000000002</v>
      </c>
      <c r="M111" s="2">
        <f t="shared" ca="1" si="3"/>
        <v>1.893</v>
      </c>
      <c r="N111" s="2">
        <f t="shared" ca="1" si="3"/>
        <v>1.7450000000000001</v>
      </c>
      <c r="O111" s="2">
        <f t="shared" ca="1" si="3"/>
        <v>1.639</v>
      </c>
      <c r="P111" s="2">
        <f t="shared" ca="1" si="3"/>
        <v>1.575</v>
      </c>
      <c r="Q111" s="2">
        <f t="shared" ca="1" si="3"/>
        <v>1.5569999999999999</v>
      </c>
      <c r="R111" s="2">
        <f t="shared" ca="1" si="3"/>
        <v>1.581</v>
      </c>
      <c r="S111" s="2">
        <f t="shared" ca="1" si="3"/>
        <v>1.651</v>
      </c>
      <c r="T111" s="2">
        <f t="shared" ca="1" si="3"/>
        <v>1.76</v>
      </c>
      <c r="U111" s="2">
        <f t="shared" ca="1" si="3"/>
        <v>1.907</v>
      </c>
      <c r="V111" s="2">
        <f t="shared" ca="1" si="3"/>
        <v>2.0830000000000002</v>
      </c>
      <c r="W111" s="2">
        <f t="shared" ca="1" si="3"/>
        <v>2.2919999999999998</v>
      </c>
      <c r="X111" s="2">
        <f t="shared" ca="1" si="3"/>
        <v>2.5979999999999999</v>
      </c>
      <c r="Y111" s="2">
        <f t="shared" ca="1" si="3"/>
        <v>2.956</v>
      </c>
    </row>
    <row r="112" spans="2:25" x14ac:dyDescent="0.3">
      <c r="B112" s="6">
        <v>109</v>
      </c>
      <c r="C112" s="9">
        <v>1.032</v>
      </c>
      <c r="D112" s="9">
        <v>1.024</v>
      </c>
      <c r="E112" s="9">
        <v>1.0249999999999999</v>
      </c>
      <c r="F112" s="9">
        <v>1.022</v>
      </c>
      <c r="I112" s="13">
        <f t="shared" ca="1" si="3"/>
        <v>3.238</v>
      </c>
      <c r="J112" s="2">
        <f t="shared" ca="1" si="3"/>
        <v>2.9119999999999999</v>
      </c>
      <c r="K112" s="2">
        <f t="shared" ca="1" si="3"/>
        <v>2.57</v>
      </c>
      <c r="L112" s="2">
        <f t="shared" ca="1" si="3"/>
        <v>2.3069999999999999</v>
      </c>
      <c r="M112" s="2">
        <f t="shared" ca="1" si="3"/>
        <v>2.1309999999999998</v>
      </c>
      <c r="N112" s="2">
        <f t="shared" ca="1" si="3"/>
        <v>1.984</v>
      </c>
      <c r="O112" s="2">
        <f t="shared" ca="1" si="3"/>
        <v>1.8759999999999999</v>
      </c>
      <c r="P112" s="2">
        <f t="shared" ca="1" si="3"/>
        <v>1.8120000000000001</v>
      </c>
      <c r="Q112" s="2">
        <f t="shared" ca="1" si="3"/>
        <v>1.794</v>
      </c>
      <c r="R112" s="2">
        <f t="shared" ca="1" si="3"/>
        <v>1.823</v>
      </c>
      <c r="S112" s="2">
        <f t="shared" ca="1" si="3"/>
        <v>1.9</v>
      </c>
      <c r="T112" s="2">
        <f t="shared" ca="1" si="3"/>
        <v>2.0110000000000001</v>
      </c>
      <c r="U112" s="2">
        <f t="shared" ca="1" si="3"/>
        <v>2.149</v>
      </c>
      <c r="V112" s="2">
        <f t="shared" ca="1" si="3"/>
        <v>2.3090000000000002</v>
      </c>
      <c r="W112" s="2">
        <f t="shared" ca="1" si="3"/>
        <v>2.5529999999999999</v>
      </c>
      <c r="X112" s="2">
        <f t="shared" ca="1" si="3"/>
        <v>2.851</v>
      </c>
      <c r="Y112" s="13">
        <f t="shared" ca="1" si="3"/>
        <v>3.0990000000000002</v>
      </c>
    </row>
    <row r="113" spans="2:6" x14ac:dyDescent="0.3">
      <c r="B113" s="6">
        <v>110</v>
      </c>
      <c r="C113" s="9">
        <v>1.006</v>
      </c>
      <c r="D113" s="9">
        <v>1.0029999999999999</v>
      </c>
      <c r="E113" s="9">
        <v>1.0029999999999999</v>
      </c>
      <c r="F113" s="9">
        <v>1.006</v>
      </c>
    </row>
    <row r="114" spans="2:6" x14ac:dyDescent="0.3">
      <c r="B114" s="6">
        <v>111</v>
      </c>
      <c r="C114" s="9">
        <v>1.0349999999999999</v>
      </c>
      <c r="D114" s="9">
        <v>1.0289999999999999</v>
      </c>
      <c r="E114" s="9">
        <v>1.0289999999999999</v>
      </c>
      <c r="F114" s="9">
        <v>1.0249999999999999</v>
      </c>
    </row>
    <row r="115" spans="2:6" x14ac:dyDescent="0.3">
      <c r="B115" s="6">
        <v>112</v>
      </c>
      <c r="C115" s="9">
        <v>1.1220000000000001</v>
      </c>
      <c r="D115" s="9">
        <v>1.109</v>
      </c>
      <c r="E115" s="9">
        <v>1.109</v>
      </c>
      <c r="F115" s="9">
        <v>1.097</v>
      </c>
    </row>
    <row r="116" spans="2:6" x14ac:dyDescent="0.3">
      <c r="B116" s="6">
        <v>113</v>
      </c>
      <c r="C116" s="9">
        <v>1.248</v>
      </c>
      <c r="D116" s="9">
        <v>1.2230000000000001</v>
      </c>
      <c r="E116" s="9">
        <v>1.2230000000000001</v>
      </c>
      <c r="F116" s="9">
        <v>1.2070000000000001</v>
      </c>
    </row>
    <row r="117" spans="2:6" x14ac:dyDescent="0.3">
      <c r="B117" s="6">
        <v>114</v>
      </c>
      <c r="C117" s="9">
        <v>1.4319999999999999</v>
      </c>
      <c r="D117" s="9">
        <v>1.3859999999999999</v>
      </c>
      <c r="E117" s="9">
        <v>1.385</v>
      </c>
      <c r="F117" s="9">
        <v>1.365</v>
      </c>
    </row>
    <row r="118" spans="2:6" x14ac:dyDescent="0.3">
      <c r="B118" s="6">
        <v>115</v>
      </c>
      <c r="C118" s="9">
        <v>1.6759999999999999</v>
      </c>
      <c r="D118" s="9">
        <v>1.599</v>
      </c>
      <c r="E118" s="9">
        <v>1.5980000000000001</v>
      </c>
      <c r="F118" s="9">
        <v>1.5720000000000001</v>
      </c>
    </row>
    <row r="119" spans="2:6" x14ac:dyDescent="0.3">
      <c r="B119" s="6">
        <v>116</v>
      </c>
      <c r="C119" s="9">
        <v>1.946</v>
      </c>
      <c r="D119" s="9">
        <v>1.8380000000000001</v>
      </c>
      <c r="E119" s="9">
        <v>1.8360000000000001</v>
      </c>
      <c r="F119" s="9">
        <v>1.802</v>
      </c>
    </row>
    <row r="120" spans="2:6" x14ac:dyDescent="0.3">
      <c r="B120" s="6">
        <v>117</v>
      </c>
      <c r="C120" s="9">
        <v>2.2410000000000001</v>
      </c>
      <c r="D120" s="9">
        <v>2.105</v>
      </c>
      <c r="E120" s="9">
        <v>2.1019999999999999</v>
      </c>
      <c r="F120" s="9">
        <v>2.0579999999999998</v>
      </c>
    </row>
    <row r="121" spans="2:6" x14ac:dyDescent="0.3">
      <c r="B121" s="6">
        <v>118</v>
      </c>
      <c r="C121" s="9">
        <v>2.5470000000000002</v>
      </c>
      <c r="D121" s="9">
        <v>2.3919999999999999</v>
      </c>
      <c r="E121" s="9">
        <v>2.387</v>
      </c>
      <c r="F121" s="9">
        <v>2.331</v>
      </c>
    </row>
    <row r="122" spans="2:6" x14ac:dyDescent="0.3">
      <c r="B122" s="6">
        <v>119</v>
      </c>
      <c r="C122" s="9">
        <v>2.621</v>
      </c>
      <c r="D122" s="9">
        <v>2.4340000000000002</v>
      </c>
      <c r="E122" s="9">
        <v>2.4319999999999999</v>
      </c>
      <c r="F122" s="9">
        <v>2.3660000000000001</v>
      </c>
    </row>
    <row r="123" spans="2:6" x14ac:dyDescent="0.3">
      <c r="B123" s="6">
        <v>120</v>
      </c>
      <c r="C123" s="9">
        <v>2.2810000000000001</v>
      </c>
      <c r="D123" s="9">
        <v>2.1259999999999999</v>
      </c>
      <c r="E123" s="9">
        <v>2.125</v>
      </c>
      <c r="F123" s="9">
        <v>2.0710000000000002</v>
      </c>
    </row>
    <row r="124" spans="2:6" x14ac:dyDescent="0.3">
      <c r="B124" s="6">
        <v>121</v>
      </c>
      <c r="C124" s="9">
        <v>1.972</v>
      </c>
      <c r="D124" s="9">
        <v>1.8520000000000001</v>
      </c>
      <c r="E124" s="9">
        <v>1.8520000000000001</v>
      </c>
      <c r="F124" s="9">
        <v>1.8080000000000001</v>
      </c>
    </row>
    <row r="125" spans="2:6" x14ac:dyDescent="0.3">
      <c r="B125" s="6">
        <v>122</v>
      </c>
      <c r="C125" s="9">
        <v>1.698</v>
      </c>
      <c r="D125" s="9">
        <v>1.6120000000000001</v>
      </c>
      <c r="E125" s="9">
        <v>1.613</v>
      </c>
      <c r="F125" s="9">
        <v>1.577</v>
      </c>
    </row>
    <row r="126" spans="2:6" x14ac:dyDescent="0.3">
      <c r="B126" s="6">
        <v>123</v>
      </c>
      <c r="C126" s="9">
        <v>1.454</v>
      </c>
      <c r="D126" s="9">
        <v>1.3979999999999999</v>
      </c>
      <c r="E126" s="9">
        <v>1.399</v>
      </c>
      <c r="F126" s="9">
        <v>1.37</v>
      </c>
    </row>
    <row r="127" spans="2:6" x14ac:dyDescent="0.3">
      <c r="B127" s="6">
        <v>124</v>
      </c>
      <c r="C127" s="9">
        <v>1.268</v>
      </c>
      <c r="D127" s="9">
        <v>1.2330000000000001</v>
      </c>
      <c r="E127" s="9">
        <v>1.234</v>
      </c>
      <c r="F127" s="9">
        <v>1.212</v>
      </c>
    </row>
    <row r="128" spans="2:6" x14ac:dyDescent="0.3">
      <c r="B128" s="6">
        <v>125</v>
      </c>
      <c r="C128" s="9">
        <v>1.139</v>
      </c>
      <c r="D128" s="9">
        <v>1.1180000000000001</v>
      </c>
      <c r="E128" s="9">
        <v>1.1180000000000001</v>
      </c>
      <c r="F128" s="9">
        <v>1.103</v>
      </c>
    </row>
    <row r="129" spans="2:6" x14ac:dyDescent="0.3">
      <c r="B129" s="6">
        <v>126</v>
      </c>
      <c r="C129" s="9">
        <v>1.056</v>
      </c>
      <c r="D129" s="9">
        <v>1.0429999999999999</v>
      </c>
      <c r="E129" s="9">
        <v>1.0429999999999999</v>
      </c>
      <c r="F129" s="9">
        <v>1.0369999999999999</v>
      </c>
    </row>
    <row r="130" spans="2:6" x14ac:dyDescent="0.3">
      <c r="B130" s="6">
        <v>127</v>
      </c>
      <c r="C130" s="9">
        <v>1.0289999999999999</v>
      </c>
      <c r="D130" s="9">
        <v>1.0209999999999999</v>
      </c>
      <c r="E130" s="9">
        <v>1.0209999999999999</v>
      </c>
      <c r="F130" s="9">
        <v>1.0189999999999999</v>
      </c>
    </row>
    <row r="131" spans="2:6" x14ac:dyDescent="0.3">
      <c r="B131" s="6">
        <v>128</v>
      </c>
      <c r="C131" s="9">
        <v>1.0629999999999999</v>
      </c>
      <c r="D131" s="9">
        <v>1.0509999999999999</v>
      </c>
      <c r="E131" s="9">
        <v>1.05</v>
      </c>
      <c r="F131" s="9">
        <v>1.044</v>
      </c>
    </row>
    <row r="132" spans="2:6" x14ac:dyDescent="0.3">
      <c r="B132" s="6">
        <v>129</v>
      </c>
      <c r="C132" s="9">
        <v>1.1499999999999999</v>
      </c>
      <c r="D132" s="9">
        <v>1.1319999999999999</v>
      </c>
      <c r="E132" s="9">
        <v>1.131</v>
      </c>
      <c r="F132" s="9">
        <v>1.115</v>
      </c>
    </row>
    <row r="133" spans="2:6" x14ac:dyDescent="0.3">
      <c r="B133" s="6">
        <v>130</v>
      </c>
      <c r="C133" s="9">
        <v>1.2769999999999999</v>
      </c>
      <c r="D133" s="9">
        <v>1.2470000000000001</v>
      </c>
      <c r="E133" s="9">
        <v>1.246</v>
      </c>
      <c r="F133" s="9">
        <v>1.226</v>
      </c>
    </row>
    <row r="134" spans="2:6" x14ac:dyDescent="0.3">
      <c r="B134" s="6">
        <v>131</v>
      </c>
      <c r="C134" s="9">
        <v>1.4650000000000001</v>
      </c>
      <c r="D134" s="9">
        <v>1.413</v>
      </c>
      <c r="E134" s="9">
        <v>1.4119999999999999</v>
      </c>
      <c r="F134" s="9">
        <v>1.387</v>
      </c>
    </row>
    <row r="135" spans="2:6" x14ac:dyDescent="0.3">
      <c r="B135" s="6">
        <v>132</v>
      </c>
      <c r="C135" s="9">
        <v>1.7050000000000001</v>
      </c>
      <c r="D135" s="9">
        <v>1.6259999999999999</v>
      </c>
      <c r="E135" s="9">
        <v>1.6240000000000001</v>
      </c>
      <c r="F135" s="9">
        <v>1.5940000000000001</v>
      </c>
    </row>
    <row r="136" spans="2:6" x14ac:dyDescent="0.3">
      <c r="B136" s="6">
        <v>133</v>
      </c>
      <c r="C136" s="9">
        <v>1.9730000000000001</v>
      </c>
      <c r="D136" s="9">
        <v>1.8620000000000001</v>
      </c>
      <c r="E136" s="9">
        <v>1.86</v>
      </c>
      <c r="F136" s="9">
        <v>1.825</v>
      </c>
    </row>
    <row r="137" spans="2:6" x14ac:dyDescent="0.3">
      <c r="B137" s="6">
        <v>134</v>
      </c>
      <c r="C137" s="9">
        <v>2.2599999999999998</v>
      </c>
      <c r="D137" s="9">
        <v>2.1240000000000001</v>
      </c>
      <c r="E137" s="9">
        <v>2.12</v>
      </c>
      <c r="F137" s="9">
        <v>2.0760000000000001</v>
      </c>
    </row>
    <row r="138" spans="2:6" x14ac:dyDescent="0.3">
      <c r="B138" s="6">
        <v>135</v>
      </c>
      <c r="C138" s="9">
        <v>2.56</v>
      </c>
      <c r="D138" s="9">
        <v>2.407</v>
      </c>
      <c r="E138" s="9">
        <v>2.4020000000000001</v>
      </c>
      <c r="F138" s="9">
        <v>2.343</v>
      </c>
    </row>
    <row r="139" spans="2:6" x14ac:dyDescent="0.3">
      <c r="B139" s="6">
        <v>136</v>
      </c>
      <c r="C139" s="9">
        <v>2.6970000000000001</v>
      </c>
      <c r="D139" s="9">
        <v>2.5089999999999999</v>
      </c>
      <c r="E139" s="9">
        <v>2.5059999999999998</v>
      </c>
      <c r="F139" s="9">
        <v>2.4350000000000001</v>
      </c>
    </row>
    <row r="140" spans="2:6" x14ac:dyDescent="0.3">
      <c r="B140" s="6">
        <v>137</v>
      </c>
      <c r="C140" s="9">
        <v>2.3580000000000001</v>
      </c>
      <c r="D140" s="9">
        <v>2.1989999999999998</v>
      </c>
      <c r="E140" s="9">
        <v>2.1970000000000001</v>
      </c>
      <c r="F140" s="9">
        <v>2.1389999999999998</v>
      </c>
    </row>
    <row r="141" spans="2:6" x14ac:dyDescent="0.3">
      <c r="B141" s="6">
        <v>138</v>
      </c>
      <c r="C141" s="9">
        <v>2.0569999999999999</v>
      </c>
      <c r="D141" s="9">
        <v>1.93</v>
      </c>
      <c r="E141" s="9">
        <v>1.929</v>
      </c>
      <c r="F141" s="9">
        <v>1.881</v>
      </c>
    </row>
    <row r="142" spans="2:6" x14ac:dyDescent="0.3">
      <c r="B142" s="6">
        <v>139</v>
      </c>
      <c r="C142" s="9">
        <v>1.788</v>
      </c>
      <c r="D142" s="9">
        <v>1.6910000000000001</v>
      </c>
      <c r="E142" s="9">
        <v>1.69</v>
      </c>
      <c r="F142" s="9">
        <v>1.6479999999999999</v>
      </c>
    </row>
    <row r="143" spans="2:6" x14ac:dyDescent="0.3">
      <c r="B143" s="6">
        <v>140</v>
      </c>
      <c r="C143" s="9">
        <v>1.5469999999999999</v>
      </c>
      <c r="D143" s="9">
        <v>1.4790000000000001</v>
      </c>
      <c r="E143" s="9">
        <v>1.4790000000000001</v>
      </c>
      <c r="F143" s="9">
        <v>1.4410000000000001</v>
      </c>
    </row>
    <row r="144" spans="2:6" x14ac:dyDescent="0.3">
      <c r="B144" s="6">
        <v>141</v>
      </c>
      <c r="C144" s="9">
        <v>1.353</v>
      </c>
      <c r="D144" s="9">
        <v>1.306</v>
      </c>
      <c r="E144" s="9">
        <v>1.306</v>
      </c>
      <c r="F144" s="9">
        <v>1.2749999999999999</v>
      </c>
    </row>
    <row r="145" spans="2:6" x14ac:dyDescent="0.3">
      <c r="B145" s="6">
        <v>142</v>
      </c>
      <c r="C145" s="9">
        <v>1.2210000000000001</v>
      </c>
      <c r="D145" s="9">
        <v>1.19</v>
      </c>
      <c r="E145" s="9">
        <v>1.1890000000000001</v>
      </c>
      <c r="F145" s="9">
        <v>1.1659999999999999</v>
      </c>
    </row>
    <row r="146" spans="2:6" x14ac:dyDescent="0.3">
      <c r="B146" s="6">
        <v>143</v>
      </c>
      <c r="C146" s="9">
        <v>1.141</v>
      </c>
      <c r="D146" s="9">
        <v>1.1200000000000001</v>
      </c>
      <c r="E146" s="9">
        <v>1.119</v>
      </c>
      <c r="F146" s="9">
        <v>1.103</v>
      </c>
    </row>
    <row r="147" spans="2:6" x14ac:dyDescent="0.3">
      <c r="B147" s="6">
        <v>144</v>
      </c>
      <c r="C147" s="9">
        <v>1.113</v>
      </c>
      <c r="D147" s="9">
        <v>1.0980000000000001</v>
      </c>
      <c r="E147" s="9">
        <v>1.0960000000000001</v>
      </c>
      <c r="F147" s="9">
        <v>1.085</v>
      </c>
    </row>
    <row r="148" spans="2:6" x14ac:dyDescent="0.3">
      <c r="B148" s="6">
        <v>145</v>
      </c>
      <c r="C148" s="9">
        <v>1.143</v>
      </c>
      <c r="D148" s="9">
        <v>1.123</v>
      </c>
      <c r="E148" s="9">
        <v>1.1220000000000001</v>
      </c>
      <c r="F148" s="9">
        <v>1.107</v>
      </c>
    </row>
    <row r="149" spans="2:6" x14ac:dyDescent="0.3">
      <c r="B149" s="6">
        <v>146</v>
      </c>
      <c r="C149" s="9">
        <v>1.226</v>
      </c>
      <c r="D149" s="9">
        <v>1.196</v>
      </c>
      <c r="E149" s="9">
        <v>1.1950000000000001</v>
      </c>
      <c r="F149" s="9">
        <v>1.1719999999999999</v>
      </c>
    </row>
    <row r="150" spans="2:6" x14ac:dyDescent="0.3">
      <c r="B150" s="6">
        <v>147</v>
      </c>
      <c r="C150" s="9">
        <v>1.359</v>
      </c>
      <c r="D150" s="9">
        <v>1.3160000000000001</v>
      </c>
      <c r="E150" s="9">
        <v>1.3149999999999999</v>
      </c>
      <c r="F150" s="9">
        <v>1.2869999999999999</v>
      </c>
    </row>
    <row r="151" spans="2:6" x14ac:dyDescent="0.3">
      <c r="B151" s="6">
        <v>148</v>
      </c>
      <c r="C151" s="9">
        <v>1.5549999999999999</v>
      </c>
      <c r="D151" s="9">
        <v>1.492</v>
      </c>
      <c r="E151" s="9">
        <v>1.49</v>
      </c>
      <c r="F151" s="9">
        <v>1.456</v>
      </c>
    </row>
    <row r="152" spans="2:6" x14ac:dyDescent="0.3">
      <c r="B152" s="6">
        <v>149</v>
      </c>
      <c r="C152" s="9">
        <v>1.794</v>
      </c>
      <c r="D152" s="9">
        <v>1.7030000000000001</v>
      </c>
      <c r="E152" s="9">
        <v>1.7</v>
      </c>
      <c r="F152" s="9">
        <v>1.665</v>
      </c>
    </row>
    <row r="153" spans="2:6" x14ac:dyDescent="0.3">
      <c r="B153" s="6">
        <v>150</v>
      </c>
      <c r="C153" s="9">
        <v>2.0569999999999999</v>
      </c>
      <c r="D153" s="9">
        <v>1.9379999999999999</v>
      </c>
      <c r="E153" s="9">
        <v>1.9339999999999999</v>
      </c>
      <c r="F153" s="9">
        <v>1.8959999999999999</v>
      </c>
    </row>
    <row r="154" spans="2:6" x14ac:dyDescent="0.3">
      <c r="B154" s="6">
        <v>151</v>
      </c>
      <c r="C154" s="9">
        <v>2.343</v>
      </c>
      <c r="D154" s="9">
        <v>2.1989999999999998</v>
      </c>
      <c r="E154" s="9">
        <v>2.194</v>
      </c>
      <c r="F154" s="9">
        <v>2.1469999999999998</v>
      </c>
    </row>
    <row r="155" spans="2:6" x14ac:dyDescent="0.3">
      <c r="B155" s="6">
        <v>152</v>
      </c>
      <c r="C155" s="9">
        <v>2.6509999999999998</v>
      </c>
      <c r="D155" s="9">
        <v>2.4950000000000001</v>
      </c>
      <c r="E155" s="9">
        <v>2.488</v>
      </c>
      <c r="F155" s="9">
        <v>2.423</v>
      </c>
    </row>
    <row r="156" spans="2:6" x14ac:dyDescent="0.3">
      <c r="B156" s="6">
        <v>153</v>
      </c>
      <c r="C156" s="9">
        <v>2.83</v>
      </c>
      <c r="D156" s="9">
        <v>2.64</v>
      </c>
      <c r="E156" s="9">
        <v>2.637</v>
      </c>
      <c r="F156" s="9">
        <v>2.5569999999999999</v>
      </c>
    </row>
    <row r="157" spans="2:6" x14ac:dyDescent="0.3">
      <c r="B157" s="6">
        <v>154</v>
      </c>
      <c r="C157" s="9">
        <v>2.4649999999999999</v>
      </c>
      <c r="D157" s="9">
        <v>2.3010000000000002</v>
      </c>
      <c r="E157" s="9">
        <v>2.298</v>
      </c>
      <c r="F157" s="9">
        <v>2.234</v>
      </c>
    </row>
    <row r="158" spans="2:6" x14ac:dyDescent="0.3">
      <c r="B158" s="6">
        <v>155</v>
      </c>
      <c r="C158" s="9">
        <v>2.1720000000000002</v>
      </c>
      <c r="D158" s="9">
        <v>2.0350000000000001</v>
      </c>
      <c r="E158" s="9">
        <v>2.0329999999999999</v>
      </c>
      <c r="F158" s="9">
        <v>1.978</v>
      </c>
    </row>
    <row r="159" spans="2:6" x14ac:dyDescent="0.3">
      <c r="B159" s="6">
        <v>156</v>
      </c>
      <c r="C159" s="9">
        <v>1.9139999999999999</v>
      </c>
      <c r="D159" s="9">
        <v>1.8029999999999999</v>
      </c>
      <c r="E159" s="9">
        <v>1.802</v>
      </c>
      <c r="F159" s="9">
        <v>1.752</v>
      </c>
    </row>
    <row r="160" spans="2:6" x14ac:dyDescent="0.3">
      <c r="B160" s="6">
        <v>157</v>
      </c>
      <c r="C160" s="9">
        <v>1.6870000000000001</v>
      </c>
      <c r="D160" s="9">
        <v>1.6020000000000001</v>
      </c>
      <c r="E160" s="9">
        <v>1.601</v>
      </c>
      <c r="F160" s="9">
        <v>1.5549999999999999</v>
      </c>
    </row>
    <row r="161" spans="2:6" x14ac:dyDescent="0.3">
      <c r="B161" s="6">
        <v>158</v>
      </c>
      <c r="C161" s="9">
        <v>1.494</v>
      </c>
      <c r="D161" s="9">
        <v>1.4319999999999999</v>
      </c>
      <c r="E161" s="9">
        <v>1.431</v>
      </c>
      <c r="F161" s="9">
        <v>1.391</v>
      </c>
    </row>
    <row r="162" spans="2:6" x14ac:dyDescent="0.3">
      <c r="B162" s="6">
        <v>159</v>
      </c>
      <c r="C162" s="9">
        <v>1.3520000000000001</v>
      </c>
      <c r="D162" s="9">
        <v>1.306</v>
      </c>
      <c r="E162" s="9">
        <v>1.3049999999999999</v>
      </c>
      <c r="F162" s="9">
        <v>1.272</v>
      </c>
    </row>
    <row r="163" spans="2:6" x14ac:dyDescent="0.3">
      <c r="B163" s="6">
        <v>160</v>
      </c>
      <c r="C163" s="9">
        <v>1.2669999999999999</v>
      </c>
      <c r="D163" s="9">
        <v>1.234</v>
      </c>
      <c r="E163" s="9">
        <v>1.2330000000000001</v>
      </c>
      <c r="F163" s="9">
        <v>1.2090000000000001</v>
      </c>
    </row>
    <row r="164" spans="2:6" x14ac:dyDescent="0.3">
      <c r="B164" s="6">
        <v>161</v>
      </c>
      <c r="C164" s="9">
        <v>1.2370000000000001</v>
      </c>
      <c r="D164" s="9">
        <v>1.2110000000000001</v>
      </c>
      <c r="E164" s="9">
        <v>1.2090000000000001</v>
      </c>
      <c r="F164" s="9">
        <v>1.19</v>
      </c>
    </row>
    <row r="165" spans="2:6" x14ac:dyDescent="0.3">
      <c r="B165" s="6">
        <v>162</v>
      </c>
      <c r="C165" s="9">
        <v>1.2649999999999999</v>
      </c>
      <c r="D165" s="9">
        <v>1.234</v>
      </c>
      <c r="E165" s="9">
        <v>1.232</v>
      </c>
      <c r="F165" s="9">
        <v>1.2090000000000001</v>
      </c>
    </row>
    <row r="166" spans="2:6" x14ac:dyDescent="0.3">
      <c r="B166" s="6">
        <v>163</v>
      </c>
      <c r="C166" s="9">
        <v>1.3480000000000001</v>
      </c>
      <c r="D166" s="9">
        <v>1.306</v>
      </c>
      <c r="E166" s="9">
        <v>1.304</v>
      </c>
      <c r="F166" s="9">
        <v>1.274</v>
      </c>
    </row>
    <row r="167" spans="2:6" x14ac:dyDescent="0.3">
      <c r="B167" s="6">
        <v>164</v>
      </c>
      <c r="C167" s="9">
        <v>1.4870000000000001</v>
      </c>
      <c r="D167" s="9">
        <v>1.43</v>
      </c>
      <c r="E167" s="9">
        <v>1.4279999999999999</v>
      </c>
      <c r="F167" s="9">
        <v>1.3939999999999999</v>
      </c>
    </row>
    <row r="168" spans="2:6" x14ac:dyDescent="0.3">
      <c r="B168" s="6">
        <v>165</v>
      </c>
      <c r="C168" s="9">
        <v>1.68</v>
      </c>
      <c r="D168" s="9">
        <v>1.6020000000000001</v>
      </c>
      <c r="E168" s="9">
        <v>1.599</v>
      </c>
      <c r="F168" s="9">
        <v>1.56</v>
      </c>
    </row>
    <row r="169" spans="2:6" x14ac:dyDescent="0.3">
      <c r="B169" s="6">
        <v>166</v>
      </c>
      <c r="C169" s="9">
        <v>1.9119999999999999</v>
      </c>
      <c r="D169" s="9">
        <v>1.8080000000000001</v>
      </c>
      <c r="E169" s="9">
        <v>1.8049999999999999</v>
      </c>
      <c r="F169" s="9">
        <v>1.764</v>
      </c>
    </row>
    <row r="170" spans="2:6" x14ac:dyDescent="0.3">
      <c r="B170" s="6">
        <v>167</v>
      </c>
      <c r="C170" s="9">
        <v>2.1739999999999999</v>
      </c>
      <c r="D170" s="9">
        <v>2.0430000000000001</v>
      </c>
      <c r="E170" s="9">
        <v>2.0390000000000001</v>
      </c>
      <c r="F170" s="9">
        <v>1.9930000000000001</v>
      </c>
    </row>
    <row r="171" spans="2:6" x14ac:dyDescent="0.3">
      <c r="B171" s="6">
        <v>168</v>
      </c>
      <c r="C171" s="9">
        <v>2.4590000000000001</v>
      </c>
      <c r="D171" s="9">
        <v>2.3069999999999999</v>
      </c>
      <c r="E171" s="9">
        <v>2.302</v>
      </c>
      <c r="F171" s="9">
        <v>2.2450000000000001</v>
      </c>
    </row>
    <row r="172" spans="2:6" x14ac:dyDescent="0.3">
      <c r="B172" s="6">
        <v>169</v>
      </c>
      <c r="C172" s="9">
        <v>2.8069999999999999</v>
      </c>
      <c r="D172" s="9">
        <v>2.6440000000000001</v>
      </c>
      <c r="E172" s="9">
        <v>2.6360000000000001</v>
      </c>
      <c r="F172" s="9">
        <v>2.5619999999999998</v>
      </c>
    </row>
    <row r="173" spans="2:6" x14ac:dyDescent="0.3">
      <c r="B173" s="6">
        <v>170</v>
      </c>
      <c r="C173" s="9">
        <v>3.0790000000000002</v>
      </c>
      <c r="D173" s="9">
        <v>2.8679999999999999</v>
      </c>
      <c r="E173" s="9">
        <v>2.8639999999999999</v>
      </c>
      <c r="F173" s="9">
        <v>2.77</v>
      </c>
    </row>
    <row r="174" spans="2:6" x14ac:dyDescent="0.3">
      <c r="B174" s="6">
        <v>171</v>
      </c>
      <c r="C174" s="9">
        <v>2.641</v>
      </c>
      <c r="D174" s="9">
        <v>2.4649999999999999</v>
      </c>
      <c r="E174" s="9">
        <v>2.4620000000000002</v>
      </c>
      <c r="F174" s="9">
        <v>2.3849999999999998</v>
      </c>
    </row>
    <row r="175" spans="2:6" x14ac:dyDescent="0.3">
      <c r="B175" s="6">
        <v>172</v>
      </c>
      <c r="C175" s="9">
        <v>2.3279999999999998</v>
      </c>
      <c r="D175" s="9">
        <v>2.1779999999999999</v>
      </c>
      <c r="E175" s="9">
        <v>2.1760000000000002</v>
      </c>
      <c r="F175" s="9">
        <v>2.1120000000000001</v>
      </c>
    </row>
    <row r="176" spans="2:6" x14ac:dyDescent="0.3">
      <c r="B176" s="6">
        <v>173</v>
      </c>
      <c r="C176" s="9">
        <v>2.081</v>
      </c>
      <c r="D176" s="9">
        <v>1.9530000000000001</v>
      </c>
      <c r="E176" s="9">
        <v>1.9510000000000001</v>
      </c>
      <c r="F176" s="9">
        <v>1.893</v>
      </c>
    </row>
    <row r="177" spans="2:6" x14ac:dyDescent="0.3">
      <c r="B177" s="6">
        <v>174</v>
      </c>
      <c r="C177" s="9">
        <v>1.861</v>
      </c>
      <c r="D177" s="9">
        <v>1.758</v>
      </c>
      <c r="E177" s="9">
        <v>1.7569999999999999</v>
      </c>
      <c r="F177" s="9">
        <v>1.704</v>
      </c>
    </row>
    <row r="178" spans="2:6" x14ac:dyDescent="0.3">
      <c r="B178" s="6">
        <v>175</v>
      </c>
      <c r="C178" s="9">
        <v>1.6830000000000001</v>
      </c>
      <c r="D178" s="9">
        <v>1.601</v>
      </c>
      <c r="E178" s="9">
        <v>1.6</v>
      </c>
      <c r="F178" s="9">
        <v>1.5529999999999999</v>
      </c>
    </row>
    <row r="179" spans="2:6" x14ac:dyDescent="0.3">
      <c r="B179" s="6">
        <v>176</v>
      </c>
      <c r="C179" s="9">
        <v>1.5449999999999999</v>
      </c>
      <c r="D179" s="9">
        <v>1.48</v>
      </c>
      <c r="E179" s="9">
        <v>1.4790000000000001</v>
      </c>
      <c r="F179" s="9">
        <v>1.4379999999999999</v>
      </c>
    </row>
    <row r="180" spans="2:6" x14ac:dyDescent="0.3">
      <c r="B180" s="6">
        <v>177</v>
      </c>
      <c r="C180" s="9">
        <v>1.456</v>
      </c>
      <c r="D180" s="9">
        <v>1.403</v>
      </c>
      <c r="E180" s="9">
        <v>1.401</v>
      </c>
      <c r="F180" s="9">
        <v>1.3680000000000001</v>
      </c>
    </row>
    <row r="181" spans="2:6" x14ac:dyDescent="0.3">
      <c r="B181" s="6">
        <v>178</v>
      </c>
      <c r="C181" s="9">
        <v>1.4259999999999999</v>
      </c>
      <c r="D181" s="9">
        <v>1.377</v>
      </c>
      <c r="E181" s="9">
        <v>1.3740000000000001</v>
      </c>
      <c r="F181" s="9">
        <v>1.347</v>
      </c>
    </row>
    <row r="182" spans="2:6" x14ac:dyDescent="0.3">
      <c r="B182" s="6">
        <v>179</v>
      </c>
      <c r="C182" s="9">
        <v>1.4530000000000001</v>
      </c>
      <c r="D182" s="9">
        <v>1.4019999999999999</v>
      </c>
      <c r="E182" s="9">
        <v>1.4</v>
      </c>
      <c r="F182" s="9">
        <v>1.3680000000000001</v>
      </c>
    </row>
    <row r="183" spans="2:6" x14ac:dyDescent="0.3">
      <c r="B183" s="6">
        <v>180</v>
      </c>
      <c r="C183" s="9">
        <v>1.5409999999999999</v>
      </c>
      <c r="D183" s="9">
        <v>1.4790000000000001</v>
      </c>
      <c r="E183" s="9">
        <v>1.4770000000000001</v>
      </c>
      <c r="F183" s="9">
        <v>1.4390000000000001</v>
      </c>
    </row>
    <row r="184" spans="2:6" x14ac:dyDescent="0.3">
      <c r="B184" s="6">
        <v>181</v>
      </c>
      <c r="C184" s="9">
        <v>1.6779999999999999</v>
      </c>
      <c r="D184" s="9">
        <v>1.6020000000000001</v>
      </c>
      <c r="E184" s="9">
        <v>1.6</v>
      </c>
      <c r="F184" s="9">
        <v>1.556</v>
      </c>
    </row>
    <row r="185" spans="2:6" x14ac:dyDescent="0.3">
      <c r="B185" s="6">
        <v>182</v>
      </c>
      <c r="C185" s="9">
        <v>1.855</v>
      </c>
      <c r="D185" s="9">
        <v>1.7589999999999999</v>
      </c>
      <c r="E185" s="9">
        <v>1.756</v>
      </c>
      <c r="F185" s="9">
        <v>1.7110000000000001</v>
      </c>
    </row>
    <row r="186" spans="2:6" x14ac:dyDescent="0.3">
      <c r="B186" s="6">
        <v>183</v>
      </c>
      <c r="C186" s="9">
        <v>2.077</v>
      </c>
      <c r="D186" s="9">
        <v>1.956</v>
      </c>
      <c r="E186" s="9">
        <v>1.952</v>
      </c>
      <c r="F186" s="9">
        <v>1.9059999999999999</v>
      </c>
    </row>
    <row r="187" spans="2:6" x14ac:dyDescent="0.3">
      <c r="B187" s="6">
        <v>184</v>
      </c>
      <c r="C187" s="9">
        <v>2.3220000000000001</v>
      </c>
      <c r="D187" s="9">
        <v>2.1800000000000002</v>
      </c>
      <c r="E187" s="9">
        <v>2.1749999999999998</v>
      </c>
      <c r="F187" s="9">
        <v>2.12</v>
      </c>
    </row>
    <row r="188" spans="2:6" x14ac:dyDescent="0.3">
      <c r="B188" s="6">
        <v>185</v>
      </c>
      <c r="C188" s="9">
        <v>2.6259999999999999</v>
      </c>
      <c r="D188" s="9">
        <v>2.4660000000000002</v>
      </c>
      <c r="E188" s="9">
        <v>2.46</v>
      </c>
      <c r="F188" s="9">
        <v>2.39</v>
      </c>
    </row>
    <row r="189" spans="2:6" x14ac:dyDescent="0.3">
      <c r="B189" s="6">
        <v>186</v>
      </c>
      <c r="C189" s="9">
        <v>3.0329999999999999</v>
      </c>
      <c r="D189" s="9">
        <v>2.863</v>
      </c>
      <c r="E189" s="9">
        <v>2.8540000000000001</v>
      </c>
      <c r="F189" s="9">
        <v>2.7610000000000001</v>
      </c>
    </row>
    <row r="190" spans="2:6" x14ac:dyDescent="0.3">
      <c r="B190" s="6">
        <v>187</v>
      </c>
      <c r="C190" s="9">
        <v>3.351</v>
      </c>
      <c r="D190" s="9">
        <v>3.1320000000000001</v>
      </c>
      <c r="E190" s="9">
        <v>3.1280000000000001</v>
      </c>
      <c r="F190" s="9">
        <v>3.0150000000000001</v>
      </c>
    </row>
    <row r="191" spans="2:6" x14ac:dyDescent="0.3">
      <c r="B191" s="6">
        <v>188</v>
      </c>
      <c r="C191" s="9">
        <v>2.9039999999999999</v>
      </c>
      <c r="D191" s="9">
        <v>2.7120000000000002</v>
      </c>
      <c r="E191" s="9">
        <v>2.7080000000000002</v>
      </c>
      <c r="F191" s="9">
        <v>2.6150000000000002</v>
      </c>
    </row>
    <row r="192" spans="2:6" x14ac:dyDescent="0.3">
      <c r="B192" s="6">
        <v>189</v>
      </c>
      <c r="C192" s="9">
        <v>2.5379999999999998</v>
      </c>
      <c r="D192" s="9">
        <v>2.3740000000000001</v>
      </c>
      <c r="E192" s="9">
        <v>2.371</v>
      </c>
      <c r="F192" s="9">
        <v>2.2959999999999998</v>
      </c>
    </row>
    <row r="193" spans="2:6" x14ac:dyDescent="0.3">
      <c r="B193" s="6">
        <v>190</v>
      </c>
      <c r="C193" s="9">
        <v>2.2890000000000001</v>
      </c>
      <c r="D193" s="9">
        <v>2.145</v>
      </c>
      <c r="E193" s="9">
        <v>2.1429999999999998</v>
      </c>
      <c r="F193" s="9">
        <v>2.0750000000000002</v>
      </c>
    </row>
    <row r="194" spans="2:6" x14ac:dyDescent="0.3">
      <c r="B194" s="6">
        <v>191</v>
      </c>
      <c r="C194" s="9">
        <v>2.0790000000000002</v>
      </c>
      <c r="D194" s="9">
        <v>1.956</v>
      </c>
      <c r="E194" s="9">
        <v>1.9550000000000001</v>
      </c>
      <c r="F194" s="9">
        <v>1.893</v>
      </c>
    </row>
    <row r="195" spans="2:6" x14ac:dyDescent="0.3">
      <c r="B195" s="6">
        <v>192</v>
      </c>
      <c r="C195" s="9">
        <v>1.905</v>
      </c>
      <c r="D195" s="9">
        <v>1.8009999999999999</v>
      </c>
      <c r="E195" s="9">
        <v>1.8</v>
      </c>
      <c r="F195" s="9">
        <v>1.7450000000000001</v>
      </c>
    </row>
    <row r="196" spans="2:6" x14ac:dyDescent="0.3">
      <c r="B196" s="6">
        <v>193</v>
      </c>
      <c r="C196" s="9">
        <v>1.7769999999999999</v>
      </c>
      <c r="D196" s="9">
        <v>1.6890000000000001</v>
      </c>
      <c r="E196" s="9">
        <v>1.6879999999999999</v>
      </c>
      <c r="F196" s="9">
        <v>1.639</v>
      </c>
    </row>
    <row r="197" spans="2:6" x14ac:dyDescent="0.3">
      <c r="B197" s="6">
        <v>194</v>
      </c>
      <c r="C197" s="9">
        <v>1.698</v>
      </c>
      <c r="D197" s="9">
        <v>1.619</v>
      </c>
      <c r="E197" s="9">
        <v>1.6180000000000001</v>
      </c>
      <c r="F197" s="9">
        <v>1.575</v>
      </c>
    </row>
    <row r="198" spans="2:6" x14ac:dyDescent="0.3">
      <c r="B198" s="6">
        <v>195</v>
      </c>
      <c r="C198" s="9">
        <v>1.6739999999999999</v>
      </c>
      <c r="D198" s="9">
        <v>1.5980000000000001</v>
      </c>
      <c r="E198" s="9">
        <v>1.5960000000000001</v>
      </c>
      <c r="F198" s="9">
        <v>1.5569999999999999</v>
      </c>
    </row>
    <row r="199" spans="2:6" x14ac:dyDescent="0.3">
      <c r="B199" s="6">
        <v>196</v>
      </c>
      <c r="C199" s="9">
        <v>1.704</v>
      </c>
      <c r="D199" s="9">
        <v>1.625</v>
      </c>
      <c r="E199" s="9">
        <v>1.623</v>
      </c>
      <c r="F199" s="9">
        <v>1.581</v>
      </c>
    </row>
    <row r="200" spans="2:6" x14ac:dyDescent="0.3">
      <c r="B200" s="6">
        <v>197</v>
      </c>
      <c r="C200" s="9">
        <v>1.788</v>
      </c>
      <c r="D200" s="9">
        <v>1.7010000000000001</v>
      </c>
      <c r="E200" s="9">
        <v>1.6990000000000001</v>
      </c>
      <c r="F200" s="9">
        <v>1.651</v>
      </c>
    </row>
    <row r="201" spans="2:6" x14ac:dyDescent="0.3">
      <c r="B201" s="6">
        <v>198</v>
      </c>
      <c r="C201" s="9">
        <v>1.9139999999999999</v>
      </c>
      <c r="D201" s="9">
        <v>1.8129999999999999</v>
      </c>
      <c r="E201" s="9">
        <v>1.8109999999999999</v>
      </c>
      <c r="F201" s="9">
        <v>1.76</v>
      </c>
    </row>
    <row r="202" spans="2:6" x14ac:dyDescent="0.3">
      <c r="B202" s="6">
        <v>199</v>
      </c>
      <c r="C202" s="9">
        <v>2.081</v>
      </c>
      <c r="D202" s="9">
        <v>1.9630000000000001</v>
      </c>
      <c r="E202" s="9">
        <v>1.96</v>
      </c>
      <c r="F202" s="9">
        <v>1.907</v>
      </c>
    </row>
    <row r="203" spans="2:6" x14ac:dyDescent="0.3">
      <c r="B203" s="6">
        <v>200</v>
      </c>
      <c r="C203" s="9">
        <v>2.2829999999999999</v>
      </c>
      <c r="D203" s="9">
        <v>2.145</v>
      </c>
      <c r="E203" s="9">
        <v>2.141</v>
      </c>
      <c r="F203" s="9">
        <v>2.0830000000000002</v>
      </c>
    </row>
    <row r="204" spans="2:6" x14ac:dyDescent="0.3">
      <c r="B204" s="6">
        <v>201</v>
      </c>
      <c r="C204" s="9">
        <v>2.52</v>
      </c>
      <c r="D204" s="9">
        <v>2.363</v>
      </c>
      <c r="E204" s="9">
        <v>2.3580000000000001</v>
      </c>
      <c r="F204" s="9">
        <v>2.2919999999999998</v>
      </c>
    </row>
    <row r="205" spans="2:6" x14ac:dyDescent="0.3">
      <c r="B205" s="6">
        <v>202</v>
      </c>
      <c r="C205" s="9">
        <v>2.8679999999999999</v>
      </c>
      <c r="D205" s="9">
        <v>2.6909999999999998</v>
      </c>
      <c r="E205" s="9">
        <v>2.6840000000000002</v>
      </c>
      <c r="F205" s="9">
        <v>2.5979999999999999</v>
      </c>
    </row>
    <row r="206" spans="2:6" x14ac:dyDescent="0.3">
      <c r="B206" s="6">
        <v>203</v>
      </c>
      <c r="C206" s="9">
        <v>3.2610000000000001</v>
      </c>
      <c r="D206" s="9">
        <v>3.0790000000000002</v>
      </c>
      <c r="E206" s="9">
        <v>3.0710000000000002</v>
      </c>
      <c r="F206" s="9">
        <v>2.956</v>
      </c>
    </row>
    <row r="207" spans="2:6" x14ac:dyDescent="0.3">
      <c r="B207" s="6">
        <v>204</v>
      </c>
      <c r="C207" s="9">
        <v>3.5720000000000001</v>
      </c>
      <c r="D207" s="9">
        <v>3.37</v>
      </c>
      <c r="E207" s="9">
        <v>3.3650000000000002</v>
      </c>
      <c r="F207" s="9">
        <v>3.238</v>
      </c>
    </row>
    <row r="208" spans="2:6" x14ac:dyDescent="0.3">
      <c r="B208" s="6">
        <v>205</v>
      </c>
      <c r="C208" s="9">
        <v>3.222</v>
      </c>
      <c r="D208" s="9">
        <v>3.0310000000000001</v>
      </c>
      <c r="E208" s="9">
        <v>3.0270000000000001</v>
      </c>
      <c r="F208" s="9">
        <v>2.9119999999999999</v>
      </c>
    </row>
    <row r="209" spans="1:89" x14ac:dyDescent="0.3">
      <c r="B209" s="6">
        <v>206</v>
      </c>
      <c r="C209" s="9">
        <v>2.8370000000000002</v>
      </c>
      <c r="D209" s="9">
        <v>2.6669999999999998</v>
      </c>
      <c r="E209" s="9">
        <v>2.6640000000000001</v>
      </c>
      <c r="F209" s="9">
        <v>2.57</v>
      </c>
    </row>
    <row r="210" spans="1:89" x14ac:dyDescent="0.3">
      <c r="B210" s="6">
        <v>207</v>
      </c>
      <c r="C210" s="9">
        <v>2.5369999999999999</v>
      </c>
      <c r="D210" s="9">
        <v>2.3889999999999998</v>
      </c>
      <c r="E210" s="9">
        <v>2.387</v>
      </c>
      <c r="F210" s="9">
        <v>2.3069999999999999</v>
      </c>
    </row>
    <row r="211" spans="1:89" x14ac:dyDescent="0.3">
      <c r="B211" s="6">
        <v>208</v>
      </c>
      <c r="C211" s="9">
        <v>2.339</v>
      </c>
      <c r="D211" s="9">
        <v>2.206</v>
      </c>
      <c r="E211" s="9">
        <v>2.2050000000000001</v>
      </c>
      <c r="F211" s="9">
        <v>2.1309999999999998</v>
      </c>
    </row>
    <row r="212" spans="1:89" x14ac:dyDescent="0.3">
      <c r="B212" s="6">
        <v>209</v>
      </c>
      <c r="C212" s="9">
        <v>2.1680000000000001</v>
      </c>
      <c r="D212" s="9">
        <v>2.0499999999999998</v>
      </c>
      <c r="E212" s="9">
        <v>2.0499999999999998</v>
      </c>
      <c r="F212" s="9">
        <v>1.984</v>
      </c>
    </row>
    <row r="213" spans="1:89" x14ac:dyDescent="0.3">
      <c r="B213" s="6">
        <v>210</v>
      </c>
      <c r="C213" s="9">
        <v>2.0419999999999998</v>
      </c>
      <c r="D213" s="9">
        <v>1.9359999999999999</v>
      </c>
      <c r="E213" s="9">
        <v>1.9350000000000001</v>
      </c>
      <c r="F213" s="9">
        <v>1.8759999999999999</v>
      </c>
    </row>
    <row r="214" spans="1:89" x14ac:dyDescent="0.3">
      <c r="B214" s="6">
        <v>211</v>
      </c>
      <c r="C214" s="9">
        <v>1.968</v>
      </c>
      <c r="D214" s="9">
        <v>1.8680000000000001</v>
      </c>
      <c r="E214" s="9">
        <v>1.867</v>
      </c>
      <c r="F214" s="9">
        <v>1.8120000000000001</v>
      </c>
    </row>
    <row r="215" spans="1:89" x14ac:dyDescent="0.3">
      <c r="B215" s="6">
        <v>212</v>
      </c>
      <c r="C215" s="9">
        <v>1.95</v>
      </c>
      <c r="D215" s="9">
        <v>1.849</v>
      </c>
      <c r="E215" s="9">
        <v>1.847</v>
      </c>
      <c r="F215" s="9">
        <v>1.794</v>
      </c>
    </row>
    <row r="216" spans="1:89" x14ac:dyDescent="0.3">
      <c r="B216" s="6">
        <v>213</v>
      </c>
      <c r="C216" s="9">
        <v>1.9770000000000001</v>
      </c>
      <c r="D216" s="9">
        <v>1.8779999999999999</v>
      </c>
      <c r="E216" s="9">
        <v>1.8759999999999999</v>
      </c>
      <c r="F216" s="9">
        <v>1.823</v>
      </c>
    </row>
    <row r="217" spans="1:89" x14ac:dyDescent="0.3">
      <c r="B217" s="6">
        <v>214</v>
      </c>
      <c r="C217" s="9">
        <v>2.069</v>
      </c>
      <c r="D217" s="9">
        <v>1.9570000000000001</v>
      </c>
      <c r="E217" s="9">
        <v>1.9550000000000001</v>
      </c>
      <c r="F217" s="9">
        <v>1.9</v>
      </c>
    </row>
    <row r="218" spans="1:89" x14ac:dyDescent="0.3">
      <c r="B218" s="6">
        <v>215</v>
      </c>
      <c r="C218" s="9">
        <v>2.1920000000000002</v>
      </c>
      <c r="D218" s="9">
        <v>2.0720000000000001</v>
      </c>
      <c r="E218" s="9">
        <v>2.0699999999999998</v>
      </c>
      <c r="F218" s="9">
        <v>2.0110000000000001</v>
      </c>
    </row>
    <row r="219" spans="1:89" x14ac:dyDescent="0.3">
      <c r="B219" s="6">
        <v>216</v>
      </c>
      <c r="C219" s="9">
        <v>2.35</v>
      </c>
      <c r="D219" s="9">
        <v>2.2189999999999999</v>
      </c>
      <c r="E219" s="9">
        <v>2.2170000000000001</v>
      </c>
      <c r="F219" s="9">
        <v>2.149</v>
      </c>
    </row>
    <row r="220" spans="1:89" x14ac:dyDescent="0.3">
      <c r="B220" s="6">
        <v>217</v>
      </c>
      <c r="C220" s="9">
        <v>2.5369999999999999</v>
      </c>
      <c r="D220" s="9">
        <v>2.3889999999999998</v>
      </c>
      <c r="E220" s="9">
        <v>2.3860000000000001</v>
      </c>
      <c r="F220" s="9">
        <v>2.3090000000000002</v>
      </c>
    </row>
    <row r="221" spans="1:89" x14ac:dyDescent="0.3">
      <c r="B221" s="6">
        <v>218</v>
      </c>
      <c r="C221" s="9">
        <v>2.8079999999999998</v>
      </c>
      <c r="D221" s="9">
        <v>2.649</v>
      </c>
      <c r="E221" s="9">
        <v>2.6440000000000001</v>
      </c>
      <c r="F221" s="9">
        <v>2.5529999999999999</v>
      </c>
    </row>
    <row r="222" spans="1:89" x14ac:dyDescent="0.3">
      <c r="B222" s="6">
        <v>219</v>
      </c>
      <c r="C222" s="9">
        <v>3.14</v>
      </c>
      <c r="D222" s="9">
        <v>2.9630000000000001</v>
      </c>
      <c r="E222" s="9">
        <v>2.956</v>
      </c>
      <c r="F222" s="9">
        <v>2.851</v>
      </c>
    </row>
    <row r="223" spans="1:89" x14ac:dyDescent="0.3">
      <c r="B223" s="6">
        <v>220</v>
      </c>
      <c r="C223" s="9">
        <v>3.4220000000000002</v>
      </c>
      <c r="D223" s="9">
        <v>3.2370000000000001</v>
      </c>
      <c r="E223" s="9">
        <v>3.23</v>
      </c>
      <c r="F223" s="9">
        <v>3.0990000000000002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521B6-5C5F-424E-B9AE-1D60F6647120}">
  <sheetPr codeName="工作表8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793.71900000000005</v>
      </c>
      <c r="J2" s="2">
        <f ca="1">goldenOTP_check!J2*J58</f>
        <v>835.92000000000007</v>
      </c>
      <c r="K2" s="2">
        <f ca="1">goldenOTP_check!K2*K58</f>
        <v>890.45300000000009</v>
      </c>
      <c r="L2" s="2">
        <f ca="1">goldenOTP_check!L2*L58</f>
        <v>924.16</v>
      </c>
      <c r="M2" s="2">
        <f ca="1">goldenOTP_check!M2*M58</f>
        <v>975.93599999999992</v>
      </c>
      <c r="N2" s="2">
        <f ca="1">goldenOTP_check!N2*N58</f>
        <v>974.40000000000009</v>
      </c>
      <c r="O2" s="2">
        <f ca="1">goldenOTP_check!O2*O58</f>
        <v>994.5200000000001</v>
      </c>
      <c r="P2" s="2">
        <f ca="1">goldenOTP_check!P2*P58</f>
        <v>1032.7459999999999</v>
      </c>
      <c r="Q2" s="2">
        <f ca="1">goldenOTP_check!Q2*Q58</f>
        <v>1011.5300000000001</v>
      </c>
      <c r="R2" s="2">
        <f ca="1">goldenOTP_check!R2*R58</f>
        <v>1031.7340000000002</v>
      </c>
      <c r="S2" s="2">
        <f ca="1">goldenOTP_check!S2*S58</f>
        <v>1018.948</v>
      </c>
      <c r="T2" s="2">
        <f ca="1">goldenOTP_check!T2*T58</f>
        <v>1007.0830000000001</v>
      </c>
      <c r="U2" s="2">
        <f ca="1">goldenOTP_check!U2*U58</f>
        <v>970.63199999999995</v>
      </c>
      <c r="V2" s="2">
        <f ca="1">goldenOTP_check!V2*V58</f>
        <v>922.35500000000002</v>
      </c>
      <c r="W2" s="2">
        <f ca="1">goldenOTP_check!W2*W58</f>
        <v>892.98900000000003</v>
      </c>
      <c r="X2" s="2">
        <f ca="1">goldenOTP_check!X2*X58</f>
        <v>833.21999999999991</v>
      </c>
      <c r="Y2" s="3">
        <f ca="1">goldenOTP_check!Y2*Y58</f>
        <v>782.96399999999994</v>
      </c>
      <c r="BA2"/>
      <c r="BB2"/>
      <c r="BC2"/>
      <c r="BD2"/>
    </row>
    <row r="3" spans="2:56" x14ac:dyDescent="0.3">
      <c r="B3" s="8">
        <v>0</v>
      </c>
      <c r="C3" s="9">
        <v>3.3210000000000002</v>
      </c>
      <c r="D3" s="9">
        <v>2.9860000000000002</v>
      </c>
      <c r="E3" s="9">
        <v>2.9849999999999999</v>
      </c>
      <c r="F3" s="9">
        <v>2.8279999999999998</v>
      </c>
      <c r="H3" t="s">
        <v>6</v>
      </c>
      <c r="I3" s="2">
        <f ca="1">goldenOTP_check!I3*I59</f>
        <v>874.26</v>
      </c>
      <c r="J3" s="2">
        <f ca="1">goldenOTP_check!J3*J59</f>
        <v>912.95999999999992</v>
      </c>
      <c r="K3" s="2">
        <f ca="1">goldenOTP_check!K3*K59</f>
        <v>935.86</v>
      </c>
      <c r="L3" s="2">
        <f ca="1">goldenOTP_check!L3*L59</f>
        <v>993.62700000000007</v>
      </c>
      <c r="M3" s="2">
        <f ca="1">goldenOTP_check!M3*M59</f>
        <v>1014.7299999999999</v>
      </c>
      <c r="N3" s="2">
        <f ca="1">goldenOTP_check!N3*N59</f>
        <v>1054.826</v>
      </c>
      <c r="O3" s="2">
        <f ca="1">goldenOTP_check!O3*O59</f>
        <v>1050.732</v>
      </c>
      <c r="P3" s="2">
        <f ca="1">goldenOTP_check!P3*P59</f>
        <v>1068.5999999999999</v>
      </c>
      <c r="Q3" s="2">
        <f ca="1">goldenOTP_check!Q3*Q59</f>
        <v>1071.694</v>
      </c>
      <c r="R3" s="2">
        <f ca="1">goldenOTP_check!R3*R59</f>
        <v>1066.8</v>
      </c>
      <c r="S3" s="2">
        <f ca="1">goldenOTP_check!S3*S59</f>
        <v>1071.3600000000001</v>
      </c>
      <c r="T3" s="2">
        <f ca="1">goldenOTP_check!T3*T59</f>
        <v>1052.71</v>
      </c>
      <c r="U3" s="2">
        <f ca="1">goldenOTP_check!U3*U59</f>
        <v>1014.7299999999999</v>
      </c>
      <c r="V3" s="2">
        <f ca="1">goldenOTP_check!V3*V59</f>
        <v>994.05000000000007</v>
      </c>
      <c r="W3" s="2">
        <f ca="1">goldenOTP_check!W3*W59</f>
        <v>939.14499999999998</v>
      </c>
      <c r="X3" s="2">
        <f ca="1">goldenOTP_check!X3*X59</f>
        <v>911.69200000000001</v>
      </c>
      <c r="Y3" s="2">
        <f ca="1">goldenOTP_check!Y3*Y59</f>
        <v>810.64499999999998</v>
      </c>
      <c r="BA3"/>
      <c r="BB3"/>
      <c r="BC3"/>
      <c r="BD3"/>
    </row>
    <row r="4" spans="2:56" x14ac:dyDescent="0.3">
      <c r="B4" s="6">
        <v>1</v>
      </c>
      <c r="C4" s="9">
        <v>3.0960000000000001</v>
      </c>
      <c r="D4" s="9">
        <v>2.7530000000000001</v>
      </c>
      <c r="E4" s="9">
        <v>2.7559999999999998</v>
      </c>
      <c r="F4" s="9">
        <v>2.62</v>
      </c>
      <c r="I4" s="2">
        <f ca="1">goldenOTP_check!I4*I60</f>
        <v>885.37</v>
      </c>
      <c r="J4" s="2">
        <f ca="1">goldenOTP_check!J4*J60</f>
        <v>938.62699999999995</v>
      </c>
      <c r="K4" s="2">
        <f ca="1">goldenOTP_check!K4*K60</f>
        <v>978.91199999999992</v>
      </c>
      <c r="L4" s="2">
        <f ca="1">goldenOTP_check!L4*L60</f>
        <v>1009.5600000000001</v>
      </c>
      <c r="M4" s="2">
        <f ca="1">goldenOTP_check!M4*M60</f>
        <v>1046.2939999999999</v>
      </c>
      <c r="N4" s="2">
        <f ca="1">goldenOTP_check!N4*N60</f>
        <v>1071.0829999999999</v>
      </c>
      <c r="O4" s="2">
        <f ca="1">goldenOTP_check!O4*O60</f>
        <v>1078.03</v>
      </c>
      <c r="P4" s="2">
        <f ca="1">goldenOTP_check!P4*P60</f>
        <v>1073.1200000000001</v>
      </c>
      <c r="Q4" s="2">
        <f ca="1">goldenOTP_check!Q4*Q60</f>
        <v>1070.481</v>
      </c>
      <c r="R4" s="2">
        <f ca="1">goldenOTP_check!R4*R60</f>
        <v>1075.944</v>
      </c>
      <c r="S4" s="2">
        <f ca="1">goldenOTP_check!S4*S60</f>
        <v>1084.0600000000002</v>
      </c>
      <c r="T4" s="2">
        <f ca="1">goldenOTP_check!T4*T60</f>
        <v>1075.3599999999999</v>
      </c>
      <c r="U4" s="2">
        <f ca="1">goldenOTP_check!U4*U60</f>
        <v>1050.0810000000001</v>
      </c>
      <c r="V4" s="2">
        <f ca="1">goldenOTP_check!V4*V60</f>
        <v>1013.79</v>
      </c>
      <c r="W4" s="2">
        <f ca="1">goldenOTP_check!W4*W60</f>
        <v>981.38400000000001</v>
      </c>
      <c r="X4" s="2">
        <f ca="1">goldenOTP_check!X4*X60</f>
        <v>934.74400000000003</v>
      </c>
      <c r="Y4" s="2">
        <f ca="1">goldenOTP_check!Y4*Y60</f>
        <v>870</v>
      </c>
      <c r="BA4"/>
      <c r="BB4"/>
      <c r="BC4"/>
      <c r="BD4"/>
    </row>
    <row r="5" spans="2:56" x14ac:dyDescent="0.3">
      <c r="B5" s="6">
        <v>2</v>
      </c>
      <c r="C5" s="9">
        <v>2.8090000000000002</v>
      </c>
      <c r="D5" s="9">
        <v>2.4900000000000002</v>
      </c>
      <c r="E5" s="9">
        <v>2.4940000000000002</v>
      </c>
      <c r="F5" s="9">
        <v>2.3780000000000001</v>
      </c>
      <c r="I5" s="2">
        <f ca="1">goldenOTP_check!I5*I61</f>
        <v>894.9</v>
      </c>
      <c r="J5" s="2">
        <f ca="1">goldenOTP_check!J5*J61</f>
        <v>944.51200000000006</v>
      </c>
      <c r="K5" s="2">
        <f ca="1">goldenOTP_check!K5*K61</f>
        <v>1000.386</v>
      </c>
      <c r="L5" s="2">
        <f ca="1">goldenOTP_check!L5*L61</f>
        <v>1048.4780000000001</v>
      </c>
      <c r="M5" s="2">
        <f ca="1">goldenOTP_check!M5*M61</f>
        <v>1068.6390000000001</v>
      </c>
      <c r="N5" s="2">
        <f ca="1">goldenOTP_check!N5*N61</f>
        <v>1075.0059999999999</v>
      </c>
      <c r="O5" s="2">
        <f ca="1">goldenOTP_check!O5*O61</f>
        <v>1068.836</v>
      </c>
      <c r="P5" s="2">
        <f ca="1">goldenOTP_check!P5*P61</f>
        <v>1063.221</v>
      </c>
      <c r="Q5" s="2">
        <f ca="1">goldenOTP_check!Q5*Q61</f>
        <v>1072.9749999999999</v>
      </c>
      <c r="R5" s="2">
        <f ca="1">goldenOTP_check!R5*R61</f>
        <v>1068.087</v>
      </c>
      <c r="S5" s="2">
        <f ca="1">goldenOTP_check!S5*S61</f>
        <v>1078.0040000000001</v>
      </c>
      <c r="T5" s="2">
        <f ca="1">goldenOTP_check!T5*T61</f>
        <v>1084.028</v>
      </c>
      <c r="U5" s="2">
        <f ca="1">goldenOTP_check!U5*U61</f>
        <v>1075.971</v>
      </c>
      <c r="V5" s="2">
        <f ca="1">goldenOTP_check!V5*V61</f>
        <v>1053.239</v>
      </c>
      <c r="W5" s="2">
        <f ca="1">goldenOTP_check!W5*W61</f>
        <v>1001.2800000000001</v>
      </c>
      <c r="X5" s="2">
        <f ca="1">goldenOTP_check!X5*X61</f>
        <v>938.12</v>
      </c>
      <c r="Y5" s="2">
        <f ca="1">goldenOTP_check!Y5*Y61</f>
        <v>877.31600000000003</v>
      </c>
      <c r="BA5"/>
      <c r="BB5"/>
      <c r="BC5"/>
      <c r="BD5"/>
    </row>
    <row r="6" spans="2:56" x14ac:dyDescent="0.3">
      <c r="B6" s="6">
        <v>3</v>
      </c>
      <c r="C6" s="9">
        <v>2.56</v>
      </c>
      <c r="D6" s="9">
        <v>2.2690000000000001</v>
      </c>
      <c r="E6" s="9">
        <v>2.274</v>
      </c>
      <c r="F6" s="9">
        <v>2.1739999999999999</v>
      </c>
      <c r="I6" s="2">
        <f ca="1">goldenOTP_check!I6*I62</f>
        <v>898.101</v>
      </c>
      <c r="J6" s="2">
        <f ca="1">goldenOTP_check!J6*J62</f>
        <v>987.56399999999996</v>
      </c>
      <c r="K6" s="2">
        <f ca="1">goldenOTP_check!K6*K62</f>
        <v>1020.876</v>
      </c>
      <c r="L6" s="2">
        <f ca="1">goldenOTP_check!L6*L62</f>
        <v>1066.752</v>
      </c>
      <c r="M6" s="2">
        <f ca="1">goldenOTP_check!M6*M62</f>
        <v>1075.3499999999999</v>
      </c>
      <c r="N6" s="2">
        <f ca="1">goldenOTP_check!N6*N62</f>
        <v>1067.308</v>
      </c>
      <c r="O6" s="2">
        <f ca="1">goldenOTP_check!O6*O62</f>
        <v>1061.2909999999999</v>
      </c>
      <c r="P6" s="2">
        <f ca="1">goldenOTP_check!P6*P62</f>
        <v>1057.04</v>
      </c>
      <c r="Q6" s="2">
        <f ca="1">goldenOTP_check!Q6*Q62</f>
        <v>1058.1310000000001</v>
      </c>
      <c r="R6" s="2">
        <f ca="1">goldenOTP_check!R6*R62</f>
        <v>1059.7550000000001</v>
      </c>
      <c r="S6" s="2">
        <f ca="1">goldenOTP_check!S6*S62</f>
        <v>1065.5260000000001</v>
      </c>
      <c r="T6" s="2">
        <f ca="1">goldenOTP_check!T6*T62</f>
        <v>1070.364</v>
      </c>
      <c r="U6" s="2">
        <f ca="1">goldenOTP_check!U6*U62</f>
        <v>1077.3600000000001</v>
      </c>
      <c r="V6" s="2">
        <f ca="1">goldenOTP_check!V6*V62</f>
        <v>1069.056</v>
      </c>
      <c r="W6" s="2">
        <f ca="1">goldenOTP_check!W6*W62</f>
        <v>1024.25</v>
      </c>
      <c r="X6" s="2">
        <f ca="1">goldenOTP_check!X6*X62</f>
        <v>958.4</v>
      </c>
      <c r="Y6" s="2">
        <f ca="1">goldenOTP_check!Y6*Y62</f>
        <v>900.12699999999995</v>
      </c>
      <c r="BA6"/>
      <c r="BB6"/>
      <c r="BC6"/>
      <c r="BD6"/>
    </row>
    <row r="7" spans="2:56" x14ac:dyDescent="0.3">
      <c r="B7" s="6">
        <v>4</v>
      </c>
      <c r="C7" s="9">
        <v>2.3919999999999999</v>
      </c>
      <c r="D7" s="9">
        <v>2.1230000000000002</v>
      </c>
      <c r="E7" s="9">
        <v>2.1269999999999998</v>
      </c>
      <c r="F7" s="9">
        <v>2.036</v>
      </c>
      <c r="I7" s="2">
        <f ca="1">goldenOTP_check!I7*I63</f>
        <v>907.69499999999994</v>
      </c>
      <c r="J7" s="2">
        <f ca="1">goldenOTP_check!J7*J63</f>
        <v>983.47500000000002</v>
      </c>
      <c r="K7" s="2">
        <f ca="1">goldenOTP_check!K7*K63</f>
        <v>1028.6979999999999</v>
      </c>
      <c r="L7" s="2">
        <f ca="1">goldenOTP_check!L7*L63</f>
        <v>1054.8</v>
      </c>
      <c r="M7" s="2">
        <f ca="1">goldenOTP_check!M7*M63</f>
        <v>1062.53</v>
      </c>
      <c r="N7" s="2">
        <f ca="1">goldenOTP_check!N7*N63</f>
        <v>1058.355</v>
      </c>
      <c r="O7" s="2">
        <f ca="1">goldenOTP_check!O7*O63</f>
        <v>1053.4199999999998</v>
      </c>
      <c r="P7" s="2">
        <f ca="1">goldenOTP_check!P7*P63</f>
        <v>1034.3719999999998</v>
      </c>
      <c r="Q7" s="2">
        <f ca="1">goldenOTP_check!Q7*Q63</f>
        <v>1027.52</v>
      </c>
      <c r="R7" s="2">
        <f ca="1">goldenOTP_check!R7*R63</f>
        <v>1049.2</v>
      </c>
      <c r="S7" s="2">
        <f ca="1">goldenOTP_check!S7*S63</f>
        <v>1056.135</v>
      </c>
      <c r="T7" s="2">
        <f ca="1">goldenOTP_check!T7*T63</f>
        <v>1056.7329999999999</v>
      </c>
      <c r="U7" s="2">
        <f ca="1">goldenOTP_check!U7*U63</f>
        <v>1061.1179999999999</v>
      </c>
      <c r="V7" s="2">
        <f ca="1">goldenOTP_check!V7*V63</f>
        <v>1056.5999999999999</v>
      </c>
      <c r="W7" s="2">
        <f ca="1">goldenOTP_check!W7*W63</f>
        <v>1033.252</v>
      </c>
      <c r="X7" s="2">
        <f ca="1">goldenOTP_check!X7*X63</f>
        <v>986.01300000000003</v>
      </c>
      <c r="Y7" s="2">
        <f ca="1">goldenOTP_check!Y7*Y63</f>
        <v>901.48500000000001</v>
      </c>
      <c r="BA7"/>
      <c r="BB7"/>
      <c r="BC7"/>
      <c r="BD7"/>
    </row>
    <row r="8" spans="2:56" x14ac:dyDescent="0.3">
      <c r="B8" s="6">
        <v>5</v>
      </c>
      <c r="C8" s="9">
        <v>2.2400000000000002</v>
      </c>
      <c r="D8" s="9">
        <v>1.996</v>
      </c>
      <c r="E8" s="9">
        <v>2.0009999999999999</v>
      </c>
      <c r="F8" s="9">
        <v>1.917</v>
      </c>
      <c r="I8" s="2">
        <f ca="1">goldenOTP_check!I8*I64</f>
        <v>933.91200000000003</v>
      </c>
      <c r="J8" s="2">
        <f ca="1">goldenOTP_check!J8*J64</f>
        <v>1002.2399999999999</v>
      </c>
      <c r="K8" s="2">
        <f ca="1">goldenOTP_check!K8*K64</f>
        <v>1035.5510000000002</v>
      </c>
      <c r="L8" s="2">
        <f ca="1">goldenOTP_check!L8*L64</f>
        <v>1050.92</v>
      </c>
      <c r="M8" s="2">
        <f ca="1">goldenOTP_check!M8*M64</f>
        <v>1065.798</v>
      </c>
      <c r="N8" s="2">
        <f ca="1">goldenOTP_check!N8*N64</f>
        <v>1053.77</v>
      </c>
      <c r="O8" s="2">
        <f ca="1">goldenOTP_check!O8*O64</f>
        <v>1043.2670000000001</v>
      </c>
      <c r="P8" s="2">
        <f ca="1">goldenOTP_check!P8*P64</f>
        <v>1031.9669999999999</v>
      </c>
      <c r="Q8" s="2">
        <f ca="1">goldenOTP_check!Q8*Q64</f>
        <v>1027.0920000000001</v>
      </c>
      <c r="R8" s="2">
        <f ca="1">goldenOTP_check!R8*R64</f>
        <v>1034.9639999999999</v>
      </c>
      <c r="S8" s="2">
        <f ca="1">goldenOTP_check!S8*S64</f>
        <v>1063.33</v>
      </c>
      <c r="T8" s="2">
        <f ca="1">goldenOTP_check!T8*T64</f>
        <v>1058.78</v>
      </c>
      <c r="U8" s="2">
        <f ca="1">goldenOTP_check!U8*U64</f>
        <v>1069.443</v>
      </c>
      <c r="V8" s="2">
        <f ca="1">goldenOTP_check!V8*V64</f>
        <v>1055.1970000000001</v>
      </c>
      <c r="W8" s="2">
        <f ca="1">goldenOTP_check!W8*W64</f>
        <v>1038.136</v>
      </c>
      <c r="X8" s="2">
        <f ca="1">goldenOTP_check!X8*X64</f>
        <v>972.05399999999997</v>
      </c>
      <c r="Y8" s="2">
        <f ca="1">goldenOTP_check!Y8*Y64</f>
        <v>931.74099999999999</v>
      </c>
    </row>
    <row r="9" spans="2:56" x14ac:dyDescent="0.3">
      <c r="B9" s="6">
        <v>6</v>
      </c>
      <c r="C9" s="9">
        <v>2.1160000000000001</v>
      </c>
      <c r="D9" s="9">
        <v>1.8959999999999999</v>
      </c>
      <c r="E9" s="9">
        <v>1.9</v>
      </c>
      <c r="F9" s="9">
        <v>1.8220000000000001</v>
      </c>
      <c r="I9" s="2">
        <f ca="1">goldenOTP_check!I9*I65</f>
        <v>910.45499999999993</v>
      </c>
      <c r="J9" s="2">
        <f ca="1">goldenOTP_check!J9*J65</f>
        <v>983.89800000000002</v>
      </c>
      <c r="K9" s="2">
        <f ca="1">goldenOTP_check!K9*K65</f>
        <v>1024.6499999999999</v>
      </c>
      <c r="L9" s="2">
        <f ca="1">goldenOTP_check!L9*L65</f>
        <v>1065.5840000000001</v>
      </c>
      <c r="M9" s="2">
        <f ca="1">goldenOTP_check!M9*M65</f>
        <v>1065.462</v>
      </c>
      <c r="N9" s="2">
        <f ca="1">goldenOTP_check!N9*N65</f>
        <v>1058.3779999999999</v>
      </c>
      <c r="O9" s="2">
        <f ca="1">goldenOTP_check!O9*O65</f>
        <v>1050.8819999999998</v>
      </c>
      <c r="P9" s="2">
        <f ca="1">goldenOTP_check!P9*P65</f>
        <v>1031.6319999999998</v>
      </c>
      <c r="Q9" s="2">
        <f ca="1">goldenOTP_check!Q9*Q65</f>
        <v>1026.972</v>
      </c>
      <c r="R9" s="2">
        <f ca="1">goldenOTP_check!R9*R65</f>
        <v>1039.44</v>
      </c>
      <c r="S9" s="2">
        <f ca="1">goldenOTP_check!S9*S65</f>
        <v>1061.886</v>
      </c>
      <c r="T9" s="2">
        <f ca="1">goldenOTP_check!T9*T65</f>
        <v>1067.431</v>
      </c>
      <c r="U9" s="2">
        <f ca="1">goldenOTP_check!U9*U65</f>
        <v>1074.7830000000001</v>
      </c>
      <c r="V9" s="2">
        <f ca="1">goldenOTP_check!V9*V65</f>
        <v>1053</v>
      </c>
      <c r="W9" s="2">
        <f ca="1">goldenOTP_check!W9*W65</f>
        <v>1027.6860000000001</v>
      </c>
      <c r="X9" s="2">
        <f ca="1">goldenOTP_check!X9*X65</f>
        <v>978.39900000000011</v>
      </c>
      <c r="Y9" s="2">
        <f ca="1">goldenOTP_check!Y9*Y65</f>
        <v>892.5150000000001</v>
      </c>
    </row>
    <row r="10" spans="2:56" x14ac:dyDescent="0.3">
      <c r="B10" s="6">
        <v>7</v>
      </c>
      <c r="C10" s="9">
        <v>2.0409999999999999</v>
      </c>
      <c r="D10" s="9">
        <v>1.8360000000000001</v>
      </c>
      <c r="E10" s="9">
        <v>1.839</v>
      </c>
      <c r="F10" s="9">
        <v>1.766</v>
      </c>
      <c r="I10" s="2">
        <f ca="1">goldenOTP_check!I10*I66</f>
        <v>900.43200000000002</v>
      </c>
      <c r="J10" s="2">
        <f ca="1">goldenOTP_check!J10*J66</f>
        <v>987.976</v>
      </c>
      <c r="K10" s="2">
        <f ca="1">goldenOTP_check!K10*K66</f>
        <v>1017.5020000000001</v>
      </c>
      <c r="L10" s="2">
        <f ca="1">goldenOTP_check!L10*L66</f>
        <v>1057.5360000000001</v>
      </c>
      <c r="M10" s="2">
        <f ca="1">goldenOTP_check!M10*M66</f>
        <v>1061.28</v>
      </c>
      <c r="N10" s="2">
        <f ca="1">goldenOTP_check!N10*N66</f>
        <v>1068.5519999999999</v>
      </c>
      <c r="O10" s="2">
        <f ca="1">goldenOTP_check!O10*O66</f>
        <v>1059.6300000000001</v>
      </c>
      <c r="P10" s="2">
        <f ca="1">goldenOTP_check!P10*P66</f>
        <v>1052.7159999999999</v>
      </c>
      <c r="Q10" s="2">
        <f ca="1">goldenOTP_check!Q10*Q66</f>
        <v>1052.038</v>
      </c>
      <c r="R10" s="2">
        <f ca="1">goldenOTP_check!R10*R66</f>
        <v>1055.4670000000001</v>
      </c>
      <c r="S10" s="2">
        <f ca="1">goldenOTP_check!S10*S66</f>
        <v>1063.92</v>
      </c>
      <c r="T10" s="2">
        <f ca="1">goldenOTP_check!T10*T66</f>
        <v>1073.9839999999999</v>
      </c>
      <c r="U10" s="2">
        <f ca="1">goldenOTP_check!U10*U66</f>
        <v>1067.31</v>
      </c>
      <c r="V10" s="2">
        <f ca="1">goldenOTP_check!V10*V66</f>
        <v>1063.296</v>
      </c>
      <c r="W10" s="2">
        <f ca="1">goldenOTP_check!W10*W66</f>
        <v>1019.4300000000001</v>
      </c>
      <c r="X10" s="2">
        <f ca="1">goldenOTP_check!X10*X66</f>
        <v>983.44399999999996</v>
      </c>
      <c r="Y10" s="2">
        <f ca="1">goldenOTP_check!Y10*Y66</f>
        <v>887.11200000000008</v>
      </c>
    </row>
    <row r="11" spans="2:56" x14ac:dyDescent="0.3">
      <c r="B11" s="6">
        <v>8</v>
      </c>
      <c r="C11" s="9">
        <v>2.0150000000000001</v>
      </c>
      <c r="D11" s="9">
        <v>1.8169999999999999</v>
      </c>
      <c r="E11" s="9">
        <v>1.821</v>
      </c>
      <c r="F11" s="9">
        <v>1.75</v>
      </c>
      <c r="I11" s="2">
        <f ca="1">goldenOTP_check!I11*I67</f>
        <v>915.52500000000009</v>
      </c>
      <c r="J11" s="2">
        <f ca="1">goldenOTP_check!J11*J67</f>
        <v>967.67200000000014</v>
      </c>
      <c r="K11" s="2">
        <f ca="1">goldenOTP_check!K11*K67</f>
        <v>993.23400000000004</v>
      </c>
      <c r="L11" s="2">
        <f ca="1">goldenOTP_check!L11*L67</f>
        <v>1040.5430000000001</v>
      </c>
      <c r="M11" s="2">
        <f ca="1">goldenOTP_check!M11*M67</f>
        <v>1058.252</v>
      </c>
      <c r="N11" s="2">
        <f ca="1">goldenOTP_check!N11*N67</f>
        <v>1060.432</v>
      </c>
      <c r="O11" s="2">
        <f ca="1">goldenOTP_check!O11*O67</f>
        <v>1067</v>
      </c>
      <c r="P11" s="2">
        <f ca="1">goldenOTP_check!P11*P67</f>
        <v>1057.5549999999998</v>
      </c>
      <c r="Q11" s="2">
        <f ca="1">goldenOTP_check!Q11*Q67</f>
        <v>1047.0899999999999</v>
      </c>
      <c r="R11" s="2">
        <f ca="1">goldenOTP_check!R11*R67</f>
        <v>1056.732</v>
      </c>
      <c r="S11" s="2">
        <f ca="1">goldenOTP_check!S11*S67</f>
        <v>1048.2080000000001</v>
      </c>
      <c r="T11" s="2">
        <f ca="1">goldenOTP_check!T11*T67</f>
        <v>1056.268</v>
      </c>
      <c r="U11" s="2">
        <f ca="1">goldenOTP_check!U11*U67</f>
        <v>1054.586</v>
      </c>
      <c r="V11" s="2">
        <f ca="1">goldenOTP_check!V11*V67</f>
        <v>1040.5430000000001</v>
      </c>
      <c r="W11" s="2">
        <f ca="1">goldenOTP_check!W11*W67</f>
        <v>995.46899999999994</v>
      </c>
      <c r="X11" s="2">
        <f ca="1">goldenOTP_check!X11*X67</f>
        <v>966.89599999999996</v>
      </c>
      <c r="Y11" s="2">
        <f ca="1">goldenOTP_check!Y11*Y67</f>
        <v>868.31000000000006</v>
      </c>
      <c r="BD11"/>
    </row>
    <row r="12" spans="2:56" x14ac:dyDescent="0.3">
      <c r="B12" s="6">
        <v>9</v>
      </c>
      <c r="C12" s="9">
        <v>2.0390000000000001</v>
      </c>
      <c r="D12" s="9">
        <v>1.837</v>
      </c>
      <c r="E12" s="9">
        <v>1.84</v>
      </c>
      <c r="F12" s="9">
        <v>1.77</v>
      </c>
      <c r="I12" s="2">
        <f ca="1">goldenOTP_check!I12*I68</f>
        <v>878.41</v>
      </c>
      <c r="J12" s="2">
        <f ca="1">goldenOTP_check!J12*J68</f>
        <v>934.39099999999996</v>
      </c>
      <c r="K12" s="2">
        <f ca="1">goldenOTP_check!K12*K68</f>
        <v>976.44</v>
      </c>
      <c r="L12" s="2">
        <f ca="1">goldenOTP_check!L12*L68</f>
        <v>1028.588</v>
      </c>
      <c r="M12" s="2">
        <f ca="1">goldenOTP_check!M12*M68</f>
        <v>1036.0150000000001</v>
      </c>
      <c r="N12" s="2">
        <f ca="1">goldenOTP_check!N12*N68</f>
        <v>1056.4190000000001</v>
      </c>
      <c r="O12" s="2">
        <f ca="1">goldenOTP_check!O12*O68</f>
        <v>1059.27</v>
      </c>
      <c r="P12" s="2">
        <f ca="1">goldenOTP_check!P12*P68</f>
        <v>1066.896</v>
      </c>
      <c r="Q12" s="2">
        <f ca="1">goldenOTP_check!Q12*Q68</f>
        <v>1061.424</v>
      </c>
      <c r="R12" s="2">
        <f ca="1">goldenOTP_check!R12*R68</f>
        <v>1064.7450000000001</v>
      </c>
      <c r="S12" s="2">
        <f ca="1">goldenOTP_check!S12*S68</f>
        <v>1057.26</v>
      </c>
      <c r="T12" s="2">
        <f ca="1">goldenOTP_check!T12*T68</f>
        <v>1053.364</v>
      </c>
      <c r="U12" s="2">
        <f ca="1">goldenOTP_check!U12*U68</f>
        <v>1032.769</v>
      </c>
      <c r="V12" s="2">
        <f ca="1">goldenOTP_check!V12*V68</f>
        <v>1002.0400000000001</v>
      </c>
      <c r="W12" s="2">
        <f ca="1">goldenOTP_check!W12*W68</f>
        <v>975.20399999999995</v>
      </c>
      <c r="X12" s="2">
        <f ca="1">goldenOTP_check!X12*X68</f>
        <v>931.92000000000007</v>
      </c>
      <c r="Y12" s="2">
        <f ca="1">goldenOTP_check!Y12*Y68</f>
        <v>868.55000000000007</v>
      </c>
      <c r="BD12"/>
    </row>
    <row r="13" spans="2:56" x14ac:dyDescent="0.3">
      <c r="B13" s="6">
        <v>10</v>
      </c>
      <c r="C13" s="9">
        <v>2.1139999999999999</v>
      </c>
      <c r="D13" s="9">
        <v>1.9</v>
      </c>
      <c r="E13" s="9">
        <v>1.903</v>
      </c>
      <c r="F13" s="9">
        <v>1.829</v>
      </c>
      <c r="I13" s="2">
        <f ca="1">goldenOTP_check!I13*I69</f>
        <v>876.15</v>
      </c>
      <c r="J13" s="2">
        <f ca="1">goldenOTP_check!J13*J69</f>
        <v>911.05799999999999</v>
      </c>
      <c r="K13" s="2">
        <f ca="1">goldenOTP_check!K13*K69</f>
        <v>932.94</v>
      </c>
      <c r="L13" s="2">
        <f ca="1">goldenOTP_check!L13*L69</f>
        <v>988.12799999999993</v>
      </c>
      <c r="M13" s="2">
        <f ca="1">goldenOTP_check!M13*M69</f>
        <v>1028.588</v>
      </c>
      <c r="N13" s="2">
        <f ca="1">goldenOTP_check!N13*N69</f>
        <v>1036.8399999999999</v>
      </c>
      <c r="O13" s="2">
        <f ca="1">goldenOTP_check!O13*O69</f>
        <v>1052.3519999999999</v>
      </c>
      <c r="P13" s="2">
        <f ca="1">goldenOTP_check!P13*P69</f>
        <v>1065.5840000000001</v>
      </c>
      <c r="Q13" s="2">
        <f ca="1">goldenOTP_check!Q13*Q69</f>
        <v>1050.92</v>
      </c>
      <c r="R13" s="2">
        <f ca="1">goldenOTP_check!R13*R69</f>
        <v>1069.25</v>
      </c>
      <c r="S13" s="2">
        <f ca="1">goldenOTP_check!S13*S69</f>
        <v>1058.1120000000001</v>
      </c>
      <c r="T13" s="2">
        <f ca="1">goldenOTP_check!T13*T69</f>
        <v>1041.0719999999999</v>
      </c>
      <c r="U13" s="2">
        <f ca="1">goldenOTP_check!U13*U69</f>
        <v>1030.0340000000001</v>
      </c>
      <c r="V13" s="2">
        <f ca="1">goldenOTP_check!V13*V69</f>
        <v>986.43599999999992</v>
      </c>
      <c r="W13" s="2">
        <f ca="1">goldenOTP_check!W13*W69</f>
        <v>929.65500000000009</v>
      </c>
      <c r="X13" s="2">
        <f ca="1">goldenOTP_check!X13*X69</f>
        <v>902.81599999999992</v>
      </c>
      <c r="Y13" s="2">
        <f ca="1">goldenOTP_check!Y13*Y69</f>
        <v>856.17</v>
      </c>
      <c r="BD13"/>
    </row>
    <row r="14" spans="2:56" x14ac:dyDescent="0.3">
      <c r="B14" s="6">
        <v>11</v>
      </c>
      <c r="C14" s="9">
        <v>2.2330000000000001</v>
      </c>
      <c r="D14" s="9">
        <v>1.9990000000000001</v>
      </c>
      <c r="E14" s="9">
        <v>2.0019999999999998</v>
      </c>
      <c r="F14" s="9">
        <v>1.9219999999999999</v>
      </c>
      <c r="I14" s="3">
        <f ca="1">goldenOTP_check!I14*I70</f>
        <v>864.45</v>
      </c>
      <c r="J14" s="2">
        <f ca="1">goldenOTP_check!J14*J70</f>
        <v>896.32399999999996</v>
      </c>
      <c r="K14" s="2">
        <f ca="1">goldenOTP_check!K14*K70</f>
        <v>892.98900000000003</v>
      </c>
      <c r="L14" s="2">
        <f ca="1">goldenOTP_check!L14*L70</f>
        <v>924.88199999999995</v>
      </c>
      <c r="M14" s="2">
        <f ca="1">goldenOTP_check!M14*M70</f>
        <v>964.34799999999996</v>
      </c>
      <c r="N14" s="2">
        <f ca="1">goldenOTP_check!N14*N70</f>
        <v>1003.926</v>
      </c>
      <c r="O14" s="2">
        <f ca="1">goldenOTP_check!O14*O70</f>
        <v>1012.2</v>
      </c>
      <c r="P14" s="2">
        <f ca="1">goldenOTP_check!P14*P70</f>
        <v>1017.5540000000001</v>
      </c>
      <c r="Q14" s="2">
        <f ca="1">goldenOTP_check!Q14*Q70</f>
        <v>1038.136</v>
      </c>
      <c r="R14" s="2">
        <f ca="1">goldenOTP_check!R14*R70</f>
        <v>1022.574</v>
      </c>
      <c r="S14" s="2">
        <f ca="1">goldenOTP_check!S14*S70</f>
        <v>1024.25</v>
      </c>
      <c r="T14" s="2">
        <f ca="1">goldenOTP_check!T14*T70</f>
        <v>1014.2990000000001</v>
      </c>
      <c r="U14" s="2">
        <f ca="1">goldenOTP_check!U14*U70</f>
        <v>967.98399999999992</v>
      </c>
      <c r="V14" s="2">
        <f ca="1">goldenOTP_check!V14*V70</f>
        <v>925.60400000000004</v>
      </c>
      <c r="W14" s="2">
        <f ca="1">goldenOTP_check!W14*W70</f>
        <v>887.59999999999991</v>
      </c>
      <c r="X14" s="2">
        <f ca="1">goldenOTP_check!X14*X70</f>
        <v>878.02</v>
      </c>
      <c r="Y14" s="3">
        <f ca="1">goldenOTP_check!Y14*Y70</f>
        <v>833.85</v>
      </c>
      <c r="BD14"/>
    </row>
    <row r="15" spans="2:56" x14ac:dyDescent="0.3">
      <c r="B15" s="6">
        <v>12</v>
      </c>
      <c r="C15" s="9">
        <v>2.379</v>
      </c>
      <c r="D15" s="9">
        <v>2.1259999999999999</v>
      </c>
      <c r="E15" s="9">
        <v>2.1280000000000001</v>
      </c>
      <c r="F15" s="9">
        <v>2.0430000000000001</v>
      </c>
      <c r="BD15"/>
    </row>
    <row r="16" spans="2:56" x14ac:dyDescent="0.3">
      <c r="B16" s="6">
        <v>13</v>
      </c>
      <c r="C16" s="9">
        <v>2.5550000000000002</v>
      </c>
      <c r="D16" s="9">
        <v>2.2770000000000001</v>
      </c>
      <c r="E16" s="9">
        <v>2.2789999999999999</v>
      </c>
      <c r="F16" s="9">
        <v>2.1859999999999999</v>
      </c>
      <c r="H16" t="s">
        <v>1</v>
      </c>
      <c r="I16" s="10">
        <f ca="1">goldenOTP_check!I16*I72</f>
        <v>788.30400000000009</v>
      </c>
      <c r="J16" s="2">
        <f ca="1">goldenOTP_check!J16*J72</f>
        <v>825.90000000000009</v>
      </c>
      <c r="K16" s="2">
        <f ca="1">goldenOTP_check!K16*K72</f>
        <v>866.5200000000001</v>
      </c>
      <c r="L16" s="2">
        <f ca="1">goldenOTP_check!L16*L72</f>
        <v>898.524</v>
      </c>
      <c r="M16" s="2">
        <f ca="1">goldenOTP_check!M16*M72</f>
        <v>927.75100000000009</v>
      </c>
      <c r="N16" s="2">
        <f ca="1">goldenOTP_check!N16*N72</f>
        <v>952.09199999999998</v>
      </c>
      <c r="O16" s="2">
        <f ca="1">goldenOTP_check!O16*O72</f>
        <v>961.27199999999993</v>
      </c>
      <c r="P16" s="2">
        <f ca="1">goldenOTP_check!P16*P72</f>
        <v>982.26</v>
      </c>
      <c r="Q16" s="2">
        <f ca="1">goldenOTP_check!Q16*Q72</f>
        <v>977.54599999999994</v>
      </c>
      <c r="R16" s="2">
        <f ca="1">goldenOTP_check!R16*R72</f>
        <v>982.79499999999996</v>
      </c>
      <c r="S16" s="2">
        <f ca="1">goldenOTP_check!S16*S72</f>
        <v>976.59999999999991</v>
      </c>
      <c r="T16" s="2">
        <f ca="1">goldenOTP_check!T16*T72</f>
        <v>953.52300000000002</v>
      </c>
      <c r="U16" s="2">
        <f ca="1">goldenOTP_check!U16*U72</f>
        <v>929.0619999999999</v>
      </c>
      <c r="V16" s="2">
        <f ca="1">goldenOTP_check!V16*V72</f>
        <v>901.69200000000001</v>
      </c>
      <c r="W16" s="2">
        <f ca="1">goldenOTP_check!W16*W72</f>
        <v>873.82800000000009</v>
      </c>
      <c r="X16" s="2">
        <f ca="1">goldenOTP_check!X16*X72</f>
        <v>830.4</v>
      </c>
      <c r="Y16" s="10">
        <f ca="1">goldenOTP_check!Y16*Y72</f>
        <v>786.98399999999992</v>
      </c>
    </row>
    <row r="17" spans="2:25" x14ac:dyDescent="0.3">
      <c r="B17" s="6">
        <v>14</v>
      </c>
      <c r="C17" s="9">
        <v>2.8170000000000002</v>
      </c>
      <c r="D17" s="9">
        <v>2.5110000000000001</v>
      </c>
      <c r="E17" s="9">
        <v>2.5129999999999999</v>
      </c>
      <c r="F17" s="9">
        <v>2.411</v>
      </c>
      <c r="H17" t="s">
        <v>6</v>
      </c>
      <c r="I17" s="2">
        <f ca="1">goldenOTP_check!I17*I73</f>
        <v>825.96799999999996</v>
      </c>
      <c r="J17" s="2">
        <f ca="1">goldenOTP_check!J17*J73</f>
        <v>862.72</v>
      </c>
      <c r="K17" s="2">
        <f ca="1">goldenOTP_check!K17*K73</f>
        <v>896.82600000000002</v>
      </c>
      <c r="L17" s="2">
        <f ca="1">goldenOTP_check!L17*L73</f>
        <v>939.45600000000002</v>
      </c>
      <c r="M17" s="2">
        <f ca="1">goldenOTP_check!M17*M73</f>
        <v>975.31700000000001</v>
      </c>
      <c r="N17" s="2">
        <f ca="1">goldenOTP_check!N17*N73</f>
        <v>1009.554</v>
      </c>
      <c r="O17" s="2">
        <f ca="1">goldenOTP_check!O17*O73</f>
        <v>1026.9090000000001</v>
      </c>
      <c r="P17" s="2">
        <f ca="1">goldenOTP_check!P17*P73</f>
        <v>1033.2</v>
      </c>
      <c r="Q17" s="2">
        <f ca="1">goldenOTP_check!Q17*Q73</f>
        <v>1037.1380000000001</v>
      </c>
      <c r="R17" s="2">
        <f ca="1">goldenOTP_check!R17*R73</f>
        <v>1033.2</v>
      </c>
      <c r="S17" s="2">
        <f ca="1">goldenOTP_check!S17*S73</f>
        <v>1029.3210000000001</v>
      </c>
      <c r="T17" s="2">
        <f ca="1">goldenOTP_check!T17*T73</f>
        <v>1012.908</v>
      </c>
      <c r="U17" s="2">
        <f ca="1">goldenOTP_check!U17*U73</f>
        <v>980.85</v>
      </c>
      <c r="V17" s="2">
        <f ca="1">goldenOTP_check!V17*V73</f>
        <v>945.72800000000007</v>
      </c>
      <c r="W17" s="2">
        <f ca="1">goldenOTP_check!W17*W73</f>
        <v>906.25800000000004</v>
      </c>
      <c r="X17" s="2">
        <f ca="1">goldenOTP_check!X17*X73</f>
        <v>869.79700000000003</v>
      </c>
      <c r="Y17" s="2">
        <f ca="1">goldenOTP_check!Y17*Y73</f>
        <v>823.39400000000001</v>
      </c>
    </row>
    <row r="18" spans="2:25" x14ac:dyDescent="0.3">
      <c r="B18" s="6">
        <v>15</v>
      </c>
      <c r="C18" s="9">
        <v>3.0859999999999999</v>
      </c>
      <c r="D18" s="9">
        <v>2.7679999999999998</v>
      </c>
      <c r="E18" s="9">
        <v>2.7690000000000001</v>
      </c>
      <c r="F18" s="9">
        <v>2.6509999999999998</v>
      </c>
      <c r="I18" s="2">
        <f ca="1">goldenOTP_check!I18*I74</f>
        <v>860.65499999999997</v>
      </c>
      <c r="J18" s="2">
        <f ca="1">goldenOTP_check!J18*J74</f>
        <v>889.99199999999996</v>
      </c>
      <c r="K18" s="2">
        <f ca="1">goldenOTP_check!K18*K74</f>
        <v>938.3660000000001</v>
      </c>
      <c r="L18" s="2">
        <f ca="1">goldenOTP_check!L18*L74</f>
        <v>983.89700000000005</v>
      </c>
      <c r="M18" s="2">
        <f ca="1">goldenOTP_check!M18*M74</f>
        <v>1012.5749999999999</v>
      </c>
      <c r="N18" s="2">
        <f ca="1">goldenOTP_check!N18*N74</f>
        <v>1035.856</v>
      </c>
      <c r="O18" s="2">
        <f ca="1">goldenOTP_check!O18*O74</f>
        <v>1046.894</v>
      </c>
      <c r="P18" s="2">
        <f ca="1">goldenOTP_check!P18*P74</f>
        <v>1053.99</v>
      </c>
      <c r="Q18" s="2">
        <f ca="1">goldenOTP_check!Q18*Q74</f>
        <v>1063.328</v>
      </c>
      <c r="R18" s="2">
        <f ca="1">goldenOTP_check!R18*R74</f>
        <v>1058.3999999999999</v>
      </c>
      <c r="S18" s="2">
        <f ca="1">goldenOTP_check!S18*S74</f>
        <v>1057.3489999999999</v>
      </c>
      <c r="T18" s="2">
        <f ca="1">goldenOTP_check!T18*T74</f>
        <v>1046.1119999999999</v>
      </c>
      <c r="U18" s="2">
        <f ca="1">goldenOTP_check!U18*U74</f>
        <v>1022.35</v>
      </c>
      <c r="V18" s="2">
        <f ca="1">goldenOTP_check!V18*V74</f>
        <v>982.86199999999997</v>
      </c>
      <c r="W18" s="2">
        <f ca="1">goldenOTP_check!W18*W74</f>
        <v>936.92800000000011</v>
      </c>
      <c r="X18" s="2">
        <f ca="1">goldenOTP_check!X18*X74</f>
        <v>896.00800000000004</v>
      </c>
      <c r="Y18" s="2">
        <f ca="1">goldenOTP_check!Y18*Y74</f>
        <v>859.06999999999994</v>
      </c>
    </row>
    <row r="19" spans="2:25" x14ac:dyDescent="0.3">
      <c r="B19" s="6">
        <v>16</v>
      </c>
      <c r="C19" s="9">
        <v>3.2759999999999998</v>
      </c>
      <c r="D19" s="9">
        <v>2.9809999999999999</v>
      </c>
      <c r="E19" s="9">
        <v>2.9809999999999999</v>
      </c>
      <c r="F19" s="9">
        <v>2.8479999999999999</v>
      </c>
      <c r="I19" s="2">
        <f ca="1">goldenOTP_check!I19*I75</f>
        <v>868.81899999999996</v>
      </c>
      <c r="J19" s="2">
        <f ca="1">goldenOTP_check!J19*J75</f>
        <v>914.93299999999999</v>
      </c>
      <c r="K19" s="2">
        <f ca="1">goldenOTP_check!K19*K75</f>
        <v>964.88599999999985</v>
      </c>
      <c r="L19" s="2">
        <f ca="1">goldenOTP_check!L19*L75</f>
        <v>1005.082</v>
      </c>
      <c r="M19" s="2">
        <f ca="1">goldenOTP_check!M19*M75</f>
        <v>1033.933</v>
      </c>
      <c r="N19" s="2">
        <f ca="1">goldenOTP_check!N19*N75</f>
        <v>1051.248</v>
      </c>
      <c r="O19" s="2">
        <f ca="1">goldenOTP_check!O19*O75</f>
        <v>1059.4759999999999</v>
      </c>
      <c r="P19" s="2">
        <f ca="1">goldenOTP_check!P19*P75</f>
        <v>1063.0240000000001</v>
      </c>
      <c r="Q19" s="2">
        <f ca="1">goldenOTP_check!Q19*Q75</f>
        <v>1067.8219999999999</v>
      </c>
      <c r="R19" s="2">
        <f ca="1">goldenOTP_check!R19*R75</f>
        <v>1069.752</v>
      </c>
      <c r="S19" s="2">
        <f ca="1">goldenOTP_check!S19*S75</f>
        <v>1073.8040000000001</v>
      </c>
      <c r="T19" s="2">
        <f ca="1">goldenOTP_check!T19*T75</f>
        <v>1065.7280000000001</v>
      </c>
      <c r="U19" s="2">
        <f ca="1">goldenOTP_check!U19*U75</f>
        <v>1046.7529999999999</v>
      </c>
      <c r="V19" s="2">
        <f ca="1">goldenOTP_check!V19*V75</f>
        <v>1017.38</v>
      </c>
      <c r="W19" s="2">
        <f ca="1">goldenOTP_check!W19*W75</f>
        <v>973.54399999999998</v>
      </c>
      <c r="X19" s="2">
        <f ca="1">goldenOTP_check!X19*X75</f>
        <v>918.61400000000003</v>
      </c>
      <c r="Y19" s="2">
        <f ca="1">goldenOTP_check!Y19*Y75</f>
        <v>866.41799999999989</v>
      </c>
    </row>
    <row r="20" spans="2:25" x14ac:dyDescent="0.3">
      <c r="B20" s="6">
        <v>17</v>
      </c>
      <c r="C20" s="9">
        <v>3.238</v>
      </c>
      <c r="D20" s="9">
        <v>2.8879999999999999</v>
      </c>
      <c r="E20" s="9">
        <v>2.89</v>
      </c>
      <c r="F20" s="9">
        <v>2.7749999999999999</v>
      </c>
      <c r="I20" s="2">
        <f ca="1">goldenOTP_check!I20*I76</f>
        <v>870.11099999999988</v>
      </c>
      <c r="J20" s="2">
        <f ca="1">goldenOTP_check!J20*J76</f>
        <v>933.43200000000002</v>
      </c>
      <c r="K20" s="2">
        <f ca="1">goldenOTP_check!K20*K76</f>
        <v>980.19799999999998</v>
      </c>
      <c r="L20" s="2">
        <f ca="1">goldenOTP_check!L20*L76</f>
        <v>1029.952</v>
      </c>
      <c r="M20" s="2">
        <f ca="1">goldenOTP_check!M20*M76</f>
        <v>1050.192</v>
      </c>
      <c r="N20" s="2">
        <f ca="1">goldenOTP_check!N20*N76</f>
        <v>1057.088</v>
      </c>
      <c r="O20" s="2">
        <f ca="1">goldenOTP_check!O20*O76</f>
        <v>1058.414</v>
      </c>
      <c r="P20" s="2">
        <f ca="1">goldenOTP_check!P20*P76</f>
        <v>1054.989</v>
      </c>
      <c r="Q20" s="2">
        <f ca="1">goldenOTP_check!Q20*Q76</f>
        <v>1055.6199999999999</v>
      </c>
      <c r="R20" s="2">
        <f ca="1">goldenOTP_check!R20*R76</f>
        <v>1059.6039999999998</v>
      </c>
      <c r="S20" s="2">
        <f ca="1">goldenOTP_check!S20*S76</f>
        <v>1066.28</v>
      </c>
      <c r="T20" s="2">
        <f ca="1">goldenOTP_check!T20*T76</f>
        <v>1065.8440000000001</v>
      </c>
      <c r="U20" s="2">
        <f ca="1">goldenOTP_check!U20*U76</f>
        <v>1060.02</v>
      </c>
      <c r="V20" s="2">
        <f ca="1">goldenOTP_check!V20*V76</f>
        <v>1031.1299999999999</v>
      </c>
      <c r="W20" s="2">
        <f ca="1">goldenOTP_check!W20*W76</f>
        <v>990.99199999999996</v>
      </c>
      <c r="X20" s="2">
        <f ca="1">goldenOTP_check!X20*X76</f>
        <v>942.60900000000004</v>
      </c>
      <c r="Y20" s="2">
        <f ca="1">goldenOTP_check!Y20*Y76</f>
        <v>874.46699999999998</v>
      </c>
    </row>
    <row r="21" spans="2:25" x14ac:dyDescent="0.3">
      <c r="B21" s="6">
        <v>18</v>
      </c>
      <c r="C21" s="9">
        <v>2.88</v>
      </c>
      <c r="D21" s="9">
        <v>2.56</v>
      </c>
      <c r="E21" s="9">
        <v>2.5630000000000002</v>
      </c>
      <c r="F21" s="9">
        <v>2.4630000000000001</v>
      </c>
      <c r="I21" s="2">
        <f ca="1">goldenOTP_check!I21*I77</f>
        <v>868.62</v>
      </c>
      <c r="J21" s="2">
        <f ca="1">goldenOTP_check!J21*J77</f>
        <v>940.428</v>
      </c>
      <c r="K21" s="2">
        <f ca="1">goldenOTP_check!K21*K77</f>
        <v>984.63199999999995</v>
      </c>
      <c r="L21" s="2">
        <f ca="1">goldenOTP_check!L21*L77</f>
        <v>1029.684</v>
      </c>
      <c r="M21" s="2">
        <f ca="1">goldenOTP_check!M21*M77</f>
        <v>1058.499</v>
      </c>
      <c r="N21" s="2">
        <f ca="1">goldenOTP_check!N21*N77</f>
        <v>1060.884</v>
      </c>
      <c r="O21" s="2">
        <f ca="1">goldenOTP_check!O21*O77</f>
        <v>1057.202</v>
      </c>
      <c r="P21" s="2">
        <f ca="1">goldenOTP_check!P21*P77</f>
        <v>1039.6980000000001</v>
      </c>
      <c r="Q21" s="2">
        <f ca="1">goldenOTP_check!Q21*Q77</f>
        <v>1029.8249999999998</v>
      </c>
      <c r="R21" s="2">
        <f ca="1">goldenOTP_check!R21*R77</f>
        <v>1042.635</v>
      </c>
      <c r="S21" s="2">
        <f ca="1">goldenOTP_check!S21*S77</f>
        <v>1063.7049999999999</v>
      </c>
      <c r="T21" s="2">
        <f ca="1">goldenOTP_check!T21*T77</f>
        <v>1066.8059999999998</v>
      </c>
      <c r="U21" s="2">
        <f ca="1">goldenOTP_check!U21*U77</f>
        <v>1055.925</v>
      </c>
      <c r="V21" s="2">
        <f ca="1">goldenOTP_check!V21*V77</f>
        <v>1038.588</v>
      </c>
      <c r="W21" s="2">
        <f ca="1">goldenOTP_check!W21*W77</f>
        <v>996.42399999999998</v>
      </c>
      <c r="X21" s="2">
        <f ca="1">goldenOTP_check!X21*X77</f>
        <v>951.75300000000004</v>
      </c>
      <c r="Y21" s="2">
        <f ca="1">goldenOTP_check!Y21*Y77</f>
        <v>894.52</v>
      </c>
    </row>
    <row r="22" spans="2:25" x14ac:dyDescent="0.3">
      <c r="B22" s="6">
        <v>19</v>
      </c>
      <c r="C22" s="9">
        <v>2.5640000000000001</v>
      </c>
      <c r="D22" s="9">
        <v>2.282</v>
      </c>
      <c r="E22" s="9">
        <v>2.2850000000000001</v>
      </c>
      <c r="F22" s="9">
        <v>2.2029999999999998</v>
      </c>
      <c r="I22" s="2">
        <f ca="1">goldenOTP_check!I22*I78</f>
        <v>877.33800000000008</v>
      </c>
      <c r="J22" s="2">
        <f ca="1">goldenOTP_check!J22*J78</f>
        <v>944.16300000000001</v>
      </c>
      <c r="K22" s="2">
        <f ca="1">goldenOTP_check!K22*K78</f>
        <v>992.25800000000004</v>
      </c>
      <c r="L22" s="2">
        <f ca="1">goldenOTP_check!L22*L78</f>
        <v>1037.617</v>
      </c>
      <c r="M22" s="2">
        <f ca="1">goldenOTP_check!M22*M78</f>
        <v>1047.5559999999998</v>
      </c>
      <c r="N22" s="2">
        <f ca="1">goldenOTP_check!N22*N78</f>
        <v>1052.8599999999999</v>
      </c>
      <c r="O22" s="2">
        <f ca="1">goldenOTP_check!O22*O78</f>
        <v>1049.904</v>
      </c>
      <c r="P22" s="2">
        <f ca="1">goldenOTP_check!P22*P78</f>
        <v>1027.0260000000001</v>
      </c>
      <c r="Q22" s="2">
        <f ca="1">goldenOTP_check!Q22*Q78</f>
        <v>1027.0920000000001</v>
      </c>
      <c r="R22" s="2">
        <f ca="1">goldenOTP_check!R22*R78</f>
        <v>1033.0319999999999</v>
      </c>
      <c r="S22" s="2">
        <f ca="1">goldenOTP_check!S22*S78</f>
        <v>1061.316</v>
      </c>
      <c r="T22" s="2">
        <f ca="1">goldenOTP_check!T22*T78</f>
        <v>1064.0790000000002</v>
      </c>
      <c r="U22" s="2">
        <f ca="1">goldenOTP_check!U22*U78</f>
        <v>1058.9259999999999</v>
      </c>
      <c r="V22" s="2">
        <f ca="1">goldenOTP_check!V22*V78</f>
        <v>1039.0820000000001</v>
      </c>
      <c r="W22" s="2">
        <f ca="1">goldenOTP_check!W22*W78</f>
        <v>1001.557</v>
      </c>
      <c r="X22" s="2">
        <f ca="1">goldenOTP_check!X22*X78</f>
        <v>951.96599999999989</v>
      </c>
      <c r="Y22" s="2">
        <f ca="1">goldenOTP_check!Y22*Y78</f>
        <v>878.85</v>
      </c>
    </row>
    <row r="23" spans="2:25" x14ac:dyDescent="0.3">
      <c r="B23" s="6">
        <v>20</v>
      </c>
      <c r="C23" s="9">
        <v>2.3490000000000002</v>
      </c>
      <c r="D23" s="9">
        <v>2.097</v>
      </c>
      <c r="E23" s="9">
        <v>2.1</v>
      </c>
      <c r="F23" s="9">
        <v>2.028</v>
      </c>
      <c r="I23" s="2">
        <f ca="1">goldenOTP_check!I23*I79</f>
        <v>873.08399999999995</v>
      </c>
      <c r="J23" s="2">
        <f ca="1">goldenOTP_check!J23*J79</f>
        <v>941.78700000000003</v>
      </c>
      <c r="K23" s="2">
        <f ca="1">goldenOTP_check!K23*K79</f>
        <v>994.02800000000002</v>
      </c>
      <c r="L23" s="2">
        <f ca="1">goldenOTP_check!L23*L79</f>
        <v>1031.3689999999999</v>
      </c>
      <c r="M23" s="2">
        <f ca="1">goldenOTP_check!M23*M79</f>
        <v>1048.0409999999999</v>
      </c>
      <c r="N23" s="2">
        <f ca="1">goldenOTP_check!N23*N79</f>
        <v>1055.6280000000002</v>
      </c>
      <c r="O23" s="2">
        <f ca="1">goldenOTP_check!O23*O79</f>
        <v>1049.0700000000002</v>
      </c>
      <c r="P23" s="2">
        <f ca="1">goldenOTP_check!P23*P79</f>
        <v>1028.28</v>
      </c>
      <c r="Q23" s="2">
        <f ca="1">goldenOTP_check!Q23*Q79</f>
        <v>1024.0229999999999</v>
      </c>
      <c r="R23" s="2">
        <f ca="1">goldenOTP_check!R23*R79</f>
        <v>1038.1199999999999</v>
      </c>
      <c r="S23" s="2">
        <f ca="1">goldenOTP_check!S23*S79</f>
        <v>1058.1310000000001</v>
      </c>
      <c r="T23" s="2">
        <f ca="1">goldenOTP_check!T23*T79</f>
        <v>1063.4219999999998</v>
      </c>
      <c r="U23" s="2">
        <f ca="1">goldenOTP_check!U23*U79</f>
        <v>1054.443</v>
      </c>
      <c r="V23" s="2">
        <f ca="1">goldenOTP_check!V23*V79</f>
        <v>1037.316</v>
      </c>
      <c r="W23" s="2">
        <f ca="1">goldenOTP_check!W23*W79</f>
        <v>993.74400000000003</v>
      </c>
      <c r="X23" s="2">
        <f ca="1">goldenOTP_check!X23*X79</f>
        <v>946.31700000000001</v>
      </c>
      <c r="Y23" s="2">
        <f ca="1">goldenOTP_check!Y23*Y79</f>
        <v>887.68</v>
      </c>
    </row>
    <row r="24" spans="2:25" x14ac:dyDescent="0.3">
      <c r="B24" s="6">
        <v>21</v>
      </c>
      <c r="C24" s="9">
        <v>2.1589999999999998</v>
      </c>
      <c r="D24" s="9">
        <v>1.9390000000000001</v>
      </c>
      <c r="E24" s="9">
        <v>1.9419999999999999</v>
      </c>
      <c r="F24" s="9">
        <v>1.877</v>
      </c>
      <c r="I24" s="2">
        <f ca="1">goldenOTP_check!I24*I80</f>
        <v>873.74099999999999</v>
      </c>
      <c r="J24" s="2">
        <f ca="1">goldenOTP_check!J24*J80</f>
        <v>937.36500000000001</v>
      </c>
      <c r="K24" s="2">
        <f ca="1">goldenOTP_check!K24*K80</f>
        <v>980.71199999999999</v>
      </c>
      <c r="L24" s="2">
        <f ca="1">goldenOTP_check!L24*L80</f>
        <v>1025.088</v>
      </c>
      <c r="M24" s="2">
        <f ca="1">goldenOTP_check!M24*M80</f>
        <v>1050.672</v>
      </c>
      <c r="N24" s="2">
        <f ca="1">goldenOTP_check!N24*N80</f>
        <v>1053.828</v>
      </c>
      <c r="O24" s="2">
        <f ca="1">goldenOTP_check!O24*O80</f>
        <v>1052.163</v>
      </c>
      <c r="P24" s="2">
        <f ca="1">goldenOTP_check!P24*P80</f>
        <v>1046.0539999999999</v>
      </c>
      <c r="Q24" s="2">
        <f ca="1">goldenOTP_check!Q24*Q80</f>
        <v>1048.953</v>
      </c>
      <c r="R24" s="2">
        <f ca="1">goldenOTP_check!R24*R80</f>
        <v>1049.77</v>
      </c>
      <c r="S24" s="2">
        <f ca="1">goldenOTP_check!S24*S80</f>
        <v>1060.0740000000001</v>
      </c>
      <c r="T24" s="2">
        <f ca="1">goldenOTP_check!T24*T80</f>
        <v>1056.2919999999999</v>
      </c>
      <c r="U24" s="2">
        <f ca="1">goldenOTP_check!U24*U80</f>
        <v>1053.702</v>
      </c>
      <c r="V24" s="2">
        <f ca="1">goldenOTP_check!V24*V80</f>
        <v>1036.6400000000001</v>
      </c>
      <c r="W24" s="2">
        <f ca="1">goldenOTP_check!W24*W80</f>
        <v>988.93599999999992</v>
      </c>
      <c r="X24" s="2">
        <f ca="1">goldenOTP_check!X24*X80</f>
        <v>942.17200000000003</v>
      </c>
      <c r="Y24" s="2">
        <f ca="1">goldenOTP_check!Y24*Y80</f>
        <v>875.19299999999998</v>
      </c>
    </row>
    <row r="25" spans="2:25" x14ac:dyDescent="0.3">
      <c r="B25" s="6">
        <v>22</v>
      </c>
      <c r="C25" s="9">
        <v>1.994</v>
      </c>
      <c r="D25" s="9">
        <v>1.806</v>
      </c>
      <c r="E25" s="9">
        <v>1.8089999999999999</v>
      </c>
      <c r="F25" s="9">
        <v>1.748</v>
      </c>
      <c r="I25" s="2">
        <f ca="1">goldenOTP_check!I25*I81</f>
        <v>863.67399999999998</v>
      </c>
      <c r="J25" s="2">
        <f ca="1">goldenOTP_check!J25*J81</f>
        <v>912.47899999999993</v>
      </c>
      <c r="K25" s="2">
        <f ca="1">goldenOTP_check!K25*K81</f>
        <v>962.96199999999988</v>
      </c>
      <c r="L25" s="2">
        <f ca="1">goldenOTP_check!L25*L81</f>
        <v>1011.816</v>
      </c>
      <c r="M25" s="2">
        <f ca="1">goldenOTP_check!M25*M81</f>
        <v>1038.4349999999999</v>
      </c>
      <c r="N25" s="2">
        <f ca="1">goldenOTP_check!N25*N81</f>
        <v>1051.2</v>
      </c>
      <c r="O25" s="2">
        <f ca="1">goldenOTP_check!O25*O81</f>
        <v>1047.5360000000001</v>
      </c>
      <c r="P25" s="2">
        <f ca="1">goldenOTP_check!P25*P81</f>
        <v>1052.424</v>
      </c>
      <c r="Q25" s="2">
        <f ca="1">goldenOTP_check!Q25*Q81</f>
        <v>1053.7230000000002</v>
      </c>
      <c r="R25" s="2">
        <f ca="1">goldenOTP_check!R25*R81</f>
        <v>1052.424</v>
      </c>
      <c r="S25" s="2">
        <f ca="1">goldenOTP_check!S25*S81</f>
        <v>1048.3319999999999</v>
      </c>
      <c r="T25" s="2">
        <f ca="1">goldenOTP_check!T25*T81</f>
        <v>1051.93</v>
      </c>
      <c r="U25" s="2">
        <f ca="1">goldenOTP_check!U25*U81</f>
        <v>1041.0229999999999</v>
      </c>
      <c r="V25" s="2">
        <f ca="1">goldenOTP_check!V25*V81</f>
        <v>1008.995</v>
      </c>
      <c r="W25" s="2">
        <f ca="1">goldenOTP_check!W25*W81</f>
        <v>971.62</v>
      </c>
      <c r="X25" s="2">
        <f ca="1">goldenOTP_check!X25*X81</f>
        <v>920.65899999999999</v>
      </c>
      <c r="Y25" s="2">
        <f ca="1">goldenOTP_check!Y25*Y81</f>
        <v>870.87700000000007</v>
      </c>
    </row>
    <row r="26" spans="2:25" x14ac:dyDescent="0.3">
      <c r="B26" s="6">
        <v>23</v>
      </c>
      <c r="C26" s="9">
        <v>1.863</v>
      </c>
      <c r="D26" s="9">
        <v>1.7030000000000001</v>
      </c>
      <c r="E26" s="9">
        <v>1.7050000000000001</v>
      </c>
      <c r="F26" s="9">
        <v>1.651</v>
      </c>
      <c r="I26" s="2">
        <f ca="1">goldenOTP_check!I26*I82</f>
        <v>859.06999999999994</v>
      </c>
      <c r="J26" s="2">
        <f ca="1">goldenOTP_check!J26*J82</f>
        <v>891.87199999999996</v>
      </c>
      <c r="K26" s="2">
        <f ca="1">goldenOTP_check!K26*K82</f>
        <v>931.24699999999996</v>
      </c>
      <c r="L26" s="2">
        <f ca="1">goldenOTP_check!L26*L82</f>
        <v>983.38799999999992</v>
      </c>
      <c r="M26" s="2">
        <f ca="1">goldenOTP_check!M26*M82</f>
        <v>1008.55</v>
      </c>
      <c r="N26" s="2">
        <f ca="1">goldenOTP_check!N26*N82</f>
        <v>1039.0820000000001</v>
      </c>
      <c r="O26" s="2">
        <f ca="1">goldenOTP_check!O26*O82</f>
        <v>1045.278</v>
      </c>
      <c r="P26" s="2">
        <f ca="1">goldenOTP_check!P26*P82</f>
        <v>1048.5150000000001</v>
      </c>
      <c r="Q26" s="2">
        <f ca="1">goldenOTP_check!Q26*Q82</f>
        <v>1044.528</v>
      </c>
      <c r="R26" s="2">
        <f ca="1">goldenOTP_check!R26*R82</f>
        <v>1047.7739999999999</v>
      </c>
      <c r="S26" s="2">
        <f ca="1">goldenOTP_check!S26*S82</f>
        <v>1045.98</v>
      </c>
      <c r="T26" s="2">
        <f ca="1">goldenOTP_check!T26*T82</f>
        <v>1032.01</v>
      </c>
      <c r="U26" s="2">
        <f ca="1">goldenOTP_check!U26*U82</f>
        <v>1012</v>
      </c>
      <c r="V26" s="2">
        <f ca="1">goldenOTP_check!V26*V82</f>
        <v>977.32900000000006</v>
      </c>
      <c r="W26" s="2">
        <f ca="1">goldenOTP_check!W26*W82</f>
        <v>936.05399999999997</v>
      </c>
      <c r="X26" s="2">
        <f ca="1">goldenOTP_check!X26*X82</f>
        <v>897.51200000000006</v>
      </c>
      <c r="Y26" s="2">
        <f ca="1">goldenOTP_check!Y26*Y82</f>
        <v>863.19099999999992</v>
      </c>
    </row>
    <row r="27" spans="2:25" x14ac:dyDescent="0.3">
      <c r="B27" s="6">
        <v>24</v>
      </c>
      <c r="C27" s="9">
        <v>1.7809999999999999</v>
      </c>
      <c r="D27" s="9">
        <v>1.64</v>
      </c>
      <c r="E27" s="9">
        <v>1.641</v>
      </c>
      <c r="F27" s="9">
        <v>1.595</v>
      </c>
      <c r="I27" s="2">
        <f ca="1">goldenOTP_check!I27*I83</f>
        <v>850.01099999999997</v>
      </c>
      <c r="J27" s="2">
        <f ca="1">goldenOTP_check!J27*J83</f>
        <v>884.94</v>
      </c>
      <c r="K27" s="2">
        <f ca="1">goldenOTP_check!K27*K83</f>
        <v>903.9</v>
      </c>
      <c r="L27" s="2">
        <f ca="1">goldenOTP_check!L27*L83</f>
        <v>943.93600000000015</v>
      </c>
      <c r="M27" s="2">
        <f ca="1">goldenOTP_check!M27*M83</f>
        <v>975.31700000000001</v>
      </c>
      <c r="N27" s="2">
        <f ca="1">goldenOTP_check!N27*N83</f>
        <v>1004.5229999999999</v>
      </c>
      <c r="O27" s="2">
        <f ca="1">goldenOTP_check!O27*O83</f>
        <v>1020.276</v>
      </c>
      <c r="P27" s="2">
        <f ca="1">goldenOTP_check!P27*P83</f>
        <v>1034.136</v>
      </c>
      <c r="Q27" s="2">
        <f ca="1">goldenOTP_check!Q27*Q83</f>
        <v>1030.087</v>
      </c>
      <c r="R27" s="2">
        <f ca="1">goldenOTP_check!R27*R83</f>
        <v>1037.952</v>
      </c>
      <c r="S27" s="2">
        <f ca="1">goldenOTP_check!S27*S83</f>
        <v>1028.7180000000001</v>
      </c>
      <c r="T27" s="2">
        <f ca="1">goldenOTP_check!T27*T83</f>
        <v>1012.908</v>
      </c>
      <c r="U27" s="2">
        <f ca="1">goldenOTP_check!U27*U83</f>
        <v>981.35300000000007</v>
      </c>
      <c r="V27" s="2">
        <f ca="1">goldenOTP_check!V27*V83</f>
        <v>947.5200000000001</v>
      </c>
      <c r="W27" s="2">
        <f ca="1">goldenOTP_check!W27*W83</f>
        <v>904.29300000000001</v>
      </c>
      <c r="X27" s="2">
        <f ca="1">goldenOTP_check!X27*X83</f>
        <v>883.91099999999994</v>
      </c>
      <c r="Y27" s="2">
        <f ca="1">goldenOTP_check!Y27*Y83</f>
        <v>841.572</v>
      </c>
    </row>
    <row r="28" spans="2:25" x14ac:dyDescent="0.3">
      <c r="B28" s="6">
        <v>25</v>
      </c>
      <c r="C28" s="9">
        <v>1.754</v>
      </c>
      <c r="D28" s="9">
        <v>1.6180000000000001</v>
      </c>
      <c r="E28" s="9">
        <v>1.62</v>
      </c>
      <c r="F28" s="9">
        <v>1.577</v>
      </c>
      <c r="I28" s="10">
        <f ca="1">goldenOTP_check!I28*I84</f>
        <v>832.55500000000006</v>
      </c>
      <c r="J28" s="2">
        <f ca="1">goldenOTP_check!J28*J84</f>
        <v>849.45900000000006</v>
      </c>
      <c r="K28" s="2">
        <f ca="1">goldenOTP_check!K28*K84</f>
        <v>870.23199999999997</v>
      </c>
      <c r="L28" s="2">
        <f ca="1">goldenOTP_check!L28*L84</f>
        <v>902.86900000000003</v>
      </c>
      <c r="M28" s="2">
        <f ca="1">goldenOTP_check!M28*M84</f>
        <v>930.07200000000012</v>
      </c>
      <c r="N28" s="2">
        <f ca="1">goldenOTP_check!N28*N84</f>
        <v>954.57</v>
      </c>
      <c r="O28" s="2">
        <f ca="1">goldenOTP_check!O28*O84</f>
        <v>976.48199999999997</v>
      </c>
      <c r="P28" s="2">
        <f ca="1">goldenOTP_check!P28*P84</f>
        <v>979.125</v>
      </c>
      <c r="Q28" s="2">
        <f ca="1">goldenOTP_check!Q28*Q84</f>
        <v>995.30000000000007</v>
      </c>
      <c r="R28" s="2">
        <f ca="1">goldenOTP_check!R28*R84</f>
        <v>985.42499999999995</v>
      </c>
      <c r="S28" s="2">
        <f ca="1">goldenOTP_check!S28*S84</f>
        <v>987.63599999999997</v>
      </c>
      <c r="T28" s="2">
        <f ca="1">goldenOTP_check!T28*T84</f>
        <v>966.32</v>
      </c>
      <c r="U28" s="2">
        <f ca="1">goldenOTP_check!U28*U84</f>
        <v>938.22299999999996</v>
      </c>
      <c r="V28" s="2">
        <f ca="1">goldenOTP_check!V28*V84</f>
        <v>907.53700000000003</v>
      </c>
      <c r="W28" s="2">
        <f ca="1">goldenOTP_check!W28*W84</f>
        <v>868.86800000000005</v>
      </c>
      <c r="X28" s="2">
        <f ca="1">goldenOTP_check!X28*X84</f>
        <v>835.70499999999993</v>
      </c>
      <c r="Y28" s="10">
        <f ca="1">goldenOTP_check!Y28*Y84</f>
        <v>804.31000000000006</v>
      </c>
    </row>
    <row r="29" spans="2:25" x14ac:dyDescent="0.3">
      <c r="B29" s="6">
        <v>26</v>
      </c>
      <c r="C29" s="9">
        <v>1.778</v>
      </c>
      <c r="D29" s="9">
        <v>1.64</v>
      </c>
      <c r="E29" s="9">
        <v>1.641</v>
      </c>
      <c r="F29" s="9">
        <v>1.595</v>
      </c>
    </row>
    <row r="30" spans="2:25" x14ac:dyDescent="0.3">
      <c r="B30" s="6">
        <v>27</v>
      </c>
      <c r="C30" s="9">
        <v>1.86</v>
      </c>
      <c r="D30" s="9">
        <v>1.7070000000000001</v>
      </c>
      <c r="E30" s="9">
        <v>1.7090000000000001</v>
      </c>
      <c r="F30" s="9">
        <v>1.6579999999999999</v>
      </c>
      <c r="H30" t="s">
        <v>2</v>
      </c>
      <c r="I30" s="11">
        <f ca="1">goldenOTP_check!I30*I86</f>
        <v>782.06999999999994</v>
      </c>
      <c r="J30" s="2">
        <f ca="1">goldenOTP_check!J30*J86</f>
        <v>843.3359999999999</v>
      </c>
      <c r="K30" s="2">
        <f ca="1">goldenOTP_check!K30*K86</f>
        <v>882.87600000000009</v>
      </c>
      <c r="L30" s="2">
        <f ca="1">goldenOTP_check!L30*L86</f>
        <v>914.14800000000002</v>
      </c>
      <c r="M30" s="2">
        <f ca="1">goldenOTP_check!M30*M86</f>
        <v>938.00699999999995</v>
      </c>
      <c r="N30" s="2">
        <f ca="1">goldenOTP_check!N30*N86</f>
        <v>966.48299999999995</v>
      </c>
      <c r="O30" s="2">
        <f ca="1">goldenOTP_check!O30*O86</f>
        <v>984.19999999999993</v>
      </c>
      <c r="P30" s="2">
        <f ca="1">goldenOTP_check!P30*P86</f>
        <v>1004.0939999999999</v>
      </c>
      <c r="Q30" s="2">
        <f ca="1">goldenOTP_check!Q30*Q86</f>
        <v>999.72899999999993</v>
      </c>
      <c r="R30" s="2">
        <f ca="1">goldenOTP_check!R30*R86</f>
        <v>1004.6400000000001</v>
      </c>
      <c r="S30" s="2">
        <f ca="1">goldenOTP_check!S30*S86</f>
        <v>985.75400000000002</v>
      </c>
      <c r="T30" s="2">
        <f ca="1">goldenOTP_check!T30*T86</f>
        <v>966.96599999999989</v>
      </c>
      <c r="U30" s="2">
        <f ca="1">goldenOTP_check!U30*U86</f>
        <v>938.44800000000009</v>
      </c>
      <c r="V30" s="2">
        <f ca="1">goldenOTP_check!V30*V86</f>
        <v>916.15800000000002</v>
      </c>
      <c r="W30" s="2">
        <f ca="1">goldenOTP_check!W30*W86</f>
        <v>889.60199999999998</v>
      </c>
      <c r="X30" s="2">
        <f ca="1">goldenOTP_check!X30*X86</f>
        <v>847.31400000000008</v>
      </c>
      <c r="Y30" s="11">
        <f ca="1">goldenOTP_check!Y30*Y86</f>
        <v>781.02199999999993</v>
      </c>
    </row>
    <row r="31" spans="2:25" x14ac:dyDescent="0.3">
      <c r="B31" s="6">
        <v>28</v>
      </c>
      <c r="C31" s="9">
        <v>1.99</v>
      </c>
      <c r="D31" s="9">
        <v>1.8120000000000001</v>
      </c>
      <c r="E31" s="9">
        <v>1.8140000000000001</v>
      </c>
      <c r="F31" s="9">
        <v>1.758</v>
      </c>
      <c r="H31" t="s">
        <v>6</v>
      </c>
      <c r="I31" s="2">
        <f ca="1">goldenOTP_check!I31*I87</f>
        <v>840.99</v>
      </c>
      <c r="J31" s="2">
        <f ca="1">goldenOTP_check!J31*J87</f>
        <v>879.10900000000004</v>
      </c>
      <c r="K31" s="2">
        <f ca="1">goldenOTP_check!K31*K87</f>
        <v>909.43000000000006</v>
      </c>
      <c r="L31" s="2">
        <f ca="1">goldenOTP_check!L31*L87</f>
        <v>951.30000000000007</v>
      </c>
      <c r="M31" s="2">
        <f ca="1">goldenOTP_check!M31*M87</f>
        <v>998.18799999999999</v>
      </c>
      <c r="N31" s="2">
        <f ca="1">goldenOTP_check!N31*N87</f>
        <v>1020.276</v>
      </c>
      <c r="O31" s="2">
        <f ca="1">goldenOTP_check!O31*O87</f>
        <v>1046.8700000000001</v>
      </c>
      <c r="P31" s="2">
        <f ca="1">goldenOTP_check!P31*P87</f>
        <v>1051.8810000000001</v>
      </c>
      <c r="Q31" s="2">
        <f ca="1">goldenOTP_check!Q31*Q87</f>
        <v>1057.8600000000001</v>
      </c>
      <c r="R31" s="2">
        <f ca="1">goldenOTP_check!R31*R87</f>
        <v>1051.8810000000001</v>
      </c>
      <c r="S31" s="2">
        <f ca="1">goldenOTP_check!S31*S87</f>
        <v>1049.326</v>
      </c>
      <c r="T31" s="2">
        <f ca="1">goldenOTP_check!T31*T87</f>
        <v>1023.096</v>
      </c>
      <c r="U31" s="2">
        <f ca="1">goldenOTP_check!U31*U87</f>
        <v>1003.328</v>
      </c>
      <c r="V31" s="2">
        <f ca="1">goldenOTP_check!V31*V87</f>
        <v>956.73599999999999</v>
      </c>
      <c r="W31" s="2">
        <f ca="1">goldenOTP_check!W31*W87</f>
        <v>917.78800000000001</v>
      </c>
      <c r="X31" s="2">
        <f ca="1">goldenOTP_check!X31*X87</f>
        <v>885.28300000000002</v>
      </c>
      <c r="Y31" s="2">
        <f ca="1">goldenOTP_check!Y31*Y87</f>
        <v>837.20699999999988</v>
      </c>
    </row>
    <row r="32" spans="2:25" x14ac:dyDescent="0.3">
      <c r="B32" s="6">
        <v>29</v>
      </c>
      <c r="C32" s="9">
        <v>2.1589999999999998</v>
      </c>
      <c r="D32" s="9">
        <v>1.95</v>
      </c>
      <c r="E32" s="9">
        <v>1.952</v>
      </c>
      <c r="F32" s="9">
        <v>1.8939999999999999</v>
      </c>
      <c r="I32" s="2">
        <f ca="1">goldenOTP_check!I32*I88</f>
        <v>856.17</v>
      </c>
      <c r="J32" s="2">
        <f ca="1">goldenOTP_check!J32*J88</f>
        <v>904.95800000000008</v>
      </c>
      <c r="K32" s="2">
        <f ca="1">goldenOTP_check!K32*K88</f>
        <v>939.69200000000001</v>
      </c>
      <c r="L32" s="2">
        <f ca="1">goldenOTP_check!L32*L88</f>
        <v>984.91500000000008</v>
      </c>
      <c r="M32" s="2">
        <f ca="1">goldenOTP_check!M32*M88</f>
        <v>1024.3029999999999</v>
      </c>
      <c r="N32" s="2">
        <f ca="1">goldenOTP_check!N32*N88</f>
        <v>1057.2070000000001</v>
      </c>
      <c r="O32" s="2">
        <f ca="1">goldenOTP_check!O32*O88</f>
        <v>1064.8320000000001</v>
      </c>
      <c r="P32" s="2">
        <f ca="1">goldenOTP_check!P32*P88</f>
        <v>1071.9449999999999</v>
      </c>
      <c r="Q32" s="2">
        <f ca="1">goldenOTP_check!Q32*Q88</f>
        <v>1079.645</v>
      </c>
      <c r="R32" s="2">
        <f ca="1">goldenOTP_check!R32*R88</f>
        <v>1075.68</v>
      </c>
      <c r="S32" s="2">
        <f ca="1">goldenOTP_check!S32*S88</f>
        <v>1074.7439999999999</v>
      </c>
      <c r="T32" s="2">
        <f ca="1">goldenOTP_check!T32*T88</f>
        <v>1066.3489999999999</v>
      </c>
      <c r="U32" s="2">
        <f ca="1">goldenOTP_check!U32*U88</f>
        <v>1033.018</v>
      </c>
      <c r="V32" s="2">
        <f ca="1">goldenOTP_check!V32*V88</f>
        <v>994.58600000000001</v>
      </c>
      <c r="W32" s="2">
        <f ca="1">goldenOTP_check!W32*W88</f>
        <v>947.2059999999999</v>
      </c>
      <c r="X32" s="2">
        <f ca="1">goldenOTP_check!X32*X88</f>
        <v>909.92400000000009</v>
      </c>
      <c r="Y32" s="2">
        <f ca="1">goldenOTP_check!Y32*Y88</f>
        <v>874.68400000000008</v>
      </c>
    </row>
    <row r="33" spans="2:25" x14ac:dyDescent="0.3">
      <c r="B33" s="6">
        <v>30</v>
      </c>
      <c r="C33" s="9">
        <v>2.35</v>
      </c>
      <c r="D33" s="9">
        <v>2.1110000000000002</v>
      </c>
      <c r="E33" s="9">
        <v>2.1120000000000001</v>
      </c>
      <c r="F33" s="9">
        <v>2.0499999999999998</v>
      </c>
      <c r="I33" s="2">
        <f ca="1">goldenOTP_check!I33*I89</f>
        <v>869.505</v>
      </c>
      <c r="J33" s="2">
        <f ca="1">goldenOTP_check!J33*J89</f>
        <v>915.75099999999998</v>
      </c>
      <c r="K33" s="2">
        <f ca="1">goldenOTP_check!K33*K89</f>
        <v>965.84799999999996</v>
      </c>
      <c r="L33" s="2">
        <f ca="1">goldenOTP_check!L33*L89</f>
        <v>1015.2</v>
      </c>
      <c r="M33" s="2">
        <f ca="1">goldenOTP_check!M33*M89</f>
        <v>1044.905</v>
      </c>
      <c r="N33" s="2">
        <f ca="1">goldenOTP_check!N33*N89</f>
        <v>1068.69</v>
      </c>
      <c r="O33" s="2">
        <f ca="1">goldenOTP_check!O33*O89</f>
        <v>1068.2640000000001</v>
      </c>
      <c r="P33" s="2">
        <f ca="1">goldenOTP_check!P33*P89</f>
        <v>1077.78</v>
      </c>
      <c r="Q33" s="2">
        <f ca="1">goldenOTP_check!Q33*Q89</f>
        <v>1081.528</v>
      </c>
      <c r="R33" s="2">
        <f ca="1">goldenOTP_check!R33*R89</f>
        <v>1083.7439999999999</v>
      </c>
      <c r="S33" s="2">
        <f ca="1">goldenOTP_check!S33*S89</f>
        <v>1081.8979999999999</v>
      </c>
      <c r="T33" s="2">
        <f ca="1">goldenOTP_check!T33*T89</f>
        <v>1074.56</v>
      </c>
      <c r="U33" s="2">
        <f ca="1">goldenOTP_check!U33*U89</f>
        <v>1056.5509999999999</v>
      </c>
      <c r="V33" s="2">
        <f ca="1">goldenOTP_check!V33*V89</f>
        <v>1025.9159999999999</v>
      </c>
      <c r="W33" s="2">
        <f ca="1">goldenOTP_check!W33*W89</f>
        <v>973.0630000000001</v>
      </c>
      <c r="X33" s="2">
        <f ca="1">goldenOTP_check!X33*X89</f>
        <v>918.20500000000004</v>
      </c>
      <c r="Y33" s="2">
        <f ca="1">goldenOTP_check!Y33*Y89</f>
        <v>883.4</v>
      </c>
    </row>
    <row r="34" spans="2:25" x14ac:dyDescent="0.3">
      <c r="B34" s="6">
        <v>31</v>
      </c>
      <c r="C34" s="9">
        <v>2.573</v>
      </c>
      <c r="D34" s="9">
        <v>2.306</v>
      </c>
      <c r="E34" s="9">
        <v>2.306</v>
      </c>
      <c r="F34" s="9">
        <v>2.2360000000000002</v>
      </c>
      <c r="I34" s="2">
        <f ca="1">goldenOTP_check!I34*I90</f>
        <v>870.83699999999999</v>
      </c>
      <c r="J34" s="2">
        <f ca="1">goldenOTP_check!J34*J90</f>
        <v>934.30599999999993</v>
      </c>
      <c r="K34" s="2">
        <f ca="1">goldenOTP_check!K34*K90</f>
        <v>992.68000000000006</v>
      </c>
      <c r="L34" s="2">
        <f ca="1">goldenOTP_check!L34*L90</f>
        <v>1031.1679999999999</v>
      </c>
      <c r="M34" s="2">
        <f ca="1">goldenOTP_check!M34*M90</f>
        <v>1060.5840000000001</v>
      </c>
      <c r="N34" s="2">
        <f ca="1">goldenOTP_check!N34*N90</f>
        <v>1065.8579999999999</v>
      </c>
      <c r="O34" s="2">
        <f ca="1">goldenOTP_check!O34*O90</f>
        <v>1065.348</v>
      </c>
      <c r="P34" s="2">
        <f ca="1">goldenOTP_check!P34*P90</f>
        <v>1069.6399999999999</v>
      </c>
      <c r="Q34" s="2">
        <f ca="1">goldenOTP_check!Q34*Q90</f>
        <v>1067.973</v>
      </c>
      <c r="R34" s="2">
        <f ca="1">goldenOTP_check!R34*R90</f>
        <v>1073.3799999999999</v>
      </c>
      <c r="S34" s="2">
        <f ca="1">goldenOTP_check!S34*S90</f>
        <v>1072.3799999999999</v>
      </c>
      <c r="T34" s="2">
        <f ca="1">goldenOTP_check!T34*T90</f>
        <v>1074.68</v>
      </c>
      <c r="U34" s="2">
        <f ca="1">goldenOTP_check!U34*U90</f>
        <v>1060.02</v>
      </c>
      <c r="V34" s="2">
        <f ca="1">goldenOTP_check!V34*V90</f>
        <v>1039.68</v>
      </c>
      <c r="W34" s="2">
        <f ca="1">goldenOTP_check!W34*W90</f>
        <v>990.99199999999996</v>
      </c>
      <c r="X34" s="2">
        <f ca="1">goldenOTP_check!X34*X90</f>
        <v>942.60900000000004</v>
      </c>
      <c r="Y34" s="2">
        <f ca="1">goldenOTP_check!Y34*Y90</f>
        <v>873.74099999999999</v>
      </c>
    </row>
    <row r="35" spans="2:25" x14ac:dyDescent="0.3">
      <c r="B35" s="6">
        <v>32</v>
      </c>
      <c r="C35" s="9">
        <v>2.8759999999999999</v>
      </c>
      <c r="D35" s="9">
        <v>2.581</v>
      </c>
      <c r="E35" s="9">
        <v>2.581</v>
      </c>
      <c r="F35" s="9">
        <v>2.4969999999999999</v>
      </c>
      <c r="I35" s="2">
        <f ca="1">goldenOTP_check!I35*I91</f>
        <v>888.06000000000006</v>
      </c>
      <c r="J35" s="2">
        <f ca="1">goldenOTP_check!J35*J91</f>
        <v>941.33399999999995</v>
      </c>
      <c r="K35" s="2">
        <f ca="1">goldenOTP_check!K35*K91</f>
        <v>986.24</v>
      </c>
      <c r="L35" s="2">
        <f ca="1">goldenOTP_check!L35*L91</f>
        <v>1031.5920000000001</v>
      </c>
      <c r="M35" s="2">
        <f ca="1">goldenOTP_check!M35*M91</f>
        <v>1059.9929999999999</v>
      </c>
      <c r="N35" s="2">
        <f ca="1">goldenOTP_check!N35*N91</f>
        <v>1063.4219999999998</v>
      </c>
      <c r="O35" s="2">
        <f ca="1">goldenOTP_check!O35*O91</f>
        <v>1059.06</v>
      </c>
      <c r="P35" s="2">
        <f ca="1">goldenOTP_check!P35*P91</f>
        <v>1045.008</v>
      </c>
      <c r="Q35" s="2">
        <f ca="1">goldenOTP_check!Q35*Q91</f>
        <v>1036.0349999999999</v>
      </c>
      <c r="R35" s="2">
        <f ca="1">goldenOTP_check!R35*R91</f>
        <v>1047.96</v>
      </c>
      <c r="S35" s="2">
        <f ca="1">goldenOTP_check!S35*S91</f>
        <v>1064.634</v>
      </c>
      <c r="T35" s="2">
        <f ca="1">goldenOTP_check!T35*T91</f>
        <v>1066.8059999999998</v>
      </c>
      <c r="U35" s="2">
        <f ca="1">goldenOTP_check!U35*U91</f>
        <v>1055.925</v>
      </c>
      <c r="V35" s="2">
        <f ca="1">goldenOTP_check!V35*V91</f>
        <v>1038.588</v>
      </c>
      <c r="W35" s="2">
        <f ca="1">goldenOTP_check!W35*W91</f>
        <v>996.42399999999998</v>
      </c>
      <c r="X35" s="2">
        <f ca="1">goldenOTP_check!X35*X91</f>
        <v>951.30000000000007</v>
      </c>
      <c r="Y35" s="2">
        <f ca="1">goldenOTP_check!Y35*Y91</f>
        <v>893.76</v>
      </c>
    </row>
    <row r="36" spans="2:25" x14ac:dyDescent="0.3">
      <c r="B36" s="6">
        <v>33</v>
      </c>
      <c r="C36" s="9">
        <v>3.1789999999999998</v>
      </c>
      <c r="D36" s="9">
        <v>2.879</v>
      </c>
      <c r="E36" s="9">
        <v>2.8769999999999998</v>
      </c>
      <c r="F36" s="9">
        <v>2.7709999999999999</v>
      </c>
      <c r="I36" s="2">
        <f ca="1">goldenOTP_check!I36*I92</f>
        <v>878.09399999999994</v>
      </c>
      <c r="J36" s="2">
        <f ca="1">goldenOTP_check!J36*J92</f>
        <v>945.08100000000013</v>
      </c>
      <c r="K36" s="2">
        <f ca="1">goldenOTP_check!K36*K92</f>
        <v>993.35199999999998</v>
      </c>
      <c r="L36" s="2">
        <f ca="1">goldenOTP_check!L36*L92</f>
        <v>1030.0240000000001</v>
      </c>
      <c r="M36" s="2">
        <f ca="1">goldenOTP_check!M36*M92</f>
        <v>1049.0719999999999</v>
      </c>
      <c r="N36" s="2">
        <f ca="1">goldenOTP_check!N36*N92</f>
        <v>1055.4490000000001</v>
      </c>
      <c r="O36" s="2">
        <f ca="1">goldenOTP_check!O36*O92</f>
        <v>1046.2760000000001</v>
      </c>
      <c r="P36" s="2">
        <f ca="1">goldenOTP_check!P36*P92</f>
        <v>1028.0269999999998</v>
      </c>
      <c r="Q36" s="2">
        <f ca="1">goldenOTP_check!Q36*Q92</f>
        <v>1028.1149999999998</v>
      </c>
      <c r="R36" s="2">
        <f ca="1">goldenOTP_check!R36*R92</f>
        <v>1033.0319999999999</v>
      </c>
      <c r="S36" s="2">
        <f ca="1">goldenOTP_check!S36*S92</f>
        <v>1055.7360000000001</v>
      </c>
      <c r="T36" s="2">
        <f ca="1">goldenOTP_check!T36*T92</f>
        <v>1057.538</v>
      </c>
      <c r="U36" s="2">
        <f ca="1">goldenOTP_check!U36*U92</f>
        <v>1050.5440000000001</v>
      </c>
      <c r="V36" s="2">
        <f ca="1">goldenOTP_check!V36*V92</f>
        <v>1039.0820000000001</v>
      </c>
      <c r="W36" s="2">
        <f ca="1">goldenOTP_check!W36*W92</f>
        <v>992.40199999999993</v>
      </c>
      <c r="X36" s="2">
        <f ca="1">goldenOTP_check!X36*X92</f>
        <v>951.50699999999995</v>
      </c>
      <c r="Y36" s="2">
        <f ca="1">goldenOTP_check!Y36*Y92</f>
        <v>878.09399999999994</v>
      </c>
    </row>
    <row r="37" spans="2:25" x14ac:dyDescent="0.3">
      <c r="B37" s="6">
        <v>34</v>
      </c>
      <c r="C37" s="9">
        <v>3.0529999999999999</v>
      </c>
      <c r="D37" s="9">
        <v>2.7149999999999999</v>
      </c>
      <c r="E37" s="9">
        <v>2.718</v>
      </c>
      <c r="F37" s="9">
        <v>2.6240000000000001</v>
      </c>
      <c r="I37" s="2">
        <f ca="1">goldenOTP_check!I37*I93</f>
        <v>873.08399999999995</v>
      </c>
      <c r="J37" s="2">
        <f ca="1">goldenOTP_check!J37*J93</f>
        <v>942.24</v>
      </c>
      <c r="K37" s="2">
        <f ca="1">goldenOTP_check!K37*K93</f>
        <v>983.56</v>
      </c>
      <c r="L37" s="2">
        <f ca="1">goldenOTP_check!L37*L93</f>
        <v>1024.596</v>
      </c>
      <c r="M37" s="2">
        <f ca="1">goldenOTP_check!M37*M93</f>
        <v>1041.105</v>
      </c>
      <c r="N37" s="2">
        <f ca="1">goldenOTP_check!N37*N93</f>
        <v>1049.8860000000002</v>
      </c>
      <c r="O37" s="2">
        <f ca="1">goldenOTP_check!O37*O93</f>
        <v>1043.2670000000001</v>
      </c>
      <c r="P37" s="2">
        <f ca="1">goldenOTP_check!P37*P93</f>
        <v>1028.28</v>
      </c>
      <c r="Q37" s="2">
        <f ca="1">goldenOTP_check!Q37*Q93</f>
        <v>1024.0229999999999</v>
      </c>
      <c r="R37" s="2">
        <f ca="1">goldenOTP_check!R37*R93</f>
        <v>1037.136</v>
      </c>
      <c r="S37" s="2">
        <f ca="1">goldenOTP_check!S37*S93</f>
        <v>1051.297</v>
      </c>
      <c r="T37" s="2">
        <f ca="1">goldenOTP_check!T37*T93</f>
        <v>1057.1369999999999</v>
      </c>
      <c r="U37" s="2">
        <f ca="1">goldenOTP_check!U37*U93</f>
        <v>1054.443</v>
      </c>
      <c r="V37" s="2">
        <f ca="1">goldenOTP_check!V37*V93</f>
        <v>1027.53</v>
      </c>
      <c r="W37" s="2">
        <f ca="1">goldenOTP_check!W37*W93</f>
        <v>993.20799999999997</v>
      </c>
      <c r="X37" s="2">
        <f ca="1">goldenOTP_check!X37*X93</f>
        <v>935.42399999999998</v>
      </c>
      <c r="Y37" s="2">
        <f ca="1">goldenOTP_check!Y37*Y93</f>
        <v>872.54200000000003</v>
      </c>
    </row>
    <row r="38" spans="2:25" x14ac:dyDescent="0.3">
      <c r="B38" s="6">
        <v>35</v>
      </c>
      <c r="C38" s="9">
        <v>2.6589999999999998</v>
      </c>
      <c r="D38" s="9">
        <v>2.367</v>
      </c>
      <c r="E38" s="9">
        <v>2.3690000000000002</v>
      </c>
      <c r="F38" s="9">
        <v>2.2909999999999999</v>
      </c>
      <c r="I38" s="2">
        <f ca="1">goldenOTP_check!I38*I94</f>
        <v>873.74099999999999</v>
      </c>
      <c r="J38" s="2">
        <f ca="1">goldenOTP_check!J38*J94</f>
        <v>937.36500000000001</v>
      </c>
      <c r="K38" s="2">
        <f ca="1">goldenOTP_check!K38*K94</f>
        <v>980.71199999999999</v>
      </c>
      <c r="L38" s="2">
        <f ca="1">goldenOTP_check!L38*L94</f>
        <v>1016.658</v>
      </c>
      <c r="M38" s="2">
        <f ca="1">goldenOTP_check!M38*M94</f>
        <v>1041.768</v>
      </c>
      <c r="N38" s="2">
        <f ca="1">goldenOTP_check!N38*N94</f>
        <v>1045.944</v>
      </c>
      <c r="O38" s="2">
        <f ca="1">goldenOTP_check!O38*O94</f>
        <v>1046.1780000000001</v>
      </c>
      <c r="P38" s="2">
        <f ca="1">goldenOTP_check!P38*P94</f>
        <v>1038.375</v>
      </c>
      <c r="Q38" s="2">
        <f ca="1">goldenOTP_check!Q38*Q94</f>
        <v>1042.4920000000002</v>
      </c>
      <c r="R38" s="2">
        <f ca="1">goldenOTP_check!R38*R94</f>
        <v>1042.067</v>
      </c>
      <c r="S38" s="2">
        <f ca="1">goldenOTP_check!S38*S94</f>
        <v>1052.296</v>
      </c>
      <c r="T38" s="2">
        <f ca="1">goldenOTP_check!T38*T94</f>
        <v>1048.866</v>
      </c>
      <c r="U38" s="2">
        <f ca="1">goldenOTP_check!U38*U94</f>
        <v>1045.5</v>
      </c>
      <c r="V38" s="2">
        <f ca="1">goldenOTP_check!V38*V94</f>
        <v>1026.9090000000001</v>
      </c>
      <c r="W38" s="2">
        <f ca="1">goldenOTP_check!W38*W94</f>
        <v>978.298</v>
      </c>
      <c r="X38" s="2">
        <f ca="1">goldenOTP_check!X38*X94</f>
        <v>928.37399999999991</v>
      </c>
      <c r="Y38" s="2">
        <f ca="1">goldenOTP_check!Y38*Y94</f>
        <v>878.55500000000006</v>
      </c>
    </row>
    <row r="39" spans="2:25" x14ac:dyDescent="0.3">
      <c r="B39" s="6">
        <v>36</v>
      </c>
      <c r="C39" s="9">
        <v>2.3759999999999999</v>
      </c>
      <c r="D39" s="9">
        <v>2.1230000000000002</v>
      </c>
      <c r="E39" s="9">
        <v>2.1259999999999999</v>
      </c>
      <c r="F39" s="9">
        <v>2.0609999999999999</v>
      </c>
      <c r="I39" s="2">
        <f ca="1">goldenOTP_check!I39*I95</f>
        <v>843.19499999999994</v>
      </c>
      <c r="J39" s="2">
        <f ca="1">goldenOTP_check!J39*J95</f>
        <v>911.66100000000006</v>
      </c>
      <c r="K39" s="2">
        <f ca="1">goldenOTP_check!K39*K95</f>
        <v>952.476</v>
      </c>
      <c r="L39" s="2">
        <f ca="1">goldenOTP_check!L39*L95</f>
        <v>1002.2869999999999</v>
      </c>
      <c r="M39" s="2">
        <f ca="1">goldenOTP_check!M39*M95</f>
        <v>1028.164</v>
      </c>
      <c r="N39" s="2">
        <f ca="1">goldenOTP_check!N39*N95</f>
        <v>1041.836</v>
      </c>
      <c r="O39" s="2">
        <f ca="1">goldenOTP_check!O39*O95</f>
        <v>1046.74</v>
      </c>
      <c r="P39" s="2">
        <f ca="1">goldenOTP_check!P39*P95</f>
        <v>1045.3630000000001</v>
      </c>
      <c r="Q39" s="2">
        <f ca="1">goldenOTP_check!Q39*Q95</f>
        <v>1043.826</v>
      </c>
      <c r="R39" s="2">
        <f ca="1">goldenOTP_check!R39*R95</f>
        <v>1044.5219999999999</v>
      </c>
      <c r="S39" s="2">
        <f ca="1">goldenOTP_check!S39*S95</f>
        <v>1040.165</v>
      </c>
      <c r="T39" s="2">
        <f ca="1">goldenOTP_check!T39*T95</f>
        <v>1034.6410000000001</v>
      </c>
      <c r="U39" s="2">
        <f ca="1">goldenOTP_check!U39*U95</f>
        <v>1022.052</v>
      </c>
      <c r="V39" s="2">
        <f ca="1">goldenOTP_check!V39*V95</f>
        <v>996.50599999999997</v>
      </c>
      <c r="W39" s="2">
        <f ca="1">goldenOTP_check!W39*W95</f>
        <v>960.09199999999998</v>
      </c>
      <c r="X39" s="2">
        <f ca="1">goldenOTP_check!X39*X95</f>
        <v>907.78800000000001</v>
      </c>
      <c r="Y39" s="2">
        <f ca="1">goldenOTP_check!Y39*Y95</f>
        <v>874.2299999999999</v>
      </c>
    </row>
    <row r="40" spans="2:25" x14ac:dyDescent="0.3">
      <c r="B40" s="6">
        <v>37</v>
      </c>
      <c r="C40" s="9">
        <v>2.1480000000000001</v>
      </c>
      <c r="D40" s="9">
        <v>1.9330000000000001</v>
      </c>
      <c r="E40" s="9">
        <v>1.9350000000000001</v>
      </c>
      <c r="F40" s="9">
        <v>1.877</v>
      </c>
      <c r="I40" s="2">
        <f ca="1">goldenOTP_check!I40*I96</f>
        <v>858.43600000000004</v>
      </c>
      <c r="J40" s="2">
        <f ca="1">goldenOTP_check!J40*J96</f>
        <v>891.12</v>
      </c>
      <c r="K40" s="2">
        <f ca="1">goldenOTP_check!K40*K96</f>
        <v>930.37300000000005</v>
      </c>
      <c r="L40" s="2">
        <f ca="1">goldenOTP_check!L40*L96</f>
        <v>971.29300000000001</v>
      </c>
      <c r="M40" s="2">
        <f ca="1">goldenOTP_check!M40*M96</f>
        <v>999.78</v>
      </c>
      <c r="N40" s="2">
        <f ca="1">goldenOTP_check!N40*N96</f>
        <v>1028.8050000000001</v>
      </c>
      <c r="O40" s="2">
        <f ca="1">goldenOTP_check!O40*O96</f>
        <v>1036.4390000000001</v>
      </c>
      <c r="P40" s="2">
        <f ca="1">goldenOTP_check!P40*P96</f>
        <v>1037.82</v>
      </c>
      <c r="Q40" s="2">
        <f ca="1">goldenOTP_check!Q40*Q96</f>
        <v>1035.3419999999999</v>
      </c>
      <c r="R40" s="2">
        <f ca="1">goldenOTP_check!R40*R96</f>
        <v>1037.085</v>
      </c>
      <c r="S40" s="2">
        <f ca="1">goldenOTP_check!S40*S96</f>
        <v>1037.136</v>
      </c>
      <c r="T40" s="2">
        <f ca="1">goldenOTP_check!T40*T96</f>
        <v>1022.052</v>
      </c>
      <c r="U40" s="2">
        <f ca="1">goldenOTP_check!U40*U96</f>
        <v>1001.4899999999999</v>
      </c>
      <c r="V40" s="2">
        <f ca="1">goldenOTP_check!V40*V96</f>
        <v>965.62200000000007</v>
      </c>
      <c r="W40" s="2">
        <f ca="1">goldenOTP_check!W40*W96</f>
        <v>921.90899999999988</v>
      </c>
      <c r="X40" s="2">
        <f ca="1">goldenOTP_check!X40*X96</f>
        <v>881.71</v>
      </c>
      <c r="Y40" s="2">
        <f ca="1">goldenOTP_check!Y40*Y96</f>
        <v>866.72300000000007</v>
      </c>
    </row>
    <row r="41" spans="2:25" x14ac:dyDescent="0.3">
      <c r="B41" s="6">
        <v>38</v>
      </c>
      <c r="C41" s="9">
        <v>1.9339999999999999</v>
      </c>
      <c r="D41" s="9">
        <v>1.7609999999999999</v>
      </c>
      <c r="E41" s="9">
        <v>1.7629999999999999</v>
      </c>
      <c r="F41" s="9">
        <v>1.7090000000000001</v>
      </c>
      <c r="I41" s="2">
        <f ca="1">goldenOTP_check!I41*I97</f>
        <v>854.97400000000005</v>
      </c>
      <c r="J41" s="2">
        <f ca="1">goldenOTP_check!J41*J97</f>
        <v>868.78599999999994</v>
      </c>
      <c r="K41" s="2">
        <f ca="1">goldenOTP_check!K41*K97</f>
        <v>903.11400000000003</v>
      </c>
      <c r="L41" s="2">
        <f ca="1">goldenOTP_check!L41*L97</f>
        <v>930.41</v>
      </c>
      <c r="M41" s="2">
        <f ca="1">goldenOTP_check!M41*M97</f>
        <v>965.12400000000002</v>
      </c>
      <c r="N41" s="2">
        <f ca="1">goldenOTP_check!N41*N97</f>
        <v>993.18799999999999</v>
      </c>
      <c r="O41" s="2">
        <f ca="1">goldenOTP_check!O41*O97</f>
        <v>1008.93</v>
      </c>
      <c r="P41" s="2">
        <f ca="1">goldenOTP_check!P41*P97</f>
        <v>1023.1200000000001</v>
      </c>
      <c r="Q41" s="2">
        <f ca="1">goldenOTP_check!Q41*Q97</f>
        <v>1020.144</v>
      </c>
      <c r="R41" s="2">
        <f ca="1">goldenOTP_check!R41*R97</f>
        <v>1026.27</v>
      </c>
      <c r="S41" s="2">
        <f ca="1">goldenOTP_check!S41*S97</f>
        <v>1016.691</v>
      </c>
      <c r="T41" s="2">
        <f ca="1">goldenOTP_check!T41*T97</f>
        <v>1000.377</v>
      </c>
      <c r="U41" s="2">
        <f ca="1">goldenOTP_check!U41*U97</f>
        <v>970.10399999999993</v>
      </c>
      <c r="V41" s="2">
        <f ca="1">goldenOTP_check!V41*V97</f>
        <v>933.06200000000013</v>
      </c>
      <c r="W41" s="2">
        <f ca="1">goldenOTP_check!W41*W97</f>
        <v>888.93900000000008</v>
      </c>
      <c r="X41" s="2">
        <f ca="1">goldenOTP_check!X41*X97</f>
        <v>866.42700000000002</v>
      </c>
      <c r="Y41" s="2">
        <f ca="1">goldenOTP_check!Y41*Y97</f>
        <v>845.30499999999995</v>
      </c>
    </row>
    <row r="42" spans="2:25" x14ac:dyDescent="0.3">
      <c r="B42" s="6">
        <v>39</v>
      </c>
      <c r="C42" s="9">
        <v>1.7529999999999999</v>
      </c>
      <c r="D42" s="9">
        <v>1.6160000000000001</v>
      </c>
      <c r="E42" s="9">
        <v>1.619</v>
      </c>
      <c r="F42" s="9">
        <v>1.5669999999999999</v>
      </c>
      <c r="I42" s="11">
        <f ca="1">goldenOTP_check!I42*I98</f>
        <v>837.66100000000006</v>
      </c>
      <c r="J42" s="2">
        <f ca="1">goldenOTP_check!J42*J98</f>
        <v>851.4</v>
      </c>
      <c r="K42" s="2">
        <f ca="1">goldenOTP_check!K42*K98</f>
        <v>869.20899999999995</v>
      </c>
      <c r="L42" s="2">
        <f ca="1">goldenOTP_check!L42*L98</f>
        <v>888.56</v>
      </c>
      <c r="M42" s="2">
        <f ca="1">goldenOTP_check!M42*M98</f>
        <v>933.54599999999994</v>
      </c>
      <c r="N42" s="2">
        <f ca="1">goldenOTP_check!N42*N98</f>
        <v>941.4559999999999</v>
      </c>
      <c r="O42" s="2">
        <f ca="1">goldenOTP_check!O42*O98</f>
        <v>963.92399999999998</v>
      </c>
      <c r="P42" s="2">
        <f ca="1">goldenOTP_check!P42*P98</f>
        <v>968.24</v>
      </c>
      <c r="Q42" s="2">
        <f ca="1">goldenOTP_check!Q42*Q98</f>
        <v>984.45100000000002</v>
      </c>
      <c r="R42" s="2">
        <f ca="1">goldenOTP_check!R42*R98</f>
        <v>974.48</v>
      </c>
      <c r="S42" s="2">
        <f ca="1">goldenOTP_check!S42*S98</f>
        <v>974.94600000000003</v>
      </c>
      <c r="T42" s="2">
        <f ca="1">goldenOTP_check!T42*T98</f>
        <v>952.59199999999998</v>
      </c>
      <c r="U42" s="2">
        <f ca="1">goldenOTP_check!U42*U98</f>
        <v>926.01600000000008</v>
      </c>
      <c r="V42" s="2">
        <f ca="1">goldenOTP_check!V42*V98</f>
        <v>892.00700000000006</v>
      </c>
      <c r="W42" s="2">
        <f ca="1">goldenOTP_check!W42*W98</f>
        <v>872.24900000000002</v>
      </c>
      <c r="X42" s="2">
        <f ca="1">goldenOTP_check!X42*X98</f>
        <v>836.7</v>
      </c>
      <c r="Y42" s="11">
        <f ca="1">goldenOTP_check!Y42*Y98</f>
        <v>787.77599999999995</v>
      </c>
    </row>
    <row r="43" spans="2:25" x14ac:dyDescent="0.3">
      <c r="B43" s="6">
        <v>40</v>
      </c>
      <c r="C43" s="9">
        <v>1.609</v>
      </c>
      <c r="D43" s="9">
        <v>1.502</v>
      </c>
      <c r="E43" s="9">
        <v>1.504</v>
      </c>
      <c r="F43" s="9">
        <v>1.462</v>
      </c>
    </row>
    <row r="44" spans="2:25" x14ac:dyDescent="0.3">
      <c r="B44" s="6">
        <v>41</v>
      </c>
      <c r="C44" s="9">
        <v>1.52</v>
      </c>
      <c r="D44" s="9">
        <v>1.4339999999999999</v>
      </c>
      <c r="E44" s="9">
        <v>1.4350000000000001</v>
      </c>
      <c r="F44" s="9">
        <v>1.401</v>
      </c>
      <c r="H44" t="s">
        <v>3</v>
      </c>
      <c r="I44" s="12">
        <f ca="1">goldenOTP_check!I44*I100</f>
        <v>749.42</v>
      </c>
      <c r="J44" s="4">
        <f ca="1">goldenOTP_check!J44*J100</f>
        <v>814.82</v>
      </c>
      <c r="K44" s="4">
        <f ca="1">goldenOTP_check!K44*K100</f>
        <v>837.05600000000004</v>
      </c>
      <c r="L44" s="4">
        <f ca="1">goldenOTP_check!L44*L100</f>
        <v>889.16599999999994</v>
      </c>
      <c r="M44" s="4">
        <f ca="1">goldenOTP_check!M44*M100</f>
        <v>918.23599999999999</v>
      </c>
      <c r="N44" s="4">
        <f ca="1">goldenOTP_check!N44*N100</f>
        <v>914.40899999999999</v>
      </c>
      <c r="O44" s="4">
        <f ca="1">goldenOTP_check!O44*O100</f>
        <v>952.90600000000006</v>
      </c>
      <c r="P44" s="4">
        <f ca="1">goldenOTP_check!P44*P100</f>
        <v>964.23599999999999</v>
      </c>
      <c r="Q44" s="4">
        <f ca="1">goldenOTP_check!Q44*Q100</f>
        <v>974.75</v>
      </c>
      <c r="R44" s="4">
        <f ca="1">goldenOTP_check!R44*R100</f>
        <v>966.42</v>
      </c>
      <c r="S44" s="4">
        <f ca="1">goldenOTP_check!S44*S100</f>
        <v>956.56700000000001</v>
      </c>
      <c r="T44" s="4">
        <f ca="1">goldenOTP_check!T44*T100</f>
        <v>916.79399999999998</v>
      </c>
      <c r="U44" s="4">
        <f ca="1">goldenOTP_check!U44*U100</f>
        <v>921.39300000000003</v>
      </c>
      <c r="V44" s="4">
        <f ca="1">goldenOTP_check!V44*V100</f>
        <v>861.28399999999999</v>
      </c>
      <c r="W44" s="4">
        <f ca="1">goldenOTP_check!W44*W100</f>
        <v>848.67200000000003</v>
      </c>
      <c r="X44" s="4">
        <f ca="1">goldenOTP_check!X44*X100</f>
        <v>824.4609999999999</v>
      </c>
      <c r="Y44" s="12">
        <f ca="1">goldenOTP_check!Y44*Y100</f>
        <v>754.71999999999991</v>
      </c>
    </row>
    <row r="45" spans="2:25" x14ac:dyDescent="0.3">
      <c r="B45" s="6">
        <v>42</v>
      </c>
      <c r="C45" s="9">
        <v>1.4930000000000001</v>
      </c>
      <c r="D45" s="9">
        <v>1.4139999999999999</v>
      </c>
      <c r="E45" s="9">
        <v>1.415</v>
      </c>
      <c r="F45" s="9">
        <v>1.3859999999999999</v>
      </c>
      <c r="H45" t="s">
        <v>6</v>
      </c>
      <c r="I45" s="4">
        <f ca="1">goldenOTP_check!I45*I101</f>
        <v>821.4</v>
      </c>
      <c r="J45" s="4">
        <f ca="1">goldenOTP_check!J45*J101</f>
        <v>839.88300000000004</v>
      </c>
      <c r="K45" s="4">
        <f ca="1">goldenOTP_check!K45*K101</f>
        <v>876.79399999999998</v>
      </c>
      <c r="L45" s="4">
        <f ca="1">goldenOTP_check!L45*L101</f>
        <v>922.74</v>
      </c>
      <c r="M45" s="4">
        <f ca="1">goldenOTP_check!M45*M101</f>
        <v>961.024</v>
      </c>
      <c r="N45" s="4">
        <f ca="1">goldenOTP_check!N45*N101</f>
        <v>992.86400000000003</v>
      </c>
      <c r="O45" s="4">
        <f ca="1">goldenOTP_check!O45*O101</f>
        <v>1013.7140000000001</v>
      </c>
      <c r="P45" s="4">
        <f ca="1">goldenOTP_check!P45*P101</f>
        <v>1016.015</v>
      </c>
      <c r="Q45" s="4">
        <f ca="1">goldenOTP_check!Q45*Q101</f>
        <v>1021.896</v>
      </c>
      <c r="R45" s="4">
        <f ca="1">goldenOTP_check!R45*R101</f>
        <v>1016.015</v>
      </c>
      <c r="S45" s="4">
        <f ca="1">goldenOTP_check!S45*S101</f>
        <v>1018.0119999999999</v>
      </c>
      <c r="T45" s="4">
        <f ca="1">goldenOTP_check!T45*T101</f>
        <v>998.54399999999998</v>
      </c>
      <c r="U45" s="4">
        <f ca="1">goldenOTP_check!U45*U101</f>
        <v>969.72799999999995</v>
      </c>
      <c r="V45" s="4">
        <f ca="1">goldenOTP_check!V45*V101</f>
        <v>932.74999999999989</v>
      </c>
      <c r="W45" s="4">
        <f ca="1">goldenOTP_check!W45*W101</f>
        <v>889.92800000000011</v>
      </c>
      <c r="X45" s="4">
        <f ca="1">goldenOTP_check!X45*X101</f>
        <v>851.47699999999998</v>
      </c>
      <c r="Y45" s="4">
        <f ca="1">goldenOTP_check!Y45*Y101</f>
        <v>820.21600000000001</v>
      </c>
    </row>
    <row r="46" spans="2:25" x14ac:dyDescent="0.3">
      <c r="B46" s="6">
        <v>43</v>
      </c>
      <c r="C46" s="9">
        <v>1.524</v>
      </c>
      <c r="D46" s="9">
        <v>1.44</v>
      </c>
      <c r="E46" s="9">
        <v>1.44</v>
      </c>
      <c r="F46" s="9">
        <v>1.409</v>
      </c>
      <c r="I46" s="4">
        <f ca="1">goldenOTP_check!I46*I102</f>
        <v>823.93600000000004</v>
      </c>
      <c r="J46" s="4">
        <f ca="1">goldenOTP_check!J46*J102</f>
        <v>859.125</v>
      </c>
      <c r="K46" s="4">
        <f ca="1">goldenOTP_check!K46*K102</f>
        <v>913.02300000000002</v>
      </c>
      <c r="L46" s="4">
        <f ca="1">goldenOTP_check!L46*L102</f>
        <v>961.024</v>
      </c>
      <c r="M46" s="4">
        <f ca="1">goldenOTP_check!M46*M102</f>
        <v>991.22</v>
      </c>
      <c r="N46" s="4">
        <f ca="1">goldenOTP_check!N46*N102</f>
        <v>1015.4159999999999</v>
      </c>
      <c r="O46" s="4">
        <f ca="1">goldenOTP_check!O46*O102</f>
        <v>1030.71</v>
      </c>
      <c r="P46" s="4">
        <f ca="1">goldenOTP_check!P46*P102</f>
        <v>1050.75</v>
      </c>
      <c r="Q46" s="4">
        <f ca="1">goldenOTP_check!Q46*Q102</f>
        <v>1056.1319999999998</v>
      </c>
      <c r="R46" s="4">
        <f ca="1">goldenOTP_check!R46*R102</f>
        <v>1056.75</v>
      </c>
      <c r="S46" s="4">
        <f ca="1">goldenOTP_check!S46*S102</f>
        <v>1043.4000000000001</v>
      </c>
      <c r="T46" s="4">
        <f ca="1">goldenOTP_check!T46*T102</f>
        <v>1029.672</v>
      </c>
      <c r="U46" s="4">
        <f ca="1">goldenOTP_check!U46*U102</f>
        <v>1006.3000000000001</v>
      </c>
      <c r="V46" s="4">
        <f ca="1">goldenOTP_check!V46*V102</f>
        <v>977.40800000000002</v>
      </c>
      <c r="W46" s="4">
        <f ca="1">goldenOTP_check!W46*W102</f>
        <v>927.64199999999994</v>
      </c>
      <c r="X46" s="4">
        <f ca="1">goldenOTP_check!X46*X102</f>
        <v>869.25</v>
      </c>
      <c r="Y46" s="4">
        <f ca="1">goldenOTP_check!Y46*Y102</f>
        <v>822.3660000000001</v>
      </c>
    </row>
    <row r="47" spans="2:25" x14ac:dyDescent="0.3">
      <c r="B47" s="6">
        <v>44</v>
      </c>
      <c r="C47" s="9">
        <v>1.6180000000000001</v>
      </c>
      <c r="D47" s="9">
        <v>1.5169999999999999</v>
      </c>
      <c r="E47" s="9">
        <v>1.518</v>
      </c>
      <c r="F47" s="9">
        <v>1.48</v>
      </c>
      <c r="I47" s="4">
        <f ca="1">goldenOTP_check!I47*I103</f>
        <v>858.19100000000003</v>
      </c>
      <c r="J47" s="4">
        <f ca="1">goldenOTP_check!J47*J103</f>
        <v>889.57499999999993</v>
      </c>
      <c r="K47" s="4">
        <f ca="1">goldenOTP_check!K47*K103</f>
        <v>954.52800000000002</v>
      </c>
      <c r="L47" s="4">
        <f ca="1">goldenOTP_check!L47*L103</f>
        <v>993.43200000000002</v>
      </c>
      <c r="M47" s="4">
        <f ca="1">goldenOTP_check!M47*M103</f>
        <v>1014.12</v>
      </c>
      <c r="N47" s="4">
        <f ca="1">goldenOTP_check!N47*N103</f>
        <v>1041.251</v>
      </c>
      <c r="O47" s="4">
        <f ca="1">goldenOTP_check!O47*O103</f>
        <v>1045.8720000000001</v>
      </c>
      <c r="P47" s="4">
        <f ca="1">goldenOTP_check!P47*P103</f>
        <v>1056.0139999999999</v>
      </c>
      <c r="Q47" s="4">
        <f ca="1">goldenOTP_check!Q47*Q103</f>
        <v>1058.4000000000001</v>
      </c>
      <c r="R47" s="4">
        <f ca="1">goldenOTP_check!R47*R103</f>
        <v>1064.5440000000001</v>
      </c>
      <c r="S47" s="4">
        <f ca="1">goldenOTP_check!S47*S103</f>
        <v>1063.626</v>
      </c>
      <c r="T47" s="4">
        <f ca="1">goldenOTP_check!T47*T103</f>
        <v>1043.972</v>
      </c>
      <c r="U47" s="4">
        <f ca="1">goldenOTP_check!U47*U103</f>
        <v>1034.856</v>
      </c>
      <c r="V47" s="4">
        <f ca="1">goldenOTP_check!V47*V103</f>
        <v>992.57400000000007</v>
      </c>
      <c r="W47" s="4">
        <f ca="1">goldenOTP_check!W47*W103</f>
        <v>945.89100000000008</v>
      </c>
      <c r="X47" s="4">
        <f ca="1">goldenOTP_check!X47*X103</f>
        <v>897.75499999999988</v>
      </c>
      <c r="Y47" s="4">
        <f ca="1">goldenOTP_check!Y47*Y103</f>
        <v>856.44600000000003</v>
      </c>
    </row>
    <row r="48" spans="2:25" x14ac:dyDescent="0.3">
      <c r="B48" s="6">
        <v>45</v>
      </c>
      <c r="C48" s="9">
        <v>1.76</v>
      </c>
      <c r="D48" s="9">
        <v>1.6319999999999999</v>
      </c>
      <c r="E48" s="9">
        <v>1.633</v>
      </c>
      <c r="F48" s="9">
        <v>1.589</v>
      </c>
      <c r="I48" s="4">
        <f ca="1">goldenOTP_check!I48*I104</f>
        <v>864.05900000000008</v>
      </c>
      <c r="J48" s="4">
        <f ca="1">goldenOTP_check!J48*J104</f>
        <v>899.42399999999998</v>
      </c>
      <c r="K48" s="4">
        <f ca="1">goldenOTP_check!K48*K104</f>
        <v>952.83199999999999</v>
      </c>
      <c r="L48" s="4">
        <f ca="1">goldenOTP_check!L48*L104</f>
        <v>1014.942</v>
      </c>
      <c r="M48" s="4">
        <f ca="1">goldenOTP_check!M48*M104</f>
        <v>1027.8899999999999</v>
      </c>
      <c r="N48" s="4">
        <f ca="1">goldenOTP_check!N48*N104</f>
        <v>1044.258</v>
      </c>
      <c r="O48" s="4">
        <f ca="1">goldenOTP_check!O48*O104</f>
        <v>1050.2079999999999</v>
      </c>
      <c r="P48" s="4">
        <f ca="1">goldenOTP_check!P48*P104</f>
        <v>1048.5</v>
      </c>
      <c r="Q48" s="4">
        <f ca="1">goldenOTP_check!Q48*Q104</f>
        <v>1058.1400000000001</v>
      </c>
      <c r="R48" s="4">
        <f ca="1">goldenOTP_check!R48*R104</f>
        <v>1053.1599999999999</v>
      </c>
      <c r="S48" s="4">
        <f ca="1">goldenOTP_check!S48*S104</f>
        <v>1059.9650000000001</v>
      </c>
      <c r="T48" s="4">
        <f ca="1">goldenOTP_check!T48*T104</f>
        <v>1057.17</v>
      </c>
      <c r="U48" s="4">
        <f ca="1">goldenOTP_check!U48*U104</f>
        <v>1043.4000000000001</v>
      </c>
      <c r="V48" s="4">
        <f ca="1">goldenOTP_check!V48*V104</f>
        <v>1010.758</v>
      </c>
      <c r="W48" s="4">
        <f ca="1">goldenOTP_check!W48*W104</f>
        <v>970.24</v>
      </c>
      <c r="X48" s="4">
        <f ca="1">goldenOTP_check!X48*X104</f>
        <v>913.68000000000006</v>
      </c>
      <c r="Y48" s="4">
        <f ca="1">goldenOTP_check!Y48*Y104</f>
        <v>871.47900000000004</v>
      </c>
    </row>
    <row r="49" spans="2:25" x14ac:dyDescent="0.3">
      <c r="B49" s="6">
        <v>46</v>
      </c>
      <c r="C49" s="9">
        <v>1.9410000000000001</v>
      </c>
      <c r="D49" s="9">
        <v>1.778</v>
      </c>
      <c r="E49" s="9">
        <v>1.778</v>
      </c>
      <c r="F49" s="9">
        <v>1.7350000000000001</v>
      </c>
      <c r="I49" s="4">
        <f ca="1">goldenOTP_check!I49*I105</f>
        <v>860.70899999999995</v>
      </c>
      <c r="J49" s="4">
        <f ca="1">goldenOTP_check!J49*J105</f>
        <v>920.00999999999988</v>
      </c>
      <c r="K49" s="4">
        <f ca="1">goldenOTP_check!K49*K105</f>
        <v>959.06400000000008</v>
      </c>
      <c r="L49" s="4">
        <f ca="1">goldenOTP_check!L49*L105</f>
        <v>1008.371</v>
      </c>
      <c r="M49" s="4">
        <f ca="1">goldenOTP_check!M49*M105</f>
        <v>1040.25</v>
      </c>
      <c r="N49" s="4">
        <f ca="1">goldenOTP_check!N49*N105</f>
        <v>1050.896</v>
      </c>
      <c r="O49" s="4">
        <f ca="1">goldenOTP_check!O49*O105</f>
        <v>1047.5680000000002</v>
      </c>
      <c r="P49" s="4">
        <f ca="1">goldenOTP_check!P49*P105</f>
        <v>1041.4169999999999</v>
      </c>
      <c r="Q49" s="4">
        <f ca="1">goldenOTP_check!Q49*Q105</f>
        <v>1031</v>
      </c>
      <c r="R49" s="4">
        <f ca="1">goldenOTP_check!R49*R105</f>
        <v>1046.3620000000001</v>
      </c>
      <c r="S49" s="4">
        <f ca="1">goldenOTP_check!S49*S105</f>
        <v>1053.1599999999999</v>
      </c>
      <c r="T49" s="4">
        <f ca="1">goldenOTP_check!T49*T105</f>
        <v>1042.8399999999999</v>
      </c>
      <c r="U49" s="4">
        <f ca="1">goldenOTP_check!U49*U105</f>
        <v>1035.3389999999999</v>
      </c>
      <c r="V49" s="4">
        <f ca="1">goldenOTP_check!V49*V105</f>
        <v>1023.659</v>
      </c>
      <c r="W49" s="4">
        <f ca="1">goldenOTP_check!W49*W105</f>
        <v>977.22</v>
      </c>
      <c r="X49" s="4">
        <f ca="1">goldenOTP_check!X49*X105</f>
        <v>913.46599999999989</v>
      </c>
      <c r="Y49" s="4">
        <f ca="1">goldenOTP_check!Y49*Y105</f>
        <v>882.04899999999998</v>
      </c>
    </row>
    <row r="50" spans="2:25" x14ac:dyDescent="0.3">
      <c r="B50" s="6">
        <v>47</v>
      </c>
      <c r="C50" s="9">
        <v>2.157</v>
      </c>
      <c r="D50" s="9">
        <v>1.954</v>
      </c>
      <c r="E50" s="9">
        <v>1.954</v>
      </c>
      <c r="F50" s="9">
        <v>1.909</v>
      </c>
      <c r="I50" s="4">
        <f ca="1">goldenOTP_check!I50*I106</f>
        <v>855.78200000000004</v>
      </c>
      <c r="J50" s="4">
        <f ca="1">goldenOTP_check!J50*J106</f>
        <v>911.36500000000001</v>
      </c>
      <c r="K50" s="4">
        <f ca="1">goldenOTP_check!K50*K106</f>
        <v>967.51200000000006</v>
      </c>
      <c r="L50" s="4">
        <f ca="1">goldenOTP_check!L50*L106</f>
        <v>1008.288</v>
      </c>
      <c r="M50" s="4">
        <f ca="1">goldenOTP_check!M50*M106</f>
        <v>1033.2720000000002</v>
      </c>
      <c r="N50" s="4">
        <f ca="1">goldenOTP_check!N50*N106</f>
        <v>1038.528</v>
      </c>
      <c r="O50" s="4">
        <f ca="1">goldenOTP_check!O50*O106</f>
        <v>1030.6990000000001</v>
      </c>
      <c r="P50" s="4">
        <f ca="1">goldenOTP_check!P50*P106</f>
        <v>1025</v>
      </c>
      <c r="Q50" s="4">
        <f ca="1">goldenOTP_check!Q50*Q106</f>
        <v>1031.184</v>
      </c>
      <c r="R50" s="4">
        <f ca="1">goldenOTP_check!R50*R106</f>
        <v>1030</v>
      </c>
      <c r="S50" s="4">
        <f ca="1">goldenOTP_check!S50*S106</f>
        <v>1043.9010000000001</v>
      </c>
      <c r="T50" s="4">
        <f ca="1">goldenOTP_check!T50*T106</f>
        <v>1053.2160000000001</v>
      </c>
      <c r="U50" s="4">
        <f ca="1">goldenOTP_check!U50*U106</f>
        <v>1033.5</v>
      </c>
      <c r="V50" s="4">
        <f ca="1">goldenOTP_check!V50*V106</f>
        <v>1025.7839999999999</v>
      </c>
      <c r="W50" s="4">
        <f ca="1">goldenOTP_check!W50*W106</f>
        <v>983.346</v>
      </c>
      <c r="X50" s="4">
        <f ca="1">goldenOTP_check!X50*X106</f>
        <v>925.01499999999999</v>
      </c>
      <c r="Y50" s="4">
        <f ca="1">goldenOTP_check!Y50*Y106</f>
        <v>860.33</v>
      </c>
    </row>
    <row r="51" spans="2:25" x14ac:dyDescent="0.3">
      <c r="B51" s="6">
        <v>48</v>
      </c>
      <c r="C51" s="9">
        <v>2.3820000000000001</v>
      </c>
      <c r="D51" s="9">
        <v>2.1440000000000001</v>
      </c>
      <c r="E51" s="9">
        <v>2.1429999999999998</v>
      </c>
      <c r="F51" s="9">
        <v>2.0939999999999999</v>
      </c>
      <c r="I51" s="4">
        <f ca="1">goldenOTP_check!I51*I107</f>
        <v>874.38900000000001</v>
      </c>
      <c r="J51" s="4">
        <f ca="1">goldenOTP_check!J51*J107</f>
        <v>897.96100000000001</v>
      </c>
      <c r="K51" s="4">
        <f ca="1">goldenOTP_check!K51*K107</f>
        <v>955.86</v>
      </c>
      <c r="L51" s="4">
        <f ca="1">goldenOTP_check!L51*L107</f>
        <v>1002.001</v>
      </c>
      <c r="M51" s="4">
        <f ca="1">goldenOTP_check!M51*M107</f>
        <v>1015.3860000000001</v>
      </c>
      <c r="N51" s="4">
        <f ca="1">goldenOTP_check!N51*N107</f>
        <v>1022.6559999999999</v>
      </c>
      <c r="O51" s="4">
        <f ca="1">goldenOTP_check!O51*O107</f>
        <v>1031.7239999999999</v>
      </c>
      <c r="P51" s="4">
        <f ca="1">goldenOTP_check!P51*P107</f>
        <v>1016.1419999999999</v>
      </c>
      <c r="Q51" s="4">
        <f ca="1">goldenOTP_check!Q51*Q107</f>
        <v>1020.9999999999999</v>
      </c>
      <c r="R51" s="4">
        <f ca="1">goldenOTP_check!R51*R107</f>
        <v>1026.9000000000001</v>
      </c>
      <c r="S51" s="4">
        <f ca="1">goldenOTP_check!S51*S107</f>
        <v>1049.4319999999998</v>
      </c>
      <c r="T51" s="4">
        <f ca="1">goldenOTP_check!T51*T107</f>
        <v>1041.999</v>
      </c>
      <c r="U51" s="4">
        <f ca="1">goldenOTP_check!U51*U107</f>
        <v>1035.3389999999999</v>
      </c>
      <c r="V51" s="4">
        <f ca="1">goldenOTP_check!V51*V107</f>
        <v>1021.748</v>
      </c>
      <c r="W51" s="4">
        <f ca="1">goldenOTP_check!W51*W107</f>
        <v>972.94799999999998</v>
      </c>
      <c r="X51" s="4">
        <f ca="1">goldenOTP_check!X51*X107</f>
        <v>907.26400000000001</v>
      </c>
      <c r="Y51" s="4">
        <f ca="1">goldenOTP_check!Y51*Y107</f>
        <v>870.94200000000001</v>
      </c>
    </row>
    <row r="52" spans="2:25" x14ac:dyDescent="0.3">
      <c r="B52" s="6">
        <v>49</v>
      </c>
      <c r="C52" s="9">
        <v>2.6480000000000001</v>
      </c>
      <c r="D52" s="9">
        <v>2.383</v>
      </c>
      <c r="E52" s="9">
        <v>2.3820000000000001</v>
      </c>
      <c r="F52" s="9">
        <v>2.3180000000000001</v>
      </c>
      <c r="I52" s="4">
        <f ca="1">goldenOTP_check!I52*I108</f>
        <v>834.46399999999994</v>
      </c>
      <c r="J52" s="4">
        <f ca="1">goldenOTP_check!J52*J108</f>
        <v>902.87999999999988</v>
      </c>
      <c r="K52" s="4">
        <f ca="1">goldenOTP_check!K52*K108</f>
        <v>952.83199999999999</v>
      </c>
      <c r="L52" s="4">
        <f ca="1">goldenOTP_check!L52*L108</f>
        <v>989.68799999999999</v>
      </c>
      <c r="M52" s="4">
        <f ca="1">goldenOTP_check!M52*M108</f>
        <v>1018.02</v>
      </c>
      <c r="N52" s="4">
        <f ca="1">goldenOTP_check!N52*N108</f>
        <v>1018.88</v>
      </c>
      <c r="O52" s="4">
        <f ca="1">goldenOTP_check!O52*O108</f>
        <v>1025.5</v>
      </c>
      <c r="P52" s="4">
        <f ca="1">goldenOTP_check!P52*P108</f>
        <v>1033.588</v>
      </c>
      <c r="Q52" s="4">
        <f ca="1">goldenOTP_check!Q52*Q108</f>
        <v>1028.8129999999999</v>
      </c>
      <c r="R52" s="4">
        <f ca="1">goldenOTP_check!R52*R108</f>
        <v>1025.9940000000001</v>
      </c>
      <c r="S52" s="4">
        <f ca="1">goldenOTP_check!S52*S108</f>
        <v>1035.125</v>
      </c>
      <c r="T52" s="4">
        <f ca="1">goldenOTP_check!T52*T108</f>
        <v>1034.0039999999999</v>
      </c>
      <c r="U52" s="4">
        <f ca="1">goldenOTP_check!U52*U108</f>
        <v>1036.3499999999999</v>
      </c>
      <c r="V52" s="4">
        <f ca="1">goldenOTP_check!V52*V108</f>
        <v>1008.35</v>
      </c>
      <c r="W52" s="4">
        <f ca="1">goldenOTP_check!W52*W108</f>
        <v>968.19200000000001</v>
      </c>
      <c r="X52" s="4">
        <f ca="1">goldenOTP_check!X52*X108</f>
        <v>912.38400000000001</v>
      </c>
      <c r="Y52" s="4">
        <f ca="1">goldenOTP_check!Y52*Y108</f>
        <v>834.46399999999994</v>
      </c>
    </row>
    <row r="53" spans="2:25" x14ac:dyDescent="0.3">
      <c r="B53" s="6">
        <v>50</v>
      </c>
      <c r="C53" s="9">
        <v>3</v>
      </c>
      <c r="D53" s="9">
        <v>2.71</v>
      </c>
      <c r="E53" s="9">
        <v>2.7080000000000002</v>
      </c>
      <c r="F53" s="9">
        <v>2.6190000000000002</v>
      </c>
      <c r="I53" s="4">
        <f ca="1">goldenOTP_check!I53*I109</f>
        <v>813.18600000000004</v>
      </c>
      <c r="J53" s="4">
        <f ca="1">goldenOTP_check!J53*J109</f>
        <v>886.30299999999988</v>
      </c>
      <c r="K53" s="4">
        <f ca="1">goldenOTP_check!K53*K109</f>
        <v>929.19600000000003</v>
      </c>
      <c r="L53" s="4">
        <f ca="1">goldenOTP_check!L53*L109</f>
        <v>970.85100000000011</v>
      </c>
      <c r="M53" s="4">
        <f ca="1">goldenOTP_check!M53*M109</f>
        <v>1009.5840000000001</v>
      </c>
      <c r="N53" s="4">
        <f ca="1">goldenOTP_check!N53*N109</f>
        <v>1017.073</v>
      </c>
      <c r="O53" s="4">
        <f ca="1">goldenOTP_check!O53*O109</f>
        <v>1019.6759999999999</v>
      </c>
      <c r="P53" s="4">
        <f ca="1">goldenOTP_check!P53*P109</f>
        <v>1023.4970000000001</v>
      </c>
      <c r="Q53" s="4">
        <f ca="1">goldenOTP_check!Q53*Q109</f>
        <v>1021.894</v>
      </c>
      <c r="R53" s="4">
        <f ca="1">goldenOTP_check!R53*R109</f>
        <v>1024.338</v>
      </c>
      <c r="S53" s="4">
        <f ca="1">goldenOTP_check!S53*S109</f>
        <v>1022.0640000000001</v>
      </c>
      <c r="T53" s="4">
        <f ca="1">goldenOTP_check!T53*T109</f>
        <v>1020.708</v>
      </c>
      <c r="U53" s="4">
        <f ca="1">goldenOTP_check!U53*U109</f>
        <v>999.45299999999997</v>
      </c>
      <c r="V53" s="4">
        <f ca="1">goldenOTP_check!V53*V109</f>
        <v>983.66200000000003</v>
      </c>
      <c r="W53" s="4">
        <f ca="1">goldenOTP_check!W53*W109</f>
        <v>943.50599999999997</v>
      </c>
      <c r="X53" s="4">
        <f ca="1">goldenOTP_check!X53*X109</f>
        <v>898.57299999999998</v>
      </c>
      <c r="Y53" s="4">
        <f ca="1">goldenOTP_check!Y53*Y109</f>
        <v>822.17699999999991</v>
      </c>
    </row>
    <row r="54" spans="2:25" x14ac:dyDescent="0.3">
      <c r="B54" s="6">
        <v>51</v>
      </c>
      <c r="C54" s="9">
        <v>2.85</v>
      </c>
      <c r="D54" s="9">
        <v>2.5329999999999999</v>
      </c>
      <c r="E54" s="9">
        <v>2.5350000000000001</v>
      </c>
      <c r="F54" s="9">
        <v>2.4590000000000001</v>
      </c>
      <c r="I54" s="4">
        <f ca="1">goldenOTP_check!I54*I110</f>
        <v>823.62200000000007</v>
      </c>
      <c r="J54" s="4">
        <f ca="1">goldenOTP_check!J54*J110</f>
        <v>861.75</v>
      </c>
      <c r="K54" s="4">
        <f ca="1">goldenOTP_check!K54*K110</f>
        <v>892.94400000000007</v>
      </c>
      <c r="L54" s="4">
        <f ca="1">goldenOTP_check!L54*L110</f>
        <v>937</v>
      </c>
      <c r="M54" s="4">
        <f ca="1">goldenOTP_check!M54*M110</f>
        <v>965.6</v>
      </c>
      <c r="N54" s="4">
        <f ca="1">goldenOTP_check!N54*N110</f>
        <v>991.80899999999997</v>
      </c>
      <c r="O54" s="4">
        <f ca="1">goldenOTP_check!O54*O110</f>
        <v>1002.7710000000001</v>
      </c>
      <c r="P54" s="4">
        <f ca="1">goldenOTP_check!P54*P110</f>
        <v>1019.081</v>
      </c>
      <c r="Q54" s="4">
        <f ca="1">goldenOTP_check!Q54*Q110</f>
        <v>1018.5000000000001</v>
      </c>
      <c r="R54" s="4">
        <f ca="1">goldenOTP_check!R54*R110</f>
        <v>1019.8199999999999</v>
      </c>
      <c r="S54" s="4">
        <f ca="1">goldenOTP_check!S54*S110</f>
        <v>1004.85</v>
      </c>
      <c r="T54" s="4">
        <f ca="1">goldenOTP_check!T54*T110</f>
        <v>996.90499999999997</v>
      </c>
      <c r="U54" s="4">
        <f ca="1">goldenOTP_check!U54*U110</f>
        <v>974.68799999999999</v>
      </c>
      <c r="V54" s="4">
        <f ca="1">goldenOTP_check!V54*V110</f>
        <v>949</v>
      </c>
      <c r="W54" s="4">
        <f ca="1">goldenOTP_check!W54*W110</f>
        <v>902.87999999999988</v>
      </c>
      <c r="X54" s="4">
        <f ca="1">goldenOTP_check!X54*X110</f>
        <v>870.75</v>
      </c>
      <c r="Y54" s="4">
        <f ca="1">goldenOTP_check!Y54*Y110</f>
        <v>826.76200000000006</v>
      </c>
    </row>
    <row r="55" spans="2:25" x14ac:dyDescent="0.3">
      <c r="B55" s="6">
        <v>52</v>
      </c>
      <c r="C55" s="9">
        <v>2.512</v>
      </c>
      <c r="D55" s="9">
        <v>2.2370000000000001</v>
      </c>
      <c r="E55" s="9">
        <v>2.2389999999999999</v>
      </c>
      <c r="F55" s="9">
        <v>2.1749999999999998</v>
      </c>
      <c r="I55" s="4">
        <f ca="1">goldenOTP_check!I55*I111</f>
        <v>832.94399999999996</v>
      </c>
      <c r="J55" s="4">
        <f ca="1">goldenOTP_check!J55*J111</f>
        <v>850.45400000000006</v>
      </c>
      <c r="K55" s="4">
        <f ca="1">goldenOTP_check!K55*K111</f>
        <v>859.62199999999996</v>
      </c>
      <c r="L55" s="4">
        <f ca="1">goldenOTP_check!L55*L111</f>
        <v>903.27700000000004</v>
      </c>
      <c r="M55" s="4">
        <f ca="1">goldenOTP_check!M55*M111</f>
        <v>938</v>
      </c>
      <c r="N55" s="4">
        <f ca="1">goldenOTP_check!N55*N111</f>
        <v>968.62300000000005</v>
      </c>
      <c r="O55" s="4">
        <f ca="1">goldenOTP_check!O55*O111</f>
        <v>987.28</v>
      </c>
      <c r="P55" s="4">
        <f ca="1">goldenOTP_check!P55*P111</f>
        <v>988.75</v>
      </c>
      <c r="Q55" s="4">
        <f ca="1">goldenOTP_check!Q55*Q111</f>
        <v>997.54200000000003</v>
      </c>
      <c r="R55" s="4">
        <f ca="1">goldenOTP_check!R55*R111</f>
        <v>993.75</v>
      </c>
      <c r="S55" s="4">
        <f ca="1">goldenOTP_check!S55*S111</f>
        <v>998.11599999999999</v>
      </c>
      <c r="T55" s="4">
        <f ca="1">goldenOTP_check!T55*T111</f>
        <v>981.43399999999997</v>
      </c>
      <c r="U55" s="4">
        <f ca="1">goldenOTP_check!U55*U111</f>
        <v>950</v>
      </c>
      <c r="V55" s="4">
        <f ca="1">goldenOTP_check!V55*V111</f>
        <v>912.13700000000006</v>
      </c>
      <c r="W55" s="4">
        <f ca="1">goldenOTP_check!W55*W111</f>
        <v>864.6400000000001</v>
      </c>
      <c r="X55" s="4">
        <f ca="1">goldenOTP_check!X55*X111</f>
        <v>850.79500000000007</v>
      </c>
      <c r="Y55" s="4">
        <f ca="1">goldenOTP_check!Y55*Y111</f>
        <v>821.99200000000008</v>
      </c>
    </row>
    <row r="56" spans="2:25" x14ac:dyDescent="0.3">
      <c r="B56" s="6">
        <v>53</v>
      </c>
      <c r="C56" s="9">
        <v>2.238</v>
      </c>
      <c r="D56" s="9">
        <v>2.0059999999999998</v>
      </c>
      <c r="E56" s="9">
        <v>2.008</v>
      </c>
      <c r="F56" s="9">
        <v>1.952</v>
      </c>
      <c r="I56" s="12">
        <f ca="1">goldenOTP_check!I56*I112</f>
        <v>787.05000000000007</v>
      </c>
      <c r="J56" s="4">
        <f ca="1">goldenOTP_check!J56*J112</f>
        <v>809.85600000000011</v>
      </c>
      <c r="K56" s="4">
        <f ca="1">goldenOTP_check!K56*K112</f>
        <v>840.90600000000006</v>
      </c>
      <c r="L56" s="4">
        <f ca="1">goldenOTP_check!L56*L112</f>
        <v>893.51</v>
      </c>
      <c r="M56" s="4">
        <f ca="1">goldenOTP_check!M56*M112</f>
        <v>921.3599999999999</v>
      </c>
      <c r="N56" s="4">
        <f ca="1">goldenOTP_check!N56*N112</f>
        <v>913.36</v>
      </c>
      <c r="O56" s="4">
        <f ca="1">goldenOTP_check!O56*O112</f>
        <v>953.34400000000005</v>
      </c>
      <c r="P56" s="4">
        <f ca="1">goldenOTP_check!P56*P112</f>
        <v>963.87</v>
      </c>
      <c r="Q56" s="4">
        <f ca="1">goldenOTP_check!Q56*Q112</f>
        <v>949.76</v>
      </c>
      <c r="R56" s="4">
        <f ca="1">goldenOTP_check!R56*R112</f>
        <v>972.41399999999999</v>
      </c>
      <c r="S56" s="4">
        <f ca="1">goldenOTP_check!S56*S112</f>
        <v>940.41599999999994</v>
      </c>
      <c r="T56" s="4">
        <f ca="1">goldenOTP_check!T56*T112</f>
        <v>931.53400000000011</v>
      </c>
      <c r="U56" s="4">
        <f ca="1">goldenOTP_check!U56*U112</f>
        <v>901</v>
      </c>
      <c r="V56" s="4">
        <f ca="1">goldenOTP_check!V56*V112</f>
        <v>866.346</v>
      </c>
      <c r="W56" s="4">
        <f ca="1">goldenOTP_check!W56*W112</f>
        <v>841.24700000000007</v>
      </c>
      <c r="X56" s="4">
        <f ca="1">goldenOTP_check!X56*X112</f>
        <v>797.71999999999991</v>
      </c>
      <c r="Y56" s="12">
        <f ca="1">goldenOTP_check!Y56*Y112</f>
        <v>757.37</v>
      </c>
    </row>
    <row r="57" spans="2:25" x14ac:dyDescent="0.3">
      <c r="B57" s="6">
        <v>54</v>
      </c>
      <c r="C57" s="9">
        <v>1.982</v>
      </c>
      <c r="D57" s="9">
        <v>1.798</v>
      </c>
      <c r="E57" s="9">
        <v>1.8</v>
      </c>
      <c r="F57" s="9">
        <v>1.7490000000000001</v>
      </c>
    </row>
    <row r="58" spans="2:25" x14ac:dyDescent="0.3">
      <c r="B58" s="6">
        <v>55</v>
      </c>
      <c r="C58" s="9">
        <v>1.7490000000000001</v>
      </c>
      <c r="D58" s="9">
        <v>1.613</v>
      </c>
      <c r="E58" s="9">
        <v>1.615</v>
      </c>
      <c r="F58" s="9">
        <v>1.5649999999999999</v>
      </c>
      <c r="H58" t="s">
        <v>5</v>
      </c>
      <c r="I58" s="3">
        <f t="shared" ref="I58:Y70" ca="1" si="0">INDIRECT("C"&amp;(17*ROW(1:1)+ROW($C$3)-19+IF(COLUMN(C:C)&gt;19,50000,COLUMN(C:C)-1)))</f>
        <v>3.3210000000000002</v>
      </c>
      <c r="J58" s="2">
        <f t="shared" ca="1" si="0"/>
        <v>3.0960000000000001</v>
      </c>
      <c r="K58" s="2">
        <f t="shared" ca="1" si="0"/>
        <v>2.8090000000000002</v>
      </c>
      <c r="L58" s="2">
        <f t="shared" ca="1" si="0"/>
        <v>2.56</v>
      </c>
      <c r="M58" s="2">
        <f t="shared" ca="1" si="0"/>
        <v>2.3919999999999999</v>
      </c>
      <c r="N58" s="2">
        <f t="shared" ca="1" si="0"/>
        <v>2.2400000000000002</v>
      </c>
      <c r="O58" s="2">
        <f t="shared" ca="1" si="0"/>
        <v>2.1160000000000001</v>
      </c>
      <c r="P58" s="2">
        <f t="shared" ca="1" si="0"/>
        <v>2.0409999999999999</v>
      </c>
      <c r="Q58" s="2">
        <f t="shared" ca="1" si="0"/>
        <v>2.0150000000000001</v>
      </c>
      <c r="R58" s="2">
        <f t="shared" ca="1" si="0"/>
        <v>2.0390000000000001</v>
      </c>
      <c r="S58" s="2">
        <f t="shared" ca="1" si="0"/>
        <v>2.1139999999999999</v>
      </c>
      <c r="T58" s="2">
        <f t="shared" ca="1" si="0"/>
        <v>2.2330000000000001</v>
      </c>
      <c r="U58" s="2">
        <f t="shared" ca="1" si="0"/>
        <v>2.379</v>
      </c>
      <c r="V58" s="2">
        <f t="shared" ca="1" si="0"/>
        <v>2.5550000000000002</v>
      </c>
      <c r="W58" s="2">
        <f t="shared" ca="1" si="0"/>
        <v>2.8170000000000002</v>
      </c>
      <c r="X58" s="2">
        <f t="shared" ca="1" si="0"/>
        <v>3.0859999999999999</v>
      </c>
      <c r="Y58" s="3">
        <f t="shared" ca="1" si="0"/>
        <v>3.2759999999999998</v>
      </c>
    </row>
    <row r="59" spans="2:25" x14ac:dyDescent="0.3">
      <c r="B59" s="6">
        <v>56</v>
      </c>
      <c r="C59" s="9">
        <v>1.5489999999999999</v>
      </c>
      <c r="D59" s="9">
        <v>1.452</v>
      </c>
      <c r="E59" s="9">
        <v>1.454</v>
      </c>
      <c r="F59" s="9">
        <v>1.409</v>
      </c>
      <c r="I59" s="2">
        <f t="shared" ca="1" si="0"/>
        <v>3.238</v>
      </c>
      <c r="J59" s="2">
        <f t="shared" ca="1" si="0"/>
        <v>2.88</v>
      </c>
      <c r="K59" s="2">
        <f t="shared" ca="1" si="0"/>
        <v>2.5640000000000001</v>
      </c>
      <c r="L59" s="2">
        <f t="shared" ca="1" si="0"/>
        <v>2.3490000000000002</v>
      </c>
      <c r="M59" s="2">
        <f t="shared" ca="1" si="0"/>
        <v>2.1589999999999998</v>
      </c>
      <c r="N59" s="2">
        <f t="shared" ca="1" si="0"/>
        <v>1.994</v>
      </c>
      <c r="O59" s="2">
        <f t="shared" ca="1" si="0"/>
        <v>1.863</v>
      </c>
      <c r="P59" s="2">
        <f t="shared" ca="1" si="0"/>
        <v>1.7809999999999999</v>
      </c>
      <c r="Q59" s="2">
        <f t="shared" ca="1" si="0"/>
        <v>1.754</v>
      </c>
      <c r="R59" s="2">
        <f t="shared" ca="1" si="0"/>
        <v>1.778</v>
      </c>
      <c r="S59" s="2">
        <f t="shared" ca="1" si="0"/>
        <v>1.86</v>
      </c>
      <c r="T59" s="2">
        <f t="shared" ca="1" si="0"/>
        <v>1.99</v>
      </c>
      <c r="U59" s="2">
        <f t="shared" ca="1" si="0"/>
        <v>2.1589999999999998</v>
      </c>
      <c r="V59" s="2">
        <f t="shared" ca="1" si="0"/>
        <v>2.35</v>
      </c>
      <c r="W59" s="2">
        <f t="shared" ca="1" si="0"/>
        <v>2.573</v>
      </c>
      <c r="X59" s="2">
        <f t="shared" ca="1" si="0"/>
        <v>2.8759999999999999</v>
      </c>
      <c r="Y59" s="2">
        <f t="shared" ca="1" si="0"/>
        <v>3.1789999999999998</v>
      </c>
    </row>
    <row r="60" spans="2:25" x14ac:dyDescent="0.3">
      <c r="B60" s="6">
        <v>57</v>
      </c>
      <c r="C60" s="9">
        <v>1.399</v>
      </c>
      <c r="D60" s="9">
        <v>1.331</v>
      </c>
      <c r="E60" s="9">
        <v>1.3320000000000001</v>
      </c>
      <c r="F60" s="9">
        <v>1.296</v>
      </c>
      <c r="I60" s="2">
        <f t="shared" ca="1" si="0"/>
        <v>3.0529999999999999</v>
      </c>
      <c r="J60" s="2">
        <f t="shared" ca="1" si="0"/>
        <v>2.6589999999999998</v>
      </c>
      <c r="K60" s="2">
        <f t="shared" ca="1" si="0"/>
        <v>2.3759999999999999</v>
      </c>
      <c r="L60" s="2">
        <f t="shared" ca="1" si="0"/>
        <v>2.1480000000000001</v>
      </c>
      <c r="M60" s="2">
        <f t="shared" ca="1" si="0"/>
        <v>1.9339999999999999</v>
      </c>
      <c r="N60" s="2">
        <f t="shared" ca="1" si="0"/>
        <v>1.7529999999999999</v>
      </c>
      <c r="O60" s="2">
        <f t="shared" ca="1" si="0"/>
        <v>1.609</v>
      </c>
      <c r="P60" s="2">
        <f t="shared" ca="1" si="0"/>
        <v>1.52</v>
      </c>
      <c r="Q60" s="2">
        <f t="shared" ca="1" si="0"/>
        <v>1.4930000000000001</v>
      </c>
      <c r="R60" s="2">
        <f t="shared" ca="1" si="0"/>
        <v>1.524</v>
      </c>
      <c r="S60" s="2">
        <f t="shared" ca="1" si="0"/>
        <v>1.6180000000000001</v>
      </c>
      <c r="T60" s="2">
        <f t="shared" ca="1" si="0"/>
        <v>1.76</v>
      </c>
      <c r="U60" s="2">
        <f t="shared" ca="1" si="0"/>
        <v>1.9410000000000001</v>
      </c>
      <c r="V60" s="2">
        <f t="shared" ca="1" si="0"/>
        <v>2.157</v>
      </c>
      <c r="W60" s="2">
        <f t="shared" ca="1" si="0"/>
        <v>2.3820000000000001</v>
      </c>
      <c r="X60" s="2">
        <f t="shared" ca="1" si="0"/>
        <v>2.6480000000000001</v>
      </c>
      <c r="Y60" s="2">
        <f t="shared" ca="1" si="0"/>
        <v>3</v>
      </c>
    </row>
    <row r="61" spans="2:25" x14ac:dyDescent="0.3">
      <c r="B61" s="6">
        <v>58</v>
      </c>
      <c r="C61" s="9">
        <v>1.3109999999999999</v>
      </c>
      <c r="D61" s="9">
        <v>1.264</v>
      </c>
      <c r="E61" s="9">
        <v>1.2649999999999999</v>
      </c>
      <c r="F61" s="9">
        <v>1.238</v>
      </c>
      <c r="I61" s="2">
        <f t="shared" ca="1" si="0"/>
        <v>2.85</v>
      </c>
      <c r="J61" s="2">
        <f t="shared" ca="1" si="0"/>
        <v>2.512</v>
      </c>
      <c r="K61" s="2">
        <f t="shared" ca="1" si="0"/>
        <v>2.238</v>
      </c>
      <c r="L61" s="2">
        <f t="shared" ca="1" si="0"/>
        <v>1.982</v>
      </c>
      <c r="M61" s="2">
        <f t="shared" ca="1" si="0"/>
        <v>1.7490000000000001</v>
      </c>
      <c r="N61" s="2">
        <f t="shared" ca="1" si="0"/>
        <v>1.5489999999999999</v>
      </c>
      <c r="O61" s="2">
        <f t="shared" ca="1" si="0"/>
        <v>1.399</v>
      </c>
      <c r="P61" s="2">
        <f t="shared" ca="1" si="0"/>
        <v>1.3109999999999999</v>
      </c>
      <c r="Q61" s="2">
        <f t="shared" ca="1" si="0"/>
        <v>1.2849999999999999</v>
      </c>
      <c r="R61" s="2">
        <f t="shared" ca="1" si="0"/>
        <v>1.3169999999999999</v>
      </c>
      <c r="S61" s="2">
        <f t="shared" ca="1" si="0"/>
        <v>1.411</v>
      </c>
      <c r="T61" s="2">
        <f t="shared" ca="1" si="0"/>
        <v>1.5620000000000001</v>
      </c>
      <c r="U61" s="2">
        <f t="shared" ca="1" si="0"/>
        <v>1.7609999999999999</v>
      </c>
      <c r="V61" s="2">
        <f t="shared" ca="1" si="0"/>
        <v>1.9910000000000001</v>
      </c>
      <c r="W61" s="2">
        <f t="shared" ca="1" si="0"/>
        <v>2.2400000000000002</v>
      </c>
      <c r="X61" s="2">
        <f t="shared" ca="1" si="0"/>
        <v>2.4950000000000001</v>
      </c>
      <c r="Y61" s="2">
        <f t="shared" ca="1" si="0"/>
        <v>2.794</v>
      </c>
    </row>
    <row r="62" spans="2:25" x14ac:dyDescent="0.3">
      <c r="B62" s="6">
        <v>59</v>
      </c>
      <c r="C62" s="9">
        <v>1.2849999999999999</v>
      </c>
      <c r="D62" s="9">
        <v>1.246</v>
      </c>
      <c r="E62" s="9">
        <v>1.246</v>
      </c>
      <c r="F62" s="9">
        <v>1.2250000000000001</v>
      </c>
      <c r="I62" s="2">
        <f t="shared" ca="1" si="0"/>
        <v>2.6970000000000001</v>
      </c>
      <c r="J62" s="2">
        <f t="shared" ca="1" si="0"/>
        <v>2.3969999999999998</v>
      </c>
      <c r="K62" s="2">
        <f t="shared" ca="1" si="0"/>
        <v>2.1179999999999999</v>
      </c>
      <c r="L62" s="2">
        <f t="shared" ca="1" si="0"/>
        <v>1.8520000000000001</v>
      </c>
      <c r="M62" s="2">
        <f t="shared" ca="1" si="0"/>
        <v>1.605</v>
      </c>
      <c r="N62" s="2">
        <f t="shared" ca="1" si="0"/>
        <v>1.397</v>
      </c>
      <c r="O62" s="2">
        <f t="shared" ca="1" si="0"/>
        <v>1.2529999999999999</v>
      </c>
      <c r="P62" s="2">
        <f t="shared" ca="1" si="0"/>
        <v>1.1679999999999999</v>
      </c>
      <c r="Q62" s="2">
        <f t="shared" ca="1" si="0"/>
        <v>1.139</v>
      </c>
      <c r="R62" s="2">
        <f t="shared" ca="1" si="0"/>
        <v>1.171</v>
      </c>
      <c r="S62" s="2">
        <f t="shared" ca="1" si="0"/>
        <v>1.258</v>
      </c>
      <c r="T62" s="2">
        <f t="shared" ca="1" si="0"/>
        <v>1.401</v>
      </c>
      <c r="U62" s="2">
        <f t="shared" ca="1" si="0"/>
        <v>1.6080000000000001</v>
      </c>
      <c r="V62" s="2">
        <f t="shared" ca="1" si="0"/>
        <v>1.8560000000000001</v>
      </c>
      <c r="W62" s="2">
        <f t="shared" ca="1" si="0"/>
        <v>2.125</v>
      </c>
      <c r="X62" s="2">
        <f t="shared" ca="1" si="0"/>
        <v>2.3959999999999999</v>
      </c>
      <c r="Y62" s="2">
        <f t="shared" ca="1" si="0"/>
        <v>2.6709999999999998</v>
      </c>
    </row>
    <row r="63" spans="2:25" x14ac:dyDescent="0.3">
      <c r="B63" s="6">
        <v>60</v>
      </c>
      <c r="C63" s="9">
        <v>1.3169999999999999</v>
      </c>
      <c r="D63" s="9">
        <v>1.272</v>
      </c>
      <c r="E63" s="9">
        <v>1.272</v>
      </c>
      <c r="F63" s="9">
        <v>1.248</v>
      </c>
      <c r="I63" s="2">
        <f t="shared" ca="1" si="0"/>
        <v>2.6309999999999998</v>
      </c>
      <c r="J63" s="2">
        <f t="shared" ca="1" si="0"/>
        <v>2.3250000000000002</v>
      </c>
      <c r="K63" s="2">
        <f t="shared" ca="1" si="0"/>
        <v>2.0329999999999999</v>
      </c>
      <c r="L63" s="2">
        <f t="shared" ca="1" si="0"/>
        <v>1.758</v>
      </c>
      <c r="M63" s="2">
        <f t="shared" ca="1" si="0"/>
        <v>1.5049999999999999</v>
      </c>
      <c r="N63" s="2">
        <f t="shared" ca="1" si="0"/>
        <v>1.3049999999999999</v>
      </c>
      <c r="O63" s="2">
        <f t="shared" ca="1" si="0"/>
        <v>1.1639999999999999</v>
      </c>
      <c r="P63" s="2">
        <f t="shared" ca="1" si="0"/>
        <v>1.073</v>
      </c>
      <c r="Q63" s="2">
        <f t="shared" ca="1" si="0"/>
        <v>1.04</v>
      </c>
      <c r="R63" s="2">
        <f t="shared" ca="1" si="0"/>
        <v>1.075</v>
      </c>
      <c r="S63" s="2">
        <f t="shared" ca="1" si="0"/>
        <v>1.167</v>
      </c>
      <c r="T63" s="2">
        <f t="shared" ca="1" si="0"/>
        <v>1.3029999999999999</v>
      </c>
      <c r="U63" s="2">
        <f t="shared" ca="1" si="0"/>
        <v>1.5029999999999999</v>
      </c>
      <c r="V63" s="2">
        <f t="shared" ca="1" si="0"/>
        <v>1.7609999999999999</v>
      </c>
      <c r="W63" s="2">
        <f t="shared" ca="1" si="0"/>
        <v>2.0419999999999998</v>
      </c>
      <c r="X63" s="2">
        <f t="shared" ca="1" si="0"/>
        <v>2.331</v>
      </c>
      <c r="Y63" s="2">
        <f t="shared" ca="1" si="0"/>
        <v>2.613</v>
      </c>
    </row>
    <row r="64" spans="2:25" x14ac:dyDescent="0.3">
      <c r="B64" s="6">
        <v>61</v>
      </c>
      <c r="C64" s="9">
        <v>1.411</v>
      </c>
      <c r="D64" s="9">
        <v>1.349</v>
      </c>
      <c r="E64" s="9">
        <v>1.349</v>
      </c>
      <c r="F64" s="9">
        <v>1.3180000000000001</v>
      </c>
      <c r="I64" s="2">
        <f t="shared" ca="1" si="0"/>
        <v>2.6160000000000001</v>
      </c>
      <c r="J64" s="2">
        <f t="shared" ca="1" si="0"/>
        <v>2.3039999999999998</v>
      </c>
      <c r="K64" s="2">
        <f t="shared" ca="1" si="0"/>
        <v>2.0030000000000001</v>
      </c>
      <c r="L64" s="2">
        <f t="shared" ca="1" si="0"/>
        <v>1.72</v>
      </c>
      <c r="M64" s="2">
        <f t="shared" ca="1" si="0"/>
        <v>1.462</v>
      </c>
      <c r="N64" s="2">
        <f t="shared" ca="1" si="0"/>
        <v>1.262</v>
      </c>
      <c r="O64" s="2">
        <f t="shared" ca="1" si="0"/>
        <v>1.123</v>
      </c>
      <c r="P64" s="2">
        <f t="shared" ca="1" si="0"/>
        <v>1.0329999999999999</v>
      </c>
      <c r="Q64" s="2">
        <f t="shared" ca="1" si="0"/>
        <v>1.004</v>
      </c>
      <c r="R64" s="2">
        <f t="shared" ca="1" si="0"/>
        <v>1.036</v>
      </c>
      <c r="S64" s="2">
        <f t="shared" ca="1" si="0"/>
        <v>1.1299999999999999</v>
      </c>
      <c r="T64" s="2">
        <f t="shared" ca="1" si="0"/>
        <v>1.268</v>
      </c>
      <c r="U64" s="2">
        <f t="shared" ca="1" si="0"/>
        <v>1.4670000000000001</v>
      </c>
      <c r="V64" s="2">
        <f t="shared" ca="1" si="0"/>
        <v>1.7270000000000001</v>
      </c>
      <c r="W64" s="2">
        <f t="shared" ca="1" si="0"/>
        <v>2.008</v>
      </c>
      <c r="X64" s="2">
        <f t="shared" ca="1" si="0"/>
        <v>2.298</v>
      </c>
      <c r="Y64" s="2">
        <f t="shared" ca="1" si="0"/>
        <v>2.581</v>
      </c>
    </row>
    <row r="65" spans="2:25" x14ac:dyDescent="0.3">
      <c r="B65" s="6">
        <v>62</v>
      </c>
      <c r="C65" s="9">
        <v>1.5620000000000001</v>
      </c>
      <c r="D65" s="9">
        <v>1.472</v>
      </c>
      <c r="E65" s="9">
        <v>1.472</v>
      </c>
      <c r="F65" s="9">
        <v>1.4359999999999999</v>
      </c>
      <c r="I65" s="2">
        <f t="shared" ca="1" si="0"/>
        <v>2.6389999999999998</v>
      </c>
      <c r="J65" s="2">
        <f t="shared" ca="1" si="0"/>
        <v>2.3260000000000001</v>
      </c>
      <c r="K65" s="2">
        <f t="shared" ca="1" si="0"/>
        <v>2.0249999999999999</v>
      </c>
      <c r="L65" s="2">
        <f t="shared" ca="1" si="0"/>
        <v>1.744</v>
      </c>
      <c r="M65" s="2">
        <f t="shared" ca="1" si="0"/>
        <v>1.486</v>
      </c>
      <c r="N65" s="2">
        <f t="shared" ca="1" si="0"/>
        <v>1.286</v>
      </c>
      <c r="O65" s="2">
        <f t="shared" ca="1" si="0"/>
        <v>1.1459999999999999</v>
      </c>
      <c r="P65" s="2">
        <f t="shared" ca="1" si="0"/>
        <v>1.0569999999999999</v>
      </c>
      <c r="Q65" s="2">
        <f t="shared" ca="1" si="0"/>
        <v>1.028</v>
      </c>
      <c r="R65" s="2">
        <f t="shared" ca="1" si="0"/>
        <v>1.0649999999999999</v>
      </c>
      <c r="S65" s="2">
        <f t="shared" ca="1" si="0"/>
        <v>1.1579999999999999</v>
      </c>
      <c r="T65" s="2">
        <f t="shared" ca="1" si="0"/>
        <v>1.2969999999999999</v>
      </c>
      <c r="U65" s="2">
        <f t="shared" ca="1" si="0"/>
        <v>1.4990000000000001</v>
      </c>
      <c r="V65" s="2">
        <f t="shared" ca="1" si="0"/>
        <v>1.7549999999999999</v>
      </c>
      <c r="W65" s="2">
        <f t="shared" ca="1" si="0"/>
        <v>2.0310000000000001</v>
      </c>
      <c r="X65" s="2">
        <f t="shared" ca="1" si="0"/>
        <v>2.3130000000000002</v>
      </c>
      <c r="Y65" s="2">
        <f t="shared" ca="1" si="0"/>
        <v>2.5870000000000002</v>
      </c>
    </row>
    <row r="66" spans="2:25" x14ac:dyDescent="0.3">
      <c r="B66" s="6">
        <v>63</v>
      </c>
      <c r="C66" s="9">
        <v>1.7609999999999999</v>
      </c>
      <c r="D66" s="9">
        <v>1.633</v>
      </c>
      <c r="E66" s="9">
        <v>1.633</v>
      </c>
      <c r="F66" s="9">
        <v>1.597</v>
      </c>
      <c r="I66" s="2">
        <f t="shared" ca="1" si="0"/>
        <v>2.7040000000000002</v>
      </c>
      <c r="J66" s="2">
        <f t="shared" ca="1" si="0"/>
        <v>2.3980000000000001</v>
      </c>
      <c r="K66" s="2">
        <f t="shared" ca="1" si="0"/>
        <v>2.1110000000000002</v>
      </c>
      <c r="L66" s="2">
        <f t="shared" ca="1" si="0"/>
        <v>1.8360000000000001</v>
      </c>
      <c r="M66" s="2">
        <f t="shared" ca="1" si="0"/>
        <v>1.5840000000000001</v>
      </c>
      <c r="N66" s="2">
        <f t="shared" ca="1" si="0"/>
        <v>1.377</v>
      </c>
      <c r="O66" s="2">
        <f t="shared" ca="1" si="0"/>
        <v>1.2350000000000001</v>
      </c>
      <c r="P66" s="2">
        <f t="shared" ca="1" si="0"/>
        <v>1.1479999999999999</v>
      </c>
      <c r="Q66" s="2">
        <f t="shared" ca="1" si="0"/>
        <v>1.1180000000000001</v>
      </c>
      <c r="R66" s="2">
        <f t="shared" ca="1" si="0"/>
        <v>1.151</v>
      </c>
      <c r="S66" s="2">
        <f t="shared" ca="1" si="0"/>
        <v>1.24</v>
      </c>
      <c r="T66" s="2">
        <f t="shared" ca="1" si="0"/>
        <v>1.3839999999999999</v>
      </c>
      <c r="U66" s="2">
        <f t="shared" ca="1" si="0"/>
        <v>1.593</v>
      </c>
      <c r="V66" s="2">
        <f t="shared" ca="1" si="0"/>
        <v>1.8460000000000001</v>
      </c>
      <c r="W66" s="2">
        <f t="shared" ca="1" si="0"/>
        <v>2.1150000000000002</v>
      </c>
      <c r="X66" s="2">
        <f t="shared" ca="1" si="0"/>
        <v>2.387</v>
      </c>
      <c r="Y66" s="2">
        <f t="shared" ca="1" si="0"/>
        <v>2.6640000000000001</v>
      </c>
    </row>
    <row r="67" spans="2:25" x14ac:dyDescent="0.3">
      <c r="B67" s="6">
        <v>64</v>
      </c>
      <c r="C67" s="9">
        <v>1.9910000000000001</v>
      </c>
      <c r="D67" s="9">
        <v>1.82</v>
      </c>
      <c r="E67" s="9">
        <v>1.819</v>
      </c>
      <c r="F67" s="9">
        <v>1.782</v>
      </c>
      <c r="I67" s="2">
        <f t="shared" ca="1" si="0"/>
        <v>2.8170000000000002</v>
      </c>
      <c r="J67" s="2">
        <f t="shared" ca="1" si="0"/>
        <v>2.4940000000000002</v>
      </c>
      <c r="K67" s="2">
        <f t="shared" ca="1" si="0"/>
        <v>2.222</v>
      </c>
      <c r="L67" s="2">
        <f t="shared" ca="1" si="0"/>
        <v>1.9670000000000001</v>
      </c>
      <c r="M67" s="2">
        <f t="shared" ca="1" si="0"/>
        <v>1.732</v>
      </c>
      <c r="N67" s="2">
        <f t="shared" ca="1" si="0"/>
        <v>1.528</v>
      </c>
      <c r="O67" s="2">
        <f t="shared" ca="1" si="0"/>
        <v>1.375</v>
      </c>
      <c r="P67" s="2">
        <f t="shared" ca="1" si="0"/>
        <v>1.2849999999999999</v>
      </c>
      <c r="Q67" s="2">
        <f t="shared" ca="1" si="0"/>
        <v>1.254</v>
      </c>
      <c r="R67" s="2">
        <f t="shared" ca="1" si="0"/>
        <v>1.284</v>
      </c>
      <c r="S67" s="2">
        <f t="shared" ca="1" si="0"/>
        <v>1.3720000000000001</v>
      </c>
      <c r="T67" s="2">
        <f t="shared" ca="1" si="0"/>
        <v>1.522</v>
      </c>
      <c r="U67" s="2">
        <f t="shared" ca="1" si="0"/>
        <v>1.726</v>
      </c>
      <c r="V67" s="2">
        <f t="shared" ca="1" si="0"/>
        <v>1.9670000000000001</v>
      </c>
      <c r="W67" s="2">
        <f t="shared" ca="1" si="0"/>
        <v>2.2269999999999999</v>
      </c>
      <c r="X67" s="2">
        <f t="shared" ca="1" si="0"/>
        <v>2.492</v>
      </c>
      <c r="Y67" s="2">
        <f t="shared" ca="1" si="0"/>
        <v>2.8010000000000002</v>
      </c>
    </row>
    <row r="68" spans="2:25" x14ac:dyDescent="0.3">
      <c r="B68" s="6">
        <v>65</v>
      </c>
      <c r="C68" s="9">
        <v>2.2400000000000002</v>
      </c>
      <c r="D68" s="9">
        <v>2.024</v>
      </c>
      <c r="E68" s="9">
        <v>2.0230000000000001</v>
      </c>
      <c r="F68" s="9">
        <v>1.9830000000000001</v>
      </c>
      <c r="I68" s="2">
        <f t="shared" ca="1" si="0"/>
        <v>3.0289999999999999</v>
      </c>
      <c r="J68" s="2">
        <f t="shared" ca="1" si="0"/>
        <v>2.6469999999999998</v>
      </c>
      <c r="K68" s="2">
        <f t="shared" ca="1" si="0"/>
        <v>2.37</v>
      </c>
      <c r="L68" s="2">
        <f t="shared" ca="1" si="0"/>
        <v>2.1339999999999999</v>
      </c>
      <c r="M68" s="2">
        <f t="shared" ca="1" si="0"/>
        <v>1.915</v>
      </c>
      <c r="N68" s="2">
        <f t="shared" ca="1" si="0"/>
        <v>1.7290000000000001</v>
      </c>
      <c r="O68" s="2">
        <f t="shared" ca="1" si="0"/>
        <v>1.581</v>
      </c>
      <c r="P68" s="2">
        <f t="shared" ca="1" si="0"/>
        <v>1.488</v>
      </c>
      <c r="Q68" s="2">
        <f t="shared" ca="1" si="0"/>
        <v>1.456</v>
      </c>
      <c r="R68" s="2">
        <f t="shared" ca="1" si="0"/>
        <v>1.4850000000000001</v>
      </c>
      <c r="S68" s="2">
        <f t="shared" ca="1" si="0"/>
        <v>1.5780000000000001</v>
      </c>
      <c r="T68" s="2">
        <f t="shared" ca="1" si="0"/>
        <v>1.724</v>
      </c>
      <c r="U68" s="2">
        <f t="shared" ca="1" si="0"/>
        <v>1.909</v>
      </c>
      <c r="V68" s="2">
        <f t="shared" ca="1" si="0"/>
        <v>2.1320000000000001</v>
      </c>
      <c r="W68" s="2">
        <f t="shared" ca="1" si="0"/>
        <v>2.367</v>
      </c>
      <c r="X68" s="2">
        <f t="shared" ca="1" si="0"/>
        <v>2.64</v>
      </c>
      <c r="Y68" s="2">
        <f t="shared" ca="1" si="0"/>
        <v>2.9950000000000001</v>
      </c>
    </row>
    <row r="69" spans="2:25" x14ac:dyDescent="0.3">
      <c r="B69" s="6">
        <v>66</v>
      </c>
      <c r="C69" s="9">
        <v>2.4950000000000001</v>
      </c>
      <c r="D69" s="9">
        <v>2.246</v>
      </c>
      <c r="E69" s="9">
        <v>2.2450000000000001</v>
      </c>
      <c r="F69" s="9">
        <v>2.1949999999999998</v>
      </c>
      <c r="I69" s="2">
        <f t="shared" ca="1" si="0"/>
        <v>3.2450000000000001</v>
      </c>
      <c r="J69" s="2">
        <f t="shared" ca="1" si="0"/>
        <v>2.8740000000000001</v>
      </c>
      <c r="K69" s="2">
        <f t="shared" ca="1" si="0"/>
        <v>2.556</v>
      </c>
      <c r="L69" s="2">
        <f t="shared" ca="1" si="0"/>
        <v>2.3359999999999999</v>
      </c>
      <c r="M69" s="2">
        <f t="shared" ca="1" si="0"/>
        <v>2.1339999999999999</v>
      </c>
      <c r="N69" s="2">
        <f t="shared" ca="1" si="0"/>
        <v>1.96</v>
      </c>
      <c r="O69" s="2">
        <f t="shared" ca="1" si="0"/>
        <v>1.827</v>
      </c>
      <c r="P69" s="2">
        <f t="shared" ca="1" si="0"/>
        <v>1.744</v>
      </c>
      <c r="Q69" s="2">
        <f t="shared" ca="1" si="0"/>
        <v>1.72</v>
      </c>
      <c r="R69" s="2">
        <f t="shared" ca="1" si="0"/>
        <v>1.75</v>
      </c>
      <c r="S69" s="2">
        <f t="shared" ca="1" si="0"/>
        <v>1.837</v>
      </c>
      <c r="T69" s="2">
        <f t="shared" ca="1" si="0"/>
        <v>1.968</v>
      </c>
      <c r="U69" s="2">
        <f t="shared" ca="1" si="0"/>
        <v>2.137</v>
      </c>
      <c r="V69" s="2">
        <f t="shared" ca="1" si="0"/>
        <v>2.3319999999999999</v>
      </c>
      <c r="W69" s="2">
        <f t="shared" ca="1" si="0"/>
        <v>2.5470000000000002</v>
      </c>
      <c r="X69" s="2">
        <f t="shared" ca="1" si="0"/>
        <v>2.8479999999999999</v>
      </c>
      <c r="Y69" s="2">
        <f t="shared" ca="1" si="0"/>
        <v>3.1709999999999998</v>
      </c>
    </row>
    <row r="70" spans="2:25" x14ac:dyDescent="0.3">
      <c r="B70" s="6">
        <v>67</v>
      </c>
      <c r="C70" s="9">
        <v>2.794</v>
      </c>
      <c r="D70" s="9">
        <v>2.5259999999999998</v>
      </c>
      <c r="E70" s="9">
        <v>2.524</v>
      </c>
      <c r="F70" s="9">
        <v>2.4540000000000002</v>
      </c>
      <c r="I70" s="3">
        <f t="shared" ca="1" si="0"/>
        <v>3.39</v>
      </c>
      <c r="J70" s="2">
        <f t="shared" ca="1" si="0"/>
        <v>3.1339999999999999</v>
      </c>
      <c r="K70" s="2">
        <f t="shared" ca="1" si="0"/>
        <v>2.8170000000000002</v>
      </c>
      <c r="L70" s="2">
        <f t="shared" ca="1" si="0"/>
        <v>2.5619999999999998</v>
      </c>
      <c r="M70" s="2">
        <f t="shared" ca="1" si="0"/>
        <v>2.387</v>
      </c>
      <c r="N70" s="2">
        <f t="shared" ca="1" si="0"/>
        <v>2.226</v>
      </c>
      <c r="O70" s="2">
        <f t="shared" ca="1" si="0"/>
        <v>2.1</v>
      </c>
      <c r="P70" s="2">
        <f t="shared" ca="1" si="0"/>
        <v>2.0270000000000001</v>
      </c>
      <c r="Q70" s="2">
        <f t="shared" ca="1" si="0"/>
        <v>2.008</v>
      </c>
      <c r="R70" s="2">
        <f t="shared" ca="1" si="0"/>
        <v>2.0369999999999999</v>
      </c>
      <c r="S70" s="2">
        <f t="shared" ca="1" si="0"/>
        <v>2.125</v>
      </c>
      <c r="T70" s="2">
        <f t="shared" ca="1" si="0"/>
        <v>2.2490000000000001</v>
      </c>
      <c r="U70" s="2">
        <f t="shared" ca="1" si="0"/>
        <v>2.3959999999999999</v>
      </c>
      <c r="V70" s="2">
        <f t="shared" ca="1" si="0"/>
        <v>2.5640000000000001</v>
      </c>
      <c r="W70" s="2">
        <f t="shared" ca="1" si="0"/>
        <v>2.8</v>
      </c>
      <c r="X70" s="2">
        <f t="shared" ca="1" si="0"/>
        <v>3.07</v>
      </c>
      <c r="Y70" s="3">
        <f t="shared" ca="1" si="0"/>
        <v>3.27</v>
      </c>
    </row>
    <row r="71" spans="2:25" x14ac:dyDescent="0.3">
      <c r="B71" s="6">
        <v>68</v>
      </c>
      <c r="C71" s="9">
        <v>2.6970000000000001</v>
      </c>
      <c r="D71" s="9">
        <v>2.3969999999999998</v>
      </c>
      <c r="E71" s="9">
        <v>2.399</v>
      </c>
      <c r="F71" s="9">
        <v>2.3290000000000002</v>
      </c>
    </row>
    <row r="72" spans="2:25" x14ac:dyDescent="0.3">
      <c r="B72" s="6">
        <v>69</v>
      </c>
      <c r="C72" s="9">
        <v>2.3969999999999998</v>
      </c>
      <c r="D72" s="9">
        <v>2.1360000000000001</v>
      </c>
      <c r="E72" s="9">
        <v>2.1379999999999999</v>
      </c>
      <c r="F72" s="9">
        <v>2.0819999999999999</v>
      </c>
      <c r="H72" t="s">
        <v>1</v>
      </c>
      <c r="I72" s="10">
        <f t="shared" ref="I72:Y84" ca="1" si="1">INDIRECT("D"&amp;(17*ROW(1:1)+ROW($D$3)-19+IF(COLUMN(C:C)&gt;19,50000,COLUMN(C:C)-1)))</f>
        <v>2.9860000000000002</v>
      </c>
      <c r="J72" s="2">
        <f t="shared" ca="1" si="1"/>
        <v>2.7530000000000001</v>
      </c>
      <c r="K72" s="2">
        <f t="shared" ca="1" si="1"/>
        <v>2.4900000000000002</v>
      </c>
      <c r="L72" s="2">
        <f t="shared" ca="1" si="1"/>
        <v>2.2690000000000001</v>
      </c>
      <c r="M72" s="2">
        <f t="shared" ca="1" si="1"/>
        <v>2.1230000000000002</v>
      </c>
      <c r="N72" s="2">
        <f t="shared" ca="1" si="1"/>
        <v>1.996</v>
      </c>
      <c r="O72" s="2">
        <f t="shared" ca="1" si="1"/>
        <v>1.8959999999999999</v>
      </c>
      <c r="P72" s="2">
        <f t="shared" ca="1" si="1"/>
        <v>1.8360000000000001</v>
      </c>
      <c r="Q72" s="2">
        <f t="shared" ca="1" si="1"/>
        <v>1.8169999999999999</v>
      </c>
      <c r="R72" s="2">
        <f t="shared" ca="1" si="1"/>
        <v>1.837</v>
      </c>
      <c r="S72" s="2">
        <f t="shared" ca="1" si="1"/>
        <v>1.9</v>
      </c>
      <c r="T72" s="2">
        <f t="shared" ca="1" si="1"/>
        <v>1.9990000000000001</v>
      </c>
      <c r="U72" s="2">
        <f t="shared" ca="1" si="1"/>
        <v>2.1259999999999999</v>
      </c>
      <c r="V72" s="2">
        <f t="shared" ca="1" si="1"/>
        <v>2.2770000000000001</v>
      </c>
      <c r="W72" s="2">
        <f t="shared" ca="1" si="1"/>
        <v>2.5110000000000001</v>
      </c>
      <c r="X72" s="2">
        <f t="shared" ca="1" si="1"/>
        <v>2.7679999999999998</v>
      </c>
      <c r="Y72" s="10">
        <f t="shared" ca="1" si="1"/>
        <v>2.9809999999999999</v>
      </c>
    </row>
    <row r="73" spans="2:25" x14ac:dyDescent="0.3">
      <c r="B73" s="6">
        <v>70</v>
      </c>
      <c r="C73" s="9">
        <v>2.1179999999999999</v>
      </c>
      <c r="D73" s="9">
        <v>1.907</v>
      </c>
      <c r="E73" s="9">
        <v>1.909</v>
      </c>
      <c r="F73" s="9">
        <v>1.861</v>
      </c>
      <c r="I73" s="2">
        <f t="shared" ca="1" si="1"/>
        <v>2.8879999999999999</v>
      </c>
      <c r="J73" s="2">
        <f t="shared" ca="1" si="1"/>
        <v>2.56</v>
      </c>
      <c r="K73" s="2">
        <f t="shared" ca="1" si="1"/>
        <v>2.282</v>
      </c>
      <c r="L73" s="2">
        <f t="shared" ca="1" si="1"/>
        <v>2.097</v>
      </c>
      <c r="M73" s="2">
        <f t="shared" ca="1" si="1"/>
        <v>1.9390000000000001</v>
      </c>
      <c r="N73" s="2">
        <f t="shared" ca="1" si="1"/>
        <v>1.806</v>
      </c>
      <c r="O73" s="2">
        <f t="shared" ca="1" si="1"/>
        <v>1.7030000000000001</v>
      </c>
      <c r="P73" s="2">
        <f t="shared" ca="1" si="1"/>
        <v>1.64</v>
      </c>
      <c r="Q73" s="2">
        <f t="shared" ca="1" si="1"/>
        <v>1.6180000000000001</v>
      </c>
      <c r="R73" s="2">
        <f t="shared" ca="1" si="1"/>
        <v>1.64</v>
      </c>
      <c r="S73" s="2">
        <f t="shared" ca="1" si="1"/>
        <v>1.7070000000000001</v>
      </c>
      <c r="T73" s="2">
        <f t="shared" ca="1" si="1"/>
        <v>1.8120000000000001</v>
      </c>
      <c r="U73" s="2">
        <f t="shared" ca="1" si="1"/>
        <v>1.95</v>
      </c>
      <c r="V73" s="2">
        <f t="shared" ca="1" si="1"/>
        <v>2.1110000000000002</v>
      </c>
      <c r="W73" s="2">
        <f t="shared" ca="1" si="1"/>
        <v>2.306</v>
      </c>
      <c r="X73" s="2">
        <f t="shared" ca="1" si="1"/>
        <v>2.581</v>
      </c>
      <c r="Y73" s="2">
        <f t="shared" ca="1" si="1"/>
        <v>2.879</v>
      </c>
    </row>
    <row r="74" spans="2:25" x14ac:dyDescent="0.3">
      <c r="B74" s="6">
        <v>71</v>
      </c>
      <c r="C74" s="9">
        <v>1.8520000000000001</v>
      </c>
      <c r="D74" s="9">
        <v>1.694</v>
      </c>
      <c r="E74" s="9">
        <v>1.696</v>
      </c>
      <c r="F74" s="9">
        <v>1.653</v>
      </c>
      <c r="I74" s="2">
        <f t="shared" ca="1" si="1"/>
        <v>2.7149999999999999</v>
      </c>
      <c r="J74" s="2">
        <f t="shared" ca="1" si="1"/>
        <v>2.367</v>
      </c>
      <c r="K74" s="2">
        <f t="shared" ca="1" si="1"/>
        <v>2.1230000000000002</v>
      </c>
      <c r="L74" s="2">
        <f t="shared" ca="1" si="1"/>
        <v>1.9330000000000001</v>
      </c>
      <c r="M74" s="2">
        <f t="shared" ca="1" si="1"/>
        <v>1.7609999999999999</v>
      </c>
      <c r="N74" s="2">
        <f t="shared" ca="1" si="1"/>
        <v>1.6160000000000001</v>
      </c>
      <c r="O74" s="2">
        <f t="shared" ca="1" si="1"/>
        <v>1.502</v>
      </c>
      <c r="P74" s="2">
        <f t="shared" ca="1" si="1"/>
        <v>1.4339999999999999</v>
      </c>
      <c r="Q74" s="2">
        <f t="shared" ca="1" si="1"/>
        <v>1.4139999999999999</v>
      </c>
      <c r="R74" s="2">
        <f t="shared" ca="1" si="1"/>
        <v>1.44</v>
      </c>
      <c r="S74" s="2">
        <f t="shared" ca="1" si="1"/>
        <v>1.5169999999999999</v>
      </c>
      <c r="T74" s="2">
        <f t="shared" ca="1" si="1"/>
        <v>1.6319999999999999</v>
      </c>
      <c r="U74" s="2">
        <f t="shared" ca="1" si="1"/>
        <v>1.778</v>
      </c>
      <c r="V74" s="2">
        <f t="shared" ca="1" si="1"/>
        <v>1.954</v>
      </c>
      <c r="W74" s="2">
        <f t="shared" ca="1" si="1"/>
        <v>2.1440000000000001</v>
      </c>
      <c r="X74" s="2">
        <f t="shared" ca="1" si="1"/>
        <v>2.383</v>
      </c>
      <c r="Y74" s="2">
        <f t="shared" ca="1" si="1"/>
        <v>2.71</v>
      </c>
    </row>
    <row r="75" spans="2:25" x14ac:dyDescent="0.3">
      <c r="B75" s="6">
        <v>72</v>
      </c>
      <c r="C75" s="9">
        <v>1.605</v>
      </c>
      <c r="D75" s="9">
        <v>1.496</v>
      </c>
      <c r="E75" s="9">
        <v>1.498</v>
      </c>
      <c r="F75" s="9">
        <v>1.458</v>
      </c>
      <c r="I75" s="2">
        <f t="shared" ca="1" si="1"/>
        <v>2.5329999999999999</v>
      </c>
      <c r="J75" s="2">
        <f t="shared" ca="1" si="1"/>
        <v>2.2370000000000001</v>
      </c>
      <c r="K75" s="2">
        <f t="shared" ca="1" si="1"/>
        <v>2.0059999999999998</v>
      </c>
      <c r="L75" s="2">
        <f t="shared" ca="1" si="1"/>
        <v>1.798</v>
      </c>
      <c r="M75" s="2">
        <f t="shared" ca="1" si="1"/>
        <v>1.613</v>
      </c>
      <c r="N75" s="2">
        <f t="shared" ca="1" si="1"/>
        <v>1.452</v>
      </c>
      <c r="O75" s="2">
        <f t="shared" ca="1" si="1"/>
        <v>1.331</v>
      </c>
      <c r="P75" s="2">
        <f t="shared" ca="1" si="1"/>
        <v>1.264</v>
      </c>
      <c r="Q75" s="2">
        <f t="shared" ca="1" si="1"/>
        <v>1.246</v>
      </c>
      <c r="R75" s="2">
        <f t="shared" ca="1" si="1"/>
        <v>1.272</v>
      </c>
      <c r="S75" s="2">
        <f t="shared" ca="1" si="1"/>
        <v>1.349</v>
      </c>
      <c r="T75" s="2">
        <f t="shared" ca="1" si="1"/>
        <v>1.472</v>
      </c>
      <c r="U75" s="2">
        <f t="shared" ca="1" si="1"/>
        <v>1.633</v>
      </c>
      <c r="V75" s="2">
        <f t="shared" ca="1" si="1"/>
        <v>1.82</v>
      </c>
      <c r="W75" s="2">
        <f t="shared" ca="1" si="1"/>
        <v>2.024</v>
      </c>
      <c r="X75" s="2">
        <f t="shared" ca="1" si="1"/>
        <v>2.246</v>
      </c>
      <c r="Y75" s="2">
        <f t="shared" ca="1" si="1"/>
        <v>2.5259999999999998</v>
      </c>
    </row>
    <row r="76" spans="2:25" x14ac:dyDescent="0.3">
      <c r="B76" s="6">
        <v>73</v>
      </c>
      <c r="C76" s="9">
        <v>1.397</v>
      </c>
      <c r="D76" s="9">
        <v>1.3280000000000001</v>
      </c>
      <c r="E76" s="9">
        <v>1.329</v>
      </c>
      <c r="F76" s="9">
        <v>1.294</v>
      </c>
      <c r="I76" s="2">
        <f t="shared" ca="1" si="1"/>
        <v>2.3969999999999998</v>
      </c>
      <c r="J76" s="2">
        <f t="shared" ca="1" si="1"/>
        <v>2.1360000000000001</v>
      </c>
      <c r="K76" s="2">
        <f t="shared" ca="1" si="1"/>
        <v>1.907</v>
      </c>
      <c r="L76" s="2">
        <f t="shared" ca="1" si="1"/>
        <v>1.694</v>
      </c>
      <c r="M76" s="2">
        <f t="shared" ca="1" si="1"/>
        <v>1.496</v>
      </c>
      <c r="N76" s="2">
        <f t="shared" ca="1" si="1"/>
        <v>1.3280000000000001</v>
      </c>
      <c r="O76" s="2">
        <f t="shared" ca="1" si="1"/>
        <v>1.2110000000000001</v>
      </c>
      <c r="P76" s="2">
        <f t="shared" ca="1" si="1"/>
        <v>1.143</v>
      </c>
      <c r="Q76" s="2">
        <f t="shared" ca="1" si="1"/>
        <v>1.123</v>
      </c>
      <c r="R76" s="2">
        <f t="shared" ca="1" si="1"/>
        <v>1.1479999999999999</v>
      </c>
      <c r="S76" s="2">
        <f t="shared" ca="1" si="1"/>
        <v>1.22</v>
      </c>
      <c r="T76" s="2">
        <f t="shared" ca="1" si="1"/>
        <v>1.339</v>
      </c>
      <c r="U76" s="2">
        <f t="shared" ca="1" si="1"/>
        <v>1.51</v>
      </c>
      <c r="V76" s="2">
        <f t="shared" ca="1" si="1"/>
        <v>1.71</v>
      </c>
      <c r="W76" s="2">
        <f t="shared" ca="1" si="1"/>
        <v>1.9279999999999999</v>
      </c>
      <c r="X76" s="2">
        <f t="shared" ca="1" si="1"/>
        <v>2.157</v>
      </c>
      <c r="Y76" s="2">
        <f t="shared" ca="1" si="1"/>
        <v>2.4089999999999998</v>
      </c>
    </row>
    <row r="77" spans="2:25" x14ac:dyDescent="0.3">
      <c r="B77" s="6">
        <v>74</v>
      </c>
      <c r="C77" s="9">
        <v>1.2529999999999999</v>
      </c>
      <c r="D77" s="9">
        <v>1.2110000000000001</v>
      </c>
      <c r="E77" s="9">
        <v>1.212</v>
      </c>
      <c r="F77" s="9">
        <v>1.1839999999999999</v>
      </c>
      <c r="I77" s="2">
        <f t="shared" ca="1" si="1"/>
        <v>2.335</v>
      </c>
      <c r="J77" s="2">
        <f t="shared" ca="1" si="1"/>
        <v>2.0760000000000001</v>
      </c>
      <c r="K77" s="2">
        <f t="shared" ca="1" si="1"/>
        <v>1.837</v>
      </c>
      <c r="L77" s="2">
        <f t="shared" ca="1" si="1"/>
        <v>1.619</v>
      </c>
      <c r="M77" s="2">
        <f t="shared" ca="1" si="1"/>
        <v>1.417</v>
      </c>
      <c r="N77" s="2">
        <f t="shared" ca="1" si="1"/>
        <v>1.254</v>
      </c>
      <c r="O77" s="2">
        <f t="shared" ca="1" si="1"/>
        <v>1.1379999999999999</v>
      </c>
      <c r="P77" s="2">
        <f t="shared" ca="1" si="1"/>
        <v>1.0620000000000001</v>
      </c>
      <c r="Q77" s="2">
        <f t="shared" ca="1" si="1"/>
        <v>1.0349999999999999</v>
      </c>
      <c r="R77" s="2">
        <f t="shared" ca="1" si="1"/>
        <v>1.0649999999999999</v>
      </c>
      <c r="S77" s="2">
        <f t="shared" ca="1" si="1"/>
        <v>1.145</v>
      </c>
      <c r="T77" s="2">
        <f t="shared" ca="1" si="1"/>
        <v>1.2609999999999999</v>
      </c>
      <c r="U77" s="2">
        <f t="shared" ca="1" si="1"/>
        <v>1.425</v>
      </c>
      <c r="V77" s="2">
        <f t="shared" ca="1" si="1"/>
        <v>1.633</v>
      </c>
      <c r="W77" s="2">
        <f t="shared" ca="1" si="1"/>
        <v>1.859</v>
      </c>
      <c r="X77" s="2">
        <f t="shared" ca="1" si="1"/>
        <v>2.101</v>
      </c>
      <c r="Y77" s="2">
        <f t="shared" ca="1" si="1"/>
        <v>2.3540000000000001</v>
      </c>
    </row>
    <row r="78" spans="2:25" x14ac:dyDescent="0.3">
      <c r="B78" s="6">
        <v>75</v>
      </c>
      <c r="C78" s="9">
        <v>1.1679999999999999</v>
      </c>
      <c r="D78" s="9">
        <v>1.143</v>
      </c>
      <c r="E78" s="9">
        <v>1.1439999999999999</v>
      </c>
      <c r="F78" s="9">
        <v>1.125</v>
      </c>
      <c r="I78" s="2">
        <f t="shared" ca="1" si="1"/>
        <v>2.3210000000000002</v>
      </c>
      <c r="J78" s="2">
        <f t="shared" ca="1" si="1"/>
        <v>2.0569999999999999</v>
      </c>
      <c r="K78" s="2">
        <f t="shared" ca="1" si="1"/>
        <v>1.8140000000000001</v>
      </c>
      <c r="L78" s="2">
        <f t="shared" ca="1" si="1"/>
        <v>1.589</v>
      </c>
      <c r="M78" s="2">
        <f t="shared" ca="1" si="1"/>
        <v>1.3819999999999999</v>
      </c>
      <c r="N78" s="2">
        <f t="shared" ca="1" si="1"/>
        <v>1.22</v>
      </c>
      <c r="O78" s="2">
        <f t="shared" ca="1" si="1"/>
        <v>1.1040000000000001</v>
      </c>
      <c r="P78" s="2">
        <f t="shared" ca="1" si="1"/>
        <v>1.026</v>
      </c>
      <c r="Q78" s="2">
        <f t="shared" ca="1" si="1"/>
        <v>1.004</v>
      </c>
      <c r="R78" s="2">
        <f t="shared" ca="1" si="1"/>
        <v>1.032</v>
      </c>
      <c r="S78" s="2">
        <f t="shared" ca="1" si="1"/>
        <v>1.1160000000000001</v>
      </c>
      <c r="T78" s="2">
        <f t="shared" ca="1" si="1"/>
        <v>1.2330000000000001</v>
      </c>
      <c r="U78" s="2">
        <f t="shared" ca="1" si="1"/>
        <v>1.397</v>
      </c>
      <c r="V78" s="2">
        <f t="shared" ca="1" si="1"/>
        <v>1.6060000000000001</v>
      </c>
      <c r="W78" s="2">
        <f t="shared" ca="1" si="1"/>
        <v>1.831</v>
      </c>
      <c r="X78" s="2">
        <f t="shared" ca="1" si="1"/>
        <v>2.0739999999999998</v>
      </c>
      <c r="Y78" s="2">
        <f t="shared" ca="1" si="1"/>
        <v>2.3250000000000002</v>
      </c>
    </row>
    <row r="79" spans="2:25" x14ac:dyDescent="0.3">
      <c r="B79" s="6">
        <v>76</v>
      </c>
      <c r="C79" s="9">
        <v>1.139</v>
      </c>
      <c r="D79" s="9">
        <v>1.123</v>
      </c>
      <c r="E79" s="9">
        <v>1.123</v>
      </c>
      <c r="F79" s="9">
        <v>1.1080000000000001</v>
      </c>
      <c r="I79" s="2">
        <f t="shared" ca="1" si="1"/>
        <v>2.347</v>
      </c>
      <c r="J79" s="2">
        <f t="shared" ca="1" si="1"/>
        <v>2.0790000000000002</v>
      </c>
      <c r="K79" s="2">
        <f t="shared" ca="1" si="1"/>
        <v>1.8340000000000001</v>
      </c>
      <c r="L79" s="2">
        <f t="shared" ca="1" si="1"/>
        <v>1.609</v>
      </c>
      <c r="M79" s="2">
        <f t="shared" ca="1" si="1"/>
        <v>1.403</v>
      </c>
      <c r="N79" s="2">
        <f t="shared" ca="1" si="1"/>
        <v>1.2390000000000001</v>
      </c>
      <c r="O79" s="2">
        <f t="shared" ca="1" si="1"/>
        <v>1.1220000000000001</v>
      </c>
      <c r="P79" s="2">
        <f t="shared" ca="1" si="1"/>
        <v>1.0449999999999999</v>
      </c>
      <c r="Q79" s="2">
        <f t="shared" ca="1" si="1"/>
        <v>1.0229999999999999</v>
      </c>
      <c r="R79" s="2">
        <f t="shared" ca="1" si="1"/>
        <v>1.0549999999999999</v>
      </c>
      <c r="S79" s="2">
        <f t="shared" ca="1" si="1"/>
        <v>1.139</v>
      </c>
      <c r="T79" s="2">
        <f t="shared" ca="1" si="1"/>
        <v>1.2569999999999999</v>
      </c>
      <c r="U79" s="2">
        <f t="shared" ca="1" si="1"/>
        <v>1.423</v>
      </c>
      <c r="V79" s="2">
        <f t="shared" ca="1" si="1"/>
        <v>1.631</v>
      </c>
      <c r="W79" s="2">
        <f t="shared" ca="1" si="1"/>
        <v>1.8540000000000001</v>
      </c>
      <c r="X79" s="2">
        <f t="shared" ca="1" si="1"/>
        <v>2.089</v>
      </c>
      <c r="Y79" s="2">
        <f t="shared" ca="1" si="1"/>
        <v>2.3359999999999999</v>
      </c>
    </row>
    <row r="80" spans="2:25" x14ac:dyDescent="0.3">
      <c r="B80" s="6">
        <v>77</v>
      </c>
      <c r="C80" s="9">
        <v>1.171</v>
      </c>
      <c r="D80" s="9">
        <v>1.1479999999999999</v>
      </c>
      <c r="E80" s="9">
        <v>1.1479999999999999</v>
      </c>
      <c r="F80" s="9">
        <v>1.1299999999999999</v>
      </c>
      <c r="I80" s="2">
        <f t="shared" ca="1" si="1"/>
        <v>2.407</v>
      </c>
      <c r="J80" s="2">
        <f t="shared" ca="1" si="1"/>
        <v>2.145</v>
      </c>
      <c r="K80" s="2">
        <f t="shared" ca="1" si="1"/>
        <v>1.9079999999999999</v>
      </c>
      <c r="L80" s="2">
        <f t="shared" ca="1" si="1"/>
        <v>1.6859999999999999</v>
      </c>
      <c r="M80" s="2">
        <f t="shared" ca="1" si="1"/>
        <v>1.484</v>
      </c>
      <c r="N80" s="2">
        <f t="shared" ca="1" si="1"/>
        <v>1.3140000000000001</v>
      </c>
      <c r="O80" s="2">
        <f t="shared" ca="1" si="1"/>
        <v>1.1970000000000001</v>
      </c>
      <c r="P80" s="2">
        <f t="shared" ca="1" si="1"/>
        <v>1.1259999999999999</v>
      </c>
      <c r="Q80" s="2">
        <f t="shared" ca="1" si="1"/>
        <v>1.103</v>
      </c>
      <c r="R80" s="2">
        <f t="shared" ca="1" si="1"/>
        <v>1.1299999999999999</v>
      </c>
      <c r="S80" s="2">
        <f t="shared" ca="1" si="1"/>
        <v>1.206</v>
      </c>
      <c r="T80" s="2">
        <f t="shared" ca="1" si="1"/>
        <v>1.327</v>
      </c>
      <c r="U80" s="2">
        <f t="shared" ca="1" si="1"/>
        <v>1.5009999999999999</v>
      </c>
      <c r="V80" s="2">
        <f t="shared" ca="1" si="1"/>
        <v>1.7050000000000001</v>
      </c>
      <c r="W80" s="2">
        <f t="shared" ca="1" si="1"/>
        <v>1.9239999999999999</v>
      </c>
      <c r="X80" s="2">
        <f t="shared" ca="1" si="1"/>
        <v>2.1560000000000001</v>
      </c>
      <c r="Y80" s="2">
        <f t="shared" ca="1" si="1"/>
        <v>2.411</v>
      </c>
    </row>
    <row r="81" spans="2:25" x14ac:dyDescent="0.3">
      <c r="B81" s="6">
        <v>78</v>
      </c>
      <c r="C81" s="9">
        <v>1.258</v>
      </c>
      <c r="D81" s="9">
        <v>1.22</v>
      </c>
      <c r="E81" s="9">
        <v>1.22</v>
      </c>
      <c r="F81" s="9">
        <v>1.1950000000000001</v>
      </c>
      <c r="I81" s="2">
        <f t="shared" ca="1" si="1"/>
        <v>2.5179999999999998</v>
      </c>
      <c r="J81" s="2">
        <f t="shared" ca="1" si="1"/>
        <v>2.2309999999999999</v>
      </c>
      <c r="K81" s="2">
        <f t="shared" ca="1" si="1"/>
        <v>2.0019999999999998</v>
      </c>
      <c r="L81" s="2">
        <f t="shared" ca="1" si="1"/>
        <v>1.794</v>
      </c>
      <c r="M81" s="2">
        <f t="shared" ca="1" si="1"/>
        <v>1.605</v>
      </c>
      <c r="N81" s="2">
        <f t="shared" ca="1" si="1"/>
        <v>1.44</v>
      </c>
      <c r="O81" s="2">
        <f t="shared" ca="1" si="1"/>
        <v>1.3160000000000001</v>
      </c>
      <c r="P81" s="2">
        <f t="shared" ca="1" si="1"/>
        <v>1.244</v>
      </c>
      <c r="Q81" s="2">
        <f t="shared" ca="1" si="1"/>
        <v>1.2210000000000001</v>
      </c>
      <c r="R81" s="2">
        <f t="shared" ca="1" si="1"/>
        <v>1.244</v>
      </c>
      <c r="S81" s="2">
        <f t="shared" ca="1" si="1"/>
        <v>1.3169999999999999</v>
      </c>
      <c r="T81" s="2">
        <f t="shared" ca="1" si="1"/>
        <v>1.4410000000000001</v>
      </c>
      <c r="U81" s="2">
        <f t="shared" ca="1" si="1"/>
        <v>1.609</v>
      </c>
      <c r="V81" s="2">
        <f t="shared" ca="1" si="1"/>
        <v>1.8049999999999999</v>
      </c>
      <c r="W81" s="2">
        <f t="shared" ca="1" si="1"/>
        <v>2.02</v>
      </c>
      <c r="X81" s="2">
        <f t="shared" ca="1" si="1"/>
        <v>2.2509999999999999</v>
      </c>
      <c r="Y81" s="2">
        <f t="shared" ca="1" si="1"/>
        <v>2.5390000000000001</v>
      </c>
    </row>
    <row r="82" spans="2:25" x14ac:dyDescent="0.3">
      <c r="B82" s="6">
        <v>79</v>
      </c>
      <c r="C82" s="9">
        <v>1.401</v>
      </c>
      <c r="D82" s="9">
        <v>1.339</v>
      </c>
      <c r="E82" s="9">
        <v>1.34</v>
      </c>
      <c r="F82" s="9">
        <v>1.31</v>
      </c>
      <c r="I82" s="2">
        <f t="shared" ca="1" si="1"/>
        <v>2.71</v>
      </c>
      <c r="J82" s="2">
        <f t="shared" ca="1" si="1"/>
        <v>2.3719999999999999</v>
      </c>
      <c r="K82" s="2">
        <f t="shared" ca="1" si="1"/>
        <v>2.1309999999999998</v>
      </c>
      <c r="L82" s="2">
        <f t="shared" ca="1" si="1"/>
        <v>1.9319999999999999</v>
      </c>
      <c r="M82" s="2">
        <f t="shared" ca="1" si="1"/>
        <v>1.754</v>
      </c>
      <c r="N82" s="2">
        <f t="shared" ca="1" si="1"/>
        <v>1.6060000000000001</v>
      </c>
      <c r="O82" s="2">
        <f t="shared" ca="1" si="1"/>
        <v>1.4890000000000001</v>
      </c>
      <c r="P82" s="2">
        <f t="shared" ca="1" si="1"/>
        <v>1.415</v>
      </c>
      <c r="Q82" s="2">
        <f t="shared" ca="1" si="1"/>
        <v>1.389</v>
      </c>
      <c r="R82" s="2">
        <f t="shared" ca="1" si="1"/>
        <v>1.4139999999999999</v>
      </c>
      <c r="S82" s="2">
        <f t="shared" ca="1" si="1"/>
        <v>1.49</v>
      </c>
      <c r="T82" s="2">
        <f t="shared" ca="1" si="1"/>
        <v>1.61</v>
      </c>
      <c r="U82" s="2">
        <f t="shared" ca="1" si="1"/>
        <v>1.76</v>
      </c>
      <c r="V82" s="2">
        <f t="shared" ca="1" si="1"/>
        <v>1.9430000000000001</v>
      </c>
      <c r="W82" s="2">
        <f t="shared" ca="1" si="1"/>
        <v>2.1419999999999999</v>
      </c>
      <c r="X82" s="2">
        <f t="shared" ca="1" si="1"/>
        <v>2.387</v>
      </c>
      <c r="Y82" s="2">
        <f t="shared" ca="1" si="1"/>
        <v>2.7229999999999999</v>
      </c>
    </row>
    <row r="83" spans="2:25" x14ac:dyDescent="0.3">
      <c r="B83" s="6">
        <v>80</v>
      </c>
      <c r="C83" s="9">
        <v>1.6080000000000001</v>
      </c>
      <c r="D83" s="9">
        <v>1.51</v>
      </c>
      <c r="E83" s="9">
        <v>1.51</v>
      </c>
      <c r="F83" s="9">
        <v>1.48</v>
      </c>
      <c r="I83" s="2">
        <f t="shared" ca="1" si="1"/>
        <v>2.9209999999999998</v>
      </c>
      <c r="J83" s="2">
        <f t="shared" ca="1" si="1"/>
        <v>2.58</v>
      </c>
      <c r="K83" s="2">
        <f t="shared" ca="1" si="1"/>
        <v>2.2999999999999998</v>
      </c>
      <c r="L83" s="2">
        <f t="shared" ca="1" si="1"/>
        <v>2.1070000000000002</v>
      </c>
      <c r="M83" s="2">
        <f t="shared" ca="1" si="1"/>
        <v>1.9390000000000001</v>
      </c>
      <c r="N83" s="2">
        <f t="shared" ca="1" si="1"/>
        <v>1.7969999999999999</v>
      </c>
      <c r="O83" s="2">
        <f t="shared" ca="1" si="1"/>
        <v>1.6919999999999999</v>
      </c>
      <c r="P83" s="2">
        <f t="shared" ca="1" si="1"/>
        <v>1.6259999999999999</v>
      </c>
      <c r="Q83" s="2">
        <f t="shared" ca="1" si="1"/>
        <v>1.607</v>
      </c>
      <c r="R83" s="2">
        <f t="shared" ca="1" si="1"/>
        <v>1.6319999999999999</v>
      </c>
      <c r="S83" s="2">
        <f t="shared" ca="1" si="1"/>
        <v>1.706</v>
      </c>
      <c r="T83" s="2">
        <f t="shared" ca="1" si="1"/>
        <v>1.8120000000000001</v>
      </c>
      <c r="U83" s="2">
        <f t="shared" ca="1" si="1"/>
        <v>1.9510000000000001</v>
      </c>
      <c r="V83" s="2">
        <f t="shared" ca="1" si="1"/>
        <v>2.1150000000000002</v>
      </c>
      <c r="W83" s="2">
        <f t="shared" ca="1" si="1"/>
        <v>2.3010000000000002</v>
      </c>
      <c r="X83" s="2">
        <f t="shared" ca="1" si="1"/>
        <v>2.577</v>
      </c>
      <c r="Y83" s="2">
        <f t="shared" ca="1" si="1"/>
        <v>2.8919999999999999</v>
      </c>
    </row>
    <row r="84" spans="2:25" x14ac:dyDescent="0.3">
      <c r="B84" s="6">
        <v>81</v>
      </c>
      <c r="C84" s="9">
        <v>1.8560000000000001</v>
      </c>
      <c r="D84" s="9">
        <v>1.71</v>
      </c>
      <c r="E84" s="9">
        <v>1.71</v>
      </c>
      <c r="F84" s="9">
        <v>1.679</v>
      </c>
      <c r="I84" s="10">
        <f t="shared" ca="1" si="1"/>
        <v>3.0950000000000002</v>
      </c>
      <c r="J84" s="2">
        <f t="shared" ca="1" si="1"/>
        <v>2.8410000000000002</v>
      </c>
      <c r="K84" s="2">
        <f t="shared" ca="1" si="1"/>
        <v>2.552</v>
      </c>
      <c r="L84" s="2">
        <f t="shared" ca="1" si="1"/>
        <v>2.3210000000000002</v>
      </c>
      <c r="M84" s="2">
        <f t="shared" ca="1" si="1"/>
        <v>2.1680000000000001</v>
      </c>
      <c r="N84" s="2">
        <f t="shared" ca="1" si="1"/>
        <v>2.0310000000000001</v>
      </c>
      <c r="O84" s="2">
        <f t="shared" ca="1" si="1"/>
        <v>1.9259999999999999</v>
      </c>
      <c r="P84" s="2">
        <f t="shared" ca="1" si="1"/>
        <v>1.865</v>
      </c>
      <c r="Q84" s="2">
        <f t="shared" ca="1" si="1"/>
        <v>1.85</v>
      </c>
      <c r="R84" s="2">
        <f t="shared" ca="1" si="1"/>
        <v>1.877</v>
      </c>
      <c r="S84" s="2">
        <f t="shared" ca="1" si="1"/>
        <v>1.948</v>
      </c>
      <c r="T84" s="2">
        <f t="shared" ca="1" si="1"/>
        <v>2.056</v>
      </c>
      <c r="U84" s="2">
        <f t="shared" ca="1" si="1"/>
        <v>2.1869999999999998</v>
      </c>
      <c r="V84" s="2">
        <f t="shared" ca="1" si="1"/>
        <v>2.3330000000000002</v>
      </c>
      <c r="W84" s="2">
        <f t="shared" ca="1" si="1"/>
        <v>2.548</v>
      </c>
      <c r="X84" s="2">
        <f t="shared" ca="1" si="1"/>
        <v>2.7949999999999999</v>
      </c>
      <c r="Y84" s="10">
        <f t="shared" ca="1" si="1"/>
        <v>2.99</v>
      </c>
    </row>
    <row r="85" spans="2:25" x14ac:dyDescent="0.3">
      <c r="B85" s="6">
        <v>82</v>
      </c>
      <c r="C85" s="9">
        <v>2.125</v>
      </c>
      <c r="D85" s="9">
        <v>1.9279999999999999</v>
      </c>
      <c r="E85" s="9">
        <v>1.9279999999999999</v>
      </c>
      <c r="F85" s="9">
        <v>1.895</v>
      </c>
    </row>
    <row r="86" spans="2:25" x14ac:dyDescent="0.3">
      <c r="B86" s="6">
        <v>83</v>
      </c>
      <c r="C86" s="9">
        <v>2.3959999999999999</v>
      </c>
      <c r="D86" s="9">
        <v>2.157</v>
      </c>
      <c r="E86" s="9">
        <v>2.157</v>
      </c>
      <c r="F86" s="9">
        <v>2.1150000000000002</v>
      </c>
      <c r="H86" t="s">
        <v>2</v>
      </c>
      <c r="I86" s="11">
        <f t="shared" ref="I86:Y98" ca="1" si="2">INDIRECT("E"&amp;(17*ROW(1:1)+ROW($E$3)-19+IF(COLUMN(C:C)&gt;19,50000,COLUMN(C:C)-1)))</f>
        <v>2.9849999999999999</v>
      </c>
      <c r="J86" s="2">
        <f t="shared" ca="1" si="2"/>
        <v>2.7559999999999998</v>
      </c>
      <c r="K86" s="2">
        <f t="shared" ca="1" si="2"/>
        <v>2.4940000000000002</v>
      </c>
      <c r="L86" s="2">
        <f t="shared" ca="1" si="2"/>
        <v>2.274</v>
      </c>
      <c r="M86" s="2">
        <f t="shared" ca="1" si="2"/>
        <v>2.1269999999999998</v>
      </c>
      <c r="N86" s="2">
        <f t="shared" ca="1" si="2"/>
        <v>2.0009999999999999</v>
      </c>
      <c r="O86" s="2">
        <f t="shared" ca="1" si="2"/>
        <v>1.9</v>
      </c>
      <c r="P86" s="2">
        <f t="shared" ca="1" si="2"/>
        <v>1.839</v>
      </c>
      <c r="Q86" s="2">
        <f t="shared" ca="1" si="2"/>
        <v>1.821</v>
      </c>
      <c r="R86" s="2">
        <f t="shared" ca="1" si="2"/>
        <v>1.84</v>
      </c>
      <c r="S86" s="2">
        <f t="shared" ca="1" si="2"/>
        <v>1.903</v>
      </c>
      <c r="T86" s="2">
        <f t="shared" ca="1" si="2"/>
        <v>2.0019999999999998</v>
      </c>
      <c r="U86" s="2">
        <f t="shared" ca="1" si="2"/>
        <v>2.1280000000000001</v>
      </c>
      <c r="V86" s="2">
        <f t="shared" ca="1" si="2"/>
        <v>2.2789999999999999</v>
      </c>
      <c r="W86" s="2">
        <f t="shared" ca="1" si="2"/>
        <v>2.5129999999999999</v>
      </c>
      <c r="X86" s="2">
        <f t="shared" ca="1" si="2"/>
        <v>2.7690000000000001</v>
      </c>
      <c r="Y86" s="11">
        <f t="shared" ca="1" si="2"/>
        <v>2.9809999999999999</v>
      </c>
    </row>
    <row r="87" spans="2:25" x14ac:dyDescent="0.3">
      <c r="B87" s="6">
        <v>84</v>
      </c>
      <c r="C87" s="9">
        <v>2.6709999999999998</v>
      </c>
      <c r="D87" s="9">
        <v>2.4089999999999998</v>
      </c>
      <c r="E87" s="9">
        <v>2.407</v>
      </c>
      <c r="F87" s="9">
        <v>2.3490000000000002</v>
      </c>
      <c r="I87" s="2">
        <f t="shared" ca="1" si="2"/>
        <v>2.89</v>
      </c>
      <c r="J87" s="2">
        <f t="shared" ca="1" si="2"/>
        <v>2.5630000000000002</v>
      </c>
      <c r="K87" s="2">
        <f t="shared" ca="1" si="2"/>
        <v>2.2850000000000001</v>
      </c>
      <c r="L87" s="2">
        <f t="shared" ca="1" si="2"/>
        <v>2.1</v>
      </c>
      <c r="M87" s="2">
        <f t="shared" ca="1" si="2"/>
        <v>1.9419999999999999</v>
      </c>
      <c r="N87" s="2">
        <f t="shared" ca="1" si="2"/>
        <v>1.8089999999999999</v>
      </c>
      <c r="O87" s="2">
        <f t="shared" ca="1" si="2"/>
        <v>1.7050000000000001</v>
      </c>
      <c r="P87" s="2">
        <f t="shared" ca="1" si="2"/>
        <v>1.641</v>
      </c>
      <c r="Q87" s="2">
        <f t="shared" ca="1" si="2"/>
        <v>1.62</v>
      </c>
      <c r="R87" s="2">
        <f t="shared" ca="1" si="2"/>
        <v>1.641</v>
      </c>
      <c r="S87" s="2">
        <f t="shared" ca="1" si="2"/>
        <v>1.7090000000000001</v>
      </c>
      <c r="T87" s="2">
        <f t="shared" ca="1" si="2"/>
        <v>1.8140000000000001</v>
      </c>
      <c r="U87" s="2">
        <f t="shared" ca="1" si="2"/>
        <v>1.952</v>
      </c>
      <c r="V87" s="2">
        <f t="shared" ca="1" si="2"/>
        <v>2.1120000000000001</v>
      </c>
      <c r="W87" s="2">
        <f t="shared" ca="1" si="2"/>
        <v>2.306</v>
      </c>
      <c r="X87" s="2">
        <f t="shared" ca="1" si="2"/>
        <v>2.581</v>
      </c>
      <c r="Y87" s="2">
        <f t="shared" ca="1" si="2"/>
        <v>2.8769999999999998</v>
      </c>
    </row>
    <row r="88" spans="2:25" x14ac:dyDescent="0.3">
      <c r="B88" s="6">
        <v>85</v>
      </c>
      <c r="C88" s="9">
        <v>2.6309999999999998</v>
      </c>
      <c r="D88" s="9">
        <v>2.335</v>
      </c>
      <c r="E88" s="9">
        <v>2.3370000000000002</v>
      </c>
      <c r="F88" s="9">
        <v>2.2709999999999999</v>
      </c>
      <c r="I88" s="2">
        <f t="shared" ca="1" si="2"/>
        <v>2.718</v>
      </c>
      <c r="J88" s="2">
        <f t="shared" ca="1" si="2"/>
        <v>2.3690000000000002</v>
      </c>
      <c r="K88" s="2">
        <f t="shared" ca="1" si="2"/>
        <v>2.1259999999999999</v>
      </c>
      <c r="L88" s="2">
        <f t="shared" ca="1" si="2"/>
        <v>1.9350000000000001</v>
      </c>
      <c r="M88" s="2">
        <f t="shared" ca="1" si="2"/>
        <v>1.7629999999999999</v>
      </c>
      <c r="N88" s="2">
        <f t="shared" ca="1" si="2"/>
        <v>1.619</v>
      </c>
      <c r="O88" s="2">
        <f t="shared" ca="1" si="2"/>
        <v>1.504</v>
      </c>
      <c r="P88" s="2">
        <f t="shared" ca="1" si="2"/>
        <v>1.4350000000000001</v>
      </c>
      <c r="Q88" s="2">
        <f t="shared" ca="1" si="2"/>
        <v>1.415</v>
      </c>
      <c r="R88" s="2">
        <f t="shared" ca="1" si="2"/>
        <v>1.44</v>
      </c>
      <c r="S88" s="2">
        <f t="shared" ca="1" si="2"/>
        <v>1.518</v>
      </c>
      <c r="T88" s="2">
        <f t="shared" ca="1" si="2"/>
        <v>1.633</v>
      </c>
      <c r="U88" s="2">
        <f t="shared" ca="1" si="2"/>
        <v>1.778</v>
      </c>
      <c r="V88" s="2">
        <f t="shared" ca="1" si="2"/>
        <v>1.954</v>
      </c>
      <c r="W88" s="2">
        <f t="shared" ca="1" si="2"/>
        <v>2.1429999999999998</v>
      </c>
      <c r="X88" s="2">
        <f t="shared" ca="1" si="2"/>
        <v>2.3820000000000001</v>
      </c>
      <c r="Y88" s="2">
        <f t="shared" ca="1" si="2"/>
        <v>2.7080000000000002</v>
      </c>
    </row>
    <row r="89" spans="2:25" x14ac:dyDescent="0.3">
      <c r="B89" s="6">
        <v>86</v>
      </c>
      <c r="C89" s="9">
        <v>2.3250000000000002</v>
      </c>
      <c r="D89" s="9">
        <v>2.0760000000000001</v>
      </c>
      <c r="E89" s="9">
        <v>2.0779999999999998</v>
      </c>
      <c r="F89" s="9">
        <v>2.0219999999999998</v>
      </c>
      <c r="I89" s="2">
        <f t="shared" ca="1" si="2"/>
        <v>2.5350000000000001</v>
      </c>
      <c r="J89" s="2">
        <f t="shared" ca="1" si="2"/>
        <v>2.2389999999999999</v>
      </c>
      <c r="K89" s="2">
        <f t="shared" ca="1" si="2"/>
        <v>2.008</v>
      </c>
      <c r="L89" s="2">
        <f t="shared" ca="1" si="2"/>
        <v>1.8</v>
      </c>
      <c r="M89" s="2">
        <f t="shared" ca="1" si="2"/>
        <v>1.615</v>
      </c>
      <c r="N89" s="2">
        <f t="shared" ca="1" si="2"/>
        <v>1.454</v>
      </c>
      <c r="O89" s="2">
        <f t="shared" ca="1" si="2"/>
        <v>1.3320000000000001</v>
      </c>
      <c r="P89" s="2">
        <f t="shared" ca="1" si="2"/>
        <v>1.2649999999999999</v>
      </c>
      <c r="Q89" s="2">
        <f t="shared" ca="1" si="2"/>
        <v>1.246</v>
      </c>
      <c r="R89" s="2">
        <f t="shared" ca="1" si="2"/>
        <v>1.272</v>
      </c>
      <c r="S89" s="2">
        <f t="shared" ca="1" si="2"/>
        <v>1.349</v>
      </c>
      <c r="T89" s="2">
        <f t="shared" ca="1" si="2"/>
        <v>1.472</v>
      </c>
      <c r="U89" s="2">
        <f t="shared" ca="1" si="2"/>
        <v>1.633</v>
      </c>
      <c r="V89" s="2">
        <f t="shared" ca="1" si="2"/>
        <v>1.819</v>
      </c>
      <c r="W89" s="2">
        <f t="shared" ca="1" si="2"/>
        <v>2.0230000000000001</v>
      </c>
      <c r="X89" s="2">
        <f t="shared" ca="1" si="2"/>
        <v>2.2450000000000001</v>
      </c>
      <c r="Y89" s="2">
        <f t="shared" ca="1" si="2"/>
        <v>2.524</v>
      </c>
    </row>
    <row r="90" spans="2:25" x14ac:dyDescent="0.3">
      <c r="B90" s="6">
        <v>87</v>
      </c>
      <c r="C90" s="9">
        <v>2.0329999999999999</v>
      </c>
      <c r="D90" s="9">
        <v>1.837</v>
      </c>
      <c r="E90" s="9">
        <v>1.84</v>
      </c>
      <c r="F90" s="9">
        <v>1.796</v>
      </c>
      <c r="I90" s="2">
        <f t="shared" ca="1" si="2"/>
        <v>2.399</v>
      </c>
      <c r="J90" s="2">
        <f t="shared" ca="1" si="2"/>
        <v>2.1379999999999999</v>
      </c>
      <c r="K90" s="2">
        <f t="shared" ca="1" si="2"/>
        <v>1.909</v>
      </c>
      <c r="L90" s="2">
        <f t="shared" ca="1" si="2"/>
        <v>1.696</v>
      </c>
      <c r="M90" s="2">
        <f t="shared" ca="1" si="2"/>
        <v>1.498</v>
      </c>
      <c r="N90" s="2">
        <f t="shared" ca="1" si="2"/>
        <v>1.329</v>
      </c>
      <c r="O90" s="2">
        <f t="shared" ca="1" si="2"/>
        <v>1.212</v>
      </c>
      <c r="P90" s="2">
        <f t="shared" ca="1" si="2"/>
        <v>1.1439999999999999</v>
      </c>
      <c r="Q90" s="2">
        <f t="shared" ca="1" si="2"/>
        <v>1.123</v>
      </c>
      <c r="R90" s="2">
        <f t="shared" ca="1" si="2"/>
        <v>1.1479999999999999</v>
      </c>
      <c r="S90" s="2">
        <f t="shared" ca="1" si="2"/>
        <v>1.22</v>
      </c>
      <c r="T90" s="2">
        <f t="shared" ca="1" si="2"/>
        <v>1.34</v>
      </c>
      <c r="U90" s="2">
        <f t="shared" ca="1" si="2"/>
        <v>1.51</v>
      </c>
      <c r="V90" s="2">
        <f t="shared" ca="1" si="2"/>
        <v>1.71</v>
      </c>
      <c r="W90" s="2">
        <f t="shared" ca="1" si="2"/>
        <v>1.9279999999999999</v>
      </c>
      <c r="X90" s="2">
        <f t="shared" ca="1" si="2"/>
        <v>2.157</v>
      </c>
      <c r="Y90" s="2">
        <f t="shared" ca="1" si="2"/>
        <v>2.407</v>
      </c>
    </row>
    <row r="91" spans="2:25" x14ac:dyDescent="0.3">
      <c r="B91" s="6">
        <v>88</v>
      </c>
      <c r="C91" s="9">
        <v>1.758</v>
      </c>
      <c r="D91" s="9">
        <v>1.619</v>
      </c>
      <c r="E91" s="9">
        <v>1.6220000000000001</v>
      </c>
      <c r="F91" s="9">
        <v>1.583</v>
      </c>
      <c r="I91" s="2">
        <f t="shared" ca="1" si="2"/>
        <v>2.3370000000000002</v>
      </c>
      <c r="J91" s="2">
        <f t="shared" ca="1" si="2"/>
        <v>2.0779999999999998</v>
      </c>
      <c r="K91" s="2">
        <f t="shared" ca="1" si="2"/>
        <v>1.84</v>
      </c>
      <c r="L91" s="2">
        <f t="shared" ca="1" si="2"/>
        <v>1.6220000000000001</v>
      </c>
      <c r="M91" s="2">
        <f t="shared" ca="1" si="2"/>
        <v>1.419</v>
      </c>
      <c r="N91" s="2">
        <f t="shared" ca="1" si="2"/>
        <v>1.2569999999999999</v>
      </c>
      <c r="O91" s="2">
        <f t="shared" ca="1" si="2"/>
        <v>1.1399999999999999</v>
      </c>
      <c r="P91" s="2">
        <f t="shared" ca="1" si="2"/>
        <v>1.0620000000000001</v>
      </c>
      <c r="Q91" s="2">
        <f t="shared" ca="1" si="2"/>
        <v>1.0349999999999999</v>
      </c>
      <c r="R91" s="2">
        <f t="shared" ca="1" si="2"/>
        <v>1.0649999999999999</v>
      </c>
      <c r="S91" s="2">
        <f t="shared" ca="1" si="2"/>
        <v>1.1459999999999999</v>
      </c>
      <c r="T91" s="2">
        <f t="shared" ca="1" si="2"/>
        <v>1.2609999999999999</v>
      </c>
      <c r="U91" s="2">
        <f t="shared" ca="1" si="2"/>
        <v>1.425</v>
      </c>
      <c r="V91" s="2">
        <f t="shared" ca="1" si="2"/>
        <v>1.633</v>
      </c>
      <c r="W91" s="2">
        <f t="shared" ca="1" si="2"/>
        <v>1.859</v>
      </c>
      <c r="X91" s="2">
        <f t="shared" ca="1" si="2"/>
        <v>2.1</v>
      </c>
      <c r="Y91" s="2">
        <f t="shared" ca="1" si="2"/>
        <v>2.3519999999999999</v>
      </c>
    </row>
    <row r="92" spans="2:25" x14ac:dyDescent="0.3">
      <c r="B92" s="6">
        <v>89</v>
      </c>
      <c r="C92" s="9">
        <v>1.5049999999999999</v>
      </c>
      <c r="D92" s="9">
        <v>1.417</v>
      </c>
      <c r="E92" s="9">
        <v>1.419</v>
      </c>
      <c r="F92" s="9">
        <v>1.387</v>
      </c>
      <c r="I92" s="2">
        <f t="shared" ca="1" si="2"/>
        <v>2.323</v>
      </c>
      <c r="J92" s="2">
        <f t="shared" ca="1" si="2"/>
        <v>2.0590000000000002</v>
      </c>
      <c r="K92" s="2">
        <f t="shared" ca="1" si="2"/>
        <v>1.8160000000000001</v>
      </c>
      <c r="L92" s="2">
        <f t="shared" ca="1" si="2"/>
        <v>1.5920000000000001</v>
      </c>
      <c r="M92" s="2">
        <f t="shared" ca="1" si="2"/>
        <v>1.3839999999999999</v>
      </c>
      <c r="N92" s="2">
        <f t="shared" ca="1" si="2"/>
        <v>1.2230000000000001</v>
      </c>
      <c r="O92" s="2">
        <f t="shared" ca="1" si="2"/>
        <v>1.1060000000000001</v>
      </c>
      <c r="P92" s="2">
        <f t="shared" ca="1" si="2"/>
        <v>1.0269999999999999</v>
      </c>
      <c r="Q92" s="2">
        <f t="shared" ca="1" si="2"/>
        <v>1.0049999999999999</v>
      </c>
      <c r="R92" s="2">
        <f t="shared" ca="1" si="2"/>
        <v>1.032</v>
      </c>
      <c r="S92" s="2">
        <f t="shared" ca="1" si="2"/>
        <v>1.1160000000000001</v>
      </c>
      <c r="T92" s="2">
        <f t="shared" ca="1" si="2"/>
        <v>1.234</v>
      </c>
      <c r="U92" s="2">
        <f t="shared" ca="1" si="2"/>
        <v>1.397</v>
      </c>
      <c r="V92" s="2">
        <f t="shared" ca="1" si="2"/>
        <v>1.6060000000000001</v>
      </c>
      <c r="W92" s="2">
        <f t="shared" ca="1" si="2"/>
        <v>1.831</v>
      </c>
      <c r="X92" s="2">
        <f t="shared" ca="1" si="2"/>
        <v>2.073</v>
      </c>
      <c r="Y92" s="2">
        <f t="shared" ca="1" si="2"/>
        <v>2.323</v>
      </c>
    </row>
    <row r="93" spans="2:25" x14ac:dyDescent="0.3">
      <c r="B93" s="6">
        <v>90</v>
      </c>
      <c r="C93" s="9">
        <v>1.3049999999999999</v>
      </c>
      <c r="D93" s="9">
        <v>1.254</v>
      </c>
      <c r="E93" s="9">
        <v>1.2569999999999999</v>
      </c>
      <c r="F93" s="9">
        <v>1.232</v>
      </c>
      <c r="I93" s="2">
        <f t="shared" ca="1" si="2"/>
        <v>2.347</v>
      </c>
      <c r="J93" s="2">
        <f t="shared" ca="1" si="2"/>
        <v>2.08</v>
      </c>
      <c r="K93" s="2">
        <f t="shared" ca="1" si="2"/>
        <v>1.835</v>
      </c>
      <c r="L93" s="2">
        <f t="shared" ca="1" si="2"/>
        <v>1.611</v>
      </c>
      <c r="M93" s="2">
        <f t="shared" ca="1" si="2"/>
        <v>1.405</v>
      </c>
      <c r="N93" s="2">
        <f t="shared" ca="1" si="2"/>
        <v>1.2410000000000001</v>
      </c>
      <c r="O93" s="2">
        <f t="shared" ca="1" si="2"/>
        <v>1.123</v>
      </c>
      <c r="P93" s="2">
        <f t="shared" ca="1" si="2"/>
        <v>1.0449999999999999</v>
      </c>
      <c r="Q93" s="2">
        <f t="shared" ca="1" si="2"/>
        <v>1.0229999999999999</v>
      </c>
      <c r="R93" s="2">
        <f t="shared" ca="1" si="2"/>
        <v>1.054</v>
      </c>
      <c r="S93" s="2">
        <f t="shared" ca="1" si="2"/>
        <v>1.139</v>
      </c>
      <c r="T93" s="2">
        <f t="shared" ca="1" si="2"/>
        <v>1.2569999999999999</v>
      </c>
      <c r="U93" s="2">
        <f t="shared" ca="1" si="2"/>
        <v>1.423</v>
      </c>
      <c r="V93" s="2">
        <f t="shared" ca="1" si="2"/>
        <v>1.631</v>
      </c>
      <c r="W93" s="2">
        <f t="shared" ca="1" si="2"/>
        <v>1.853</v>
      </c>
      <c r="X93" s="2">
        <f t="shared" ca="1" si="2"/>
        <v>2.0880000000000001</v>
      </c>
      <c r="Y93" s="2">
        <f t="shared" ca="1" si="2"/>
        <v>2.3330000000000002</v>
      </c>
    </row>
    <row r="94" spans="2:25" x14ac:dyDescent="0.3">
      <c r="B94" s="6">
        <v>91</v>
      </c>
      <c r="C94" s="9">
        <v>1.1639999999999999</v>
      </c>
      <c r="D94" s="9">
        <v>1.1379999999999999</v>
      </c>
      <c r="E94" s="9">
        <v>1.1399999999999999</v>
      </c>
      <c r="F94" s="9">
        <v>1.1240000000000001</v>
      </c>
      <c r="I94" s="2">
        <f t="shared" ca="1" si="2"/>
        <v>2.407</v>
      </c>
      <c r="J94" s="2">
        <f t="shared" ca="1" si="2"/>
        <v>2.145</v>
      </c>
      <c r="K94" s="2">
        <f t="shared" ca="1" si="2"/>
        <v>1.9079999999999999</v>
      </c>
      <c r="L94" s="2">
        <f t="shared" ca="1" si="2"/>
        <v>1.6859999999999999</v>
      </c>
      <c r="M94" s="2">
        <f t="shared" ca="1" si="2"/>
        <v>1.484</v>
      </c>
      <c r="N94" s="2">
        <f t="shared" ca="1" si="2"/>
        <v>1.3140000000000001</v>
      </c>
      <c r="O94" s="2">
        <f t="shared" ca="1" si="2"/>
        <v>1.1970000000000001</v>
      </c>
      <c r="P94" s="2">
        <f t="shared" ca="1" si="2"/>
        <v>1.125</v>
      </c>
      <c r="Q94" s="2">
        <f t="shared" ca="1" si="2"/>
        <v>1.1020000000000001</v>
      </c>
      <c r="R94" s="2">
        <f t="shared" ca="1" si="2"/>
        <v>1.129</v>
      </c>
      <c r="S94" s="2">
        <f t="shared" ca="1" si="2"/>
        <v>1.204</v>
      </c>
      <c r="T94" s="2">
        <f t="shared" ca="1" si="2"/>
        <v>1.3260000000000001</v>
      </c>
      <c r="U94" s="2">
        <f t="shared" ca="1" si="2"/>
        <v>1.5</v>
      </c>
      <c r="V94" s="2">
        <f t="shared" ca="1" si="2"/>
        <v>1.7030000000000001</v>
      </c>
      <c r="W94" s="2">
        <f t="shared" ca="1" si="2"/>
        <v>1.9219999999999999</v>
      </c>
      <c r="X94" s="2">
        <f t="shared" ca="1" si="2"/>
        <v>2.1539999999999999</v>
      </c>
      <c r="Y94" s="2">
        <f t="shared" ca="1" si="2"/>
        <v>2.407</v>
      </c>
    </row>
    <row r="95" spans="2:25" x14ac:dyDescent="0.3">
      <c r="B95" s="6">
        <v>92</v>
      </c>
      <c r="C95" s="9">
        <v>1.073</v>
      </c>
      <c r="D95" s="9">
        <v>1.0620000000000001</v>
      </c>
      <c r="E95" s="9">
        <v>1.0620000000000001</v>
      </c>
      <c r="F95" s="9">
        <v>1.0529999999999999</v>
      </c>
      <c r="I95" s="2">
        <f t="shared" ca="1" si="2"/>
        <v>2.5169999999999999</v>
      </c>
      <c r="J95" s="2">
        <f t="shared" ca="1" si="2"/>
        <v>2.2290000000000001</v>
      </c>
      <c r="K95" s="2">
        <f t="shared" ca="1" si="2"/>
        <v>2.0009999999999999</v>
      </c>
      <c r="L95" s="2">
        <f t="shared" ca="1" si="2"/>
        <v>1.7929999999999999</v>
      </c>
      <c r="M95" s="2">
        <f t="shared" ca="1" si="2"/>
        <v>1.6040000000000001</v>
      </c>
      <c r="N95" s="2">
        <f t="shared" ca="1" si="2"/>
        <v>1.4390000000000001</v>
      </c>
      <c r="O95" s="2">
        <f t="shared" ca="1" si="2"/>
        <v>1.3149999999999999</v>
      </c>
      <c r="P95" s="2">
        <f t="shared" ca="1" si="2"/>
        <v>1.2430000000000001</v>
      </c>
      <c r="Q95" s="2">
        <f t="shared" ca="1" si="2"/>
        <v>1.218</v>
      </c>
      <c r="R95" s="2">
        <f t="shared" ca="1" si="2"/>
        <v>1.242</v>
      </c>
      <c r="S95" s="2">
        <f t="shared" ca="1" si="2"/>
        <v>1.3149999999999999</v>
      </c>
      <c r="T95" s="2">
        <f t="shared" ca="1" si="2"/>
        <v>1.4390000000000001</v>
      </c>
      <c r="U95" s="2">
        <f t="shared" ca="1" si="2"/>
        <v>1.607</v>
      </c>
      <c r="V95" s="2">
        <f t="shared" ca="1" si="2"/>
        <v>1.802</v>
      </c>
      <c r="W95" s="2">
        <f t="shared" ca="1" si="2"/>
        <v>2.0169999999999999</v>
      </c>
      <c r="X95" s="2">
        <f t="shared" ca="1" si="2"/>
        <v>2.2469999999999999</v>
      </c>
      <c r="Y95" s="2">
        <f t="shared" ca="1" si="2"/>
        <v>2.5339999999999998</v>
      </c>
    </row>
    <row r="96" spans="2:25" x14ac:dyDescent="0.3">
      <c r="B96" s="6">
        <v>93</v>
      </c>
      <c r="C96" s="9">
        <v>1.04</v>
      </c>
      <c r="D96" s="9">
        <v>1.0349999999999999</v>
      </c>
      <c r="E96" s="9">
        <v>1.0349999999999999</v>
      </c>
      <c r="F96" s="9">
        <v>1.0309999999999999</v>
      </c>
      <c r="I96" s="2">
        <f t="shared" ca="1" si="2"/>
        <v>2.7080000000000002</v>
      </c>
      <c r="J96" s="2">
        <f t="shared" ca="1" si="2"/>
        <v>2.37</v>
      </c>
      <c r="K96" s="2">
        <f t="shared" ca="1" si="2"/>
        <v>2.129</v>
      </c>
      <c r="L96" s="2">
        <f t="shared" ca="1" si="2"/>
        <v>1.931</v>
      </c>
      <c r="M96" s="2">
        <f t="shared" ca="1" si="2"/>
        <v>1.754</v>
      </c>
      <c r="N96" s="2">
        <f t="shared" ca="1" si="2"/>
        <v>1.605</v>
      </c>
      <c r="O96" s="2">
        <f t="shared" ca="1" si="2"/>
        <v>1.4870000000000001</v>
      </c>
      <c r="P96" s="2">
        <f t="shared" ca="1" si="2"/>
        <v>1.4119999999999999</v>
      </c>
      <c r="Q96" s="2">
        <f t="shared" ca="1" si="2"/>
        <v>1.3859999999999999</v>
      </c>
      <c r="R96" s="2">
        <f t="shared" ca="1" si="2"/>
        <v>1.411</v>
      </c>
      <c r="S96" s="2">
        <f t="shared" ca="1" si="2"/>
        <v>1.488</v>
      </c>
      <c r="T96" s="2">
        <f t="shared" ca="1" si="2"/>
        <v>1.607</v>
      </c>
      <c r="U96" s="2">
        <f t="shared" ca="1" si="2"/>
        <v>1.7569999999999999</v>
      </c>
      <c r="V96" s="2">
        <f t="shared" ca="1" si="2"/>
        <v>1.9390000000000001</v>
      </c>
      <c r="W96" s="2">
        <f t="shared" ca="1" si="2"/>
        <v>2.1389999999999998</v>
      </c>
      <c r="X96" s="2">
        <f t="shared" ca="1" si="2"/>
        <v>2.383</v>
      </c>
      <c r="Y96" s="2">
        <f t="shared" ca="1" si="2"/>
        <v>2.7170000000000001</v>
      </c>
    </row>
    <row r="97" spans="2:25" x14ac:dyDescent="0.3">
      <c r="B97" s="6">
        <v>94</v>
      </c>
      <c r="C97" s="9">
        <v>1.075</v>
      </c>
      <c r="D97" s="9">
        <v>1.0649999999999999</v>
      </c>
      <c r="E97" s="9">
        <v>1.0649999999999999</v>
      </c>
      <c r="F97" s="9">
        <v>1.0580000000000001</v>
      </c>
      <c r="I97" s="2">
        <f t="shared" ca="1" si="2"/>
        <v>2.9180000000000001</v>
      </c>
      <c r="J97" s="2">
        <f t="shared" ca="1" si="2"/>
        <v>2.5779999999999998</v>
      </c>
      <c r="K97" s="2">
        <f t="shared" ca="1" si="2"/>
        <v>2.298</v>
      </c>
      <c r="L97" s="2">
        <f t="shared" ca="1" si="2"/>
        <v>2.105</v>
      </c>
      <c r="M97" s="2">
        <f t="shared" ca="1" si="2"/>
        <v>1.9379999999999999</v>
      </c>
      <c r="N97" s="2">
        <f t="shared" ca="1" si="2"/>
        <v>1.796</v>
      </c>
      <c r="O97" s="2">
        <f t="shared" ca="1" si="2"/>
        <v>1.69</v>
      </c>
      <c r="P97" s="2">
        <f t="shared" ca="1" si="2"/>
        <v>1.6240000000000001</v>
      </c>
      <c r="Q97" s="2">
        <f t="shared" ca="1" si="2"/>
        <v>1.6040000000000001</v>
      </c>
      <c r="R97" s="2">
        <f t="shared" ca="1" si="2"/>
        <v>1.629</v>
      </c>
      <c r="S97" s="2">
        <f t="shared" ca="1" si="2"/>
        <v>1.7030000000000001</v>
      </c>
      <c r="T97" s="2">
        <f t="shared" ca="1" si="2"/>
        <v>1.8089999999999999</v>
      </c>
      <c r="U97" s="2">
        <f t="shared" ca="1" si="2"/>
        <v>1.948</v>
      </c>
      <c r="V97" s="2">
        <f t="shared" ca="1" si="2"/>
        <v>2.1110000000000002</v>
      </c>
      <c r="W97" s="2">
        <f t="shared" ca="1" si="2"/>
        <v>2.2970000000000002</v>
      </c>
      <c r="X97" s="2">
        <f t="shared" ca="1" si="2"/>
        <v>2.5710000000000002</v>
      </c>
      <c r="Y97" s="2">
        <f t="shared" ca="1" si="2"/>
        <v>2.8849999999999998</v>
      </c>
    </row>
    <row r="98" spans="2:25" x14ac:dyDescent="0.3">
      <c r="B98" s="6">
        <v>95</v>
      </c>
      <c r="C98" s="9">
        <v>1.167</v>
      </c>
      <c r="D98" s="9">
        <v>1.145</v>
      </c>
      <c r="E98" s="9">
        <v>1.1459999999999999</v>
      </c>
      <c r="F98" s="9">
        <v>1.1299999999999999</v>
      </c>
      <c r="I98" s="11">
        <f t="shared" ca="1" si="2"/>
        <v>3.0910000000000002</v>
      </c>
      <c r="J98" s="2">
        <f t="shared" ca="1" si="2"/>
        <v>2.8380000000000001</v>
      </c>
      <c r="K98" s="2">
        <f t="shared" ca="1" si="2"/>
        <v>2.5489999999999999</v>
      </c>
      <c r="L98" s="2">
        <f t="shared" ca="1" si="2"/>
        <v>2.3199999999999998</v>
      </c>
      <c r="M98" s="2">
        <f t="shared" ca="1" si="2"/>
        <v>2.1659999999999999</v>
      </c>
      <c r="N98" s="2">
        <f t="shared" ca="1" si="2"/>
        <v>2.0289999999999999</v>
      </c>
      <c r="O98" s="2">
        <f t="shared" ca="1" si="2"/>
        <v>1.9239999999999999</v>
      </c>
      <c r="P98" s="2">
        <f t="shared" ca="1" si="2"/>
        <v>1.8620000000000001</v>
      </c>
      <c r="Q98" s="2">
        <f t="shared" ca="1" si="2"/>
        <v>1.847</v>
      </c>
      <c r="R98" s="2">
        <f t="shared" ca="1" si="2"/>
        <v>1.8740000000000001</v>
      </c>
      <c r="S98" s="2">
        <f t="shared" ca="1" si="2"/>
        <v>1.946</v>
      </c>
      <c r="T98" s="2">
        <f t="shared" ca="1" si="2"/>
        <v>2.0529999999999999</v>
      </c>
      <c r="U98" s="2">
        <f t="shared" ca="1" si="2"/>
        <v>2.1840000000000002</v>
      </c>
      <c r="V98" s="2">
        <f t="shared" ca="1" si="2"/>
        <v>2.3290000000000002</v>
      </c>
      <c r="W98" s="2">
        <f t="shared" ca="1" si="2"/>
        <v>2.5430000000000001</v>
      </c>
      <c r="X98" s="2">
        <f t="shared" ca="1" si="2"/>
        <v>2.7890000000000001</v>
      </c>
      <c r="Y98" s="11">
        <f t="shared" ca="1" si="2"/>
        <v>2.984</v>
      </c>
    </row>
    <row r="99" spans="2:25" x14ac:dyDescent="0.3">
      <c r="B99" s="6">
        <v>96</v>
      </c>
      <c r="C99" s="9">
        <v>1.3029999999999999</v>
      </c>
      <c r="D99" s="9">
        <v>1.2609999999999999</v>
      </c>
      <c r="E99" s="9">
        <v>1.2609999999999999</v>
      </c>
      <c r="F99" s="9">
        <v>1.24</v>
      </c>
    </row>
    <row r="100" spans="2:25" x14ac:dyDescent="0.3">
      <c r="B100" s="6">
        <v>97</v>
      </c>
      <c r="C100" s="9">
        <v>1.5029999999999999</v>
      </c>
      <c r="D100" s="9">
        <v>1.425</v>
      </c>
      <c r="E100" s="9">
        <v>1.425</v>
      </c>
      <c r="F100" s="9">
        <v>1.401</v>
      </c>
      <c r="H100" t="s">
        <v>3</v>
      </c>
      <c r="I100" s="13">
        <f t="shared" ref="I100:Y112" ca="1" si="3">INDIRECT("F"&amp;(17*ROW(1:1)+ROW($F$3)-19+IF(COLUMN(C:C)&gt;19,50000,COLUMN(C:C)-1)))</f>
        <v>2.8279999999999998</v>
      </c>
      <c r="J100" s="2">
        <f t="shared" ca="1" si="3"/>
        <v>2.62</v>
      </c>
      <c r="K100" s="2">
        <f t="shared" ca="1" si="3"/>
        <v>2.3780000000000001</v>
      </c>
      <c r="L100" s="2">
        <f t="shared" ca="1" si="3"/>
        <v>2.1739999999999999</v>
      </c>
      <c r="M100" s="2">
        <f t="shared" ca="1" si="3"/>
        <v>2.036</v>
      </c>
      <c r="N100" s="2">
        <f t="shared" ca="1" si="3"/>
        <v>1.917</v>
      </c>
      <c r="O100" s="2">
        <f t="shared" ca="1" si="3"/>
        <v>1.8220000000000001</v>
      </c>
      <c r="P100" s="2">
        <f t="shared" ca="1" si="3"/>
        <v>1.766</v>
      </c>
      <c r="Q100" s="2">
        <f t="shared" ca="1" si="3"/>
        <v>1.75</v>
      </c>
      <c r="R100" s="2">
        <f t="shared" ca="1" si="3"/>
        <v>1.77</v>
      </c>
      <c r="S100" s="2">
        <f t="shared" ca="1" si="3"/>
        <v>1.829</v>
      </c>
      <c r="T100" s="2">
        <f t="shared" ca="1" si="3"/>
        <v>1.9219999999999999</v>
      </c>
      <c r="U100" s="2">
        <f t="shared" ca="1" si="3"/>
        <v>2.0430000000000001</v>
      </c>
      <c r="V100" s="2">
        <f t="shared" ca="1" si="3"/>
        <v>2.1859999999999999</v>
      </c>
      <c r="W100" s="2">
        <f t="shared" ca="1" si="3"/>
        <v>2.411</v>
      </c>
      <c r="X100" s="2">
        <f t="shared" ca="1" si="3"/>
        <v>2.6509999999999998</v>
      </c>
      <c r="Y100" s="13">
        <f t="shared" ca="1" si="3"/>
        <v>2.8479999999999999</v>
      </c>
    </row>
    <row r="101" spans="2:25" x14ac:dyDescent="0.3">
      <c r="B101" s="6">
        <v>98</v>
      </c>
      <c r="C101" s="9">
        <v>1.7609999999999999</v>
      </c>
      <c r="D101" s="9">
        <v>1.633</v>
      </c>
      <c r="E101" s="9">
        <v>1.633</v>
      </c>
      <c r="F101" s="9">
        <v>1.607</v>
      </c>
      <c r="I101" s="2">
        <f t="shared" ca="1" si="3"/>
        <v>2.7749999999999999</v>
      </c>
      <c r="J101" s="2">
        <f t="shared" ca="1" si="3"/>
        <v>2.4630000000000001</v>
      </c>
      <c r="K101" s="2">
        <f t="shared" ca="1" si="3"/>
        <v>2.2029999999999998</v>
      </c>
      <c r="L101" s="2">
        <f t="shared" ca="1" si="3"/>
        <v>2.028</v>
      </c>
      <c r="M101" s="2">
        <f t="shared" ca="1" si="3"/>
        <v>1.877</v>
      </c>
      <c r="N101" s="2">
        <f t="shared" ca="1" si="3"/>
        <v>1.748</v>
      </c>
      <c r="O101" s="2">
        <f t="shared" ca="1" si="3"/>
        <v>1.651</v>
      </c>
      <c r="P101" s="2">
        <f t="shared" ca="1" si="3"/>
        <v>1.595</v>
      </c>
      <c r="Q101" s="2">
        <f t="shared" ca="1" si="3"/>
        <v>1.577</v>
      </c>
      <c r="R101" s="2">
        <f t="shared" ca="1" si="3"/>
        <v>1.595</v>
      </c>
      <c r="S101" s="2">
        <f t="shared" ca="1" si="3"/>
        <v>1.6579999999999999</v>
      </c>
      <c r="T101" s="2">
        <f t="shared" ca="1" si="3"/>
        <v>1.758</v>
      </c>
      <c r="U101" s="2">
        <f t="shared" ca="1" si="3"/>
        <v>1.8939999999999999</v>
      </c>
      <c r="V101" s="2">
        <f t="shared" ca="1" si="3"/>
        <v>2.0499999999999998</v>
      </c>
      <c r="W101" s="2">
        <f t="shared" ca="1" si="3"/>
        <v>2.2360000000000002</v>
      </c>
      <c r="X101" s="2">
        <f t="shared" ca="1" si="3"/>
        <v>2.4969999999999999</v>
      </c>
      <c r="Y101" s="2">
        <f t="shared" ca="1" si="3"/>
        <v>2.7709999999999999</v>
      </c>
    </row>
    <row r="102" spans="2:25" x14ac:dyDescent="0.3">
      <c r="B102" s="6">
        <v>99</v>
      </c>
      <c r="C102" s="9">
        <v>2.0419999999999998</v>
      </c>
      <c r="D102" s="9">
        <v>1.859</v>
      </c>
      <c r="E102" s="9">
        <v>1.859</v>
      </c>
      <c r="F102" s="9">
        <v>1.83</v>
      </c>
      <c r="I102" s="2">
        <f t="shared" ca="1" si="3"/>
        <v>2.6240000000000001</v>
      </c>
      <c r="J102" s="2">
        <f t="shared" ca="1" si="3"/>
        <v>2.2909999999999999</v>
      </c>
      <c r="K102" s="2">
        <f t="shared" ca="1" si="3"/>
        <v>2.0609999999999999</v>
      </c>
      <c r="L102" s="2">
        <f t="shared" ca="1" si="3"/>
        <v>1.877</v>
      </c>
      <c r="M102" s="2">
        <f t="shared" ca="1" si="3"/>
        <v>1.7090000000000001</v>
      </c>
      <c r="N102" s="2">
        <f t="shared" ca="1" si="3"/>
        <v>1.5669999999999999</v>
      </c>
      <c r="O102" s="2">
        <f t="shared" ca="1" si="3"/>
        <v>1.462</v>
      </c>
      <c r="P102" s="2">
        <f t="shared" ca="1" si="3"/>
        <v>1.401</v>
      </c>
      <c r="Q102" s="2">
        <f t="shared" ca="1" si="3"/>
        <v>1.3859999999999999</v>
      </c>
      <c r="R102" s="2">
        <f t="shared" ca="1" si="3"/>
        <v>1.409</v>
      </c>
      <c r="S102" s="2">
        <f t="shared" ca="1" si="3"/>
        <v>1.48</v>
      </c>
      <c r="T102" s="2">
        <f t="shared" ca="1" si="3"/>
        <v>1.589</v>
      </c>
      <c r="U102" s="2">
        <f t="shared" ca="1" si="3"/>
        <v>1.7350000000000001</v>
      </c>
      <c r="V102" s="2">
        <f t="shared" ca="1" si="3"/>
        <v>1.909</v>
      </c>
      <c r="W102" s="2">
        <f t="shared" ca="1" si="3"/>
        <v>2.0939999999999999</v>
      </c>
      <c r="X102" s="2">
        <f t="shared" ca="1" si="3"/>
        <v>2.3180000000000001</v>
      </c>
      <c r="Y102" s="2">
        <f t="shared" ca="1" si="3"/>
        <v>2.6190000000000002</v>
      </c>
    </row>
    <row r="103" spans="2:25" x14ac:dyDescent="0.3">
      <c r="B103" s="6">
        <v>100</v>
      </c>
      <c r="C103" s="9">
        <v>2.331</v>
      </c>
      <c r="D103" s="9">
        <v>2.101</v>
      </c>
      <c r="E103" s="9">
        <v>2.1</v>
      </c>
      <c r="F103" s="9">
        <v>2.0619999999999998</v>
      </c>
      <c r="I103" s="2">
        <f t="shared" ca="1" si="3"/>
        <v>2.4590000000000001</v>
      </c>
      <c r="J103" s="2">
        <f t="shared" ca="1" si="3"/>
        <v>2.1749999999999998</v>
      </c>
      <c r="K103" s="2">
        <f t="shared" ca="1" si="3"/>
        <v>1.952</v>
      </c>
      <c r="L103" s="2">
        <f t="shared" ca="1" si="3"/>
        <v>1.7490000000000001</v>
      </c>
      <c r="M103" s="2">
        <f t="shared" ca="1" si="3"/>
        <v>1.5649999999999999</v>
      </c>
      <c r="N103" s="2">
        <f t="shared" ca="1" si="3"/>
        <v>1.409</v>
      </c>
      <c r="O103" s="2">
        <f t="shared" ca="1" si="3"/>
        <v>1.296</v>
      </c>
      <c r="P103" s="2">
        <f t="shared" ca="1" si="3"/>
        <v>1.238</v>
      </c>
      <c r="Q103" s="2">
        <f t="shared" ca="1" si="3"/>
        <v>1.2250000000000001</v>
      </c>
      <c r="R103" s="2">
        <f t="shared" ca="1" si="3"/>
        <v>1.248</v>
      </c>
      <c r="S103" s="2">
        <f t="shared" ca="1" si="3"/>
        <v>1.3180000000000001</v>
      </c>
      <c r="T103" s="2">
        <f t="shared" ca="1" si="3"/>
        <v>1.4359999999999999</v>
      </c>
      <c r="U103" s="2">
        <f t="shared" ca="1" si="3"/>
        <v>1.597</v>
      </c>
      <c r="V103" s="2">
        <f t="shared" ca="1" si="3"/>
        <v>1.782</v>
      </c>
      <c r="W103" s="2">
        <f t="shared" ca="1" si="3"/>
        <v>1.9830000000000001</v>
      </c>
      <c r="X103" s="2">
        <f t="shared" ca="1" si="3"/>
        <v>2.1949999999999998</v>
      </c>
      <c r="Y103" s="2">
        <f t="shared" ca="1" si="3"/>
        <v>2.4540000000000002</v>
      </c>
    </row>
    <row r="104" spans="2:25" x14ac:dyDescent="0.3">
      <c r="B104" s="6">
        <v>101</v>
      </c>
      <c r="C104" s="9">
        <v>2.613</v>
      </c>
      <c r="D104" s="9">
        <v>2.3540000000000001</v>
      </c>
      <c r="E104" s="9">
        <v>2.3519999999999999</v>
      </c>
      <c r="F104" s="9">
        <v>2.3029999999999999</v>
      </c>
      <c r="I104" s="2">
        <f t="shared" ca="1" si="3"/>
        <v>2.3290000000000002</v>
      </c>
      <c r="J104" s="2">
        <f t="shared" ca="1" si="3"/>
        <v>2.0819999999999999</v>
      </c>
      <c r="K104" s="2">
        <f t="shared" ca="1" si="3"/>
        <v>1.861</v>
      </c>
      <c r="L104" s="2">
        <f t="shared" ca="1" si="3"/>
        <v>1.653</v>
      </c>
      <c r="M104" s="2">
        <f t="shared" ca="1" si="3"/>
        <v>1.458</v>
      </c>
      <c r="N104" s="2">
        <f t="shared" ca="1" si="3"/>
        <v>1.294</v>
      </c>
      <c r="O104" s="2">
        <f t="shared" ca="1" si="3"/>
        <v>1.1839999999999999</v>
      </c>
      <c r="P104" s="2">
        <f t="shared" ca="1" si="3"/>
        <v>1.125</v>
      </c>
      <c r="Q104" s="2">
        <f t="shared" ca="1" si="3"/>
        <v>1.1080000000000001</v>
      </c>
      <c r="R104" s="2">
        <f t="shared" ca="1" si="3"/>
        <v>1.1299999999999999</v>
      </c>
      <c r="S104" s="2">
        <f t="shared" ca="1" si="3"/>
        <v>1.1950000000000001</v>
      </c>
      <c r="T104" s="2">
        <f t="shared" ca="1" si="3"/>
        <v>1.31</v>
      </c>
      <c r="U104" s="2">
        <f t="shared" ca="1" si="3"/>
        <v>1.48</v>
      </c>
      <c r="V104" s="2">
        <f t="shared" ca="1" si="3"/>
        <v>1.679</v>
      </c>
      <c r="W104" s="2">
        <f t="shared" ca="1" si="3"/>
        <v>1.895</v>
      </c>
      <c r="X104" s="2">
        <f t="shared" ca="1" si="3"/>
        <v>2.1150000000000002</v>
      </c>
      <c r="Y104" s="2">
        <f t="shared" ca="1" si="3"/>
        <v>2.3490000000000002</v>
      </c>
    </row>
    <row r="105" spans="2:25" x14ac:dyDescent="0.3">
      <c r="B105" s="6">
        <v>102</v>
      </c>
      <c r="C105" s="9">
        <v>2.6160000000000001</v>
      </c>
      <c r="D105" s="9">
        <v>2.3210000000000002</v>
      </c>
      <c r="E105" s="9">
        <v>2.323</v>
      </c>
      <c r="F105" s="9">
        <v>2.258</v>
      </c>
      <c r="I105" s="2">
        <f t="shared" ca="1" si="3"/>
        <v>2.2709999999999999</v>
      </c>
      <c r="J105" s="2">
        <f t="shared" ca="1" si="3"/>
        <v>2.0219999999999998</v>
      </c>
      <c r="K105" s="2">
        <f t="shared" ca="1" si="3"/>
        <v>1.796</v>
      </c>
      <c r="L105" s="2">
        <f t="shared" ca="1" si="3"/>
        <v>1.583</v>
      </c>
      <c r="M105" s="2">
        <f t="shared" ca="1" si="3"/>
        <v>1.387</v>
      </c>
      <c r="N105" s="2">
        <f t="shared" ca="1" si="3"/>
        <v>1.232</v>
      </c>
      <c r="O105" s="2">
        <f t="shared" ca="1" si="3"/>
        <v>1.1240000000000001</v>
      </c>
      <c r="P105" s="2">
        <f t="shared" ca="1" si="3"/>
        <v>1.0529999999999999</v>
      </c>
      <c r="Q105" s="2">
        <f t="shared" ca="1" si="3"/>
        <v>1.0309999999999999</v>
      </c>
      <c r="R105" s="2">
        <f t="shared" ca="1" si="3"/>
        <v>1.0580000000000001</v>
      </c>
      <c r="S105" s="2">
        <f t="shared" ca="1" si="3"/>
        <v>1.1299999999999999</v>
      </c>
      <c r="T105" s="2">
        <f t="shared" ca="1" si="3"/>
        <v>1.24</v>
      </c>
      <c r="U105" s="2">
        <f t="shared" ca="1" si="3"/>
        <v>1.401</v>
      </c>
      <c r="V105" s="2">
        <f t="shared" ca="1" si="3"/>
        <v>1.607</v>
      </c>
      <c r="W105" s="2">
        <f t="shared" ca="1" si="3"/>
        <v>1.83</v>
      </c>
      <c r="X105" s="2">
        <f t="shared" ca="1" si="3"/>
        <v>2.0619999999999998</v>
      </c>
      <c r="Y105" s="2">
        <f t="shared" ca="1" si="3"/>
        <v>2.3029999999999999</v>
      </c>
    </row>
    <row r="106" spans="2:25" x14ac:dyDescent="0.3">
      <c r="B106" s="6">
        <v>103</v>
      </c>
      <c r="C106" s="9">
        <v>2.3039999999999998</v>
      </c>
      <c r="D106" s="9">
        <v>2.0569999999999999</v>
      </c>
      <c r="E106" s="9">
        <v>2.0590000000000002</v>
      </c>
      <c r="F106" s="9">
        <v>2.0030000000000001</v>
      </c>
      <c r="I106" s="2">
        <f t="shared" ca="1" si="3"/>
        <v>2.258</v>
      </c>
      <c r="J106" s="2">
        <f t="shared" ca="1" si="3"/>
        <v>2.0030000000000001</v>
      </c>
      <c r="K106" s="2">
        <f t="shared" ca="1" si="3"/>
        <v>1.772</v>
      </c>
      <c r="L106" s="2">
        <f t="shared" ca="1" si="3"/>
        <v>1.556</v>
      </c>
      <c r="M106" s="2">
        <f t="shared" ca="1" si="3"/>
        <v>1.3560000000000001</v>
      </c>
      <c r="N106" s="2">
        <f t="shared" ca="1" si="3"/>
        <v>1.202</v>
      </c>
      <c r="O106" s="2">
        <f t="shared" ca="1" si="3"/>
        <v>1.093</v>
      </c>
      <c r="P106" s="2">
        <f t="shared" ca="1" si="3"/>
        <v>1.0249999999999999</v>
      </c>
      <c r="Q106" s="2">
        <f t="shared" ca="1" si="3"/>
        <v>1.008</v>
      </c>
      <c r="R106" s="2">
        <f t="shared" ca="1" si="3"/>
        <v>1.03</v>
      </c>
      <c r="S106" s="2">
        <f t="shared" ca="1" si="3"/>
        <v>1.107</v>
      </c>
      <c r="T106" s="2">
        <f t="shared" ca="1" si="3"/>
        <v>1.2190000000000001</v>
      </c>
      <c r="U106" s="2">
        <f t="shared" ca="1" si="3"/>
        <v>1.3779999999999999</v>
      </c>
      <c r="V106" s="2">
        <f t="shared" ca="1" si="3"/>
        <v>1.583</v>
      </c>
      <c r="W106" s="2">
        <f t="shared" ca="1" si="3"/>
        <v>1.8009999999999999</v>
      </c>
      <c r="X106" s="2">
        <f t="shared" ca="1" si="3"/>
        <v>2.0329999999999999</v>
      </c>
      <c r="Y106" s="2">
        <f t="shared" ca="1" si="3"/>
        <v>2.27</v>
      </c>
    </row>
    <row r="107" spans="2:25" x14ac:dyDescent="0.3">
      <c r="B107" s="6">
        <v>104</v>
      </c>
      <c r="C107" s="9">
        <v>2.0030000000000001</v>
      </c>
      <c r="D107" s="9">
        <v>1.8140000000000001</v>
      </c>
      <c r="E107" s="9">
        <v>1.8160000000000001</v>
      </c>
      <c r="F107" s="9">
        <v>1.772</v>
      </c>
      <c r="I107" s="2">
        <f t="shared" ca="1" si="3"/>
        <v>2.2829999999999999</v>
      </c>
      <c r="J107" s="2">
        <f t="shared" ca="1" si="3"/>
        <v>2.0270000000000001</v>
      </c>
      <c r="K107" s="2">
        <f t="shared" ca="1" si="3"/>
        <v>1.79</v>
      </c>
      <c r="L107" s="2">
        <f t="shared" ca="1" si="3"/>
        <v>1.573</v>
      </c>
      <c r="M107" s="2">
        <f t="shared" ca="1" si="3"/>
        <v>1.3740000000000001</v>
      </c>
      <c r="N107" s="2">
        <f t="shared" ca="1" si="3"/>
        <v>1.216</v>
      </c>
      <c r="O107" s="2">
        <f t="shared" ca="1" si="3"/>
        <v>1.107</v>
      </c>
      <c r="P107" s="2">
        <f t="shared" ca="1" si="3"/>
        <v>1.0389999999999999</v>
      </c>
      <c r="Q107" s="2">
        <f t="shared" ca="1" si="3"/>
        <v>1.0209999999999999</v>
      </c>
      <c r="R107" s="2">
        <f t="shared" ca="1" si="3"/>
        <v>1.05</v>
      </c>
      <c r="S107" s="2">
        <f t="shared" ca="1" si="3"/>
        <v>1.1259999999999999</v>
      </c>
      <c r="T107" s="2">
        <f t="shared" ca="1" si="3"/>
        <v>1.2390000000000001</v>
      </c>
      <c r="U107" s="2">
        <f t="shared" ca="1" si="3"/>
        <v>1.401</v>
      </c>
      <c r="V107" s="2">
        <f t="shared" ca="1" si="3"/>
        <v>1.6040000000000001</v>
      </c>
      <c r="W107" s="2">
        <f t="shared" ca="1" si="3"/>
        <v>1.8220000000000001</v>
      </c>
      <c r="X107" s="2">
        <f t="shared" ca="1" si="3"/>
        <v>2.048</v>
      </c>
      <c r="Y107" s="2">
        <f t="shared" ca="1" si="3"/>
        <v>2.274</v>
      </c>
    </row>
    <row r="108" spans="2:25" x14ac:dyDescent="0.3">
      <c r="B108" s="6">
        <v>105</v>
      </c>
      <c r="C108" s="9">
        <v>1.72</v>
      </c>
      <c r="D108" s="9">
        <v>1.589</v>
      </c>
      <c r="E108" s="9">
        <v>1.5920000000000001</v>
      </c>
      <c r="F108" s="9">
        <v>1.556</v>
      </c>
      <c r="I108" s="2">
        <f t="shared" ca="1" si="3"/>
        <v>2.3439999999999999</v>
      </c>
      <c r="J108" s="2">
        <f t="shared" ca="1" si="3"/>
        <v>2.09</v>
      </c>
      <c r="K108" s="2">
        <f t="shared" ca="1" si="3"/>
        <v>1.861</v>
      </c>
      <c r="L108" s="2">
        <f t="shared" ca="1" si="3"/>
        <v>1.6439999999999999</v>
      </c>
      <c r="M108" s="2">
        <f t="shared" ca="1" si="3"/>
        <v>1.444</v>
      </c>
      <c r="N108" s="2">
        <f t="shared" ca="1" si="3"/>
        <v>1.28</v>
      </c>
      <c r="O108" s="2">
        <f t="shared" ca="1" si="3"/>
        <v>1.1719999999999999</v>
      </c>
      <c r="P108" s="2">
        <f t="shared" ca="1" si="3"/>
        <v>1.109</v>
      </c>
      <c r="Q108" s="2">
        <f t="shared" ca="1" si="3"/>
        <v>1.091</v>
      </c>
      <c r="R108" s="2">
        <f t="shared" ca="1" si="3"/>
        <v>1.1140000000000001</v>
      </c>
      <c r="S108" s="2">
        <f t="shared" ca="1" si="3"/>
        <v>1.1830000000000001</v>
      </c>
      <c r="T108" s="2">
        <f t="shared" ca="1" si="3"/>
        <v>1.2989999999999999</v>
      </c>
      <c r="U108" s="2">
        <f t="shared" ca="1" si="3"/>
        <v>1.47</v>
      </c>
      <c r="V108" s="2">
        <f t="shared" ca="1" si="3"/>
        <v>1.675</v>
      </c>
      <c r="W108" s="2">
        <f t="shared" ca="1" si="3"/>
        <v>1.891</v>
      </c>
      <c r="X108" s="2">
        <f t="shared" ca="1" si="3"/>
        <v>2.1120000000000001</v>
      </c>
      <c r="Y108" s="2">
        <f t="shared" ca="1" si="3"/>
        <v>2.3439999999999999</v>
      </c>
    </row>
    <row r="109" spans="2:25" x14ac:dyDescent="0.3">
      <c r="B109" s="6">
        <v>106</v>
      </c>
      <c r="C109" s="9">
        <v>1.462</v>
      </c>
      <c r="D109" s="9">
        <v>1.3819999999999999</v>
      </c>
      <c r="E109" s="9">
        <v>1.3839999999999999</v>
      </c>
      <c r="F109" s="9">
        <v>1.3560000000000001</v>
      </c>
      <c r="I109" s="2">
        <f t="shared" ca="1" si="3"/>
        <v>2.4420000000000002</v>
      </c>
      <c r="J109" s="2">
        <f t="shared" ca="1" si="3"/>
        <v>2.1669999999999998</v>
      </c>
      <c r="K109" s="2">
        <f t="shared" ca="1" si="3"/>
        <v>1.948</v>
      </c>
      <c r="L109" s="2">
        <f t="shared" ca="1" si="3"/>
        <v>1.7430000000000001</v>
      </c>
      <c r="M109" s="2">
        <f t="shared" ca="1" si="3"/>
        <v>1.5580000000000001</v>
      </c>
      <c r="N109" s="2">
        <f t="shared" ca="1" si="3"/>
        <v>1.399</v>
      </c>
      <c r="O109" s="2">
        <f t="shared" ca="1" si="3"/>
        <v>1.2809999999999999</v>
      </c>
      <c r="P109" s="2">
        <f t="shared" ca="1" si="3"/>
        <v>1.2170000000000001</v>
      </c>
      <c r="Q109" s="2">
        <f t="shared" ca="1" si="3"/>
        <v>1.198</v>
      </c>
      <c r="R109" s="2">
        <f t="shared" ca="1" si="3"/>
        <v>1.218</v>
      </c>
      <c r="S109" s="2">
        <f t="shared" ca="1" si="3"/>
        <v>1.284</v>
      </c>
      <c r="T109" s="2">
        <f t="shared" ca="1" si="3"/>
        <v>1.4039999999999999</v>
      </c>
      <c r="U109" s="2">
        <f t="shared" ca="1" si="3"/>
        <v>1.569</v>
      </c>
      <c r="V109" s="2">
        <f t="shared" ca="1" si="3"/>
        <v>1.766</v>
      </c>
      <c r="W109" s="2">
        <f t="shared" ca="1" si="3"/>
        <v>1.978</v>
      </c>
      <c r="X109" s="2">
        <f t="shared" ca="1" si="3"/>
        <v>2.1970000000000001</v>
      </c>
      <c r="Y109" s="2">
        <f t="shared" ca="1" si="3"/>
        <v>2.4689999999999999</v>
      </c>
    </row>
    <row r="110" spans="2:25" x14ac:dyDescent="0.3">
      <c r="B110" s="6">
        <v>107</v>
      </c>
      <c r="C110" s="9">
        <v>1.262</v>
      </c>
      <c r="D110" s="9">
        <v>1.22</v>
      </c>
      <c r="E110" s="9">
        <v>1.2230000000000001</v>
      </c>
      <c r="F110" s="9">
        <v>1.202</v>
      </c>
      <c r="I110" s="2">
        <f t="shared" ca="1" si="3"/>
        <v>2.6230000000000002</v>
      </c>
      <c r="J110" s="2">
        <f t="shared" ca="1" si="3"/>
        <v>2.298</v>
      </c>
      <c r="K110" s="2">
        <f t="shared" ca="1" si="3"/>
        <v>2.0670000000000002</v>
      </c>
      <c r="L110" s="2">
        <f t="shared" ca="1" si="3"/>
        <v>1.8740000000000001</v>
      </c>
      <c r="M110" s="2">
        <f t="shared" ca="1" si="3"/>
        <v>1.7</v>
      </c>
      <c r="N110" s="2">
        <f t="shared" ca="1" si="3"/>
        <v>1.5569999999999999</v>
      </c>
      <c r="O110" s="2">
        <f t="shared" ca="1" si="3"/>
        <v>1.4470000000000001</v>
      </c>
      <c r="P110" s="2">
        <f t="shared" ca="1" si="3"/>
        <v>1.379</v>
      </c>
      <c r="Q110" s="2">
        <f t="shared" ca="1" si="3"/>
        <v>1.3580000000000001</v>
      </c>
      <c r="R110" s="2">
        <f t="shared" ca="1" si="3"/>
        <v>1.38</v>
      </c>
      <c r="S110" s="2">
        <f t="shared" ca="1" si="3"/>
        <v>1.45</v>
      </c>
      <c r="T110" s="2">
        <f t="shared" ca="1" si="3"/>
        <v>1.5649999999999999</v>
      </c>
      <c r="U110" s="2">
        <f t="shared" ca="1" si="3"/>
        <v>1.716</v>
      </c>
      <c r="V110" s="2">
        <f t="shared" ca="1" si="3"/>
        <v>1.8979999999999999</v>
      </c>
      <c r="W110" s="2">
        <f t="shared" ca="1" si="3"/>
        <v>2.09</v>
      </c>
      <c r="X110" s="2">
        <f t="shared" ca="1" si="3"/>
        <v>2.3220000000000001</v>
      </c>
      <c r="Y110" s="2">
        <f t="shared" ca="1" si="3"/>
        <v>2.633</v>
      </c>
    </row>
    <row r="111" spans="2:25" x14ac:dyDescent="0.3">
      <c r="B111" s="6">
        <v>108</v>
      </c>
      <c r="C111" s="9">
        <v>1.123</v>
      </c>
      <c r="D111" s="9">
        <v>1.1040000000000001</v>
      </c>
      <c r="E111" s="9">
        <v>1.1060000000000001</v>
      </c>
      <c r="F111" s="9">
        <v>1.093</v>
      </c>
      <c r="I111" s="2">
        <f t="shared" ca="1" si="3"/>
        <v>2.8140000000000001</v>
      </c>
      <c r="J111" s="2">
        <f t="shared" ca="1" si="3"/>
        <v>2.4940000000000002</v>
      </c>
      <c r="K111" s="2">
        <f t="shared" ca="1" si="3"/>
        <v>2.2269999999999999</v>
      </c>
      <c r="L111" s="2">
        <f t="shared" ca="1" si="3"/>
        <v>2.0390000000000001</v>
      </c>
      <c r="M111" s="2">
        <f t="shared" ca="1" si="3"/>
        <v>1.8759999999999999</v>
      </c>
      <c r="N111" s="2">
        <f t="shared" ca="1" si="3"/>
        <v>1.7390000000000001</v>
      </c>
      <c r="O111" s="2">
        <f t="shared" ca="1" si="3"/>
        <v>1.64</v>
      </c>
      <c r="P111" s="2">
        <f t="shared" ca="1" si="3"/>
        <v>1.5820000000000001</v>
      </c>
      <c r="Q111" s="2">
        <f t="shared" ca="1" si="3"/>
        <v>1.5660000000000001</v>
      </c>
      <c r="R111" s="2">
        <f t="shared" ca="1" si="3"/>
        <v>1.59</v>
      </c>
      <c r="S111" s="2">
        <f t="shared" ca="1" si="3"/>
        <v>1.6579999999999999</v>
      </c>
      <c r="T111" s="2">
        <f t="shared" ca="1" si="3"/>
        <v>1.762</v>
      </c>
      <c r="U111" s="2">
        <f t="shared" ca="1" si="3"/>
        <v>1.9</v>
      </c>
      <c r="V111" s="2">
        <f t="shared" ca="1" si="3"/>
        <v>2.0590000000000002</v>
      </c>
      <c r="W111" s="2">
        <f t="shared" ca="1" si="3"/>
        <v>2.2400000000000002</v>
      </c>
      <c r="X111" s="2">
        <f t="shared" ca="1" si="3"/>
        <v>2.4950000000000001</v>
      </c>
      <c r="Y111" s="2">
        <f t="shared" ca="1" si="3"/>
        <v>2.7770000000000001</v>
      </c>
    </row>
    <row r="112" spans="2:25" x14ac:dyDescent="0.3">
      <c r="B112" s="6">
        <v>109</v>
      </c>
      <c r="C112" s="9">
        <v>1.0329999999999999</v>
      </c>
      <c r="D112" s="9">
        <v>1.026</v>
      </c>
      <c r="E112" s="9">
        <v>1.0269999999999999</v>
      </c>
      <c r="F112" s="9">
        <v>1.0249999999999999</v>
      </c>
      <c r="I112" s="13">
        <f t="shared" ca="1" si="3"/>
        <v>2.97</v>
      </c>
      <c r="J112" s="2">
        <f t="shared" ca="1" si="3"/>
        <v>2.7360000000000002</v>
      </c>
      <c r="K112" s="2">
        <f t="shared" ca="1" si="3"/>
        <v>2.4660000000000002</v>
      </c>
      <c r="L112" s="2">
        <f t="shared" ca="1" si="3"/>
        <v>2.2450000000000001</v>
      </c>
      <c r="M112" s="2">
        <f t="shared" ca="1" si="3"/>
        <v>2.0939999999999999</v>
      </c>
      <c r="N112" s="2">
        <f t="shared" ca="1" si="3"/>
        <v>1.96</v>
      </c>
      <c r="O112" s="2">
        <f t="shared" ca="1" si="3"/>
        <v>1.8620000000000001</v>
      </c>
      <c r="P112" s="2">
        <f t="shared" ca="1" si="3"/>
        <v>1.8049999999999999</v>
      </c>
      <c r="Q112" s="2">
        <f t="shared" ca="1" si="3"/>
        <v>1.792</v>
      </c>
      <c r="R112" s="2">
        <f t="shared" ca="1" si="3"/>
        <v>1.821</v>
      </c>
      <c r="S112" s="2">
        <f t="shared" ca="1" si="3"/>
        <v>1.8959999999999999</v>
      </c>
      <c r="T112" s="2">
        <f t="shared" ca="1" si="3"/>
        <v>1.9990000000000001</v>
      </c>
      <c r="U112" s="2">
        <f t="shared" ca="1" si="3"/>
        <v>2.125</v>
      </c>
      <c r="V112" s="2">
        <f t="shared" ca="1" si="3"/>
        <v>2.262</v>
      </c>
      <c r="W112" s="2">
        <f t="shared" ca="1" si="3"/>
        <v>2.4670000000000001</v>
      </c>
      <c r="X112" s="2">
        <f t="shared" ca="1" si="3"/>
        <v>2.6949999999999998</v>
      </c>
      <c r="Y112" s="13">
        <f t="shared" ca="1" si="3"/>
        <v>2.8580000000000001</v>
      </c>
    </row>
    <row r="113" spans="2:6" x14ac:dyDescent="0.3">
      <c r="B113" s="6">
        <v>110</v>
      </c>
      <c r="C113" s="9">
        <v>1.004</v>
      </c>
      <c r="D113" s="9">
        <v>1.004</v>
      </c>
      <c r="E113" s="9">
        <v>1.0049999999999999</v>
      </c>
      <c r="F113" s="9">
        <v>1.008</v>
      </c>
    </row>
    <row r="114" spans="2:6" x14ac:dyDescent="0.3">
      <c r="B114" s="6">
        <v>111</v>
      </c>
      <c r="C114" s="9">
        <v>1.036</v>
      </c>
      <c r="D114" s="9">
        <v>1.032</v>
      </c>
      <c r="E114" s="9">
        <v>1.032</v>
      </c>
      <c r="F114" s="9">
        <v>1.03</v>
      </c>
    </row>
    <row r="115" spans="2:6" x14ac:dyDescent="0.3">
      <c r="B115" s="6">
        <v>112</v>
      </c>
      <c r="C115" s="9">
        <v>1.1299999999999999</v>
      </c>
      <c r="D115" s="9">
        <v>1.1160000000000001</v>
      </c>
      <c r="E115" s="9">
        <v>1.1160000000000001</v>
      </c>
      <c r="F115" s="9">
        <v>1.107</v>
      </c>
    </row>
    <row r="116" spans="2:6" x14ac:dyDescent="0.3">
      <c r="B116" s="6">
        <v>113</v>
      </c>
      <c r="C116" s="9">
        <v>1.268</v>
      </c>
      <c r="D116" s="9">
        <v>1.2330000000000001</v>
      </c>
      <c r="E116" s="9">
        <v>1.234</v>
      </c>
      <c r="F116" s="9">
        <v>1.2190000000000001</v>
      </c>
    </row>
    <row r="117" spans="2:6" x14ac:dyDescent="0.3">
      <c r="B117" s="6">
        <v>114</v>
      </c>
      <c r="C117" s="9">
        <v>1.4670000000000001</v>
      </c>
      <c r="D117" s="9">
        <v>1.397</v>
      </c>
      <c r="E117" s="9">
        <v>1.397</v>
      </c>
      <c r="F117" s="9">
        <v>1.3779999999999999</v>
      </c>
    </row>
    <row r="118" spans="2:6" x14ac:dyDescent="0.3">
      <c r="B118" s="6">
        <v>115</v>
      </c>
      <c r="C118" s="9">
        <v>1.7270000000000001</v>
      </c>
      <c r="D118" s="9">
        <v>1.6060000000000001</v>
      </c>
      <c r="E118" s="9">
        <v>1.6060000000000001</v>
      </c>
      <c r="F118" s="9">
        <v>1.583</v>
      </c>
    </row>
    <row r="119" spans="2:6" x14ac:dyDescent="0.3">
      <c r="B119" s="6">
        <v>116</v>
      </c>
      <c r="C119" s="9">
        <v>2.008</v>
      </c>
      <c r="D119" s="9">
        <v>1.831</v>
      </c>
      <c r="E119" s="9">
        <v>1.831</v>
      </c>
      <c r="F119" s="9">
        <v>1.8009999999999999</v>
      </c>
    </row>
    <row r="120" spans="2:6" x14ac:dyDescent="0.3">
      <c r="B120" s="6">
        <v>117</v>
      </c>
      <c r="C120" s="9">
        <v>2.298</v>
      </c>
      <c r="D120" s="9">
        <v>2.0739999999999998</v>
      </c>
      <c r="E120" s="9">
        <v>2.073</v>
      </c>
      <c r="F120" s="9">
        <v>2.0329999999999999</v>
      </c>
    </row>
    <row r="121" spans="2:6" x14ac:dyDescent="0.3">
      <c r="B121" s="6">
        <v>118</v>
      </c>
      <c r="C121" s="9">
        <v>2.581</v>
      </c>
      <c r="D121" s="9">
        <v>2.3250000000000002</v>
      </c>
      <c r="E121" s="9">
        <v>2.323</v>
      </c>
      <c r="F121" s="9">
        <v>2.27</v>
      </c>
    </row>
    <row r="122" spans="2:6" x14ac:dyDescent="0.3">
      <c r="B122" s="6">
        <v>119</v>
      </c>
      <c r="C122" s="9">
        <v>2.6389999999999998</v>
      </c>
      <c r="D122" s="9">
        <v>2.347</v>
      </c>
      <c r="E122" s="9">
        <v>2.347</v>
      </c>
      <c r="F122" s="9">
        <v>2.2829999999999999</v>
      </c>
    </row>
    <row r="123" spans="2:6" x14ac:dyDescent="0.3">
      <c r="B123" s="6">
        <v>120</v>
      </c>
      <c r="C123" s="9">
        <v>2.3260000000000001</v>
      </c>
      <c r="D123" s="9">
        <v>2.0790000000000002</v>
      </c>
      <c r="E123" s="9">
        <v>2.08</v>
      </c>
      <c r="F123" s="9">
        <v>2.0270000000000001</v>
      </c>
    </row>
    <row r="124" spans="2:6" x14ac:dyDescent="0.3">
      <c r="B124" s="6">
        <v>121</v>
      </c>
      <c r="C124" s="9">
        <v>2.0249999999999999</v>
      </c>
      <c r="D124" s="9">
        <v>1.8340000000000001</v>
      </c>
      <c r="E124" s="9">
        <v>1.835</v>
      </c>
      <c r="F124" s="9">
        <v>1.79</v>
      </c>
    </row>
    <row r="125" spans="2:6" x14ac:dyDescent="0.3">
      <c r="B125" s="6">
        <v>122</v>
      </c>
      <c r="C125" s="9">
        <v>1.744</v>
      </c>
      <c r="D125" s="9">
        <v>1.609</v>
      </c>
      <c r="E125" s="9">
        <v>1.611</v>
      </c>
      <c r="F125" s="9">
        <v>1.573</v>
      </c>
    </row>
    <row r="126" spans="2:6" x14ac:dyDescent="0.3">
      <c r="B126" s="6">
        <v>123</v>
      </c>
      <c r="C126" s="9">
        <v>1.486</v>
      </c>
      <c r="D126" s="9">
        <v>1.403</v>
      </c>
      <c r="E126" s="9">
        <v>1.405</v>
      </c>
      <c r="F126" s="9">
        <v>1.3740000000000001</v>
      </c>
    </row>
    <row r="127" spans="2:6" x14ac:dyDescent="0.3">
      <c r="B127" s="6">
        <v>124</v>
      </c>
      <c r="C127" s="9">
        <v>1.286</v>
      </c>
      <c r="D127" s="9">
        <v>1.2390000000000001</v>
      </c>
      <c r="E127" s="9">
        <v>1.2410000000000001</v>
      </c>
      <c r="F127" s="9">
        <v>1.216</v>
      </c>
    </row>
    <row r="128" spans="2:6" x14ac:dyDescent="0.3">
      <c r="B128" s="6">
        <v>125</v>
      </c>
      <c r="C128" s="9">
        <v>1.1459999999999999</v>
      </c>
      <c r="D128" s="9">
        <v>1.1220000000000001</v>
      </c>
      <c r="E128" s="9">
        <v>1.123</v>
      </c>
      <c r="F128" s="9">
        <v>1.107</v>
      </c>
    </row>
    <row r="129" spans="2:6" x14ac:dyDescent="0.3">
      <c r="B129" s="6">
        <v>126</v>
      </c>
      <c r="C129" s="9">
        <v>1.0569999999999999</v>
      </c>
      <c r="D129" s="9">
        <v>1.0449999999999999</v>
      </c>
      <c r="E129" s="9">
        <v>1.0449999999999999</v>
      </c>
      <c r="F129" s="9">
        <v>1.0389999999999999</v>
      </c>
    </row>
    <row r="130" spans="2:6" x14ac:dyDescent="0.3">
      <c r="B130" s="6">
        <v>127</v>
      </c>
      <c r="C130" s="9">
        <v>1.028</v>
      </c>
      <c r="D130" s="9">
        <v>1.0229999999999999</v>
      </c>
      <c r="E130" s="9">
        <v>1.0229999999999999</v>
      </c>
      <c r="F130" s="9">
        <v>1.0209999999999999</v>
      </c>
    </row>
    <row r="131" spans="2:6" x14ac:dyDescent="0.3">
      <c r="B131" s="6">
        <v>128</v>
      </c>
      <c r="C131" s="9">
        <v>1.0649999999999999</v>
      </c>
      <c r="D131" s="9">
        <v>1.0549999999999999</v>
      </c>
      <c r="E131" s="9">
        <v>1.054</v>
      </c>
      <c r="F131" s="9">
        <v>1.05</v>
      </c>
    </row>
    <row r="132" spans="2:6" x14ac:dyDescent="0.3">
      <c r="B132" s="6">
        <v>129</v>
      </c>
      <c r="C132" s="9">
        <v>1.1579999999999999</v>
      </c>
      <c r="D132" s="9">
        <v>1.139</v>
      </c>
      <c r="E132" s="9">
        <v>1.139</v>
      </c>
      <c r="F132" s="9">
        <v>1.1259999999999999</v>
      </c>
    </row>
    <row r="133" spans="2:6" x14ac:dyDescent="0.3">
      <c r="B133" s="6">
        <v>130</v>
      </c>
      <c r="C133" s="9">
        <v>1.2969999999999999</v>
      </c>
      <c r="D133" s="9">
        <v>1.2569999999999999</v>
      </c>
      <c r="E133" s="9">
        <v>1.2569999999999999</v>
      </c>
      <c r="F133" s="9">
        <v>1.2390000000000001</v>
      </c>
    </row>
    <row r="134" spans="2:6" x14ac:dyDescent="0.3">
      <c r="B134" s="6">
        <v>131</v>
      </c>
      <c r="C134" s="9">
        <v>1.4990000000000001</v>
      </c>
      <c r="D134" s="9">
        <v>1.423</v>
      </c>
      <c r="E134" s="9">
        <v>1.423</v>
      </c>
      <c r="F134" s="9">
        <v>1.401</v>
      </c>
    </row>
    <row r="135" spans="2:6" x14ac:dyDescent="0.3">
      <c r="B135" s="6">
        <v>132</v>
      </c>
      <c r="C135" s="9">
        <v>1.7549999999999999</v>
      </c>
      <c r="D135" s="9">
        <v>1.631</v>
      </c>
      <c r="E135" s="9">
        <v>1.631</v>
      </c>
      <c r="F135" s="9">
        <v>1.6040000000000001</v>
      </c>
    </row>
    <row r="136" spans="2:6" x14ac:dyDescent="0.3">
      <c r="B136" s="6">
        <v>133</v>
      </c>
      <c r="C136" s="9">
        <v>2.0310000000000001</v>
      </c>
      <c r="D136" s="9">
        <v>1.8540000000000001</v>
      </c>
      <c r="E136" s="9">
        <v>1.853</v>
      </c>
      <c r="F136" s="9">
        <v>1.8220000000000001</v>
      </c>
    </row>
    <row r="137" spans="2:6" x14ac:dyDescent="0.3">
      <c r="B137" s="6">
        <v>134</v>
      </c>
      <c r="C137" s="9">
        <v>2.3130000000000002</v>
      </c>
      <c r="D137" s="9">
        <v>2.089</v>
      </c>
      <c r="E137" s="9">
        <v>2.0880000000000001</v>
      </c>
      <c r="F137" s="9">
        <v>2.048</v>
      </c>
    </row>
    <row r="138" spans="2:6" x14ac:dyDescent="0.3">
      <c r="B138" s="6">
        <v>135</v>
      </c>
      <c r="C138" s="9">
        <v>2.5870000000000002</v>
      </c>
      <c r="D138" s="9">
        <v>2.3359999999999999</v>
      </c>
      <c r="E138" s="9">
        <v>2.3330000000000002</v>
      </c>
      <c r="F138" s="9">
        <v>2.274</v>
      </c>
    </row>
    <row r="139" spans="2:6" x14ac:dyDescent="0.3">
      <c r="B139" s="6">
        <v>136</v>
      </c>
      <c r="C139" s="9">
        <v>2.7040000000000002</v>
      </c>
      <c r="D139" s="9">
        <v>2.407</v>
      </c>
      <c r="E139" s="9">
        <v>2.407</v>
      </c>
      <c r="F139" s="9">
        <v>2.3439999999999999</v>
      </c>
    </row>
    <row r="140" spans="2:6" x14ac:dyDescent="0.3">
      <c r="B140" s="6">
        <v>137</v>
      </c>
      <c r="C140" s="9">
        <v>2.3980000000000001</v>
      </c>
      <c r="D140" s="9">
        <v>2.145</v>
      </c>
      <c r="E140" s="9">
        <v>2.145</v>
      </c>
      <c r="F140" s="9">
        <v>2.09</v>
      </c>
    </row>
    <row r="141" spans="2:6" x14ac:dyDescent="0.3">
      <c r="B141" s="6">
        <v>138</v>
      </c>
      <c r="C141" s="9">
        <v>2.1110000000000002</v>
      </c>
      <c r="D141" s="9">
        <v>1.9079999999999999</v>
      </c>
      <c r="E141" s="9">
        <v>1.9079999999999999</v>
      </c>
      <c r="F141" s="9">
        <v>1.861</v>
      </c>
    </row>
    <row r="142" spans="2:6" x14ac:dyDescent="0.3">
      <c r="B142" s="6">
        <v>139</v>
      </c>
      <c r="C142" s="9">
        <v>1.8360000000000001</v>
      </c>
      <c r="D142" s="9">
        <v>1.6859999999999999</v>
      </c>
      <c r="E142" s="9">
        <v>1.6859999999999999</v>
      </c>
      <c r="F142" s="9">
        <v>1.6439999999999999</v>
      </c>
    </row>
    <row r="143" spans="2:6" x14ac:dyDescent="0.3">
      <c r="B143" s="6">
        <v>140</v>
      </c>
      <c r="C143" s="9">
        <v>1.5840000000000001</v>
      </c>
      <c r="D143" s="9">
        <v>1.484</v>
      </c>
      <c r="E143" s="9">
        <v>1.484</v>
      </c>
      <c r="F143" s="9">
        <v>1.444</v>
      </c>
    </row>
    <row r="144" spans="2:6" x14ac:dyDescent="0.3">
      <c r="B144" s="6">
        <v>141</v>
      </c>
      <c r="C144" s="9">
        <v>1.377</v>
      </c>
      <c r="D144" s="9">
        <v>1.3140000000000001</v>
      </c>
      <c r="E144" s="9">
        <v>1.3140000000000001</v>
      </c>
      <c r="F144" s="9">
        <v>1.28</v>
      </c>
    </row>
    <row r="145" spans="2:6" x14ac:dyDescent="0.3">
      <c r="B145" s="6">
        <v>142</v>
      </c>
      <c r="C145" s="9">
        <v>1.2350000000000001</v>
      </c>
      <c r="D145" s="9">
        <v>1.1970000000000001</v>
      </c>
      <c r="E145" s="9">
        <v>1.1970000000000001</v>
      </c>
      <c r="F145" s="9">
        <v>1.1719999999999999</v>
      </c>
    </row>
    <row r="146" spans="2:6" x14ac:dyDescent="0.3">
      <c r="B146" s="6">
        <v>143</v>
      </c>
      <c r="C146" s="9">
        <v>1.1479999999999999</v>
      </c>
      <c r="D146" s="9">
        <v>1.1259999999999999</v>
      </c>
      <c r="E146" s="9">
        <v>1.125</v>
      </c>
      <c r="F146" s="9">
        <v>1.109</v>
      </c>
    </row>
    <row r="147" spans="2:6" x14ac:dyDescent="0.3">
      <c r="B147" s="6">
        <v>144</v>
      </c>
      <c r="C147" s="9">
        <v>1.1180000000000001</v>
      </c>
      <c r="D147" s="9">
        <v>1.103</v>
      </c>
      <c r="E147" s="9">
        <v>1.1020000000000001</v>
      </c>
      <c r="F147" s="9">
        <v>1.091</v>
      </c>
    </row>
    <row r="148" spans="2:6" x14ac:dyDescent="0.3">
      <c r="B148" s="6">
        <v>145</v>
      </c>
      <c r="C148" s="9">
        <v>1.151</v>
      </c>
      <c r="D148" s="9">
        <v>1.1299999999999999</v>
      </c>
      <c r="E148" s="9">
        <v>1.129</v>
      </c>
      <c r="F148" s="9">
        <v>1.1140000000000001</v>
      </c>
    </row>
    <row r="149" spans="2:6" x14ac:dyDescent="0.3">
      <c r="B149" s="6">
        <v>146</v>
      </c>
      <c r="C149" s="9">
        <v>1.24</v>
      </c>
      <c r="D149" s="9">
        <v>1.206</v>
      </c>
      <c r="E149" s="9">
        <v>1.204</v>
      </c>
      <c r="F149" s="9">
        <v>1.1830000000000001</v>
      </c>
    </row>
    <row r="150" spans="2:6" x14ac:dyDescent="0.3">
      <c r="B150" s="6">
        <v>147</v>
      </c>
      <c r="C150" s="9">
        <v>1.3839999999999999</v>
      </c>
      <c r="D150" s="9">
        <v>1.327</v>
      </c>
      <c r="E150" s="9">
        <v>1.3260000000000001</v>
      </c>
      <c r="F150" s="9">
        <v>1.2989999999999999</v>
      </c>
    </row>
    <row r="151" spans="2:6" x14ac:dyDescent="0.3">
      <c r="B151" s="6">
        <v>148</v>
      </c>
      <c r="C151" s="9">
        <v>1.593</v>
      </c>
      <c r="D151" s="9">
        <v>1.5009999999999999</v>
      </c>
      <c r="E151" s="9">
        <v>1.5</v>
      </c>
      <c r="F151" s="9">
        <v>1.47</v>
      </c>
    </row>
    <row r="152" spans="2:6" x14ac:dyDescent="0.3">
      <c r="B152" s="6">
        <v>149</v>
      </c>
      <c r="C152" s="9">
        <v>1.8460000000000001</v>
      </c>
      <c r="D152" s="9">
        <v>1.7050000000000001</v>
      </c>
      <c r="E152" s="9">
        <v>1.7030000000000001</v>
      </c>
      <c r="F152" s="9">
        <v>1.675</v>
      </c>
    </row>
    <row r="153" spans="2:6" x14ac:dyDescent="0.3">
      <c r="B153" s="6">
        <v>150</v>
      </c>
      <c r="C153" s="9">
        <v>2.1150000000000002</v>
      </c>
      <c r="D153" s="9">
        <v>1.9239999999999999</v>
      </c>
      <c r="E153" s="9">
        <v>1.9219999999999999</v>
      </c>
      <c r="F153" s="9">
        <v>1.891</v>
      </c>
    </row>
    <row r="154" spans="2:6" x14ac:dyDescent="0.3">
      <c r="B154" s="6">
        <v>151</v>
      </c>
      <c r="C154" s="9">
        <v>2.387</v>
      </c>
      <c r="D154" s="9">
        <v>2.1560000000000001</v>
      </c>
      <c r="E154" s="9">
        <v>2.1539999999999999</v>
      </c>
      <c r="F154" s="9">
        <v>2.1120000000000001</v>
      </c>
    </row>
    <row r="155" spans="2:6" x14ac:dyDescent="0.3">
      <c r="B155" s="6">
        <v>152</v>
      </c>
      <c r="C155" s="9">
        <v>2.6640000000000001</v>
      </c>
      <c r="D155" s="9">
        <v>2.411</v>
      </c>
      <c r="E155" s="9">
        <v>2.407</v>
      </c>
      <c r="F155" s="9">
        <v>2.3439999999999999</v>
      </c>
    </row>
    <row r="156" spans="2:6" x14ac:dyDescent="0.3">
      <c r="B156" s="6">
        <v>153</v>
      </c>
      <c r="C156" s="9">
        <v>2.8170000000000002</v>
      </c>
      <c r="D156" s="9">
        <v>2.5179999999999998</v>
      </c>
      <c r="E156" s="9">
        <v>2.5169999999999999</v>
      </c>
      <c r="F156" s="9">
        <v>2.4420000000000002</v>
      </c>
    </row>
    <row r="157" spans="2:6" x14ac:dyDescent="0.3">
      <c r="B157" s="6">
        <v>154</v>
      </c>
      <c r="C157" s="9">
        <v>2.4940000000000002</v>
      </c>
      <c r="D157" s="9">
        <v>2.2309999999999999</v>
      </c>
      <c r="E157" s="9">
        <v>2.2290000000000001</v>
      </c>
      <c r="F157" s="9">
        <v>2.1669999999999998</v>
      </c>
    </row>
    <row r="158" spans="2:6" x14ac:dyDescent="0.3">
      <c r="B158" s="6">
        <v>155</v>
      </c>
      <c r="C158" s="9">
        <v>2.222</v>
      </c>
      <c r="D158" s="9">
        <v>2.0019999999999998</v>
      </c>
      <c r="E158" s="9">
        <v>2.0009999999999999</v>
      </c>
      <c r="F158" s="9">
        <v>1.948</v>
      </c>
    </row>
    <row r="159" spans="2:6" x14ac:dyDescent="0.3">
      <c r="B159" s="6">
        <v>156</v>
      </c>
      <c r="C159" s="9">
        <v>1.9670000000000001</v>
      </c>
      <c r="D159" s="9">
        <v>1.794</v>
      </c>
      <c r="E159" s="9">
        <v>1.7929999999999999</v>
      </c>
      <c r="F159" s="9">
        <v>1.7430000000000001</v>
      </c>
    </row>
    <row r="160" spans="2:6" x14ac:dyDescent="0.3">
      <c r="B160" s="6">
        <v>157</v>
      </c>
      <c r="C160" s="9">
        <v>1.732</v>
      </c>
      <c r="D160" s="9">
        <v>1.605</v>
      </c>
      <c r="E160" s="9">
        <v>1.6040000000000001</v>
      </c>
      <c r="F160" s="9">
        <v>1.5580000000000001</v>
      </c>
    </row>
    <row r="161" spans="2:6" x14ac:dyDescent="0.3">
      <c r="B161" s="6">
        <v>158</v>
      </c>
      <c r="C161" s="9">
        <v>1.528</v>
      </c>
      <c r="D161" s="9">
        <v>1.44</v>
      </c>
      <c r="E161" s="9">
        <v>1.4390000000000001</v>
      </c>
      <c r="F161" s="9">
        <v>1.399</v>
      </c>
    </row>
    <row r="162" spans="2:6" x14ac:dyDescent="0.3">
      <c r="B162" s="6">
        <v>159</v>
      </c>
      <c r="C162" s="9">
        <v>1.375</v>
      </c>
      <c r="D162" s="9">
        <v>1.3160000000000001</v>
      </c>
      <c r="E162" s="9">
        <v>1.3149999999999999</v>
      </c>
      <c r="F162" s="9">
        <v>1.2809999999999999</v>
      </c>
    </row>
    <row r="163" spans="2:6" x14ac:dyDescent="0.3">
      <c r="B163" s="6">
        <v>160</v>
      </c>
      <c r="C163" s="9">
        <v>1.2849999999999999</v>
      </c>
      <c r="D163" s="9">
        <v>1.244</v>
      </c>
      <c r="E163" s="9">
        <v>1.2430000000000001</v>
      </c>
      <c r="F163" s="9">
        <v>1.2170000000000001</v>
      </c>
    </row>
    <row r="164" spans="2:6" x14ac:dyDescent="0.3">
      <c r="B164" s="6">
        <v>161</v>
      </c>
      <c r="C164" s="9">
        <v>1.254</v>
      </c>
      <c r="D164" s="9">
        <v>1.2210000000000001</v>
      </c>
      <c r="E164" s="9">
        <v>1.218</v>
      </c>
      <c r="F164" s="9">
        <v>1.198</v>
      </c>
    </row>
    <row r="165" spans="2:6" x14ac:dyDescent="0.3">
      <c r="B165" s="6">
        <v>162</v>
      </c>
      <c r="C165" s="9">
        <v>1.284</v>
      </c>
      <c r="D165" s="9">
        <v>1.244</v>
      </c>
      <c r="E165" s="9">
        <v>1.242</v>
      </c>
      <c r="F165" s="9">
        <v>1.218</v>
      </c>
    </row>
    <row r="166" spans="2:6" x14ac:dyDescent="0.3">
      <c r="B166" s="6">
        <v>163</v>
      </c>
      <c r="C166" s="9">
        <v>1.3720000000000001</v>
      </c>
      <c r="D166" s="9">
        <v>1.3169999999999999</v>
      </c>
      <c r="E166" s="9">
        <v>1.3149999999999999</v>
      </c>
      <c r="F166" s="9">
        <v>1.284</v>
      </c>
    </row>
    <row r="167" spans="2:6" x14ac:dyDescent="0.3">
      <c r="B167" s="6">
        <v>164</v>
      </c>
      <c r="C167" s="9">
        <v>1.522</v>
      </c>
      <c r="D167" s="9">
        <v>1.4410000000000001</v>
      </c>
      <c r="E167" s="9">
        <v>1.4390000000000001</v>
      </c>
      <c r="F167" s="9">
        <v>1.4039999999999999</v>
      </c>
    </row>
    <row r="168" spans="2:6" x14ac:dyDescent="0.3">
      <c r="B168" s="6">
        <v>165</v>
      </c>
      <c r="C168" s="9">
        <v>1.726</v>
      </c>
      <c r="D168" s="9">
        <v>1.609</v>
      </c>
      <c r="E168" s="9">
        <v>1.607</v>
      </c>
      <c r="F168" s="9">
        <v>1.569</v>
      </c>
    </row>
    <row r="169" spans="2:6" x14ac:dyDescent="0.3">
      <c r="B169" s="6">
        <v>166</v>
      </c>
      <c r="C169" s="9">
        <v>1.9670000000000001</v>
      </c>
      <c r="D169" s="9">
        <v>1.8049999999999999</v>
      </c>
      <c r="E169" s="9">
        <v>1.802</v>
      </c>
      <c r="F169" s="9">
        <v>1.766</v>
      </c>
    </row>
    <row r="170" spans="2:6" x14ac:dyDescent="0.3">
      <c r="B170" s="6">
        <v>167</v>
      </c>
      <c r="C170" s="9">
        <v>2.2269999999999999</v>
      </c>
      <c r="D170" s="9">
        <v>2.02</v>
      </c>
      <c r="E170" s="9">
        <v>2.0169999999999999</v>
      </c>
      <c r="F170" s="9">
        <v>1.978</v>
      </c>
    </row>
    <row r="171" spans="2:6" x14ac:dyDescent="0.3">
      <c r="B171" s="6">
        <v>168</v>
      </c>
      <c r="C171" s="9">
        <v>2.492</v>
      </c>
      <c r="D171" s="9">
        <v>2.2509999999999999</v>
      </c>
      <c r="E171" s="9">
        <v>2.2469999999999999</v>
      </c>
      <c r="F171" s="9">
        <v>2.1970000000000001</v>
      </c>
    </row>
    <row r="172" spans="2:6" x14ac:dyDescent="0.3">
      <c r="B172" s="6">
        <v>169</v>
      </c>
      <c r="C172" s="9">
        <v>2.8010000000000002</v>
      </c>
      <c r="D172" s="9">
        <v>2.5390000000000001</v>
      </c>
      <c r="E172" s="9">
        <v>2.5339999999999998</v>
      </c>
      <c r="F172" s="9">
        <v>2.4689999999999999</v>
      </c>
    </row>
    <row r="173" spans="2:6" x14ac:dyDescent="0.3">
      <c r="B173" s="6">
        <v>170</v>
      </c>
      <c r="C173" s="9">
        <v>3.0289999999999999</v>
      </c>
      <c r="D173" s="9">
        <v>2.71</v>
      </c>
      <c r="E173" s="9">
        <v>2.7080000000000002</v>
      </c>
      <c r="F173" s="9">
        <v>2.6230000000000002</v>
      </c>
    </row>
    <row r="174" spans="2:6" x14ac:dyDescent="0.3">
      <c r="B174" s="6">
        <v>171</v>
      </c>
      <c r="C174" s="9">
        <v>2.6469999999999998</v>
      </c>
      <c r="D174" s="9">
        <v>2.3719999999999999</v>
      </c>
      <c r="E174" s="9">
        <v>2.37</v>
      </c>
      <c r="F174" s="9">
        <v>2.298</v>
      </c>
    </row>
    <row r="175" spans="2:6" x14ac:dyDescent="0.3">
      <c r="B175" s="6">
        <v>172</v>
      </c>
      <c r="C175" s="9">
        <v>2.37</v>
      </c>
      <c r="D175" s="9">
        <v>2.1309999999999998</v>
      </c>
      <c r="E175" s="9">
        <v>2.129</v>
      </c>
      <c r="F175" s="9">
        <v>2.0670000000000002</v>
      </c>
    </row>
    <row r="176" spans="2:6" x14ac:dyDescent="0.3">
      <c r="B176" s="6">
        <v>173</v>
      </c>
      <c r="C176" s="9">
        <v>2.1339999999999999</v>
      </c>
      <c r="D176" s="9">
        <v>1.9319999999999999</v>
      </c>
      <c r="E176" s="9">
        <v>1.931</v>
      </c>
      <c r="F176" s="9">
        <v>1.8740000000000001</v>
      </c>
    </row>
    <row r="177" spans="2:6" x14ac:dyDescent="0.3">
      <c r="B177" s="6">
        <v>174</v>
      </c>
      <c r="C177" s="9">
        <v>1.915</v>
      </c>
      <c r="D177" s="9">
        <v>1.754</v>
      </c>
      <c r="E177" s="9">
        <v>1.754</v>
      </c>
      <c r="F177" s="9">
        <v>1.7</v>
      </c>
    </row>
    <row r="178" spans="2:6" x14ac:dyDescent="0.3">
      <c r="B178" s="6">
        <v>175</v>
      </c>
      <c r="C178" s="9">
        <v>1.7290000000000001</v>
      </c>
      <c r="D178" s="9">
        <v>1.6060000000000001</v>
      </c>
      <c r="E178" s="9">
        <v>1.605</v>
      </c>
      <c r="F178" s="9">
        <v>1.5569999999999999</v>
      </c>
    </row>
    <row r="179" spans="2:6" x14ac:dyDescent="0.3">
      <c r="B179" s="6">
        <v>176</v>
      </c>
      <c r="C179" s="9">
        <v>1.581</v>
      </c>
      <c r="D179" s="9">
        <v>1.4890000000000001</v>
      </c>
      <c r="E179" s="9">
        <v>1.4870000000000001</v>
      </c>
      <c r="F179" s="9">
        <v>1.4470000000000001</v>
      </c>
    </row>
    <row r="180" spans="2:6" x14ac:dyDescent="0.3">
      <c r="B180" s="6">
        <v>177</v>
      </c>
      <c r="C180" s="9">
        <v>1.488</v>
      </c>
      <c r="D180" s="9">
        <v>1.415</v>
      </c>
      <c r="E180" s="9">
        <v>1.4119999999999999</v>
      </c>
      <c r="F180" s="9">
        <v>1.379</v>
      </c>
    </row>
    <row r="181" spans="2:6" x14ac:dyDescent="0.3">
      <c r="B181" s="6">
        <v>178</v>
      </c>
      <c r="C181" s="9">
        <v>1.456</v>
      </c>
      <c r="D181" s="9">
        <v>1.389</v>
      </c>
      <c r="E181" s="9">
        <v>1.3859999999999999</v>
      </c>
      <c r="F181" s="9">
        <v>1.3580000000000001</v>
      </c>
    </row>
    <row r="182" spans="2:6" x14ac:dyDescent="0.3">
      <c r="B182" s="6">
        <v>179</v>
      </c>
      <c r="C182" s="9">
        <v>1.4850000000000001</v>
      </c>
      <c r="D182" s="9">
        <v>1.4139999999999999</v>
      </c>
      <c r="E182" s="9">
        <v>1.411</v>
      </c>
      <c r="F182" s="9">
        <v>1.38</v>
      </c>
    </row>
    <row r="183" spans="2:6" x14ac:dyDescent="0.3">
      <c r="B183" s="6">
        <v>180</v>
      </c>
      <c r="C183" s="9">
        <v>1.5780000000000001</v>
      </c>
      <c r="D183" s="9">
        <v>1.49</v>
      </c>
      <c r="E183" s="9">
        <v>1.488</v>
      </c>
      <c r="F183" s="9">
        <v>1.45</v>
      </c>
    </row>
    <row r="184" spans="2:6" x14ac:dyDescent="0.3">
      <c r="B184" s="6">
        <v>181</v>
      </c>
      <c r="C184" s="9">
        <v>1.724</v>
      </c>
      <c r="D184" s="9">
        <v>1.61</v>
      </c>
      <c r="E184" s="9">
        <v>1.607</v>
      </c>
      <c r="F184" s="9">
        <v>1.5649999999999999</v>
      </c>
    </row>
    <row r="185" spans="2:6" x14ac:dyDescent="0.3">
      <c r="B185" s="6">
        <v>182</v>
      </c>
      <c r="C185" s="9">
        <v>1.909</v>
      </c>
      <c r="D185" s="9">
        <v>1.76</v>
      </c>
      <c r="E185" s="9">
        <v>1.7569999999999999</v>
      </c>
      <c r="F185" s="9">
        <v>1.716</v>
      </c>
    </row>
    <row r="186" spans="2:6" x14ac:dyDescent="0.3">
      <c r="B186" s="6">
        <v>183</v>
      </c>
      <c r="C186" s="9">
        <v>2.1320000000000001</v>
      </c>
      <c r="D186" s="9">
        <v>1.9430000000000001</v>
      </c>
      <c r="E186" s="9">
        <v>1.9390000000000001</v>
      </c>
      <c r="F186" s="9">
        <v>1.8979999999999999</v>
      </c>
    </row>
    <row r="187" spans="2:6" x14ac:dyDescent="0.3">
      <c r="B187" s="6">
        <v>184</v>
      </c>
      <c r="C187" s="9">
        <v>2.367</v>
      </c>
      <c r="D187" s="9">
        <v>2.1419999999999999</v>
      </c>
      <c r="E187" s="9">
        <v>2.1389999999999998</v>
      </c>
      <c r="F187" s="9">
        <v>2.09</v>
      </c>
    </row>
    <row r="188" spans="2:6" x14ac:dyDescent="0.3">
      <c r="B188" s="6">
        <v>185</v>
      </c>
      <c r="C188" s="9">
        <v>2.64</v>
      </c>
      <c r="D188" s="9">
        <v>2.387</v>
      </c>
      <c r="E188" s="9">
        <v>2.383</v>
      </c>
      <c r="F188" s="9">
        <v>2.3220000000000001</v>
      </c>
    </row>
    <row r="189" spans="2:6" x14ac:dyDescent="0.3">
      <c r="B189" s="6">
        <v>186</v>
      </c>
      <c r="C189" s="9">
        <v>2.9950000000000001</v>
      </c>
      <c r="D189" s="9">
        <v>2.7229999999999999</v>
      </c>
      <c r="E189" s="9">
        <v>2.7170000000000001</v>
      </c>
      <c r="F189" s="9">
        <v>2.633</v>
      </c>
    </row>
    <row r="190" spans="2:6" x14ac:dyDescent="0.3">
      <c r="B190" s="6">
        <v>187</v>
      </c>
      <c r="C190" s="9">
        <v>3.2450000000000001</v>
      </c>
      <c r="D190" s="9">
        <v>2.9209999999999998</v>
      </c>
      <c r="E190" s="9">
        <v>2.9180000000000001</v>
      </c>
      <c r="F190" s="9">
        <v>2.8140000000000001</v>
      </c>
    </row>
    <row r="191" spans="2:6" x14ac:dyDescent="0.3">
      <c r="B191" s="6">
        <v>188</v>
      </c>
      <c r="C191" s="9">
        <v>2.8740000000000001</v>
      </c>
      <c r="D191" s="9">
        <v>2.58</v>
      </c>
      <c r="E191" s="9">
        <v>2.5779999999999998</v>
      </c>
      <c r="F191" s="9">
        <v>2.4940000000000002</v>
      </c>
    </row>
    <row r="192" spans="2:6" x14ac:dyDescent="0.3">
      <c r="B192" s="6">
        <v>189</v>
      </c>
      <c r="C192" s="9">
        <v>2.556</v>
      </c>
      <c r="D192" s="9">
        <v>2.2999999999999998</v>
      </c>
      <c r="E192" s="9">
        <v>2.298</v>
      </c>
      <c r="F192" s="9">
        <v>2.2269999999999999</v>
      </c>
    </row>
    <row r="193" spans="2:6" x14ac:dyDescent="0.3">
      <c r="B193" s="6">
        <v>190</v>
      </c>
      <c r="C193" s="9">
        <v>2.3359999999999999</v>
      </c>
      <c r="D193" s="9">
        <v>2.1070000000000002</v>
      </c>
      <c r="E193" s="9">
        <v>2.105</v>
      </c>
      <c r="F193" s="9">
        <v>2.0390000000000001</v>
      </c>
    </row>
    <row r="194" spans="2:6" x14ac:dyDescent="0.3">
      <c r="B194" s="6">
        <v>191</v>
      </c>
      <c r="C194" s="9">
        <v>2.1339999999999999</v>
      </c>
      <c r="D194" s="9">
        <v>1.9390000000000001</v>
      </c>
      <c r="E194" s="9">
        <v>1.9379999999999999</v>
      </c>
      <c r="F194" s="9">
        <v>1.8759999999999999</v>
      </c>
    </row>
    <row r="195" spans="2:6" x14ac:dyDescent="0.3">
      <c r="B195" s="6">
        <v>192</v>
      </c>
      <c r="C195" s="9">
        <v>1.96</v>
      </c>
      <c r="D195" s="9">
        <v>1.7969999999999999</v>
      </c>
      <c r="E195" s="9">
        <v>1.796</v>
      </c>
      <c r="F195" s="9">
        <v>1.7390000000000001</v>
      </c>
    </row>
    <row r="196" spans="2:6" x14ac:dyDescent="0.3">
      <c r="B196" s="6">
        <v>193</v>
      </c>
      <c r="C196" s="9">
        <v>1.827</v>
      </c>
      <c r="D196" s="9">
        <v>1.6919999999999999</v>
      </c>
      <c r="E196" s="9">
        <v>1.69</v>
      </c>
      <c r="F196" s="9">
        <v>1.64</v>
      </c>
    </row>
    <row r="197" spans="2:6" x14ac:dyDescent="0.3">
      <c r="B197" s="6">
        <v>194</v>
      </c>
      <c r="C197" s="9">
        <v>1.744</v>
      </c>
      <c r="D197" s="9">
        <v>1.6259999999999999</v>
      </c>
      <c r="E197" s="9">
        <v>1.6240000000000001</v>
      </c>
      <c r="F197" s="9">
        <v>1.5820000000000001</v>
      </c>
    </row>
    <row r="198" spans="2:6" x14ac:dyDescent="0.3">
      <c r="B198" s="6">
        <v>195</v>
      </c>
      <c r="C198" s="9">
        <v>1.72</v>
      </c>
      <c r="D198" s="9">
        <v>1.607</v>
      </c>
      <c r="E198" s="9">
        <v>1.6040000000000001</v>
      </c>
      <c r="F198" s="9">
        <v>1.5660000000000001</v>
      </c>
    </row>
    <row r="199" spans="2:6" x14ac:dyDescent="0.3">
      <c r="B199" s="6">
        <v>196</v>
      </c>
      <c r="C199" s="9">
        <v>1.75</v>
      </c>
      <c r="D199" s="9">
        <v>1.6319999999999999</v>
      </c>
      <c r="E199" s="9">
        <v>1.629</v>
      </c>
      <c r="F199" s="9">
        <v>1.59</v>
      </c>
    </row>
    <row r="200" spans="2:6" x14ac:dyDescent="0.3">
      <c r="B200" s="6">
        <v>197</v>
      </c>
      <c r="C200" s="9">
        <v>1.837</v>
      </c>
      <c r="D200" s="9">
        <v>1.706</v>
      </c>
      <c r="E200" s="9">
        <v>1.7030000000000001</v>
      </c>
      <c r="F200" s="9">
        <v>1.6579999999999999</v>
      </c>
    </row>
    <row r="201" spans="2:6" x14ac:dyDescent="0.3">
      <c r="B201" s="6">
        <v>198</v>
      </c>
      <c r="C201" s="9">
        <v>1.968</v>
      </c>
      <c r="D201" s="9">
        <v>1.8120000000000001</v>
      </c>
      <c r="E201" s="9">
        <v>1.8089999999999999</v>
      </c>
      <c r="F201" s="9">
        <v>1.762</v>
      </c>
    </row>
    <row r="202" spans="2:6" x14ac:dyDescent="0.3">
      <c r="B202" s="6">
        <v>199</v>
      </c>
      <c r="C202" s="9">
        <v>2.137</v>
      </c>
      <c r="D202" s="9">
        <v>1.9510000000000001</v>
      </c>
      <c r="E202" s="9">
        <v>1.948</v>
      </c>
      <c r="F202" s="9">
        <v>1.9</v>
      </c>
    </row>
    <row r="203" spans="2:6" x14ac:dyDescent="0.3">
      <c r="B203" s="6">
        <v>200</v>
      </c>
      <c r="C203" s="9">
        <v>2.3319999999999999</v>
      </c>
      <c r="D203" s="9">
        <v>2.1150000000000002</v>
      </c>
      <c r="E203" s="9">
        <v>2.1110000000000002</v>
      </c>
      <c r="F203" s="9">
        <v>2.0590000000000002</v>
      </c>
    </row>
    <row r="204" spans="2:6" x14ac:dyDescent="0.3">
      <c r="B204" s="6">
        <v>201</v>
      </c>
      <c r="C204" s="9">
        <v>2.5470000000000002</v>
      </c>
      <c r="D204" s="9">
        <v>2.3010000000000002</v>
      </c>
      <c r="E204" s="9">
        <v>2.2970000000000002</v>
      </c>
      <c r="F204" s="9">
        <v>2.2400000000000002</v>
      </c>
    </row>
    <row r="205" spans="2:6" x14ac:dyDescent="0.3">
      <c r="B205" s="6">
        <v>202</v>
      </c>
      <c r="C205" s="9">
        <v>2.8479999999999999</v>
      </c>
      <c r="D205" s="9">
        <v>2.577</v>
      </c>
      <c r="E205" s="9">
        <v>2.5710000000000002</v>
      </c>
      <c r="F205" s="9">
        <v>2.4950000000000001</v>
      </c>
    </row>
    <row r="206" spans="2:6" x14ac:dyDescent="0.3">
      <c r="B206" s="6">
        <v>203</v>
      </c>
      <c r="C206" s="9">
        <v>3.1709999999999998</v>
      </c>
      <c r="D206" s="9">
        <v>2.8919999999999999</v>
      </c>
      <c r="E206" s="9">
        <v>2.8849999999999998</v>
      </c>
      <c r="F206" s="9">
        <v>2.7770000000000001</v>
      </c>
    </row>
    <row r="207" spans="2:6" x14ac:dyDescent="0.3">
      <c r="B207" s="6">
        <v>204</v>
      </c>
      <c r="C207" s="9">
        <v>3.39</v>
      </c>
      <c r="D207" s="9">
        <v>3.0950000000000002</v>
      </c>
      <c r="E207" s="9">
        <v>3.0910000000000002</v>
      </c>
      <c r="F207" s="9">
        <v>2.97</v>
      </c>
    </row>
    <row r="208" spans="2:6" x14ac:dyDescent="0.3">
      <c r="B208" s="6">
        <v>205</v>
      </c>
      <c r="C208" s="9">
        <v>3.1339999999999999</v>
      </c>
      <c r="D208" s="9">
        <v>2.8410000000000002</v>
      </c>
      <c r="E208" s="9">
        <v>2.8380000000000001</v>
      </c>
      <c r="F208" s="9">
        <v>2.7360000000000002</v>
      </c>
    </row>
    <row r="209" spans="1:89" x14ac:dyDescent="0.3">
      <c r="B209" s="6">
        <v>206</v>
      </c>
      <c r="C209" s="9">
        <v>2.8170000000000002</v>
      </c>
      <c r="D209" s="9">
        <v>2.552</v>
      </c>
      <c r="E209" s="9">
        <v>2.5489999999999999</v>
      </c>
      <c r="F209" s="9">
        <v>2.4660000000000002</v>
      </c>
    </row>
    <row r="210" spans="1:89" x14ac:dyDescent="0.3">
      <c r="B210" s="6">
        <v>207</v>
      </c>
      <c r="C210" s="9">
        <v>2.5619999999999998</v>
      </c>
      <c r="D210" s="9">
        <v>2.3210000000000002</v>
      </c>
      <c r="E210" s="9">
        <v>2.3199999999999998</v>
      </c>
      <c r="F210" s="9">
        <v>2.2450000000000001</v>
      </c>
    </row>
    <row r="211" spans="1:89" x14ac:dyDescent="0.3">
      <c r="B211" s="6">
        <v>208</v>
      </c>
      <c r="C211" s="9">
        <v>2.387</v>
      </c>
      <c r="D211" s="9">
        <v>2.1680000000000001</v>
      </c>
      <c r="E211" s="9">
        <v>2.1659999999999999</v>
      </c>
      <c r="F211" s="9">
        <v>2.0939999999999999</v>
      </c>
    </row>
    <row r="212" spans="1:89" x14ac:dyDescent="0.3">
      <c r="B212" s="6">
        <v>209</v>
      </c>
      <c r="C212" s="9">
        <v>2.226</v>
      </c>
      <c r="D212" s="9">
        <v>2.0310000000000001</v>
      </c>
      <c r="E212" s="9">
        <v>2.0289999999999999</v>
      </c>
      <c r="F212" s="9">
        <v>1.96</v>
      </c>
    </row>
    <row r="213" spans="1:89" x14ac:dyDescent="0.3">
      <c r="B213" s="6">
        <v>210</v>
      </c>
      <c r="C213" s="9">
        <v>2.1</v>
      </c>
      <c r="D213" s="9">
        <v>1.9259999999999999</v>
      </c>
      <c r="E213" s="9">
        <v>1.9239999999999999</v>
      </c>
      <c r="F213" s="9">
        <v>1.8620000000000001</v>
      </c>
    </row>
    <row r="214" spans="1:89" x14ac:dyDescent="0.3">
      <c r="B214" s="6">
        <v>211</v>
      </c>
      <c r="C214" s="9">
        <v>2.0270000000000001</v>
      </c>
      <c r="D214" s="9">
        <v>1.865</v>
      </c>
      <c r="E214" s="9">
        <v>1.8620000000000001</v>
      </c>
      <c r="F214" s="9">
        <v>1.8049999999999999</v>
      </c>
    </row>
    <row r="215" spans="1:89" x14ac:dyDescent="0.3">
      <c r="B215" s="6">
        <v>212</v>
      </c>
      <c r="C215" s="9">
        <v>2.008</v>
      </c>
      <c r="D215" s="9">
        <v>1.85</v>
      </c>
      <c r="E215" s="9">
        <v>1.847</v>
      </c>
      <c r="F215" s="9">
        <v>1.792</v>
      </c>
    </row>
    <row r="216" spans="1:89" x14ac:dyDescent="0.3">
      <c r="B216" s="6">
        <v>213</v>
      </c>
      <c r="C216" s="9">
        <v>2.0369999999999999</v>
      </c>
      <c r="D216" s="9">
        <v>1.877</v>
      </c>
      <c r="E216" s="9">
        <v>1.8740000000000001</v>
      </c>
      <c r="F216" s="9">
        <v>1.821</v>
      </c>
    </row>
    <row r="217" spans="1:89" x14ac:dyDescent="0.3">
      <c r="B217" s="6">
        <v>214</v>
      </c>
      <c r="C217" s="9">
        <v>2.125</v>
      </c>
      <c r="D217" s="9">
        <v>1.948</v>
      </c>
      <c r="E217" s="9">
        <v>1.946</v>
      </c>
      <c r="F217" s="9">
        <v>1.8959999999999999</v>
      </c>
    </row>
    <row r="218" spans="1:89" x14ac:dyDescent="0.3">
      <c r="B218" s="6">
        <v>215</v>
      </c>
      <c r="C218" s="9">
        <v>2.2490000000000001</v>
      </c>
      <c r="D218" s="9">
        <v>2.056</v>
      </c>
      <c r="E218" s="9">
        <v>2.0529999999999999</v>
      </c>
      <c r="F218" s="9">
        <v>1.9990000000000001</v>
      </c>
    </row>
    <row r="219" spans="1:89" x14ac:dyDescent="0.3">
      <c r="B219" s="6">
        <v>216</v>
      </c>
      <c r="C219" s="9">
        <v>2.3959999999999999</v>
      </c>
      <c r="D219" s="9">
        <v>2.1869999999999998</v>
      </c>
      <c r="E219" s="9">
        <v>2.1840000000000002</v>
      </c>
      <c r="F219" s="9">
        <v>2.125</v>
      </c>
    </row>
    <row r="220" spans="1:89" x14ac:dyDescent="0.3">
      <c r="B220" s="6">
        <v>217</v>
      </c>
      <c r="C220" s="9">
        <v>2.5640000000000001</v>
      </c>
      <c r="D220" s="9">
        <v>2.3330000000000002</v>
      </c>
      <c r="E220" s="9">
        <v>2.3290000000000002</v>
      </c>
      <c r="F220" s="9">
        <v>2.262</v>
      </c>
    </row>
    <row r="221" spans="1:89" x14ac:dyDescent="0.3">
      <c r="B221" s="6">
        <v>218</v>
      </c>
      <c r="C221" s="9">
        <v>2.8</v>
      </c>
      <c r="D221" s="9">
        <v>2.548</v>
      </c>
      <c r="E221" s="9">
        <v>2.5430000000000001</v>
      </c>
      <c r="F221" s="9">
        <v>2.4670000000000001</v>
      </c>
    </row>
    <row r="222" spans="1:89" x14ac:dyDescent="0.3">
      <c r="B222" s="6">
        <v>219</v>
      </c>
      <c r="C222" s="9">
        <v>3.07</v>
      </c>
      <c r="D222" s="9">
        <v>2.7949999999999999</v>
      </c>
      <c r="E222" s="9">
        <v>2.7890000000000001</v>
      </c>
      <c r="F222" s="9">
        <v>2.6949999999999998</v>
      </c>
    </row>
    <row r="223" spans="1:89" x14ac:dyDescent="0.3">
      <c r="B223" s="6">
        <v>220</v>
      </c>
      <c r="C223" s="9">
        <v>3.27</v>
      </c>
      <c r="D223" s="9">
        <v>2.99</v>
      </c>
      <c r="E223" s="9">
        <v>2.984</v>
      </c>
      <c r="F223" s="9">
        <v>2.8580000000000001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CE25-2E05-4FF7-B7C5-8F057888154F}">
  <sheetPr codeName="工作表9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793.71900000000005</v>
      </c>
      <c r="J2" s="2">
        <f ca="1">goldenOTP_check!J2*J58</f>
        <v>835.92000000000007</v>
      </c>
      <c r="K2" s="2">
        <f ca="1">goldenOTP_check!K2*K58</f>
        <v>890.45300000000009</v>
      </c>
      <c r="L2" s="2">
        <f ca="1">goldenOTP_check!L2*L58</f>
        <v>924.16</v>
      </c>
      <c r="M2" s="2">
        <f ca="1">goldenOTP_check!M2*M58</f>
        <v>975.93599999999992</v>
      </c>
      <c r="N2" s="2">
        <f ca="1">goldenOTP_check!N2*N58</f>
        <v>974.40000000000009</v>
      </c>
      <c r="O2" s="2">
        <f ca="1">goldenOTP_check!O2*O58</f>
        <v>994.5200000000001</v>
      </c>
      <c r="P2" s="2">
        <f ca="1">goldenOTP_check!P2*P58</f>
        <v>1032.7459999999999</v>
      </c>
      <c r="Q2" s="2">
        <f ca="1">goldenOTP_check!Q2*Q58</f>
        <v>1011.5300000000001</v>
      </c>
      <c r="R2" s="2">
        <f ca="1">goldenOTP_check!R2*R58</f>
        <v>1031.7340000000002</v>
      </c>
      <c r="S2" s="2">
        <f ca="1">goldenOTP_check!S2*S58</f>
        <v>1018.948</v>
      </c>
      <c r="T2" s="2">
        <f ca="1">goldenOTP_check!T2*T58</f>
        <v>1007.0830000000001</v>
      </c>
      <c r="U2" s="2">
        <f ca="1">goldenOTP_check!U2*U58</f>
        <v>970.63199999999995</v>
      </c>
      <c r="V2" s="2">
        <f ca="1">goldenOTP_check!V2*V58</f>
        <v>922.35500000000002</v>
      </c>
      <c r="W2" s="2">
        <f ca="1">goldenOTP_check!W2*W58</f>
        <v>892.98900000000003</v>
      </c>
      <c r="X2" s="2">
        <f ca="1">goldenOTP_check!X2*X58</f>
        <v>833.21999999999991</v>
      </c>
      <c r="Y2" s="3">
        <f ca="1">goldenOTP_check!Y2*Y58</f>
        <v>782.96399999999994</v>
      </c>
      <c r="BA2"/>
      <c r="BB2"/>
      <c r="BC2"/>
      <c r="BD2"/>
    </row>
    <row r="3" spans="2:56" x14ac:dyDescent="0.3">
      <c r="B3" s="8">
        <v>0</v>
      </c>
      <c r="C3" s="9">
        <v>3.3210000000000002</v>
      </c>
      <c r="D3" s="9">
        <v>2.9860000000000002</v>
      </c>
      <c r="E3" s="9">
        <v>2.9849999999999999</v>
      </c>
      <c r="F3" s="9">
        <v>2.8279999999999998</v>
      </c>
      <c r="H3" t="s">
        <v>6</v>
      </c>
      <c r="I3" s="2">
        <f ca="1">goldenOTP_check!I3*I59</f>
        <v>874.26</v>
      </c>
      <c r="J3" s="2">
        <f ca="1">goldenOTP_check!J3*J59</f>
        <v>912.95999999999992</v>
      </c>
      <c r="K3" s="2">
        <f ca="1">goldenOTP_check!K3*K59</f>
        <v>935.86</v>
      </c>
      <c r="L3" s="2">
        <f ca="1">goldenOTP_check!L3*L59</f>
        <v>993.62700000000007</v>
      </c>
      <c r="M3" s="2">
        <f ca="1">goldenOTP_check!M3*M59</f>
        <v>1014.7299999999999</v>
      </c>
      <c r="N3" s="2">
        <f ca="1">goldenOTP_check!N3*N59</f>
        <v>1054.826</v>
      </c>
      <c r="O3" s="2">
        <f ca="1">goldenOTP_check!O3*O59</f>
        <v>1050.732</v>
      </c>
      <c r="P3" s="2">
        <f ca="1">goldenOTP_check!P3*P59</f>
        <v>1068.5999999999999</v>
      </c>
      <c r="Q3" s="2">
        <f ca="1">goldenOTP_check!Q3*Q59</f>
        <v>1071.694</v>
      </c>
      <c r="R3" s="2">
        <f ca="1">goldenOTP_check!R3*R59</f>
        <v>1066.8</v>
      </c>
      <c r="S3" s="2">
        <f ca="1">goldenOTP_check!S3*S59</f>
        <v>1071.3600000000001</v>
      </c>
      <c r="T3" s="2">
        <f ca="1">goldenOTP_check!T3*T59</f>
        <v>1052.71</v>
      </c>
      <c r="U3" s="2">
        <f ca="1">goldenOTP_check!U3*U59</f>
        <v>1014.7299999999999</v>
      </c>
      <c r="V3" s="2">
        <f ca="1">goldenOTP_check!V3*V59</f>
        <v>994.05000000000007</v>
      </c>
      <c r="W3" s="2">
        <f ca="1">goldenOTP_check!W3*W59</f>
        <v>939.14499999999998</v>
      </c>
      <c r="X3" s="2">
        <f ca="1">goldenOTP_check!X3*X59</f>
        <v>911.69200000000001</v>
      </c>
      <c r="Y3" s="2">
        <f ca="1">goldenOTP_check!Y3*Y59</f>
        <v>810.64499999999998</v>
      </c>
      <c r="BA3"/>
      <c r="BB3"/>
      <c r="BC3"/>
      <c r="BD3"/>
    </row>
    <row r="4" spans="2:56" x14ac:dyDescent="0.3">
      <c r="B4" s="6">
        <v>1</v>
      </c>
      <c r="C4" s="9">
        <v>3.0960000000000001</v>
      </c>
      <c r="D4" s="9">
        <v>2.7530000000000001</v>
      </c>
      <c r="E4" s="9">
        <v>2.7559999999999998</v>
      </c>
      <c r="F4" s="9">
        <v>2.62</v>
      </c>
      <c r="I4" s="2">
        <f ca="1">goldenOTP_check!I4*I60</f>
        <v>885.37</v>
      </c>
      <c r="J4" s="2">
        <f ca="1">goldenOTP_check!J4*J60</f>
        <v>938.62699999999995</v>
      </c>
      <c r="K4" s="2">
        <f ca="1">goldenOTP_check!K4*K60</f>
        <v>978.91199999999992</v>
      </c>
      <c r="L4" s="2">
        <f ca="1">goldenOTP_check!L4*L60</f>
        <v>1009.5600000000001</v>
      </c>
      <c r="M4" s="2">
        <f ca="1">goldenOTP_check!M4*M60</f>
        <v>1046.2939999999999</v>
      </c>
      <c r="N4" s="2">
        <f ca="1">goldenOTP_check!N4*N60</f>
        <v>1071.0829999999999</v>
      </c>
      <c r="O4" s="2">
        <f ca="1">goldenOTP_check!O4*O60</f>
        <v>1078.03</v>
      </c>
      <c r="P4" s="2">
        <f ca="1">goldenOTP_check!P4*P60</f>
        <v>1073.1200000000001</v>
      </c>
      <c r="Q4" s="2">
        <f ca="1">goldenOTP_check!Q4*Q60</f>
        <v>1070.481</v>
      </c>
      <c r="R4" s="2">
        <f ca="1">goldenOTP_check!R4*R60</f>
        <v>1075.944</v>
      </c>
      <c r="S4" s="2">
        <f ca="1">goldenOTP_check!S4*S60</f>
        <v>1084.0600000000002</v>
      </c>
      <c r="T4" s="2">
        <f ca="1">goldenOTP_check!T4*T60</f>
        <v>1075.3599999999999</v>
      </c>
      <c r="U4" s="2">
        <f ca="1">goldenOTP_check!U4*U60</f>
        <v>1050.0810000000001</v>
      </c>
      <c r="V4" s="2">
        <f ca="1">goldenOTP_check!V4*V60</f>
        <v>1013.79</v>
      </c>
      <c r="W4" s="2">
        <f ca="1">goldenOTP_check!W4*W60</f>
        <v>981.38400000000001</v>
      </c>
      <c r="X4" s="2">
        <f ca="1">goldenOTP_check!X4*X60</f>
        <v>934.74400000000003</v>
      </c>
      <c r="Y4" s="2">
        <f ca="1">goldenOTP_check!Y4*Y60</f>
        <v>870</v>
      </c>
      <c r="BA4"/>
      <c r="BB4"/>
      <c r="BC4"/>
      <c r="BD4"/>
    </row>
    <row r="5" spans="2:56" x14ac:dyDescent="0.3">
      <c r="B5" s="6">
        <v>2</v>
      </c>
      <c r="C5" s="9">
        <v>2.8090000000000002</v>
      </c>
      <c r="D5" s="9">
        <v>2.4900000000000002</v>
      </c>
      <c r="E5" s="9">
        <v>2.4940000000000002</v>
      </c>
      <c r="F5" s="9">
        <v>2.3780000000000001</v>
      </c>
      <c r="I5" s="2">
        <f ca="1">goldenOTP_check!I5*I61</f>
        <v>894.9</v>
      </c>
      <c r="J5" s="2">
        <f ca="1">goldenOTP_check!J5*J61</f>
        <v>944.51200000000006</v>
      </c>
      <c r="K5" s="2">
        <f ca="1">goldenOTP_check!K5*K61</f>
        <v>1000.386</v>
      </c>
      <c r="L5" s="2">
        <f ca="1">goldenOTP_check!L5*L61</f>
        <v>1048.4780000000001</v>
      </c>
      <c r="M5" s="2">
        <f ca="1">goldenOTP_check!M5*M61</f>
        <v>1068.6390000000001</v>
      </c>
      <c r="N5" s="2">
        <f ca="1">goldenOTP_check!N5*N61</f>
        <v>1075.0059999999999</v>
      </c>
      <c r="O5" s="2">
        <f ca="1">goldenOTP_check!O5*O61</f>
        <v>1068.836</v>
      </c>
      <c r="P5" s="2">
        <f ca="1">goldenOTP_check!P5*P61</f>
        <v>1063.221</v>
      </c>
      <c r="Q5" s="2">
        <f ca="1">goldenOTP_check!Q5*Q61</f>
        <v>1072.9749999999999</v>
      </c>
      <c r="R5" s="2">
        <f ca="1">goldenOTP_check!R5*R61</f>
        <v>1068.087</v>
      </c>
      <c r="S5" s="2">
        <f ca="1">goldenOTP_check!S5*S61</f>
        <v>1078.0040000000001</v>
      </c>
      <c r="T5" s="2">
        <f ca="1">goldenOTP_check!T5*T61</f>
        <v>1084.028</v>
      </c>
      <c r="U5" s="2">
        <f ca="1">goldenOTP_check!U5*U61</f>
        <v>1075.971</v>
      </c>
      <c r="V5" s="2">
        <f ca="1">goldenOTP_check!V5*V61</f>
        <v>1053.239</v>
      </c>
      <c r="W5" s="2">
        <f ca="1">goldenOTP_check!W5*W61</f>
        <v>1001.2800000000001</v>
      </c>
      <c r="X5" s="2">
        <f ca="1">goldenOTP_check!X5*X61</f>
        <v>938.12</v>
      </c>
      <c r="Y5" s="2">
        <f ca="1">goldenOTP_check!Y5*Y61</f>
        <v>877.31600000000003</v>
      </c>
      <c r="BA5"/>
      <c r="BB5"/>
      <c r="BC5"/>
      <c r="BD5"/>
    </row>
    <row r="6" spans="2:56" x14ac:dyDescent="0.3">
      <c r="B6" s="6">
        <v>3</v>
      </c>
      <c r="C6" s="9">
        <v>2.56</v>
      </c>
      <c r="D6" s="9">
        <v>2.2690000000000001</v>
      </c>
      <c r="E6" s="9">
        <v>2.274</v>
      </c>
      <c r="F6" s="9">
        <v>2.1739999999999999</v>
      </c>
      <c r="I6" s="2">
        <f ca="1">goldenOTP_check!I6*I62</f>
        <v>898.101</v>
      </c>
      <c r="J6" s="2">
        <f ca="1">goldenOTP_check!J6*J62</f>
        <v>987.56399999999996</v>
      </c>
      <c r="K6" s="2">
        <f ca="1">goldenOTP_check!K6*K62</f>
        <v>1020.876</v>
      </c>
      <c r="L6" s="2">
        <f ca="1">goldenOTP_check!L6*L62</f>
        <v>1066.752</v>
      </c>
      <c r="M6" s="2">
        <f ca="1">goldenOTP_check!M6*M62</f>
        <v>1075.3499999999999</v>
      </c>
      <c r="N6" s="2">
        <f ca="1">goldenOTP_check!N6*N62</f>
        <v>1067.308</v>
      </c>
      <c r="O6" s="2">
        <f ca="1">goldenOTP_check!O6*O62</f>
        <v>1061.2909999999999</v>
      </c>
      <c r="P6" s="2">
        <f ca="1">goldenOTP_check!P6*P62</f>
        <v>1057.04</v>
      </c>
      <c r="Q6" s="2">
        <f ca="1">goldenOTP_check!Q6*Q62</f>
        <v>1058.1310000000001</v>
      </c>
      <c r="R6" s="2">
        <f ca="1">goldenOTP_check!R6*R62</f>
        <v>1059.7550000000001</v>
      </c>
      <c r="S6" s="2">
        <f ca="1">goldenOTP_check!S6*S62</f>
        <v>1065.5260000000001</v>
      </c>
      <c r="T6" s="2">
        <f ca="1">goldenOTP_check!T6*T62</f>
        <v>1070.364</v>
      </c>
      <c r="U6" s="2">
        <f ca="1">goldenOTP_check!U6*U62</f>
        <v>1077.3600000000001</v>
      </c>
      <c r="V6" s="2">
        <f ca="1">goldenOTP_check!V6*V62</f>
        <v>1069.056</v>
      </c>
      <c r="W6" s="2">
        <f ca="1">goldenOTP_check!W6*W62</f>
        <v>1024.25</v>
      </c>
      <c r="X6" s="2">
        <f ca="1">goldenOTP_check!X6*X62</f>
        <v>958.4</v>
      </c>
      <c r="Y6" s="2">
        <f ca="1">goldenOTP_check!Y6*Y62</f>
        <v>900.12699999999995</v>
      </c>
      <c r="BA6"/>
      <c r="BB6"/>
      <c r="BC6"/>
      <c r="BD6"/>
    </row>
    <row r="7" spans="2:56" x14ac:dyDescent="0.3">
      <c r="B7" s="6">
        <v>4</v>
      </c>
      <c r="C7" s="9">
        <v>2.3919999999999999</v>
      </c>
      <c r="D7" s="9">
        <v>2.1230000000000002</v>
      </c>
      <c r="E7" s="9">
        <v>2.1269999999999998</v>
      </c>
      <c r="F7" s="9">
        <v>2.036</v>
      </c>
      <c r="I7" s="2">
        <f ca="1">goldenOTP_check!I7*I63</f>
        <v>907.69499999999994</v>
      </c>
      <c r="J7" s="2">
        <f ca="1">goldenOTP_check!J7*J63</f>
        <v>983.47500000000002</v>
      </c>
      <c r="K7" s="2">
        <f ca="1">goldenOTP_check!K7*K63</f>
        <v>1028.6979999999999</v>
      </c>
      <c r="L7" s="2">
        <f ca="1">goldenOTP_check!L7*L63</f>
        <v>1054.8</v>
      </c>
      <c r="M7" s="2">
        <f ca="1">goldenOTP_check!M7*M63</f>
        <v>1062.53</v>
      </c>
      <c r="N7" s="2">
        <f ca="1">goldenOTP_check!N7*N63</f>
        <v>1058.355</v>
      </c>
      <c r="O7" s="2">
        <f ca="1">goldenOTP_check!O7*O63</f>
        <v>1053.4199999999998</v>
      </c>
      <c r="P7" s="2">
        <f ca="1">goldenOTP_check!P7*P63</f>
        <v>1034.3719999999998</v>
      </c>
      <c r="Q7" s="2">
        <f ca="1">goldenOTP_check!Q7*Q63</f>
        <v>1027.52</v>
      </c>
      <c r="R7" s="2">
        <f ca="1">goldenOTP_check!R7*R63</f>
        <v>1049.2</v>
      </c>
      <c r="S7" s="2">
        <f ca="1">goldenOTP_check!S7*S63</f>
        <v>1056.135</v>
      </c>
      <c r="T7" s="2">
        <f ca="1">goldenOTP_check!T7*T63</f>
        <v>1056.7329999999999</v>
      </c>
      <c r="U7" s="2">
        <f ca="1">goldenOTP_check!U7*U63</f>
        <v>1061.1179999999999</v>
      </c>
      <c r="V7" s="2">
        <f ca="1">goldenOTP_check!V7*V63</f>
        <v>1056.5999999999999</v>
      </c>
      <c r="W7" s="2">
        <f ca="1">goldenOTP_check!W7*W63</f>
        <v>1033.252</v>
      </c>
      <c r="X7" s="2">
        <f ca="1">goldenOTP_check!X7*X63</f>
        <v>986.01300000000003</v>
      </c>
      <c r="Y7" s="2">
        <f ca="1">goldenOTP_check!Y7*Y63</f>
        <v>901.48500000000001</v>
      </c>
      <c r="BA7"/>
      <c r="BB7"/>
      <c r="BC7"/>
      <c r="BD7"/>
    </row>
    <row r="8" spans="2:56" x14ac:dyDescent="0.3">
      <c r="B8" s="6">
        <v>5</v>
      </c>
      <c r="C8" s="9">
        <v>2.2400000000000002</v>
      </c>
      <c r="D8" s="9">
        <v>1.996</v>
      </c>
      <c r="E8" s="9">
        <v>2.0009999999999999</v>
      </c>
      <c r="F8" s="9">
        <v>1.917</v>
      </c>
      <c r="I8" s="2">
        <f ca="1">goldenOTP_check!I8*I64</f>
        <v>933.91200000000003</v>
      </c>
      <c r="J8" s="2">
        <f ca="1">goldenOTP_check!J8*J64</f>
        <v>1002.2399999999999</v>
      </c>
      <c r="K8" s="2">
        <f ca="1">goldenOTP_check!K8*K64</f>
        <v>1035.5510000000002</v>
      </c>
      <c r="L8" s="2">
        <f ca="1">goldenOTP_check!L8*L64</f>
        <v>1050.92</v>
      </c>
      <c r="M8" s="2">
        <f ca="1">goldenOTP_check!M8*M64</f>
        <v>1065.798</v>
      </c>
      <c r="N8" s="2">
        <f ca="1">goldenOTP_check!N8*N64</f>
        <v>1053.77</v>
      </c>
      <c r="O8" s="2">
        <f ca="1">goldenOTP_check!O8*O64</f>
        <v>1043.2670000000001</v>
      </c>
      <c r="P8" s="2">
        <f ca="1">goldenOTP_check!P8*P64</f>
        <v>1031.9669999999999</v>
      </c>
      <c r="Q8" s="2">
        <f ca="1">goldenOTP_check!Q8*Q64</f>
        <v>1027.0920000000001</v>
      </c>
      <c r="R8" s="2">
        <f ca="1">goldenOTP_check!R8*R64</f>
        <v>1034.9639999999999</v>
      </c>
      <c r="S8" s="2">
        <f ca="1">goldenOTP_check!S8*S64</f>
        <v>1063.33</v>
      </c>
      <c r="T8" s="2">
        <f ca="1">goldenOTP_check!T8*T64</f>
        <v>1058.78</v>
      </c>
      <c r="U8" s="2">
        <f ca="1">goldenOTP_check!U8*U64</f>
        <v>1069.443</v>
      </c>
      <c r="V8" s="2">
        <f ca="1">goldenOTP_check!V8*V64</f>
        <v>1055.1970000000001</v>
      </c>
      <c r="W8" s="2">
        <f ca="1">goldenOTP_check!W8*W64</f>
        <v>1038.136</v>
      </c>
      <c r="X8" s="2">
        <f ca="1">goldenOTP_check!X8*X64</f>
        <v>972.05399999999997</v>
      </c>
      <c r="Y8" s="2">
        <f ca="1">goldenOTP_check!Y8*Y64</f>
        <v>931.74099999999999</v>
      </c>
    </row>
    <row r="9" spans="2:56" x14ac:dyDescent="0.3">
      <c r="B9" s="6">
        <v>6</v>
      </c>
      <c r="C9" s="9">
        <v>2.1160000000000001</v>
      </c>
      <c r="D9" s="9">
        <v>1.8959999999999999</v>
      </c>
      <c r="E9" s="9">
        <v>1.9</v>
      </c>
      <c r="F9" s="9">
        <v>1.8220000000000001</v>
      </c>
      <c r="I9" s="2">
        <f ca="1">goldenOTP_check!I9*I65</f>
        <v>910.45499999999993</v>
      </c>
      <c r="J9" s="2">
        <f ca="1">goldenOTP_check!J9*J65</f>
        <v>983.89800000000002</v>
      </c>
      <c r="K9" s="2">
        <f ca="1">goldenOTP_check!K9*K65</f>
        <v>1024.6499999999999</v>
      </c>
      <c r="L9" s="2">
        <f ca="1">goldenOTP_check!L9*L65</f>
        <v>1065.5840000000001</v>
      </c>
      <c r="M9" s="2">
        <f ca="1">goldenOTP_check!M9*M65</f>
        <v>1065.462</v>
      </c>
      <c r="N9" s="2">
        <f ca="1">goldenOTP_check!N9*N65</f>
        <v>1058.3779999999999</v>
      </c>
      <c r="O9" s="2">
        <f ca="1">goldenOTP_check!O9*O65</f>
        <v>1050.8819999999998</v>
      </c>
      <c r="P9" s="2">
        <f ca="1">goldenOTP_check!P9*P65</f>
        <v>1031.6319999999998</v>
      </c>
      <c r="Q9" s="2">
        <f ca="1">goldenOTP_check!Q9*Q65</f>
        <v>1026.972</v>
      </c>
      <c r="R9" s="2">
        <f ca="1">goldenOTP_check!R9*R65</f>
        <v>1039.44</v>
      </c>
      <c r="S9" s="2">
        <f ca="1">goldenOTP_check!S9*S65</f>
        <v>1061.886</v>
      </c>
      <c r="T9" s="2">
        <f ca="1">goldenOTP_check!T9*T65</f>
        <v>1067.431</v>
      </c>
      <c r="U9" s="2">
        <f ca="1">goldenOTP_check!U9*U65</f>
        <v>1074.7830000000001</v>
      </c>
      <c r="V9" s="2">
        <f ca="1">goldenOTP_check!V9*V65</f>
        <v>1053</v>
      </c>
      <c r="W9" s="2">
        <f ca="1">goldenOTP_check!W9*W65</f>
        <v>1027.6860000000001</v>
      </c>
      <c r="X9" s="2">
        <f ca="1">goldenOTP_check!X9*X65</f>
        <v>978.39900000000011</v>
      </c>
      <c r="Y9" s="2">
        <f ca="1">goldenOTP_check!Y9*Y65</f>
        <v>892.5150000000001</v>
      </c>
    </row>
    <row r="10" spans="2:56" x14ac:dyDescent="0.3">
      <c r="B10" s="6">
        <v>7</v>
      </c>
      <c r="C10" s="9">
        <v>2.0409999999999999</v>
      </c>
      <c r="D10" s="9">
        <v>1.8360000000000001</v>
      </c>
      <c r="E10" s="9">
        <v>1.839</v>
      </c>
      <c r="F10" s="9">
        <v>1.766</v>
      </c>
      <c r="I10" s="2">
        <f ca="1">goldenOTP_check!I10*I66</f>
        <v>900.43200000000002</v>
      </c>
      <c r="J10" s="2">
        <f ca="1">goldenOTP_check!J10*J66</f>
        <v>987.976</v>
      </c>
      <c r="K10" s="2">
        <f ca="1">goldenOTP_check!K10*K66</f>
        <v>1017.5020000000001</v>
      </c>
      <c r="L10" s="2">
        <f ca="1">goldenOTP_check!L10*L66</f>
        <v>1057.5360000000001</v>
      </c>
      <c r="M10" s="2">
        <f ca="1">goldenOTP_check!M10*M66</f>
        <v>1061.28</v>
      </c>
      <c r="N10" s="2">
        <f ca="1">goldenOTP_check!N10*N66</f>
        <v>1068.5519999999999</v>
      </c>
      <c r="O10" s="2">
        <f ca="1">goldenOTP_check!O10*O66</f>
        <v>1059.6300000000001</v>
      </c>
      <c r="P10" s="2">
        <f ca="1">goldenOTP_check!P10*P66</f>
        <v>1052.7159999999999</v>
      </c>
      <c r="Q10" s="2">
        <f ca="1">goldenOTP_check!Q10*Q66</f>
        <v>1052.038</v>
      </c>
      <c r="R10" s="2">
        <f ca="1">goldenOTP_check!R10*R66</f>
        <v>1055.4670000000001</v>
      </c>
      <c r="S10" s="2">
        <f ca="1">goldenOTP_check!S10*S66</f>
        <v>1063.92</v>
      </c>
      <c r="T10" s="2">
        <f ca="1">goldenOTP_check!T10*T66</f>
        <v>1073.9839999999999</v>
      </c>
      <c r="U10" s="2">
        <f ca="1">goldenOTP_check!U10*U66</f>
        <v>1067.31</v>
      </c>
      <c r="V10" s="2">
        <f ca="1">goldenOTP_check!V10*V66</f>
        <v>1063.296</v>
      </c>
      <c r="W10" s="2">
        <f ca="1">goldenOTP_check!W10*W66</f>
        <v>1019.4300000000001</v>
      </c>
      <c r="X10" s="2">
        <f ca="1">goldenOTP_check!X10*X66</f>
        <v>983.44399999999996</v>
      </c>
      <c r="Y10" s="2">
        <f ca="1">goldenOTP_check!Y10*Y66</f>
        <v>887.11200000000008</v>
      </c>
    </row>
    <row r="11" spans="2:56" x14ac:dyDescent="0.3">
      <c r="B11" s="6">
        <v>8</v>
      </c>
      <c r="C11" s="9">
        <v>2.0150000000000001</v>
      </c>
      <c r="D11" s="9">
        <v>1.8169999999999999</v>
      </c>
      <c r="E11" s="9">
        <v>1.821</v>
      </c>
      <c r="F11" s="9">
        <v>1.75</v>
      </c>
      <c r="I11" s="2">
        <f ca="1">goldenOTP_check!I11*I67</f>
        <v>915.52500000000009</v>
      </c>
      <c r="J11" s="2">
        <f ca="1">goldenOTP_check!J11*J67</f>
        <v>967.67200000000014</v>
      </c>
      <c r="K11" s="2">
        <f ca="1">goldenOTP_check!K11*K67</f>
        <v>993.23400000000004</v>
      </c>
      <c r="L11" s="2">
        <f ca="1">goldenOTP_check!L11*L67</f>
        <v>1040.5430000000001</v>
      </c>
      <c r="M11" s="2">
        <f ca="1">goldenOTP_check!M11*M67</f>
        <v>1058.252</v>
      </c>
      <c r="N11" s="2">
        <f ca="1">goldenOTP_check!N11*N67</f>
        <v>1060.432</v>
      </c>
      <c r="O11" s="2">
        <f ca="1">goldenOTP_check!O11*O67</f>
        <v>1067</v>
      </c>
      <c r="P11" s="2">
        <f ca="1">goldenOTP_check!P11*P67</f>
        <v>1057.5549999999998</v>
      </c>
      <c r="Q11" s="2">
        <f ca="1">goldenOTP_check!Q11*Q67</f>
        <v>1047.0899999999999</v>
      </c>
      <c r="R11" s="2">
        <f ca="1">goldenOTP_check!R11*R67</f>
        <v>1056.732</v>
      </c>
      <c r="S11" s="2">
        <f ca="1">goldenOTP_check!S11*S67</f>
        <v>1048.2080000000001</v>
      </c>
      <c r="T11" s="2">
        <f ca="1">goldenOTP_check!T11*T67</f>
        <v>1056.268</v>
      </c>
      <c r="U11" s="2">
        <f ca="1">goldenOTP_check!U11*U67</f>
        <v>1054.586</v>
      </c>
      <c r="V11" s="2">
        <f ca="1">goldenOTP_check!V11*V67</f>
        <v>1040.5430000000001</v>
      </c>
      <c r="W11" s="2">
        <f ca="1">goldenOTP_check!W11*W67</f>
        <v>995.46899999999994</v>
      </c>
      <c r="X11" s="2">
        <f ca="1">goldenOTP_check!X11*X67</f>
        <v>966.89599999999996</v>
      </c>
      <c r="Y11" s="2">
        <f ca="1">goldenOTP_check!Y11*Y67</f>
        <v>868.31000000000006</v>
      </c>
      <c r="BD11"/>
    </row>
    <row r="12" spans="2:56" x14ac:dyDescent="0.3">
      <c r="B12" s="6">
        <v>9</v>
      </c>
      <c r="C12" s="9">
        <v>2.0390000000000001</v>
      </c>
      <c r="D12" s="9">
        <v>1.837</v>
      </c>
      <c r="E12" s="9">
        <v>1.84</v>
      </c>
      <c r="F12" s="9">
        <v>1.77</v>
      </c>
      <c r="I12" s="2">
        <f ca="1">goldenOTP_check!I12*I68</f>
        <v>878.41</v>
      </c>
      <c r="J12" s="2">
        <f ca="1">goldenOTP_check!J12*J68</f>
        <v>934.39099999999996</v>
      </c>
      <c r="K12" s="2">
        <f ca="1">goldenOTP_check!K12*K68</f>
        <v>976.44</v>
      </c>
      <c r="L12" s="2">
        <f ca="1">goldenOTP_check!L12*L68</f>
        <v>1028.588</v>
      </c>
      <c r="M12" s="2">
        <f ca="1">goldenOTP_check!M12*M68</f>
        <v>1036.0150000000001</v>
      </c>
      <c r="N12" s="2">
        <f ca="1">goldenOTP_check!N12*N68</f>
        <v>1056.4190000000001</v>
      </c>
      <c r="O12" s="2">
        <f ca="1">goldenOTP_check!O12*O68</f>
        <v>1059.27</v>
      </c>
      <c r="P12" s="2">
        <f ca="1">goldenOTP_check!P12*P68</f>
        <v>1066.896</v>
      </c>
      <c r="Q12" s="2">
        <f ca="1">goldenOTP_check!Q12*Q68</f>
        <v>1061.424</v>
      </c>
      <c r="R12" s="2">
        <f ca="1">goldenOTP_check!R12*R68</f>
        <v>1064.7450000000001</v>
      </c>
      <c r="S12" s="2">
        <f ca="1">goldenOTP_check!S12*S68</f>
        <v>1057.26</v>
      </c>
      <c r="T12" s="2">
        <f ca="1">goldenOTP_check!T12*T68</f>
        <v>1053.364</v>
      </c>
      <c r="U12" s="2">
        <f ca="1">goldenOTP_check!U12*U68</f>
        <v>1032.769</v>
      </c>
      <c r="V12" s="2">
        <f ca="1">goldenOTP_check!V12*V68</f>
        <v>1002.0400000000001</v>
      </c>
      <c r="W12" s="2">
        <f ca="1">goldenOTP_check!W12*W68</f>
        <v>975.20399999999995</v>
      </c>
      <c r="X12" s="2">
        <f ca="1">goldenOTP_check!X12*X68</f>
        <v>931.92000000000007</v>
      </c>
      <c r="Y12" s="2">
        <f ca="1">goldenOTP_check!Y12*Y68</f>
        <v>868.55000000000007</v>
      </c>
      <c r="BD12"/>
    </row>
    <row r="13" spans="2:56" x14ac:dyDescent="0.3">
      <c r="B13" s="6">
        <v>10</v>
      </c>
      <c r="C13" s="9">
        <v>2.1139999999999999</v>
      </c>
      <c r="D13" s="9">
        <v>1.9</v>
      </c>
      <c r="E13" s="9">
        <v>1.903</v>
      </c>
      <c r="F13" s="9">
        <v>1.829</v>
      </c>
      <c r="I13" s="2">
        <f ca="1">goldenOTP_check!I13*I69</f>
        <v>876.15</v>
      </c>
      <c r="J13" s="2">
        <f ca="1">goldenOTP_check!J13*J69</f>
        <v>911.05799999999999</v>
      </c>
      <c r="K13" s="2">
        <f ca="1">goldenOTP_check!K13*K69</f>
        <v>932.94</v>
      </c>
      <c r="L13" s="2">
        <f ca="1">goldenOTP_check!L13*L69</f>
        <v>988.12799999999993</v>
      </c>
      <c r="M13" s="2">
        <f ca="1">goldenOTP_check!M13*M69</f>
        <v>1028.588</v>
      </c>
      <c r="N13" s="2">
        <f ca="1">goldenOTP_check!N13*N69</f>
        <v>1036.8399999999999</v>
      </c>
      <c r="O13" s="2">
        <f ca="1">goldenOTP_check!O13*O69</f>
        <v>1052.3519999999999</v>
      </c>
      <c r="P13" s="2">
        <f ca="1">goldenOTP_check!P13*P69</f>
        <v>1065.5840000000001</v>
      </c>
      <c r="Q13" s="2">
        <f ca="1">goldenOTP_check!Q13*Q69</f>
        <v>1050.92</v>
      </c>
      <c r="R13" s="2">
        <f ca="1">goldenOTP_check!R13*R69</f>
        <v>1069.25</v>
      </c>
      <c r="S13" s="2">
        <f ca="1">goldenOTP_check!S13*S69</f>
        <v>1058.1120000000001</v>
      </c>
      <c r="T13" s="2">
        <f ca="1">goldenOTP_check!T13*T69</f>
        <v>1041.0719999999999</v>
      </c>
      <c r="U13" s="2">
        <f ca="1">goldenOTP_check!U13*U69</f>
        <v>1030.0340000000001</v>
      </c>
      <c r="V13" s="2">
        <f ca="1">goldenOTP_check!V13*V69</f>
        <v>986.43599999999992</v>
      </c>
      <c r="W13" s="2">
        <f ca="1">goldenOTP_check!W13*W69</f>
        <v>929.65500000000009</v>
      </c>
      <c r="X13" s="2">
        <f ca="1">goldenOTP_check!X13*X69</f>
        <v>902.81599999999992</v>
      </c>
      <c r="Y13" s="2">
        <f ca="1">goldenOTP_check!Y13*Y69</f>
        <v>856.17</v>
      </c>
      <c r="BD13"/>
    </row>
    <row r="14" spans="2:56" x14ac:dyDescent="0.3">
      <c r="B14" s="6">
        <v>11</v>
      </c>
      <c r="C14" s="9">
        <v>2.2330000000000001</v>
      </c>
      <c r="D14" s="9">
        <v>1.9990000000000001</v>
      </c>
      <c r="E14" s="9">
        <v>2.0019999999999998</v>
      </c>
      <c r="F14" s="9">
        <v>1.9219999999999999</v>
      </c>
      <c r="I14" s="3">
        <f ca="1">goldenOTP_check!I14*I70</f>
        <v>864.45</v>
      </c>
      <c r="J14" s="2">
        <f ca="1">goldenOTP_check!J14*J70</f>
        <v>896.32399999999996</v>
      </c>
      <c r="K14" s="2">
        <f ca="1">goldenOTP_check!K14*K70</f>
        <v>892.98900000000003</v>
      </c>
      <c r="L14" s="2">
        <f ca="1">goldenOTP_check!L14*L70</f>
        <v>924.88199999999995</v>
      </c>
      <c r="M14" s="2">
        <f ca="1">goldenOTP_check!M14*M70</f>
        <v>964.34799999999996</v>
      </c>
      <c r="N14" s="2">
        <f ca="1">goldenOTP_check!N14*N70</f>
        <v>1003.926</v>
      </c>
      <c r="O14" s="2">
        <f ca="1">goldenOTP_check!O14*O70</f>
        <v>1012.2</v>
      </c>
      <c r="P14" s="2">
        <f ca="1">goldenOTP_check!P14*P70</f>
        <v>1017.5540000000001</v>
      </c>
      <c r="Q14" s="2">
        <f ca="1">goldenOTP_check!Q14*Q70</f>
        <v>1038.136</v>
      </c>
      <c r="R14" s="2">
        <f ca="1">goldenOTP_check!R14*R70</f>
        <v>1022.574</v>
      </c>
      <c r="S14" s="2">
        <f ca="1">goldenOTP_check!S14*S70</f>
        <v>1024.25</v>
      </c>
      <c r="T14" s="2">
        <f ca="1">goldenOTP_check!T14*T70</f>
        <v>1014.2990000000001</v>
      </c>
      <c r="U14" s="2">
        <f ca="1">goldenOTP_check!U14*U70</f>
        <v>967.98399999999992</v>
      </c>
      <c r="V14" s="2">
        <f ca="1">goldenOTP_check!V14*V70</f>
        <v>925.60400000000004</v>
      </c>
      <c r="W14" s="2">
        <f ca="1">goldenOTP_check!W14*W70</f>
        <v>887.59999999999991</v>
      </c>
      <c r="X14" s="2">
        <f ca="1">goldenOTP_check!X14*X70</f>
        <v>878.02</v>
      </c>
      <c r="Y14" s="3">
        <f ca="1">goldenOTP_check!Y14*Y70</f>
        <v>833.85</v>
      </c>
      <c r="BD14"/>
    </row>
    <row r="15" spans="2:56" x14ac:dyDescent="0.3">
      <c r="B15" s="6">
        <v>12</v>
      </c>
      <c r="C15" s="9">
        <v>2.379</v>
      </c>
      <c r="D15" s="9">
        <v>2.1259999999999999</v>
      </c>
      <c r="E15" s="9">
        <v>2.1280000000000001</v>
      </c>
      <c r="F15" s="9">
        <v>2.0430000000000001</v>
      </c>
      <c r="BD15"/>
    </row>
    <row r="16" spans="2:56" x14ac:dyDescent="0.3">
      <c r="B16" s="6">
        <v>13</v>
      </c>
      <c r="C16" s="9">
        <v>2.5550000000000002</v>
      </c>
      <c r="D16" s="9">
        <v>2.2770000000000001</v>
      </c>
      <c r="E16" s="9">
        <v>2.2789999999999999</v>
      </c>
      <c r="F16" s="9">
        <v>2.1859999999999999</v>
      </c>
      <c r="H16" t="s">
        <v>1</v>
      </c>
      <c r="I16" s="10">
        <f ca="1">goldenOTP_check!I16*I72</f>
        <v>788.30400000000009</v>
      </c>
      <c r="J16" s="2">
        <f ca="1">goldenOTP_check!J16*J72</f>
        <v>825.90000000000009</v>
      </c>
      <c r="K16" s="2">
        <f ca="1">goldenOTP_check!K16*K72</f>
        <v>866.5200000000001</v>
      </c>
      <c r="L16" s="2">
        <f ca="1">goldenOTP_check!L16*L72</f>
        <v>898.524</v>
      </c>
      <c r="M16" s="2">
        <f ca="1">goldenOTP_check!M16*M72</f>
        <v>927.75100000000009</v>
      </c>
      <c r="N16" s="2">
        <f ca="1">goldenOTP_check!N16*N72</f>
        <v>952.09199999999998</v>
      </c>
      <c r="O16" s="2">
        <f ca="1">goldenOTP_check!O16*O72</f>
        <v>961.27199999999993</v>
      </c>
      <c r="P16" s="2">
        <f ca="1">goldenOTP_check!P16*P72</f>
        <v>982.26</v>
      </c>
      <c r="Q16" s="2">
        <f ca="1">goldenOTP_check!Q16*Q72</f>
        <v>977.54599999999994</v>
      </c>
      <c r="R16" s="2">
        <f ca="1">goldenOTP_check!R16*R72</f>
        <v>982.79499999999996</v>
      </c>
      <c r="S16" s="2">
        <f ca="1">goldenOTP_check!S16*S72</f>
        <v>976.59999999999991</v>
      </c>
      <c r="T16" s="2">
        <f ca="1">goldenOTP_check!T16*T72</f>
        <v>953.52300000000002</v>
      </c>
      <c r="U16" s="2">
        <f ca="1">goldenOTP_check!U16*U72</f>
        <v>929.0619999999999</v>
      </c>
      <c r="V16" s="2">
        <f ca="1">goldenOTP_check!V16*V72</f>
        <v>901.69200000000001</v>
      </c>
      <c r="W16" s="2">
        <f ca="1">goldenOTP_check!W16*W72</f>
        <v>873.82800000000009</v>
      </c>
      <c r="X16" s="2">
        <f ca="1">goldenOTP_check!X16*X72</f>
        <v>830.4</v>
      </c>
      <c r="Y16" s="10">
        <f ca="1">goldenOTP_check!Y16*Y72</f>
        <v>786.98399999999992</v>
      </c>
    </row>
    <row r="17" spans="2:25" x14ac:dyDescent="0.3">
      <c r="B17" s="6">
        <v>14</v>
      </c>
      <c r="C17" s="9">
        <v>2.8170000000000002</v>
      </c>
      <c r="D17" s="9">
        <v>2.5110000000000001</v>
      </c>
      <c r="E17" s="9">
        <v>2.5129999999999999</v>
      </c>
      <c r="F17" s="9">
        <v>2.411</v>
      </c>
      <c r="H17" t="s">
        <v>6</v>
      </c>
      <c r="I17" s="2">
        <f ca="1">goldenOTP_check!I17*I73</f>
        <v>825.96799999999996</v>
      </c>
      <c r="J17" s="2">
        <f ca="1">goldenOTP_check!J17*J73</f>
        <v>862.72</v>
      </c>
      <c r="K17" s="2">
        <f ca="1">goldenOTP_check!K17*K73</f>
        <v>896.82600000000002</v>
      </c>
      <c r="L17" s="2">
        <f ca="1">goldenOTP_check!L17*L73</f>
        <v>939.45600000000002</v>
      </c>
      <c r="M17" s="2">
        <f ca="1">goldenOTP_check!M17*M73</f>
        <v>975.31700000000001</v>
      </c>
      <c r="N17" s="2">
        <f ca="1">goldenOTP_check!N17*N73</f>
        <v>1009.554</v>
      </c>
      <c r="O17" s="2">
        <f ca="1">goldenOTP_check!O17*O73</f>
        <v>1026.9090000000001</v>
      </c>
      <c r="P17" s="2">
        <f ca="1">goldenOTP_check!P17*P73</f>
        <v>1033.2</v>
      </c>
      <c r="Q17" s="2">
        <f ca="1">goldenOTP_check!Q17*Q73</f>
        <v>1037.1380000000001</v>
      </c>
      <c r="R17" s="2">
        <f ca="1">goldenOTP_check!R17*R73</f>
        <v>1033.2</v>
      </c>
      <c r="S17" s="2">
        <f ca="1">goldenOTP_check!S17*S73</f>
        <v>1029.3210000000001</v>
      </c>
      <c r="T17" s="2">
        <f ca="1">goldenOTP_check!T17*T73</f>
        <v>1012.908</v>
      </c>
      <c r="U17" s="2">
        <f ca="1">goldenOTP_check!U17*U73</f>
        <v>980.85</v>
      </c>
      <c r="V17" s="2">
        <f ca="1">goldenOTP_check!V17*V73</f>
        <v>945.72800000000007</v>
      </c>
      <c r="W17" s="2">
        <f ca="1">goldenOTP_check!W17*W73</f>
        <v>906.25800000000004</v>
      </c>
      <c r="X17" s="2">
        <f ca="1">goldenOTP_check!X17*X73</f>
        <v>869.79700000000003</v>
      </c>
      <c r="Y17" s="2">
        <f ca="1">goldenOTP_check!Y17*Y73</f>
        <v>823.39400000000001</v>
      </c>
    </row>
    <row r="18" spans="2:25" x14ac:dyDescent="0.3">
      <c r="B18" s="6">
        <v>15</v>
      </c>
      <c r="C18" s="9">
        <v>3.0859999999999999</v>
      </c>
      <c r="D18" s="9">
        <v>2.7679999999999998</v>
      </c>
      <c r="E18" s="9">
        <v>2.7690000000000001</v>
      </c>
      <c r="F18" s="9">
        <v>2.6509999999999998</v>
      </c>
      <c r="I18" s="2">
        <f ca="1">goldenOTP_check!I18*I74</f>
        <v>860.65499999999997</v>
      </c>
      <c r="J18" s="2">
        <f ca="1">goldenOTP_check!J18*J74</f>
        <v>889.99199999999996</v>
      </c>
      <c r="K18" s="2">
        <f ca="1">goldenOTP_check!K18*K74</f>
        <v>938.3660000000001</v>
      </c>
      <c r="L18" s="2">
        <f ca="1">goldenOTP_check!L18*L74</f>
        <v>983.89700000000005</v>
      </c>
      <c r="M18" s="2">
        <f ca="1">goldenOTP_check!M18*M74</f>
        <v>1012.5749999999999</v>
      </c>
      <c r="N18" s="2">
        <f ca="1">goldenOTP_check!N18*N74</f>
        <v>1035.856</v>
      </c>
      <c r="O18" s="2">
        <f ca="1">goldenOTP_check!O18*O74</f>
        <v>1046.894</v>
      </c>
      <c r="P18" s="2">
        <f ca="1">goldenOTP_check!P18*P74</f>
        <v>1053.99</v>
      </c>
      <c r="Q18" s="2">
        <f ca="1">goldenOTP_check!Q18*Q74</f>
        <v>1063.328</v>
      </c>
      <c r="R18" s="2">
        <f ca="1">goldenOTP_check!R18*R74</f>
        <v>1058.3999999999999</v>
      </c>
      <c r="S18" s="2">
        <f ca="1">goldenOTP_check!S18*S74</f>
        <v>1057.3489999999999</v>
      </c>
      <c r="T18" s="2">
        <f ca="1">goldenOTP_check!T18*T74</f>
        <v>1046.1119999999999</v>
      </c>
      <c r="U18" s="2">
        <f ca="1">goldenOTP_check!U18*U74</f>
        <v>1022.35</v>
      </c>
      <c r="V18" s="2">
        <f ca="1">goldenOTP_check!V18*V74</f>
        <v>982.86199999999997</v>
      </c>
      <c r="W18" s="2">
        <f ca="1">goldenOTP_check!W18*W74</f>
        <v>936.92800000000011</v>
      </c>
      <c r="X18" s="2">
        <f ca="1">goldenOTP_check!X18*X74</f>
        <v>896.00800000000004</v>
      </c>
      <c r="Y18" s="2">
        <f ca="1">goldenOTP_check!Y18*Y74</f>
        <v>859.06999999999994</v>
      </c>
    </row>
    <row r="19" spans="2:25" x14ac:dyDescent="0.3">
      <c r="B19" s="6">
        <v>16</v>
      </c>
      <c r="C19" s="9">
        <v>3.2759999999999998</v>
      </c>
      <c r="D19" s="9">
        <v>2.9809999999999999</v>
      </c>
      <c r="E19" s="9">
        <v>2.9809999999999999</v>
      </c>
      <c r="F19" s="9">
        <v>2.8479999999999999</v>
      </c>
      <c r="I19" s="2">
        <f ca="1">goldenOTP_check!I19*I75</f>
        <v>868.81899999999996</v>
      </c>
      <c r="J19" s="2">
        <f ca="1">goldenOTP_check!J19*J75</f>
        <v>914.93299999999999</v>
      </c>
      <c r="K19" s="2">
        <f ca="1">goldenOTP_check!K19*K75</f>
        <v>964.88599999999985</v>
      </c>
      <c r="L19" s="2">
        <f ca="1">goldenOTP_check!L19*L75</f>
        <v>1005.082</v>
      </c>
      <c r="M19" s="2">
        <f ca="1">goldenOTP_check!M19*M75</f>
        <v>1033.933</v>
      </c>
      <c r="N19" s="2">
        <f ca="1">goldenOTP_check!N19*N75</f>
        <v>1051.248</v>
      </c>
      <c r="O19" s="2">
        <f ca="1">goldenOTP_check!O19*O75</f>
        <v>1059.4759999999999</v>
      </c>
      <c r="P19" s="2">
        <f ca="1">goldenOTP_check!P19*P75</f>
        <v>1063.0240000000001</v>
      </c>
      <c r="Q19" s="2">
        <f ca="1">goldenOTP_check!Q19*Q75</f>
        <v>1067.8219999999999</v>
      </c>
      <c r="R19" s="2">
        <f ca="1">goldenOTP_check!R19*R75</f>
        <v>1069.752</v>
      </c>
      <c r="S19" s="2">
        <f ca="1">goldenOTP_check!S19*S75</f>
        <v>1073.8040000000001</v>
      </c>
      <c r="T19" s="2">
        <f ca="1">goldenOTP_check!T19*T75</f>
        <v>1065.7280000000001</v>
      </c>
      <c r="U19" s="2">
        <f ca="1">goldenOTP_check!U19*U75</f>
        <v>1046.7529999999999</v>
      </c>
      <c r="V19" s="2">
        <f ca="1">goldenOTP_check!V19*V75</f>
        <v>1017.38</v>
      </c>
      <c r="W19" s="2">
        <f ca="1">goldenOTP_check!W19*W75</f>
        <v>973.54399999999998</v>
      </c>
      <c r="X19" s="2">
        <f ca="1">goldenOTP_check!X19*X75</f>
        <v>918.61400000000003</v>
      </c>
      <c r="Y19" s="2">
        <f ca="1">goldenOTP_check!Y19*Y75</f>
        <v>866.41799999999989</v>
      </c>
    </row>
    <row r="20" spans="2:25" x14ac:dyDescent="0.3">
      <c r="B20" s="6">
        <v>17</v>
      </c>
      <c r="C20" s="9">
        <v>3.238</v>
      </c>
      <c r="D20" s="9">
        <v>2.8879999999999999</v>
      </c>
      <c r="E20" s="9">
        <v>2.89</v>
      </c>
      <c r="F20" s="9">
        <v>2.7749999999999999</v>
      </c>
      <c r="I20" s="2">
        <f ca="1">goldenOTP_check!I20*I76</f>
        <v>870.11099999999988</v>
      </c>
      <c r="J20" s="2">
        <f ca="1">goldenOTP_check!J20*J76</f>
        <v>933.43200000000002</v>
      </c>
      <c r="K20" s="2">
        <f ca="1">goldenOTP_check!K20*K76</f>
        <v>980.19799999999998</v>
      </c>
      <c r="L20" s="2">
        <f ca="1">goldenOTP_check!L20*L76</f>
        <v>1029.952</v>
      </c>
      <c r="M20" s="2">
        <f ca="1">goldenOTP_check!M20*M76</f>
        <v>1050.192</v>
      </c>
      <c r="N20" s="2">
        <f ca="1">goldenOTP_check!N20*N76</f>
        <v>1057.088</v>
      </c>
      <c r="O20" s="2">
        <f ca="1">goldenOTP_check!O20*O76</f>
        <v>1058.414</v>
      </c>
      <c r="P20" s="2">
        <f ca="1">goldenOTP_check!P20*P76</f>
        <v>1054.989</v>
      </c>
      <c r="Q20" s="2">
        <f ca="1">goldenOTP_check!Q20*Q76</f>
        <v>1055.6199999999999</v>
      </c>
      <c r="R20" s="2">
        <f ca="1">goldenOTP_check!R20*R76</f>
        <v>1059.6039999999998</v>
      </c>
      <c r="S20" s="2">
        <f ca="1">goldenOTP_check!S20*S76</f>
        <v>1066.28</v>
      </c>
      <c r="T20" s="2">
        <f ca="1">goldenOTP_check!T20*T76</f>
        <v>1065.8440000000001</v>
      </c>
      <c r="U20" s="2">
        <f ca="1">goldenOTP_check!U20*U76</f>
        <v>1060.02</v>
      </c>
      <c r="V20" s="2">
        <f ca="1">goldenOTP_check!V20*V76</f>
        <v>1031.1299999999999</v>
      </c>
      <c r="W20" s="2">
        <f ca="1">goldenOTP_check!W20*W76</f>
        <v>990.99199999999996</v>
      </c>
      <c r="X20" s="2">
        <f ca="1">goldenOTP_check!X20*X76</f>
        <v>942.60900000000004</v>
      </c>
      <c r="Y20" s="2">
        <f ca="1">goldenOTP_check!Y20*Y76</f>
        <v>874.46699999999998</v>
      </c>
    </row>
    <row r="21" spans="2:25" x14ac:dyDescent="0.3">
      <c r="B21" s="6">
        <v>18</v>
      </c>
      <c r="C21" s="9">
        <v>2.88</v>
      </c>
      <c r="D21" s="9">
        <v>2.56</v>
      </c>
      <c r="E21" s="9">
        <v>2.5630000000000002</v>
      </c>
      <c r="F21" s="9">
        <v>2.4630000000000001</v>
      </c>
      <c r="I21" s="2">
        <f ca="1">goldenOTP_check!I21*I77</f>
        <v>868.62</v>
      </c>
      <c r="J21" s="2">
        <f ca="1">goldenOTP_check!J21*J77</f>
        <v>940.428</v>
      </c>
      <c r="K21" s="2">
        <f ca="1">goldenOTP_check!K21*K77</f>
        <v>984.63199999999995</v>
      </c>
      <c r="L21" s="2">
        <f ca="1">goldenOTP_check!L21*L77</f>
        <v>1029.684</v>
      </c>
      <c r="M21" s="2">
        <f ca="1">goldenOTP_check!M21*M77</f>
        <v>1058.499</v>
      </c>
      <c r="N21" s="2">
        <f ca="1">goldenOTP_check!N21*N77</f>
        <v>1060.884</v>
      </c>
      <c r="O21" s="2">
        <f ca="1">goldenOTP_check!O21*O77</f>
        <v>1057.202</v>
      </c>
      <c r="P21" s="2">
        <f ca="1">goldenOTP_check!P21*P77</f>
        <v>1039.6980000000001</v>
      </c>
      <c r="Q21" s="2">
        <f ca="1">goldenOTP_check!Q21*Q77</f>
        <v>1029.8249999999998</v>
      </c>
      <c r="R21" s="2">
        <f ca="1">goldenOTP_check!R21*R77</f>
        <v>1042.635</v>
      </c>
      <c r="S21" s="2">
        <f ca="1">goldenOTP_check!S21*S77</f>
        <v>1063.7049999999999</v>
      </c>
      <c r="T21" s="2">
        <f ca="1">goldenOTP_check!T21*T77</f>
        <v>1066.8059999999998</v>
      </c>
      <c r="U21" s="2">
        <f ca="1">goldenOTP_check!U21*U77</f>
        <v>1055.925</v>
      </c>
      <c r="V21" s="2">
        <f ca="1">goldenOTP_check!V21*V77</f>
        <v>1038.588</v>
      </c>
      <c r="W21" s="2">
        <f ca="1">goldenOTP_check!W21*W77</f>
        <v>996.42399999999998</v>
      </c>
      <c r="X21" s="2">
        <f ca="1">goldenOTP_check!X21*X77</f>
        <v>951.75300000000004</v>
      </c>
      <c r="Y21" s="2">
        <f ca="1">goldenOTP_check!Y21*Y77</f>
        <v>894.52</v>
      </c>
    </row>
    <row r="22" spans="2:25" x14ac:dyDescent="0.3">
      <c r="B22" s="6">
        <v>19</v>
      </c>
      <c r="C22" s="9">
        <v>2.5640000000000001</v>
      </c>
      <c r="D22" s="9">
        <v>2.282</v>
      </c>
      <c r="E22" s="9">
        <v>2.2850000000000001</v>
      </c>
      <c r="F22" s="9">
        <v>2.2029999999999998</v>
      </c>
      <c r="I22" s="2">
        <f ca="1">goldenOTP_check!I22*I78</f>
        <v>877.33800000000008</v>
      </c>
      <c r="J22" s="2">
        <f ca="1">goldenOTP_check!J22*J78</f>
        <v>944.16300000000001</v>
      </c>
      <c r="K22" s="2">
        <f ca="1">goldenOTP_check!K22*K78</f>
        <v>992.25800000000004</v>
      </c>
      <c r="L22" s="2">
        <f ca="1">goldenOTP_check!L22*L78</f>
        <v>1037.617</v>
      </c>
      <c r="M22" s="2">
        <f ca="1">goldenOTP_check!M22*M78</f>
        <v>1047.5559999999998</v>
      </c>
      <c r="N22" s="2">
        <f ca="1">goldenOTP_check!N22*N78</f>
        <v>1052.8599999999999</v>
      </c>
      <c r="O22" s="2">
        <f ca="1">goldenOTP_check!O22*O78</f>
        <v>1049.904</v>
      </c>
      <c r="P22" s="2">
        <f ca="1">goldenOTP_check!P22*P78</f>
        <v>1027.0260000000001</v>
      </c>
      <c r="Q22" s="2">
        <f ca="1">goldenOTP_check!Q22*Q78</f>
        <v>1027.0920000000001</v>
      </c>
      <c r="R22" s="2">
        <f ca="1">goldenOTP_check!R22*R78</f>
        <v>1033.0319999999999</v>
      </c>
      <c r="S22" s="2">
        <f ca="1">goldenOTP_check!S22*S78</f>
        <v>1061.316</v>
      </c>
      <c r="T22" s="2">
        <f ca="1">goldenOTP_check!T22*T78</f>
        <v>1064.0790000000002</v>
      </c>
      <c r="U22" s="2">
        <f ca="1">goldenOTP_check!U22*U78</f>
        <v>1058.9259999999999</v>
      </c>
      <c r="V22" s="2">
        <f ca="1">goldenOTP_check!V22*V78</f>
        <v>1039.0820000000001</v>
      </c>
      <c r="W22" s="2">
        <f ca="1">goldenOTP_check!W22*W78</f>
        <v>1001.557</v>
      </c>
      <c r="X22" s="2">
        <f ca="1">goldenOTP_check!X22*X78</f>
        <v>951.96599999999989</v>
      </c>
      <c r="Y22" s="2">
        <f ca="1">goldenOTP_check!Y22*Y78</f>
        <v>878.85</v>
      </c>
    </row>
    <row r="23" spans="2:25" x14ac:dyDescent="0.3">
      <c r="B23" s="6">
        <v>20</v>
      </c>
      <c r="C23" s="9">
        <v>2.3490000000000002</v>
      </c>
      <c r="D23" s="9">
        <v>2.097</v>
      </c>
      <c r="E23" s="9">
        <v>2.1</v>
      </c>
      <c r="F23" s="9">
        <v>2.028</v>
      </c>
      <c r="I23" s="2">
        <f ca="1">goldenOTP_check!I23*I79</f>
        <v>873.08399999999995</v>
      </c>
      <c r="J23" s="2">
        <f ca="1">goldenOTP_check!J23*J79</f>
        <v>941.78700000000003</v>
      </c>
      <c r="K23" s="2">
        <f ca="1">goldenOTP_check!K23*K79</f>
        <v>994.02800000000002</v>
      </c>
      <c r="L23" s="2">
        <f ca="1">goldenOTP_check!L23*L79</f>
        <v>1031.3689999999999</v>
      </c>
      <c r="M23" s="2">
        <f ca="1">goldenOTP_check!M23*M79</f>
        <v>1048.0409999999999</v>
      </c>
      <c r="N23" s="2">
        <f ca="1">goldenOTP_check!N23*N79</f>
        <v>1055.6280000000002</v>
      </c>
      <c r="O23" s="2">
        <f ca="1">goldenOTP_check!O23*O79</f>
        <v>1049.0700000000002</v>
      </c>
      <c r="P23" s="2">
        <f ca="1">goldenOTP_check!P23*P79</f>
        <v>1028.28</v>
      </c>
      <c r="Q23" s="2">
        <f ca="1">goldenOTP_check!Q23*Q79</f>
        <v>1024.0229999999999</v>
      </c>
      <c r="R23" s="2">
        <f ca="1">goldenOTP_check!R23*R79</f>
        <v>1038.1199999999999</v>
      </c>
      <c r="S23" s="2">
        <f ca="1">goldenOTP_check!S23*S79</f>
        <v>1058.1310000000001</v>
      </c>
      <c r="T23" s="2">
        <f ca="1">goldenOTP_check!T23*T79</f>
        <v>1063.4219999999998</v>
      </c>
      <c r="U23" s="2">
        <f ca="1">goldenOTP_check!U23*U79</f>
        <v>1054.443</v>
      </c>
      <c r="V23" s="2">
        <f ca="1">goldenOTP_check!V23*V79</f>
        <v>1037.316</v>
      </c>
      <c r="W23" s="2">
        <f ca="1">goldenOTP_check!W23*W79</f>
        <v>993.74400000000003</v>
      </c>
      <c r="X23" s="2">
        <f ca="1">goldenOTP_check!X23*X79</f>
        <v>946.31700000000001</v>
      </c>
      <c r="Y23" s="2">
        <f ca="1">goldenOTP_check!Y23*Y79</f>
        <v>887.68</v>
      </c>
    </row>
    <row r="24" spans="2:25" x14ac:dyDescent="0.3">
      <c r="B24" s="6">
        <v>21</v>
      </c>
      <c r="C24" s="9">
        <v>2.1589999999999998</v>
      </c>
      <c r="D24" s="9">
        <v>1.9390000000000001</v>
      </c>
      <c r="E24" s="9">
        <v>1.9419999999999999</v>
      </c>
      <c r="F24" s="9">
        <v>1.877</v>
      </c>
      <c r="I24" s="2">
        <f ca="1">goldenOTP_check!I24*I80</f>
        <v>873.74099999999999</v>
      </c>
      <c r="J24" s="2">
        <f ca="1">goldenOTP_check!J24*J80</f>
        <v>937.36500000000001</v>
      </c>
      <c r="K24" s="2">
        <f ca="1">goldenOTP_check!K24*K80</f>
        <v>980.71199999999999</v>
      </c>
      <c r="L24" s="2">
        <f ca="1">goldenOTP_check!L24*L80</f>
        <v>1025.088</v>
      </c>
      <c r="M24" s="2">
        <f ca="1">goldenOTP_check!M24*M80</f>
        <v>1050.672</v>
      </c>
      <c r="N24" s="2">
        <f ca="1">goldenOTP_check!N24*N80</f>
        <v>1053.828</v>
      </c>
      <c r="O24" s="2">
        <f ca="1">goldenOTP_check!O24*O80</f>
        <v>1052.163</v>
      </c>
      <c r="P24" s="2">
        <f ca="1">goldenOTP_check!P24*P80</f>
        <v>1046.0539999999999</v>
      </c>
      <c r="Q24" s="2">
        <f ca="1">goldenOTP_check!Q24*Q80</f>
        <v>1048.953</v>
      </c>
      <c r="R24" s="2">
        <f ca="1">goldenOTP_check!R24*R80</f>
        <v>1049.77</v>
      </c>
      <c r="S24" s="2">
        <f ca="1">goldenOTP_check!S24*S80</f>
        <v>1060.0740000000001</v>
      </c>
      <c r="T24" s="2">
        <f ca="1">goldenOTP_check!T24*T80</f>
        <v>1056.2919999999999</v>
      </c>
      <c r="U24" s="2">
        <f ca="1">goldenOTP_check!U24*U80</f>
        <v>1053.702</v>
      </c>
      <c r="V24" s="2">
        <f ca="1">goldenOTP_check!V24*V80</f>
        <v>1036.6400000000001</v>
      </c>
      <c r="W24" s="2">
        <f ca="1">goldenOTP_check!W24*W80</f>
        <v>988.93599999999992</v>
      </c>
      <c r="X24" s="2">
        <f ca="1">goldenOTP_check!X24*X80</f>
        <v>942.17200000000003</v>
      </c>
      <c r="Y24" s="2">
        <f ca="1">goldenOTP_check!Y24*Y80</f>
        <v>875.19299999999998</v>
      </c>
    </row>
    <row r="25" spans="2:25" x14ac:dyDescent="0.3">
      <c r="B25" s="6">
        <v>22</v>
      </c>
      <c r="C25" s="9">
        <v>1.994</v>
      </c>
      <c r="D25" s="9">
        <v>1.806</v>
      </c>
      <c r="E25" s="9">
        <v>1.8089999999999999</v>
      </c>
      <c r="F25" s="9">
        <v>1.748</v>
      </c>
      <c r="I25" s="2">
        <f ca="1">goldenOTP_check!I25*I81</f>
        <v>863.67399999999998</v>
      </c>
      <c r="J25" s="2">
        <f ca="1">goldenOTP_check!J25*J81</f>
        <v>912.47899999999993</v>
      </c>
      <c r="K25" s="2">
        <f ca="1">goldenOTP_check!K25*K81</f>
        <v>962.96199999999988</v>
      </c>
      <c r="L25" s="2">
        <f ca="1">goldenOTP_check!L25*L81</f>
        <v>1011.816</v>
      </c>
      <c r="M25" s="2">
        <f ca="1">goldenOTP_check!M25*M81</f>
        <v>1038.4349999999999</v>
      </c>
      <c r="N25" s="2">
        <f ca="1">goldenOTP_check!N25*N81</f>
        <v>1051.2</v>
      </c>
      <c r="O25" s="2">
        <f ca="1">goldenOTP_check!O25*O81</f>
        <v>1047.5360000000001</v>
      </c>
      <c r="P25" s="2">
        <f ca="1">goldenOTP_check!P25*P81</f>
        <v>1052.424</v>
      </c>
      <c r="Q25" s="2">
        <f ca="1">goldenOTP_check!Q25*Q81</f>
        <v>1053.7230000000002</v>
      </c>
      <c r="R25" s="2">
        <f ca="1">goldenOTP_check!R25*R81</f>
        <v>1052.424</v>
      </c>
      <c r="S25" s="2">
        <f ca="1">goldenOTP_check!S25*S81</f>
        <v>1048.3319999999999</v>
      </c>
      <c r="T25" s="2">
        <f ca="1">goldenOTP_check!T25*T81</f>
        <v>1051.93</v>
      </c>
      <c r="U25" s="2">
        <f ca="1">goldenOTP_check!U25*U81</f>
        <v>1041.0229999999999</v>
      </c>
      <c r="V25" s="2">
        <f ca="1">goldenOTP_check!V25*V81</f>
        <v>1008.995</v>
      </c>
      <c r="W25" s="2">
        <f ca="1">goldenOTP_check!W25*W81</f>
        <v>971.62</v>
      </c>
      <c r="X25" s="2">
        <f ca="1">goldenOTP_check!X25*X81</f>
        <v>920.65899999999999</v>
      </c>
      <c r="Y25" s="2">
        <f ca="1">goldenOTP_check!Y25*Y81</f>
        <v>870.87700000000007</v>
      </c>
    </row>
    <row r="26" spans="2:25" x14ac:dyDescent="0.3">
      <c r="B26" s="6">
        <v>23</v>
      </c>
      <c r="C26" s="9">
        <v>1.863</v>
      </c>
      <c r="D26" s="9">
        <v>1.7030000000000001</v>
      </c>
      <c r="E26" s="9">
        <v>1.7050000000000001</v>
      </c>
      <c r="F26" s="9">
        <v>1.651</v>
      </c>
      <c r="I26" s="2">
        <f ca="1">goldenOTP_check!I26*I82</f>
        <v>859.06999999999994</v>
      </c>
      <c r="J26" s="2">
        <f ca="1">goldenOTP_check!J26*J82</f>
        <v>891.87199999999996</v>
      </c>
      <c r="K26" s="2">
        <f ca="1">goldenOTP_check!K26*K82</f>
        <v>931.24699999999996</v>
      </c>
      <c r="L26" s="2">
        <f ca="1">goldenOTP_check!L26*L82</f>
        <v>983.38799999999992</v>
      </c>
      <c r="M26" s="2">
        <f ca="1">goldenOTP_check!M26*M82</f>
        <v>1008.55</v>
      </c>
      <c r="N26" s="2">
        <f ca="1">goldenOTP_check!N26*N82</f>
        <v>1039.0820000000001</v>
      </c>
      <c r="O26" s="2">
        <f ca="1">goldenOTP_check!O26*O82</f>
        <v>1045.278</v>
      </c>
      <c r="P26" s="2">
        <f ca="1">goldenOTP_check!P26*P82</f>
        <v>1048.5150000000001</v>
      </c>
      <c r="Q26" s="2">
        <f ca="1">goldenOTP_check!Q26*Q82</f>
        <v>1044.528</v>
      </c>
      <c r="R26" s="2">
        <f ca="1">goldenOTP_check!R26*R82</f>
        <v>1047.7739999999999</v>
      </c>
      <c r="S26" s="2">
        <f ca="1">goldenOTP_check!S26*S82</f>
        <v>1045.98</v>
      </c>
      <c r="T26" s="2">
        <f ca="1">goldenOTP_check!T26*T82</f>
        <v>1032.01</v>
      </c>
      <c r="U26" s="2">
        <f ca="1">goldenOTP_check!U26*U82</f>
        <v>1012</v>
      </c>
      <c r="V26" s="2">
        <f ca="1">goldenOTP_check!V26*V82</f>
        <v>977.32900000000006</v>
      </c>
      <c r="W26" s="2">
        <f ca="1">goldenOTP_check!W26*W82</f>
        <v>936.05399999999997</v>
      </c>
      <c r="X26" s="2">
        <f ca="1">goldenOTP_check!X26*X82</f>
        <v>897.51200000000006</v>
      </c>
      <c r="Y26" s="2">
        <f ca="1">goldenOTP_check!Y26*Y82</f>
        <v>863.19099999999992</v>
      </c>
    </row>
    <row r="27" spans="2:25" x14ac:dyDescent="0.3">
      <c r="B27" s="6">
        <v>24</v>
      </c>
      <c r="C27" s="9">
        <v>1.7809999999999999</v>
      </c>
      <c r="D27" s="9">
        <v>1.64</v>
      </c>
      <c r="E27" s="9">
        <v>1.641</v>
      </c>
      <c r="F27" s="9">
        <v>1.595</v>
      </c>
      <c r="I27" s="2">
        <f ca="1">goldenOTP_check!I27*I83</f>
        <v>850.01099999999997</v>
      </c>
      <c r="J27" s="2">
        <f ca="1">goldenOTP_check!J27*J83</f>
        <v>884.94</v>
      </c>
      <c r="K27" s="2">
        <f ca="1">goldenOTP_check!K27*K83</f>
        <v>903.9</v>
      </c>
      <c r="L27" s="2">
        <f ca="1">goldenOTP_check!L27*L83</f>
        <v>943.93600000000015</v>
      </c>
      <c r="M27" s="2">
        <f ca="1">goldenOTP_check!M27*M83</f>
        <v>975.31700000000001</v>
      </c>
      <c r="N27" s="2">
        <f ca="1">goldenOTP_check!N27*N83</f>
        <v>1004.5229999999999</v>
      </c>
      <c r="O27" s="2">
        <f ca="1">goldenOTP_check!O27*O83</f>
        <v>1020.276</v>
      </c>
      <c r="P27" s="2">
        <f ca="1">goldenOTP_check!P27*P83</f>
        <v>1034.136</v>
      </c>
      <c r="Q27" s="2">
        <f ca="1">goldenOTP_check!Q27*Q83</f>
        <v>1030.087</v>
      </c>
      <c r="R27" s="2">
        <f ca="1">goldenOTP_check!R27*R83</f>
        <v>1037.952</v>
      </c>
      <c r="S27" s="2">
        <f ca="1">goldenOTP_check!S27*S83</f>
        <v>1028.7180000000001</v>
      </c>
      <c r="T27" s="2">
        <f ca="1">goldenOTP_check!T27*T83</f>
        <v>1012.908</v>
      </c>
      <c r="U27" s="2">
        <f ca="1">goldenOTP_check!U27*U83</f>
        <v>981.35300000000007</v>
      </c>
      <c r="V27" s="2">
        <f ca="1">goldenOTP_check!V27*V83</f>
        <v>947.5200000000001</v>
      </c>
      <c r="W27" s="2">
        <f ca="1">goldenOTP_check!W27*W83</f>
        <v>904.29300000000001</v>
      </c>
      <c r="X27" s="2">
        <f ca="1">goldenOTP_check!X27*X83</f>
        <v>883.91099999999994</v>
      </c>
      <c r="Y27" s="2">
        <f ca="1">goldenOTP_check!Y27*Y83</f>
        <v>841.572</v>
      </c>
    </row>
    <row r="28" spans="2:25" x14ac:dyDescent="0.3">
      <c r="B28" s="6">
        <v>25</v>
      </c>
      <c r="C28" s="9">
        <v>1.754</v>
      </c>
      <c r="D28" s="9">
        <v>1.6180000000000001</v>
      </c>
      <c r="E28" s="9">
        <v>1.62</v>
      </c>
      <c r="F28" s="9">
        <v>1.577</v>
      </c>
      <c r="I28" s="10">
        <f ca="1">goldenOTP_check!I28*I84</f>
        <v>832.55500000000006</v>
      </c>
      <c r="J28" s="2">
        <f ca="1">goldenOTP_check!J28*J84</f>
        <v>849.45900000000006</v>
      </c>
      <c r="K28" s="2">
        <f ca="1">goldenOTP_check!K28*K84</f>
        <v>870.23199999999997</v>
      </c>
      <c r="L28" s="2">
        <f ca="1">goldenOTP_check!L28*L84</f>
        <v>902.86900000000003</v>
      </c>
      <c r="M28" s="2">
        <f ca="1">goldenOTP_check!M28*M84</f>
        <v>930.07200000000012</v>
      </c>
      <c r="N28" s="2">
        <f ca="1">goldenOTP_check!N28*N84</f>
        <v>954.57</v>
      </c>
      <c r="O28" s="2">
        <f ca="1">goldenOTP_check!O28*O84</f>
        <v>976.48199999999997</v>
      </c>
      <c r="P28" s="2">
        <f ca="1">goldenOTP_check!P28*P84</f>
        <v>979.125</v>
      </c>
      <c r="Q28" s="2">
        <f ca="1">goldenOTP_check!Q28*Q84</f>
        <v>995.30000000000007</v>
      </c>
      <c r="R28" s="2">
        <f ca="1">goldenOTP_check!R28*R84</f>
        <v>985.42499999999995</v>
      </c>
      <c r="S28" s="2">
        <f ca="1">goldenOTP_check!S28*S84</f>
        <v>987.63599999999997</v>
      </c>
      <c r="T28" s="2">
        <f ca="1">goldenOTP_check!T28*T84</f>
        <v>966.32</v>
      </c>
      <c r="U28" s="2">
        <f ca="1">goldenOTP_check!U28*U84</f>
        <v>938.22299999999996</v>
      </c>
      <c r="V28" s="2">
        <f ca="1">goldenOTP_check!V28*V84</f>
        <v>907.53700000000003</v>
      </c>
      <c r="W28" s="2">
        <f ca="1">goldenOTP_check!W28*W84</f>
        <v>868.86800000000005</v>
      </c>
      <c r="X28" s="2">
        <f ca="1">goldenOTP_check!X28*X84</f>
        <v>835.70499999999993</v>
      </c>
      <c r="Y28" s="10">
        <f ca="1">goldenOTP_check!Y28*Y84</f>
        <v>804.31000000000006</v>
      </c>
    </row>
    <row r="29" spans="2:25" x14ac:dyDescent="0.3">
      <c r="B29" s="6">
        <v>26</v>
      </c>
      <c r="C29" s="9">
        <v>1.778</v>
      </c>
      <c r="D29" s="9">
        <v>1.64</v>
      </c>
      <c r="E29" s="9">
        <v>1.641</v>
      </c>
      <c r="F29" s="9">
        <v>1.595</v>
      </c>
    </row>
    <row r="30" spans="2:25" x14ac:dyDescent="0.3">
      <c r="B30" s="6">
        <v>27</v>
      </c>
      <c r="C30" s="9">
        <v>1.86</v>
      </c>
      <c r="D30" s="9">
        <v>1.7070000000000001</v>
      </c>
      <c r="E30" s="9">
        <v>1.7090000000000001</v>
      </c>
      <c r="F30" s="9">
        <v>1.6579999999999999</v>
      </c>
      <c r="H30" t="s">
        <v>2</v>
      </c>
      <c r="I30" s="11">
        <f ca="1">goldenOTP_check!I30*I86</f>
        <v>782.06999999999994</v>
      </c>
      <c r="J30" s="2">
        <f ca="1">goldenOTP_check!J30*J86</f>
        <v>843.3359999999999</v>
      </c>
      <c r="K30" s="2">
        <f ca="1">goldenOTP_check!K30*K86</f>
        <v>882.87600000000009</v>
      </c>
      <c r="L30" s="2">
        <f ca="1">goldenOTP_check!L30*L86</f>
        <v>914.14800000000002</v>
      </c>
      <c r="M30" s="2">
        <f ca="1">goldenOTP_check!M30*M86</f>
        <v>938.00699999999995</v>
      </c>
      <c r="N30" s="2">
        <f ca="1">goldenOTP_check!N30*N86</f>
        <v>966.48299999999995</v>
      </c>
      <c r="O30" s="2">
        <f ca="1">goldenOTP_check!O30*O86</f>
        <v>984.19999999999993</v>
      </c>
      <c r="P30" s="2">
        <f ca="1">goldenOTP_check!P30*P86</f>
        <v>1004.0939999999999</v>
      </c>
      <c r="Q30" s="2">
        <f ca="1">goldenOTP_check!Q30*Q86</f>
        <v>999.72899999999993</v>
      </c>
      <c r="R30" s="2">
        <f ca="1">goldenOTP_check!R30*R86</f>
        <v>1004.6400000000001</v>
      </c>
      <c r="S30" s="2">
        <f ca="1">goldenOTP_check!S30*S86</f>
        <v>985.75400000000002</v>
      </c>
      <c r="T30" s="2">
        <f ca="1">goldenOTP_check!T30*T86</f>
        <v>966.96599999999989</v>
      </c>
      <c r="U30" s="2">
        <f ca="1">goldenOTP_check!U30*U86</f>
        <v>938.44800000000009</v>
      </c>
      <c r="V30" s="2">
        <f ca="1">goldenOTP_check!V30*V86</f>
        <v>916.15800000000002</v>
      </c>
      <c r="W30" s="2">
        <f ca="1">goldenOTP_check!W30*W86</f>
        <v>889.60199999999998</v>
      </c>
      <c r="X30" s="2">
        <f ca="1">goldenOTP_check!X30*X86</f>
        <v>847.31400000000008</v>
      </c>
      <c r="Y30" s="11">
        <f ca="1">goldenOTP_check!Y30*Y86</f>
        <v>781.02199999999993</v>
      </c>
    </row>
    <row r="31" spans="2:25" x14ac:dyDescent="0.3">
      <c r="B31" s="6">
        <v>28</v>
      </c>
      <c r="C31" s="9">
        <v>1.99</v>
      </c>
      <c r="D31" s="9">
        <v>1.8120000000000001</v>
      </c>
      <c r="E31" s="9">
        <v>1.8140000000000001</v>
      </c>
      <c r="F31" s="9">
        <v>1.758</v>
      </c>
      <c r="H31" t="s">
        <v>6</v>
      </c>
      <c r="I31" s="2">
        <f ca="1">goldenOTP_check!I31*I87</f>
        <v>840.99</v>
      </c>
      <c r="J31" s="2">
        <f ca="1">goldenOTP_check!J31*J87</f>
        <v>879.10900000000004</v>
      </c>
      <c r="K31" s="2">
        <f ca="1">goldenOTP_check!K31*K87</f>
        <v>909.43000000000006</v>
      </c>
      <c r="L31" s="2">
        <f ca="1">goldenOTP_check!L31*L87</f>
        <v>951.30000000000007</v>
      </c>
      <c r="M31" s="2">
        <f ca="1">goldenOTP_check!M31*M87</f>
        <v>998.18799999999999</v>
      </c>
      <c r="N31" s="2">
        <f ca="1">goldenOTP_check!N31*N87</f>
        <v>1020.276</v>
      </c>
      <c r="O31" s="2">
        <f ca="1">goldenOTP_check!O31*O87</f>
        <v>1046.8700000000001</v>
      </c>
      <c r="P31" s="2">
        <f ca="1">goldenOTP_check!P31*P87</f>
        <v>1051.8810000000001</v>
      </c>
      <c r="Q31" s="2">
        <f ca="1">goldenOTP_check!Q31*Q87</f>
        <v>1057.8600000000001</v>
      </c>
      <c r="R31" s="2">
        <f ca="1">goldenOTP_check!R31*R87</f>
        <v>1051.8810000000001</v>
      </c>
      <c r="S31" s="2">
        <f ca="1">goldenOTP_check!S31*S87</f>
        <v>1049.326</v>
      </c>
      <c r="T31" s="2">
        <f ca="1">goldenOTP_check!T31*T87</f>
        <v>1023.096</v>
      </c>
      <c r="U31" s="2">
        <f ca="1">goldenOTP_check!U31*U87</f>
        <v>1003.328</v>
      </c>
      <c r="V31" s="2">
        <f ca="1">goldenOTP_check!V31*V87</f>
        <v>956.73599999999999</v>
      </c>
      <c r="W31" s="2">
        <f ca="1">goldenOTP_check!W31*W87</f>
        <v>917.78800000000001</v>
      </c>
      <c r="X31" s="2">
        <f ca="1">goldenOTP_check!X31*X87</f>
        <v>885.28300000000002</v>
      </c>
      <c r="Y31" s="2">
        <f ca="1">goldenOTP_check!Y31*Y87</f>
        <v>837.20699999999988</v>
      </c>
    </row>
    <row r="32" spans="2:25" x14ac:dyDescent="0.3">
      <c r="B32" s="6">
        <v>29</v>
      </c>
      <c r="C32" s="9">
        <v>2.1589999999999998</v>
      </c>
      <c r="D32" s="9">
        <v>1.95</v>
      </c>
      <c r="E32" s="9">
        <v>1.952</v>
      </c>
      <c r="F32" s="9">
        <v>1.8939999999999999</v>
      </c>
      <c r="I32" s="2">
        <f ca="1">goldenOTP_check!I32*I88</f>
        <v>856.17</v>
      </c>
      <c r="J32" s="2">
        <f ca="1">goldenOTP_check!J32*J88</f>
        <v>904.95800000000008</v>
      </c>
      <c r="K32" s="2">
        <f ca="1">goldenOTP_check!K32*K88</f>
        <v>939.69200000000001</v>
      </c>
      <c r="L32" s="2">
        <f ca="1">goldenOTP_check!L32*L88</f>
        <v>984.91500000000008</v>
      </c>
      <c r="M32" s="2">
        <f ca="1">goldenOTP_check!M32*M88</f>
        <v>1024.3029999999999</v>
      </c>
      <c r="N32" s="2">
        <f ca="1">goldenOTP_check!N32*N88</f>
        <v>1057.2070000000001</v>
      </c>
      <c r="O32" s="2">
        <f ca="1">goldenOTP_check!O32*O88</f>
        <v>1064.8320000000001</v>
      </c>
      <c r="P32" s="2">
        <f ca="1">goldenOTP_check!P32*P88</f>
        <v>1071.9449999999999</v>
      </c>
      <c r="Q32" s="2">
        <f ca="1">goldenOTP_check!Q32*Q88</f>
        <v>1079.645</v>
      </c>
      <c r="R32" s="2">
        <f ca="1">goldenOTP_check!R32*R88</f>
        <v>1075.68</v>
      </c>
      <c r="S32" s="2">
        <f ca="1">goldenOTP_check!S32*S88</f>
        <v>1074.7439999999999</v>
      </c>
      <c r="T32" s="2">
        <f ca="1">goldenOTP_check!T32*T88</f>
        <v>1066.3489999999999</v>
      </c>
      <c r="U32" s="2">
        <f ca="1">goldenOTP_check!U32*U88</f>
        <v>1033.018</v>
      </c>
      <c r="V32" s="2">
        <f ca="1">goldenOTP_check!V32*V88</f>
        <v>994.58600000000001</v>
      </c>
      <c r="W32" s="2">
        <f ca="1">goldenOTP_check!W32*W88</f>
        <v>947.2059999999999</v>
      </c>
      <c r="X32" s="2">
        <f ca="1">goldenOTP_check!X32*X88</f>
        <v>909.92400000000009</v>
      </c>
      <c r="Y32" s="2">
        <f ca="1">goldenOTP_check!Y32*Y88</f>
        <v>874.68400000000008</v>
      </c>
    </row>
    <row r="33" spans="2:25" x14ac:dyDescent="0.3">
      <c r="B33" s="6">
        <v>30</v>
      </c>
      <c r="C33" s="9">
        <v>2.35</v>
      </c>
      <c r="D33" s="9">
        <v>2.1110000000000002</v>
      </c>
      <c r="E33" s="9">
        <v>2.1120000000000001</v>
      </c>
      <c r="F33" s="9">
        <v>2.0499999999999998</v>
      </c>
      <c r="I33" s="2">
        <f ca="1">goldenOTP_check!I33*I89</f>
        <v>869.505</v>
      </c>
      <c r="J33" s="2">
        <f ca="1">goldenOTP_check!J33*J89</f>
        <v>915.75099999999998</v>
      </c>
      <c r="K33" s="2">
        <f ca="1">goldenOTP_check!K33*K89</f>
        <v>965.84799999999996</v>
      </c>
      <c r="L33" s="2">
        <f ca="1">goldenOTP_check!L33*L89</f>
        <v>1015.2</v>
      </c>
      <c r="M33" s="2">
        <f ca="1">goldenOTP_check!M33*M89</f>
        <v>1044.905</v>
      </c>
      <c r="N33" s="2">
        <f ca="1">goldenOTP_check!N33*N89</f>
        <v>1068.69</v>
      </c>
      <c r="O33" s="2">
        <f ca="1">goldenOTP_check!O33*O89</f>
        <v>1068.2640000000001</v>
      </c>
      <c r="P33" s="2">
        <f ca="1">goldenOTP_check!P33*P89</f>
        <v>1077.78</v>
      </c>
      <c r="Q33" s="2">
        <f ca="1">goldenOTP_check!Q33*Q89</f>
        <v>1081.528</v>
      </c>
      <c r="R33" s="2">
        <f ca="1">goldenOTP_check!R33*R89</f>
        <v>1083.7439999999999</v>
      </c>
      <c r="S33" s="2">
        <f ca="1">goldenOTP_check!S33*S89</f>
        <v>1081.8979999999999</v>
      </c>
      <c r="T33" s="2">
        <f ca="1">goldenOTP_check!T33*T89</f>
        <v>1074.56</v>
      </c>
      <c r="U33" s="2">
        <f ca="1">goldenOTP_check!U33*U89</f>
        <v>1056.5509999999999</v>
      </c>
      <c r="V33" s="2">
        <f ca="1">goldenOTP_check!V33*V89</f>
        <v>1025.9159999999999</v>
      </c>
      <c r="W33" s="2">
        <f ca="1">goldenOTP_check!W33*W89</f>
        <v>973.0630000000001</v>
      </c>
      <c r="X33" s="2">
        <f ca="1">goldenOTP_check!X33*X89</f>
        <v>918.20500000000004</v>
      </c>
      <c r="Y33" s="2">
        <f ca="1">goldenOTP_check!Y33*Y89</f>
        <v>883.4</v>
      </c>
    </row>
    <row r="34" spans="2:25" x14ac:dyDescent="0.3">
      <c r="B34" s="6">
        <v>31</v>
      </c>
      <c r="C34" s="9">
        <v>2.573</v>
      </c>
      <c r="D34" s="9">
        <v>2.306</v>
      </c>
      <c r="E34" s="9">
        <v>2.306</v>
      </c>
      <c r="F34" s="9">
        <v>2.2360000000000002</v>
      </c>
      <c r="I34" s="2">
        <f ca="1">goldenOTP_check!I34*I90</f>
        <v>870.83699999999999</v>
      </c>
      <c r="J34" s="2">
        <f ca="1">goldenOTP_check!J34*J90</f>
        <v>934.30599999999993</v>
      </c>
      <c r="K34" s="2">
        <f ca="1">goldenOTP_check!K34*K90</f>
        <v>992.68000000000006</v>
      </c>
      <c r="L34" s="2">
        <f ca="1">goldenOTP_check!L34*L90</f>
        <v>1031.1679999999999</v>
      </c>
      <c r="M34" s="2">
        <f ca="1">goldenOTP_check!M34*M90</f>
        <v>1060.5840000000001</v>
      </c>
      <c r="N34" s="2">
        <f ca="1">goldenOTP_check!N34*N90</f>
        <v>1065.8579999999999</v>
      </c>
      <c r="O34" s="2">
        <f ca="1">goldenOTP_check!O34*O90</f>
        <v>1065.348</v>
      </c>
      <c r="P34" s="2">
        <f ca="1">goldenOTP_check!P34*P90</f>
        <v>1069.6399999999999</v>
      </c>
      <c r="Q34" s="2">
        <f ca="1">goldenOTP_check!Q34*Q90</f>
        <v>1067.973</v>
      </c>
      <c r="R34" s="2">
        <f ca="1">goldenOTP_check!R34*R90</f>
        <v>1073.3799999999999</v>
      </c>
      <c r="S34" s="2">
        <f ca="1">goldenOTP_check!S34*S90</f>
        <v>1072.3799999999999</v>
      </c>
      <c r="T34" s="2">
        <f ca="1">goldenOTP_check!T34*T90</f>
        <v>1074.68</v>
      </c>
      <c r="U34" s="2">
        <f ca="1">goldenOTP_check!U34*U90</f>
        <v>1060.02</v>
      </c>
      <c r="V34" s="2">
        <f ca="1">goldenOTP_check!V34*V90</f>
        <v>1039.68</v>
      </c>
      <c r="W34" s="2">
        <f ca="1">goldenOTP_check!W34*W90</f>
        <v>990.99199999999996</v>
      </c>
      <c r="X34" s="2">
        <f ca="1">goldenOTP_check!X34*X90</f>
        <v>942.60900000000004</v>
      </c>
      <c r="Y34" s="2">
        <f ca="1">goldenOTP_check!Y34*Y90</f>
        <v>873.74099999999999</v>
      </c>
    </row>
    <row r="35" spans="2:25" x14ac:dyDescent="0.3">
      <c r="B35" s="6">
        <v>32</v>
      </c>
      <c r="C35" s="9">
        <v>2.8759999999999999</v>
      </c>
      <c r="D35" s="9">
        <v>2.581</v>
      </c>
      <c r="E35" s="9">
        <v>2.581</v>
      </c>
      <c r="F35" s="9">
        <v>2.4969999999999999</v>
      </c>
      <c r="I35" s="2">
        <f ca="1">goldenOTP_check!I35*I91</f>
        <v>888.06000000000006</v>
      </c>
      <c r="J35" s="2">
        <f ca="1">goldenOTP_check!J35*J91</f>
        <v>941.33399999999995</v>
      </c>
      <c r="K35" s="2">
        <f ca="1">goldenOTP_check!K35*K91</f>
        <v>986.24</v>
      </c>
      <c r="L35" s="2">
        <f ca="1">goldenOTP_check!L35*L91</f>
        <v>1031.5920000000001</v>
      </c>
      <c r="M35" s="2">
        <f ca="1">goldenOTP_check!M35*M91</f>
        <v>1059.9929999999999</v>
      </c>
      <c r="N35" s="2">
        <f ca="1">goldenOTP_check!N35*N91</f>
        <v>1063.4219999999998</v>
      </c>
      <c r="O35" s="2">
        <f ca="1">goldenOTP_check!O35*O91</f>
        <v>1059.06</v>
      </c>
      <c r="P35" s="2">
        <f ca="1">goldenOTP_check!P35*P91</f>
        <v>1045.008</v>
      </c>
      <c r="Q35" s="2">
        <f ca="1">goldenOTP_check!Q35*Q91</f>
        <v>1036.0349999999999</v>
      </c>
      <c r="R35" s="2">
        <f ca="1">goldenOTP_check!R35*R91</f>
        <v>1047.96</v>
      </c>
      <c r="S35" s="2">
        <f ca="1">goldenOTP_check!S35*S91</f>
        <v>1064.634</v>
      </c>
      <c r="T35" s="2">
        <f ca="1">goldenOTP_check!T35*T91</f>
        <v>1066.8059999999998</v>
      </c>
      <c r="U35" s="2">
        <f ca="1">goldenOTP_check!U35*U91</f>
        <v>1055.925</v>
      </c>
      <c r="V35" s="2">
        <f ca="1">goldenOTP_check!V35*V91</f>
        <v>1038.588</v>
      </c>
      <c r="W35" s="2">
        <f ca="1">goldenOTP_check!W35*W91</f>
        <v>996.42399999999998</v>
      </c>
      <c r="X35" s="2">
        <f ca="1">goldenOTP_check!X35*X91</f>
        <v>951.30000000000007</v>
      </c>
      <c r="Y35" s="2">
        <f ca="1">goldenOTP_check!Y35*Y91</f>
        <v>893.76</v>
      </c>
    </row>
    <row r="36" spans="2:25" x14ac:dyDescent="0.3">
      <c r="B36" s="6">
        <v>33</v>
      </c>
      <c r="C36" s="9">
        <v>3.1789999999999998</v>
      </c>
      <c r="D36" s="9">
        <v>2.879</v>
      </c>
      <c r="E36" s="9">
        <v>2.8769999999999998</v>
      </c>
      <c r="F36" s="9">
        <v>2.7709999999999999</v>
      </c>
      <c r="I36" s="2">
        <f ca="1">goldenOTP_check!I36*I92</f>
        <v>878.09399999999994</v>
      </c>
      <c r="J36" s="2">
        <f ca="1">goldenOTP_check!J36*J92</f>
        <v>945.08100000000013</v>
      </c>
      <c r="K36" s="2">
        <f ca="1">goldenOTP_check!K36*K92</f>
        <v>993.35199999999998</v>
      </c>
      <c r="L36" s="2">
        <f ca="1">goldenOTP_check!L36*L92</f>
        <v>1030.0240000000001</v>
      </c>
      <c r="M36" s="2">
        <f ca="1">goldenOTP_check!M36*M92</f>
        <v>1049.0719999999999</v>
      </c>
      <c r="N36" s="2">
        <f ca="1">goldenOTP_check!N36*N92</f>
        <v>1055.4490000000001</v>
      </c>
      <c r="O36" s="2">
        <f ca="1">goldenOTP_check!O36*O92</f>
        <v>1046.2760000000001</v>
      </c>
      <c r="P36" s="2">
        <f ca="1">goldenOTP_check!P36*P92</f>
        <v>1028.0269999999998</v>
      </c>
      <c r="Q36" s="2">
        <f ca="1">goldenOTP_check!Q36*Q92</f>
        <v>1028.1149999999998</v>
      </c>
      <c r="R36" s="2">
        <f ca="1">goldenOTP_check!R36*R92</f>
        <v>1033.0319999999999</v>
      </c>
      <c r="S36" s="2">
        <f ca="1">goldenOTP_check!S36*S92</f>
        <v>1055.7360000000001</v>
      </c>
      <c r="T36" s="2">
        <f ca="1">goldenOTP_check!T36*T92</f>
        <v>1057.538</v>
      </c>
      <c r="U36" s="2">
        <f ca="1">goldenOTP_check!U36*U92</f>
        <v>1050.5440000000001</v>
      </c>
      <c r="V36" s="2">
        <f ca="1">goldenOTP_check!V36*V92</f>
        <v>1039.0820000000001</v>
      </c>
      <c r="W36" s="2">
        <f ca="1">goldenOTP_check!W36*W92</f>
        <v>992.40199999999993</v>
      </c>
      <c r="X36" s="2">
        <f ca="1">goldenOTP_check!X36*X92</f>
        <v>951.50699999999995</v>
      </c>
      <c r="Y36" s="2">
        <f ca="1">goldenOTP_check!Y36*Y92</f>
        <v>878.09399999999994</v>
      </c>
    </row>
    <row r="37" spans="2:25" x14ac:dyDescent="0.3">
      <c r="B37" s="6">
        <v>34</v>
      </c>
      <c r="C37" s="9">
        <v>3.0529999999999999</v>
      </c>
      <c r="D37" s="9">
        <v>2.7149999999999999</v>
      </c>
      <c r="E37" s="9">
        <v>2.718</v>
      </c>
      <c r="F37" s="9">
        <v>2.6240000000000001</v>
      </c>
      <c r="I37" s="2">
        <f ca="1">goldenOTP_check!I37*I93</f>
        <v>873.08399999999995</v>
      </c>
      <c r="J37" s="2">
        <f ca="1">goldenOTP_check!J37*J93</f>
        <v>942.24</v>
      </c>
      <c r="K37" s="2">
        <f ca="1">goldenOTP_check!K37*K93</f>
        <v>983.56</v>
      </c>
      <c r="L37" s="2">
        <f ca="1">goldenOTP_check!L37*L93</f>
        <v>1024.596</v>
      </c>
      <c r="M37" s="2">
        <f ca="1">goldenOTP_check!M37*M93</f>
        <v>1041.105</v>
      </c>
      <c r="N37" s="2">
        <f ca="1">goldenOTP_check!N37*N93</f>
        <v>1049.8860000000002</v>
      </c>
      <c r="O37" s="2">
        <f ca="1">goldenOTP_check!O37*O93</f>
        <v>1043.2670000000001</v>
      </c>
      <c r="P37" s="2">
        <f ca="1">goldenOTP_check!P37*P93</f>
        <v>1028.28</v>
      </c>
      <c r="Q37" s="2">
        <f ca="1">goldenOTP_check!Q37*Q93</f>
        <v>1024.0229999999999</v>
      </c>
      <c r="R37" s="2">
        <f ca="1">goldenOTP_check!R37*R93</f>
        <v>1037.136</v>
      </c>
      <c r="S37" s="2">
        <f ca="1">goldenOTP_check!S37*S93</f>
        <v>1051.297</v>
      </c>
      <c r="T37" s="2">
        <f ca="1">goldenOTP_check!T37*T93</f>
        <v>1057.1369999999999</v>
      </c>
      <c r="U37" s="2">
        <f ca="1">goldenOTP_check!U37*U93</f>
        <v>1054.443</v>
      </c>
      <c r="V37" s="2">
        <f ca="1">goldenOTP_check!V37*V93</f>
        <v>1027.53</v>
      </c>
      <c r="W37" s="2">
        <f ca="1">goldenOTP_check!W37*W93</f>
        <v>993.20799999999997</v>
      </c>
      <c r="X37" s="2">
        <f ca="1">goldenOTP_check!X37*X93</f>
        <v>935.42399999999998</v>
      </c>
      <c r="Y37" s="2">
        <f ca="1">goldenOTP_check!Y37*Y93</f>
        <v>872.54200000000003</v>
      </c>
    </row>
    <row r="38" spans="2:25" x14ac:dyDescent="0.3">
      <c r="B38" s="6">
        <v>35</v>
      </c>
      <c r="C38" s="9">
        <v>2.6589999999999998</v>
      </c>
      <c r="D38" s="9">
        <v>2.367</v>
      </c>
      <c r="E38" s="9">
        <v>2.3690000000000002</v>
      </c>
      <c r="F38" s="9">
        <v>2.2909999999999999</v>
      </c>
      <c r="I38" s="2">
        <f ca="1">goldenOTP_check!I38*I94</f>
        <v>873.74099999999999</v>
      </c>
      <c r="J38" s="2">
        <f ca="1">goldenOTP_check!J38*J94</f>
        <v>937.36500000000001</v>
      </c>
      <c r="K38" s="2">
        <f ca="1">goldenOTP_check!K38*K94</f>
        <v>980.71199999999999</v>
      </c>
      <c r="L38" s="2">
        <f ca="1">goldenOTP_check!L38*L94</f>
        <v>1016.658</v>
      </c>
      <c r="M38" s="2">
        <f ca="1">goldenOTP_check!M38*M94</f>
        <v>1041.768</v>
      </c>
      <c r="N38" s="2">
        <f ca="1">goldenOTP_check!N38*N94</f>
        <v>1045.944</v>
      </c>
      <c r="O38" s="2">
        <f ca="1">goldenOTP_check!O38*O94</f>
        <v>1046.1780000000001</v>
      </c>
      <c r="P38" s="2">
        <f ca="1">goldenOTP_check!P38*P94</f>
        <v>1038.375</v>
      </c>
      <c r="Q38" s="2">
        <f ca="1">goldenOTP_check!Q38*Q94</f>
        <v>1042.4920000000002</v>
      </c>
      <c r="R38" s="2">
        <f ca="1">goldenOTP_check!R38*R94</f>
        <v>1042.067</v>
      </c>
      <c r="S38" s="2">
        <f ca="1">goldenOTP_check!S38*S94</f>
        <v>1052.296</v>
      </c>
      <c r="T38" s="2">
        <f ca="1">goldenOTP_check!T38*T94</f>
        <v>1048.866</v>
      </c>
      <c r="U38" s="2">
        <f ca="1">goldenOTP_check!U38*U94</f>
        <v>1045.5</v>
      </c>
      <c r="V38" s="2">
        <f ca="1">goldenOTP_check!V38*V94</f>
        <v>1026.9090000000001</v>
      </c>
      <c r="W38" s="2">
        <f ca="1">goldenOTP_check!W38*W94</f>
        <v>978.298</v>
      </c>
      <c r="X38" s="2">
        <f ca="1">goldenOTP_check!X38*X94</f>
        <v>928.37399999999991</v>
      </c>
      <c r="Y38" s="2">
        <f ca="1">goldenOTP_check!Y38*Y94</f>
        <v>878.55500000000006</v>
      </c>
    </row>
    <row r="39" spans="2:25" x14ac:dyDescent="0.3">
      <c r="B39" s="6">
        <v>36</v>
      </c>
      <c r="C39" s="9">
        <v>2.3759999999999999</v>
      </c>
      <c r="D39" s="9">
        <v>2.1230000000000002</v>
      </c>
      <c r="E39" s="9">
        <v>2.1259999999999999</v>
      </c>
      <c r="F39" s="9">
        <v>2.0609999999999999</v>
      </c>
      <c r="I39" s="2">
        <f ca="1">goldenOTP_check!I39*I95</f>
        <v>843.19499999999994</v>
      </c>
      <c r="J39" s="2">
        <f ca="1">goldenOTP_check!J39*J95</f>
        <v>911.66100000000006</v>
      </c>
      <c r="K39" s="2">
        <f ca="1">goldenOTP_check!K39*K95</f>
        <v>952.476</v>
      </c>
      <c r="L39" s="2">
        <f ca="1">goldenOTP_check!L39*L95</f>
        <v>1002.2869999999999</v>
      </c>
      <c r="M39" s="2">
        <f ca="1">goldenOTP_check!M39*M95</f>
        <v>1028.164</v>
      </c>
      <c r="N39" s="2">
        <f ca="1">goldenOTP_check!N39*N95</f>
        <v>1041.836</v>
      </c>
      <c r="O39" s="2">
        <f ca="1">goldenOTP_check!O39*O95</f>
        <v>1046.74</v>
      </c>
      <c r="P39" s="2">
        <f ca="1">goldenOTP_check!P39*P95</f>
        <v>1045.3630000000001</v>
      </c>
      <c r="Q39" s="2">
        <f ca="1">goldenOTP_check!Q39*Q95</f>
        <v>1043.826</v>
      </c>
      <c r="R39" s="2">
        <f ca="1">goldenOTP_check!R39*R95</f>
        <v>1044.5219999999999</v>
      </c>
      <c r="S39" s="2">
        <f ca="1">goldenOTP_check!S39*S95</f>
        <v>1040.165</v>
      </c>
      <c r="T39" s="2">
        <f ca="1">goldenOTP_check!T39*T95</f>
        <v>1034.6410000000001</v>
      </c>
      <c r="U39" s="2">
        <f ca="1">goldenOTP_check!U39*U95</f>
        <v>1022.052</v>
      </c>
      <c r="V39" s="2">
        <f ca="1">goldenOTP_check!V39*V95</f>
        <v>996.50599999999997</v>
      </c>
      <c r="W39" s="2">
        <f ca="1">goldenOTP_check!W39*W95</f>
        <v>960.09199999999998</v>
      </c>
      <c r="X39" s="2">
        <f ca="1">goldenOTP_check!X39*X95</f>
        <v>907.78800000000001</v>
      </c>
      <c r="Y39" s="2">
        <f ca="1">goldenOTP_check!Y39*Y95</f>
        <v>874.2299999999999</v>
      </c>
    </row>
    <row r="40" spans="2:25" x14ac:dyDescent="0.3">
      <c r="B40" s="6">
        <v>37</v>
      </c>
      <c r="C40" s="9">
        <v>2.1480000000000001</v>
      </c>
      <c r="D40" s="9">
        <v>1.9330000000000001</v>
      </c>
      <c r="E40" s="9">
        <v>1.9350000000000001</v>
      </c>
      <c r="F40" s="9">
        <v>1.877</v>
      </c>
      <c r="I40" s="2">
        <f ca="1">goldenOTP_check!I40*I96</f>
        <v>858.43600000000004</v>
      </c>
      <c r="J40" s="2">
        <f ca="1">goldenOTP_check!J40*J96</f>
        <v>891.12</v>
      </c>
      <c r="K40" s="2">
        <f ca="1">goldenOTP_check!K40*K96</f>
        <v>930.37300000000005</v>
      </c>
      <c r="L40" s="2">
        <f ca="1">goldenOTP_check!L40*L96</f>
        <v>971.29300000000001</v>
      </c>
      <c r="M40" s="2">
        <f ca="1">goldenOTP_check!M40*M96</f>
        <v>999.78</v>
      </c>
      <c r="N40" s="2">
        <f ca="1">goldenOTP_check!N40*N96</f>
        <v>1028.8050000000001</v>
      </c>
      <c r="O40" s="2">
        <f ca="1">goldenOTP_check!O40*O96</f>
        <v>1036.4390000000001</v>
      </c>
      <c r="P40" s="2">
        <f ca="1">goldenOTP_check!P40*P96</f>
        <v>1037.82</v>
      </c>
      <c r="Q40" s="2">
        <f ca="1">goldenOTP_check!Q40*Q96</f>
        <v>1035.3419999999999</v>
      </c>
      <c r="R40" s="2">
        <f ca="1">goldenOTP_check!R40*R96</f>
        <v>1037.085</v>
      </c>
      <c r="S40" s="2">
        <f ca="1">goldenOTP_check!S40*S96</f>
        <v>1037.136</v>
      </c>
      <c r="T40" s="2">
        <f ca="1">goldenOTP_check!T40*T96</f>
        <v>1022.052</v>
      </c>
      <c r="U40" s="2">
        <f ca="1">goldenOTP_check!U40*U96</f>
        <v>1001.4899999999999</v>
      </c>
      <c r="V40" s="2">
        <f ca="1">goldenOTP_check!V40*V96</f>
        <v>965.62200000000007</v>
      </c>
      <c r="W40" s="2">
        <f ca="1">goldenOTP_check!W40*W96</f>
        <v>921.90899999999988</v>
      </c>
      <c r="X40" s="2">
        <f ca="1">goldenOTP_check!X40*X96</f>
        <v>881.71</v>
      </c>
      <c r="Y40" s="2">
        <f ca="1">goldenOTP_check!Y40*Y96</f>
        <v>866.72300000000007</v>
      </c>
    </row>
    <row r="41" spans="2:25" x14ac:dyDescent="0.3">
      <c r="B41" s="6">
        <v>38</v>
      </c>
      <c r="C41" s="9">
        <v>1.9339999999999999</v>
      </c>
      <c r="D41" s="9">
        <v>1.7609999999999999</v>
      </c>
      <c r="E41" s="9">
        <v>1.7629999999999999</v>
      </c>
      <c r="F41" s="9">
        <v>1.7090000000000001</v>
      </c>
      <c r="I41" s="2">
        <f ca="1">goldenOTP_check!I41*I97</f>
        <v>854.97400000000005</v>
      </c>
      <c r="J41" s="2">
        <f ca="1">goldenOTP_check!J41*J97</f>
        <v>868.78599999999994</v>
      </c>
      <c r="K41" s="2">
        <f ca="1">goldenOTP_check!K41*K97</f>
        <v>903.11400000000003</v>
      </c>
      <c r="L41" s="2">
        <f ca="1">goldenOTP_check!L41*L97</f>
        <v>930.41</v>
      </c>
      <c r="M41" s="2">
        <f ca="1">goldenOTP_check!M41*M97</f>
        <v>965.12400000000002</v>
      </c>
      <c r="N41" s="2">
        <f ca="1">goldenOTP_check!N41*N97</f>
        <v>993.18799999999999</v>
      </c>
      <c r="O41" s="2">
        <f ca="1">goldenOTP_check!O41*O97</f>
        <v>1008.93</v>
      </c>
      <c r="P41" s="2">
        <f ca="1">goldenOTP_check!P41*P97</f>
        <v>1023.1200000000001</v>
      </c>
      <c r="Q41" s="2">
        <f ca="1">goldenOTP_check!Q41*Q97</f>
        <v>1020.144</v>
      </c>
      <c r="R41" s="2">
        <f ca="1">goldenOTP_check!R41*R97</f>
        <v>1026.27</v>
      </c>
      <c r="S41" s="2">
        <f ca="1">goldenOTP_check!S41*S97</f>
        <v>1016.691</v>
      </c>
      <c r="T41" s="2">
        <f ca="1">goldenOTP_check!T41*T97</f>
        <v>1000.377</v>
      </c>
      <c r="U41" s="2">
        <f ca="1">goldenOTP_check!U41*U97</f>
        <v>970.10399999999993</v>
      </c>
      <c r="V41" s="2">
        <f ca="1">goldenOTP_check!V41*V97</f>
        <v>933.06200000000013</v>
      </c>
      <c r="W41" s="2">
        <f ca="1">goldenOTP_check!W41*W97</f>
        <v>888.93900000000008</v>
      </c>
      <c r="X41" s="2">
        <f ca="1">goldenOTP_check!X41*X97</f>
        <v>866.42700000000002</v>
      </c>
      <c r="Y41" s="2">
        <f ca="1">goldenOTP_check!Y41*Y97</f>
        <v>845.30499999999995</v>
      </c>
    </row>
    <row r="42" spans="2:25" x14ac:dyDescent="0.3">
      <c r="B42" s="6">
        <v>39</v>
      </c>
      <c r="C42" s="9">
        <v>1.7529999999999999</v>
      </c>
      <c r="D42" s="9">
        <v>1.6160000000000001</v>
      </c>
      <c r="E42" s="9">
        <v>1.619</v>
      </c>
      <c r="F42" s="9">
        <v>1.5669999999999999</v>
      </c>
      <c r="I42" s="11">
        <f ca="1">goldenOTP_check!I42*I98</f>
        <v>837.66100000000006</v>
      </c>
      <c r="J42" s="2">
        <f ca="1">goldenOTP_check!J42*J98</f>
        <v>851.4</v>
      </c>
      <c r="K42" s="2">
        <f ca="1">goldenOTP_check!K42*K98</f>
        <v>869.20899999999995</v>
      </c>
      <c r="L42" s="2">
        <f ca="1">goldenOTP_check!L42*L98</f>
        <v>888.56</v>
      </c>
      <c r="M42" s="2">
        <f ca="1">goldenOTP_check!M42*M98</f>
        <v>933.54599999999994</v>
      </c>
      <c r="N42" s="2">
        <f ca="1">goldenOTP_check!N42*N98</f>
        <v>941.4559999999999</v>
      </c>
      <c r="O42" s="2">
        <f ca="1">goldenOTP_check!O42*O98</f>
        <v>963.92399999999998</v>
      </c>
      <c r="P42" s="2">
        <f ca="1">goldenOTP_check!P42*P98</f>
        <v>968.24</v>
      </c>
      <c r="Q42" s="2">
        <f ca="1">goldenOTP_check!Q42*Q98</f>
        <v>984.45100000000002</v>
      </c>
      <c r="R42" s="2">
        <f ca="1">goldenOTP_check!R42*R98</f>
        <v>974.48</v>
      </c>
      <c r="S42" s="2">
        <f ca="1">goldenOTP_check!S42*S98</f>
        <v>974.94600000000003</v>
      </c>
      <c r="T42" s="2">
        <f ca="1">goldenOTP_check!T42*T98</f>
        <v>952.59199999999998</v>
      </c>
      <c r="U42" s="2">
        <f ca="1">goldenOTP_check!U42*U98</f>
        <v>926.01600000000008</v>
      </c>
      <c r="V42" s="2">
        <f ca="1">goldenOTP_check!V42*V98</f>
        <v>892.00700000000006</v>
      </c>
      <c r="W42" s="2">
        <f ca="1">goldenOTP_check!W42*W98</f>
        <v>872.24900000000002</v>
      </c>
      <c r="X42" s="2">
        <f ca="1">goldenOTP_check!X42*X98</f>
        <v>836.7</v>
      </c>
      <c r="Y42" s="11">
        <f ca="1">goldenOTP_check!Y42*Y98</f>
        <v>787.77599999999995</v>
      </c>
    </row>
    <row r="43" spans="2:25" x14ac:dyDescent="0.3">
      <c r="B43" s="6">
        <v>40</v>
      </c>
      <c r="C43" s="9">
        <v>1.609</v>
      </c>
      <c r="D43" s="9">
        <v>1.502</v>
      </c>
      <c r="E43" s="9">
        <v>1.504</v>
      </c>
      <c r="F43" s="9">
        <v>1.462</v>
      </c>
    </row>
    <row r="44" spans="2:25" x14ac:dyDescent="0.3">
      <c r="B44" s="6">
        <v>41</v>
      </c>
      <c r="C44" s="9">
        <v>1.52</v>
      </c>
      <c r="D44" s="9">
        <v>1.4339999999999999</v>
      </c>
      <c r="E44" s="9">
        <v>1.4350000000000001</v>
      </c>
      <c r="F44" s="9">
        <v>1.401</v>
      </c>
      <c r="H44" t="s">
        <v>3</v>
      </c>
      <c r="I44" s="12">
        <f ca="1">goldenOTP_check!I44*I100</f>
        <v>749.42</v>
      </c>
      <c r="J44" s="4">
        <f ca="1">goldenOTP_check!J44*J100</f>
        <v>814.82</v>
      </c>
      <c r="K44" s="4">
        <f ca="1">goldenOTP_check!K44*K100</f>
        <v>837.05600000000004</v>
      </c>
      <c r="L44" s="4">
        <f ca="1">goldenOTP_check!L44*L100</f>
        <v>889.16599999999994</v>
      </c>
      <c r="M44" s="4">
        <f ca="1">goldenOTP_check!M44*M100</f>
        <v>918.23599999999999</v>
      </c>
      <c r="N44" s="4">
        <f ca="1">goldenOTP_check!N44*N100</f>
        <v>914.40899999999999</v>
      </c>
      <c r="O44" s="4">
        <f ca="1">goldenOTP_check!O44*O100</f>
        <v>952.90600000000006</v>
      </c>
      <c r="P44" s="4">
        <f ca="1">goldenOTP_check!P44*P100</f>
        <v>964.23599999999999</v>
      </c>
      <c r="Q44" s="4">
        <f ca="1">goldenOTP_check!Q44*Q100</f>
        <v>974.75</v>
      </c>
      <c r="R44" s="4">
        <f ca="1">goldenOTP_check!R44*R100</f>
        <v>966.42</v>
      </c>
      <c r="S44" s="4">
        <f ca="1">goldenOTP_check!S44*S100</f>
        <v>956.56700000000001</v>
      </c>
      <c r="T44" s="4">
        <f ca="1">goldenOTP_check!T44*T100</f>
        <v>916.79399999999998</v>
      </c>
      <c r="U44" s="4">
        <f ca="1">goldenOTP_check!U44*U100</f>
        <v>921.39300000000003</v>
      </c>
      <c r="V44" s="4">
        <f ca="1">goldenOTP_check!V44*V100</f>
        <v>861.28399999999999</v>
      </c>
      <c r="W44" s="4">
        <f ca="1">goldenOTP_check!W44*W100</f>
        <v>848.67200000000003</v>
      </c>
      <c r="X44" s="4">
        <f ca="1">goldenOTP_check!X44*X100</f>
        <v>824.4609999999999</v>
      </c>
      <c r="Y44" s="12">
        <f ca="1">goldenOTP_check!Y44*Y100</f>
        <v>754.71999999999991</v>
      </c>
    </row>
    <row r="45" spans="2:25" x14ac:dyDescent="0.3">
      <c r="B45" s="6">
        <v>42</v>
      </c>
      <c r="C45" s="9">
        <v>1.4930000000000001</v>
      </c>
      <c r="D45" s="9">
        <v>1.4139999999999999</v>
      </c>
      <c r="E45" s="9">
        <v>1.415</v>
      </c>
      <c r="F45" s="9">
        <v>1.3859999999999999</v>
      </c>
      <c r="H45" t="s">
        <v>6</v>
      </c>
      <c r="I45" s="4">
        <f ca="1">goldenOTP_check!I45*I101</f>
        <v>821.4</v>
      </c>
      <c r="J45" s="4">
        <f ca="1">goldenOTP_check!J45*J101</f>
        <v>839.88300000000004</v>
      </c>
      <c r="K45" s="4">
        <f ca="1">goldenOTP_check!K45*K101</f>
        <v>876.79399999999998</v>
      </c>
      <c r="L45" s="4">
        <f ca="1">goldenOTP_check!L45*L101</f>
        <v>922.74</v>
      </c>
      <c r="M45" s="4">
        <f ca="1">goldenOTP_check!M45*M101</f>
        <v>961.024</v>
      </c>
      <c r="N45" s="4">
        <f ca="1">goldenOTP_check!N45*N101</f>
        <v>992.86400000000003</v>
      </c>
      <c r="O45" s="4">
        <f ca="1">goldenOTP_check!O45*O101</f>
        <v>1013.7140000000001</v>
      </c>
      <c r="P45" s="4">
        <f ca="1">goldenOTP_check!P45*P101</f>
        <v>1016.015</v>
      </c>
      <c r="Q45" s="4">
        <f ca="1">goldenOTP_check!Q45*Q101</f>
        <v>1021.896</v>
      </c>
      <c r="R45" s="4">
        <f ca="1">goldenOTP_check!R45*R101</f>
        <v>1016.015</v>
      </c>
      <c r="S45" s="4">
        <f ca="1">goldenOTP_check!S45*S101</f>
        <v>1018.0119999999999</v>
      </c>
      <c r="T45" s="4">
        <f ca="1">goldenOTP_check!T45*T101</f>
        <v>998.54399999999998</v>
      </c>
      <c r="U45" s="4">
        <f ca="1">goldenOTP_check!U45*U101</f>
        <v>969.72799999999995</v>
      </c>
      <c r="V45" s="4">
        <f ca="1">goldenOTP_check!V45*V101</f>
        <v>932.74999999999989</v>
      </c>
      <c r="W45" s="4">
        <f ca="1">goldenOTP_check!W45*W101</f>
        <v>889.92800000000011</v>
      </c>
      <c r="X45" s="4">
        <f ca="1">goldenOTP_check!X45*X101</f>
        <v>851.47699999999998</v>
      </c>
      <c r="Y45" s="4">
        <f ca="1">goldenOTP_check!Y45*Y101</f>
        <v>820.21600000000001</v>
      </c>
    </row>
    <row r="46" spans="2:25" x14ac:dyDescent="0.3">
      <c r="B46" s="6">
        <v>43</v>
      </c>
      <c r="C46" s="9">
        <v>1.524</v>
      </c>
      <c r="D46" s="9">
        <v>1.44</v>
      </c>
      <c r="E46" s="9">
        <v>1.44</v>
      </c>
      <c r="F46" s="9">
        <v>1.409</v>
      </c>
      <c r="I46" s="4">
        <f ca="1">goldenOTP_check!I46*I102</f>
        <v>823.93600000000004</v>
      </c>
      <c r="J46" s="4">
        <f ca="1">goldenOTP_check!J46*J102</f>
        <v>859.125</v>
      </c>
      <c r="K46" s="4">
        <f ca="1">goldenOTP_check!K46*K102</f>
        <v>913.02300000000002</v>
      </c>
      <c r="L46" s="4">
        <f ca="1">goldenOTP_check!L46*L102</f>
        <v>961.024</v>
      </c>
      <c r="M46" s="4">
        <f ca="1">goldenOTP_check!M46*M102</f>
        <v>991.22</v>
      </c>
      <c r="N46" s="4">
        <f ca="1">goldenOTP_check!N46*N102</f>
        <v>1015.4159999999999</v>
      </c>
      <c r="O46" s="4">
        <f ca="1">goldenOTP_check!O46*O102</f>
        <v>1030.71</v>
      </c>
      <c r="P46" s="4">
        <f ca="1">goldenOTP_check!P46*P102</f>
        <v>1050.75</v>
      </c>
      <c r="Q46" s="4">
        <f ca="1">goldenOTP_check!Q46*Q102</f>
        <v>1056.1319999999998</v>
      </c>
      <c r="R46" s="4">
        <f ca="1">goldenOTP_check!R46*R102</f>
        <v>1056.75</v>
      </c>
      <c r="S46" s="4">
        <f ca="1">goldenOTP_check!S46*S102</f>
        <v>1043.4000000000001</v>
      </c>
      <c r="T46" s="4">
        <f ca="1">goldenOTP_check!T46*T102</f>
        <v>1029.672</v>
      </c>
      <c r="U46" s="4">
        <f ca="1">goldenOTP_check!U46*U102</f>
        <v>1006.3000000000001</v>
      </c>
      <c r="V46" s="4">
        <f ca="1">goldenOTP_check!V46*V102</f>
        <v>977.40800000000002</v>
      </c>
      <c r="W46" s="4">
        <f ca="1">goldenOTP_check!W46*W102</f>
        <v>927.64199999999994</v>
      </c>
      <c r="X46" s="4">
        <f ca="1">goldenOTP_check!X46*X102</f>
        <v>869.25</v>
      </c>
      <c r="Y46" s="4">
        <f ca="1">goldenOTP_check!Y46*Y102</f>
        <v>822.3660000000001</v>
      </c>
    </row>
    <row r="47" spans="2:25" x14ac:dyDescent="0.3">
      <c r="B47" s="6">
        <v>44</v>
      </c>
      <c r="C47" s="9">
        <v>1.6180000000000001</v>
      </c>
      <c r="D47" s="9">
        <v>1.5169999999999999</v>
      </c>
      <c r="E47" s="9">
        <v>1.518</v>
      </c>
      <c r="F47" s="9">
        <v>1.48</v>
      </c>
      <c r="I47" s="4">
        <f ca="1">goldenOTP_check!I47*I103</f>
        <v>858.19100000000003</v>
      </c>
      <c r="J47" s="4">
        <f ca="1">goldenOTP_check!J47*J103</f>
        <v>889.57499999999993</v>
      </c>
      <c r="K47" s="4">
        <f ca="1">goldenOTP_check!K47*K103</f>
        <v>954.52800000000002</v>
      </c>
      <c r="L47" s="4">
        <f ca="1">goldenOTP_check!L47*L103</f>
        <v>993.43200000000002</v>
      </c>
      <c r="M47" s="4">
        <f ca="1">goldenOTP_check!M47*M103</f>
        <v>1014.12</v>
      </c>
      <c r="N47" s="4">
        <f ca="1">goldenOTP_check!N47*N103</f>
        <v>1041.251</v>
      </c>
      <c r="O47" s="4">
        <f ca="1">goldenOTP_check!O47*O103</f>
        <v>1045.8720000000001</v>
      </c>
      <c r="P47" s="4">
        <f ca="1">goldenOTP_check!P47*P103</f>
        <v>1056.0139999999999</v>
      </c>
      <c r="Q47" s="4">
        <f ca="1">goldenOTP_check!Q47*Q103</f>
        <v>1058.4000000000001</v>
      </c>
      <c r="R47" s="4">
        <f ca="1">goldenOTP_check!R47*R103</f>
        <v>1064.5440000000001</v>
      </c>
      <c r="S47" s="4">
        <f ca="1">goldenOTP_check!S47*S103</f>
        <v>1063.626</v>
      </c>
      <c r="T47" s="4">
        <f ca="1">goldenOTP_check!T47*T103</f>
        <v>1043.972</v>
      </c>
      <c r="U47" s="4">
        <f ca="1">goldenOTP_check!U47*U103</f>
        <v>1034.856</v>
      </c>
      <c r="V47" s="4">
        <f ca="1">goldenOTP_check!V47*V103</f>
        <v>992.57400000000007</v>
      </c>
      <c r="W47" s="4">
        <f ca="1">goldenOTP_check!W47*W103</f>
        <v>945.89100000000008</v>
      </c>
      <c r="X47" s="4">
        <f ca="1">goldenOTP_check!X47*X103</f>
        <v>897.75499999999988</v>
      </c>
      <c r="Y47" s="4">
        <f ca="1">goldenOTP_check!Y47*Y103</f>
        <v>856.44600000000003</v>
      </c>
    </row>
    <row r="48" spans="2:25" x14ac:dyDescent="0.3">
      <c r="B48" s="6">
        <v>45</v>
      </c>
      <c r="C48" s="9">
        <v>1.76</v>
      </c>
      <c r="D48" s="9">
        <v>1.6319999999999999</v>
      </c>
      <c r="E48" s="9">
        <v>1.633</v>
      </c>
      <c r="F48" s="9">
        <v>1.589</v>
      </c>
      <c r="I48" s="4">
        <f ca="1">goldenOTP_check!I48*I104</f>
        <v>864.05900000000008</v>
      </c>
      <c r="J48" s="4">
        <f ca="1">goldenOTP_check!J48*J104</f>
        <v>899.42399999999998</v>
      </c>
      <c r="K48" s="4">
        <f ca="1">goldenOTP_check!K48*K104</f>
        <v>952.83199999999999</v>
      </c>
      <c r="L48" s="4">
        <f ca="1">goldenOTP_check!L48*L104</f>
        <v>1014.942</v>
      </c>
      <c r="M48" s="4">
        <f ca="1">goldenOTP_check!M48*M104</f>
        <v>1027.8899999999999</v>
      </c>
      <c r="N48" s="4">
        <f ca="1">goldenOTP_check!N48*N104</f>
        <v>1044.258</v>
      </c>
      <c r="O48" s="4">
        <f ca="1">goldenOTP_check!O48*O104</f>
        <v>1050.2079999999999</v>
      </c>
      <c r="P48" s="4">
        <f ca="1">goldenOTP_check!P48*P104</f>
        <v>1048.5</v>
      </c>
      <c r="Q48" s="4">
        <f ca="1">goldenOTP_check!Q48*Q104</f>
        <v>1058.1400000000001</v>
      </c>
      <c r="R48" s="4">
        <f ca="1">goldenOTP_check!R48*R104</f>
        <v>1053.1599999999999</v>
      </c>
      <c r="S48" s="4">
        <f ca="1">goldenOTP_check!S48*S104</f>
        <v>1059.9650000000001</v>
      </c>
      <c r="T48" s="4">
        <f ca="1">goldenOTP_check!T48*T104</f>
        <v>1057.17</v>
      </c>
      <c r="U48" s="4">
        <f ca="1">goldenOTP_check!U48*U104</f>
        <v>1043.4000000000001</v>
      </c>
      <c r="V48" s="4">
        <f ca="1">goldenOTP_check!V48*V104</f>
        <v>1010.758</v>
      </c>
      <c r="W48" s="4">
        <f ca="1">goldenOTP_check!W48*W104</f>
        <v>970.24</v>
      </c>
      <c r="X48" s="4">
        <f ca="1">goldenOTP_check!X48*X104</f>
        <v>913.68000000000006</v>
      </c>
      <c r="Y48" s="4">
        <f ca="1">goldenOTP_check!Y48*Y104</f>
        <v>871.47900000000004</v>
      </c>
    </row>
    <row r="49" spans="2:25" x14ac:dyDescent="0.3">
      <c r="B49" s="6">
        <v>46</v>
      </c>
      <c r="C49" s="9">
        <v>1.9410000000000001</v>
      </c>
      <c r="D49" s="9">
        <v>1.778</v>
      </c>
      <c r="E49" s="9">
        <v>1.778</v>
      </c>
      <c r="F49" s="9">
        <v>1.7350000000000001</v>
      </c>
      <c r="I49" s="4">
        <f ca="1">goldenOTP_check!I49*I105</f>
        <v>860.70899999999995</v>
      </c>
      <c r="J49" s="4">
        <f ca="1">goldenOTP_check!J49*J105</f>
        <v>920.00999999999988</v>
      </c>
      <c r="K49" s="4">
        <f ca="1">goldenOTP_check!K49*K105</f>
        <v>959.06400000000008</v>
      </c>
      <c r="L49" s="4">
        <f ca="1">goldenOTP_check!L49*L105</f>
        <v>1008.371</v>
      </c>
      <c r="M49" s="4">
        <f ca="1">goldenOTP_check!M49*M105</f>
        <v>1040.25</v>
      </c>
      <c r="N49" s="4">
        <f ca="1">goldenOTP_check!N49*N105</f>
        <v>1050.896</v>
      </c>
      <c r="O49" s="4">
        <f ca="1">goldenOTP_check!O49*O105</f>
        <v>1047.5680000000002</v>
      </c>
      <c r="P49" s="4">
        <f ca="1">goldenOTP_check!P49*P105</f>
        <v>1041.4169999999999</v>
      </c>
      <c r="Q49" s="4">
        <f ca="1">goldenOTP_check!Q49*Q105</f>
        <v>1031</v>
      </c>
      <c r="R49" s="4">
        <f ca="1">goldenOTP_check!R49*R105</f>
        <v>1046.3620000000001</v>
      </c>
      <c r="S49" s="4">
        <f ca="1">goldenOTP_check!S49*S105</f>
        <v>1053.1599999999999</v>
      </c>
      <c r="T49" s="4">
        <f ca="1">goldenOTP_check!T49*T105</f>
        <v>1042.8399999999999</v>
      </c>
      <c r="U49" s="4">
        <f ca="1">goldenOTP_check!U49*U105</f>
        <v>1035.3389999999999</v>
      </c>
      <c r="V49" s="4">
        <f ca="1">goldenOTP_check!V49*V105</f>
        <v>1023.659</v>
      </c>
      <c r="W49" s="4">
        <f ca="1">goldenOTP_check!W49*W105</f>
        <v>977.22</v>
      </c>
      <c r="X49" s="4">
        <f ca="1">goldenOTP_check!X49*X105</f>
        <v>913.46599999999989</v>
      </c>
      <c r="Y49" s="4">
        <f ca="1">goldenOTP_check!Y49*Y105</f>
        <v>882.04899999999998</v>
      </c>
    </row>
    <row r="50" spans="2:25" x14ac:dyDescent="0.3">
      <c r="B50" s="6">
        <v>47</v>
      </c>
      <c r="C50" s="9">
        <v>2.157</v>
      </c>
      <c r="D50" s="9">
        <v>1.954</v>
      </c>
      <c r="E50" s="9">
        <v>1.954</v>
      </c>
      <c r="F50" s="9">
        <v>1.909</v>
      </c>
      <c r="I50" s="4">
        <f ca="1">goldenOTP_check!I50*I106</f>
        <v>855.78200000000004</v>
      </c>
      <c r="J50" s="4">
        <f ca="1">goldenOTP_check!J50*J106</f>
        <v>911.36500000000001</v>
      </c>
      <c r="K50" s="4">
        <f ca="1">goldenOTP_check!K50*K106</f>
        <v>967.51200000000006</v>
      </c>
      <c r="L50" s="4">
        <f ca="1">goldenOTP_check!L50*L106</f>
        <v>1008.288</v>
      </c>
      <c r="M50" s="4">
        <f ca="1">goldenOTP_check!M50*M106</f>
        <v>1033.2720000000002</v>
      </c>
      <c r="N50" s="4">
        <f ca="1">goldenOTP_check!N50*N106</f>
        <v>1038.528</v>
      </c>
      <c r="O50" s="4">
        <f ca="1">goldenOTP_check!O50*O106</f>
        <v>1030.6990000000001</v>
      </c>
      <c r="P50" s="4">
        <f ca="1">goldenOTP_check!P50*P106</f>
        <v>1025</v>
      </c>
      <c r="Q50" s="4">
        <f ca="1">goldenOTP_check!Q50*Q106</f>
        <v>1031.184</v>
      </c>
      <c r="R50" s="4">
        <f ca="1">goldenOTP_check!R50*R106</f>
        <v>1030</v>
      </c>
      <c r="S50" s="4">
        <f ca="1">goldenOTP_check!S50*S106</f>
        <v>1043.9010000000001</v>
      </c>
      <c r="T50" s="4">
        <f ca="1">goldenOTP_check!T50*T106</f>
        <v>1053.2160000000001</v>
      </c>
      <c r="U50" s="4">
        <f ca="1">goldenOTP_check!U50*U106</f>
        <v>1033.5</v>
      </c>
      <c r="V50" s="4">
        <f ca="1">goldenOTP_check!V50*V106</f>
        <v>1025.7839999999999</v>
      </c>
      <c r="W50" s="4">
        <f ca="1">goldenOTP_check!W50*W106</f>
        <v>983.346</v>
      </c>
      <c r="X50" s="4">
        <f ca="1">goldenOTP_check!X50*X106</f>
        <v>925.01499999999999</v>
      </c>
      <c r="Y50" s="4">
        <f ca="1">goldenOTP_check!Y50*Y106</f>
        <v>860.33</v>
      </c>
    </row>
    <row r="51" spans="2:25" x14ac:dyDescent="0.3">
      <c r="B51" s="6">
        <v>48</v>
      </c>
      <c r="C51" s="9">
        <v>2.3820000000000001</v>
      </c>
      <c r="D51" s="9">
        <v>2.1440000000000001</v>
      </c>
      <c r="E51" s="9">
        <v>2.1429999999999998</v>
      </c>
      <c r="F51" s="9">
        <v>2.0939999999999999</v>
      </c>
      <c r="I51" s="4">
        <f ca="1">goldenOTP_check!I51*I107</f>
        <v>874.38900000000001</v>
      </c>
      <c r="J51" s="4">
        <f ca="1">goldenOTP_check!J51*J107</f>
        <v>897.96100000000001</v>
      </c>
      <c r="K51" s="4">
        <f ca="1">goldenOTP_check!K51*K107</f>
        <v>955.86</v>
      </c>
      <c r="L51" s="4">
        <f ca="1">goldenOTP_check!L51*L107</f>
        <v>1002.001</v>
      </c>
      <c r="M51" s="4">
        <f ca="1">goldenOTP_check!M51*M107</f>
        <v>1015.3860000000001</v>
      </c>
      <c r="N51" s="4">
        <f ca="1">goldenOTP_check!N51*N107</f>
        <v>1022.6559999999999</v>
      </c>
      <c r="O51" s="4">
        <f ca="1">goldenOTP_check!O51*O107</f>
        <v>1031.7239999999999</v>
      </c>
      <c r="P51" s="4">
        <f ca="1">goldenOTP_check!P51*P107</f>
        <v>1016.1419999999999</v>
      </c>
      <c r="Q51" s="4">
        <f ca="1">goldenOTP_check!Q51*Q107</f>
        <v>1020.9999999999999</v>
      </c>
      <c r="R51" s="4">
        <f ca="1">goldenOTP_check!R51*R107</f>
        <v>1026.9000000000001</v>
      </c>
      <c r="S51" s="4">
        <f ca="1">goldenOTP_check!S51*S107</f>
        <v>1049.4319999999998</v>
      </c>
      <c r="T51" s="4">
        <f ca="1">goldenOTP_check!T51*T107</f>
        <v>1041.999</v>
      </c>
      <c r="U51" s="4">
        <f ca="1">goldenOTP_check!U51*U107</f>
        <v>1035.3389999999999</v>
      </c>
      <c r="V51" s="4">
        <f ca="1">goldenOTP_check!V51*V107</f>
        <v>1021.748</v>
      </c>
      <c r="W51" s="4">
        <f ca="1">goldenOTP_check!W51*W107</f>
        <v>972.94799999999998</v>
      </c>
      <c r="X51" s="4">
        <f ca="1">goldenOTP_check!X51*X107</f>
        <v>907.26400000000001</v>
      </c>
      <c r="Y51" s="4">
        <f ca="1">goldenOTP_check!Y51*Y107</f>
        <v>870.94200000000001</v>
      </c>
    </row>
    <row r="52" spans="2:25" x14ac:dyDescent="0.3">
      <c r="B52" s="6">
        <v>49</v>
      </c>
      <c r="C52" s="9">
        <v>2.6480000000000001</v>
      </c>
      <c r="D52" s="9">
        <v>2.383</v>
      </c>
      <c r="E52" s="9">
        <v>2.3820000000000001</v>
      </c>
      <c r="F52" s="9">
        <v>2.3180000000000001</v>
      </c>
      <c r="I52" s="4">
        <f ca="1">goldenOTP_check!I52*I108</f>
        <v>834.46399999999994</v>
      </c>
      <c r="J52" s="4">
        <f ca="1">goldenOTP_check!J52*J108</f>
        <v>902.87999999999988</v>
      </c>
      <c r="K52" s="4">
        <f ca="1">goldenOTP_check!K52*K108</f>
        <v>952.83199999999999</v>
      </c>
      <c r="L52" s="4">
        <f ca="1">goldenOTP_check!L52*L108</f>
        <v>989.68799999999999</v>
      </c>
      <c r="M52" s="4">
        <f ca="1">goldenOTP_check!M52*M108</f>
        <v>1018.02</v>
      </c>
      <c r="N52" s="4">
        <f ca="1">goldenOTP_check!N52*N108</f>
        <v>1018.88</v>
      </c>
      <c r="O52" s="4">
        <f ca="1">goldenOTP_check!O52*O108</f>
        <v>1025.5</v>
      </c>
      <c r="P52" s="4">
        <f ca="1">goldenOTP_check!P52*P108</f>
        <v>1033.588</v>
      </c>
      <c r="Q52" s="4">
        <f ca="1">goldenOTP_check!Q52*Q108</f>
        <v>1028.8129999999999</v>
      </c>
      <c r="R52" s="4">
        <f ca="1">goldenOTP_check!R52*R108</f>
        <v>1025.9940000000001</v>
      </c>
      <c r="S52" s="4">
        <f ca="1">goldenOTP_check!S52*S108</f>
        <v>1035.125</v>
      </c>
      <c r="T52" s="4">
        <f ca="1">goldenOTP_check!T52*T108</f>
        <v>1034.0039999999999</v>
      </c>
      <c r="U52" s="4">
        <f ca="1">goldenOTP_check!U52*U108</f>
        <v>1036.3499999999999</v>
      </c>
      <c r="V52" s="4">
        <f ca="1">goldenOTP_check!V52*V108</f>
        <v>1008.35</v>
      </c>
      <c r="W52" s="4">
        <f ca="1">goldenOTP_check!W52*W108</f>
        <v>968.19200000000001</v>
      </c>
      <c r="X52" s="4">
        <f ca="1">goldenOTP_check!X52*X108</f>
        <v>912.38400000000001</v>
      </c>
      <c r="Y52" s="4">
        <f ca="1">goldenOTP_check!Y52*Y108</f>
        <v>834.46399999999994</v>
      </c>
    </row>
    <row r="53" spans="2:25" x14ac:dyDescent="0.3">
      <c r="B53" s="6">
        <v>50</v>
      </c>
      <c r="C53" s="9">
        <v>3</v>
      </c>
      <c r="D53" s="9">
        <v>2.71</v>
      </c>
      <c r="E53" s="9">
        <v>2.7080000000000002</v>
      </c>
      <c r="F53" s="9">
        <v>2.6190000000000002</v>
      </c>
      <c r="I53" s="4">
        <f ca="1">goldenOTP_check!I53*I109</f>
        <v>813.18600000000004</v>
      </c>
      <c r="J53" s="4">
        <f ca="1">goldenOTP_check!J53*J109</f>
        <v>886.30299999999988</v>
      </c>
      <c r="K53" s="4">
        <f ca="1">goldenOTP_check!K53*K109</f>
        <v>929.19600000000003</v>
      </c>
      <c r="L53" s="4">
        <f ca="1">goldenOTP_check!L53*L109</f>
        <v>970.85100000000011</v>
      </c>
      <c r="M53" s="4">
        <f ca="1">goldenOTP_check!M53*M109</f>
        <v>1009.5840000000001</v>
      </c>
      <c r="N53" s="4">
        <f ca="1">goldenOTP_check!N53*N109</f>
        <v>1017.073</v>
      </c>
      <c r="O53" s="4">
        <f ca="1">goldenOTP_check!O53*O109</f>
        <v>1019.6759999999999</v>
      </c>
      <c r="P53" s="4">
        <f ca="1">goldenOTP_check!P53*P109</f>
        <v>1023.4970000000001</v>
      </c>
      <c r="Q53" s="4">
        <f ca="1">goldenOTP_check!Q53*Q109</f>
        <v>1021.894</v>
      </c>
      <c r="R53" s="4">
        <f ca="1">goldenOTP_check!R53*R109</f>
        <v>1024.338</v>
      </c>
      <c r="S53" s="4">
        <f ca="1">goldenOTP_check!S53*S109</f>
        <v>1022.0640000000001</v>
      </c>
      <c r="T53" s="4">
        <f ca="1">goldenOTP_check!T53*T109</f>
        <v>1020.708</v>
      </c>
      <c r="U53" s="4">
        <f ca="1">goldenOTP_check!U53*U109</f>
        <v>999.45299999999997</v>
      </c>
      <c r="V53" s="4">
        <f ca="1">goldenOTP_check!V53*V109</f>
        <v>983.66200000000003</v>
      </c>
      <c r="W53" s="4">
        <f ca="1">goldenOTP_check!W53*W109</f>
        <v>943.50599999999997</v>
      </c>
      <c r="X53" s="4">
        <f ca="1">goldenOTP_check!X53*X109</f>
        <v>898.57299999999998</v>
      </c>
      <c r="Y53" s="4">
        <f ca="1">goldenOTP_check!Y53*Y109</f>
        <v>822.17699999999991</v>
      </c>
    </row>
    <row r="54" spans="2:25" x14ac:dyDescent="0.3">
      <c r="B54" s="6">
        <v>51</v>
      </c>
      <c r="C54" s="9">
        <v>2.85</v>
      </c>
      <c r="D54" s="9">
        <v>2.5329999999999999</v>
      </c>
      <c r="E54" s="9">
        <v>2.5350000000000001</v>
      </c>
      <c r="F54" s="9">
        <v>2.4590000000000001</v>
      </c>
      <c r="I54" s="4">
        <f ca="1">goldenOTP_check!I54*I110</f>
        <v>823.62200000000007</v>
      </c>
      <c r="J54" s="4">
        <f ca="1">goldenOTP_check!J54*J110</f>
        <v>861.75</v>
      </c>
      <c r="K54" s="4">
        <f ca="1">goldenOTP_check!K54*K110</f>
        <v>892.94400000000007</v>
      </c>
      <c r="L54" s="4">
        <f ca="1">goldenOTP_check!L54*L110</f>
        <v>937</v>
      </c>
      <c r="M54" s="4">
        <f ca="1">goldenOTP_check!M54*M110</f>
        <v>965.6</v>
      </c>
      <c r="N54" s="4">
        <f ca="1">goldenOTP_check!N54*N110</f>
        <v>991.80899999999997</v>
      </c>
      <c r="O54" s="4">
        <f ca="1">goldenOTP_check!O54*O110</f>
        <v>1002.7710000000001</v>
      </c>
      <c r="P54" s="4">
        <f ca="1">goldenOTP_check!P54*P110</f>
        <v>1019.081</v>
      </c>
      <c r="Q54" s="4">
        <f ca="1">goldenOTP_check!Q54*Q110</f>
        <v>1018.5000000000001</v>
      </c>
      <c r="R54" s="4">
        <f ca="1">goldenOTP_check!R54*R110</f>
        <v>1019.8199999999999</v>
      </c>
      <c r="S54" s="4">
        <f ca="1">goldenOTP_check!S54*S110</f>
        <v>1004.85</v>
      </c>
      <c r="T54" s="4">
        <f ca="1">goldenOTP_check!T54*T110</f>
        <v>996.90499999999997</v>
      </c>
      <c r="U54" s="4">
        <f ca="1">goldenOTP_check!U54*U110</f>
        <v>974.68799999999999</v>
      </c>
      <c r="V54" s="4">
        <f ca="1">goldenOTP_check!V54*V110</f>
        <v>949</v>
      </c>
      <c r="W54" s="4">
        <f ca="1">goldenOTP_check!W54*W110</f>
        <v>902.87999999999988</v>
      </c>
      <c r="X54" s="4">
        <f ca="1">goldenOTP_check!X54*X110</f>
        <v>870.75</v>
      </c>
      <c r="Y54" s="4">
        <f ca="1">goldenOTP_check!Y54*Y110</f>
        <v>826.76200000000006</v>
      </c>
    </row>
    <row r="55" spans="2:25" x14ac:dyDescent="0.3">
      <c r="B55" s="6">
        <v>52</v>
      </c>
      <c r="C55" s="9">
        <v>2.512</v>
      </c>
      <c r="D55" s="9">
        <v>2.2370000000000001</v>
      </c>
      <c r="E55" s="9">
        <v>2.2389999999999999</v>
      </c>
      <c r="F55" s="9">
        <v>2.1749999999999998</v>
      </c>
      <c r="I55" s="4">
        <f ca="1">goldenOTP_check!I55*I111</f>
        <v>832.94399999999996</v>
      </c>
      <c r="J55" s="4">
        <f ca="1">goldenOTP_check!J55*J111</f>
        <v>850.45400000000006</v>
      </c>
      <c r="K55" s="4">
        <f ca="1">goldenOTP_check!K55*K111</f>
        <v>859.62199999999996</v>
      </c>
      <c r="L55" s="4">
        <f ca="1">goldenOTP_check!L55*L111</f>
        <v>903.27700000000004</v>
      </c>
      <c r="M55" s="4">
        <f ca="1">goldenOTP_check!M55*M111</f>
        <v>938</v>
      </c>
      <c r="N55" s="4">
        <f ca="1">goldenOTP_check!N55*N111</f>
        <v>968.62300000000005</v>
      </c>
      <c r="O55" s="4">
        <f ca="1">goldenOTP_check!O55*O111</f>
        <v>987.28</v>
      </c>
      <c r="P55" s="4">
        <f ca="1">goldenOTP_check!P55*P111</f>
        <v>988.75</v>
      </c>
      <c r="Q55" s="4">
        <f ca="1">goldenOTP_check!Q55*Q111</f>
        <v>997.54200000000003</v>
      </c>
      <c r="R55" s="4">
        <f ca="1">goldenOTP_check!R55*R111</f>
        <v>993.75</v>
      </c>
      <c r="S55" s="4">
        <f ca="1">goldenOTP_check!S55*S111</f>
        <v>998.11599999999999</v>
      </c>
      <c r="T55" s="4">
        <f ca="1">goldenOTP_check!T55*T111</f>
        <v>981.43399999999997</v>
      </c>
      <c r="U55" s="4">
        <f ca="1">goldenOTP_check!U55*U111</f>
        <v>950</v>
      </c>
      <c r="V55" s="4">
        <f ca="1">goldenOTP_check!V55*V111</f>
        <v>912.13700000000006</v>
      </c>
      <c r="W55" s="4">
        <f ca="1">goldenOTP_check!W55*W111</f>
        <v>864.6400000000001</v>
      </c>
      <c r="X55" s="4">
        <f ca="1">goldenOTP_check!X55*X111</f>
        <v>850.79500000000007</v>
      </c>
      <c r="Y55" s="4">
        <f ca="1">goldenOTP_check!Y55*Y111</f>
        <v>821.99200000000008</v>
      </c>
    </row>
    <row r="56" spans="2:25" x14ac:dyDescent="0.3">
      <c r="B56" s="6">
        <v>53</v>
      </c>
      <c r="C56" s="9">
        <v>2.238</v>
      </c>
      <c r="D56" s="9">
        <v>2.0059999999999998</v>
      </c>
      <c r="E56" s="9">
        <v>2.008</v>
      </c>
      <c r="F56" s="9">
        <v>1.952</v>
      </c>
      <c r="I56" s="12">
        <f ca="1">goldenOTP_check!I56*I112</f>
        <v>787.05000000000007</v>
      </c>
      <c r="J56" s="4">
        <f ca="1">goldenOTP_check!J56*J112</f>
        <v>809.85600000000011</v>
      </c>
      <c r="K56" s="4">
        <f ca="1">goldenOTP_check!K56*K112</f>
        <v>840.90600000000006</v>
      </c>
      <c r="L56" s="4">
        <f ca="1">goldenOTP_check!L56*L112</f>
        <v>893.51</v>
      </c>
      <c r="M56" s="4">
        <f ca="1">goldenOTP_check!M56*M112</f>
        <v>921.3599999999999</v>
      </c>
      <c r="N56" s="4">
        <f ca="1">goldenOTP_check!N56*N112</f>
        <v>913.36</v>
      </c>
      <c r="O56" s="4">
        <f ca="1">goldenOTP_check!O56*O112</f>
        <v>953.34400000000005</v>
      </c>
      <c r="P56" s="4">
        <f ca="1">goldenOTP_check!P56*P112</f>
        <v>963.87</v>
      </c>
      <c r="Q56" s="4">
        <f ca="1">goldenOTP_check!Q56*Q112</f>
        <v>949.76</v>
      </c>
      <c r="R56" s="4">
        <f ca="1">goldenOTP_check!R56*R112</f>
        <v>972.41399999999999</v>
      </c>
      <c r="S56" s="4">
        <f ca="1">goldenOTP_check!S56*S112</f>
        <v>940.41599999999994</v>
      </c>
      <c r="T56" s="4">
        <f ca="1">goldenOTP_check!T56*T112</f>
        <v>931.53400000000011</v>
      </c>
      <c r="U56" s="4">
        <f ca="1">goldenOTP_check!U56*U112</f>
        <v>901</v>
      </c>
      <c r="V56" s="4">
        <f ca="1">goldenOTP_check!V56*V112</f>
        <v>866.346</v>
      </c>
      <c r="W56" s="4">
        <f ca="1">goldenOTP_check!W56*W112</f>
        <v>841.24700000000007</v>
      </c>
      <c r="X56" s="4">
        <f ca="1">goldenOTP_check!X56*X112</f>
        <v>797.71999999999991</v>
      </c>
      <c r="Y56" s="12">
        <f ca="1">goldenOTP_check!Y56*Y112</f>
        <v>757.37</v>
      </c>
    </row>
    <row r="57" spans="2:25" x14ac:dyDescent="0.3">
      <c r="B57" s="6">
        <v>54</v>
      </c>
      <c r="C57" s="9">
        <v>1.982</v>
      </c>
      <c r="D57" s="9">
        <v>1.798</v>
      </c>
      <c r="E57" s="9">
        <v>1.8</v>
      </c>
      <c r="F57" s="9">
        <v>1.7490000000000001</v>
      </c>
    </row>
    <row r="58" spans="2:25" x14ac:dyDescent="0.3">
      <c r="B58" s="6">
        <v>55</v>
      </c>
      <c r="C58" s="9">
        <v>1.7490000000000001</v>
      </c>
      <c r="D58" s="9">
        <v>1.613</v>
      </c>
      <c r="E58" s="9">
        <v>1.615</v>
      </c>
      <c r="F58" s="9">
        <v>1.5649999999999999</v>
      </c>
      <c r="H58" t="s">
        <v>5</v>
      </c>
      <c r="I58" s="3">
        <f t="shared" ref="I58:Y70" ca="1" si="0">INDIRECT("C"&amp;(17*ROW(1:1)+ROW($C$3)-19+IF(COLUMN(C:C)&gt;19,50000,COLUMN(C:C)-1)))</f>
        <v>3.3210000000000002</v>
      </c>
      <c r="J58" s="2">
        <f t="shared" ca="1" si="0"/>
        <v>3.0960000000000001</v>
      </c>
      <c r="K58" s="2">
        <f t="shared" ca="1" si="0"/>
        <v>2.8090000000000002</v>
      </c>
      <c r="L58" s="2">
        <f t="shared" ca="1" si="0"/>
        <v>2.56</v>
      </c>
      <c r="M58" s="2">
        <f t="shared" ca="1" si="0"/>
        <v>2.3919999999999999</v>
      </c>
      <c r="N58" s="2">
        <f t="shared" ca="1" si="0"/>
        <v>2.2400000000000002</v>
      </c>
      <c r="O58" s="2">
        <f t="shared" ca="1" si="0"/>
        <v>2.1160000000000001</v>
      </c>
      <c r="P58" s="2">
        <f t="shared" ca="1" si="0"/>
        <v>2.0409999999999999</v>
      </c>
      <c r="Q58" s="2">
        <f t="shared" ca="1" si="0"/>
        <v>2.0150000000000001</v>
      </c>
      <c r="R58" s="2">
        <f t="shared" ca="1" si="0"/>
        <v>2.0390000000000001</v>
      </c>
      <c r="S58" s="2">
        <f t="shared" ca="1" si="0"/>
        <v>2.1139999999999999</v>
      </c>
      <c r="T58" s="2">
        <f t="shared" ca="1" si="0"/>
        <v>2.2330000000000001</v>
      </c>
      <c r="U58" s="2">
        <f t="shared" ca="1" si="0"/>
        <v>2.379</v>
      </c>
      <c r="V58" s="2">
        <f t="shared" ca="1" si="0"/>
        <v>2.5550000000000002</v>
      </c>
      <c r="W58" s="2">
        <f t="shared" ca="1" si="0"/>
        <v>2.8170000000000002</v>
      </c>
      <c r="X58" s="2">
        <f t="shared" ca="1" si="0"/>
        <v>3.0859999999999999</v>
      </c>
      <c r="Y58" s="3">
        <f t="shared" ca="1" si="0"/>
        <v>3.2759999999999998</v>
      </c>
    </row>
    <row r="59" spans="2:25" x14ac:dyDescent="0.3">
      <c r="B59" s="6">
        <v>56</v>
      </c>
      <c r="C59" s="9">
        <v>1.5489999999999999</v>
      </c>
      <c r="D59" s="9">
        <v>1.452</v>
      </c>
      <c r="E59" s="9">
        <v>1.454</v>
      </c>
      <c r="F59" s="9">
        <v>1.409</v>
      </c>
      <c r="I59" s="2">
        <f t="shared" ca="1" si="0"/>
        <v>3.238</v>
      </c>
      <c r="J59" s="2">
        <f t="shared" ca="1" si="0"/>
        <v>2.88</v>
      </c>
      <c r="K59" s="2">
        <f t="shared" ca="1" si="0"/>
        <v>2.5640000000000001</v>
      </c>
      <c r="L59" s="2">
        <f t="shared" ca="1" si="0"/>
        <v>2.3490000000000002</v>
      </c>
      <c r="M59" s="2">
        <f t="shared" ca="1" si="0"/>
        <v>2.1589999999999998</v>
      </c>
      <c r="N59" s="2">
        <f t="shared" ca="1" si="0"/>
        <v>1.994</v>
      </c>
      <c r="O59" s="2">
        <f t="shared" ca="1" si="0"/>
        <v>1.863</v>
      </c>
      <c r="P59" s="2">
        <f t="shared" ca="1" si="0"/>
        <v>1.7809999999999999</v>
      </c>
      <c r="Q59" s="2">
        <f t="shared" ca="1" si="0"/>
        <v>1.754</v>
      </c>
      <c r="R59" s="2">
        <f t="shared" ca="1" si="0"/>
        <v>1.778</v>
      </c>
      <c r="S59" s="2">
        <f t="shared" ca="1" si="0"/>
        <v>1.86</v>
      </c>
      <c r="T59" s="2">
        <f t="shared" ca="1" si="0"/>
        <v>1.99</v>
      </c>
      <c r="U59" s="2">
        <f t="shared" ca="1" si="0"/>
        <v>2.1589999999999998</v>
      </c>
      <c r="V59" s="2">
        <f t="shared" ca="1" si="0"/>
        <v>2.35</v>
      </c>
      <c r="W59" s="2">
        <f t="shared" ca="1" si="0"/>
        <v>2.573</v>
      </c>
      <c r="X59" s="2">
        <f t="shared" ca="1" si="0"/>
        <v>2.8759999999999999</v>
      </c>
      <c r="Y59" s="2">
        <f t="shared" ca="1" si="0"/>
        <v>3.1789999999999998</v>
      </c>
    </row>
    <row r="60" spans="2:25" x14ac:dyDescent="0.3">
      <c r="B60" s="6">
        <v>57</v>
      </c>
      <c r="C60" s="9">
        <v>1.399</v>
      </c>
      <c r="D60" s="9">
        <v>1.331</v>
      </c>
      <c r="E60" s="9">
        <v>1.3320000000000001</v>
      </c>
      <c r="F60" s="9">
        <v>1.296</v>
      </c>
      <c r="I60" s="2">
        <f t="shared" ca="1" si="0"/>
        <v>3.0529999999999999</v>
      </c>
      <c r="J60" s="2">
        <f t="shared" ca="1" si="0"/>
        <v>2.6589999999999998</v>
      </c>
      <c r="K60" s="2">
        <f t="shared" ca="1" si="0"/>
        <v>2.3759999999999999</v>
      </c>
      <c r="L60" s="2">
        <f t="shared" ca="1" si="0"/>
        <v>2.1480000000000001</v>
      </c>
      <c r="M60" s="2">
        <f t="shared" ca="1" si="0"/>
        <v>1.9339999999999999</v>
      </c>
      <c r="N60" s="2">
        <f t="shared" ca="1" si="0"/>
        <v>1.7529999999999999</v>
      </c>
      <c r="O60" s="2">
        <f t="shared" ca="1" si="0"/>
        <v>1.609</v>
      </c>
      <c r="P60" s="2">
        <f t="shared" ca="1" si="0"/>
        <v>1.52</v>
      </c>
      <c r="Q60" s="2">
        <f t="shared" ca="1" si="0"/>
        <v>1.4930000000000001</v>
      </c>
      <c r="R60" s="2">
        <f t="shared" ca="1" si="0"/>
        <v>1.524</v>
      </c>
      <c r="S60" s="2">
        <f t="shared" ca="1" si="0"/>
        <v>1.6180000000000001</v>
      </c>
      <c r="T60" s="2">
        <f t="shared" ca="1" si="0"/>
        <v>1.76</v>
      </c>
      <c r="U60" s="2">
        <f t="shared" ca="1" si="0"/>
        <v>1.9410000000000001</v>
      </c>
      <c r="V60" s="2">
        <f t="shared" ca="1" si="0"/>
        <v>2.157</v>
      </c>
      <c r="W60" s="2">
        <f t="shared" ca="1" si="0"/>
        <v>2.3820000000000001</v>
      </c>
      <c r="X60" s="2">
        <f t="shared" ca="1" si="0"/>
        <v>2.6480000000000001</v>
      </c>
      <c r="Y60" s="2">
        <f t="shared" ca="1" si="0"/>
        <v>3</v>
      </c>
    </row>
    <row r="61" spans="2:25" x14ac:dyDescent="0.3">
      <c r="B61" s="6">
        <v>58</v>
      </c>
      <c r="C61" s="9">
        <v>1.3109999999999999</v>
      </c>
      <c r="D61" s="9">
        <v>1.264</v>
      </c>
      <c r="E61" s="9">
        <v>1.2649999999999999</v>
      </c>
      <c r="F61" s="9">
        <v>1.238</v>
      </c>
      <c r="I61" s="2">
        <f t="shared" ca="1" si="0"/>
        <v>2.85</v>
      </c>
      <c r="J61" s="2">
        <f t="shared" ca="1" si="0"/>
        <v>2.512</v>
      </c>
      <c r="K61" s="2">
        <f t="shared" ca="1" si="0"/>
        <v>2.238</v>
      </c>
      <c r="L61" s="2">
        <f t="shared" ca="1" si="0"/>
        <v>1.982</v>
      </c>
      <c r="M61" s="2">
        <f t="shared" ca="1" si="0"/>
        <v>1.7490000000000001</v>
      </c>
      <c r="N61" s="2">
        <f t="shared" ca="1" si="0"/>
        <v>1.5489999999999999</v>
      </c>
      <c r="O61" s="2">
        <f t="shared" ca="1" si="0"/>
        <v>1.399</v>
      </c>
      <c r="P61" s="2">
        <f t="shared" ca="1" si="0"/>
        <v>1.3109999999999999</v>
      </c>
      <c r="Q61" s="2">
        <f t="shared" ca="1" si="0"/>
        <v>1.2849999999999999</v>
      </c>
      <c r="R61" s="2">
        <f t="shared" ca="1" si="0"/>
        <v>1.3169999999999999</v>
      </c>
      <c r="S61" s="2">
        <f t="shared" ca="1" si="0"/>
        <v>1.411</v>
      </c>
      <c r="T61" s="2">
        <f t="shared" ca="1" si="0"/>
        <v>1.5620000000000001</v>
      </c>
      <c r="U61" s="2">
        <f t="shared" ca="1" si="0"/>
        <v>1.7609999999999999</v>
      </c>
      <c r="V61" s="2">
        <f t="shared" ca="1" si="0"/>
        <v>1.9910000000000001</v>
      </c>
      <c r="W61" s="2">
        <f t="shared" ca="1" si="0"/>
        <v>2.2400000000000002</v>
      </c>
      <c r="X61" s="2">
        <f t="shared" ca="1" si="0"/>
        <v>2.4950000000000001</v>
      </c>
      <c r="Y61" s="2">
        <f t="shared" ca="1" si="0"/>
        <v>2.794</v>
      </c>
    </row>
    <row r="62" spans="2:25" x14ac:dyDescent="0.3">
      <c r="B62" s="6">
        <v>59</v>
      </c>
      <c r="C62" s="9">
        <v>1.2849999999999999</v>
      </c>
      <c r="D62" s="9">
        <v>1.246</v>
      </c>
      <c r="E62" s="9">
        <v>1.246</v>
      </c>
      <c r="F62" s="9">
        <v>1.2250000000000001</v>
      </c>
      <c r="I62" s="2">
        <f t="shared" ca="1" si="0"/>
        <v>2.6970000000000001</v>
      </c>
      <c r="J62" s="2">
        <f t="shared" ca="1" si="0"/>
        <v>2.3969999999999998</v>
      </c>
      <c r="K62" s="2">
        <f t="shared" ca="1" si="0"/>
        <v>2.1179999999999999</v>
      </c>
      <c r="L62" s="2">
        <f t="shared" ca="1" si="0"/>
        <v>1.8520000000000001</v>
      </c>
      <c r="M62" s="2">
        <f t="shared" ca="1" si="0"/>
        <v>1.605</v>
      </c>
      <c r="N62" s="2">
        <f t="shared" ca="1" si="0"/>
        <v>1.397</v>
      </c>
      <c r="O62" s="2">
        <f t="shared" ca="1" si="0"/>
        <v>1.2529999999999999</v>
      </c>
      <c r="P62" s="2">
        <f t="shared" ca="1" si="0"/>
        <v>1.1679999999999999</v>
      </c>
      <c r="Q62" s="2">
        <f t="shared" ca="1" si="0"/>
        <v>1.139</v>
      </c>
      <c r="R62" s="2">
        <f t="shared" ca="1" si="0"/>
        <v>1.171</v>
      </c>
      <c r="S62" s="2">
        <f t="shared" ca="1" si="0"/>
        <v>1.258</v>
      </c>
      <c r="T62" s="2">
        <f t="shared" ca="1" si="0"/>
        <v>1.401</v>
      </c>
      <c r="U62" s="2">
        <f t="shared" ca="1" si="0"/>
        <v>1.6080000000000001</v>
      </c>
      <c r="V62" s="2">
        <f t="shared" ca="1" si="0"/>
        <v>1.8560000000000001</v>
      </c>
      <c r="W62" s="2">
        <f t="shared" ca="1" si="0"/>
        <v>2.125</v>
      </c>
      <c r="X62" s="2">
        <f t="shared" ca="1" si="0"/>
        <v>2.3959999999999999</v>
      </c>
      <c r="Y62" s="2">
        <f t="shared" ca="1" si="0"/>
        <v>2.6709999999999998</v>
      </c>
    </row>
    <row r="63" spans="2:25" x14ac:dyDescent="0.3">
      <c r="B63" s="6">
        <v>60</v>
      </c>
      <c r="C63" s="9">
        <v>1.3169999999999999</v>
      </c>
      <c r="D63" s="9">
        <v>1.272</v>
      </c>
      <c r="E63" s="9">
        <v>1.272</v>
      </c>
      <c r="F63" s="9">
        <v>1.248</v>
      </c>
      <c r="I63" s="2">
        <f t="shared" ca="1" si="0"/>
        <v>2.6309999999999998</v>
      </c>
      <c r="J63" s="2">
        <f t="shared" ca="1" si="0"/>
        <v>2.3250000000000002</v>
      </c>
      <c r="K63" s="2">
        <f t="shared" ca="1" si="0"/>
        <v>2.0329999999999999</v>
      </c>
      <c r="L63" s="2">
        <f t="shared" ca="1" si="0"/>
        <v>1.758</v>
      </c>
      <c r="M63" s="2">
        <f t="shared" ca="1" si="0"/>
        <v>1.5049999999999999</v>
      </c>
      <c r="N63" s="2">
        <f t="shared" ca="1" si="0"/>
        <v>1.3049999999999999</v>
      </c>
      <c r="O63" s="2">
        <f t="shared" ca="1" si="0"/>
        <v>1.1639999999999999</v>
      </c>
      <c r="P63" s="2">
        <f t="shared" ca="1" si="0"/>
        <v>1.073</v>
      </c>
      <c r="Q63" s="2">
        <f t="shared" ca="1" si="0"/>
        <v>1.04</v>
      </c>
      <c r="R63" s="2">
        <f t="shared" ca="1" si="0"/>
        <v>1.075</v>
      </c>
      <c r="S63" s="2">
        <f t="shared" ca="1" si="0"/>
        <v>1.167</v>
      </c>
      <c r="T63" s="2">
        <f t="shared" ca="1" si="0"/>
        <v>1.3029999999999999</v>
      </c>
      <c r="U63" s="2">
        <f t="shared" ca="1" si="0"/>
        <v>1.5029999999999999</v>
      </c>
      <c r="V63" s="2">
        <f t="shared" ca="1" si="0"/>
        <v>1.7609999999999999</v>
      </c>
      <c r="W63" s="2">
        <f t="shared" ca="1" si="0"/>
        <v>2.0419999999999998</v>
      </c>
      <c r="X63" s="2">
        <f t="shared" ca="1" si="0"/>
        <v>2.331</v>
      </c>
      <c r="Y63" s="2">
        <f t="shared" ca="1" si="0"/>
        <v>2.613</v>
      </c>
    </row>
    <row r="64" spans="2:25" x14ac:dyDescent="0.3">
      <c r="B64" s="6">
        <v>61</v>
      </c>
      <c r="C64" s="9">
        <v>1.411</v>
      </c>
      <c r="D64" s="9">
        <v>1.349</v>
      </c>
      <c r="E64" s="9">
        <v>1.349</v>
      </c>
      <c r="F64" s="9">
        <v>1.3180000000000001</v>
      </c>
      <c r="I64" s="2">
        <f t="shared" ca="1" si="0"/>
        <v>2.6160000000000001</v>
      </c>
      <c r="J64" s="2">
        <f t="shared" ca="1" si="0"/>
        <v>2.3039999999999998</v>
      </c>
      <c r="K64" s="2">
        <f t="shared" ca="1" si="0"/>
        <v>2.0030000000000001</v>
      </c>
      <c r="L64" s="2">
        <f t="shared" ca="1" si="0"/>
        <v>1.72</v>
      </c>
      <c r="M64" s="2">
        <f t="shared" ca="1" si="0"/>
        <v>1.462</v>
      </c>
      <c r="N64" s="2">
        <f t="shared" ca="1" si="0"/>
        <v>1.262</v>
      </c>
      <c r="O64" s="2">
        <f t="shared" ca="1" si="0"/>
        <v>1.123</v>
      </c>
      <c r="P64" s="2">
        <f t="shared" ca="1" si="0"/>
        <v>1.0329999999999999</v>
      </c>
      <c r="Q64" s="2">
        <f t="shared" ca="1" si="0"/>
        <v>1.004</v>
      </c>
      <c r="R64" s="2">
        <f t="shared" ca="1" si="0"/>
        <v>1.036</v>
      </c>
      <c r="S64" s="2">
        <f t="shared" ca="1" si="0"/>
        <v>1.1299999999999999</v>
      </c>
      <c r="T64" s="2">
        <f t="shared" ca="1" si="0"/>
        <v>1.268</v>
      </c>
      <c r="U64" s="2">
        <f t="shared" ca="1" si="0"/>
        <v>1.4670000000000001</v>
      </c>
      <c r="V64" s="2">
        <f t="shared" ca="1" si="0"/>
        <v>1.7270000000000001</v>
      </c>
      <c r="W64" s="2">
        <f t="shared" ca="1" si="0"/>
        <v>2.008</v>
      </c>
      <c r="X64" s="2">
        <f t="shared" ca="1" si="0"/>
        <v>2.298</v>
      </c>
      <c r="Y64" s="2">
        <f t="shared" ca="1" si="0"/>
        <v>2.581</v>
      </c>
    </row>
    <row r="65" spans="2:25" x14ac:dyDescent="0.3">
      <c r="B65" s="6">
        <v>62</v>
      </c>
      <c r="C65" s="9">
        <v>1.5620000000000001</v>
      </c>
      <c r="D65" s="9">
        <v>1.472</v>
      </c>
      <c r="E65" s="9">
        <v>1.472</v>
      </c>
      <c r="F65" s="9">
        <v>1.4359999999999999</v>
      </c>
      <c r="I65" s="2">
        <f t="shared" ca="1" si="0"/>
        <v>2.6389999999999998</v>
      </c>
      <c r="J65" s="2">
        <f t="shared" ca="1" si="0"/>
        <v>2.3260000000000001</v>
      </c>
      <c r="K65" s="2">
        <f t="shared" ca="1" si="0"/>
        <v>2.0249999999999999</v>
      </c>
      <c r="L65" s="2">
        <f t="shared" ca="1" si="0"/>
        <v>1.744</v>
      </c>
      <c r="M65" s="2">
        <f t="shared" ca="1" si="0"/>
        <v>1.486</v>
      </c>
      <c r="N65" s="2">
        <f t="shared" ca="1" si="0"/>
        <v>1.286</v>
      </c>
      <c r="O65" s="2">
        <f t="shared" ca="1" si="0"/>
        <v>1.1459999999999999</v>
      </c>
      <c r="P65" s="2">
        <f t="shared" ca="1" si="0"/>
        <v>1.0569999999999999</v>
      </c>
      <c r="Q65" s="2">
        <f t="shared" ca="1" si="0"/>
        <v>1.028</v>
      </c>
      <c r="R65" s="2">
        <f t="shared" ca="1" si="0"/>
        <v>1.0649999999999999</v>
      </c>
      <c r="S65" s="2">
        <f t="shared" ca="1" si="0"/>
        <v>1.1579999999999999</v>
      </c>
      <c r="T65" s="2">
        <f t="shared" ca="1" si="0"/>
        <v>1.2969999999999999</v>
      </c>
      <c r="U65" s="2">
        <f t="shared" ca="1" si="0"/>
        <v>1.4990000000000001</v>
      </c>
      <c r="V65" s="2">
        <f t="shared" ca="1" si="0"/>
        <v>1.7549999999999999</v>
      </c>
      <c r="W65" s="2">
        <f t="shared" ca="1" si="0"/>
        <v>2.0310000000000001</v>
      </c>
      <c r="X65" s="2">
        <f t="shared" ca="1" si="0"/>
        <v>2.3130000000000002</v>
      </c>
      <c r="Y65" s="2">
        <f t="shared" ca="1" si="0"/>
        <v>2.5870000000000002</v>
      </c>
    </row>
    <row r="66" spans="2:25" x14ac:dyDescent="0.3">
      <c r="B66" s="6">
        <v>63</v>
      </c>
      <c r="C66" s="9">
        <v>1.7609999999999999</v>
      </c>
      <c r="D66" s="9">
        <v>1.633</v>
      </c>
      <c r="E66" s="9">
        <v>1.633</v>
      </c>
      <c r="F66" s="9">
        <v>1.597</v>
      </c>
      <c r="I66" s="2">
        <f t="shared" ca="1" si="0"/>
        <v>2.7040000000000002</v>
      </c>
      <c r="J66" s="2">
        <f t="shared" ca="1" si="0"/>
        <v>2.3980000000000001</v>
      </c>
      <c r="K66" s="2">
        <f t="shared" ca="1" si="0"/>
        <v>2.1110000000000002</v>
      </c>
      <c r="L66" s="2">
        <f t="shared" ca="1" si="0"/>
        <v>1.8360000000000001</v>
      </c>
      <c r="M66" s="2">
        <f t="shared" ca="1" si="0"/>
        <v>1.5840000000000001</v>
      </c>
      <c r="N66" s="2">
        <f t="shared" ca="1" si="0"/>
        <v>1.377</v>
      </c>
      <c r="O66" s="2">
        <f t="shared" ca="1" si="0"/>
        <v>1.2350000000000001</v>
      </c>
      <c r="P66" s="2">
        <f t="shared" ca="1" si="0"/>
        <v>1.1479999999999999</v>
      </c>
      <c r="Q66" s="2">
        <f t="shared" ca="1" si="0"/>
        <v>1.1180000000000001</v>
      </c>
      <c r="R66" s="2">
        <f t="shared" ca="1" si="0"/>
        <v>1.151</v>
      </c>
      <c r="S66" s="2">
        <f t="shared" ca="1" si="0"/>
        <v>1.24</v>
      </c>
      <c r="T66" s="2">
        <f t="shared" ca="1" si="0"/>
        <v>1.3839999999999999</v>
      </c>
      <c r="U66" s="2">
        <f t="shared" ca="1" si="0"/>
        <v>1.593</v>
      </c>
      <c r="V66" s="2">
        <f t="shared" ca="1" si="0"/>
        <v>1.8460000000000001</v>
      </c>
      <c r="W66" s="2">
        <f t="shared" ca="1" si="0"/>
        <v>2.1150000000000002</v>
      </c>
      <c r="X66" s="2">
        <f t="shared" ca="1" si="0"/>
        <v>2.387</v>
      </c>
      <c r="Y66" s="2">
        <f t="shared" ca="1" si="0"/>
        <v>2.6640000000000001</v>
      </c>
    </row>
    <row r="67" spans="2:25" x14ac:dyDescent="0.3">
      <c r="B67" s="6">
        <v>64</v>
      </c>
      <c r="C67" s="9">
        <v>1.9910000000000001</v>
      </c>
      <c r="D67" s="9">
        <v>1.82</v>
      </c>
      <c r="E67" s="9">
        <v>1.819</v>
      </c>
      <c r="F67" s="9">
        <v>1.782</v>
      </c>
      <c r="I67" s="2">
        <f t="shared" ca="1" si="0"/>
        <v>2.8170000000000002</v>
      </c>
      <c r="J67" s="2">
        <f t="shared" ca="1" si="0"/>
        <v>2.4940000000000002</v>
      </c>
      <c r="K67" s="2">
        <f t="shared" ca="1" si="0"/>
        <v>2.222</v>
      </c>
      <c r="L67" s="2">
        <f t="shared" ca="1" si="0"/>
        <v>1.9670000000000001</v>
      </c>
      <c r="M67" s="2">
        <f t="shared" ca="1" si="0"/>
        <v>1.732</v>
      </c>
      <c r="N67" s="2">
        <f t="shared" ca="1" si="0"/>
        <v>1.528</v>
      </c>
      <c r="O67" s="2">
        <f t="shared" ca="1" si="0"/>
        <v>1.375</v>
      </c>
      <c r="P67" s="2">
        <f t="shared" ca="1" si="0"/>
        <v>1.2849999999999999</v>
      </c>
      <c r="Q67" s="2">
        <f t="shared" ca="1" si="0"/>
        <v>1.254</v>
      </c>
      <c r="R67" s="2">
        <f t="shared" ca="1" si="0"/>
        <v>1.284</v>
      </c>
      <c r="S67" s="2">
        <f t="shared" ca="1" si="0"/>
        <v>1.3720000000000001</v>
      </c>
      <c r="T67" s="2">
        <f t="shared" ca="1" si="0"/>
        <v>1.522</v>
      </c>
      <c r="U67" s="2">
        <f t="shared" ca="1" si="0"/>
        <v>1.726</v>
      </c>
      <c r="V67" s="2">
        <f t="shared" ca="1" si="0"/>
        <v>1.9670000000000001</v>
      </c>
      <c r="W67" s="2">
        <f t="shared" ca="1" si="0"/>
        <v>2.2269999999999999</v>
      </c>
      <c r="X67" s="2">
        <f t="shared" ca="1" si="0"/>
        <v>2.492</v>
      </c>
      <c r="Y67" s="2">
        <f t="shared" ca="1" si="0"/>
        <v>2.8010000000000002</v>
      </c>
    </row>
    <row r="68" spans="2:25" x14ac:dyDescent="0.3">
      <c r="B68" s="6">
        <v>65</v>
      </c>
      <c r="C68" s="9">
        <v>2.2400000000000002</v>
      </c>
      <c r="D68" s="9">
        <v>2.024</v>
      </c>
      <c r="E68" s="9">
        <v>2.0230000000000001</v>
      </c>
      <c r="F68" s="9">
        <v>1.9830000000000001</v>
      </c>
      <c r="I68" s="2">
        <f t="shared" ca="1" si="0"/>
        <v>3.0289999999999999</v>
      </c>
      <c r="J68" s="2">
        <f t="shared" ca="1" si="0"/>
        <v>2.6469999999999998</v>
      </c>
      <c r="K68" s="2">
        <f t="shared" ca="1" si="0"/>
        <v>2.37</v>
      </c>
      <c r="L68" s="2">
        <f t="shared" ca="1" si="0"/>
        <v>2.1339999999999999</v>
      </c>
      <c r="M68" s="2">
        <f t="shared" ca="1" si="0"/>
        <v>1.915</v>
      </c>
      <c r="N68" s="2">
        <f t="shared" ca="1" si="0"/>
        <v>1.7290000000000001</v>
      </c>
      <c r="O68" s="2">
        <f t="shared" ca="1" si="0"/>
        <v>1.581</v>
      </c>
      <c r="P68" s="2">
        <f t="shared" ca="1" si="0"/>
        <v>1.488</v>
      </c>
      <c r="Q68" s="2">
        <f t="shared" ca="1" si="0"/>
        <v>1.456</v>
      </c>
      <c r="R68" s="2">
        <f t="shared" ca="1" si="0"/>
        <v>1.4850000000000001</v>
      </c>
      <c r="S68" s="2">
        <f t="shared" ca="1" si="0"/>
        <v>1.5780000000000001</v>
      </c>
      <c r="T68" s="2">
        <f t="shared" ca="1" si="0"/>
        <v>1.724</v>
      </c>
      <c r="U68" s="2">
        <f t="shared" ca="1" si="0"/>
        <v>1.909</v>
      </c>
      <c r="V68" s="2">
        <f t="shared" ca="1" si="0"/>
        <v>2.1320000000000001</v>
      </c>
      <c r="W68" s="2">
        <f t="shared" ca="1" si="0"/>
        <v>2.367</v>
      </c>
      <c r="X68" s="2">
        <f t="shared" ca="1" si="0"/>
        <v>2.64</v>
      </c>
      <c r="Y68" s="2">
        <f t="shared" ca="1" si="0"/>
        <v>2.9950000000000001</v>
      </c>
    </row>
    <row r="69" spans="2:25" x14ac:dyDescent="0.3">
      <c r="B69" s="6">
        <v>66</v>
      </c>
      <c r="C69" s="9">
        <v>2.4950000000000001</v>
      </c>
      <c r="D69" s="9">
        <v>2.246</v>
      </c>
      <c r="E69" s="9">
        <v>2.2450000000000001</v>
      </c>
      <c r="F69" s="9">
        <v>2.1949999999999998</v>
      </c>
      <c r="I69" s="2">
        <f t="shared" ca="1" si="0"/>
        <v>3.2450000000000001</v>
      </c>
      <c r="J69" s="2">
        <f t="shared" ca="1" si="0"/>
        <v>2.8740000000000001</v>
      </c>
      <c r="K69" s="2">
        <f t="shared" ca="1" si="0"/>
        <v>2.556</v>
      </c>
      <c r="L69" s="2">
        <f t="shared" ca="1" si="0"/>
        <v>2.3359999999999999</v>
      </c>
      <c r="M69" s="2">
        <f t="shared" ca="1" si="0"/>
        <v>2.1339999999999999</v>
      </c>
      <c r="N69" s="2">
        <f t="shared" ca="1" si="0"/>
        <v>1.96</v>
      </c>
      <c r="O69" s="2">
        <f t="shared" ca="1" si="0"/>
        <v>1.827</v>
      </c>
      <c r="P69" s="2">
        <f t="shared" ca="1" si="0"/>
        <v>1.744</v>
      </c>
      <c r="Q69" s="2">
        <f t="shared" ca="1" si="0"/>
        <v>1.72</v>
      </c>
      <c r="R69" s="2">
        <f t="shared" ca="1" si="0"/>
        <v>1.75</v>
      </c>
      <c r="S69" s="2">
        <f t="shared" ca="1" si="0"/>
        <v>1.837</v>
      </c>
      <c r="T69" s="2">
        <f t="shared" ca="1" si="0"/>
        <v>1.968</v>
      </c>
      <c r="U69" s="2">
        <f t="shared" ca="1" si="0"/>
        <v>2.137</v>
      </c>
      <c r="V69" s="2">
        <f t="shared" ca="1" si="0"/>
        <v>2.3319999999999999</v>
      </c>
      <c r="W69" s="2">
        <f t="shared" ca="1" si="0"/>
        <v>2.5470000000000002</v>
      </c>
      <c r="X69" s="2">
        <f t="shared" ca="1" si="0"/>
        <v>2.8479999999999999</v>
      </c>
      <c r="Y69" s="2">
        <f t="shared" ca="1" si="0"/>
        <v>3.1709999999999998</v>
      </c>
    </row>
    <row r="70" spans="2:25" x14ac:dyDescent="0.3">
      <c r="B70" s="6">
        <v>67</v>
      </c>
      <c r="C70" s="9">
        <v>2.794</v>
      </c>
      <c r="D70" s="9">
        <v>2.5259999999999998</v>
      </c>
      <c r="E70" s="9">
        <v>2.524</v>
      </c>
      <c r="F70" s="9">
        <v>2.4540000000000002</v>
      </c>
      <c r="I70" s="3">
        <f t="shared" ca="1" si="0"/>
        <v>3.39</v>
      </c>
      <c r="J70" s="2">
        <f t="shared" ca="1" si="0"/>
        <v>3.1339999999999999</v>
      </c>
      <c r="K70" s="2">
        <f t="shared" ca="1" si="0"/>
        <v>2.8170000000000002</v>
      </c>
      <c r="L70" s="2">
        <f t="shared" ca="1" si="0"/>
        <v>2.5619999999999998</v>
      </c>
      <c r="M70" s="2">
        <f t="shared" ca="1" si="0"/>
        <v>2.387</v>
      </c>
      <c r="N70" s="2">
        <f t="shared" ca="1" si="0"/>
        <v>2.226</v>
      </c>
      <c r="O70" s="2">
        <f t="shared" ca="1" si="0"/>
        <v>2.1</v>
      </c>
      <c r="P70" s="2">
        <f t="shared" ca="1" si="0"/>
        <v>2.0270000000000001</v>
      </c>
      <c r="Q70" s="2">
        <f t="shared" ca="1" si="0"/>
        <v>2.008</v>
      </c>
      <c r="R70" s="2">
        <f t="shared" ca="1" si="0"/>
        <v>2.0369999999999999</v>
      </c>
      <c r="S70" s="2">
        <f t="shared" ca="1" si="0"/>
        <v>2.125</v>
      </c>
      <c r="T70" s="2">
        <f t="shared" ca="1" si="0"/>
        <v>2.2490000000000001</v>
      </c>
      <c r="U70" s="2">
        <f t="shared" ca="1" si="0"/>
        <v>2.3959999999999999</v>
      </c>
      <c r="V70" s="2">
        <f t="shared" ca="1" si="0"/>
        <v>2.5640000000000001</v>
      </c>
      <c r="W70" s="2">
        <f t="shared" ca="1" si="0"/>
        <v>2.8</v>
      </c>
      <c r="X70" s="2">
        <f t="shared" ca="1" si="0"/>
        <v>3.07</v>
      </c>
      <c r="Y70" s="3">
        <f t="shared" ca="1" si="0"/>
        <v>3.27</v>
      </c>
    </row>
    <row r="71" spans="2:25" x14ac:dyDescent="0.3">
      <c r="B71" s="6">
        <v>68</v>
      </c>
      <c r="C71" s="9">
        <v>2.6970000000000001</v>
      </c>
      <c r="D71" s="9">
        <v>2.3969999999999998</v>
      </c>
      <c r="E71" s="9">
        <v>2.399</v>
      </c>
      <c r="F71" s="9">
        <v>2.3290000000000002</v>
      </c>
    </row>
    <row r="72" spans="2:25" x14ac:dyDescent="0.3">
      <c r="B72" s="6">
        <v>69</v>
      </c>
      <c r="C72" s="9">
        <v>2.3969999999999998</v>
      </c>
      <c r="D72" s="9">
        <v>2.1360000000000001</v>
      </c>
      <c r="E72" s="9">
        <v>2.1379999999999999</v>
      </c>
      <c r="F72" s="9">
        <v>2.0819999999999999</v>
      </c>
      <c r="H72" t="s">
        <v>1</v>
      </c>
      <c r="I72" s="10">
        <f t="shared" ref="I72:Y84" ca="1" si="1">INDIRECT("D"&amp;(17*ROW(1:1)+ROW($D$3)-19+IF(COLUMN(C:C)&gt;19,50000,COLUMN(C:C)-1)))</f>
        <v>2.9860000000000002</v>
      </c>
      <c r="J72" s="2">
        <f t="shared" ca="1" si="1"/>
        <v>2.7530000000000001</v>
      </c>
      <c r="K72" s="2">
        <f t="shared" ca="1" si="1"/>
        <v>2.4900000000000002</v>
      </c>
      <c r="L72" s="2">
        <f t="shared" ca="1" si="1"/>
        <v>2.2690000000000001</v>
      </c>
      <c r="M72" s="2">
        <f t="shared" ca="1" si="1"/>
        <v>2.1230000000000002</v>
      </c>
      <c r="N72" s="2">
        <f t="shared" ca="1" si="1"/>
        <v>1.996</v>
      </c>
      <c r="O72" s="2">
        <f t="shared" ca="1" si="1"/>
        <v>1.8959999999999999</v>
      </c>
      <c r="P72" s="2">
        <f t="shared" ca="1" si="1"/>
        <v>1.8360000000000001</v>
      </c>
      <c r="Q72" s="2">
        <f t="shared" ca="1" si="1"/>
        <v>1.8169999999999999</v>
      </c>
      <c r="R72" s="2">
        <f t="shared" ca="1" si="1"/>
        <v>1.837</v>
      </c>
      <c r="S72" s="2">
        <f t="shared" ca="1" si="1"/>
        <v>1.9</v>
      </c>
      <c r="T72" s="2">
        <f t="shared" ca="1" si="1"/>
        <v>1.9990000000000001</v>
      </c>
      <c r="U72" s="2">
        <f t="shared" ca="1" si="1"/>
        <v>2.1259999999999999</v>
      </c>
      <c r="V72" s="2">
        <f t="shared" ca="1" si="1"/>
        <v>2.2770000000000001</v>
      </c>
      <c r="W72" s="2">
        <f t="shared" ca="1" si="1"/>
        <v>2.5110000000000001</v>
      </c>
      <c r="X72" s="2">
        <f t="shared" ca="1" si="1"/>
        <v>2.7679999999999998</v>
      </c>
      <c r="Y72" s="10">
        <f t="shared" ca="1" si="1"/>
        <v>2.9809999999999999</v>
      </c>
    </row>
    <row r="73" spans="2:25" x14ac:dyDescent="0.3">
      <c r="B73" s="6">
        <v>70</v>
      </c>
      <c r="C73" s="9">
        <v>2.1179999999999999</v>
      </c>
      <c r="D73" s="9">
        <v>1.907</v>
      </c>
      <c r="E73" s="9">
        <v>1.909</v>
      </c>
      <c r="F73" s="9">
        <v>1.861</v>
      </c>
      <c r="I73" s="2">
        <f t="shared" ca="1" si="1"/>
        <v>2.8879999999999999</v>
      </c>
      <c r="J73" s="2">
        <f t="shared" ca="1" si="1"/>
        <v>2.56</v>
      </c>
      <c r="K73" s="2">
        <f t="shared" ca="1" si="1"/>
        <v>2.282</v>
      </c>
      <c r="L73" s="2">
        <f t="shared" ca="1" si="1"/>
        <v>2.097</v>
      </c>
      <c r="M73" s="2">
        <f t="shared" ca="1" si="1"/>
        <v>1.9390000000000001</v>
      </c>
      <c r="N73" s="2">
        <f t="shared" ca="1" si="1"/>
        <v>1.806</v>
      </c>
      <c r="O73" s="2">
        <f t="shared" ca="1" si="1"/>
        <v>1.7030000000000001</v>
      </c>
      <c r="P73" s="2">
        <f t="shared" ca="1" si="1"/>
        <v>1.64</v>
      </c>
      <c r="Q73" s="2">
        <f t="shared" ca="1" si="1"/>
        <v>1.6180000000000001</v>
      </c>
      <c r="R73" s="2">
        <f t="shared" ca="1" si="1"/>
        <v>1.64</v>
      </c>
      <c r="S73" s="2">
        <f t="shared" ca="1" si="1"/>
        <v>1.7070000000000001</v>
      </c>
      <c r="T73" s="2">
        <f t="shared" ca="1" si="1"/>
        <v>1.8120000000000001</v>
      </c>
      <c r="U73" s="2">
        <f t="shared" ca="1" si="1"/>
        <v>1.95</v>
      </c>
      <c r="V73" s="2">
        <f t="shared" ca="1" si="1"/>
        <v>2.1110000000000002</v>
      </c>
      <c r="W73" s="2">
        <f t="shared" ca="1" si="1"/>
        <v>2.306</v>
      </c>
      <c r="X73" s="2">
        <f t="shared" ca="1" si="1"/>
        <v>2.581</v>
      </c>
      <c r="Y73" s="2">
        <f t="shared" ca="1" si="1"/>
        <v>2.879</v>
      </c>
    </row>
    <row r="74" spans="2:25" x14ac:dyDescent="0.3">
      <c r="B74" s="6">
        <v>71</v>
      </c>
      <c r="C74" s="9">
        <v>1.8520000000000001</v>
      </c>
      <c r="D74" s="9">
        <v>1.694</v>
      </c>
      <c r="E74" s="9">
        <v>1.696</v>
      </c>
      <c r="F74" s="9">
        <v>1.653</v>
      </c>
      <c r="I74" s="2">
        <f t="shared" ca="1" si="1"/>
        <v>2.7149999999999999</v>
      </c>
      <c r="J74" s="2">
        <f t="shared" ca="1" si="1"/>
        <v>2.367</v>
      </c>
      <c r="K74" s="2">
        <f t="shared" ca="1" si="1"/>
        <v>2.1230000000000002</v>
      </c>
      <c r="L74" s="2">
        <f t="shared" ca="1" si="1"/>
        <v>1.9330000000000001</v>
      </c>
      <c r="M74" s="2">
        <f t="shared" ca="1" si="1"/>
        <v>1.7609999999999999</v>
      </c>
      <c r="N74" s="2">
        <f t="shared" ca="1" si="1"/>
        <v>1.6160000000000001</v>
      </c>
      <c r="O74" s="2">
        <f t="shared" ca="1" si="1"/>
        <v>1.502</v>
      </c>
      <c r="P74" s="2">
        <f t="shared" ca="1" si="1"/>
        <v>1.4339999999999999</v>
      </c>
      <c r="Q74" s="2">
        <f t="shared" ca="1" si="1"/>
        <v>1.4139999999999999</v>
      </c>
      <c r="R74" s="2">
        <f t="shared" ca="1" si="1"/>
        <v>1.44</v>
      </c>
      <c r="S74" s="2">
        <f t="shared" ca="1" si="1"/>
        <v>1.5169999999999999</v>
      </c>
      <c r="T74" s="2">
        <f t="shared" ca="1" si="1"/>
        <v>1.6319999999999999</v>
      </c>
      <c r="U74" s="2">
        <f t="shared" ca="1" si="1"/>
        <v>1.778</v>
      </c>
      <c r="V74" s="2">
        <f t="shared" ca="1" si="1"/>
        <v>1.954</v>
      </c>
      <c r="W74" s="2">
        <f t="shared" ca="1" si="1"/>
        <v>2.1440000000000001</v>
      </c>
      <c r="X74" s="2">
        <f t="shared" ca="1" si="1"/>
        <v>2.383</v>
      </c>
      <c r="Y74" s="2">
        <f t="shared" ca="1" si="1"/>
        <v>2.71</v>
      </c>
    </row>
    <row r="75" spans="2:25" x14ac:dyDescent="0.3">
      <c r="B75" s="6">
        <v>72</v>
      </c>
      <c r="C75" s="9">
        <v>1.605</v>
      </c>
      <c r="D75" s="9">
        <v>1.496</v>
      </c>
      <c r="E75" s="9">
        <v>1.498</v>
      </c>
      <c r="F75" s="9">
        <v>1.458</v>
      </c>
      <c r="I75" s="2">
        <f t="shared" ca="1" si="1"/>
        <v>2.5329999999999999</v>
      </c>
      <c r="J75" s="2">
        <f t="shared" ca="1" si="1"/>
        <v>2.2370000000000001</v>
      </c>
      <c r="K75" s="2">
        <f t="shared" ca="1" si="1"/>
        <v>2.0059999999999998</v>
      </c>
      <c r="L75" s="2">
        <f t="shared" ca="1" si="1"/>
        <v>1.798</v>
      </c>
      <c r="M75" s="2">
        <f t="shared" ca="1" si="1"/>
        <v>1.613</v>
      </c>
      <c r="N75" s="2">
        <f t="shared" ca="1" si="1"/>
        <v>1.452</v>
      </c>
      <c r="O75" s="2">
        <f t="shared" ca="1" si="1"/>
        <v>1.331</v>
      </c>
      <c r="P75" s="2">
        <f t="shared" ca="1" si="1"/>
        <v>1.264</v>
      </c>
      <c r="Q75" s="2">
        <f t="shared" ca="1" si="1"/>
        <v>1.246</v>
      </c>
      <c r="R75" s="2">
        <f t="shared" ca="1" si="1"/>
        <v>1.272</v>
      </c>
      <c r="S75" s="2">
        <f t="shared" ca="1" si="1"/>
        <v>1.349</v>
      </c>
      <c r="T75" s="2">
        <f t="shared" ca="1" si="1"/>
        <v>1.472</v>
      </c>
      <c r="U75" s="2">
        <f t="shared" ca="1" si="1"/>
        <v>1.633</v>
      </c>
      <c r="V75" s="2">
        <f t="shared" ca="1" si="1"/>
        <v>1.82</v>
      </c>
      <c r="W75" s="2">
        <f t="shared" ca="1" si="1"/>
        <v>2.024</v>
      </c>
      <c r="X75" s="2">
        <f t="shared" ca="1" si="1"/>
        <v>2.246</v>
      </c>
      <c r="Y75" s="2">
        <f t="shared" ca="1" si="1"/>
        <v>2.5259999999999998</v>
      </c>
    </row>
    <row r="76" spans="2:25" x14ac:dyDescent="0.3">
      <c r="B76" s="6">
        <v>73</v>
      </c>
      <c r="C76" s="9">
        <v>1.397</v>
      </c>
      <c r="D76" s="9">
        <v>1.3280000000000001</v>
      </c>
      <c r="E76" s="9">
        <v>1.329</v>
      </c>
      <c r="F76" s="9">
        <v>1.294</v>
      </c>
      <c r="I76" s="2">
        <f t="shared" ca="1" si="1"/>
        <v>2.3969999999999998</v>
      </c>
      <c r="J76" s="2">
        <f t="shared" ca="1" si="1"/>
        <v>2.1360000000000001</v>
      </c>
      <c r="K76" s="2">
        <f t="shared" ca="1" si="1"/>
        <v>1.907</v>
      </c>
      <c r="L76" s="2">
        <f t="shared" ca="1" si="1"/>
        <v>1.694</v>
      </c>
      <c r="M76" s="2">
        <f t="shared" ca="1" si="1"/>
        <v>1.496</v>
      </c>
      <c r="N76" s="2">
        <f t="shared" ca="1" si="1"/>
        <v>1.3280000000000001</v>
      </c>
      <c r="O76" s="2">
        <f t="shared" ca="1" si="1"/>
        <v>1.2110000000000001</v>
      </c>
      <c r="P76" s="2">
        <f t="shared" ca="1" si="1"/>
        <v>1.143</v>
      </c>
      <c r="Q76" s="2">
        <f t="shared" ca="1" si="1"/>
        <v>1.123</v>
      </c>
      <c r="R76" s="2">
        <f t="shared" ca="1" si="1"/>
        <v>1.1479999999999999</v>
      </c>
      <c r="S76" s="2">
        <f t="shared" ca="1" si="1"/>
        <v>1.22</v>
      </c>
      <c r="T76" s="2">
        <f t="shared" ca="1" si="1"/>
        <v>1.339</v>
      </c>
      <c r="U76" s="2">
        <f t="shared" ca="1" si="1"/>
        <v>1.51</v>
      </c>
      <c r="V76" s="2">
        <f t="shared" ca="1" si="1"/>
        <v>1.71</v>
      </c>
      <c r="W76" s="2">
        <f t="shared" ca="1" si="1"/>
        <v>1.9279999999999999</v>
      </c>
      <c r="X76" s="2">
        <f t="shared" ca="1" si="1"/>
        <v>2.157</v>
      </c>
      <c r="Y76" s="2">
        <f t="shared" ca="1" si="1"/>
        <v>2.4089999999999998</v>
      </c>
    </row>
    <row r="77" spans="2:25" x14ac:dyDescent="0.3">
      <c r="B77" s="6">
        <v>74</v>
      </c>
      <c r="C77" s="9">
        <v>1.2529999999999999</v>
      </c>
      <c r="D77" s="9">
        <v>1.2110000000000001</v>
      </c>
      <c r="E77" s="9">
        <v>1.212</v>
      </c>
      <c r="F77" s="9">
        <v>1.1839999999999999</v>
      </c>
      <c r="I77" s="2">
        <f t="shared" ca="1" si="1"/>
        <v>2.335</v>
      </c>
      <c r="J77" s="2">
        <f t="shared" ca="1" si="1"/>
        <v>2.0760000000000001</v>
      </c>
      <c r="K77" s="2">
        <f t="shared" ca="1" si="1"/>
        <v>1.837</v>
      </c>
      <c r="L77" s="2">
        <f t="shared" ca="1" si="1"/>
        <v>1.619</v>
      </c>
      <c r="M77" s="2">
        <f t="shared" ca="1" si="1"/>
        <v>1.417</v>
      </c>
      <c r="N77" s="2">
        <f t="shared" ca="1" si="1"/>
        <v>1.254</v>
      </c>
      <c r="O77" s="2">
        <f t="shared" ca="1" si="1"/>
        <v>1.1379999999999999</v>
      </c>
      <c r="P77" s="2">
        <f t="shared" ca="1" si="1"/>
        <v>1.0620000000000001</v>
      </c>
      <c r="Q77" s="2">
        <f t="shared" ca="1" si="1"/>
        <v>1.0349999999999999</v>
      </c>
      <c r="R77" s="2">
        <f t="shared" ca="1" si="1"/>
        <v>1.0649999999999999</v>
      </c>
      <c r="S77" s="2">
        <f t="shared" ca="1" si="1"/>
        <v>1.145</v>
      </c>
      <c r="T77" s="2">
        <f t="shared" ca="1" si="1"/>
        <v>1.2609999999999999</v>
      </c>
      <c r="U77" s="2">
        <f t="shared" ca="1" si="1"/>
        <v>1.425</v>
      </c>
      <c r="V77" s="2">
        <f t="shared" ca="1" si="1"/>
        <v>1.633</v>
      </c>
      <c r="W77" s="2">
        <f t="shared" ca="1" si="1"/>
        <v>1.859</v>
      </c>
      <c r="X77" s="2">
        <f t="shared" ca="1" si="1"/>
        <v>2.101</v>
      </c>
      <c r="Y77" s="2">
        <f t="shared" ca="1" si="1"/>
        <v>2.3540000000000001</v>
      </c>
    </row>
    <row r="78" spans="2:25" x14ac:dyDescent="0.3">
      <c r="B78" s="6">
        <v>75</v>
      </c>
      <c r="C78" s="9">
        <v>1.1679999999999999</v>
      </c>
      <c r="D78" s="9">
        <v>1.143</v>
      </c>
      <c r="E78" s="9">
        <v>1.1439999999999999</v>
      </c>
      <c r="F78" s="9">
        <v>1.125</v>
      </c>
      <c r="I78" s="2">
        <f t="shared" ca="1" si="1"/>
        <v>2.3210000000000002</v>
      </c>
      <c r="J78" s="2">
        <f t="shared" ca="1" si="1"/>
        <v>2.0569999999999999</v>
      </c>
      <c r="K78" s="2">
        <f t="shared" ca="1" si="1"/>
        <v>1.8140000000000001</v>
      </c>
      <c r="L78" s="2">
        <f t="shared" ca="1" si="1"/>
        <v>1.589</v>
      </c>
      <c r="M78" s="2">
        <f t="shared" ca="1" si="1"/>
        <v>1.3819999999999999</v>
      </c>
      <c r="N78" s="2">
        <f t="shared" ca="1" si="1"/>
        <v>1.22</v>
      </c>
      <c r="O78" s="2">
        <f t="shared" ca="1" si="1"/>
        <v>1.1040000000000001</v>
      </c>
      <c r="P78" s="2">
        <f t="shared" ca="1" si="1"/>
        <v>1.026</v>
      </c>
      <c r="Q78" s="2">
        <f t="shared" ca="1" si="1"/>
        <v>1.004</v>
      </c>
      <c r="R78" s="2">
        <f t="shared" ca="1" si="1"/>
        <v>1.032</v>
      </c>
      <c r="S78" s="2">
        <f t="shared" ca="1" si="1"/>
        <v>1.1160000000000001</v>
      </c>
      <c r="T78" s="2">
        <f t="shared" ca="1" si="1"/>
        <v>1.2330000000000001</v>
      </c>
      <c r="U78" s="2">
        <f t="shared" ca="1" si="1"/>
        <v>1.397</v>
      </c>
      <c r="V78" s="2">
        <f t="shared" ca="1" si="1"/>
        <v>1.6060000000000001</v>
      </c>
      <c r="W78" s="2">
        <f t="shared" ca="1" si="1"/>
        <v>1.831</v>
      </c>
      <c r="X78" s="2">
        <f t="shared" ca="1" si="1"/>
        <v>2.0739999999999998</v>
      </c>
      <c r="Y78" s="2">
        <f t="shared" ca="1" si="1"/>
        <v>2.3250000000000002</v>
      </c>
    </row>
    <row r="79" spans="2:25" x14ac:dyDescent="0.3">
      <c r="B79" s="6">
        <v>76</v>
      </c>
      <c r="C79" s="9">
        <v>1.139</v>
      </c>
      <c r="D79" s="9">
        <v>1.123</v>
      </c>
      <c r="E79" s="9">
        <v>1.123</v>
      </c>
      <c r="F79" s="9">
        <v>1.1080000000000001</v>
      </c>
      <c r="I79" s="2">
        <f t="shared" ca="1" si="1"/>
        <v>2.347</v>
      </c>
      <c r="J79" s="2">
        <f t="shared" ca="1" si="1"/>
        <v>2.0790000000000002</v>
      </c>
      <c r="K79" s="2">
        <f t="shared" ca="1" si="1"/>
        <v>1.8340000000000001</v>
      </c>
      <c r="L79" s="2">
        <f t="shared" ca="1" si="1"/>
        <v>1.609</v>
      </c>
      <c r="M79" s="2">
        <f t="shared" ca="1" si="1"/>
        <v>1.403</v>
      </c>
      <c r="N79" s="2">
        <f t="shared" ca="1" si="1"/>
        <v>1.2390000000000001</v>
      </c>
      <c r="O79" s="2">
        <f t="shared" ca="1" si="1"/>
        <v>1.1220000000000001</v>
      </c>
      <c r="P79" s="2">
        <f t="shared" ca="1" si="1"/>
        <v>1.0449999999999999</v>
      </c>
      <c r="Q79" s="2">
        <f t="shared" ca="1" si="1"/>
        <v>1.0229999999999999</v>
      </c>
      <c r="R79" s="2">
        <f t="shared" ca="1" si="1"/>
        <v>1.0549999999999999</v>
      </c>
      <c r="S79" s="2">
        <f t="shared" ca="1" si="1"/>
        <v>1.139</v>
      </c>
      <c r="T79" s="2">
        <f t="shared" ca="1" si="1"/>
        <v>1.2569999999999999</v>
      </c>
      <c r="U79" s="2">
        <f t="shared" ca="1" si="1"/>
        <v>1.423</v>
      </c>
      <c r="V79" s="2">
        <f t="shared" ca="1" si="1"/>
        <v>1.631</v>
      </c>
      <c r="W79" s="2">
        <f t="shared" ca="1" si="1"/>
        <v>1.8540000000000001</v>
      </c>
      <c r="X79" s="2">
        <f t="shared" ca="1" si="1"/>
        <v>2.089</v>
      </c>
      <c r="Y79" s="2">
        <f t="shared" ca="1" si="1"/>
        <v>2.3359999999999999</v>
      </c>
    </row>
    <row r="80" spans="2:25" x14ac:dyDescent="0.3">
      <c r="B80" s="6">
        <v>77</v>
      </c>
      <c r="C80" s="9">
        <v>1.171</v>
      </c>
      <c r="D80" s="9">
        <v>1.1479999999999999</v>
      </c>
      <c r="E80" s="9">
        <v>1.1479999999999999</v>
      </c>
      <c r="F80" s="9">
        <v>1.1299999999999999</v>
      </c>
      <c r="I80" s="2">
        <f t="shared" ca="1" si="1"/>
        <v>2.407</v>
      </c>
      <c r="J80" s="2">
        <f t="shared" ca="1" si="1"/>
        <v>2.145</v>
      </c>
      <c r="K80" s="2">
        <f t="shared" ca="1" si="1"/>
        <v>1.9079999999999999</v>
      </c>
      <c r="L80" s="2">
        <f t="shared" ca="1" si="1"/>
        <v>1.6859999999999999</v>
      </c>
      <c r="M80" s="2">
        <f t="shared" ca="1" si="1"/>
        <v>1.484</v>
      </c>
      <c r="N80" s="2">
        <f t="shared" ca="1" si="1"/>
        <v>1.3140000000000001</v>
      </c>
      <c r="O80" s="2">
        <f t="shared" ca="1" si="1"/>
        <v>1.1970000000000001</v>
      </c>
      <c r="P80" s="2">
        <f t="shared" ca="1" si="1"/>
        <v>1.1259999999999999</v>
      </c>
      <c r="Q80" s="2">
        <f t="shared" ca="1" si="1"/>
        <v>1.103</v>
      </c>
      <c r="R80" s="2">
        <f t="shared" ca="1" si="1"/>
        <v>1.1299999999999999</v>
      </c>
      <c r="S80" s="2">
        <f t="shared" ca="1" si="1"/>
        <v>1.206</v>
      </c>
      <c r="T80" s="2">
        <f t="shared" ca="1" si="1"/>
        <v>1.327</v>
      </c>
      <c r="U80" s="2">
        <f t="shared" ca="1" si="1"/>
        <v>1.5009999999999999</v>
      </c>
      <c r="V80" s="2">
        <f t="shared" ca="1" si="1"/>
        <v>1.7050000000000001</v>
      </c>
      <c r="W80" s="2">
        <f t="shared" ca="1" si="1"/>
        <v>1.9239999999999999</v>
      </c>
      <c r="X80" s="2">
        <f t="shared" ca="1" si="1"/>
        <v>2.1560000000000001</v>
      </c>
      <c r="Y80" s="2">
        <f t="shared" ca="1" si="1"/>
        <v>2.411</v>
      </c>
    </row>
    <row r="81" spans="2:25" x14ac:dyDescent="0.3">
      <c r="B81" s="6">
        <v>78</v>
      </c>
      <c r="C81" s="9">
        <v>1.258</v>
      </c>
      <c r="D81" s="9">
        <v>1.22</v>
      </c>
      <c r="E81" s="9">
        <v>1.22</v>
      </c>
      <c r="F81" s="9">
        <v>1.1950000000000001</v>
      </c>
      <c r="I81" s="2">
        <f t="shared" ca="1" si="1"/>
        <v>2.5179999999999998</v>
      </c>
      <c r="J81" s="2">
        <f t="shared" ca="1" si="1"/>
        <v>2.2309999999999999</v>
      </c>
      <c r="K81" s="2">
        <f t="shared" ca="1" si="1"/>
        <v>2.0019999999999998</v>
      </c>
      <c r="L81" s="2">
        <f t="shared" ca="1" si="1"/>
        <v>1.794</v>
      </c>
      <c r="M81" s="2">
        <f t="shared" ca="1" si="1"/>
        <v>1.605</v>
      </c>
      <c r="N81" s="2">
        <f t="shared" ca="1" si="1"/>
        <v>1.44</v>
      </c>
      <c r="O81" s="2">
        <f t="shared" ca="1" si="1"/>
        <v>1.3160000000000001</v>
      </c>
      <c r="P81" s="2">
        <f t="shared" ca="1" si="1"/>
        <v>1.244</v>
      </c>
      <c r="Q81" s="2">
        <f t="shared" ca="1" si="1"/>
        <v>1.2210000000000001</v>
      </c>
      <c r="R81" s="2">
        <f t="shared" ca="1" si="1"/>
        <v>1.244</v>
      </c>
      <c r="S81" s="2">
        <f t="shared" ca="1" si="1"/>
        <v>1.3169999999999999</v>
      </c>
      <c r="T81" s="2">
        <f t="shared" ca="1" si="1"/>
        <v>1.4410000000000001</v>
      </c>
      <c r="U81" s="2">
        <f t="shared" ca="1" si="1"/>
        <v>1.609</v>
      </c>
      <c r="V81" s="2">
        <f t="shared" ca="1" si="1"/>
        <v>1.8049999999999999</v>
      </c>
      <c r="W81" s="2">
        <f t="shared" ca="1" si="1"/>
        <v>2.02</v>
      </c>
      <c r="X81" s="2">
        <f t="shared" ca="1" si="1"/>
        <v>2.2509999999999999</v>
      </c>
      <c r="Y81" s="2">
        <f t="shared" ca="1" si="1"/>
        <v>2.5390000000000001</v>
      </c>
    </row>
    <row r="82" spans="2:25" x14ac:dyDescent="0.3">
      <c r="B82" s="6">
        <v>79</v>
      </c>
      <c r="C82" s="9">
        <v>1.401</v>
      </c>
      <c r="D82" s="9">
        <v>1.339</v>
      </c>
      <c r="E82" s="9">
        <v>1.34</v>
      </c>
      <c r="F82" s="9">
        <v>1.31</v>
      </c>
      <c r="I82" s="2">
        <f t="shared" ca="1" si="1"/>
        <v>2.71</v>
      </c>
      <c r="J82" s="2">
        <f t="shared" ca="1" si="1"/>
        <v>2.3719999999999999</v>
      </c>
      <c r="K82" s="2">
        <f t="shared" ca="1" si="1"/>
        <v>2.1309999999999998</v>
      </c>
      <c r="L82" s="2">
        <f t="shared" ca="1" si="1"/>
        <v>1.9319999999999999</v>
      </c>
      <c r="M82" s="2">
        <f t="shared" ca="1" si="1"/>
        <v>1.754</v>
      </c>
      <c r="N82" s="2">
        <f t="shared" ca="1" si="1"/>
        <v>1.6060000000000001</v>
      </c>
      <c r="O82" s="2">
        <f t="shared" ca="1" si="1"/>
        <v>1.4890000000000001</v>
      </c>
      <c r="P82" s="2">
        <f t="shared" ca="1" si="1"/>
        <v>1.415</v>
      </c>
      <c r="Q82" s="2">
        <f t="shared" ca="1" si="1"/>
        <v>1.389</v>
      </c>
      <c r="R82" s="2">
        <f t="shared" ca="1" si="1"/>
        <v>1.4139999999999999</v>
      </c>
      <c r="S82" s="2">
        <f t="shared" ca="1" si="1"/>
        <v>1.49</v>
      </c>
      <c r="T82" s="2">
        <f t="shared" ca="1" si="1"/>
        <v>1.61</v>
      </c>
      <c r="U82" s="2">
        <f t="shared" ca="1" si="1"/>
        <v>1.76</v>
      </c>
      <c r="V82" s="2">
        <f t="shared" ca="1" si="1"/>
        <v>1.9430000000000001</v>
      </c>
      <c r="W82" s="2">
        <f t="shared" ca="1" si="1"/>
        <v>2.1419999999999999</v>
      </c>
      <c r="X82" s="2">
        <f t="shared" ca="1" si="1"/>
        <v>2.387</v>
      </c>
      <c r="Y82" s="2">
        <f t="shared" ca="1" si="1"/>
        <v>2.7229999999999999</v>
      </c>
    </row>
    <row r="83" spans="2:25" x14ac:dyDescent="0.3">
      <c r="B83" s="6">
        <v>80</v>
      </c>
      <c r="C83" s="9">
        <v>1.6080000000000001</v>
      </c>
      <c r="D83" s="9">
        <v>1.51</v>
      </c>
      <c r="E83" s="9">
        <v>1.51</v>
      </c>
      <c r="F83" s="9">
        <v>1.48</v>
      </c>
      <c r="I83" s="2">
        <f t="shared" ca="1" si="1"/>
        <v>2.9209999999999998</v>
      </c>
      <c r="J83" s="2">
        <f t="shared" ca="1" si="1"/>
        <v>2.58</v>
      </c>
      <c r="K83" s="2">
        <f t="shared" ca="1" si="1"/>
        <v>2.2999999999999998</v>
      </c>
      <c r="L83" s="2">
        <f t="shared" ca="1" si="1"/>
        <v>2.1070000000000002</v>
      </c>
      <c r="M83" s="2">
        <f t="shared" ca="1" si="1"/>
        <v>1.9390000000000001</v>
      </c>
      <c r="N83" s="2">
        <f t="shared" ca="1" si="1"/>
        <v>1.7969999999999999</v>
      </c>
      <c r="O83" s="2">
        <f t="shared" ca="1" si="1"/>
        <v>1.6919999999999999</v>
      </c>
      <c r="P83" s="2">
        <f t="shared" ca="1" si="1"/>
        <v>1.6259999999999999</v>
      </c>
      <c r="Q83" s="2">
        <f t="shared" ca="1" si="1"/>
        <v>1.607</v>
      </c>
      <c r="R83" s="2">
        <f t="shared" ca="1" si="1"/>
        <v>1.6319999999999999</v>
      </c>
      <c r="S83" s="2">
        <f t="shared" ca="1" si="1"/>
        <v>1.706</v>
      </c>
      <c r="T83" s="2">
        <f t="shared" ca="1" si="1"/>
        <v>1.8120000000000001</v>
      </c>
      <c r="U83" s="2">
        <f t="shared" ca="1" si="1"/>
        <v>1.9510000000000001</v>
      </c>
      <c r="V83" s="2">
        <f t="shared" ca="1" si="1"/>
        <v>2.1150000000000002</v>
      </c>
      <c r="W83" s="2">
        <f t="shared" ca="1" si="1"/>
        <v>2.3010000000000002</v>
      </c>
      <c r="X83" s="2">
        <f t="shared" ca="1" si="1"/>
        <v>2.577</v>
      </c>
      <c r="Y83" s="2">
        <f t="shared" ca="1" si="1"/>
        <v>2.8919999999999999</v>
      </c>
    </row>
    <row r="84" spans="2:25" x14ac:dyDescent="0.3">
      <c r="B84" s="6">
        <v>81</v>
      </c>
      <c r="C84" s="9">
        <v>1.8560000000000001</v>
      </c>
      <c r="D84" s="9">
        <v>1.71</v>
      </c>
      <c r="E84" s="9">
        <v>1.71</v>
      </c>
      <c r="F84" s="9">
        <v>1.679</v>
      </c>
      <c r="I84" s="10">
        <f t="shared" ca="1" si="1"/>
        <v>3.0950000000000002</v>
      </c>
      <c r="J84" s="2">
        <f t="shared" ca="1" si="1"/>
        <v>2.8410000000000002</v>
      </c>
      <c r="K84" s="2">
        <f t="shared" ca="1" si="1"/>
        <v>2.552</v>
      </c>
      <c r="L84" s="2">
        <f t="shared" ca="1" si="1"/>
        <v>2.3210000000000002</v>
      </c>
      <c r="M84" s="2">
        <f t="shared" ca="1" si="1"/>
        <v>2.1680000000000001</v>
      </c>
      <c r="N84" s="2">
        <f t="shared" ca="1" si="1"/>
        <v>2.0310000000000001</v>
      </c>
      <c r="O84" s="2">
        <f t="shared" ca="1" si="1"/>
        <v>1.9259999999999999</v>
      </c>
      <c r="P84" s="2">
        <f t="shared" ca="1" si="1"/>
        <v>1.865</v>
      </c>
      <c r="Q84" s="2">
        <f t="shared" ca="1" si="1"/>
        <v>1.85</v>
      </c>
      <c r="R84" s="2">
        <f t="shared" ca="1" si="1"/>
        <v>1.877</v>
      </c>
      <c r="S84" s="2">
        <f t="shared" ca="1" si="1"/>
        <v>1.948</v>
      </c>
      <c r="T84" s="2">
        <f t="shared" ca="1" si="1"/>
        <v>2.056</v>
      </c>
      <c r="U84" s="2">
        <f t="shared" ca="1" si="1"/>
        <v>2.1869999999999998</v>
      </c>
      <c r="V84" s="2">
        <f t="shared" ca="1" si="1"/>
        <v>2.3330000000000002</v>
      </c>
      <c r="W84" s="2">
        <f t="shared" ca="1" si="1"/>
        <v>2.548</v>
      </c>
      <c r="X84" s="2">
        <f t="shared" ca="1" si="1"/>
        <v>2.7949999999999999</v>
      </c>
      <c r="Y84" s="10">
        <f t="shared" ca="1" si="1"/>
        <v>2.99</v>
      </c>
    </row>
    <row r="85" spans="2:25" x14ac:dyDescent="0.3">
      <c r="B85" s="6">
        <v>82</v>
      </c>
      <c r="C85" s="9">
        <v>2.125</v>
      </c>
      <c r="D85" s="9">
        <v>1.9279999999999999</v>
      </c>
      <c r="E85" s="9">
        <v>1.9279999999999999</v>
      </c>
      <c r="F85" s="9">
        <v>1.895</v>
      </c>
    </row>
    <row r="86" spans="2:25" x14ac:dyDescent="0.3">
      <c r="B86" s="6">
        <v>83</v>
      </c>
      <c r="C86" s="9">
        <v>2.3959999999999999</v>
      </c>
      <c r="D86" s="9">
        <v>2.157</v>
      </c>
      <c r="E86" s="9">
        <v>2.157</v>
      </c>
      <c r="F86" s="9">
        <v>2.1150000000000002</v>
      </c>
      <c r="H86" t="s">
        <v>2</v>
      </c>
      <c r="I86" s="11">
        <f t="shared" ref="I86:Y98" ca="1" si="2">INDIRECT("E"&amp;(17*ROW(1:1)+ROW($E$3)-19+IF(COLUMN(C:C)&gt;19,50000,COLUMN(C:C)-1)))</f>
        <v>2.9849999999999999</v>
      </c>
      <c r="J86" s="2">
        <f t="shared" ca="1" si="2"/>
        <v>2.7559999999999998</v>
      </c>
      <c r="K86" s="2">
        <f t="shared" ca="1" si="2"/>
        <v>2.4940000000000002</v>
      </c>
      <c r="L86" s="2">
        <f t="shared" ca="1" si="2"/>
        <v>2.274</v>
      </c>
      <c r="M86" s="2">
        <f t="shared" ca="1" si="2"/>
        <v>2.1269999999999998</v>
      </c>
      <c r="N86" s="2">
        <f t="shared" ca="1" si="2"/>
        <v>2.0009999999999999</v>
      </c>
      <c r="O86" s="2">
        <f t="shared" ca="1" si="2"/>
        <v>1.9</v>
      </c>
      <c r="P86" s="2">
        <f t="shared" ca="1" si="2"/>
        <v>1.839</v>
      </c>
      <c r="Q86" s="2">
        <f t="shared" ca="1" si="2"/>
        <v>1.821</v>
      </c>
      <c r="R86" s="2">
        <f t="shared" ca="1" si="2"/>
        <v>1.84</v>
      </c>
      <c r="S86" s="2">
        <f t="shared" ca="1" si="2"/>
        <v>1.903</v>
      </c>
      <c r="T86" s="2">
        <f t="shared" ca="1" si="2"/>
        <v>2.0019999999999998</v>
      </c>
      <c r="U86" s="2">
        <f t="shared" ca="1" si="2"/>
        <v>2.1280000000000001</v>
      </c>
      <c r="V86" s="2">
        <f t="shared" ca="1" si="2"/>
        <v>2.2789999999999999</v>
      </c>
      <c r="W86" s="2">
        <f t="shared" ca="1" si="2"/>
        <v>2.5129999999999999</v>
      </c>
      <c r="X86" s="2">
        <f t="shared" ca="1" si="2"/>
        <v>2.7690000000000001</v>
      </c>
      <c r="Y86" s="11">
        <f t="shared" ca="1" si="2"/>
        <v>2.9809999999999999</v>
      </c>
    </row>
    <row r="87" spans="2:25" x14ac:dyDescent="0.3">
      <c r="B87" s="6">
        <v>84</v>
      </c>
      <c r="C87" s="9">
        <v>2.6709999999999998</v>
      </c>
      <c r="D87" s="9">
        <v>2.4089999999999998</v>
      </c>
      <c r="E87" s="9">
        <v>2.407</v>
      </c>
      <c r="F87" s="9">
        <v>2.3490000000000002</v>
      </c>
      <c r="I87" s="2">
        <f t="shared" ca="1" si="2"/>
        <v>2.89</v>
      </c>
      <c r="J87" s="2">
        <f t="shared" ca="1" si="2"/>
        <v>2.5630000000000002</v>
      </c>
      <c r="K87" s="2">
        <f t="shared" ca="1" si="2"/>
        <v>2.2850000000000001</v>
      </c>
      <c r="L87" s="2">
        <f t="shared" ca="1" si="2"/>
        <v>2.1</v>
      </c>
      <c r="M87" s="2">
        <f t="shared" ca="1" si="2"/>
        <v>1.9419999999999999</v>
      </c>
      <c r="N87" s="2">
        <f t="shared" ca="1" si="2"/>
        <v>1.8089999999999999</v>
      </c>
      <c r="O87" s="2">
        <f t="shared" ca="1" si="2"/>
        <v>1.7050000000000001</v>
      </c>
      <c r="P87" s="2">
        <f t="shared" ca="1" si="2"/>
        <v>1.641</v>
      </c>
      <c r="Q87" s="2">
        <f t="shared" ca="1" si="2"/>
        <v>1.62</v>
      </c>
      <c r="R87" s="2">
        <f t="shared" ca="1" si="2"/>
        <v>1.641</v>
      </c>
      <c r="S87" s="2">
        <f t="shared" ca="1" si="2"/>
        <v>1.7090000000000001</v>
      </c>
      <c r="T87" s="2">
        <f t="shared" ca="1" si="2"/>
        <v>1.8140000000000001</v>
      </c>
      <c r="U87" s="2">
        <f t="shared" ca="1" si="2"/>
        <v>1.952</v>
      </c>
      <c r="V87" s="2">
        <f t="shared" ca="1" si="2"/>
        <v>2.1120000000000001</v>
      </c>
      <c r="W87" s="2">
        <f t="shared" ca="1" si="2"/>
        <v>2.306</v>
      </c>
      <c r="X87" s="2">
        <f t="shared" ca="1" si="2"/>
        <v>2.581</v>
      </c>
      <c r="Y87" s="2">
        <f t="shared" ca="1" si="2"/>
        <v>2.8769999999999998</v>
      </c>
    </row>
    <row r="88" spans="2:25" x14ac:dyDescent="0.3">
      <c r="B88" s="6">
        <v>85</v>
      </c>
      <c r="C88" s="9">
        <v>2.6309999999999998</v>
      </c>
      <c r="D88" s="9">
        <v>2.335</v>
      </c>
      <c r="E88" s="9">
        <v>2.3370000000000002</v>
      </c>
      <c r="F88" s="9">
        <v>2.2709999999999999</v>
      </c>
      <c r="I88" s="2">
        <f t="shared" ca="1" si="2"/>
        <v>2.718</v>
      </c>
      <c r="J88" s="2">
        <f t="shared" ca="1" si="2"/>
        <v>2.3690000000000002</v>
      </c>
      <c r="K88" s="2">
        <f t="shared" ca="1" si="2"/>
        <v>2.1259999999999999</v>
      </c>
      <c r="L88" s="2">
        <f t="shared" ca="1" si="2"/>
        <v>1.9350000000000001</v>
      </c>
      <c r="M88" s="2">
        <f t="shared" ca="1" si="2"/>
        <v>1.7629999999999999</v>
      </c>
      <c r="N88" s="2">
        <f t="shared" ca="1" si="2"/>
        <v>1.619</v>
      </c>
      <c r="O88" s="2">
        <f t="shared" ca="1" si="2"/>
        <v>1.504</v>
      </c>
      <c r="P88" s="2">
        <f t="shared" ca="1" si="2"/>
        <v>1.4350000000000001</v>
      </c>
      <c r="Q88" s="2">
        <f t="shared" ca="1" si="2"/>
        <v>1.415</v>
      </c>
      <c r="R88" s="2">
        <f t="shared" ca="1" si="2"/>
        <v>1.44</v>
      </c>
      <c r="S88" s="2">
        <f t="shared" ca="1" si="2"/>
        <v>1.518</v>
      </c>
      <c r="T88" s="2">
        <f t="shared" ca="1" si="2"/>
        <v>1.633</v>
      </c>
      <c r="U88" s="2">
        <f t="shared" ca="1" si="2"/>
        <v>1.778</v>
      </c>
      <c r="V88" s="2">
        <f t="shared" ca="1" si="2"/>
        <v>1.954</v>
      </c>
      <c r="W88" s="2">
        <f t="shared" ca="1" si="2"/>
        <v>2.1429999999999998</v>
      </c>
      <c r="X88" s="2">
        <f t="shared" ca="1" si="2"/>
        <v>2.3820000000000001</v>
      </c>
      <c r="Y88" s="2">
        <f t="shared" ca="1" si="2"/>
        <v>2.7080000000000002</v>
      </c>
    </row>
    <row r="89" spans="2:25" x14ac:dyDescent="0.3">
      <c r="B89" s="6">
        <v>86</v>
      </c>
      <c r="C89" s="9">
        <v>2.3250000000000002</v>
      </c>
      <c r="D89" s="9">
        <v>2.0760000000000001</v>
      </c>
      <c r="E89" s="9">
        <v>2.0779999999999998</v>
      </c>
      <c r="F89" s="9">
        <v>2.0219999999999998</v>
      </c>
      <c r="I89" s="2">
        <f t="shared" ca="1" si="2"/>
        <v>2.5350000000000001</v>
      </c>
      <c r="J89" s="2">
        <f t="shared" ca="1" si="2"/>
        <v>2.2389999999999999</v>
      </c>
      <c r="K89" s="2">
        <f t="shared" ca="1" si="2"/>
        <v>2.008</v>
      </c>
      <c r="L89" s="2">
        <f t="shared" ca="1" si="2"/>
        <v>1.8</v>
      </c>
      <c r="M89" s="2">
        <f t="shared" ca="1" si="2"/>
        <v>1.615</v>
      </c>
      <c r="N89" s="2">
        <f t="shared" ca="1" si="2"/>
        <v>1.454</v>
      </c>
      <c r="O89" s="2">
        <f t="shared" ca="1" si="2"/>
        <v>1.3320000000000001</v>
      </c>
      <c r="P89" s="2">
        <f t="shared" ca="1" si="2"/>
        <v>1.2649999999999999</v>
      </c>
      <c r="Q89" s="2">
        <f t="shared" ca="1" si="2"/>
        <v>1.246</v>
      </c>
      <c r="R89" s="2">
        <f t="shared" ca="1" si="2"/>
        <v>1.272</v>
      </c>
      <c r="S89" s="2">
        <f t="shared" ca="1" si="2"/>
        <v>1.349</v>
      </c>
      <c r="T89" s="2">
        <f t="shared" ca="1" si="2"/>
        <v>1.472</v>
      </c>
      <c r="U89" s="2">
        <f t="shared" ca="1" si="2"/>
        <v>1.633</v>
      </c>
      <c r="V89" s="2">
        <f t="shared" ca="1" si="2"/>
        <v>1.819</v>
      </c>
      <c r="W89" s="2">
        <f t="shared" ca="1" si="2"/>
        <v>2.0230000000000001</v>
      </c>
      <c r="X89" s="2">
        <f t="shared" ca="1" si="2"/>
        <v>2.2450000000000001</v>
      </c>
      <c r="Y89" s="2">
        <f t="shared" ca="1" si="2"/>
        <v>2.524</v>
      </c>
    </row>
    <row r="90" spans="2:25" x14ac:dyDescent="0.3">
      <c r="B90" s="6">
        <v>87</v>
      </c>
      <c r="C90" s="9">
        <v>2.0329999999999999</v>
      </c>
      <c r="D90" s="9">
        <v>1.837</v>
      </c>
      <c r="E90" s="9">
        <v>1.84</v>
      </c>
      <c r="F90" s="9">
        <v>1.796</v>
      </c>
      <c r="I90" s="2">
        <f t="shared" ca="1" si="2"/>
        <v>2.399</v>
      </c>
      <c r="J90" s="2">
        <f t="shared" ca="1" si="2"/>
        <v>2.1379999999999999</v>
      </c>
      <c r="K90" s="2">
        <f t="shared" ca="1" si="2"/>
        <v>1.909</v>
      </c>
      <c r="L90" s="2">
        <f t="shared" ca="1" si="2"/>
        <v>1.696</v>
      </c>
      <c r="M90" s="2">
        <f t="shared" ca="1" si="2"/>
        <v>1.498</v>
      </c>
      <c r="N90" s="2">
        <f t="shared" ca="1" si="2"/>
        <v>1.329</v>
      </c>
      <c r="O90" s="2">
        <f t="shared" ca="1" si="2"/>
        <v>1.212</v>
      </c>
      <c r="P90" s="2">
        <f t="shared" ca="1" si="2"/>
        <v>1.1439999999999999</v>
      </c>
      <c r="Q90" s="2">
        <f t="shared" ca="1" si="2"/>
        <v>1.123</v>
      </c>
      <c r="R90" s="2">
        <f t="shared" ca="1" si="2"/>
        <v>1.1479999999999999</v>
      </c>
      <c r="S90" s="2">
        <f t="shared" ca="1" si="2"/>
        <v>1.22</v>
      </c>
      <c r="T90" s="2">
        <f t="shared" ca="1" si="2"/>
        <v>1.34</v>
      </c>
      <c r="U90" s="2">
        <f t="shared" ca="1" si="2"/>
        <v>1.51</v>
      </c>
      <c r="V90" s="2">
        <f t="shared" ca="1" si="2"/>
        <v>1.71</v>
      </c>
      <c r="W90" s="2">
        <f t="shared" ca="1" si="2"/>
        <v>1.9279999999999999</v>
      </c>
      <c r="X90" s="2">
        <f t="shared" ca="1" si="2"/>
        <v>2.157</v>
      </c>
      <c r="Y90" s="2">
        <f t="shared" ca="1" si="2"/>
        <v>2.407</v>
      </c>
    </row>
    <row r="91" spans="2:25" x14ac:dyDescent="0.3">
      <c r="B91" s="6">
        <v>88</v>
      </c>
      <c r="C91" s="9">
        <v>1.758</v>
      </c>
      <c r="D91" s="9">
        <v>1.619</v>
      </c>
      <c r="E91" s="9">
        <v>1.6220000000000001</v>
      </c>
      <c r="F91" s="9">
        <v>1.583</v>
      </c>
      <c r="I91" s="2">
        <f t="shared" ca="1" si="2"/>
        <v>2.3370000000000002</v>
      </c>
      <c r="J91" s="2">
        <f t="shared" ca="1" si="2"/>
        <v>2.0779999999999998</v>
      </c>
      <c r="K91" s="2">
        <f t="shared" ca="1" si="2"/>
        <v>1.84</v>
      </c>
      <c r="L91" s="2">
        <f t="shared" ca="1" si="2"/>
        <v>1.6220000000000001</v>
      </c>
      <c r="M91" s="2">
        <f t="shared" ca="1" si="2"/>
        <v>1.419</v>
      </c>
      <c r="N91" s="2">
        <f t="shared" ca="1" si="2"/>
        <v>1.2569999999999999</v>
      </c>
      <c r="O91" s="2">
        <f t="shared" ca="1" si="2"/>
        <v>1.1399999999999999</v>
      </c>
      <c r="P91" s="2">
        <f t="shared" ca="1" si="2"/>
        <v>1.0620000000000001</v>
      </c>
      <c r="Q91" s="2">
        <f t="shared" ca="1" si="2"/>
        <v>1.0349999999999999</v>
      </c>
      <c r="R91" s="2">
        <f t="shared" ca="1" si="2"/>
        <v>1.0649999999999999</v>
      </c>
      <c r="S91" s="2">
        <f t="shared" ca="1" si="2"/>
        <v>1.1459999999999999</v>
      </c>
      <c r="T91" s="2">
        <f t="shared" ca="1" si="2"/>
        <v>1.2609999999999999</v>
      </c>
      <c r="U91" s="2">
        <f t="shared" ca="1" si="2"/>
        <v>1.425</v>
      </c>
      <c r="V91" s="2">
        <f t="shared" ca="1" si="2"/>
        <v>1.633</v>
      </c>
      <c r="W91" s="2">
        <f t="shared" ca="1" si="2"/>
        <v>1.859</v>
      </c>
      <c r="X91" s="2">
        <f t="shared" ca="1" si="2"/>
        <v>2.1</v>
      </c>
      <c r="Y91" s="2">
        <f t="shared" ca="1" si="2"/>
        <v>2.3519999999999999</v>
      </c>
    </row>
    <row r="92" spans="2:25" x14ac:dyDescent="0.3">
      <c r="B92" s="6">
        <v>89</v>
      </c>
      <c r="C92" s="9">
        <v>1.5049999999999999</v>
      </c>
      <c r="D92" s="9">
        <v>1.417</v>
      </c>
      <c r="E92" s="9">
        <v>1.419</v>
      </c>
      <c r="F92" s="9">
        <v>1.387</v>
      </c>
      <c r="I92" s="2">
        <f t="shared" ca="1" si="2"/>
        <v>2.323</v>
      </c>
      <c r="J92" s="2">
        <f t="shared" ca="1" si="2"/>
        <v>2.0590000000000002</v>
      </c>
      <c r="K92" s="2">
        <f t="shared" ca="1" si="2"/>
        <v>1.8160000000000001</v>
      </c>
      <c r="L92" s="2">
        <f t="shared" ca="1" si="2"/>
        <v>1.5920000000000001</v>
      </c>
      <c r="M92" s="2">
        <f t="shared" ca="1" si="2"/>
        <v>1.3839999999999999</v>
      </c>
      <c r="N92" s="2">
        <f t="shared" ca="1" si="2"/>
        <v>1.2230000000000001</v>
      </c>
      <c r="O92" s="2">
        <f t="shared" ca="1" si="2"/>
        <v>1.1060000000000001</v>
      </c>
      <c r="P92" s="2">
        <f t="shared" ca="1" si="2"/>
        <v>1.0269999999999999</v>
      </c>
      <c r="Q92" s="2">
        <f t="shared" ca="1" si="2"/>
        <v>1.0049999999999999</v>
      </c>
      <c r="R92" s="2">
        <f t="shared" ca="1" si="2"/>
        <v>1.032</v>
      </c>
      <c r="S92" s="2">
        <f t="shared" ca="1" si="2"/>
        <v>1.1160000000000001</v>
      </c>
      <c r="T92" s="2">
        <f t="shared" ca="1" si="2"/>
        <v>1.234</v>
      </c>
      <c r="U92" s="2">
        <f t="shared" ca="1" si="2"/>
        <v>1.397</v>
      </c>
      <c r="V92" s="2">
        <f t="shared" ca="1" si="2"/>
        <v>1.6060000000000001</v>
      </c>
      <c r="W92" s="2">
        <f t="shared" ca="1" si="2"/>
        <v>1.831</v>
      </c>
      <c r="X92" s="2">
        <f t="shared" ca="1" si="2"/>
        <v>2.073</v>
      </c>
      <c r="Y92" s="2">
        <f t="shared" ca="1" si="2"/>
        <v>2.323</v>
      </c>
    </row>
    <row r="93" spans="2:25" x14ac:dyDescent="0.3">
      <c r="B93" s="6">
        <v>90</v>
      </c>
      <c r="C93" s="9">
        <v>1.3049999999999999</v>
      </c>
      <c r="D93" s="9">
        <v>1.254</v>
      </c>
      <c r="E93" s="9">
        <v>1.2569999999999999</v>
      </c>
      <c r="F93" s="9">
        <v>1.232</v>
      </c>
      <c r="I93" s="2">
        <f t="shared" ca="1" si="2"/>
        <v>2.347</v>
      </c>
      <c r="J93" s="2">
        <f t="shared" ca="1" si="2"/>
        <v>2.08</v>
      </c>
      <c r="K93" s="2">
        <f t="shared" ca="1" si="2"/>
        <v>1.835</v>
      </c>
      <c r="L93" s="2">
        <f t="shared" ca="1" si="2"/>
        <v>1.611</v>
      </c>
      <c r="M93" s="2">
        <f t="shared" ca="1" si="2"/>
        <v>1.405</v>
      </c>
      <c r="N93" s="2">
        <f t="shared" ca="1" si="2"/>
        <v>1.2410000000000001</v>
      </c>
      <c r="O93" s="2">
        <f t="shared" ca="1" si="2"/>
        <v>1.123</v>
      </c>
      <c r="P93" s="2">
        <f t="shared" ca="1" si="2"/>
        <v>1.0449999999999999</v>
      </c>
      <c r="Q93" s="2">
        <f t="shared" ca="1" si="2"/>
        <v>1.0229999999999999</v>
      </c>
      <c r="R93" s="2">
        <f t="shared" ca="1" si="2"/>
        <v>1.054</v>
      </c>
      <c r="S93" s="2">
        <f t="shared" ca="1" si="2"/>
        <v>1.139</v>
      </c>
      <c r="T93" s="2">
        <f t="shared" ca="1" si="2"/>
        <v>1.2569999999999999</v>
      </c>
      <c r="U93" s="2">
        <f t="shared" ca="1" si="2"/>
        <v>1.423</v>
      </c>
      <c r="V93" s="2">
        <f t="shared" ca="1" si="2"/>
        <v>1.631</v>
      </c>
      <c r="W93" s="2">
        <f t="shared" ca="1" si="2"/>
        <v>1.853</v>
      </c>
      <c r="X93" s="2">
        <f t="shared" ca="1" si="2"/>
        <v>2.0880000000000001</v>
      </c>
      <c r="Y93" s="2">
        <f t="shared" ca="1" si="2"/>
        <v>2.3330000000000002</v>
      </c>
    </row>
    <row r="94" spans="2:25" x14ac:dyDescent="0.3">
      <c r="B94" s="6">
        <v>91</v>
      </c>
      <c r="C94" s="9">
        <v>1.1639999999999999</v>
      </c>
      <c r="D94" s="9">
        <v>1.1379999999999999</v>
      </c>
      <c r="E94" s="9">
        <v>1.1399999999999999</v>
      </c>
      <c r="F94" s="9">
        <v>1.1240000000000001</v>
      </c>
      <c r="I94" s="2">
        <f t="shared" ca="1" si="2"/>
        <v>2.407</v>
      </c>
      <c r="J94" s="2">
        <f t="shared" ca="1" si="2"/>
        <v>2.145</v>
      </c>
      <c r="K94" s="2">
        <f t="shared" ca="1" si="2"/>
        <v>1.9079999999999999</v>
      </c>
      <c r="L94" s="2">
        <f t="shared" ca="1" si="2"/>
        <v>1.6859999999999999</v>
      </c>
      <c r="M94" s="2">
        <f t="shared" ca="1" si="2"/>
        <v>1.484</v>
      </c>
      <c r="N94" s="2">
        <f t="shared" ca="1" si="2"/>
        <v>1.3140000000000001</v>
      </c>
      <c r="O94" s="2">
        <f t="shared" ca="1" si="2"/>
        <v>1.1970000000000001</v>
      </c>
      <c r="P94" s="2">
        <f t="shared" ca="1" si="2"/>
        <v>1.125</v>
      </c>
      <c r="Q94" s="2">
        <f t="shared" ca="1" si="2"/>
        <v>1.1020000000000001</v>
      </c>
      <c r="R94" s="2">
        <f t="shared" ca="1" si="2"/>
        <v>1.129</v>
      </c>
      <c r="S94" s="2">
        <f t="shared" ca="1" si="2"/>
        <v>1.204</v>
      </c>
      <c r="T94" s="2">
        <f t="shared" ca="1" si="2"/>
        <v>1.3260000000000001</v>
      </c>
      <c r="U94" s="2">
        <f t="shared" ca="1" si="2"/>
        <v>1.5</v>
      </c>
      <c r="V94" s="2">
        <f t="shared" ca="1" si="2"/>
        <v>1.7030000000000001</v>
      </c>
      <c r="W94" s="2">
        <f t="shared" ca="1" si="2"/>
        <v>1.9219999999999999</v>
      </c>
      <c r="X94" s="2">
        <f t="shared" ca="1" si="2"/>
        <v>2.1539999999999999</v>
      </c>
      <c r="Y94" s="2">
        <f t="shared" ca="1" si="2"/>
        <v>2.407</v>
      </c>
    </row>
    <row r="95" spans="2:25" x14ac:dyDescent="0.3">
      <c r="B95" s="6">
        <v>92</v>
      </c>
      <c r="C95" s="9">
        <v>1.073</v>
      </c>
      <c r="D95" s="9">
        <v>1.0620000000000001</v>
      </c>
      <c r="E95" s="9">
        <v>1.0620000000000001</v>
      </c>
      <c r="F95" s="9">
        <v>1.0529999999999999</v>
      </c>
      <c r="I95" s="2">
        <f t="shared" ca="1" si="2"/>
        <v>2.5169999999999999</v>
      </c>
      <c r="J95" s="2">
        <f t="shared" ca="1" si="2"/>
        <v>2.2290000000000001</v>
      </c>
      <c r="K95" s="2">
        <f t="shared" ca="1" si="2"/>
        <v>2.0009999999999999</v>
      </c>
      <c r="L95" s="2">
        <f t="shared" ca="1" si="2"/>
        <v>1.7929999999999999</v>
      </c>
      <c r="M95" s="2">
        <f t="shared" ca="1" si="2"/>
        <v>1.6040000000000001</v>
      </c>
      <c r="N95" s="2">
        <f t="shared" ca="1" si="2"/>
        <v>1.4390000000000001</v>
      </c>
      <c r="O95" s="2">
        <f t="shared" ca="1" si="2"/>
        <v>1.3149999999999999</v>
      </c>
      <c r="P95" s="2">
        <f t="shared" ca="1" si="2"/>
        <v>1.2430000000000001</v>
      </c>
      <c r="Q95" s="2">
        <f t="shared" ca="1" si="2"/>
        <v>1.218</v>
      </c>
      <c r="R95" s="2">
        <f t="shared" ca="1" si="2"/>
        <v>1.242</v>
      </c>
      <c r="S95" s="2">
        <f t="shared" ca="1" si="2"/>
        <v>1.3149999999999999</v>
      </c>
      <c r="T95" s="2">
        <f t="shared" ca="1" si="2"/>
        <v>1.4390000000000001</v>
      </c>
      <c r="U95" s="2">
        <f t="shared" ca="1" si="2"/>
        <v>1.607</v>
      </c>
      <c r="V95" s="2">
        <f t="shared" ca="1" si="2"/>
        <v>1.802</v>
      </c>
      <c r="W95" s="2">
        <f t="shared" ca="1" si="2"/>
        <v>2.0169999999999999</v>
      </c>
      <c r="X95" s="2">
        <f t="shared" ca="1" si="2"/>
        <v>2.2469999999999999</v>
      </c>
      <c r="Y95" s="2">
        <f t="shared" ca="1" si="2"/>
        <v>2.5339999999999998</v>
      </c>
    </row>
    <row r="96" spans="2:25" x14ac:dyDescent="0.3">
      <c r="B96" s="6">
        <v>93</v>
      </c>
      <c r="C96" s="9">
        <v>1.04</v>
      </c>
      <c r="D96" s="9">
        <v>1.0349999999999999</v>
      </c>
      <c r="E96" s="9">
        <v>1.0349999999999999</v>
      </c>
      <c r="F96" s="9">
        <v>1.0309999999999999</v>
      </c>
      <c r="I96" s="2">
        <f t="shared" ca="1" si="2"/>
        <v>2.7080000000000002</v>
      </c>
      <c r="J96" s="2">
        <f t="shared" ca="1" si="2"/>
        <v>2.37</v>
      </c>
      <c r="K96" s="2">
        <f t="shared" ca="1" si="2"/>
        <v>2.129</v>
      </c>
      <c r="L96" s="2">
        <f t="shared" ca="1" si="2"/>
        <v>1.931</v>
      </c>
      <c r="M96" s="2">
        <f t="shared" ca="1" si="2"/>
        <v>1.754</v>
      </c>
      <c r="N96" s="2">
        <f t="shared" ca="1" si="2"/>
        <v>1.605</v>
      </c>
      <c r="O96" s="2">
        <f t="shared" ca="1" si="2"/>
        <v>1.4870000000000001</v>
      </c>
      <c r="P96" s="2">
        <f t="shared" ca="1" si="2"/>
        <v>1.4119999999999999</v>
      </c>
      <c r="Q96" s="2">
        <f t="shared" ca="1" si="2"/>
        <v>1.3859999999999999</v>
      </c>
      <c r="R96" s="2">
        <f t="shared" ca="1" si="2"/>
        <v>1.411</v>
      </c>
      <c r="S96" s="2">
        <f t="shared" ca="1" si="2"/>
        <v>1.488</v>
      </c>
      <c r="T96" s="2">
        <f t="shared" ca="1" si="2"/>
        <v>1.607</v>
      </c>
      <c r="U96" s="2">
        <f t="shared" ca="1" si="2"/>
        <v>1.7569999999999999</v>
      </c>
      <c r="V96" s="2">
        <f t="shared" ca="1" si="2"/>
        <v>1.9390000000000001</v>
      </c>
      <c r="W96" s="2">
        <f t="shared" ca="1" si="2"/>
        <v>2.1389999999999998</v>
      </c>
      <c r="X96" s="2">
        <f t="shared" ca="1" si="2"/>
        <v>2.383</v>
      </c>
      <c r="Y96" s="2">
        <f t="shared" ca="1" si="2"/>
        <v>2.7170000000000001</v>
      </c>
    </row>
    <row r="97" spans="2:25" x14ac:dyDescent="0.3">
      <c r="B97" s="6">
        <v>94</v>
      </c>
      <c r="C97" s="9">
        <v>1.075</v>
      </c>
      <c r="D97" s="9">
        <v>1.0649999999999999</v>
      </c>
      <c r="E97" s="9">
        <v>1.0649999999999999</v>
      </c>
      <c r="F97" s="9">
        <v>1.0580000000000001</v>
      </c>
      <c r="I97" s="2">
        <f t="shared" ca="1" si="2"/>
        <v>2.9180000000000001</v>
      </c>
      <c r="J97" s="2">
        <f t="shared" ca="1" si="2"/>
        <v>2.5779999999999998</v>
      </c>
      <c r="K97" s="2">
        <f t="shared" ca="1" si="2"/>
        <v>2.298</v>
      </c>
      <c r="L97" s="2">
        <f t="shared" ca="1" si="2"/>
        <v>2.105</v>
      </c>
      <c r="M97" s="2">
        <f t="shared" ca="1" si="2"/>
        <v>1.9379999999999999</v>
      </c>
      <c r="N97" s="2">
        <f t="shared" ca="1" si="2"/>
        <v>1.796</v>
      </c>
      <c r="O97" s="2">
        <f t="shared" ca="1" si="2"/>
        <v>1.69</v>
      </c>
      <c r="P97" s="2">
        <f t="shared" ca="1" si="2"/>
        <v>1.6240000000000001</v>
      </c>
      <c r="Q97" s="2">
        <f t="shared" ca="1" si="2"/>
        <v>1.6040000000000001</v>
      </c>
      <c r="R97" s="2">
        <f t="shared" ca="1" si="2"/>
        <v>1.629</v>
      </c>
      <c r="S97" s="2">
        <f t="shared" ca="1" si="2"/>
        <v>1.7030000000000001</v>
      </c>
      <c r="T97" s="2">
        <f t="shared" ca="1" si="2"/>
        <v>1.8089999999999999</v>
      </c>
      <c r="U97" s="2">
        <f t="shared" ca="1" si="2"/>
        <v>1.948</v>
      </c>
      <c r="V97" s="2">
        <f t="shared" ca="1" si="2"/>
        <v>2.1110000000000002</v>
      </c>
      <c r="W97" s="2">
        <f t="shared" ca="1" si="2"/>
        <v>2.2970000000000002</v>
      </c>
      <c r="X97" s="2">
        <f t="shared" ca="1" si="2"/>
        <v>2.5710000000000002</v>
      </c>
      <c r="Y97" s="2">
        <f t="shared" ca="1" si="2"/>
        <v>2.8849999999999998</v>
      </c>
    </row>
    <row r="98" spans="2:25" x14ac:dyDescent="0.3">
      <c r="B98" s="6">
        <v>95</v>
      </c>
      <c r="C98" s="9">
        <v>1.167</v>
      </c>
      <c r="D98" s="9">
        <v>1.145</v>
      </c>
      <c r="E98" s="9">
        <v>1.1459999999999999</v>
      </c>
      <c r="F98" s="9">
        <v>1.1299999999999999</v>
      </c>
      <c r="I98" s="11">
        <f t="shared" ca="1" si="2"/>
        <v>3.0910000000000002</v>
      </c>
      <c r="J98" s="2">
        <f t="shared" ca="1" si="2"/>
        <v>2.8380000000000001</v>
      </c>
      <c r="K98" s="2">
        <f t="shared" ca="1" si="2"/>
        <v>2.5489999999999999</v>
      </c>
      <c r="L98" s="2">
        <f t="shared" ca="1" si="2"/>
        <v>2.3199999999999998</v>
      </c>
      <c r="M98" s="2">
        <f t="shared" ca="1" si="2"/>
        <v>2.1659999999999999</v>
      </c>
      <c r="N98" s="2">
        <f t="shared" ca="1" si="2"/>
        <v>2.0289999999999999</v>
      </c>
      <c r="O98" s="2">
        <f t="shared" ca="1" si="2"/>
        <v>1.9239999999999999</v>
      </c>
      <c r="P98" s="2">
        <f t="shared" ca="1" si="2"/>
        <v>1.8620000000000001</v>
      </c>
      <c r="Q98" s="2">
        <f t="shared" ca="1" si="2"/>
        <v>1.847</v>
      </c>
      <c r="R98" s="2">
        <f t="shared" ca="1" si="2"/>
        <v>1.8740000000000001</v>
      </c>
      <c r="S98" s="2">
        <f t="shared" ca="1" si="2"/>
        <v>1.946</v>
      </c>
      <c r="T98" s="2">
        <f t="shared" ca="1" si="2"/>
        <v>2.0529999999999999</v>
      </c>
      <c r="U98" s="2">
        <f t="shared" ca="1" si="2"/>
        <v>2.1840000000000002</v>
      </c>
      <c r="V98" s="2">
        <f t="shared" ca="1" si="2"/>
        <v>2.3290000000000002</v>
      </c>
      <c r="W98" s="2">
        <f t="shared" ca="1" si="2"/>
        <v>2.5430000000000001</v>
      </c>
      <c r="X98" s="2">
        <f t="shared" ca="1" si="2"/>
        <v>2.7890000000000001</v>
      </c>
      <c r="Y98" s="11">
        <f t="shared" ca="1" si="2"/>
        <v>2.984</v>
      </c>
    </row>
    <row r="99" spans="2:25" x14ac:dyDescent="0.3">
      <c r="B99" s="6">
        <v>96</v>
      </c>
      <c r="C99" s="9">
        <v>1.3029999999999999</v>
      </c>
      <c r="D99" s="9">
        <v>1.2609999999999999</v>
      </c>
      <c r="E99" s="9">
        <v>1.2609999999999999</v>
      </c>
      <c r="F99" s="9">
        <v>1.24</v>
      </c>
    </row>
    <row r="100" spans="2:25" x14ac:dyDescent="0.3">
      <c r="B100" s="6">
        <v>97</v>
      </c>
      <c r="C100" s="9">
        <v>1.5029999999999999</v>
      </c>
      <c r="D100" s="9">
        <v>1.425</v>
      </c>
      <c r="E100" s="9">
        <v>1.425</v>
      </c>
      <c r="F100" s="9">
        <v>1.401</v>
      </c>
      <c r="H100" t="s">
        <v>3</v>
      </c>
      <c r="I100" s="13">
        <f t="shared" ref="I100:Y112" ca="1" si="3">INDIRECT("F"&amp;(17*ROW(1:1)+ROW($F$3)-19+IF(COLUMN(C:C)&gt;19,50000,COLUMN(C:C)-1)))</f>
        <v>2.8279999999999998</v>
      </c>
      <c r="J100" s="2">
        <f t="shared" ca="1" si="3"/>
        <v>2.62</v>
      </c>
      <c r="K100" s="2">
        <f t="shared" ca="1" si="3"/>
        <v>2.3780000000000001</v>
      </c>
      <c r="L100" s="2">
        <f t="shared" ca="1" si="3"/>
        <v>2.1739999999999999</v>
      </c>
      <c r="M100" s="2">
        <f t="shared" ca="1" si="3"/>
        <v>2.036</v>
      </c>
      <c r="N100" s="2">
        <f t="shared" ca="1" si="3"/>
        <v>1.917</v>
      </c>
      <c r="O100" s="2">
        <f t="shared" ca="1" si="3"/>
        <v>1.8220000000000001</v>
      </c>
      <c r="P100" s="2">
        <f t="shared" ca="1" si="3"/>
        <v>1.766</v>
      </c>
      <c r="Q100" s="2">
        <f t="shared" ca="1" si="3"/>
        <v>1.75</v>
      </c>
      <c r="R100" s="2">
        <f t="shared" ca="1" si="3"/>
        <v>1.77</v>
      </c>
      <c r="S100" s="2">
        <f t="shared" ca="1" si="3"/>
        <v>1.829</v>
      </c>
      <c r="T100" s="2">
        <f t="shared" ca="1" si="3"/>
        <v>1.9219999999999999</v>
      </c>
      <c r="U100" s="2">
        <f t="shared" ca="1" si="3"/>
        <v>2.0430000000000001</v>
      </c>
      <c r="V100" s="2">
        <f t="shared" ca="1" si="3"/>
        <v>2.1859999999999999</v>
      </c>
      <c r="W100" s="2">
        <f t="shared" ca="1" si="3"/>
        <v>2.411</v>
      </c>
      <c r="X100" s="2">
        <f t="shared" ca="1" si="3"/>
        <v>2.6509999999999998</v>
      </c>
      <c r="Y100" s="13">
        <f t="shared" ca="1" si="3"/>
        <v>2.8479999999999999</v>
      </c>
    </row>
    <row r="101" spans="2:25" x14ac:dyDescent="0.3">
      <c r="B101" s="6">
        <v>98</v>
      </c>
      <c r="C101" s="9">
        <v>1.7609999999999999</v>
      </c>
      <c r="D101" s="9">
        <v>1.633</v>
      </c>
      <c r="E101" s="9">
        <v>1.633</v>
      </c>
      <c r="F101" s="9">
        <v>1.607</v>
      </c>
      <c r="I101" s="2">
        <f t="shared" ca="1" si="3"/>
        <v>2.7749999999999999</v>
      </c>
      <c r="J101" s="2">
        <f t="shared" ca="1" si="3"/>
        <v>2.4630000000000001</v>
      </c>
      <c r="K101" s="2">
        <f t="shared" ca="1" si="3"/>
        <v>2.2029999999999998</v>
      </c>
      <c r="L101" s="2">
        <f t="shared" ca="1" si="3"/>
        <v>2.028</v>
      </c>
      <c r="M101" s="2">
        <f t="shared" ca="1" si="3"/>
        <v>1.877</v>
      </c>
      <c r="N101" s="2">
        <f t="shared" ca="1" si="3"/>
        <v>1.748</v>
      </c>
      <c r="O101" s="2">
        <f t="shared" ca="1" si="3"/>
        <v>1.651</v>
      </c>
      <c r="P101" s="2">
        <f t="shared" ca="1" si="3"/>
        <v>1.595</v>
      </c>
      <c r="Q101" s="2">
        <f t="shared" ca="1" si="3"/>
        <v>1.577</v>
      </c>
      <c r="R101" s="2">
        <f t="shared" ca="1" si="3"/>
        <v>1.595</v>
      </c>
      <c r="S101" s="2">
        <f t="shared" ca="1" si="3"/>
        <v>1.6579999999999999</v>
      </c>
      <c r="T101" s="2">
        <f t="shared" ca="1" si="3"/>
        <v>1.758</v>
      </c>
      <c r="U101" s="2">
        <f t="shared" ca="1" si="3"/>
        <v>1.8939999999999999</v>
      </c>
      <c r="V101" s="2">
        <f t="shared" ca="1" si="3"/>
        <v>2.0499999999999998</v>
      </c>
      <c r="W101" s="2">
        <f t="shared" ca="1" si="3"/>
        <v>2.2360000000000002</v>
      </c>
      <c r="X101" s="2">
        <f t="shared" ca="1" si="3"/>
        <v>2.4969999999999999</v>
      </c>
      <c r="Y101" s="2">
        <f t="shared" ca="1" si="3"/>
        <v>2.7709999999999999</v>
      </c>
    </row>
    <row r="102" spans="2:25" x14ac:dyDescent="0.3">
      <c r="B102" s="6">
        <v>99</v>
      </c>
      <c r="C102" s="9">
        <v>2.0419999999999998</v>
      </c>
      <c r="D102" s="9">
        <v>1.859</v>
      </c>
      <c r="E102" s="9">
        <v>1.859</v>
      </c>
      <c r="F102" s="9">
        <v>1.83</v>
      </c>
      <c r="I102" s="2">
        <f t="shared" ca="1" si="3"/>
        <v>2.6240000000000001</v>
      </c>
      <c r="J102" s="2">
        <f t="shared" ca="1" si="3"/>
        <v>2.2909999999999999</v>
      </c>
      <c r="K102" s="2">
        <f t="shared" ca="1" si="3"/>
        <v>2.0609999999999999</v>
      </c>
      <c r="L102" s="2">
        <f t="shared" ca="1" si="3"/>
        <v>1.877</v>
      </c>
      <c r="M102" s="2">
        <f t="shared" ca="1" si="3"/>
        <v>1.7090000000000001</v>
      </c>
      <c r="N102" s="2">
        <f t="shared" ca="1" si="3"/>
        <v>1.5669999999999999</v>
      </c>
      <c r="O102" s="2">
        <f t="shared" ca="1" si="3"/>
        <v>1.462</v>
      </c>
      <c r="P102" s="2">
        <f t="shared" ca="1" si="3"/>
        <v>1.401</v>
      </c>
      <c r="Q102" s="2">
        <f t="shared" ca="1" si="3"/>
        <v>1.3859999999999999</v>
      </c>
      <c r="R102" s="2">
        <f t="shared" ca="1" si="3"/>
        <v>1.409</v>
      </c>
      <c r="S102" s="2">
        <f t="shared" ca="1" si="3"/>
        <v>1.48</v>
      </c>
      <c r="T102" s="2">
        <f t="shared" ca="1" si="3"/>
        <v>1.589</v>
      </c>
      <c r="U102" s="2">
        <f t="shared" ca="1" si="3"/>
        <v>1.7350000000000001</v>
      </c>
      <c r="V102" s="2">
        <f t="shared" ca="1" si="3"/>
        <v>1.909</v>
      </c>
      <c r="W102" s="2">
        <f t="shared" ca="1" si="3"/>
        <v>2.0939999999999999</v>
      </c>
      <c r="X102" s="2">
        <f t="shared" ca="1" si="3"/>
        <v>2.3180000000000001</v>
      </c>
      <c r="Y102" s="2">
        <f t="shared" ca="1" si="3"/>
        <v>2.6190000000000002</v>
      </c>
    </row>
    <row r="103" spans="2:25" x14ac:dyDescent="0.3">
      <c r="B103" s="6">
        <v>100</v>
      </c>
      <c r="C103" s="9">
        <v>2.331</v>
      </c>
      <c r="D103" s="9">
        <v>2.101</v>
      </c>
      <c r="E103" s="9">
        <v>2.1</v>
      </c>
      <c r="F103" s="9">
        <v>2.0619999999999998</v>
      </c>
      <c r="I103" s="2">
        <f t="shared" ca="1" si="3"/>
        <v>2.4590000000000001</v>
      </c>
      <c r="J103" s="2">
        <f t="shared" ca="1" si="3"/>
        <v>2.1749999999999998</v>
      </c>
      <c r="K103" s="2">
        <f t="shared" ca="1" si="3"/>
        <v>1.952</v>
      </c>
      <c r="L103" s="2">
        <f t="shared" ca="1" si="3"/>
        <v>1.7490000000000001</v>
      </c>
      <c r="M103" s="2">
        <f t="shared" ca="1" si="3"/>
        <v>1.5649999999999999</v>
      </c>
      <c r="N103" s="2">
        <f t="shared" ca="1" si="3"/>
        <v>1.409</v>
      </c>
      <c r="O103" s="2">
        <f t="shared" ca="1" si="3"/>
        <v>1.296</v>
      </c>
      <c r="P103" s="2">
        <f t="shared" ca="1" si="3"/>
        <v>1.238</v>
      </c>
      <c r="Q103" s="2">
        <f t="shared" ca="1" si="3"/>
        <v>1.2250000000000001</v>
      </c>
      <c r="R103" s="2">
        <f t="shared" ca="1" si="3"/>
        <v>1.248</v>
      </c>
      <c r="S103" s="2">
        <f t="shared" ca="1" si="3"/>
        <v>1.3180000000000001</v>
      </c>
      <c r="T103" s="2">
        <f t="shared" ca="1" si="3"/>
        <v>1.4359999999999999</v>
      </c>
      <c r="U103" s="2">
        <f t="shared" ca="1" si="3"/>
        <v>1.597</v>
      </c>
      <c r="V103" s="2">
        <f t="shared" ca="1" si="3"/>
        <v>1.782</v>
      </c>
      <c r="W103" s="2">
        <f t="shared" ca="1" si="3"/>
        <v>1.9830000000000001</v>
      </c>
      <c r="X103" s="2">
        <f t="shared" ca="1" si="3"/>
        <v>2.1949999999999998</v>
      </c>
      <c r="Y103" s="2">
        <f t="shared" ca="1" si="3"/>
        <v>2.4540000000000002</v>
      </c>
    </row>
    <row r="104" spans="2:25" x14ac:dyDescent="0.3">
      <c r="B104" s="6">
        <v>101</v>
      </c>
      <c r="C104" s="9">
        <v>2.613</v>
      </c>
      <c r="D104" s="9">
        <v>2.3540000000000001</v>
      </c>
      <c r="E104" s="9">
        <v>2.3519999999999999</v>
      </c>
      <c r="F104" s="9">
        <v>2.3029999999999999</v>
      </c>
      <c r="I104" s="2">
        <f t="shared" ca="1" si="3"/>
        <v>2.3290000000000002</v>
      </c>
      <c r="J104" s="2">
        <f t="shared" ca="1" si="3"/>
        <v>2.0819999999999999</v>
      </c>
      <c r="K104" s="2">
        <f t="shared" ca="1" si="3"/>
        <v>1.861</v>
      </c>
      <c r="L104" s="2">
        <f t="shared" ca="1" si="3"/>
        <v>1.653</v>
      </c>
      <c r="M104" s="2">
        <f t="shared" ca="1" si="3"/>
        <v>1.458</v>
      </c>
      <c r="N104" s="2">
        <f t="shared" ca="1" si="3"/>
        <v>1.294</v>
      </c>
      <c r="O104" s="2">
        <f t="shared" ca="1" si="3"/>
        <v>1.1839999999999999</v>
      </c>
      <c r="P104" s="2">
        <f t="shared" ca="1" si="3"/>
        <v>1.125</v>
      </c>
      <c r="Q104" s="2">
        <f t="shared" ca="1" si="3"/>
        <v>1.1080000000000001</v>
      </c>
      <c r="R104" s="2">
        <f t="shared" ca="1" si="3"/>
        <v>1.1299999999999999</v>
      </c>
      <c r="S104" s="2">
        <f t="shared" ca="1" si="3"/>
        <v>1.1950000000000001</v>
      </c>
      <c r="T104" s="2">
        <f t="shared" ca="1" si="3"/>
        <v>1.31</v>
      </c>
      <c r="U104" s="2">
        <f t="shared" ca="1" si="3"/>
        <v>1.48</v>
      </c>
      <c r="V104" s="2">
        <f t="shared" ca="1" si="3"/>
        <v>1.679</v>
      </c>
      <c r="W104" s="2">
        <f t="shared" ca="1" si="3"/>
        <v>1.895</v>
      </c>
      <c r="X104" s="2">
        <f t="shared" ca="1" si="3"/>
        <v>2.1150000000000002</v>
      </c>
      <c r="Y104" s="2">
        <f t="shared" ca="1" si="3"/>
        <v>2.3490000000000002</v>
      </c>
    </row>
    <row r="105" spans="2:25" x14ac:dyDescent="0.3">
      <c r="B105" s="6">
        <v>102</v>
      </c>
      <c r="C105" s="9">
        <v>2.6160000000000001</v>
      </c>
      <c r="D105" s="9">
        <v>2.3210000000000002</v>
      </c>
      <c r="E105" s="9">
        <v>2.323</v>
      </c>
      <c r="F105" s="9">
        <v>2.258</v>
      </c>
      <c r="I105" s="2">
        <f t="shared" ca="1" si="3"/>
        <v>2.2709999999999999</v>
      </c>
      <c r="J105" s="2">
        <f t="shared" ca="1" si="3"/>
        <v>2.0219999999999998</v>
      </c>
      <c r="K105" s="2">
        <f t="shared" ca="1" si="3"/>
        <v>1.796</v>
      </c>
      <c r="L105" s="2">
        <f t="shared" ca="1" si="3"/>
        <v>1.583</v>
      </c>
      <c r="M105" s="2">
        <f t="shared" ca="1" si="3"/>
        <v>1.387</v>
      </c>
      <c r="N105" s="2">
        <f t="shared" ca="1" si="3"/>
        <v>1.232</v>
      </c>
      <c r="O105" s="2">
        <f t="shared" ca="1" si="3"/>
        <v>1.1240000000000001</v>
      </c>
      <c r="P105" s="2">
        <f t="shared" ca="1" si="3"/>
        <v>1.0529999999999999</v>
      </c>
      <c r="Q105" s="2">
        <f t="shared" ca="1" si="3"/>
        <v>1.0309999999999999</v>
      </c>
      <c r="R105" s="2">
        <f t="shared" ca="1" si="3"/>
        <v>1.0580000000000001</v>
      </c>
      <c r="S105" s="2">
        <f t="shared" ca="1" si="3"/>
        <v>1.1299999999999999</v>
      </c>
      <c r="T105" s="2">
        <f t="shared" ca="1" si="3"/>
        <v>1.24</v>
      </c>
      <c r="U105" s="2">
        <f t="shared" ca="1" si="3"/>
        <v>1.401</v>
      </c>
      <c r="V105" s="2">
        <f t="shared" ca="1" si="3"/>
        <v>1.607</v>
      </c>
      <c r="W105" s="2">
        <f t="shared" ca="1" si="3"/>
        <v>1.83</v>
      </c>
      <c r="X105" s="2">
        <f t="shared" ca="1" si="3"/>
        <v>2.0619999999999998</v>
      </c>
      <c r="Y105" s="2">
        <f t="shared" ca="1" si="3"/>
        <v>2.3029999999999999</v>
      </c>
    </row>
    <row r="106" spans="2:25" x14ac:dyDescent="0.3">
      <c r="B106" s="6">
        <v>103</v>
      </c>
      <c r="C106" s="9">
        <v>2.3039999999999998</v>
      </c>
      <c r="D106" s="9">
        <v>2.0569999999999999</v>
      </c>
      <c r="E106" s="9">
        <v>2.0590000000000002</v>
      </c>
      <c r="F106" s="9">
        <v>2.0030000000000001</v>
      </c>
      <c r="I106" s="2">
        <f t="shared" ca="1" si="3"/>
        <v>2.258</v>
      </c>
      <c r="J106" s="2">
        <f t="shared" ca="1" si="3"/>
        <v>2.0030000000000001</v>
      </c>
      <c r="K106" s="2">
        <f t="shared" ca="1" si="3"/>
        <v>1.772</v>
      </c>
      <c r="L106" s="2">
        <f t="shared" ca="1" si="3"/>
        <v>1.556</v>
      </c>
      <c r="M106" s="2">
        <f t="shared" ca="1" si="3"/>
        <v>1.3560000000000001</v>
      </c>
      <c r="N106" s="2">
        <f t="shared" ca="1" si="3"/>
        <v>1.202</v>
      </c>
      <c r="O106" s="2">
        <f t="shared" ca="1" si="3"/>
        <v>1.093</v>
      </c>
      <c r="P106" s="2">
        <f t="shared" ca="1" si="3"/>
        <v>1.0249999999999999</v>
      </c>
      <c r="Q106" s="2">
        <f t="shared" ca="1" si="3"/>
        <v>1.008</v>
      </c>
      <c r="R106" s="2">
        <f t="shared" ca="1" si="3"/>
        <v>1.03</v>
      </c>
      <c r="S106" s="2">
        <f t="shared" ca="1" si="3"/>
        <v>1.107</v>
      </c>
      <c r="T106" s="2">
        <f t="shared" ca="1" si="3"/>
        <v>1.2190000000000001</v>
      </c>
      <c r="U106" s="2">
        <f t="shared" ca="1" si="3"/>
        <v>1.3779999999999999</v>
      </c>
      <c r="V106" s="2">
        <f t="shared" ca="1" si="3"/>
        <v>1.583</v>
      </c>
      <c r="W106" s="2">
        <f t="shared" ca="1" si="3"/>
        <v>1.8009999999999999</v>
      </c>
      <c r="X106" s="2">
        <f t="shared" ca="1" si="3"/>
        <v>2.0329999999999999</v>
      </c>
      <c r="Y106" s="2">
        <f t="shared" ca="1" si="3"/>
        <v>2.27</v>
      </c>
    </row>
    <row r="107" spans="2:25" x14ac:dyDescent="0.3">
      <c r="B107" s="6">
        <v>104</v>
      </c>
      <c r="C107" s="9">
        <v>2.0030000000000001</v>
      </c>
      <c r="D107" s="9">
        <v>1.8140000000000001</v>
      </c>
      <c r="E107" s="9">
        <v>1.8160000000000001</v>
      </c>
      <c r="F107" s="9">
        <v>1.772</v>
      </c>
      <c r="I107" s="2">
        <f t="shared" ca="1" si="3"/>
        <v>2.2829999999999999</v>
      </c>
      <c r="J107" s="2">
        <f t="shared" ca="1" si="3"/>
        <v>2.0270000000000001</v>
      </c>
      <c r="K107" s="2">
        <f t="shared" ca="1" si="3"/>
        <v>1.79</v>
      </c>
      <c r="L107" s="2">
        <f t="shared" ca="1" si="3"/>
        <v>1.573</v>
      </c>
      <c r="M107" s="2">
        <f t="shared" ca="1" si="3"/>
        <v>1.3740000000000001</v>
      </c>
      <c r="N107" s="2">
        <f t="shared" ca="1" si="3"/>
        <v>1.216</v>
      </c>
      <c r="O107" s="2">
        <f t="shared" ca="1" si="3"/>
        <v>1.107</v>
      </c>
      <c r="P107" s="2">
        <f t="shared" ca="1" si="3"/>
        <v>1.0389999999999999</v>
      </c>
      <c r="Q107" s="2">
        <f t="shared" ca="1" si="3"/>
        <v>1.0209999999999999</v>
      </c>
      <c r="R107" s="2">
        <f t="shared" ca="1" si="3"/>
        <v>1.05</v>
      </c>
      <c r="S107" s="2">
        <f t="shared" ca="1" si="3"/>
        <v>1.1259999999999999</v>
      </c>
      <c r="T107" s="2">
        <f t="shared" ca="1" si="3"/>
        <v>1.2390000000000001</v>
      </c>
      <c r="U107" s="2">
        <f t="shared" ca="1" si="3"/>
        <v>1.401</v>
      </c>
      <c r="V107" s="2">
        <f t="shared" ca="1" si="3"/>
        <v>1.6040000000000001</v>
      </c>
      <c r="W107" s="2">
        <f t="shared" ca="1" si="3"/>
        <v>1.8220000000000001</v>
      </c>
      <c r="X107" s="2">
        <f t="shared" ca="1" si="3"/>
        <v>2.048</v>
      </c>
      <c r="Y107" s="2">
        <f t="shared" ca="1" si="3"/>
        <v>2.274</v>
      </c>
    </row>
    <row r="108" spans="2:25" x14ac:dyDescent="0.3">
      <c r="B108" s="6">
        <v>105</v>
      </c>
      <c r="C108" s="9">
        <v>1.72</v>
      </c>
      <c r="D108" s="9">
        <v>1.589</v>
      </c>
      <c r="E108" s="9">
        <v>1.5920000000000001</v>
      </c>
      <c r="F108" s="9">
        <v>1.556</v>
      </c>
      <c r="I108" s="2">
        <f t="shared" ca="1" si="3"/>
        <v>2.3439999999999999</v>
      </c>
      <c r="J108" s="2">
        <f t="shared" ca="1" si="3"/>
        <v>2.09</v>
      </c>
      <c r="K108" s="2">
        <f t="shared" ca="1" si="3"/>
        <v>1.861</v>
      </c>
      <c r="L108" s="2">
        <f t="shared" ca="1" si="3"/>
        <v>1.6439999999999999</v>
      </c>
      <c r="M108" s="2">
        <f t="shared" ca="1" si="3"/>
        <v>1.444</v>
      </c>
      <c r="N108" s="2">
        <f t="shared" ca="1" si="3"/>
        <v>1.28</v>
      </c>
      <c r="O108" s="2">
        <f t="shared" ca="1" si="3"/>
        <v>1.1719999999999999</v>
      </c>
      <c r="P108" s="2">
        <f t="shared" ca="1" si="3"/>
        <v>1.109</v>
      </c>
      <c r="Q108" s="2">
        <f t="shared" ca="1" si="3"/>
        <v>1.091</v>
      </c>
      <c r="R108" s="2">
        <f t="shared" ca="1" si="3"/>
        <v>1.1140000000000001</v>
      </c>
      <c r="S108" s="2">
        <f t="shared" ca="1" si="3"/>
        <v>1.1830000000000001</v>
      </c>
      <c r="T108" s="2">
        <f t="shared" ca="1" si="3"/>
        <v>1.2989999999999999</v>
      </c>
      <c r="U108" s="2">
        <f t="shared" ca="1" si="3"/>
        <v>1.47</v>
      </c>
      <c r="V108" s="2">
        <f t="shared" ca="1" si="3"/>
        <v>1.675</v>
      </c>
      <c r="W108" s="2">
        <f t="shared" ca="1" si="3"/>
        <v>1.891</v>
      </c>
      <c r="X108" s="2">
        <f t="shared" ca="1" si="3"/>
        <v>2.1120000000000001</v>
      </c>
      <c r="Y108" s="2">
        <f t="shared" ca="1" si="3"/>
        <v>2.3439999999999999</v>
      </c>
    </row>
    <row r="109" spans="2:25" x14ac:dyDescent="0.3">
      <c r="B109" s="6">
        <v>106</v>
      </c>
      <c r="C109" s="9">
        <v>1.462</v>
      </c>
      <c r="D109" s="9">
        <v>1.3819999999999999</v>
      </c>
      <c r="E109" s="9">
        <v>1.3839999999999999</v>
      </c>
      <c r="F109" s="9">
        <v>1.3560000000000001</v>
      </c>
      <c r="I109" s="2">
        <f t="shared" ca="1" si="3"/>
        <v>2.4420000000000002</v>
      </c>
      <c r="J109" s="2">
        <f t="shared" ca="1" si="3"/>
        <v>2.1669999999999998</v>
      </c>
      <c r="K109" s="2">
        <f t="shared" ca="1" si="3"/>
        <v>1.948</v>
      </c>
      <c r="L109" s="2">
        <f t="shared" ca="1" si="3"/>
        <v>1.7430000000000001</v>
      </c>
      <c r="M109" s="2">
        <f t="shared" ca="1" si="3"/>
        <v>1.5580000000000001</v>
      </c>
      <c r="N109" s="2">
        <f t="shared" ca="1" si="3"/>
        <v>1.399</v>
      </c>
      <c r="O109" s="2">
        <f t="shared" ca="1" si="3"/>
        <v>1.2809999999999999</v>
      </c>
      <c r="P109" s="2">
        <f t="shared" ca="1" si="3"/>
        <v>1.2170000000000001</v>
      </c>
      <c r="Q109" s="2">
        <f t="shared" ca="1" si="3"/>
        <v>1.198</v>
      </c>
      <c r="R109" s="2">
        <f t="shared" ca="1" si="3"/>
        <v>1.218</v>
      </c>
      <c r="S109" s="2">
        <f t="shared" ca="1" si="3"/>
        <v>1.284</v>
      </c>
      <c r="T109" s="2">
        <f t="shared" ca="1" si="3"/>
        <v>1.4039999999999999</v>
      </c>
      <c r="U109" s="2">
        <f t="shared" ca="1" si="3"/>
        <v>1.569</v>
      </c>
      <c r="V109" s="2">
        <f t="shared" ca="1" si="3"/>
        <v>1.766</v>
      </c>
      <c r="W109" s="2">
        <f t="shared" ca="1" si="3"/>
        <v>1.978</v>
      </c>
      <c r="X109" s="2">
        <f t="shared" ca="1" si="3"/>
        <v>2.1970000000000001</v>
      </c>
      <c r="Y109" s="2">
        <f t="shared" ca="1" si="3"/>
        <v>2.4689999999999999</v>
      </c>
    </row>
    <row r="110" spans="2:25" x14ac:dyDescent="0.3">
      <c r="B110" s="6">
        <v>107</v>
      </c>
      <c r="C110" s="9">
        <v>1.262</v>
      </c>
      <c r="D110" s="9">
        <v>1.22</v>
      </c>
      <c r="E110" s="9">
        <v>1.2230000000000001</v>
      </c>
      <c r="F110" s="9">
        <v>1.202</v>
      </c>
      <c r="I110" s="2">
        <f t="shared" ca="1" si="3"/>
        <v>2.6230000000000002</v>
      </c>
      <c r="J110" s="2">
        <f t="shared" ca="1" si="3"/>
        <v>2.298</v>
      </c>
      <c r="K110" s="2">
        <f t="shared" ca="1" si="3"/>
        <v>2.0670000000000002</v>
      </c>
      <c r="L110" s="2">
        <f t="shared" ca="1" si="3"/>
        <v>1.8740000000000001</v>
      </c>
      <c r="M110" s="2">
        <f t="shared" ca="1" si="3"/>
        <v>1.7</v>
      </c>
      <c r="N110" s="2">
        <f t="shared" ca="1" si="3"/>
        <v>1.5569999999999999</v>
      </c>
      <c r="O110" s="2">
        <f t="shared" ca="1" si="3"/>
        <v>1.4470000000000001</v>
      </c>
      <c r="P110" s="2">
        <f t="shared" ca="1" si="3"/>
        <v>1.379</v>
      </c>
      <c r="Q110" s="2">
        <f t="shared" ca="1" si="3"/>
        <v>1.3580000000000001</v>
      </c>
      <c r="R110" s="2">
        <f t="shared" ca="1" si="3"/>
        <v>1.38</v>
      </c>
      <c r="S110" s="2">
        <f t="shared" ca="1" si="3"/>
        <v>1.45</v>
      </c>
      <c r="T110" s="2">
        <f t="shared" ca="1" si="3"/>
        <v>1.5649999999999999</v>
      </c>
      <c r="U110" s="2">
        <f t="shared" ca="1" si="3"/>
        <v>1.716</v>
      </c>
      <c r="V110" s="2">
        <f t="shared" ca="1" si="3"/>
        <v>1.8979999999999999</v>
      </c>
      <c r="W110" s="2">
        <f t="shared" ca="1" si="3"/>
        <v>2.09</v>
      </c>
      <c r="X110" s="2">
        <f t="shared" ca="1" si="3"/>
        <v>2.3220000000000001</v>
      </c>
      <c r="Y110" s="2">
        <f t="shared" ca="1" si="3"/>
        <v>2.633</v>
      </c>
    </row>
    <row r="111" spans="2:25" x14ac:dyDescent="0.3">
      <c r="B111" s="6">
        <v>108</v>
      </c>
      <c r="C111" s="9">
        <v>1.123</v>
      </c>
      <c r="D111" s="9">
        <v>1.1040000000000001</v>
      </c>
      <c r="E111" s="9">
        <v>1.1060000000000001</v>
      </c>
      <c r="F111" s="9">
        <v>1.093</v>
      </c>
      <c r="I111" s="2">
        <f t="shared" ca="1" si="3"/>
        <v>2.8140000000000001</v>
      </c>
      <c r="J111" s="2">
        <f t="shared" ca="1" si="3"/>
        <v>2.4940000000000002</v>
      </c>
      <c r="K111" s="2">
        <f t="shared" ca="1" si="3"/>
        <v>2.2269999999999999</v>
      </c>
      <c r="L111" s="2">
        <f t="shared" ca="1" si="3"/>
        <v>2.0390000000000001</v>
      </c>
      <c r="M111" s="2">
        <f t="shared" ca="1" si="3"/>
        <v>1.8759999999999999</v>
      </c>
      <c r="N111" s="2">
        <f t="shared" ca="1" si="3"/>
        <v>1.7390000000000001</v>
      </c>
      <c r="O111" s="2">
        <f t="shared" ca="1" si="3"/>
        <v>1.64</v>
      </c>
      <c r="P111" s="2">
        <f t="shared" ca="1" si="3"/>
        <v>1.5820000000000001</v>
      </c>
      <c r="Q111" s="2">
        <f t="shared" ca="1" si="3"/>
        <v>1.5660000000000001</v>
      </c>
      <c r="R111" s="2">
        <f t="shared" ca="1" si="3"/>
        <v>1.59</v>
      </c>
      <c r="S111" s="2">
        <f t="shared" ca="1" si="3"/>
        <v>1.6579999999999999</v>
      </c>
      <c r="T111" s="2">
        <f t="shared" ca="1" si="3"/>
        <v>1.762</v>
      </c>
      <c r="U111" s="2">
        <f t="shared" ca="1" si="3"/>
        <v>1.9</v>
      </c>
      <c r="V111" s="2">
        <f t="shared" ca="1" si="3"/>
        <v>2.0590000000000002</v>
      </c>
      <c r="W111" s="2">
        <f t="shared" ca="1" si="3"/>
        <v>2.2400000000000002</v>
      </c>
      <c r="X111" s="2">
        <f t="shared" ca="1" si="3"/>
        <v>2.4950000000000001</v>
      </c>
      <c r="Y111" s="2">
        <f t="shared" ca="1" si="3"/>
        <v>2.7770000000000001</v>
      </c>
    </row>
    <row r="112" spans="2:25" x14ac:dyDescent="0.3">
      <c r="B112" s="6">
        <v>109</v>
      </c>
      <c r="C112" s="9">
        <v>1.0329999999999999</v>
      </c>
      <c r="D112" s="9">
        <v>1.026</v>
      </c>
      <c r="E112" s="9">
        <v>1.0269999999999999</v>
      </c>
      <c r="F112" s="9">
        <v>1.0249999999999999</v>
      </c>
      <c r="I112" s="13">
        <f t="shared" ca="1" si="3"/>
        <v>2.97</v>
      </c>
      <c r="J112" s="2">
        <f t="shared" ca="1" si="3"/>
        <v>2.7360000000000002</v>
      </c>
      <c r="K112" s="2">
        <f t="shared" ca="1" si="3"/>
        <v>2.4660000000000002</v>
      </c>
      <c r="L112" s="2">
        <f t="shared" ca="1" si="3"/>
        <v>2.2450000000000001</v>
      </c>
      <c r="M112" s="2">
        <f t="shared" ca="1" si="3"/>
        <v>2.0939999999999999</v>
      </c>
      <c r="N112" s="2">
        <f t="shared" ca="1" si="3"/>
        <v>1.96</v>
      </c>
      <c r="O112" s="2">
        <f t="shared" ca="1" si="3"/>
        <v>1.8620000000000001</v>
      </c>
      <c r="P112" s="2">
        <f t="shared" ca="1" si="3"/>
        <v>1.8049999999999999</v>
      </c>
      <c r="Q112" s="2">
        <f t="shared" ca="1" si="3"/>
        <v>1.792</v>
      </c>
      <c r="R112" s="2">
        <f t="shared" ca="1" si="3"/>
        <v>1.821</v>
      </c>
      <c r="S112" s="2">
        <f t="shared" ca="1" si="3"/>
        <v>1.8959999999999999</v>
      </c>
      <c r="T112" s="2">
        <f t="shared" ca="1" si="3"/>
        <v>1.9990000000000001</v>
      </c>
      <c r="U112" s="2">
        <f t="shared" ca="1" si="3"/>
        <v>2.125</v>
      </c>
      <c r="V112" s="2">
        <f t="shared" ca="1" si="3"/>
        <v>2.262</v>
      </c>
      <c r="W112" s="2">
        <f t="shared" ca="1" si="3"/>
        <v>2.4670000000000001</v>
      </c>
      <c r="X112" s="2">
        <f t="shared" ca="1" si="3"/>
        <v>2.6949999999999998</v>
      </c>
      <c r="Y112" s="13">
        <f t="shared" ca="1" si="3"/>
        <v>2.8580000000000001</v>
      </c>
    </row>
    <row r="113" spans="2:6" x14ac:dyDescent="0.3">
      <c r="B113" s="6">
        <v>110</v>
      </c>
      <c r="C113" s="9">
        <v>1.004</v>
      </c>
      <c r="D113" s="9">
        <v>1.004</v>
      </c>
      <c r="E113" s="9">
        <v>1.0049999999999999</v>
      </c>
      <c r="F113" s="9">
        <v>1.008</v>
      </c>
    </row>
    <row r="114" spans="2:6" x14ac:dyDescent="0.3">
      <c r="B114" s="6">
        <v>111</v>
      </c>
      <c r="C114" s="9">
        <v>1.036</v>
      </c>
      <c r="D114" s="9">
        <v>1.032</v>
      </c>
      <c r="E114" s="9">
        <v>1.032</v>
      </c>
      <c r="F114" s="9">
        <v>1.03</v>
      </c>
    </row>
    <row r="115" spans="2:6" x14ac:dyDescent="0.3">
      <c r="B115" s="6">
        <v>112</v>
      </c>
      <c r="C115" s="9">
        <v>1.1299999999999999</v>
      </c>
      <c r="D115" s="9">
        <v>1.1160000000000001</v>
      </c>
      <c r="E115" s="9">
        <v>1.1160000000000001</v>
      </c>
      <c r="F115" s="9">
        <v>1.107</v>
      </c>
    </row>
    <row r="116" spans="2:6" x14ac:dyDescent="0.3">
      <c r="B116" s="6">
        <v>113</v>
      </c>
      <c r="C116" s="9">
        <v>1.268</v>
      </c>
      <c r="D116" s="9">
        <v>1.2330000000000001</v>
      </c>
      <c r="E116" s="9">
        <v>1.234</v>
      </c>
      <c r="F116" s="9">
        <v>1.2190000000000001</v>
      </c>
    </row>
    <row r="117" spans="2:6" x14ac:dyDescent="0.3">
      <c r="B117" s="6">
        <v>114</v>
      </c>
      <c r="C117" s="9">
        <v>1.4670000000000001</v>
      </c>
      <c r="D117" s="9">
        <v>1.397</v>
      </c>
      <c r="E117" s="9">
        <v>1.397</v>
      </c>
      <c r="F117" s="9">
        <v>1.3779999999999999</v>
      </c>
    </row>
    <row r="118" spans="2:6" x14ac:dyDescent="0.3">
      <c r="B118" s="6">
        <v>115</v>
      </c>
      <c r="C118" s="9">
        <v>1.7270000000000001</v>
      </c>
      <c r="D118" s="9">
        <v>1.6060000000000001</v>
      </c>
      <c r="E118" s="9">
        <v>1.6060000000000001</v>
      </c>
      <c r="F118" s="9">
        <v>1.583</v>
      </c>
    </row>
    <row r="119" spans="2:6" x14ac:dyDescent="0.3">
      <c r="B119" s="6">
        <v>116</v>
      </c>
      <c r="C119" s="9">
        <v>2.008</v>
      </c>
      <c r="D119" s="9">
        <v>1.831</v>
      </c>
      <c r="E119" s="9">
        <v>1.831</v>
      </c>
      <c r="F119" s="9">
        <v>1.8009999999999999</v>
      </c>
    </row>
    <row r="120" spans="2:6" x14ac:dyDescent="0.3">
      <c r="B120" s="6">
        <v>117</v>
      </c>
      <c r="C120" s="9">
        <v>2.298</v>
      </c>
      <c r="D120" s="9">
        <v>2.0739999999999998</v>
      </c>
      <c r="E120" s="9">
        <v>2.073</v>
      </c>
      <c r="F120" s="9">
        <v>2.0329999999999999</v>
      </c>
    </row>
    <row r="121" spans="2:6" x14ac:dyDescent="0.3">
      <c r="B121" s="6">
        <v>118</v>
      </c>
      <c r="C121" s="9">
        <v>2.581</v>
      </c>
      <c r="D121" s="9">
        <v>2.3250000000000002</v>
      </c>
      <c r="E121" s="9">
        <v>2.323</v>
      </c>
      <c r="F121" s="9">
        <v>2.27</v>
      </c>
    </row>
    <row r="122" spans="2:6" x14ac:dyDescent="0.3">
      <c r="B122" s="6">
        <v>119</v>
      </c>
      <c r="C122" s="9">
        <v>2.6389999999999998</v>
      </c>
      <c r="D122" s="9">
        <v>2.347</v>
      </c>
      <c r="E122" s="9">
        <v>2.347</v>
      </c>
      <c r="F122" s="9">
        <v>2.2829999999999999</v>
      </c>
    </row>
    <row r="123" spans="2:6" x14ac:dyDescent="0.3">
      <c r="B123" s="6">
        <v>120</v>
      </c>
      <c r="C123" s="9">
        <v>2.3260000000000001</v>
      </c>
      <c r="D123" s="9">
        <v>2.0790000000000002</v>
      </c>
      <c r="E123" s="9">
        <v>2.08</v>
      </c>
      <c r="F123" s="9">
        <v>2.0270000000000001</v>
      </c>
    </row>
    <row r="124" spans="2:6" x14ac:dyDescent="0.3">
      <c r="B124" s="6">
        <v>121</v>
      </c>
      <c r="C124" s="9">
        <v>2.0249999999999999</v>
      </c>
      <c r="D124" s="9">
        <v>1.8340000000000001</v>
      </c>
      <c r="E124" s="9">
        <v>1.835</v>
      </c>
      <c r="F124" s="9">
        <v>1.79</v>
      </c>
    </row>
    <row r="125" spans="2:6" x14ac:dyDescent="0.3">
      <c r="B125" s="6">
        <v>122</v>
      </c>
      <c r="C125" s="9">
        <v>1.744</v>
      </c>
      <c r="D125" s="9">
        <v>1.609</v>
      </c>
      <c r="E125" s="9">
        <v>1.611</v>
      </c>
      <c r="F125" s="9">
        <v>1.573</v>
      </c>
    </row>
    <row r="126" spans="2:6" x14ac:dyDescent="0.3">
      <c r="B126" s="6">
        <v>123</v>
      </c>
      <c r="C126" s="9">
        <v>1.486</v>
      </c>
      <c r="D126" s="9">
        <v>1.403</v>
      </c>
      <c r="E126" s="9">
        <v>1.405</v>
      </c>
      <c r="F126" s="9">
        <v>1.3740000000000001</v>
      </c>
    </row>
    <row r="127" spans="2:6" x14ac:dyDescent="0.3">
      <c r="B127" s="6">
        <v>124</v>
      </c>
      <c r="C127" s="9">
        <v>1.286</v>
      </c>
      <c r="D127" s="9">
        <v>1.2390000000000001</v>
      </c>
      <c r="E127" s="9">
        <v>1.2410000000000001</v>
      </c>
      <c r="F127" s="9">
        <v>1.216</v>
      </c>
    </row>
    <row r="128" spans="2:6" x14ac:dyDescent="0.3">
      <c r="B128" s="6">
        <v>125</v>
      </c>
      <c r="C128" s="9">
        <v>1.1459999999999999</v>
      </c>
      <c r="D128" s="9">
        <v>1.1220000000000001</v>
      </c>
      <c r="E128" s="9">
        <v>1.123</v>
      </c>
      <c r="F128" s="9">
        <v>1.107</v>
      </c>
    </row>
    <row r="129" spans="2:6" x14ac:dyDescent="0.3">
      <c r="B129" s="6">
        <v>126</v>
      </c>
      <c r="C129" s="9">
        <v>1.0569999999999999</v>
      </c>
      <c r="D129" s="9">
        <v>1.0449999999999999</v>
      </c>
      <c r="E129" s="9">
        <v>1.0449999999999999</v>
      </c>
      <c r="F129" s="9">
        <v>1.0389999999999999</v>
      </c>
    </row>
    <row r="130" spans="2:6" x14ac:dyDescent="0.3">
      <c r="B130" s="6">
        <v>127</v>
      </c>
      <c r="C130" s="9">
        <v>1.028</v>
      </c>
      <c r="D130" s="9">
        <v>1.0229999999999999</v>
      </c>
      <c r="E130" s="9">
        <v>1.0229999999999999</v>
      </c>
      <c r="F130" s="9">
        <v>1.0209999999999999</v>
      </c>
    </row>
    <row r="131" spans="2:6" x14ac:dyDescent="0.3">
      <c r="B131" s="6">
        <v>128</v>
      </c>
      <c r="C131" s="9">
        <v>1.0649999999999999</v>
      </c>
      <c r="D131" s="9">
        <v>1.0549999999999999</v>
      </c>
      <c r="E131" s="9">
        <v>1.054</v>
      </c>
      <c r="F131" s="9">
        <v>1.05</v>
      </c>
    </row>
    <row r="132" spans="2:6" x14ac:dyDescent="0.3">
      <c r="B132" s="6">
        <v>129</v>
      </c>
      <c r="C132" s="9">
        <v>1.1579999999999999</v>
      </c>
      <c r="D132" s="9">
        <v>1.139</v>
      </c>
      <c r="E132" s="9">
        <v>1.139</v>
      </c>
      <c r="F132" s="9">
        <v>1.1259999999999999</v>
      </c>
    </row>
    <row r="133" spans="2:6" x14ac:dyDescent="0.3">
      <c r="B133" s="6">
        <v>130</v>
      </c>
      <c r="C133" s="9">
        <v>1.2969999999999999</v>
      </c>
      <c r="D133" s="9">
        <v>1.2569999999999999</v>
      </c>
      <c r="E133" s="9">
        <v>1.2569999999999999</v>
      </c>
      <c r="F133" s="9">
        <v>1.2390000000000001</v>
      </c>
    </row>
    <row r="134" spans="2:6" x14ac:dyDescent="0.3">
      <c r="B134" s="6">
        <v>131</v>
      </c>
      <c r="C134" s="9">
        <v>1.4990000000000001</v>
      </c>
      <c r="D134" s="9">
        <v>1.423</v>
      </c>
      <c r="E134" s="9">
        <v>1.423</v>
      </c>
      <c r="F134" s="9">
        <v>1.401</v>
      </c>
    </row>
    <row r="135" spans="2:6" x14ac:dyDescent="0.3">
      <c r="B135" s="6">
        <v>132</v>
      </c>
      <c r="C135" s="9">
        <v>1.7549999999999999</v>
      </c>
      <c r="D135" s="9">
        <v>1.631</v>
      </c>
      <c r="E135" s="9">
        <v>1.631</v>
      </c>
      <c r="F135" s="9">
        <v>1.6040000000000001</v>
      </c>
    </row>
    <row r="136" spans="2:6" x14ac:dyDescent="0.3">
      <c r="B136" s="6">
        <v>133</v>
      </c>
      <c r="C136" s="9">
        <v>2.0310000000000001</v>
      </c>
      <c r="D136" s="9">
        <v>1.8540000000000001</v>
      </c>
      <c r="E136" s="9">
        <v>1.853</v>
      </c>
      <c r="F136" s="9">
        <v>1.8220000000000001</v>
      </c>
    </row>
    <row r="137" spans="2:6" x14ac:dyDescent="0.3">
      <c r="B137" s="6">
        <v>134</v>
      </c>
      <c r="C137" s="9">
        <v>2.3130000000000002</v>
      </c>
      <c r="D137" s="9">
        <v>2.089</v>
      </c>
      <c r="E137" s="9">
        <v>2.0880000000000001</v>
      </c>
      <c r="F137" s="9">
        <v>2.048</v>
      </c>
    </row>
    <row r="138" spans="2:6" x14ac:dyDescent="0.3">
      <c r="B138" s="6">
        <v>135</v>
      </c>
      <c r="C138" s="9">
        <v>2.5870000000000002</v>
      </c>
      <c r="D138" s="9">
        <v>2.3359999999999999</v>
      </c>
      <c r="E138" s="9">
        <v>2.3330000000000002</v>
      </c>
      <c r="F138" s="9">
        <v>2.274</v>
      </c>
    </row>
    <row r="139" spans="2:6" x14ac:dyDescent="0.3">
      <c r="B139" s="6">
        <v>136</v>
      </c>
      <c r="C139" s="9">
        <v>2.7040000000000002</v>
      </c>
      <c r="D139" s="9">
        <v>2.407</v>
      </c>
      <c r="E139" s="9">
        <v>2.407</v>
      </c>
      <c r="F139" s="9">
        <v>2.3439999999999999</v>
      </c>
    </row>
    <row r="140" spans="2:6" x14ac:dyDescent="0.3">
      <c r="B140" s="6">
        <v>137</v>
      </c>
      <c r="C140" s="9">
        <v>2.3980000000000001</v>
      </c>
      <c r="D140" s="9">
        <v>2.145</v>
      </c>
      <c r="E140" s="9">
        <v>2.145</v>
      </c>
      <c r="F140" s="9">
        <v>2.09</v>
      </c>
    </row>
    <row r="141" spans="2:6" x14ac:dyDescent="0.3">
      <c r="B141" s="6">
        <v>138</v>
      </c>
      <c r="C141" s="9">
        <v>2.1110000000000002</v>
      </c>
      <c r="D141" s="9">
        <v>1.9079999999999999</v>
      </c>
      <c r="E141" s="9">
        <v>1.9079999999999999</v>
      </c>
      <c r="F141" s="9">
        <v>1.861</v>
      </c>
    </row>
    <row r="142" spans="2:6" x14ac:dyDescent="0.3">
      <c r="B142" s="6">
        <v>139</v>
      </c>
      <c r="C142" s="9">
        <v>1.8360000000000001</v>
      </c>
      <c r="D142" s="9">
        <v>1.6859999999999999</v>
      </c>
      <c r="E142" s="9">
        <v>1.6859999999999999</v>
      </c>
      <c r="F142" s="9">
        <v>1.6439999999999999</v>
      </c>
    </row>
    <row r="143" spans="2:6" x14ac:dyDescent="0.3">
      <c r="B143" s="6">
        <v>140</v>
      </c>
      <c r="C143" s="9">
        <v>1.5840000000000001</v>
      </c>
      <c r="D143" s="9">
        <v>1.484</v>
      </c>
      <c r="E143" s="9">
        <v>1.484</v>
      </c>
      <c r="F143" s="9">
        <v>1.444</v>
      </c>
    </row>
    <row r="144" spans="2:6" x14ac:dyDescent="0.3">
      <c r="B144" s="6">
        <v>141</v>
      </c>
      <c r="C144" s="9">
        <v>1.377</v>
      </c>
      <c r="D144" s="9">
        <v>1.3140000000000001</v>
      </c>
      <c r="E144" s="9">
        <v>1.3140000000000001</v>
      </c>
      <c r="F144" s="9">
        <v>1.28</v>
      </c>
    </row>
    <row r="145" spans="2:6" x14ac:dyDescent="0.3">
      <c r="B145" s="6">
        <v>142</v>
      </c>
      <c r="C145" s="9">
        <v>1.2350000000000001</v>
      </c>
      <c r="D145" s="9">
        <v>1.1970000000000001</v>
      </c>
      <c r="E145" s="9">
        <v>1.1970000000000001</v>
      </c>
      <c r="F145" s="9">
        <v>1.1719999999999999</v>
      </c>
    </row>
    <row r="146" spans="2:6" x14ac:dyDescent="0.3">
      <c r="B146" s="6">
        <v>143</v>
      </c>
      <c r="C146" s="9">
        <v>1.1479999999999999</v>
      </c>
      <c r="D146" s="9">
        <v>1.1259999999999999</v>
      </c>
      <c r="E146" s="9">
        <v>1.125</v>
      </c>
      <c r="F146" s="9">
        <v>1.109</v>
      </c>
    </row>
    <row r="147" spans="2:6" x14ac:dyDescent="0.3">
      <c r="B147" s="6">
        <v>144</v>
      </c>
      <c r="C147" s="9">
        <v>1.1180000000000001</v>
      </c>
      <c r="D147" s="9">
        <v>1.103</v>
      </c>
      <c r="E147" s="9">
        <v>1.1020000000000001</v>
      </c>
      <c r="F147" s="9">
        <v>1.091</v>
      </c>
    </row>
    <row r="148" spans="2:6" x14ac:dyDescent="0.3">
      <c r="B148" s="6">
        <v>145</v>
      </c>
      <c r="C148" s="9">
        <v>1.151</v>
      </c>
      <c r="D148" s="9">
        <v>1.1299999999999999</v>
      </c>
      <c r="E148" s="9">
        <v>1.129</v>
      </c>
      <c r="F148" s="9">
        <v>1.1140000000000001</v>
      </c>
    </row>
    <row r="149" spans="2:6" x14ac:dyDescent="0.3">
      <c r="B149" s="6">
        <v>146</v>
      </c>
      <c r="C149" s="9">
        <v>1.24</v>
      </c>
      <c r="D149" s="9">
        <v>1.206</v>
      </c>
      <c r="E149" s="9">
        <v>1.204</v>
      </c>
      <c r="F149" s="9">
        <v>1.1830000000000001</v>
      </c>
    </row>
    <row r="150" spans="2:6" x14ac:dyDescent="0.3">
      <c r="B150" s="6">
        <v>147</v>
      </c>
      <c r="C150" s="9">
        <v>1.3839999999999999</v>
      </c>
      <c r="D150" s="9">
        <v>1.327</v>
      </c>
      <c r="E150" s="9">
        <v>1.3260000000000001</v>
      </c>
      <c r="F150" s="9">
        <v>1.2989999999999999</v>
      </c>
    </row>
    <row r="151" spans="2:6" x14ac:dyDescent="0.3">
      <c r="B151" s="6">
        <v>148</v>
      </c>
      <c r="C151" s="9">
        <v>1.593</v>
      </c>
      <c r="D151" s="9">
        <v>1.5009999999999999</v>
      </c>
      <c r="E151" s="9">
        <v>1.5</v>
      </c>
      <c r="F151" s="9">
        <v>1.47</v>
      </c>
    </row>
    <row r="152" spans="2:6" x14ac:dyDescent="0.3">
      <c r="B152" s="6">
        <v>149</v>
      </c>
      <c r="C152" s="9">
        <v>1.8460000000000001</v>
      </c>
      <c r="D152" s="9">
        <v>1.7050000000000001</v>
      </c>
      <c r="E152" s="9">
        <v>1.7030000000000001</v>
      </c>
      <c r="F152" s="9">
        <v>1.675</v>
      </c>
    </row>
    <row r="153" spans="2:6" x14ac:dyDescent="0.3">
      <c r="B153" s="6">
        <v>150</v>
      </c>
      <c r="C153" s="9">
        <v>2.1150000000000002</v>
      </c>
      <c r="D153" s="9">
        <v>1.9239999999999999</v>
      </c>
      <c r="E153" s="9">
        <v>1.9219999999999999</v>
      </c>
      <c r="F153" s="9">
        <v>1.891</v>
      </c>
    </row>
    <row r="154" spans="2:6" x14ac:dyDescent="0.3">
      <c r="B154" s="6">
        <v>151</v>
      </c>
      <c r="C154" s="9">
        <v>2.387</v>
      </c>
      <c r="D154" s="9">
        <v>2.1560000000000001</v>
      </c>
      <c r="E154" s="9">
        <v>2.1539999999999999</v>
      </c>
      <c r="F154" s="9">
        <v>2.1120000000000001</v>
      </c>
    </row>
    <row r="155" spans="2:6" x14ac:dyDescent="0.3">
      <c r="B155" s="6">
        <v>152</v>
      </c>
      <c r="C155" s="9">
        <v>2.6640000000000001</v>
      </c>
      <c r="D155" s="9">
        <v>2.411</v>
      </c>
      <c r="E155" s="9">
        <v>2.407</v>
      </c>
      <c r="F155" s="9">
        <v>2.3439999999999999</v>
      </c>
    </row>
    <row r="156" spans="2:6" x14ac:dyDescent="0.3">
      <c r="B156" s="6">
        <v>153</v>
      </c>
      <c r="C156" s="9">
        <v>2.8170000000000002</v>
      </c>
      <c r="D156" s="9">
        <v>2.5179999999999998</v>
      </c>
      <c r="E156" s="9">
        <v>2.5169999999999999</v>
      </c>
      <c r="F156" s="9">
        <v>2.4420000000000002</v>
      </c>
    </row>
    <row r="157" spans="2:6" x14ac:dyDescent="0.3">
      <c r="B157" s="6">
        <v>154</v>
      </c>
      <c r="C157" s="9">
        <v>2.4940000000000002</v>
      </c>
      <c r="D157" s="9">
        <v>2.2309999999999999</v>
      </c>
      <c r="E157" s="9">
        <v>2.2290000000000001</v>
      </c>
      <c r="F157" s="9">
        <v>2.1669999999999998</v>
      </c>
    </row>
    <row r="158" spans="2:6" x14ac:dyDescent="0.3">
      <c r="B158" s="6">
        <v>155</v>
      </c>
      <c r="C158" s="9">
        <v>2.222</v>
      </c>
      <c r="D158" s="9">
        <v>2.0019999999999998</v>
      </c>
      <c r="E158" s="9">
        <v>2.0009999999999999</v>
      </c>
      <c r="F158" s="9">
        <v>1.948</v>
      </c>
    </row>
    <row r="159" spans="2:6" x14ac:dyDescent="0.3">
      <c r="B159" s="6">
        <v>156</v>
      </c>
      <c r="C159" s="9">
        <v>1.9670000000000001</v>
      </c>
      <c r="D159" s="9">
        <v>1.794</v>
      </c>
      <c r="E159" s="9">
        <v>1.7929999999999999</v>
      </c>
      <c r="F159" s="9">
        <v>1.7430000000000001</v>
      </c>
    </row>
    <row r="160" spans="2:6" x14ac:dyDescent="0.3">
      <c r="B160" s="6">
        <v>157</v>
      </c>
      <c r="C160" s="9">
        <v>1.732</v>
      </c>
      <c r="D160" s="9">
        <v>1.605</v>
      </c>
      <c r="E160" s="9">
        <v>1.6040000000000001</v>
      </c>
      <c r="F160" s="9">
        <v>1.5580000000000001</v>
      </c>
    </row>
    <row r="161" spans="2:6" x14ac:dyDescent="0.3">
      <c r="B161" s="6">
        <v>158</v>
      </c>
      <c r="C161" s="9">
        <v>1.528</v>
      </c>
      <c r="D161" s="9">
        <v>1.44</v>
      </c>
      <c r="E161" s="9">
        <v>1.4390000000000001</v>
      </c>
      <c r="F161" s="9">
        <v>1.399</v>
      </c>
    </row>
    <row r="162" spans="2:6" x14ac:dyDescent="0.3">
      <c r="B162" s="6">
        <v>159</v>
      </c>
      <c r="C162" s="9">
        <v>1.375</v>
      </c>
      <c r="D162" s="9">
        <v>1.3160000000000001</v>
      </c>
      <c r="E162" s="9">
        <v>1.3149999999999999</v>
      </c>
      <c r="F162" s="9">
        <v>1.2809999999999999</v>
      </c>
    </row>
    <row r="163" spans="2:6" x14ac:dyDescent="0.3">
      <c r="B163" s="6">
        <v>160</v>
      </c>
      <c r="C163" s="9">
        <v>1.2849999999999999</v>
      </c>
      <c r="D163" s="9">
        <v>1.244</v>
      </c>
      <c r="E163" s="9">
        <v>1.2430000000000001</v>
      </c>
      <c r="F163" s="9">
        <v>1.2170000000000001</v>
      </c>
    </row>
    <row r="164" spans="2:6" x14ac:dyDescent="0.3">
      <c r="B164" s="6">
        <v>161</v>
      </c>
      <c r="C164" s="9">
        <v>1.254</v>
      </c>
      <c r="D164" s="9">
        <v>1.2210000000000001</v>
      </c>
      <c r="E164" s="9">
        <v>1.218</v>
      </c>
      <c r="F164" s="9">
        <v>1.198</v>
      </c>
    </row>
    <row r="165" spans="2:6" x14ac:dyDescent="0.3">
      <c r="B165" s="6">
        <v>162</v>
      </c>
      <c r="C165" s="9">
        <v>1.284</v>
      </c>
      <c r="D165" s="9">
        <v>1.244</v>
      </c>
      <c r="E165" s="9">
        <v>1.242</v>
      </c>
      <c r="F165" s="9">
        <v>1.218</v>
      </c>
    </row>
    <row r="166" spans="2:6" x14ac:dyDescent="0.3">
      <c r="B166" s="6">
        <v>163</v>
      </c>
      <c r="C166" s="9">
        <v>1.3720000000000001</v>
      </c>
      <c r="D166" s="9">
        <v>1.3169999999999999</v>
      </c>
      <c r="E166" s="9">
        <v>1.3149999999999999</v>
      </c>
      <c r="F166" s="9">
        <v>1.284</v>
      </c>
    </row>
    <row r="167" spans="2:6" x14ac:dyDescent="0.3">
      <c r="B167" s="6">
        <v>164</v>
      </c>
      <c r="C167" s="9">
        <v>1.522</v>
      </c>
      <c r="D167" s="9">
        <v>1.4410000000000001</v>
      </c>
      <c r="E167" s="9">
        <v>1.4390000000000001</v>
      </c>
      <c r="F167" s="9">
        <v>1.4039999999999999</v>
      </c>
    </row>
    <row r="168" spans="2:6" x14ac:dyDescent="0.3">
      <c r="B168" s="6">
        <v>165</v>
      </c>
      <c r="C168" s="9">
        <v>1.726</v>
      </c>
      <c r="D168" s="9">
        <v>1.609</v>
      </c>
      <c r="E168" s="9">
        <v>1.607</v>
      </c>
      <c r="F168" s="9">
        <v>1.569</v>
      </c>
    </row>
    <row r="169" spans="2:6" x14ac:dyDescent="0.3">
      <c r="B169" s="6">
        <v>166</v>
      </c>
      <c r="C169" s="9">
        <v>1.9670000000000001</v>
      </c>
      <c r="D169" s="9">
        <v>1.8049999999999999</v>
      </c>
      <c r="E169" s="9">
        <v>1.802</v>
      </c>
      <c r="F169" s="9">
        <v>1.766</v>
      </c>
    </row>
    <row r="170" spans="2:6" x14ac:dyDescent="0.3">
      <c r="B170" s="6">
        <v>167</v>
      </c>
      <c r="C170" s="9">
        <v>2.2269999999999999</v>
      </c>
      <c r="D170" s="9">
        <v>2.02</v>
      </c>
      <c r="E170" s="9">
        <v>2.0169999999999999</v>
      </c>
      <c r="F170" s="9">
        <v>1.978</v>
      </c>
    </row>
    <row r="171" spans="2:6" x14ac:dyDescent="0.3">
      <c r="B171" s="6">
        <v>168</v>
      </c>
      <c r="C171" s="9">
        <v>2.492</v>
      </c>
      <c r="D171" s="9">
        <v>2.2509999999999999</v>
      </c>
      <c r="E171" s="9">
        <v>2.2469999999999999</v>
      </c>
      <c r="F171" s="9">
        <v>2.1970000000000001</v>
      </c>
    </row>
    <row r="172" spans="2:6" x14ac:dyDescent="0.3">
      <c r="B172" s="6">
        <v>169</v>
      </c>
      <c r="C172" s="9">
        <v>2.8010000000000002</v>
      </c>
      <c r="D172" s="9">
        <v>2.5390000000000001</v>
      </c>
      <c r="E172" s="9">
        <v>2.5339999999999998</v>
      </c>
      <c r="F172" s="9">
        <v>2.4689999999999999</v>
      </c>
    </row>
    <row r="173" spans="2:6" x14ac:dyDescent="0.3">
      <c r="B173" s="6">
        <v>170</v>
      </c>
      <c r="C173" s="9">
        <v>3.0289999999999999</v>
      </c>
      <c r="D173" s="9">
        <v>2.71</v>
      </c>
      <c r="E173" s="9">
        <v>2.7080000000000002</v>
      </c>
      <c r="F173" s="9">
        <v>2.6230000000000002</v>
      </c>
    </row>
    <row r="174" spans="2:6" x14ac:dyDescent="0.3">
      <c r="B174" s="6">
        <v>171</v>
      </c>
      <c r="C174" s="9">
        <v>2.6469999999999998</v>
      </c>
      <c r="D174" s="9">
        <v>2.3719999999999999</v>
      </c>
      <c r="E174" s="9">
        <v>2.37</v>
      </c>
      <c r="F174" s="9">
        <v>2.298</v>
      </c>
    </row>
    <row r="175" spans="2:6" x14ac:dyDescent="0.3">
      <c r="B175" s="6">
        <v>172</v>
      </c>
      <c r="C175" s="9">
        <v>2.37</v>
      </c>
      <c r="D175" s="9">
        <v>2.1309999999999998</v>
      </c>
      <c r="E175" s="9">
        <v>2.129</v>
      </c>
      <c r="F175" s="9">
        <v>2.0670000000000002</v>
      </c>
    </row>
    <row r="176" spans="2:6" x14ac:dyDescent="0.3">
      <c r="B176" s="6">
        <v>173</v>
      </c>
      <c r="C176" s="9">
        <v>2.1339999999999999</v>
      </c>
      <c r="D176" s="9">
        <v>1.9319999999999999</v>
      </c>
      <c r="E176" s="9">
        <v>1.931</v>
      </c>
      <c r="F176" s="9">
        <v>1.8740000000000001</v>
      </c>
    </row>
    <row r="177" spans="2:6" x14ac:dyDescent="0.3">
      <c r="B177" s="6">
        <v>174</v>
      </c>
      <c r="C177" s="9">
        <v>1.915</v>
      </c>
      <c r="D177" s="9">
        <v>1.754</v>
      </c>
      <c r="E177" s="9">
        <v>1.754</v>
      </c>
      <c r="F177" s="9">
        <v>1.7</v>
      </c>
    </row>
    <row r="178" spans="2:6" x14ac:dyDescent="0.3">
      <c r="B178" s="6">
        <v>175</v>
      </c>
      <c r="C178" s="9">
        <v>1.7290000000000001</v>
      </c>
      <c r="D178" s="9">
        <v>1.6060000000000001</v>
      </c>
      <c r="E178" s="9">
        <v>1.605</v>
      </c>
      <c r="F178" s="9">
        <v>1.5569999999999999</v>
      </c>
    </row>
    <row r="179" spans="2:6" x14ac:dyDescent="0.3">
      <c r="B179" s="6">
        <v>176</v>
      </c>
      <c r="C179" s="9">
        <v>1.581</v>
      </c>
      <c r="D179" s="9">
        <v>1.4890000000000001</v>
      </c>
      <c r="E179" s="9">
        <v>1.4870000000000001</v>
      </c>
      <c r="F179" s="9">
        <v>1.4470000000000001</v>
      </c>
    </row>
    <row r="180" spans="2:6" x14ac:dyDescent="0.3">
      <c r="B180" s="6">
        <v>177</v>
      </c>
      <c r="C180" s="9">
        <v>1.488</v>
      </c>
      <c r="D180" s="9">
        <v>1.415</v>
      </c>
      <c r="E180" s="9">
        <v>1.4119999999999999</v>
      </c>
      <c r="F180" s="9">
        <v>1.379</v>
      </c>
    </row>
    <row r="181" spans="2:6" x14ac:dyDescent="0.3">
      <c r="B181" s="6">
        <v>178</v>
      </c>
      <c r="C181" s="9">
        <v>1.456</v>
      </c>
      <c r="D181" s="9">
        <v>1.389</v>
      </c>
      <c r="E181" s="9">
        <v>1.3859999999999999</v>
      </c>
      <c r="F181" s="9">
        <v>1.3580000000000001</v>
      </c>
    </row>
    <row r="182" spans="2:6" x14ac:dyDescent="0.3">
      <c r="B182" s="6">
        <v>179</v>
      </c>
      <c r="C182" s="9">
        <v>1.4850000000000001</v>
      </c>
      <c r="D182" s="9">
        <v>1.4139999999999999</v>
      </c>
      <c r="E182" s="9">
        <v>1.411</v>
      </c>
      <c r="F182" s="9">
        <v>1.38</v>
      </c>
    </row>
    <row r="183" spans="2:6" x14ac:dyDescent="0.3">
      <c r="B183" s="6">
        <v>180</v>
      </c>
      <c r="C183" s="9">
        <v>1.5780000000000001</v>
      </c>
      <c r="D183" s="9">
        <v>1.49</v>
      </c>
      <c r="E183" s="9">
        <v>1.488</v>
      </c>
      <c r="F183" s="9">
        <v>1.45</v>
      </c>
    </row>
    <row r="184" spans="2:6" x14ac:dyDescent="0.3">
      <c r="B184" s="6">
        <v>181</v>
      </c>
      <c r="C184" s="9">
        <v>1.724</v>
      </c>
      <c r="D184" s="9">
        <v>1.61</v>
      </c>
      <c r="E184" s="9">
        <v>1.607</v>
      </c>
      <c r="F184" s="9">
        <v>1.5649999999999999</v>
      </c>
    </row>
    <row r="185" spans="2:6" x14ac:dyDescent="0.3">
      <c r="B185" s="6">
        <v>182</v>
      </c>
      <c r="C185" s="9">
        <v>1.909</v>
      </c>
      <c r="D185" s="9">
        <v>1.76</v>
      </c>
      <c r="E185" s="9">
        <v>1.7569999999999999</v>
      </c>
      <c r="F185" s="9">
        <v>1.716</v>
      </c>
    </row>
    <row r="186" spans="2:6" x14ac:dyDescent="0.3">
      <c r="B186" s="6">
        <v>183</v>
      </c>
      <c r="C186" s="9">
        <v>2.1320000000000001</v>
      </c>
      <c r="D186" s="9">
        <v>1.9430000000000001</v>
      </c>
      <c r="E186" s="9">
        <v>1.9390000000000001</v>
      </c>
      <c r="F186" s="9">
        <v>1.8979999999999999</v>
      </c>
    </row>
    <row r="187" spans="2:6" x14ac:dyDescent="0.3">
      <c r="B187" s="6">
        <v>184</v>
      </c>
      <c r="C187" s="9">
        <v>2.367</v>
      </c>
      <c r="D187" s="9">
        <v>2.1419999999999999</v>
      </c>
      <c r="E187" s="9">
        <v>2.1389999999999998</v>
      </c>
      <c r="F187" s="9">
        <v>2.09</v>
      </c>
    </row>
    <row r="188" spans="2:6" x14ac:dyDescent="0.3">
      <c r="B188" s="6">
        <v>185</v>
      </c>
      <c r="C188" s="9">
        <v>2.64</v>
      </c>
      <c r="D188" s="9">
        <v>2.387</v>
      </c>
      <c r="E188" s="9">
        <v>2.383</v>
      </c>
      <c r="F188" s="9">
        <v>2.3220000000000001</v>
      </c>
    </row>
    <row r="189" spans="2:6" x14ac:dyDescent="0.3">
      <c r="B189" s="6">
        <v>186</v>
      </c>
      <c r="C189" s="9">
        <v>2.9950000000000001</v>
      </c>
      <c r="D189" s="9">
        <v>2.7229999999999999</v>
      </c>
      <c r="E189" s="9">
        <v>2.7170000000000001</v>
      </c>
      <c r="F189" s="9">
        <v>2.633</v>
      </c>
    </row>
    <row r="190" spans="2:6" x14ac:dyDescent="0.3">
      <c r="B190" s="6">
        <v>187</v>
      </c>
      <c r="C190" s="9">
        <v>3.2450000000000001</v>
      </c>
      <c r="D190" s="9">
        <v>2.9209999999999998</v>
      </c>
      <c r="E190" s="9">
        <v>2.9180000000000001</v>
      </c>
      <c r="F190" s="9">
        <v>2.8140000000000001</v>
      </c>
    </row>
    <row r="191" spans="2:6" x14ac:dyDescent="0.3">
      <c r="B191" s="6">
        <v>188</v>
      </c>
      <c r="C191" s="9">
        <v>2.8740000000000001</v>
      </c>
      <c r="D191" s="9">
        <v>2.58</v>
      </c>
      <c r="E191" s="9">
        <v>2.5779999999999998</v>
      </c>
      <c r="F191" s="9">
        <v>2.4940000000000002</v>
      </c>
    </row>
    <row r="192" spans="2:6" x14ac:dyDescent="0.3">
      <c r="B192" s="6">
        <v>189</v>
      </c>
      <c r="C192" s="9">
        <v>2.556</v>
      </c>
      <c r="D192" s="9">
        <v>2.2999999999999998</v>
      </c>
      <c r="E192" s="9">
        <v>2.298</v>
      </c>
      <c r="F192" s="9">
        <v>2.2269999999999999</v>
      </c>
    </row>
    <row r="193" spans="2:6" x14ac:dyDescent="0.3">
      <c r="B193" s="6">
        <v>190</v>
      </c>
      <c r="C193" s="9">
        <v>2.3359999999999999</v>
      </c>
      <c r="D193" s="9">
        <v>2.1070000000000002</v>
      </c>
      <c r="E193" s="9">
        <v>2.105</v>
      </c>
      <c r="F193" s="9">
        <v>2.0390000000000001</v>
      </c>
    </row>
    <row r="194" spans="2:6" x14ac:dyDescent="0.3">
      <c r="B194" s="6">
        <v>191</v>
      </c>
      <c r="C194" s="9">
        <v>2.1339999999999999</v>
      </c>
      <c r="D194" s="9">
        <v>1.9390000000000001</v>
      </c>
      <c r="E194" s="9">
        <v>1.9379999999999999</v>
      </c>
      <c r="F194" s="9">
        <v>1.8759999999999999</v>
      </c>
    </row>
    <row r="195" spans="2:6" x14ac:dyDescent="0.3">
      <c r="B195" s="6">
        <v>192</v>
      </c>
      <c r="C195" s="9">
        <v>1.96</v>
      </c>
      <c r="D195" s="9">
        <v>1.7969999999999999</v>
      </c>
      <c r="E195" s="9">
        <v>1.796</v>
      </c>
      <c r="F195" s="9">
        <v>1.7390000000000001</v>
      </c>
    </row>
    <row r="196" spans="2:6" x14ac:dyDescent="0.3">
      <c r="B196" s="6">
        <v>193</v>
      </c>
      <c r="C196" s="9">
        <v>1.827</v>
      </c>
      <c r="D196" s="9">
        <v>1.6919999999999999</v>
      </c>
      <c r="E196" s="9">
        <v>1.69</v>
      </c>
      <c r="F196" s="9">
        <v>1.64</v>
      </c>
    </row>
    <row r="197" spans="2:6" x14ac:dyDescent="0.3">
      <c r="B197" s="6">
        <v>194</v>
      </c>
      <c r="C197" s="9">
        <v>1.744</v>
      </c>
      <c r="D197" s="9">
        <v>1.6259999999999999</v>
      </c>
      <c r="E197" s="9">
        <v>1.6240000000000001</v>
      </c>
      <c r="F197" s="9">
        <v>1.5820000000000001</v>
      </c>
    </row>
    <row r="198" spans="2:6" x14ac:dyDescent="0.3">
      <c r="B198" s="6">
        <v>195</v>
      </c>
      <c r="C198" s="9">
        <v>1.72</v>
      </c>
      <c r="D198" s="9">
        <v>1.607</v>
      </c>
      <c r="E198" s="9">
        <v>1.6040000000000001</v>
      </c>
      <c r="F198" s="9">
        <v>1.5660000000000001</v>
      </c>
    </row>
    <row r="199" spans="2:6" x14ac:dyDescent="0.3">
      <c r="B199" s="6">
        <v>196</v>
      </c>
      <c r="C199" s="9">
        <v>1.75</v>
      </c>
      <c r="D199" s="9">
        <v>1.6319999999999999</v>
      </c>
      <c r="E199" s="9">
        <v>1.629</v>
      </c>
      <c r="F199" s="9">
        <v>1.59</v>
      </c>
    </row>
    <row r="200" spans="2:6" x14ac:dyDescent="0.3">
      <c r="B200" s="6">
        <v>197</v>
      </c>
      <c r="C200" s="9">
        <v>1.837</v>
      </c>
      <c r="D200" s="9">
        <v>1.706</v>
      </c>
      <c r="E200" s="9">
        <v>1.7030000000000001</v>
      </c>
      <c r="F200" s="9">
        <v>1.6579999999999999</v>
      </c>
    </row>
    <row r="201" spans="2:6" x14ac:dyDescent="0.3">
      <c r="B201" s="6">
        <v>198</v>
      </c>
      <c r="C201" s="9">
        <v>1.968</v>
      </c>
      <c r="D201" s="9">
        <v>1.8120000000000001</v>
      </c>
      <c r="E201" s="9">
        <v>1.8089999999999999</v>
      </c>
      <c r="F201" s="9">
        <v>1.762</v>
      </c>
    </row>
    <row r="202" spans="2:6" x14ac:dyDescent="0.3">
      <c r="B202" s="6">
        <v>199</v>
      </c>
      <c r="C202" s="9">
        <v>2.137</v>
      </c>
      <c r="D202" s="9">
        <v>1.9510000000000001</v>
      </c>
      <c r="E202" s="9">
        <v>1.948</v>
      </c>
      <c r="F202" s="9">
        <v>1.9</v>
      </c>
    </row>
    <row r="203" spans="2:6" x14ac:dyDescent="0.3">
      <c r="B203" s="6">
        <v>200</v>
      </c>
      <c r="C203" s="9">
        <v>2.3319999999999999</v>
      </c>
      <c r="D203" s="9">
        <v>2.1150000000000002</v>
      </c>
      <c r="E203" s="9">
        <v>2.1110000000000002</v>
      </c>
      <c r="F203" s="9">
        <v>2.0590000000000002</v>
      </c>
    </row>
    <row r="204" spans="2:6" x14ac:dyDescent="0.3">
      <c r="B204" s="6">
        <v>201</v>
      </c>
      <c r="C204" s="9">
        <v>2.5470000000000002</v>
      </c>
      <c r="D204" s="9">
        <v>2.3010000000000002</v>
      </c>
      <c r="E204" s="9">
        <v>2.2970000000000002</v>
      </c>
      <c r="F204" s="9">
        <v>2.2400000000000002</v>
      </c>
    </row>
    <row r="205" spans="2:6" x14ac:dyDescent="0.3">
      <c r="B205" s="6">
        <v>202</v>
      </c>
      <c r="C205" s="9">
        <v>2.8479999999999999</v>
      </c>
      <c r="D205" s="9">
        <v>2.577</v>
      </c>
      <c r="E205" s="9">
        <v>2.5710000000000002</v>
      </c>
      <c r="F205" s="9">
        <v>2.4950000000000001</v>
      </c>
    </row>
    <row r="206" spans="2:6" x14ac:dyDescent="0.3">
      <c r="B206" s="6">
        <v>203</v>
      </c>
      <c r="C206" s="9">
        <v>3.1709999999999998</v>
      </c>
      <c r="D206" s="9">
        <v>2.8919999999999999</v>
      </c>
      <c r="E206" s="9">
        <v>2.8849999999999998</v>
      </c>
      <c r="F206" s="9">
        <v>2.7770000000000001</v>
      </c>
    </row>
    <row r="207" spans="2:6" x14ac:dyDescent="0.3">
      <c r="B207" s="6">
        <v>204</v>
      </c>
      <c r="C207" s="9">
        <v>3.39</v>
      </c>
      <c r="D207" s="9">
        <v>3.0950000000000002</v>
      </c>
      <c r="E207" s="9">
        <v>3.0910000000000002</v>
      </c>
      <c r="F207" s="9">
        <v>2.97</v>
      </c>
    </row>
    <row r="208" spans="2:6" x14ac:dyDescent="0.3">
      <c r="B208" s="6">
        <v>205</v>
      </c>
      <c r="C208" s="9">
        <v>3.1339999999999999</v>
      </c>
      <c r="D208" s="9">
        <v>2.8410000000000002</v>
      </c>
      <c r="E208" s="9">
        <v>2.8380000000000001</v>
      </c>
      <c r="F208" s="9">
        <v>2.7360000000000002</v>
      </c>
    </row>
    <row r="209" spans="1:89" x14ac:dyDescent="0.3">
      <c r="B209" s="6">
        <v>206</v>
      </c>
      <c r="C209" s="9">
        <v>2.8170000000000002</v>
      </c>
      <c r="D209" s="9">
        <v>2.552</v>
      </c>
      <c r="E209" s="9">
        <v>2.5489999999999999</v>
      </c>
      <c r="F209" s="9">
        <v>2.4660000000000002</v>
      </c>
    </row>
    <row r="210" spans="1:89" x14ac:dyDescent="0.3">
      <c r="B210" s="6">
        <v>207</v>
      </c>
      <c r="C210" s="9">
        <v>2.5619999999999998</v>
      </c>
      <c r="D210" s="9">
        <v>2.3210000000000002</v>
      </c>
      <c r="E210" s="9">
        <v>2.3199999999999998</v>
      </c>
      <c r="F210" s="9">
        <v>2.2450000000000001</v>
      </c>
    </row>
    <row r="211" spans="1:89" x14ac:dyDescent="0.3">
      <c r="B211" s="6">
        <v>208</v>
      </c>
      <c r="C211" s="9">
        <v>2.387</v>
      </c>
      <c r="D211" s="9">
        <v>2.1680000000000001</v>
      </c>
      <c r="E211" s="9">
        <v>2.1659999999999999</v>
      </c>
      <c r="F211" s="9">
        <v>2.0939999999999999</v>
      </c>
    </row>
    <row r="212" spans="1:89" x14ac:dyDescent="0.3">
      <c r="B212" s="6">
        <v>209</v>
      </c>
      <c r="C212" s="9">
        <v>2.226</v>
      </c>
      <c r="D212" s="9">
        <v>2.0310000000000001</v>
      </c>
      <c r="E212" s="9">
        <v>2.0289999999999999</v>
      </c>
      <c r="F212" s="9">
        <v>1.96</v>
      </c>
    </row>
    <row r="213" spans="1:89" x14ac:dyDescent="0.3">
      <c r="B213" s="6">
        <v>210</v>
      </c>
      <c r="C213" s="9">
        <v>2.1</v>
      </c>
      <c r="D213" s="9">
        <v>1.9259999999999999</v>
      </c>
      <c r="E213" s="9">
        <v>1.9239999999999999</v>
      </c>
      <c r="F213" s="9">
        <v>1.8620000000000001</v>
      </c>
    </row>
    <row r="214" spans="1:89" x14ac:dyDescent="0.3">
      <c r="B214" s="6">
        <v>211</v>
      </c>
      <c r="C214" s="9">
        <v>2.0270000000000001</v>
      </c>
      <c r="D214" s="9">
        <v>1.865</v>
      </c>
      <c r="E214" s="9">
        <v>1.8620000000000001</v>
      </c>
      <c r="F214" s="9">
        <v>1.8049999999999999</v>
      </c>
    </row>
    <row r="215" spans="1:89" x14ac:dyDescent="0.3">
      <c r="B215" s="6">
        <v>212</v>
      </c>
      <c r="C215" s="9">
        <v>2.008</v>
      </c>
      <c r="D215" s="9">
        <v>1.85</v>
      </c>
      <c r="E215" s="9">
        <v>1.847</v>
      </c>
      <c r="F215" s="9">
        <v>1.792</v>
      </c>
    </row>
    <row r="216" spans="1:89" x14ac:dyDescent="0.3">
      <c r="B216" s="6">
        <v>213</v>
      </c>
      <c r="C216" s="9">
        <v>2.0369999999999999</v>
      </c>
      <c r="D216" s="9">
        <v>1.877</v>
      </c>
      <c r="E216" s="9">
        <v>1.8740000000000001</v>
      </c>
      <c r="F216" s="9">
        <v>1.821</v>
      </c>
    </row>
    <row r="217" spans="1:89" x14ac:dyDescent="0.3">
      <c r="B217" s="6">
        <v>214</v>
      </c>
      <c r="C217" s="9">
        <v>2.125</v>
      </c>
      <c r="D217" s="9">
        <v>1.948</v>
      </c>
      <c r="E217" s="9">
        <v>1.946</v>
      </c>
      <c r="F217" s="9">
        <v>1.8959999999999999</v>
      </c>
    </row>
    <row r="218" spans="1:89" x14ac:dyDescent="0.3">
      <c r="B218" s="6">
        <v>215</v>
      </c>
      <c r="C218" s="9">
        <v>2.2490000000000001</v>
      </c>
      <c r="D218" s="9">
        <v>2.056</v>
      </c>
      <c r="E218" s="9">
        <v>2.0529999999999999</v>
      </c>
      <c r="F218" s="9">
        <v>1.9990000000000001</v>
      </c>
    </row>
    <row r="219" spans="1:89" x14ac:dyDescent="0.3">
      <c r="B219" s="6">
        <v>216</v>
      </c>
      <c r="C219" s="9">
        <v>2.3959999999999999</v>
      </c>
      <c r="D219" s="9">
        <v>2.1869999999999998</v>
      </c>
      <c r="E219" s="9">
        <v>2.1840000000000002</v>
      </c>
      <c r="F219" s="9">
        <v>2.125</v>
      </c>
    </row>
    <row r="220" spans="1:89" x14ac:dyDescent="0.3">
      <c r="B220" s="6">
        <v>217</v>
      </c>
      <c r="C220" s="9">
        <v>2.5640000000000001</v>
      </c>
      <c r="D220" s="9">
        <v>2.3330000000000002</v>
      </c>
      <c r="E220" s="9">
        <v>2.3290000000000002</v>
      </c>
      <c r="F220" s="9">
        <v>2.262</v>
      </c>
    </row>
    <row r="221" spans="1:89" x14ac:dyDescent="0.3">
      <c r="B221" s="6">
        <v>218</v>
      </c>
      <c r="C221" s="9">
        <v>2.8</v>
      </c>
      <c r="D221" s="9">
        <v>2.548</v>
      </c>
      <c r="E221" s="9">
        <v>2.5430000000000001</v>
      </c>
      <c r="F221" s="9">
        <v>2.4670000000000001</v>
      </c>
    </row>
    <row r="222" spans="1:89" x14ac:dyDescent="0.3">
      <c r="B222" s="6">
        <v>219</v>
      </c>
      <c r="C222" s="9">
        <v>3.07</v>
      </c>
      <c r="D222" s="9">
        <v>2.7949999999999999</v>
      </c>
      <c r="E222" s="9">
        <v>2.7890000000000001</v>
      </c>
      <c r="F222" s="9">
        <v>2.6949999999999998</v>
      </c>
    </row>
    <row r="223" spans="1:89" x14ac:dyDescent="0.3">
      <c r="B223" s="6">
        <v>220</v>
      </c>
      <c r="C223" s="9">
        <v>3.27</v>
      </c>
      <c r="D223" s="9">
        <v>2.99</v>
      </c>
      <c r="E223" s="9">
        <v>2.984</v>
      </c>
      <c r="F223" s="9">
        <v>2.8580000000000001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3FF5-3D64-40BC-B115-1C5DDC068EA6}">
  <sheetPr codeName="工作表10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817.38</v>
      </c>
      <c r="J2" s="2">
        <f ca="1">goldenOTP_check!J2*J58</f>
        <v>945</v>
      </c>
      <c r="K2" s="2">
        <f ca="1">goldenOTP_check!K2*K58</f>
        <v>1070.509</v>
      </c>
      <c r="L2" s="2">
        <f ca="1">goldenOTP_check!L2*L58</f>
        <v>1104.6600000000001</v>
      </c>
      <c r="M2" s="2">
        <f ca="1">goldenOTP_check!M2*M58</f>
        <v>1140.768</v>
      </c>
      <c r="N2" s="2">
        <f ca="1">goldenOTP_check!N2*N58</f>
        <v>1138.395</v>
      </c>
      <c r="O2" s="2">
        <f ca="1">goldenOTP_check!O2*O58</f>
        <v>1161.8399999999999</v>
      </c>
      <c r="P2" s="2">
        <f ca="1">goldenOTP_check!P2*P58</f>
        <v>1204.28</v>
      </c>
      <c r="Q2" s="2">
        <f ca="1">goldenOTP_check!Q2*Q58</f>
        <v>1182.21</v>
      </c>
      <c r="R2" s="2">
        <f ca="1">goldenOTP_check!R2*R58</f>
        <v>1210.3519999999999</v>
      </c>
      <c r="S2" s="2">
        <f ca="1">goldenOTP_check!S2*S58</f>
        <v>1203.0719999999999</v>
      </c>
      <c r="T2" s="2">
        <f ca="1">goldenOTP_check!T2*T58</f>
        <v>1196.0520000000001</v>
      </c>
      <c r="U2" s="2">
        <f ca="1">goldenOTP_check!U2*U58</f>
        <v>1160.3519999999999</v>
      </c>
      <c r="V2" s="2">
        <f ca="1">goldenOTP_check!V2*V58</f>
        <v>1121.2659999999998</v>
      </c>
      <c r="W2" s="2">
        <f ca="1">goldenOTP_check!W2*W58</f>
        <v>1090.797</v>
      </c>
      <c r="X2" s="2">
        <f ca="1">goldenOTP_check!X2*X58</f>
        <v>983.33999999999992</v>
      </c>
      <c r="Y2" s="3">
        <f ca="1">goldenOTP_check!Y2*Y58</f>
        <v>884.53899999999999</v>
      </c>
      <c r="BA2"/>
      <c r="BB2"/>
      <c r="BC2"/>
      <c r="BD2"/>
    </row>
    <row r="3" spans="2:56" x14ac:dyDescent="0.3">
      <c r="B3" s="8">
        <v>0</v>
      </c>
      <c r="C3" s="9">
        <v>3.42</v>
      </c>
      <c r="D3" s="9">
        <v>3.0939999999999999</v>
      </c>
      <c r="E3" s="9">
        <v>3.0950000000000002</v>
      </c>
      <c r="F3" s="9">
        <v>2.9529999999999998</v>
      </c>
      <c r="H3" t="s">
        <v>6</v>
      </c>
      <c r="I3" s="2">
        <f ca="1">goldenOTP_check!I3*I59</f>
        <v>978.21</v>
      </c>
      <c r="J3" s="2">
        <f ca="1">goldenOTP_check!J3*J59</f>
        <v>1090.48</v>
      </c>
      <c r="K3" s="2">
        <f ca="1">goldenOTP_check!K3*K59</f>
        <v>1131.135</v>
      </c>
      <c r="L3" s="2">
        <f ca="1">goldenOTP_check!L3*L59</f>
        <v>1170.441</v>
      </c>
      <c r="M3" s="2">
        <f ca="1">goldenOTP_check!M3*M59</f>
        <v>1180.6400000000001</v>
      </c>
      <c r="N3" s="2">
        <f ca="1">goldenOTP_check!N3*N59</f>
        <v>1211.9389999999999</v>
      </c>
      <c r="O3" s="2">
        <f ca="1">goldenOTP_check!O3*O59</f>
        <v>1193.9880000000001</v>
      </c>
      <c r="P3" s="2">
        <f ca="1">goldenOTP_check!P3*P59</f>
        <v>1205.3999999999999</v>
      </c>
      <c r="Q3" s="2">
        <f ca="1">goldenOTP_check!Q3*Q59</f>
        <v>1207.336</v>
      </c>
      <c r="R3" s="2">
        <f ca="1">goldenOTP_check!R3*R59</f>
        <v>1213.1999999999998</v>
      </c>
      <c r="S3" s="2">
        <f ca="1">goldenOTP_check!S3*S59</f>
        <v>1233.2159999999999</v>
      </c>
      <c r="T3" s="2">
        <f ca="1">goldenOTP_check!T3*T59</f>
        <v>1229.396</v>
      </c>
      <c r="U3" s="2">
        <f ca="1">goldenOTP_check!U3*U59</f>
        <v>1203.67</v>
      </c>
      <c r="V3" s="2">
        <f ca="1">goldenOTP_check!V3*V59</f>
        <v>1194.5519999999999</v>
      </c>
      <c r="W3" s="2">
        <f ca="1">goldenOTP_check!W3*W59</f>
        <v>1150.845</v>
      </c>
      <c r="X3" s="2">
        <f ca="1">goldenOTP_check!X3*X59</f>
        <v>1112.0360000000001</v>
      </c>
      <c r="Y3" s="2">
        <f ca="1">goldenOTP_check!Y3*Y59</f>
        <v>958.54499999999996</v>
      </c>
      <c r="BA3"/>
      <c r="BB3"/>
      <c r="BC3"/>
      <c r="BD3"/>
    </row>
    <row r="4" spans="2:56" x14ac:dyDescent="0.3">
      <c r="B4" s="6">
        <v>1</v>
      </c>
      <c r="C4" s="9">
        <v>3.5</v>
      </c>
      <c r="D4" s="9">
        <v>3.1150000000000002</v>
      </c>
      <c r="E4" s="9">
        <v>3.1160000000000001</v>
      </c>
      <c r="F4" s="9">
        <v>2.9470000000000001</v>
      </c>
      <c r="I4" s="2">
        <f ca="1">goldenOTP_check!I4*I60</f>
        <v>1050.0899999999999</v>
      </c>
      <c r="J4" s="2">
        <f ca="1">goldenOTP_check!J4*J60</f>
        <v>1138.778</v>
      </c>
      <c r="K4" s="2">
        <f ca="1">goldenOTP_check!K4*K60</f>
        <v>1165.96</v>
      </c>
      <c r="L4" s="2">
        <f ca="1">goldenOTP_check!L4*L60</f>
        <v>1185.3399999999999</v>
      </c>
      <c r="M4" s="2">
        <f ca="1">goldenOTP_check!M4*M60</f>
        <v>1206.971</v>
      </c>
      <c r="N4" s="2">
        <f ca="1">goldenOTP_check!N4*N60</f>
        <v>1211.002</v>
      </c>
      <c r="O4" s="2">
        <f ca="1">goldenOTP_check!O4*O60</f>
        <v>1200.6400000000001</v>
      </c>
      <c r="P4" s="2">
        <f ca="1">goldenOTP_check!P4*P60</f>
        <v>1179.02</v>
      </c>
      <c r="Q4" s="2">
        <f ca="1">goldenOTP_check!Q4*Q60</f>
        <v>1169.4269999999999</v>
      </c>
      <c r="R4" s="2">
        <f ca="1">goldenOTP_check!R4*R60</f>
        <v>1183.962</v>
      </c>
      <c r="S4" s="2">
        <f ca="1">goldenOTP_check!S4*S60</f>
        <v>1208.68</v>
      </c>
      <c r="T4" s="2">
        <f ca="1">goldenOTP_check!T4*T60</f>
        <v>1223.8330000000001</v>
      </c>
      <c r="U4" s="2">
        <f ca="1">goldenOTP_check!U4*U60</f>
        <v>1226.4469999999999</v>
      </c>
      <c r="V4" s="2">
        <f ca="1">goldenOTP_check!V4*V60</f>
        <v>1209.78</v>
      </c>
      <c r="W4" s="2">
        <f ca="1">goldenOTP_check!W4*W60</f>
        <v>1191.0920000000001</v>
      </c>
      <c r="X4" s="2">
        <f ca="1">goldenOTP_check!X4*X60</f>
        <v>1157.4870000000001</v>
      </c>
      <c r="Y4" s="2">
        <f ca="1">goldenOTP_check!Y4*Y60</f>
        <v>1071.26</v>
      </c>
      <c r="BA4"/>
      <c r="BB4"/>
      <c r="BC4"/>
      <c r="BD4"/>
    </row>
    <row r="5" spans="2:56" x14ac:dyDescent="0.3">
      <c r="B5" s="6">
        <v>2</v>
      </c>
      <c r="C5" s="9">
        <v>3.3769999999999998</v>
      </c>
      <c r="D5" s="9">
        <v>2.9860000000000002</v>
      </c>
      <c r="E5" s="9">
        <v>2.99</v>
      </c>
      <c r="F5" s="9">
        <v>2.8330000000000002</v>
      </c>
      <c r="I5" s="2">
        <f ca="1">goldenOTP_check!I5*I61</f>
        <v>1089.2659999999998</v>
      </c>
      <c r="J5" s="2">
        <f ca="1">goldenOTP_check!J5*J61</f>
        <v>1127.624</v>
      </c>
      <c r="K5" s="2">
        <f ca="1">goldenOTP_check!K5*K61</f>
        <v>1170.693</v>
      </c>
      <c r="L5" s="2">
        <f ca="1">goldenOTP_check!L5*L61</f>
        <v>1214.5839999999998</v>
      </c>
      <c r="M5" s="2">
        <f ca="1">goldenOTP_check!M5*M61</f>
        <v>1212.835</v>
      </c>
      <c r="N5" s="2">
        <f ca="1">goldenOTP_check!N5*N61</f>
        <v>1195.068</v>
      </c>
      <c r="O5" s="2">
        <f ca="1">goldenOTP_check!O5*O61</f>
        <v>1161.28</v>
      </c>
      <c r="P5" s="2">
        <f ca="1">goldenOTP_check!P5*P61</f>
        <v>1131.345</v>
      </c>
      <c r="Q5" s="2">
        <f ca="1">goldenOTP_check!Q5*Q61</f>
        <v>1129.7549999999999</v>
      </c>
      <c r="R5" s="2">
        <f ca="1">goldenOTP_check!R5*R61</f>
        <v>1133.778</v>
      </c>
      <c r="S5" s="2">
        <f ca="1">goldenOTP_check!S5*S61</f>
        <v>1163.5719999999999</v>
      </c>
      <c r="T5" s="2">
        <f ca="1">goldenOTP_check!T5*T61</f>
        <v>1200.6199999999999</v>
      </c>
      <c r="U5" s="2">
        <f ca="1">goldenOTP_check!U5*U61</f>
        <v>1224.444</v>
      </c>
      <c r="V5" s="2">
        <f ca="1">goldenOTP_check!V5*V61</f>
        <v>1234.6860000000001</v>
      </c>
      <c r="W5" s="2">
        <f ca="1">goldenOTP_check!W5*W61</f>
        <v>1201.5360000000001</v>
      </c>
      <c r="X5" s="2">
        <f ca="1">goldenOTP_check!X5*X61</f>
        <v>1153.192</v>
      </c>
      <c r="Y5" s="2">
        <f ca="1">goldenOTP_check!Y5*Y61</f>
        <v>1105.5940000000001</v>
      </c>
      <c r="BA5"/>
      <c r="BB5"/>
      <c r="BC5"/>
      <c r="BD5"/>
    </row>
    <row r="6" spans="2:56" x14ac:dyDescent="0.3">
      <c r="B6" s="6">
        <v>3</v>
      </c>
      <c r="C6" s="9">
        <v>3.06</v>
      </c>
      <c r="D6" s="9">
        <v>2.7109999999999999</v>
      </c>
      <c r="E6" s="9">
        <v>2.7149999999999999</v>
      </c>
      <c r="F6" s="9">
        <v>2.581</v>
      </c>
      <c r="I6" s="2">
        <f ca="1">goldenOTP_check!I6*I62</f>
        <v>1100.232</v>
      </c>
      <c r="J6" s="2">
        <f ca="1">goldenOTP_check!J6*J62</f>
        <v>1172.5520000000001</v>
      </c>
      <c r="K6" s="2">
        <f ca="1">goldenOTP_check!K6*K62</f>
        <v>1188.6120000000001</v>
      </c>
      <c r="L6" s="2">
        <f ca="1">goldenOTP_check!L6*L62</f>
        <v>1215.9360000000001</v>
      </c>
      <c r="M6" s="2">
        <f ca="1">goldenOTP_check!M6*M62</f>
        <v>1199.3</v>
      </c>
      <c r="N6" s="2">
        <f ca="1">goldenOTP_check!N6*N62</f>
        <v>1159.752</v>
      </c>
      <c r="O6" s="2">
        <f ca="1">goldenOTP_check!O6*O62</f>
        <v>1118.8869999999999</v>
      </c>
      <c r="P6" s="2">
        <f ca="1">goldenOTP_check!P6*P62</f>
        <v>1090.5250000000001</v>
      </c>
      <c r="Q6" s="2">
        <f ca="1">goldenOTP_check!Q6*Q62</f>
        <v>1082.2850000000001</v>
      </c>
      <c r="R6" s="2">
        <f ca="1">goldenOTP_check!R6*R62</f>
        <v>1094.145</v>
      </c>
      <c r="S6" s="2">
        <f ca="1">goldenOTP_check!S6*S62</f>
        <v>1123.9690000000001</v>
      </c>
      <c r="T6" s="2">
        <f ca="1">goldenOTP_check!T6*T62</f>
        <v>1166.6279999999999</v>
      </c>
      <c r="U6" s="2">
        <f ca="1">goldenOTP_check!U6*U62</f>
        <v>1214.04</v>
      </c>
      <c r="V6" s="2">
        <f ca="1">goldenOTP_check!V6*V62</f>
        <v>1238.3999999999999</v>
      </c>
      <c r="W6" s="2">
        <f ca="1">goldenOTP_check!W6*W62</f>
        <v>1217.05</v>
      </c>
      <c r="X6" s="2">
        <f ca="1">goldenOTP_check!X6*X62</f>
        <v>1161.5999999999999</v>
      </c>
      <c r="Y6" s="2">
        <f ca="1">goldenOTP_check!Y6*Y62</f>
        <v>1125.2429999999999</v>
      </c>
      <c r="BA6"/>
      <c r="BB6"/>
      <c r="BC6"/>
      <c r="BD6"/>
    </row>
    <row r="7" spans="2:56" x14ac:dyDescent="0.3">
      <c r="B7" s="6">
        <v>4</v>
      </c>
      <c r="C7" s="9">
        <v>2.7959999999999998</v>
      </c>
      <c r="D7" s="9">
        <v>2.4830000000000001</v>
      </c>
      <c r="E7" s="9">
        <v>2.4870000000000001</v>
      </c>
      <c r="F7" s="9">
        <v>2.3690000000000002</v>
      </c>
      <c r="I7" s="2">
        <f ca="1">goldenOTP_check!I7*I63</f>
        <v>1107.105</v>
      </c>
      <c r="J7" s="2">
        <f ca="1">goldenOTP_check!J7*J63</f>
        <v>1169.595</v>
      </c>
      <c r="K7" s="2">
        <f ca="1">goldenOTP_check!K7*K63</f>
        <v>1202.2559999999999</v>
      </c>
      <c r="L7" s="2">
        <f ca="1">goldenOTP_check!L7*L63</f>
        <v>1203</v>
      </c>
      <c r="M7" s="2">
        <f ca="1">goldenOTP_check!M7*M63</f>
        <v>1177.6079999999999</v>
      </c>
      <c r="N7" s="2">
        <f ca="1">goldenOTP_check!N7*N63</f>
        <v>1128.1010000000001</v>
      </c>
      <c r="O7" s="2">
        <f ca="1">goldenOTP_check!O7*O63</f>
        <v>1087.81</v>
      </c>
      <c r="P7" s="2">
        <f ca="1">goldenOTP_check!P7*P63</f>
        <v>1044.9760000000001</v>
      </c>
      <c r="Q7" s="2">
        <f ca="1">goldenOTP_check!Q7*Q63</f>
        <v>1033.4480000000001</v>
      </c>
      <c r="R7" s="2">
        <f ca="1">goldenOTP_check!R7*R63</f>
        <v>1064.816</v>
      </c>
      <c r="S7" s="2">
        <f ca="1">goldenOTP_check!S7*S63</f>
        <v>1099.575</v>
      </c>
      <c r="T7" s="2">
        <f ca="1">goldenOTP_check!T7*T63</f>
        <v>1141.8879999999999</v>
      </c>
      <c r="U7" s="2">
        <f ca="1">goldenOTP_check!U7*U63</f>
        <v>1195.258</v>
      </c>
      <c r="V7" s="2">
        <f ca="1">goldenOTP_check!V7*V63</f>
        <v>1225.8000000000002</v>
      </c>
      <c r="W7" s="2">
        <f ca="1">goldenOTP_check!W7*W63</f>
        <v>1228.568</v>
      </c>
      <c r="X7" s="2">
        <f ca="1">goldenOTP_check!X7*X63</f>
        <v>1188.6300000000001</v>
      </c>
      <c r="Y7" s="2">
        <f ca="1">goldenOTP_check!Y7*Y63</f>
        <v>1107.105</v>
      </c>
      <c r="BA7"/>
      <c r="BB7"/>
      <c r="BC7"/>
      <c r="BD7"/>
    </row>
    <row r="8" spans="2:56" x14ac:dyDescent="0.3">
      <c r="B8" s="6">
        <v>5</v>
      </c>
      <c r="C8" s="9">
        <v>2.617</v>
      </c>
      <c r="D8" s="9">
        <v>2.3239999999999998</v>
      </c>
      <c r="E8" s="9">
        <v>2.3279999999999998</v>
      </c>
      <c r="F8" s="9">
        <v>2.222</v>
      </c>
      <c r="I8" s="2">
        <f ca="1">goldenOTP_check!I8*I64</f>
        <v>1132.761</v>
      </c>
      <c r="J8" s="2">
        <f ca="1">goldenOTP_check!J8*J64</f>
        <v>1192.77</v>
      </c>
      <c r="K8" s="2">
        <f ca="1">goldenOTP_check!K8*K64</f>
        <v>1216.5010000000002</v>
      </c>
      <c r="L8" s="2">
        <f ca="1">goldenOTP_check!L8*L64</f>
        <v>1206.7250000000001</v>
      </c>
      <c r="M8" s="2">
        <f ca="1">goldenOTP_check!M8*M64</f>
        <v>1188.27</v>
      </c>
      <c r="N8" s="2">
        <f ca="1">goldenOTP_check!N8*N64</f>
        <v>1128.92</v>
      </c>
      <c r="O8" s="2">
        <f ca="1">goldenOTP_check!O8*O64</f>
        <v>1077.6399999999999</v>
      </c>
      <c r="P8" s="2">
        <f ca="1">goldenOTP_check!P8*P64</f>
        <v>1038.96</v>
      </c>
      <c r="Q8" s="2">
        <f ca="1">goldenOTP_check!Q8*Q64</f>
        <v>1028.1149999999998</v>
      </c>
      <c r="R8" s="2">
        <f ca="1">goldenOTP_check!R8*R64</f>
        <v>1044.954</v>
      </c>
      <c r="S8" s="2">
        <f ca="1">goldenOTP_check!S8*S64</f>
        <v>1102.8519999999999</v>
      </c>
      <c r="T8" s="2">
        <f ca="1">goldenOTP_check!T8*T64</f>
        <v>1143.115</v>
      </c>
      <c r="U8" s="2">
        <f ca="1">goldenOTP_check!U8*U64</f>
        <v>1205.7659999999998</v>
      </c>
      <c r="V8" s="2">
        <f ca="1">goldenOTP_check!V8*V64</f>
        <v>1228.721</v>
      </c>
      <c r="W8" s="2">
        <f ca="1">goldenOTP_check!W8*W64</f>
        <v>1241.317</v>
      </c>
      <c r="X8" s="2">
        <f ca="1">goldenOTP_check!X8*X64</f>
        <v>1180.5930000000001</v>
      </c>
      <c r="Y8" s="2">
        <f ca="1">goldenOTP_check!Y8*Y64</f>
        <v>1151.951</v>
      </c>
    </row>
    <row r="9" spans="2:56" x14ac:dyDescent="0.3">
      <c r="B9" s="6">
        <v>6</v>
      </c>
      <c r="C9" s="9">
        <v>2.472</v>
      </c>
      <c r="D9" s="9">
        <v>2.198</v>
      </c>
      <c r="E9" s="9">
        <v>2.202</v>
      </c>
      <c r="F9" s="9">
        <v>2.105</v>
      </c>
      <c r="I9" s="2">
        <f ca="1">goldenOTP_check!I9*I65</f>
        <v>1103.655</v>
      </c>
      <c r="J9" s="2">
        <f ca="1">goldenOTP_check!J9*J65</f>
        <v>1170.018</v>
      </c>
      <c r="K9" s="2">
        <f ca="1">goldenOTP_check!K9*K65</f>
        <v>1207.316</v>
      </c>
      <c r="L9" s="2">
        <f ca="1">goldenOTP_check!L9*L65</f>
        <v>1234.22</v>
      </c>
      <c r="M9" s="2">
        <f ca="1">goldenOTP_check!M9*M65</f>
        <v>1205.277</v>
      </c>
      <c r="N9" s="2">
        <f ca="1">goldenOTP_check!N9*N65</f>
        <v>1151.377</v>
      </c>
      <c r="O9" s="2">
        <f ca="1">goldenOTP_check!O9*O65</f>
        <v>1106.819</v>
      </c>
      <c r="P9" s="2">
        <f ca="1">goldenOTP_check!P9*P65</f>
        <v>1059.9360000000001</v>
      </c>
      <c r="Q9" s="2">
        <f ca="1">goldenOTP_check!Q9*Q65</f>
        <v>1043.9549999999999</v>
      </c>
      <c r="R9" s="2">
        <f ca="1">goldenOTP_check!R9*R65</f>
        <v>1063.8400000000001</v>
      </c>
      <c r="S9" s="2">
        <f ca="1">goldenOTP_check!S9*S65</f>
        <v>1112.3210000000001</v>
      </c>
      <c r="T9" s="2">
        <f ca="1">goldenOTP_check!T9*T65</f>
        <v>1158.7839999999999</v>
      </c>
      <c r="U9" s="2">
        <f ca="1">goldenOTP_check!U9*U65</f>
        <v>1216.749</v>
      </c>
      <c r="V9" s="2">
        <f ca="1">goldenOTP_check!V9*V65</f>
        <v>1231.2</v>
      </c>
      <c r="W9" s="2">
        <f ca="1">goldenOTP_check!W9*W65</f>
        <v>1236.664</v>
      </c>
      <c r="X9" s="2">
        <f ca="1">goldenOTP_check!X9*X65</f>
        <v>1197.5129999999999</v>
      </c>
      <c r="Y9" s="2">
        <f ca="1">goldenOTP_check!Y9*Y65</f>
        <v>1115.04</v>
      </c>
    </row>
    <row r="10" spans="2:56" x14ac:dyDescent="0.3">
      <c r="B10" s="6">
        <v>7</v>
      </c>
      <c r="C10" s="9">
        <v>2.38</v>
      </c>
      <c r="D10" s="9">
        <v>2.1139999999999999</v>
      </c>
      <c r="E10" s="9">
        <v>2.1179999999999999</v>
      </c>
      <c r="F10" s="9">
        <v>2.0270000000000001</v>
      </c>
      <c r="I10" s="2">
        <f ca="1">goldenOTP_check!I10*I66</f>
        <v>1099.8989999999999</v>
      </c>
      <c r="J10" s="2">
        <f ca="1">goldenOTP_check!J10*J66</f>
        <v>1174.6120000000001</v>
      </c>
      <c r="K10" s="2">
        <f ca="1">goldenOTP_check!K10*K66</f>
        <v>1192.95</v>
      </c>
      <c r="L10" s="2">
        <f ca="1">goldenOTP_check!L10*L66</f>
        <v>1222.8480000000002</v>
      </c>
      <c r="M10" s="2">
        <f ca="1">goldenOTP_check!M10*M66</f>
        <v>1205.33</v>
      </c>
      <c r="N10" s="2">
        <f ca="1">goldenOTP_check!N10*N66</f>
        <v>1184.1759999999999</v>
      </c>
      <c r="O10" s="2">
        <f ca="1">goldenOTP_check!O10*O66</f>
        <v>1141.1400000000001</v>
      </c>
      <c r="P10" s="2">
        <f ca="1">goldenOTP_check!P10*P66</f>
        <v>1112.3210000000001</v>
      </c>
      <c r="Q10" s="2">
        <f ca="1">goldenOTP_check!Q10*Q66</f>
        <v>1104.7339999999999</v>
      </c>
      <c r="R10" s="2">
        <f ca="1">goldenOTP_check!R10*R66</f>
        <v>1113.2380000000001</v>
      </c>
      <c r="S10" s="2">
        <f ca="1">goldenOTP_check!S10*S66</f>
        <v>1141.1400000000001</v>
      </c>
      <c r="T10" s="2">
        <f ca="1">goldenOTP_check!T10*T66</f>
        <v>1184.952</v>
      </c>
      <c r="U10" s="2">
        <f ca="1">goldenOTP_check!U10*U66</f>
        <v>1215.3800000000001</v>
      </c>
      <c r="V10" s="2">
        <f ca="1">goldenOTP_check!V10*V66</f>
        <v>1243.5839999999998</v>
      </c>
      <c r="W10" s="2">
        <f ca="1">goldenOTP_check!W10*W66</f>
        <v>1222.3520000000001</v>
      </c>
      <c r="X10" s="2">
        <f ca="1">goldenOTP_check!X10*X66</f>
        <v>1201.3920000000001</v>
      </c>
      <c r="Y10" s="2">
        <f ca="1">goldenOTP_check!Y10*Y66</f>
        <v>1116.8820000000001</v>
      </c>
    </row>
    <row r="11" spans="2:56" x14ac:dyDescent="0.3">
      <c r="B11" s="6">
        <v>8</v>
      </c>
      <c r="C11" s="9">
        <v>2.355</v>
      </c>
      <c r="D11" s="9">
        <v>2.093</v>
      </c>
      <c r="E11" s="9">
        <v>2.097</v>
      </c>
      <c r="F11" s="9">
        <v>2.0030000000000001</v>
      </c>
      <c r="I11" s="2">
        <f ca="1">goldenOTP_check!I11*I67</f>
        <v>1128.7249999999999</v>
      </c>
      <c r="J11" s="2">
        <f ca="1">goldenOTP_check!J11*J67</f>
        <v>1165.94</v>
      </c>
      <c r="K11" s="2">
        <f ca="1">goldenOTP_check!K11*K67</f>
        <v>1172.9280000000001</v>
      </c>
      <c r="L11" s="2">
        <f ca="1">goldenOTP_check!L11*L67</f>
        <v>1215.6420000000001</v>
      </c>
      <c r="M11" s="2">
        <f ca="1">goldenOTP_check!M11*M67</f>
        <v>1213.4459999999999</v>
      </c>
      <c r="N11" s="2">
        <f ca="1">goldenOTP_check!N11*N67</f>
        <v>1197.1500000000001</v>
      </c>
      <c r="O11" s="2">
        <f ca="1">goldenOTP_check!O11*O67</f>
        <v>1185.7280000000001</v>
      </c>
      <c r="P11" s="2">
        <f ca="1">goldenOTP_check!P11*P67</f>
        <v>1157.961</v>
      </c>
      <c r="Q11" s="2">
        <f ca="1">goldenOTP_check!Q11*Q67</f>
        <v>1143.95</v>
      </c>
      <c r="R11" s="2">
        <f ca="1">goldenOTP_check!R11*R67</f>
        <v>1162.076</v>
      </c>
      <c r="S11" s="2">
        <f ca="1">goldenOTP_check!S11*S67</f>
        <v>1171.212</v>
      </c>
      <c r="T11" s="2">
        <f ca="1">goldenOTP_check!T11*T67</f>
        <v>1204.7839999999999</v>
      </c>
      <c r="U11" s="2">
        <f ca="1">goldenOTP_check!U11*U67</f>
        <v>1226.277</v>
      </c>
      <c r="V11" s="2">
        <f ca="1">goldenOTP_check!V11*V67</f>
        <v>1234.1570000000002</v>
      </c>
      <c r="W11" s="2">
        <f ca="1">goldenOTP_check!W11*W67</f>
        <v>1198.854</v>
      </c>
      <c r="X11" s="2">
        <f ca="1">goldenOTP_check!X11*X67</f>
        <v>1185.3400000000001</v>
      </c>
      <c r="Y11" s="2">
        <f ca="1">goldenOTP_check!Y11*Y67</f>
        <v>1085.6199999999999</v>
      </c>
      <c r="BD11"/>
    </row>
    <row r="12" spans="2:56" x14ac:dyDescent="0.3">
      <c r="B12" s="6">
        <v>9</v>
      </c>
      <c r="C12" s="9">
        <v>2.3919999999999999</v>
      </c>
      <c r="D12" s="9">
        <v>2.1240000000000001</v>
      </c>
      <c r="E12" s="9">
        <v>2.1280000000000001</v>
      </c>
      <c r="F12" s="9">
        <v>2.0310000000000001</v>
      </c>
      <c r="I12" s="2">
        <f ca="1">goldenOTP_check!I12*I68</f>
        <v>1054.73</v>
      </c>
      <c r="J12" s="2">
        <f ca="1">goldenOTP_check!J12*J68</f>
        <v>1142.6610000000001</v>
      </c>
      <c r="K12" s="2">
        <f ca="1">goldenOTP_check!K12*K68</f>
        <v>1168.8440000000001</v>
      </c>
      <c r="L12" s="2">
        <f ca="1">goldenOTP_check!L12*L68</f>
        <v>1219.4599999999998</v>
      </c>
      <c r="M12" s="2">
        <f ca="1">goldenOTP_check!M12*M68</f>
        <v>1214.0040000000001</v>
      </c>
      <c r="N12" s="2">
        <f ca="1">goldenOTP_check!N12*N68</f>
        <v>1218.3340000000001</v>
      </c>
      <c r="O12" s="2">
        <f ca="1">goldenOTP_check!O12*O68</f>
        <v>1209.3499999999999</v>
      </c>
      <c r="P12" s="2">
        <f ca="1">goldenOTP_check!P12*P68</f>
        <v>1208.145</v>
      </c>
      <c r="Q12" s="2">
        <f ca="1">goldenOTP_check!Q12*Q68</f>
        <v>1201.3919999999998</v>
      </c>
      <c r="R12" s="2">
        <f ca="1">goldenOTP_check!R12*R68</f>
        <v>1216.749</v>
      </c>
      <c r="S12" s="2">
        <f ca="1">goldenOTP_check!S12*S68</f>
        <v>1222.0800000000002</v>
      </c>
      <c r="T12" s="2">
        <f ca="1">goldenOTP_check!T12*T68</f>
        <v>1232.9979999999998</v>
      </c>
      <c r="U12" s="2">
        <f ca="1">goldenOTP_check!U12*U68</f>
        <v>1228.6109999999999</v>
      </c>
      <c r="V12" s="2">
        <f ca="1">goldenOTP_check!V12*V68</f>
        <v>1207.43</v>
      </c>
      <c r="W12" s="2">
        <f ca="1">goldenOTP_check!W12*W68</f>
        <v>1187.796</v>
      </c>
      <c r="X12" s="2">
        <f ca="1">goldenOTP_check!X12*X68</f>
        <v>1154.31</v>
      </c>
      <c r="Y12" s="2">
        <f ca="1">goldenOTP_check!Y12*Y68</f>
        <v>1068.07</v>
      </c>
      <c r="BD12"/>
    </row>
    <row r="13" spans="2:56" x14ac:dyDescent="0.3">
      <c r="B13" s="6">
        <v>10</v>
      </c>
      <c r="C13" s="9">
        <v>2.496</v>
      </c>
      <c r="D13" s="9">
        <v>2.2090000000000001</v>
      </c>
      <c r="E13" s="9">
        <v>2.2130000000000001</v>
      </c>
      <c r="F13" s="9">
        <v>2.113</v>
      </c>
      <c r="I13" s="2">
        <f ca="1">goldenOTP_check!I13*I69</f>
        <v>981.18</v>
      </c>
      <c r="J13" s="2">
        <f ca="1">goldenOTP_check!J13*J69</f>
        <v>1093.9670000000001</v>
      </c>
      <c r="K13" s="2">
        <f ca="1">goldenOTP_check!K13*K69</f>
        <v>1139.165</v>
      </c>
      <c r="L13" s="2">
        <f ca="1">goldenOTP_check!L13*L69</f>
        <v>1183.1310000000001</v>
      </c>
      <c r="M13" s="2">
        <f ca="1">goldenOTP_check!M13*M69</f>
        <v>1225.2439999999999</v>
      </c>
      <c r="N13" s="2">
        <f ca="1">goldenOTP_check!N13*N69</f>
        <v>1225.164</v>
      </c>
      <c r="O13" s="2">
        <f ca="1">goldenOTP_check!O13*O69</f>
        <v>1232.0639999999999</v>
      </c>
      <c r="P13" s="2">
        <f ca="1">goldenOTP_check!P13*P69</f>
        <v>1239.7190000000001</v>
      </c>
      <c r="Q13" s="2">
        <f ca="1">goldenOTP_check!Q13*Q69</f>
        <v>1217.723</v>
      </c>
      <c r="R13" s="2">
        <f ca="1">goldenOTP_check!R13*R69</f>
        <v>1243.385</v>
      </c>
      <c r="S13" s="2">
        <f ca="1">goldenOTP_check!S13*S69</f>
        <v>1240.1279999999999</v>
      </c>
      <c r="T13" s="2">
        <f ca="1">goldenOTP_check!T13*T69</f>
        <v>1237.3309999999999</v>
      </c>
      <c r="U13" s="2">
        <f ca="1">goldenOTP_check!U13*U69</f>
        <v>1242.114</v>
      </c>
      <c r="V13" s="2">
        <f ca="1">goldenOTP_check!V13*V69</f>
        <v>1201.32</v>
      </c>
      <c r="W13" s="2">
        <f ca="1">goldenOTP_check!W13*W69</f>
        <v>1153.0349999999999</v>
      </c>
      <c r="X13" s="2">
        <f ca="1">goldenOTP_check!X13*X69</f>
        <v>1113.6209999999999</v>
      </c>
      <c r="Y13" s="2">
        <f ca="1">goldenOTP_check!Y13*Y69</f>
        <v>1022.76</v>
      </c>
      <c r="BD13"/>
    </row>
    <row r="14" spans="2:56" x14ac:dyDescent="0.3">
      <c r="B14" s="6">
        <v>11</v>
      </c>
      <c r="C14" s="9">
        <v>2.6520000000000001</v>
      </c>
      <c r="D14" s="9">
        <v>2.343</v>
      </c>
      <c r="E14" s="9">
        <v>2.347</v>
      </c>
      <c r="F14" s="9">
        <v>2.2349999999999999</v>
      </c>
      <c r="I14" s="3">
        <f ca="1">goldenOTP_check!I14*I70</f>
        <v>893.77499999999998</v>
      </c>
      <c r="J14" s="2">
        <f ca="1">goldenOTP_check!J14*J70</f>
        <v>1017.302</v>
      </c>
      <c r="K14" s="2">
        <f ca="1">goldenOTP_check!K14*K70</f>
        <v>1086.6759999999999</v>
      </c>
      <c r="L14" s="2">
        <f ca="1">goldenOTP_check!L14*L70</f>
        <v>1128.4859999999999</v>
      </c>
      <c r="M14" s="2">
        <f ca="1">goldenOTP_check!M14*M70</f>
        <v>1158.672</v>
      </c>
      <c r="N14" s="2">
        <f ca="1">goldenOTP_check!N14*N70</f>
        <v>1210.0329999999999</v>
      </c>
      <c r="O14" s="2">
        <f ca="1">goldenOTP_check!O14*O70</f>
        <v>1216.568</v>
      </c>
      <c r="P14" s="2">
        <f ca="1">goldenOTP_check!P14*P70</f>
        <v>1214.338</v>
      </c>
      <c r="Q14" s="2">
        <f ca="1">goldenOTP_check!Q14*Q70</f>
        <v>1234.596</v>
      </c>
      <c r="R14" s="2">
        <f ca="1">goldenOTP_check!R14*R70</f>
        <v>1216.848</v>
      </c>
      <c r="S14" s="2">
        <f ca="1">goldenOTP_check!S14*S70</f>
        <v>1219.942</v>
      </c>
      <c r="T14" s="2">
        <f ca="1">goldenOTP_check!T14*T70</f>
        <v>1214.5430000000001</v>
      </c>
      <c r="U14" s="2">
        <f ca="1">goldenOTP_check!U14*U70</f>
        <v>1167.56</v>
      </c>
      <c r="V14" s="2">
        <f ca="1">goldenOTP_check!V14*V70</f>
        <v>1141.482</v>
      </c>
      <c r="W14" s="2">
        <f ca="1">goldenOTP_check!W14*W70</f>
        <v>1113.6209999999999</v>
      </c>
      <c r="X14" s="2">
        <f ca="1">goldenOTP_check!X14*X70</f>
        <v>1066.2080000000001</v>
      </c>
      <c r="Y14" s="3">
        <f ca="1">goldenOTP_check!Y14*Y70</f>
        <v>974.35500000000002</v>
      </c>
      <c r="BD14"/>
    </row>
    <row r="15" spans="2:56" x14ac:dyDescent="0.3">
      <c r="B15" s="6">
        <v>12</v>
      </c>
      <c r="C15" s="9">
        <v>2.8439999999999999</v>
      </c>
      <c r="D15" s="9">
        <v>2.508</v>
      </c>
      <c r="E15" s="9">
        <v>2.5110000000000001</v>
      </c>
      <c r="F15" s="9">
        <v>2.3860000000000001</v>
      </c>
      <c r="BD15"/>
    </row>
    <row r="16" spans="2:56" x14ac:dyDescent="0.3">
      <c r="B16" s="6">
        <v>13</v>
      </c>
      <c r="C16" s="9">
        <v>3.1059999999999999</v>
      </c>
      <c r="D16" s="9">
        <v>2.74</v>
      </c>
      <c r="E16" s="9">
        <v>2.742</v>
      </c>
      <c r="F16" s="9">
        <v>2.5979999999999999</v>
      </c>
      <c r="H16" t="s">
        <v>1</v>
      </c>
      <c r="I16" s="10">
        <f ca="1">goldenOTP_check!I16*I72</f>
        <v>816.81599999999992</v>
      </c>
      <c r="J16" s="2">
        <f ca="1">goldenOTP_check!J16*J72</f>
        <v>934.50000000000011</v>
      </c>
      <c r="K16" s="2">
        <f ca="1">goldenOTP_check!K16*K72</f>
        <v>1039.1280000000002</v>
      </c>
      <c r="L16" s="2">
        <f ca="1">goldenOTP_check!L16*L72</f>
        <v>1073.556</v>
      </c>
      <c r="M16" s="2">
        <f ca="1">goldenOTP_check!M16*M72</f>
        <v>1085.0710000000001</v>
      </c>
      <c r="N16" s="2">
        <f ca="1">goldenOTP_check!N16*N72</f>
        <v>1108.548</v>
      </c>
      <c r="O16" s="2">
        <f ca="1">goldenOTP_check!O16*O72</f>
        <v>1114.386</v>
      </c>
      <c r="P16" s="2">
        <f ca="1">goldenOTP_check!P16*P72</f>
        <v>1130.99</v>
      </c>
      <c r="Q16" s="2">
        <f ca="1">goldenOTP_check!Q16*Q72</f>
        <v>1126.0339999999999</v>
      </c>
      <c r="R16" s="2">
        <f ca="1">goldenOTP_check!R16*R72</f>
        <v>1136.3400000000001</v>
      </c>
      <c r="S16" s="2">
        <f ca="1">goldenOTP_check!S16*S72</f>
        <v>1135.4259999999999</v>
      </c>
      <c r="T16" s="2">
        <f ca="1">goldenOTP_check!T16*T72</f>
        <v>1117.6109999999999</v>
      </c>
      <c r="U16" s="2">
        <f ca="1">goldenOTP_check!U16*U72</f>
        <v>1095.9960000000001</v>
      </c>
      <c r="V16" s="2">
        <f ca="1">goldenOTP_check!V16*V72</f>
        <v>1085.0400000000002</v>
      </c>
      <c r="W16" s="2">
        <f ca="1">goldenOTP_check!W16*W72</f>
        <v>1056.528</v>
      </c>
      <c r="X16" s="2">
        <f ca="1">goldenOTP_check!X16*X72</f>
        <v>973.2</v>
      </c>
      <c r="Y16" s="10">
        <f ca="1">goldenOTP_check!Y16*Y72</f>
        <v>888.096</v>
      </c>
    </row>
    <row r="17" spans="2:25" x14ac:dyDescent="0.3">
      <c r="B17" s="6">
        <v>14</v>
      </c>
      <c r="C17" s="9">
        <v>3.4409999999999998</v>
      </c>
      <c r="D17" s="9">
        <v>3.036</v>
      </c>
      <c r="E17" s="9">
        <v>3.0369999999999999</v>
      </c>
      <c r="F17" s="9">
        <v>2.871</v>
      </c>
      <c r="H17" t="s">
        <v>6</v>
      </c>
      <c r="I17" s="2">
        <f ca="1">goldenOTP_check!I17*I73</f>
        <v>925.78200000000004</v>
      </c>
      <c r="J17" s="2">
        <f ca="1">goldenOTP_check!J17*J73</f>
        <v>1028.8609999999999</v>
      </c>
      <c r="K17" s="2">
        <f ca="1">goldenOTP_check!K17*K73</f>
        <v>1082.3219999999999</v>
      </c>
      <c r="L17" s="2">
        <f ca="1">goldenOTP_check!L17*L73</f>
        <v>1104.768</v>
      </c>
      <c r="M17" s="2">
        <f ca="1">goldenOTP_check!M17*M73</f>
        <v>1130.241</v>
      </c>
      <c r="N17" s="2">
        <f ca="1">goldenOTP_check!N17*N73</f>
        <v>1150.4219999999998</v>
      </c>
      <c r="O17" s="2">
        <f ca="1">goldenOTP_check!O17*O73</f>
        <v>1152.3330000000001</v>
      </c>
      <c r="P17" s="2">
        <f ca="1">goldenOTP_check!P17*P73</f>
        <v>1146.6000000000001</v>
      </c>
      <c r="Q17" s="2">
        <f ca="1">goldenOTP_check!Q17*Q73</f>
        <v>1149.954</v>
      </c>
      <c r="R17" s="2">
        <f ca="1">goldenOTP_check!R17*R73</f>
        <v>1152.9000000000001</v>
      </c>
      <c r="S17" s="2">
        <f ca="1">goldenOTP_check!S17*S73</f>
        <v>1161.3779999999999</v>
      </c>
      <c r="T17" s="2">
        <f ca="1">goldenOTP_check!T17*T73</f>
        <v>1160.4840000000002</v>
      </c>
      <c r="U17" s="2">
        <f ca="1">goldenOTP_check!U17*U73</f>
        <v>1144.828</v>
      </c>
      <c r="V17" s="2">
        <f ca="1">goldenOTP_check!V17*V73</f>
        <v>1120</v>
      </c>
      <c r="W17" s="2">
        <f ca="1">goldenOTP_check!W17*W73</f>
        <v>1096.077</v>
      </c>
      <c r="X17" s="2">
        <f ca="1">goldenOTP_check!X17*X73</f>
        <v>1048.7440000000001</v>
      </c>
      <c r="Y17" s="2">
        <f ca="1">goldenOTP_check!Y17*Y73</f>
        <v>965.53599999999994</v>
      </c>
    </row>
    <row r="18" spans="2:25" x14ac:dyDescent="0.3">
      <c r="B18" s="6">
        <v>15</v>
      </c>
      <c r="C18" s="9">
        <v>3.6419999999999999</v>
      </c>
      <c r="D18" s="9">
        <v>3.2440000000000002</v>
      </c>
      <c r="E18" s="9">
        <v>3.2429999999999999</v>
      </c>
      <c r="F18" s="9">
        <v>3.06</v>
      </c>
      <c r="I18" s="2">
        <f ca="1">goldenOTP_check!I18*I74</f>
        <v>1019.155</v>
      </c>
      <c r="J18" s="2">
        <f ca="1">goldenOTP_check!J18*J74</f>
        <v>1079.1200000000001</v>
      </c>
      <c r="K18" s="2">
        <f ca="1">goldenOTP_check!K18*K74</f>
        <v>1116.934</v>
      </c>
      <c r="L18" s="2">
        <f ca="1">goldenOTP_check!L18*L74</f>
        <v>1149.8309999999999</v>
      </c>
      <c r="M18" s="2">
        <f ca="1">goldenOTP_check!M18*M74</f>
        <v>1156.9000000000001</v>
      </c>
      <c r="N18" s="2">
        <f ca="1">goldenOTP_check!N18*N74</f>
        <v>1157.646</v>
      </c>
      <c r="O18" s="2">
        <f ca="1">goldenOTP_check!O18*O74</f>
        <v>1150.7470000000001</v>
      </c>
      <c r="P18" s="2">
        <f ca="1">goldenOTP_check!P18*P74</f>
        <v>1140.72</v>
      </c>
      <c r="Q18" s="2">
        <f ca="1">goldenOTP_check!Q18*Q74</f>
        <v>1143.04</v>
      </c>
      <c r="R18" s="2">
        <f ca="1">goldenOTP_check!R18*R74</f>
        <v>1143.6600000000001</v>
      </c>
      <c r="S18" s="2">
        <f ca="1">goldenOTP_check!S18*S74</f>
        <v>1154.9290000000001</v>
      </c>
      <c r="T18" s="2">
        <f ca="1">goldenOTP_check!T18*T74</f>
        <v>1165.338</v>
      </c>
      <c r="U18" s="2">
        <f ca="1">goldenOTP_check!U18*U74</f>
        <v>1170.125</v>
      </c>
      <c r="V18" s="2">
        <f ca="1">goldenOTP_check!V18*V74</f>
        <v>1152.876</v>
      </c>
      <c r="W18" s="2">
        <f ca="1">goldenOTP_check!W18*W74</f>
        <v>1121.3419999999999</v>
      </c>
      <c r="X18" s="2">
        <f ca="1">goldenOTP_check!X18*X74</f>
        <v>1094.5360000000001</v>
      </c>
      <c r="Y18" s="2">
        <f ca="1">goldenOTP_check!Y18*Y74</f>
        <v>1043.5639999999999</v>
      </c>
    </row>
    <row r="19" spans="2:25" x14ac:dyDescent="0.3">
      <c r="B19" s="6">
        <v>16</v>
      </c>
      <c r="C19" s="9">
        <v>3.7010000000000001</v>
      </c>
      <c r="D19" s="9">
        <v>3.3639999999999999</v>
      </c>
      <c r="E19" s="9">
        <v>3.3620000000000001</v>
      </c>
      <c r="F19" s="9">
        <v>3.17</v>
      </c>
      <c r="I19" s="2">
        <f ca="1">goldenOTP_check!I19*I75</f>
        <v>1057.8120000000001</v>
      </c>
      <c r="J19" s="2">
        <f ca="1">goldenOTP_check!J19*J75</f>
        <v>1094.4840000000002</v>
      </c>
      <c r="K19" s="2">
        <f ca="1">goldenOTP_check!K19*K75</f>
        <v>1128.9069999999999</v>
      </c>
      <c r="L19" s="2">
        <f ca="1">goldenOTP_check!L19*L75</f>
        <v>1156.0119999999999</v>
      </c>
      <c r="M19" s="2">
        <f ca="1">goldenOTP_check!M19*M75</f>
        <v>1160.21</v>
      </c>
      <c r="N19" s="2">
        <f ca="1">goldenOTP_check!N19*N75</f>
        <v>1156.2280000000001</v>
      </c>
      <c r="O19" s="2">
        <f ca="1">goldenOTP_check!O19*O75</f>
        <v>1138.28</v>
      </c>
      <c r="P19" s="2">
        <f ca="1">goldenOTP_check!P19*P75</f>
        <v>1116.848</v>
      </c>
      <c r="Q19" s="2">
        <f ca="1">goldenOTP_check!Q19*Q75</f>
        <v>1109.8149999999998</v>
      </c>
      <c r="R19" s="2">
        <f ca="1">goldenOTP_check!R19*R75</f>
        <v>1118.53</v>
      </c>
      <c r="S19" s="2">
        <f ca="1">goldenOTP_check!S19*S75</f>
        <v>1139.076</v>
      </c>
      <c r="T19" s="2">
        <f ca="1">goldenOTP_check!T19*T75</f>
        <v>1157.6759999999999</v>
      </c>
      <c r="U19" s="2">
        <f ca="1">goldenOTP_check!U19*U75</f>
        <v>1167.261</v>
      </c>
      <c r="V19" s="2">
        <f ca="1">goldenOTP_check!V19*V75</f>
        <v>1169.9870000000001</v>
      </c>
      <c r="W19" s="2">
        <f ca="1">goldenOTP_check!W19*W75</f>
        <v>1150.5519999999999</v>
      </c>
      <c r="X19" s="2">
        <f ca="1">goldenOTP_check!X19*X75</f>
        <v>1114.116</v>
      </c>
      <c r="Y19" s="2">
        <f ca="1">goldenOTP_check!Y19*Y75</f>
        <v>1075.6480000000001</v>
      </c>
    </row>
    <row r="20" spans="2:25" x14ac:dyDescent="0.3">
      <c r="B20" s="6">
        <v>17</v>
      </c>
      <c r="C20" s="9">
        <v>3.6230000000000002</v>
      </c>
      <c r="D20" s="9">
        <v>3.2370000000000001</v>
      </c>
      <c r="E20" s="9">
        <v>3.2360000000000002</v>
      </c>
      <c r="F20" s="9">
        <v>3.085</v>
      </c>
      <c r="I20" s="2">
        <f ca="1">goldenOTP_check!I20*I76</f>
        <v>1067.9460000000001</v>
      </c>
      <c r="J20" s="2">
        <f ca="1">goldenOTP_check!J20*J76</f>
        <v>1111.7280000000001</v>
      </c>
      <c r="K20" s="2">
        <f ca="1">goldenOTP_check!K20*K76</f>
        <v>1139.538</v>
      </c>
      <c r="L20" s="2">
        <f ca="1">goldenOTP_check!L20*L76</f>
        <v>1164.32</v>
      </c>
      <c r="M20" s="2">
        <f ca="1">goldenOTP_check!M20*M76</f>
        <v>1159.002</v>
      </c>
      <c r="N20" s="2">
        <f ca="1">goldenOTP_check!N20*N76</f>
        <v>1139.076</v>
      </c>
      <c r="O20" s="2">
        <f ca="1">goldenOTP_check!O20*O76</f>
        <v>1108.232</v>
      </c>
      <c r="P20" s="2">
        <f ca="1">goldenOTP_check!P20*P76</f>
        <v>1082.6790000000001</v>
      </c>
      <c r="Q20" s="2">
        <f ca="1">goldenOTP_check!Q20*Q76</f>
        <v>1072.54</v>
      </c>
      <c r="R20" s="2">
        <f ca="1">goldenOTP_check!R20*R76</f>
        <v>1084.5250000000001</v>
      </c>
      <c r="S20" s="2">
        <f ca="1">goldenOTP_check!S20*S76</f>
        <v>1110.8539999999998</v>
      </c>
      <c r="T20" s="2">
        <f ca="1">goldenOTP_check!T20*T76</f>
        <v>1142.26</v>
      </c>
      <c r="U20" s="2">
        <f ca="1">goldenOTP_check!U20*U76</f>
        <v>1170.2339999999999</v>
      </c>
      <c r="V20" s="2">
        <f ca="1">goldenOTP_check!V20*V76</f>
        <v>1171.0260000000001</v>
      </c>
      <c r="W20" s="2">
        <f ca="1">goldenOTP_check!W20*W76</f>
        <v>1158.556</v>
      </c>
      <c r="X20" s="2">
        <f ca="1">goldenOTP_check!X20*X76</f>
        <v>1127.8969999999999</v>
      </c>
      <c r="Y20" s="2">
        <f ca="1">goldenOTP_check!Y20*Y76</f>
        <v>1078.473</v>
      </c>
    </row>
    <row r="21" spans="2:25" x14ac:dyDescent="0.3">
      <c r="B21" s="6">
        <v>18</v>
      </c>
      <c r="C21" s="9">
        <v>3.44</v>
      </c>
      <c r="D21" s="9">
        <v>3.0529999999999999</v>
      </c>
      <c r="E21" s="9">
        <v>3.0550000000000002</v>
      </c>
      <c r="F21" s="9">
        <v>2.915</v>
      </c>
      <c r="I21" s="2">
        <f ca="1">goldenOTP_check!I21*I77</f>
        <v>1062.06</v>
      </c>
      <c r="J21" s="2">
        <f ca="1">goldenOTP_check!J21*J77</f>
        <v>1119.816</v>
      </c>
      <c r="K21" s="2">
        <f ca="1">goldenOTP_check!K21*K77</f>
        <v>1146.5039999999999</v>
      </c>
      <c r="L21" s="2">
        <f ca="1">goldenOTP_check!L21*L77</f>
        <v>1163.2439999999999</v>
      </c>
      <c r="M21" s="2">
        <f ca="1">goldenOTP_check!M21*M77</f>
        <v>1160.838</v>
      </c>
      <c r="N21" s="2">
        <f ca="1">goldenOTP_check!N21*N77</f>
        <v>1122.6420000000001</v>
      </c>
      <c r="O21" s="2">
        <f ca="1">goldenOTP_check!O21*O77</f>
        <v>1086.9299999999998</v>
      </c>
      <c r="P21" s="2">
        <f ca="1">goldenOTP_check!P21*P77</f>
        <v>1048.509</v>
      </c>
      <c r="Q21" s="2">
        <f ca="1">goldenOTP_check!Q21*Q77</f>
        <v>1032.81</v>
      </c>
      <c r="R21" s="2">
        <f ca="1">goldenOTP_check!R21*R77</f>
        <v>1054.383</v>
      </c>
      <c r="S21" s="2">
        <f ca="1">goldenOTP_check!S21*S77</f>
        <v>1097.1490000000001</v>
      </c>
      <c r="T21" s="2">
        <f ca="1">goldenOTP_check!T21*T77</f>
        <v>1133.6400000000001</v>
      </c>
      <c r="U21" s="2">
        <f ca="1">goldenOTP_check!U21*U77</f>
        <v>1164.8520000000001</v>
      </c>
      <c r="V21" s="2">
        <f ca="1">goldenOTP_check!V21*V77</f>
        <v>1179.144</v>
      </c>
      <c r="W21" s="2">
        <f ca="1">goldenOTP_check!W21*W77</f>
        <v>1164.192</v>
      </c>
      <c r="X21" s="2">
        <f ca="1">goldenOTP_check!X21*X77</f>
        <v>1132.953</v>
      </c>
      <c r="Y21" s="2">
        <f ca="1">goldenOTP_check!Y21*Y77</f>
        <v>1086.8</v>
      </c>
    </row>
    <row r="22" spans="2:25" x14ac:dyDescent="0.3">
      <c r="B22" s="6">
        <v>19</v>
      </c>
      <c r="C22" s="9">
        <v>3.0990000000000002</v>
      </c>
      <c r="D22" s="9">
        <v>2.754</v>
      </c>
      <c r="E22" s="9">
        <v>2.7570000000000001</v>
      </c>
      <c r="F22" s="9">
        <v>2.64</v>
      </c>
      <c r="I22" s="2">
        <f ca="1">goldenOTP_check!I22*I78</f>
        <v>1069.74</v>
      </c>
      <c r="J22" s="2">
        <f ca="1">goldenOTP_check!J22*J78</f>
        <v>1126.845</v>
      </c>
      <c r="K22" s="2">
        <f ca="1">goldenOTP_check!K22*K78</f>
        <v>1160.1869999999999</v>
      </c>
      <c r="L22" s="2">
        <f ca="1">goldenOTP_check!L22*L78</f>
        <v>1178.665</v>
      </c>
      <c r="M22" s="2">
        <f ca="1">goldenOTP_check!M22*M78</f>
        <v>1155.192</v>
      </c>
      <c r="N22" s="2">
        <f ca="1">goldenOTP_check!N22*N78</f>
        <v>1118.4480000000001</v>
      </c>
      <c r="O22" s="2">
        <f ca="1">goldenOTP_check!O22*O78</f>
        <v>1080.336</v>
      </c>
      <c r="P22" s="2">
        <f ca="1">goldenOTP_check!P22*P78</f>
        <v>1034.0329999999999</v>
      </c>
      <c r="Q22" s="2">
        <f ca="1">goldenOTP_check!Q22*Q78</f>
        <v>1027.0920000000001</v>
      </c>
      <c r="R22" s="2">
        <f ca="1">goldenOTP_check!R22*R78</f>
        <v>1039.038</v>
      </c>
      <c r="S22" s="2">
        <f ca="1">goldenOTP_check!S22*S78</f>
        <v>1091.7479999999998</v>
      </c>
      <c r="T22" s="2">
        <f ca="1">goldenOTP_check!T22*T78</f>
        <v>1130.53</v>
      </c>
      <c r="U22" s="2">
        <f ca="1">goldenOTP_check!U22*U78</f>
        <v>1168.836</v>
      </c>
      <c r="V22" s="2">
        <f ca="1">goldenOTP_check!V22*V78</f>
        <v>1184.01</v>
      </c>
      <c r="W22" s="2">
        <f ca="1">goldenOTP_check!W22*W78</f>
        <v>1176.597</v>
      </c>
      <c r="X22" s="2">
        <f ca="1">goldenOTP_check!X22*X78</f>
        <v>1139.2380000000001</v>
      </c>
      <c r="Y22" s="2">
        <f ca="1">goldenOTP_check!Y22*Y78</f>
        <v>1072.386</v>
      </c>
    </row>
    <row r="23" spans="2:25" x14ac:dyDescent="0.3">
      <c r="B23" s="6">
        <v>20</v>
      </c>
      <c r="C23" s="9">
        <v>2.7669999999999999</v>
      </c>
      <c r="D23" s="9">
        <v>2.4660000000000002</v>
      </c>
      <c r="E23" s="9">
        <v>2.468</v>
      </c>
      <c r="F23" s="9">
        <v>2.37</v>
      </c>
      <c r="I23" s="2">
        <f ca="1">goldenOTP_check!I23*I79</f>
        <v>1060.5719999999999</v>
      </c>
      <c r="J23" s="2">
        <f ca="1">goldenOTP_check!J23*J79</f>
        <v>1122.9870000000001</v>
      </c>
      <c r="K23" s="2">
        <f ca="1">goldenOTP_check!K23*K79</f>
        <v>1166.9259999999999</v>
      </c>
      <c r="L23" s="2">
        <f ca="1">goldenOTP_check!L23*L79</f>
        <v>1182.645</v>
      </c>
      <c r="M23" s="2">
        <f ca="1">goldenOTP_check!M23*M79</f>
        <v>1171.296</v>
      </c>
      <c r="N23" s="2">
        <f ca="1">goldenOTP_check!N23*N79</f>
        <v>1139.124</v>
      </c>
      <c r="O23" s="2">
        <f ca="1">goldenOTP_check!O23*O79</f>
        <v>1099.56</v>
      </c>
      <c r="P23" s="2">
        <f ca="1">goldenOTP_check!P23*P79</f>
        <v>1054.848</v>
      </c>
      <c r="Q23" s="2">
        <f ca="1">goldenOTP_check!Q23*Q79</f>
        <v>1037.0360000000001</v>
      </c>
      <c r="R23" s="2">
        <f ca="1">goldenOTP_check!R23*R79</f>
        <v>1058.7840000000001</v>
      </c>
      <c r="S23" s="2">
        <f ca="1">goldenOTP_check!S23*S79</f>
        <v>1096.22</v>
      </c>
      <c r="T23" s="2">
        <f ca="1">goldenOTP_check!T23*T79</f>
        <v>1135.3320000000001</v>
      </c>
      <c r="U23" s="2">
        <f ca="1">goldenOTP_check!U23*U79</f>
        <v>1169.298</v>
      </c>
      <c r="V23" s="2">
        <f ca="1">goldenOTP_check!V23*V79</f>
        <v>1186.1400000000001</v>
      </c>
      <c r="W23" s="2">
        <f ca="1">goldenOTP_check!W23*W79</f>
        <v>1173.3040000000001</v>
      </c>
      <c r="X23" s="2">
        <f ca="1">goldenOTP_check!X23*X79</f>
        <v>1140.201</v>
      </c>
      <c r="Y23" s="2">
        <f ca="1">goldenOTP_check!Y23*Y79</f>
        <v>1091.3599999999999</v>
      </c>
    </row>
    <row r="24" spans="2:25" x14ac:dyDescent="0.3">
      <c r="B24" s="6">
        <v>21</v>
      </c>
      <c r="C24" s="9">
        <v>2.512</v>
      </c>
      <c r="D24" s="9">
        <v>2.2469999999999999</v>
      </c>
      <c r="E24" s="9">
        <v>2.25</v>
      </c>
      <c r="F24" s="9">
        <v>2.1640000000000001</v>
      </c>
      <c r="I24" s="2">
        <f ca="1">goldenOTP_check!I24*I80</f>
        <v>1070.4869999999999</v>
      </c>
      <c r="J24" s="2">
        <f ca="1">goldenOTP_check!J24*J80</f>
        <v>1116.972</v>
      </c>
      <c r="K24" s="2">
        <f ca="1">goldenOTP_check!K24*K80</f>
        <v>1146.7339999999999</v>
      </c>
      <c r="L24" s="2">
        <f ca="1">goldenOTP_check!L24*L80</f>
        <v>1174.6559999999999</v>
      </c>
      <c r="M24" s="2">
        <f ca="1">goldenOTP_check!M24*M80</f>
        <v>1179.528</v>
      </c>
      <c r="N24" s="2">
        <f ca="1">goldenOTP_check!N24*N80</f>
        <v>1156.4839999999999</v>
      </c>
      <c r="O24" s="2">
        <f ca="1">goldenOTP_check!O24*O80</f>
        <v>1124.241</v>
      </c>
      <c r="P24" s="2">
        <f ca="1">goldenOTP_check!P24*P80</f>
        <v>1098.078</v>
      </c>
      <c r="Q24" s="2">
        <f ca="1">goldenOTP_check!Q24*Q80</f>
        <v>1093.6499999999999</v>
      </c>
      <c r="R24" s="2">
        <f ca="1">goldenOTP_check!R24*R80</f>
        <v>1098.078</v>
      </c>
      <c r="S24" s="2">
        <f ca="1">goldenOTP_check!S24*S80</f>
        <v>1122.4829999999999</v>
      </c>
      <c r="T24" s="2">
        <f ca="1">goldenOTP_check!T24*T80</f>
        <v>1146.24</v>
      </c>
      <c r="U24" s="2">
        <f ca="1">goldenOTP_check!U24*U80</f>
        <v>1175.1479999999999</v>
      </c>
      <c r="V24" s="2">
        <f ca="1">goldenOTP_check!V24*V80</f>
        <v>1188.6400000000001</v>
      </c>
      <c r="W24" s="2">
        <f ca="1">goldenOTP_check!W24*W80</f>
        <v>1165.752</v>
      </c>
      <c r="X24" s="2">
        <f ca="1">goldenOTP_check!X24*X80</f>
        <v>1134.0150000000001</v>
      </c>
      <c r="Y24" s="2">
        <f ca="1">goldenOTP_check!Y24*Y80</f>
        <v>1082.4660000000001</v>
      </c>
    </row>
    <row r="25" spans="2:25" x14ac:dyDescent="0.3">
      <c r="B25" s="6">
        <v>22</v>
      </c>
      <c r="C25" s="9">
        <v>2.2909999999999999</v>
      </c>
      <c r="D25" s="9">
        <v>2.0579999999999998</v>
      </c>
      <c r="E25" s="9">
        <v>2.0609999999999999</v>
      </c>
      <c r="F25" s="9">
        <v>1.9890000000000001</v>
      </c>
      <c r="I25" s="2">
        <f ca="1">goldenOTP_check!I25*I81</f>
        <v>1062.271</v>
      </c>
      <c r="J25" s="2">
        <f ca="1">goldenOTP_check!J25*J81</f>
        <v>1101.4370000000001</v>
      </c>
      <c r="K25" s="2">
        <f ca="1">goldenOTP_check!K25*K81</f>
        <v>1136.6030000000001</v>
      </c>
      <c r="L25" s="2">
        <f ca="1">goldenOTP_check!L25*L81</f>
        <v>1173.684</v>
      </c>
      <c r="M25" s="2">
        <f ca="1">goldenOTP_check!M25*M81</f>
        <v>1178.1869999999999</v>
      </c>
      <c r="N25" s="2">
        <f ca="1">goldenOTP_check!N25*N81</f>
        <v>1173.8400000000001</v>
      </c>
      <c r="O25" s="2">
        <f ca="1">goldenOTP_check!O25*O81</f>
        <v>1150.22</v>
      </c>
      <c r="P25" s="2">
        <f ca="1">goldenOTP_check!P25*P81</f>
        <v>1139.5619999999999</v>
      </c>
      <c r="Q25" s="2">
        <f ca="1">goldenOTP_check!Q25*Q81</f>
        <v>1135.7080000000001</v>
      </c>
      <c r="R25" s="2">
        <f ca="1">goldenOTP_check!R25*R81</f>
        <v>1141.2539999999999</v>
      </c>
      <c r="S25" s="2">
        <f ca="1">goldenOTP_check!S25*S81</f>
        <v>1151.8120000000001</v>
      </c>
      <c r="T25" s="2">
        <f ca="1">goldenOTP_check!T25*T81</f>
        <v>1177.49</v>
      </c>
      <c r="U25" s="2">
        <f ca="1">goldenOTP_check!U25*U81</f>
        <v>1185.3040000000001</v>
      </c>
      <c r="V25" s="2">
        <f ca="1">goldenOTP_check!V25*V81</f>
        <v>1174.4590000000001</v>
      </c>
      <c r="W25" s="2">
        <f ca="1">goldenOTP_check!W25*W81</f>
        <v>1152.9569999999999</v>
      </c>
      <c r="X25" s="2">
        <f ca="1">goldenOTP_check!X25*X81</f>
        <v>1112.48</v>
      </c>
      <c r="Y25" s="2">
        <f ca="1">goldenOTP_check!Y25*Y81</f>
        <v>1072.2180000000001</v>
      </c>
    </row>
    <row r="26" spans="2:25" x14ac:dyDescent="0.3">
      <c r="B26" s="6">
        <v>23</v>
      </c>
      <c r="C26" s="9">
        <v>2.117</v>
      </c>
      <c r="D26" s="9">
        <v>1.911</v>
      </c>
      <c r="E26" s="9">
        <v>1.9139999999999999</v>
      </c>
      <c r="F26" s="9">
        <v>1.85</v>
      </c>
      <c r="I26" s="2">
        <f ca="1">goldenOTP_check!I26*I82</f>
        <v>1027.3969999999999</v>
      </c>
      <c r="J26" s="2">
        <f ca="1">goldenOTP_check!J26*J82</f>
        <v>1087.3920000000001</v>
      </c>
      <c r="K26" s="2">
        <f ca="1">goldenOTP_check!K26*K82</f>
        <v>1113.039</v>
      </c>
      <c r="L26" s="2">
        <f ca="1">goldenOTP_check!L26*L82</f>
        <v>1161.029</v>
      </c>
      <c r="M26" s="2">
        <f ca="1">goldenOTP_check!M26*M82</f>
        <v>1171.2749999999999</v>
      </c>
      <c r="N26" s="2">
        <f ca="1">goldenOTP_check!N26*N82</f>
        <v>1184.01</v>
      </c>
      <c r="O26" s="2">
        <f ca="1">goldenOTP_check!O26*O82</f>
        <v>1175.1479999999999</v>
      </c>
      <c r="P26" s="2">
        <f ca="1">goldenOTP_check!P26*P82</f>
        <v>1167.075</v>
      </c>
      <c r="Q26" s="2">
        <f ca="1">goldenOTP_check!Q26*Q82</f>
        <v>1161.088</v>
      </c>
      <c r="R26" s="2">
        <f ca="1">goldenOTP_check!R26*R82</f>
        <v>1173.0029999999999</v>
      </c>
      <c r="S26" s="2">
        <f ca="1">goldenOTP_check!S26*S82</f>
        <v>1183.5719999999999</v>
      </c>
      <c r="T26" s="2">
        <f ca="1">goldenOTP_check!T26*T82</f>
        <v>1182.0040000000001</v>
      </c>
      <c r="U26" s="2">
        <f ca="1">goldenOTP_check!U26*U82</f>
        <v>1178.75</v>
      </c>
      <c r="V26" s="2">
        <f ca="1">goldenOTP_check!V26*V82</f>
        <v>1156.3969999999999</v>
      </c>
      <c r="W26" s="2">
        <f ca="1">goldenOTP_check!W26*W82</f>
        <v>1122.2160000000001</v>
      </c>
      <c r="X26" s="2">
        <f ca="1">goldenOTP_check!X26*X82</f>
        <v>1094.5360000000001</v>
      </c>
      <c r="Y26" s="2">
        <f ca="1">goldenOTP_check!Y26*Y82</f>
        <v>1044.1980000000001</v>
      </c>
    </row>
    <row r="27" spans="2:25" x14ac:dyDescent="0.3">
      <c r="B27" s="6">
        <v>24</v>
      </c>
      <c r="C27" s="9">
        <v>2.0089999999999999</v>
      </c>
      <c r="D27" s="9">
        <v>1.82</v>
      </c>
      <c r="E27" s="9">
        <v>1.823</v>
      </c>
      <c r="F27" s="9">
        <v>1.764</v>
      </c>
      <c r="I27" s="2">
        <f ca="1">goldenOTP_check!I27*I83</f>
        <v>951.279</v>
      </c>
      <c r="J27" s="2">
        <f ca="1">goldenOTP_check!J27*J83</f>
        <v>1058.498</v>
      </c>
      <c r="K27" s="2">
        <f ca="1">goldenOTP_check!K27*K83</f>
        <v>1098.828</v>
      </c>
      <c r="L27" s="2">
        <f ca="1">goldenOTP_check!L27*L83</f>
        <v>1125.8240000000001</v>
      </c>
      <c r="M27" s="2">
        <f ca="1">goldenOTP_check!M27*M83</f>
        <v>1152.876</v>
      </c>
      <c r="N27" s="2">
        <f ca="1">goldenOTP_check!N27*N83</f>
        <v>1172.7819999999999</v>
      </c>
      <c r="O27" s="2">
        <f ca="1">goldenOTP_check!O27*O83</f>
        <v>1174.644</v>
      </c>
      <c r="P27" s="2">
        <f ca="1">goldenOTP_check!P27*P83</f>
        <v>1179.78</v>
      </c>
      <c r="Q27" s="2">
        <f ca="1">goldenOTP_check!Q27*Q83</f>
        <v>1169.825</v>
      </c>
      <c r="R27" s="2">
        <f ca="1">goldenOTP_check!R27*R83</f>
        <v>1182.3240000000001</v>
      </c>
      <c r="S27" s="2">
        <f ca="1">goldenOTP_check!S27*S83</f>
        <v>1179.4680000000001</v>
      </c>
      <c r="T27" s="2">
        <f ca="1">goldenOTP_check!T27*T83</f>
        <v>1180.0490000000002</v>
      </c>
      <c r="U27" s="2">
        <f ca="1">goldenOTP_check!U27*U83</f>
        <v>1162.433</v>
      </c>
      <c r="V27" s="2">
        <f ca="1">goldenOTP_check!V27*V83</f>
        <v>1133.8880000000001</v>
      </c>
      <c r="W27" s="2">
        <f ca="1">goldenOTP_check!W27*W83</f>
        <v>1102.365</v>
      </c>
      <c r="X27" s="2">
        <f ca="1">goldenOTP_check!X27*X83</f>
        <v>1070.846</v>
      </c>
      <c r="Y27" s="2">
        <f ca="1">goldenOTP_check!Y27*Y83</f>
        <v>990.56399999999996</v>
      </c>
    </row>
    <row r="28" spans="2:25" x14ac:dyDescent="0.3">
      <c r="B28" s="6">
        <v>25</v>
      </c>
      <c r="C28" s="9">
        <v>1.976</v>
      </c>
      <c r="D28" s="9">
        <v>1.794</v>
      </c>
      <c r="E28" s="9">
        <v>1.796</v>
      </c>
      <c r="F28" s="9">
        <v>1.736</v>
      </c>
      <c r="I28" s="10">
        <f ca="1">goldenOTP_check!I28*I84</f>
        <v>865.37300000000005</v>
      </c>
      <c r="J28" s="2">
        <f ca="1">goldenOTP_check!J28*J84</f>
        <v>963.67699999999991</v>
      </c>
      <c r="K28" s="2">
        <f ca="1">goldenOTP_check!K28*K84</f>
        <v>1053.008</v>
      </c>
      <c r="L28" s="2">
        <f ca="1">goldenOTP_check!L28*L84</f>
        <v>1095.424</v>
      </c>
      <c r="M28" s="2">
        <f ca="1">goldenOTP_check!M28*M84</f>
        <v>1111.1099999999999</v>
      </c>
      <c r="N28" s="2">
        <f ca="1">goldenOTP_check!N28*N84</f>
        <v>1138.81</v>
      </c>
      <c r="O28" s="2">
        <f ca="1">goldenOTP_check!O28*O84</f>
        <v>1157.9879999999998</v>
      </c>
      <c r="P28" s="2">
        <f ca="1">goldenOTP_check!P28*P84</f>
        <v>1148.7</v>
      </c>
      <c r="Q28" s="2">
        <f ca="1">goldenOTP_check!Q28*Q84</f>
        <v>1160.4660000000001</v>
      </c>
      <c r="R28" s="2">
        <f ca="1">goldenOTP_check!R28*R84</f>
        <v>1149.75</v>
      </c>
      <c r="S28" s="2">
        <f ca="1">goldenOTP_check!S28*S84</f>
        <v>1157.9879999999998</v>
      </c>
      <c r="T28" s="2">
        <f ca="1">goldenOTP_check!T28*T84</f>
        <v>1138.81</v>
      </c>
      <c r="U28" s="2">
        <f ca="1">goldenOTP_check!U28*U84</f>
        <v>1114.1130000000001</v>
      </c>
      <c r="V28" s="2">
        <f ca="1">goldenOTP_check!V28*V84</f>
        <v>1101.6479999999999</v>
      </c>
      <c r="W28" s="2">
        <f ca="1">goldenOTP_check!W28*W84</f>
        <v>1069.0349999999999</v>
      </c>
      <c r="X28" s="2">
        <f ca="1">goldenOTP_check!X28*X84</f>
        <v>998.95900000000006</v>
      </c>
      <c r="Y28" s="10">
        <f ca="1">goldenOTP_check!Y28*Y84</f>
        <v>933.69900000000007</v>
      </c>
    </row>
    <row r="29" spans="2:25" x14ac:dyDescent="0.3">
      <c r="B29" s="6">
        <v>26</v>
      </c>
      <c r="C29" s="9">
        <v>2.0219999999999998</v>
      </c>
      <c r="D29" s="9">
        <v>1.83</v>
      </c>
      <c r="E29" s="9">
        <v>1.8320000000000001</v>
      </c>
      <c r="F29" s="9">
        <v>1.77</v>
      </c>
    </row>
    <row r="30" spans="2:25" x14ac:dyDescent="0.3">
      <c r="B30" s="6">
        <v>27</v>
      </c>
      <c r="C30" s="9">
        <v>2.141</v>
      </c>
      <c r="D30" s="9">
        <v>1.9259999999999999</v>
      </c>
      <c r="E30" s="9">
        <v>1.9279999999999999</v>
      </c>
      <c r="F30" s="9">
        <v>1.8620000000000001</v>
      </c>
      <c r="H30" t="s">
        <v>2</v>
      </c>
      <c r="I30" s="11">
        <f ca="1">goldenOTP_check!I30*I86</f>
        <v>810.8900000000001</v>
      </c>
      <c r="J30" s="2">
        <f ca="1">goldenOTP_check!J30*J86</f>
        <v>953.49599999999998</v>
      </c>
      <c r="K30" s="2">
        <f ca="1">goldenOTP_check!K30*K86</f>
        <v>1058.46</v>
      </c>
      <c r="L30" s="2">
        <f ca="1">goldenOTP_check!L30*L86</f>
        <v>1091.4299999999998</v>
      </c>
      <c r="M30" s="2">
        <f ca="1">goldenOTP_check!M30*M86</f>
        <v>1096.7670000000001</v>
      </c>
      <c r="N30" s="2">
        <f ca="1">goldenOTP_check!N30*N86</f>
        <v>1124.424</v>
      </c>
      <c r="O30" s="2">
        <f ca="1">goldenOTP_check!O30*O86</f>
        <v>1140.636</v>
      </c>
      <c r="P30" s="2">
        <f ca="1">goldenOTP_check!P30*P86</f>
        <v>1156.4279999999999</v>
      </c>
      <c r="Q30" s="2">
        <f ca="1">goldenOTP_check!Q30*Q86</f>
        <v>1151.2529999999999</v>
      </c>
      <c r="R30" s="2">
        <f ca="1">goldenOTP_check!R30*R86</f>
        <v>1161.8880000000001</v>
      </c>
      <c r="S30" s="2">
        <f ca="1">goldenOTP_check!S30*S86</f>
        <v>1146.3340000000001</v>
      </c>
      <c r="T30" s="2">
        <f ca="1">goldenOTP_check!T30*T86</f>
        <v>1133.6009999999999</v>
      </c>
      <c r="U30" s="2">
        <f ca="1">goldenOTP_check!U30*U86</f>
        <v>1107.3510000000001</v>
      </c>
      <c r="V30" s="2">
        <f ca="1">goldenOTP_check!V30*V86</f>
        <v>1102.2840000000001</v>
      </c>
      <c r="W30" s="2">
        <f ca="1">goldenOTP_check!W30*W86</f>
        <v>1075.098</v>
      </c>
      <c r="X30" s="2">
        <f ca="1">goldenOTP_check!X30*X86</f>
        <v>992.35799999999995</v>
      </c>
      <c r="Y30" s="11">
        <f ca="1">goldenOTP_check!Y30*Y86</f>
        <v>880.84400000000005</v>
      </c>
    </row>
    <row r="31" spans="2:25" x14ac:dyDescent="0.3">
      <c r="B31" s="6">
        <v>28</v>
      </c>
      <c r="C31" s="9">
        <v>2.3239999999999998</v>
      </c>
      <c r="D31" s="9">
        <v>2.0760000000000001</v>
      </c>
      <c r="E31" s="9">
        <v>2.0779999999999998</v>
      </c>
      <c r="F31" s="9">
        <v>2.0019999999999998</v>
      </c>
      <c r="H31" t="s">
        <v>6</v>
      </c>
      <c r="I31" s="2">
        <f ca="1">goldenOTP_check!I31*I87</f>
        <v>941.67600000000004</v>
      </c>
      <c r="J31" s="2">
        <f ca="1">goldenOTP_check!J31*J87</f>
        <v>1047.865</v>
      </c>
      <c r="K31" s="2">
        <f ca="1">goldenOTP_check!K31*K87</f>
        <v>1097.2860000000001</v>
      </c>
      <c r="L31" s="2">
        <f ca="1">goldenOTP_check!L31*L87</f>
        <v>1118.0039999999999</v>
      </c>
      <c r="M31" s="2">
        <f ca="1">goldenOTP_check!M31*M87</f>
        <v>1156.5</v>
      </c>
      <c r="N31" s="2">
        <f ca="1">goldenOTP_check!N31*N87</f>
        <v>1162.404</v>
      </c>
      <c r="O31" s="2">
        <f ca="1">goldenOTP_check!O31*O87</f>
        <v>1175.1959999999999</v>
      </c>
      <c r="P31" s="2">
        <f ca="1">goldenOTP_check!P31*P87</f>
        <v>1168.5429999999999</v>
      </c>
      <c r="Q31" s="2">
        <f ca="1">goldenOTP_check!Q31*Q87</f>
        <v>1172.788</v>
      </c>
      <c r="R31" s="2">
        <f ca="1">goldenOTP_check!R31*R87</f>
        <v>1174.3120000000001</v>
      </c>
      <c r="S31" s="2">
        <f ca="1">goldenOTP_check!S31*S87</f>
        <v>1183.7919999999999</v>
      </c>
      <c r="T31" s="2">
        <f ca="1">goldenOTP_check!T31*T87</f>
        <v>1171.992</v>
      </c>
      <c r="U31" s="2">
        <f ca="1">goldenOTP_check!U31*U87</f>
        <v>1170.3780000000002</v>
      </c>
      <c r="V31" s="2">
        <f ca="1">goldenOTP_check!V31*V87</f>
        <v>1132.953</v>
      </c>
      <c r="W31" s="2">
        <f ca="1">goldenOTP_check!W31*W87</f>
        <v>1109.624</v>
      </c>
      <c r="X31" s="2">
        <f ca="1">goldenOTP_check!X31*X87</f>
        <v>1066.73</v>
      </c>
      <c r="Y31" s="2">
        <f ca="1">goldenOTP_check!Y31*Y87</f>
        <v>981.25199999999995</v>
      </c>
    </row>
    <row r="32" spans="2:25" x14ac:dyDescent="0.3">
      <c r="B32" s="6">
        <v>29</v>
      </c>
      <c r="C32" s="9">
        <v>2.5609999999999999</v>
      </c>
      <c r="D32" s="9">
        <v>2.2759999999999998</v>
      </c>
      <c r="E32" s="9">
        <v>2.2770000000000001</v>
      </c>
      <c r="F32" s="9">
        <v>2.1869999999999998</v>
      </c>
      <c r="I32" s="2">
        <f ca="1">goldenOTP_check!I32*I88</f>
        <v>1013.0400000000001</v>
      </c>
      <c r="J32" s="2">
        <f ca="1">goldenOTP_check!J32*J88</f>
        <v>1096.722</v>
      </c>
      <c r="K32" s="2">
        <f ca="1">goldenOTP_check!K32*K88</f>
        <v>1117.376</v>
      </c>
      <c r="L32" s="2">
        <f ca="1">goldenOTP_check!L32*L88</f>
        <v>1150.3399999999999</v>
      </c>
      <c r="M32" s="2">
        <f ca="1">goldenOTP_check!M32*M88</f>
        <v>1170.1339999999998</v>
      </c>
      <c r="N32" s="2">
        <f ca="1">goldenOTP_check!N32*N88</f>
        <v>1180.624</v>
      </c>
      <c r="O32" s="2">
        <f ca="1">goldenOTP_check!O32*O88</f>
        <v>1170.3240000000001</v>
      </c>
      <c r="P32" s="2">
        <f ca="1">goldenOTP_check!P32*P88</f>
        <v>1160.838</v>
      </c>
      <c r="Q32" s="2">
        <f ca="1">goldenOTP_check!Q32*Q88</f>
        <v>1160.5229999999999</v>
      </c>
      <c r="R32" s="2">
        <f ca="1">goldenOTP_check!R32*R88</f>
        <v>1162.3320000000001</v>
      </c>
      <c r="S32" s="2">
        <f ca="1">goldenOTP_check!S32*S88</f>
        <v>1173.864</v>
      </c>
      <c r="T32" s="2">
        <f ca="1">goldenOTP_check!T32*T88</f>
        <v>1187.807</v>
      </c>
      <c r="U32" s="2">
        <f ca="1">goldenOTP_check!U32*U88</f>
        <v>1182.335</v>
      </c>
      <c r="V32" s="2">
        <f ca="1">goldenOTP_check!V32*V88</f>
        <v>1166.1189999999999</v>
      </c>
      <c r="W32" s="2">
        <f ca="1">goldenOTP_check!W32*W88</f>
        <v>1133.288</v>
      </c>
      <c r="X32" s="2">
        <f ca="1">goldenOTP_check!X32*X88</f>
        <v>1110.4739999999999</v>
      </c>
      <c r="Y32" s="2">
        <f ca="1">goldenOTP_check!Y32*Y88</f>
        <v>1061.701</v>
      </c>
    </row>
    <row r="33" spans="2:25" x14ac:dyDescent="0.3">
      <c r="B33" s="6">
        <v>30</v>
      </c>
      <c r="C33" s="9">
        <v>2.8239999999999998</v>
      </c>
      <c r="D33" s="9">
        <v>2.5</v>
      </c>
      <c r="E33" s="9">
        <v>2.5009999999999999</v>
      </c>
      <c r="F33" s="9">
        <v>2.3959999999999999</v>
      </c>
      <c r="I33" s="2">
        <f ca="1">goldenOTP_check!I33*I89</f>
        <v>1057.8120000000001</v>
      </c>
      <c r="J33" s="2">
        <f ca="1">goldenOTP_check!J33*J89</f>
        <v>1094.893</v>
      </c>
      <c r="K33" s="2">
        <f ca="1">goldenOTP_check!K33*K89</f>
        <v>1128.9069999999999</v>
      </c>
      <c r="L33" s="2">
        <f ca="1">goldenOTP_check!L33*L89</f>
        <v>1166.9159999999999</v>
      </c>
      <c r="M33" s="2">
        <f ca="1">goldenOTP_check!M33*M89</f>
        <v>1171.7169999999999</v>
      </c>
      <c r="N33" s="2">
        <f ca="1">goldenOTP_check!N33*N89</f>
        <v>1174.53</v>
      </c>
      <c r="O33" s="2">
        <f ca="1">goldenOTP_check!O33*O89</f>
        <v>1148.4639999999999</v>
      </c>
      <c r="P33" s="2">
        <f ca="1">goldenOTP_check!P33*P89</f>
        <v>1132.308</v>
      </c>
      <c r="Q33" s="2">
        <f ca="1">goldenOTP_check!Q33*Q89</f>
        <v>1124.06</v>
      </c>
      <c r="R33" s="2">
        <f ca="1">goldenOTP_check!R33*R89</f>
        <v>1133.1600000000001</v>
      </c>
      <c r="S33" s="2">
        <f ca="1">goldenOTP_check!S33*S89</f>
        <v>1147.662</v>
      </c>
      <c r="T33" s="2">
        <f ca="1">goldenOTP_check!T33*T89</f>
        <v>1167.27</v>
      </c>
      <c r="U33" s="2">
        <f ca="1">goldenOTP_check!U33*U89</f>
        <v>1178.1869999999999</v>
      </c>
      <c r="V33" s="2">
        <f ca="1">goldenOTP_check!V33*V89</f>
        <v>1179.8880000000001</v>
      </c>
      <c r="W33" s="2">
        <f ca="1">goldenOTP_check!W33*W89</f>
        <v>1149.1089999999999</v>
      </c>
      <c r="X33" s="2">
        <f ca="1">goldenOTP_check!X33*X89</f>
        <v>1112.48</v>
      </c>
      <c r="Y33" s="2">
        <f ca="1">goldenOTP_check!Y33*Y89</f>
        <v>1095.5</v>
      </c>
    </row>
    <row r="34" spans="2:25" x14ac:dyDescent="0.3">
      <c r="B34" s="6">
        <v>31</v>
      </c>
      <c r="C34" s="9">
        <v>3.153</v>
      </c>
      <c r="D34" s="9">
        <v>2.7890000000000001</v>
      </c>
      <c r="E34" s="9">
        <v>2.7879999999999998</v>
      </c>
      <c r="F34" s="9">
        <v>2.6640000000000001</v>
      </c>
      <c r="I34" s="2">
        <f ca="1">goldenOTP_check!I34*I90</f>
        <v>1067.9460000000001</v>
      </c>
      <c r="J34" s="2">
        <f ca="1">goldenOTP_check!J34*J90</f>
        <v>1112.165</v>
      </c>
      <c r="K34" s="2">
        <f ca="1">goldenOTP_check!K34*K90</f>
        <v>1152.8400000000001</v>
      </c>
      <c r="L34" s="2">
        <f ca="1">goldenOTP_check!L34*L90</f>
        <v>1164.32</v>
      </c>
      <c r="M34" s="2">
        <f ca="1">goldenOTP_check!M34*M90</f>
        <v>1169.616</v>
      </c>
      <c r="N34" s="2">
        <f ca="1">goldenOTP_check!N34*N90</f>
        <v>1147.662</v>
      </c>
      <c r="O34" s="2">
        <f ca="1">goldenOTP_check!O34*O90</f>
        <v>1115.451</v>
      </c>
      <c r="P34" s="2">
        <f ca="1">goldenOTP_check!P34*P90</f>
        <v>1096.7550000000001</v>
      </c>
      <c r="Q34" s="2">
        <f ca="1">goldenOTP_check!Q34*Q90</f>
        <v>1085.0910000000001</v>
      </c>
      <c r="R34" s="2">
        <f ca="1">goldenOTP_check!R34*R90</f>
        <v>1097.6899999999998</v>
      </c>
      <c r="S34" s="2">
        <f ca="1">goldenOTP_check!S34*S90</f>
        <v>1117.2089999999998</v>
      </c>
      <c r="T34" s="2">
        <f ca="1">goldenOTP_check!T34*T90</f>
        <v>1150.8700000000001</v>
      </c>
      <c r="U34" s="2">
        <f ca="1">goldenOTP_check!U34*U90</f>
        <v>1169.5319999999999</v>
      </c>
      <c r="V34" s="2">
        <f ca="1">goldenOTP_check!V34*V90</f>
        <v>1179.52</v>
      </c>
      <c r="W34" s="2">
        <f ca="1">goldenOTP_check!W34*W90</f>
        <v>1157.5279999999998</v>
      </c>
      <c r="X34" s="2">
        <f ca="1">goldenOTP_check!X34*X90</f>
        <v>1126.586</v>
      </c>
      <c r="Y34" s="2">
        <f ca="1">goldenOTP_check!Y34*Y90</f>
        <v>1076.2949999999998</v>
      </c>
    </row>
    <row r="35" spans="2:25" x14ac:dyDescent="0.3">
      <c r="B35" s="6">
        <v>32</v>
      </c>
      <c r="C35" s="9">
        <v>3.508</v>
      </c>
      <c r="D35" s="9">
        <v>3.1120000000000001</v>
      </c>
      <c r="E35" s="9">
        <v>3.11</v>
      </c>
      <c r="F35" s="9">
        <v>2.9590000000000001</v>
      </c>
      <c r="I35" s="2">
        <f ca="1">goldenOTP_check!I35*I91</f>
        <v>1085.28</v>
      </c>
      <c r="J35" s="2">
        <f ca="1">goldenOTP_check!J35*J91</f>
        <v>1120.269</v>
      </c>
      <c r="K35" s="2">
        <f ca="1">goldenOTP_check!K35*K91</f>
        <v>1146.5039999999999</v>
      </c>
      <c r="L35" s="2">
        <f ca="1">goldenOTP_check!L35*L91</f>
        <v>1163.8800000000001</v>
      </c>
      <c r="M35" s="2">
        <f ca="1">goldenOTP_check!M35*M91</f>
        <v>1161.585</v>
      </c>
      <c r="N35" s="2">
        <f ca="1">goldenOTP_check!N35*N91</f>
        <v>1123.4880000000001</v>
      </c>
      <c r="O35" s="2">
        <f ca="1">goldenOTP_check!O35*O91</f>
        <v>1087.8590000000002</v>
      </c>
      <c r="P35" s="2">
        <f ca="1">goldenOTP_check!P35*P91</f>
        <v>1053.864</v>
      </c>
      <c r="Q35" s="2">
        <f ca="1">goldenOTP_check!Q35*Q91</f>
        <v>1039.038</v>
      </c>
      <c r="R35" s="2">
        <f ca="1">goldenOTP_check!R35*R91</f>
        <v>1059.768</v>
      </c>
      <c r="S35" s="2">
        <f ca="1">goldenOTP_check!S35*S91</f>
        <v>1097.1490000000001</v>
      </c>
      <c r="T35" s="2">
        <f ca="1">goldenOTP_check!T35*T91</f>
        <v>1133.6400000000001</v>
      </c>
      <c r="U35" s="2">
        <f ca="1">goldenOTP_check!U35*U91</f>
        <v>1164.1109999999999</v>
      </c>
      <c r="V35" s="2">
        <f ca="1">goldenOTP_check!V35*V91</f>
        <v>1178.508</v>
      </c>
      <c r="W35" s="2">
        <f ca="1">goldenOTP_check!W35*W91</f>
        <v>1162.5840000000001</v>
      </c>
      <c r="X35" s="2">
        <f ca="1">goldenOTP_check!X35*X91</f>
        <v>1131.1409999999998</v>
      </c>
      <c r="Y35" s="2">
        <f ca="1">goldenOTP_check!Y35*Y91</f>
        <v>1084.52</v>
      </c>
    </row>
    <row r="36" spans="2:25" x14ac:dyDescent="0.3">
      <c r="B36" s="6">
        <v>33</v>
      </c>
      <c r="C36" s="9">
        <v>3.7589999999999999</v>
      </c>
      <c r="D36" s="9">
        <v>3.3759999999999999</v>
      </c>
      <c r="E36" s="9">
        <v>3.3719999999999999</v>
      </c>
      <c r="F36" s="9">
        <v>3.1970000000000001</v>
      </c>
      <c r="I36" s="2">
        <f ca="1">goldenOTP_check!I36*I92</f>
        <v>1069.74</v>
      </c>
      <c r="J36" s="2">
        <f ca="1">goldenOTP_check!J36*J92</f>
        <v>1126.845</v>
      </c>
      <c r="K36" s="2">
        <f ca="1">goldenOTP_check!K36*K92</f>
        <v>1160.1869999999999</v>
      </c>
      <c r="L36" s="2">
        <f ca="1">goldenOTP_check!L36*L92</f>
        <v>1167.835</v>
      </c>
      <c r="M36" s="2">
        <f ca="1">goldenOTP_check!M36*M92</f>
        <v>1155.95</v>
      </c>
      <c r="N36" s="2">
        <f ca="1">goldenOTP_check!N36*N92</f>
        <v>1119.3109999999999</v>
      </c>
      <c r="O36" s="2">
        <f ca="1">goldenOTP_check!O36*O92</f>
        <v>1075.6020000000001</v>
      </c>
      <c r="P36" s="2">
        <f ca="1">goldenOTP_check!P36*P92</f>
        <v>1034.0329999999999</v>
      </c>
      <c r="Q36" s="2">
        <f ca="1">goldenOTP_check!Q36*Q92</f>
        <v>1027.0920000000001</v>
      </c>
      <c r="R36" s="2">
        <f ca="1">goldenOTP_check!R36*R92</f>
        <v>1039.038</v>
      </c>
      <c r="S36" s="2">
        <f ca="1">goldenOTP_check!S36*S92</f>
        <v>1086.0079999999998</v>
      </c>
      <c r="T36" s="2">
        <f ca="1">goldenOTP_check!T36*T92</f>
        <v>1122.67</v>
      </c>
      <c r="U36" s="2">
        <f ca="1">goldenOTP_check!U36*U92</f>
        <v>1158.8319999999999</v>
      </c>
      <c r="V36" s="2">
        <f ca="1">goldenOTP_check!V36*V92</f>
        <v>1182.7160000000001</v>
      </c>
      <c r="W36" s="2">
        <f ca="1">goldenOTP_check!W36*W92</f>
        <v>1164.2160000000001</v>
      </c>
      <c r="X36" s="2">
        <f ca="1">goldenOTP_check!X36*X92</f>
        <v>1137.402</v>
      </c>
      <c r="Y36" s="2">
        <f ca="1">goldenOTP_check!Y36*Y92</f>
        <v>1068.9839999999999</v>
      </c>
    </row>
    <row r="37" spans="2:25" x14ac:dyDescent="0.3">
      <c r="B37" s="6">
        <v>34</v>
      </c>
      <c r="C37" s="9">
        <v>3.621</v>
      </c>
      <c r="D37" s="9">
        <v>3.2149999999999999</v>
      </c>
      <c r="E37" s="9">
        <v>3.2160000000000002</v>
      </c>
      <c r="F37" s="9">
        <v>3.081</v>
      </c>
      <c r="I37" s="2">
        <f ca="1">goldenOTP_check!I37*I93</f>
        <v>1060.5719999999999</v>
      </c>
      <c r="J37" s="2">
        <f ca="1">goldenOTP_check!J37*J93</f>
        <v>1122.5340000000001</v>
      </c>
      <c r="K37" s="2">
        <f ca="1">goldenOTP_check!K37*K93</f>
        <v>1154.008</v>
      </c>
      <c r="L37" s="2">
        <f ca="1">goldenOTP_check!L37*L93</f>
        <v>1173.42</v>
      </c>
      <c r="M37" s="2">
        <f ca="1">goldenOTP_check!M37*M93</f>
        <v>1162.6289999999999</v>
      </c>
      <c r="N37" s="2">
        <f ca="1">goldenOTP_check!N37*N93</f>
        <v>1131.1019999999999</v>
      </c>
      <c r="O37" s="2">
        <f ca="1">goldenOTP_check!O37*O93</f>
        <v>1092.5039999999999</v>
      </c>
      <c r="P37" s="2">
        <f ca="1">goldenOTP_check!P37*P93</f>
        <v>1054.848</v>
      </c>
      <c r="Q37" s="2">
        <f ca="1">goldenOTP_check!Q37*Q93</f>
        <v>1036.0349999999999</v>
      </c>
      <c r="R37" s="2">
        <f ca="1">goldenOTP_check!R37*R93</f>
        <v>1057.8</v>
      </c>
      <c r="S37" s="2">
        <f ca="1">goldenOTP_check!S37*S93</f>
        <v>1088.2170000000001</v>
      </c>
      <c r="T37" s="2">
        <f ca="1">goldenOTP_check!T37*T93</f>
        <v>1127.7809999999999</v>
      </c>
      <c r="U37" s="2">
        <f ca="1">goldenOTP_check!U37*U93</f>
        <v>1167.816</v>
      </c>
      <c r="V37" s="2">
        <f ca="1">goldenOTP_check!V37*V93</f>
        <v>1173.0600000000002</v>
      </c>
      <c r="W37" s="2">
        <f ca="1">goldenOTP_check!W37*W93</f>
        <v>1171.1600000000001</v>
      </c>
      <c r="X37" s="2">
        <f ca="1">goldenOTP_check!X37*X93</f>
        <v>1125.376</v>
      </c>
      <c r="Y37" s="2">
        <f ca="1">goldenOTP_check!Y37*Y93</f>
        <v>1071.51</v>
      </c>
    </row>
    <row r="38" spans="2:25" x14ac:dyDescent="0.3">
      <c r="B38" s="6">
        <v>35</v>
      </c>
      <c r="C38" s="9">
        <v>3.226</v>
      </c>
      <c r="D38" s="9">
        <v>2.87</v>
      </c>
      <c r="E38" s="9">
        <v>2.871</v>
      </c>
      <c r="F38" s="9">
        <v>2.7570000000000001</v>
      </c>
      <c r="I38" s="2">
        <f ca="1">goldenOTP_check!I38*I94</f>
        <v>1069.761</v>
      </c>
      <c r="J38" s="2">
        <f ca="1">goldenOTP_check!J38*J94</f>
        <v>1116.5350000000001</v>
      </c>
      <c r="K38" s="2">
        <f ca="1">goldenOTP_check!K38*K94</f>
        <v>1146.22</v>
      </c>
      <c r="L38" s="2">
        <f ca="1">goldenOTP_check!L38*L94</f>
        <v>1163.79</v>
      </c>
      <c r="M38" s="2">
        <f ca="1">goldenOTP_check!M38*M94</f>
        <v>1168.83</v>
      </c>
      <c r="N38" s="2">
        <f ca="1">goldenOTP_check!N38*N94</f>
        <v>1147.0360000000001</v>
      </c>
      <c r="O38" s="2">
        <f ca="1">goldenOTP_check!O38*O94</f>
        <v>1116.972</v>
      </c>
      <c r="P38" s="2">
        <f ca="1">goldenOTP_check!P38*P94</f>
        <v>1090.0630000000001</v>
      </c>
      <c r="Q38" s="2">
        <f ca="1">goldenOTP_check!Q38*Q94</f>
        <v>1086.0079999999998</v>
      </c>
      <c r="R38" s="2">
        <f ca="1">goldenOTP_check!R38*R94</f>
        <v>1088.2170000000001</v>
      </c>
      <c r="S38" s="2">
        <f ca="1">goldenOTP_check!S38*S94</f>
        <v>1114.3499999999999</v>
      </c>
      <c r="T38" s="2">
        <f ca="1">goldenOTP_check!T38*T94</f>
        <v>1136.6670000000001</v>
      </c>
      <c r="U38" s="2">
        <f ca="1">goldenOTP_check!U38*U94</f>
        <v>1164.6870000000001</v>
      </c>
      <c r="V38" s="2">
        <f ca="1">goldenOTP_check!V38*V94</f>
        <v>1176.453</v>
      </c>
      <c r="W38" s="2">
        <f ca="1">goldenOTP_check!W38*W94</f>
        <v>1151.867</v>
      </c>
      <c r="X38" s="2">
        <f ca="1">goldenOTP_check!X38*X94</f>
        <v>1115.8589999999999</v>
      </c>
      <c r="Y38" s="2">
        <f ca="1">goldenOTP_check!Y38*Y94</f>
        <v>1085.145</v>
      </c>
    </row>
    <row r="39" spans="2:25" x14ac:dyDescent="0.3">
      <c r="B39" s="6">
        <v>36</v>
      </c>
      <c r="C39" s="9">
        <v>2.83</v>
      </c>
      <c r="D39" s="9">
        <v>2.5270000000000001</v>
      </c>
      <c r="E39" s="9">
        <v>2.528</v>
      </c>
      <c r="F39" s="9">
        <v>2.4380000000000002</v>
      </c>
      <c r="I39" s="2">
        <f ca="1">goldenOTP_check!I39*I95</f>
        <v>1036.49</v>
      </c>
      <c r="J39" s="2">
        <f ca="1">goldenOTP_check!J39*J95</f>
        <v>1100.21</v>
      </c>
      <c r="K39" s="2">
        <f ca="1">goldenOTP_check!K39*K95</f>
        <v>1123.836</v>
      </c>
      <c r="L39" s="2">
        <f ca="1">goldenOTP_check!L39*L95</f>
        <v>1162.1610000000001</v>
      </c>
      <c r="M39" s="2">
        <f ca="1">goldenOTP_check!M39*M95</f>
        <v>1165.979</v>
      </c>
      <c r="N39" s="2">
        <f ca="1">goldenOTP_check!N39*N95</f>
        <v>1162.7440000000001</v>
      </c>
      <c r="O39" s="2">
        <f ca="1">goldenOTP_check!O39*O95</f>
        <v>1149.424</v>
      </c>
      <c r="P39" s="2">
        <f ca="1">goldenOTP_check!P39*P95</f>
        <v>1130.3040000000001</v>
      </c>
      <c r="Q39" s="2">
        <f ca="1">goldenOTP_check!Q39*Q95</f>
        <v>1125.241</v>
      </c>
      <c r="R39" s="2">
        <f ca="1">goldenOTP_check!R39*R95</f>
        <v>1131.9860000000001</v>
      </c>
      <c r="S39" s="2">
        <f ca="1">goldenOTP_check!S39*S95</f>
        <v>1142.204</v>
      </c>
      <c r="T39" s="2">
        <f ca="1">goldenOTP_check!T39*T95</f>
        <v>1157.5900000000001</v>
      </c>
      <c r="U39" s="2">
        <f ca="1">goldenOTP_check!U39*U95</f>
        <v>1162.6079999999999</v>
      </c>
      <c r="V39" s="2">
        <f ca="1">goldenOTP_check!V39*V95</f>
        <v>1159.088</v>
      </c>
      <c r="W39" s="2">
        <f ca="1">goldenOTP_check!W39*W95</f>
        <v>1138.5919999999999</v>
      </c>
      <c r="X39" s="2">
        <f ca="1">goldenOTP_check!X39*X95</f>
        <v>1095.6480000000001</v>
      </c>
      <c r="Y39" s="2">
        <f ca="1">goldenOTP_check!Y39*Y95</f>
        <v>1075.02</v>
      </c>
    </row>
    <row r="40" spans="2:25" x14ac:dyDescent="0.3">
      <c r="B40" s="6">
        <v>37</v>
      </c>
      <c r="C40" s="9">
        <v>2.5219999999999998</v>
      </c>
      <c r="D40" s="9">
        <v>2.2589999999999999</v>
      </c>
      <c r="E40" s="9">
        <v>2.2599999999999998</v>
      </c>
      <c r="F40" s="9">
        <v>2.1850000000000001</v>
      </c>
      <c r="I40" s="2">
        <f ca="1">goldenOTP_check!I40*I96</f>
        <v>1026.1290000000001</v>
      </c>
      <c r="J40" s="2">
        <f ca="1">goldenOTP_check!J40*J96</f>
        <v>1086.2639999999999</v>
      </c>
      <c r="K40" s="2">
        <f ca="1">goldenOTP_check!K40*K96</f>
        <v>1111.7280000000001</v>
      </c>
      <c r="L40" s="2">
        <f ca="1">goldenOTP_check!L40*L96</f>
        <v>1145.8340000000001</v>
      </c>
      <c r="M40" s="2">
        <f ca="1">goldenOTP_check!M40*M96</f>
        <v>1159.95</v>
      </c>
      <c r="N40" s="2">
        <f ca="1">goldenOTP_check!N40*N96</f>
        <v>1171.748</v>
      </c>
      <c r="O40" s="2">
        <f ca="1">goldenOTP_check!O40*O96</f>
        <v>1164.6870000000001</v>
      </c>
      <c r="P40" s="2">
        <f ca="1">goldenOTP_check!P40*P96</f>
        <v>1155.42</v>
      </c>
      <c r="Q40" s="2">
        <f ca="1">goldenOTP_check!Q40*Q96</f>
        <v>1151.127</v>
      </c>
      <c r="R40" s="2">
        <f ca="1">goldenOTP_check!R40*R96</f>
        <v>1160.5650000000001</v>
      </c>
      <c r="S40" s="2">
        <f ca="1">goldenOTP_check!S40*S96</f>
        <v>1173.0509999999999</v>
      </c>
      <c r="T40" s="2">
        <f ca="1">goldenOTP_check!T40*T96</f>
        <v>1170.24</v>
      </c>
      <c r="U40" s="2">
        <f ca="1">goldenOTP_check!U40*U96</f>
        <v>1166.2199999999998</v>
      </c>
      <c r="V40" s="2">
        <f ca="1">goldenOTP_check!V40*V96</f>
        <v>1141.914</v>
      </c>
      <c r="W40" s="2">
        <f ca="1">goldenOTP_check!W40*W96</f>
        <v>1103.7909999999999</v>
      </c>
      <c r="X40" s="2">
        <f ca="1">goldenOTP_check!X40*X96</f>
        <v>1074.1099999999999</v>
      </c>
      <c r="Y40" s="2">
        <f ca="1">goldenOTP_check!Y40*Y96</f>
        <v>1047.915</v>
      </c>
    </row>
    <row r="41" spans="2:25" x14ac:dyDescent="0.3">
      <c r="B41" s="6">
        <v>38</v>
      </c>
      <c r="C41" s="9">
        <v>2.2309999999999999</v>
      </c>
      <c r="D41" s="9">
        <v>2.012</v>
      </c>
      <c r="E41" s="9">
        <v>2.0139999999999998</v>
      </c>
      <c r="F41" s="9">
        <v>1.9530000000000001</v>
      </c>
      <c r="I41" s="2">
        <f ca="1">goldenOTP_check!I41*I97</f>
        <v>956.93799999999999</v>
      </c>
      <c r="J41" s="2">
        <f ca="1">goldenOTP_check!J41*J97</f>
        <v>1038.971</v>
      </c>
      <c r="K41" s="2">
        <f ca="1">goldenOTP_check!K41*K97</f>
        <v>1097.6490000000001</v>
      </c>
      <c r="L41" s="2">
        <f ca="1">goldenOTP_check!L41*L97</f>
        <v>1109.4199999999998</v>
      </c>
      <c r="M41" s="2">
        <f ca="1">goldenOTP_check!M41*M97</f>
        <v>1140.42</v>
      </c>
      <c r="N41" s="2">
        <f ca="1">goldenOTP_check!N41*N97</f>
        <v>1159.088</v>
      </c>
      <c r="O41" s="2">
        <f ca="1">goldenOTP_check!O41*O97</f>
        <v>1161.7619999999999</v>
      </c>
      <c r="P41" s="2">
        <f ca="1">goldenOTP_check!P41*P97</f>
        <v>1166.1299999999999</v>
      </c>
      <c r="Q41" s="2">
        <f ca="1">goldenOTP_check!Q41*Q97</f>
        <v>1158.1559999999999</v>
      </c>
      <c r="R41" s="2">
        <f ca="1">goldenOTP_check!R41*R97</f>
        <v>1168.6500000000001</v>
      </c>
      <c r="S41" s="2">
        <f ca="1">goldenOTP_check!S41*S97</f>
        <v>1165.3440000000001</v>
      </c>
      <c r="T41" s="2">
        <f ca="1">goldenOTP_check!T41*T97</f>
        <v>1165.171</v>
      </c>
      <c r="U41" s="2">
        <f ca="1">goldenOTP_check!U41*U97</f>
        <v>1148.886</v>
      </c>
      <c r="V41" s="2">
        <f ca="1">goldenOTP_check!V41*V97</f>
        <v>1116.05</v>
      </c>
      <c r="W41" s="2">
        <f ca="1">goldenOTP_check!W41*W97</f>
        <v>1082.826</v>
      </c>
      <c r="X41" s="2">
        <f ca="1">goldenOTP_check!X41*X97</f>
        <v>1049.0809999999999</v>
      </c>
      <c r="Y41" s="2">
        <f ca="1">goldenOTP_check!Y41*Y97</f>
        <v>994.44200000000001</v>
      </c>
    </row>
    <row r="42" spans="2:25" x14ac:dyDescent="0.3">
      <c r="B42" s="6">
        <v>39</v>
      </c>
      <c r="C42" s="9">
        <v>1.982</v>
      </c>
      <c r="D42" s="9">
        <v>1.806</v>
      </c>
      <c r="E42" s="9">
        <v>1.8080000000000001</v>
      </c>
      <c r="F42" s="9">
        <v>1.756</v>
      </c>
      <c r="I42" s="11">
        <f ca="1">goldenOTP_check!I42*I98</f>
        <v>871.26499999999999</v>
      </c>
      <c r="J42" s="2">
        <f ca="1">goldenOTP_check!J42*J98</f>
        <v>965.69999999999993</v>
      </c>
      <c r="K42" s="2">
        <f ca="1">goldenOTP_check!K42*K98</f>
        <v>1051.9849999999999</v>
      </c>
      <c r="L42" s="2">
        <f ca="1">goldenOTP_check!L42*L98</f>
        <v>1077.7619999999999</v>
      </c>
      <c r="M42" s="2">
        <f ca="1">goldenOTP_check!M42*M98</f>
        <v>1115.4280000000001</v>
      </c>
      <c r="N42" s="2">
        <f ca="1">goldenOTP_check!N42*N98</f>
        <v>1122.8799999999999</v>
      </c>
      <c r="O42" s="2">
        <f ca="1">goldenOTP_check!O42*O98</f>
        <v>1142.7810000000002</v>
      </c>
      <c r="P42" s="2">
        <f ca="1">goldenOTP_check!P42*P98</f>
        <v>1135.68</v>
      </c>
      <c r="Q42" s="2">
        <f ca="1">goldenOTP_check!Q42*Q98</f>
        <v>1147.549</v>
      </c>
      <c r="R42" s="2">
        <f ca="1">goldenOTP_check!R42*R98</f>
        <v>1136.2</v>
      </c>
      <c r="S42" s="2">
        <f ca="1">goldenOTP_check!S42*S98</f>
        <v>1142.28</v>
      </c>
      <c r="T42" s="2">
        <f ca="1">goldenOTP_check!T42*T98</f>
        <v>1122.4159999999999</v>
      </c>
      <c r="U42" s="2">
        <f ca="1">goldenOTP_check!U42*U98</f>
        <v>1099.008</v>
      </c>
      <c r="V42" s="2">
        <f ca="1">goldenOTP_check!V42*V98</f>
        <v>1082.3579999999999</v>
      </c>
      <c r="W42" s="2">
        <f ca="1">goldenOTP_check!W42*W98</f>
        <v>1072.2180000000001</v>
      </c>
      <c r="X42" s="2">
        <f ca="1">goldenOTP_check!X42*X98</f>
        <v>999.90000000000009</v>
      </c>
      <c r="Y42" s="11">
        <f ca="1">goldenOTP_check!Y42*Y98</f>
        <v>914.49599999999998</v>
      </c>
    </row>
    <row r="43" spans="2:25" x14ac:dyDescent="0.3">
      <c r="B43" s="6">
        <v>40</v>
      </c>
      <c r="C43" s="9">
        <v>1.792</v>
      </c>
      <c r="D43" s="9">
        <v>1.651</v>
      </c>
      <c r="E43" s="9">
        <v>1.653</v>
      </c>
      <c r="F43" s="9">
        <v>1.609</v>
      </c>
    </row>
    <row r="44" spans="2:25" x14ac:dyDescent="0.3">
      <c r="B44" s="6">
        <v>41</v>
      </c>
      <c r="C44" s="9">
        <v>1.67</v>
      </c>
      <c r="D44" s="9">
        <v>1.552</v>
      </c>
      <c r="E44" s="9">
        <v>1.554</v>
      </c>
      <c r="F44" s="9">
        <v>1.514</v>
      </c>
      <c r="H44" t="s">
        <v>3</v>
      </c>
      <c r="I44" s="12">
        <f ca="1">goldenOTP_check!I44*I100</f>
        <v>782.54499999999996</v>
      </c>
      <c r="J44" s="4">
        <f ca="1">goldenOTP_check!J44*J100</f>
        <v>916.51700000000005</v>
      </c>
      <c r="K44" s="4">
        <f ca="1">goldenOTP_check!K44*K100</f>
        <v>997.21600000000012</v>
      </c>
      <c r="L44" s="4">
        <f ca="1">goldenOTP_check!L44*L100</f>
        <v>1055.6289999999999</v>
      </c>
      <c r="M44" s="4">
        <f ca="1">goldenOTP_check!M44*M100</f>
        <v>1068.4190000000001</v>
      </c>
      <c r="N44" s="4">
        <f ca="1">goldenOTP_check!N44*N100</f>
        <v>1059.894</v>
      </c>
      <c r="O44" s="4">
        <f ca="1">goldenOTP_check!O44*O100</f>
        <v>1100.915</v>
      </c>
      <c r="P44" s="4">
        <f ca="1">goldenOTP_check!P44*P100</f>
        <v>1106.742</v>
      </c>
      <c r="Q44" s="4">
        <f ca="1">goldenOTP_check!Q44*Q100</f>
        <v>1115.671</v>
      </c>
      <c r="R44" s="4">
        <f ca="1">goldenOTP_check!R44*R100</f>
        <v>1108.9260000000002</v>
      </c>
      <c r="S44" s="4">
        <f ca="1">goldenOTP_check!S44*S100</f>
        <v>1105.0989999999999</v>
      </c>
      <c r="T44" s="4">
        <f ca="1">goldenOTP_check!T44*T100</f>
        <v>1066.095</v>
      </c>
      <c r="U44" s="4">
        <f ca="1">goldenOTP_check!U44*U100</f>
        <v>1076.086</v>
      </c>
      <c r="V44" s="4">
        <f ca="1">goldenOTP_check!V44*V100</f>
        <v>1023.612</v>
      </c>
      <c r="W44" s="4">
        <f ca="1">goldenOTP_check!W44*W100</f>
        <v>1010.592</v>
      </c>
      <c r="X44" s="4">
        <f ca="1">goldenOTP_check!X44*X100</f>
        <v>951.66</v>
      </c>
      <c r="Y44" s="12">
        <f ca="1">goldenOTP_check!Y44*Y100</f>
        <v>840.05</v>
      </c>
    </row>
    <row r="45" spans="2:25" x14ac:dyDescent="0.3">
      <c r="B45" s="6">
        <v>42</v>
      </c>
      <c r="C45" s="9">
        <v>1.631</v>
      </c>
      <c r="D45" s="9">
        <v>1.52</v>
      </c>
      <c r="E45" s="9">
        <v>1.5209999999999999</v>
      </c>
      <c r="F45" s="9">
        <v>1.4830000000000001</v>
      </c>
      <c r="H45" t="s">
        <v>6</v>
      </c>
      <c r="I45" s="4">
        <f ca="1">goldenOTP_check!I45*I101</f>
        <v>913.16</v>
      </c>
      <c r="J45" s="4">
        <f ca="1">goldenOTP_check!J45*J101</f>
        <v>994.01499999999999</v>
      </c>
      <c r="K45" s="4">
        <f ca="1">goldenOTP_check!K45*K101</f>
        <v>1050.72</v>
      </c>
      <c r="L45" s="4">
        <f ca="1">goldenOTP_check!L45*L101</f>
        <v>1078.3500000000001</v>
      </c>
      <c r="M45" s="4">
        <f ca="1">goldenOTP_check!M45*M101</f>
        <v>1107.9680000000001</v>
      </c>
      <c r="N45" s="4">
        <f ca="1">goldenOTP_check!N45*N101</f>
        <v>1129.752</v>
      </c>
      <c r="O45" s="4">
        <f ca="1">goldenOTP_check!O45*O101</f>
        <v>1135.9000000000001</v>
      </c>
      <c r="P45" s="4">
        <f ca="1">goldenOTP_check!P45*P101</f>
        <v>1123.6680000000001</v>
      </c>
      <c r="Q45" s="4">
        <f ca="1">goldenOTP_check!Q45*Q101</f>
        <v>1124.9279999999999</v>
      </c>
      <c r="R45" s="4">
        <f ca="1">goldenOTP_check!R45*R101</f>
        <v>1127.49</v>
      </c>
      <c r="S45" s="4">
        <f ca="1">goldenOTP_check!S45*S101</f>
        <v>1143.268</v>
      </c>
      <c r="T45" s="4">
        <f ca="1">goldenOTP_check!T45*T101</f>
        <v>1137.136</v>
      </c>
      <c r="U45" s="4">
        <f ca="1">goldenOTP_check!U45*U101</f>
        <v>1119.7439999999999</v>
      </c>
      <c r="V45" s="4">
        <f ca="1">goldenOTP_check!V45*V101</f>
        <v>1090.18</v>
      </c>
      <c r="W45" s="4">
        <f ca="1">goldenOTP_check!W45*W101</f>
        <v>1060.2720000000002</v>
      </c>
      <c r="X45" s="4">
        <f ca="1">goldenOTP_check!X45*X101</f>
        <v>1009.019</v>
      </c>
      <c r="Y45" s="4">
        <f ca="1">goldenOTP_check!Y45*Y101</f>
        <v>946.31200000000001</v>
      </c>
    </row>
    <row r="46" spans="2:25" x14ac:dyDescent="0.3">
      <c r="B46" s="6">
        <v>43</v>
      </c>
      <c r="C46" s="9">
        <v>1.677</v>
      </c>
      <c r="D46" s="9">
        <v>1.556</v>
      </c>
      <c r="E46" s="9">
        <v>1.556</v>
      </c>
      <c r="F46" s="9">
        <v>1.516</v>
      </c>
      <c r="I46" s="4">
        <f ca="1">goldenOTP_check!I46*I102</f>
        <v>967.43399999999997</v>
      </c>
      <c r="J46" s="4">
        <f ca="1">goldenOTP_check!J46*J102</f>
        <v>1033.875</v>
      </c>
      <c r="K46" s="4">
        <f ca="1">goldenOTP_check!K46*K102</f>
        <v>1080.0340000000001</v>
      </c>
      <c r="L46" s="4">
        <f ca="1">goldenOTP_check!L46*L102</f>
        <v>1118.72</v>
      </c>
      <c r="M46" s="4">
        <f ca="1">goldenOTP_check!M46*M102</f>
        <v>1132.74</v>
      </c>
      <c r="N46" s="4">
        <f ca="1">goldenOTP_check!N46*N102</f>
        <v>1137.8879999999999</v>
      </c>
      <c r="O46" s="4">
        <f ca="1">goldenOTP_check!O46*O102</f>
        <v>1134.345</v>
      </c>
      <c r="P46" s="4">
        <f ca="1">goldenOTP_check!P46*P102</f>
        <v>1135.5</v>
      </c>
      <c r="Q46" s="4">
        <f ca="1">goldenOTP_check!Q46*Q102</f>
        <v>1130.046</v>
      </c>
      <c r="R46" s="4">
        <f ca="1">goldenOTP_check!R46*R102</f>
        <v>1137</v>
      </c>
      <c r="S46" s="4">
        <f ca="1">goldenOTP_check!S46*S102</f>
        <v>1135.7549999999999</v>
      </c>
      <c r="T46" s="4">
        <f ca="1">goldenOTP_check!T46*T102</f>
        <v>1143.72</v>
      </c>
      <c r="U46" s="4">
        <f ca="1">goldenOTP_check!U46*U102</f>
        <v>1142.5999999999999</v>
      </c>
      <c r="V46" s="4">
        <f ca="1">goldenOTP_check!V46*V102</f>
        <v>1132.5440000000001</v>
      </c>
      <c r="W46" s="4">
        <f ca="1">goldenOTP_check!W46*W102</f>
        <v>1092.8810000000001</v>
      </c>
      <c r="X46" s="4">
        <f ca="1">goldenOTP_check!X46*X102</f>
        <v>1044.375</v>
      </c>
      <c r="Y46" s="4">
        <f ca="1">goldenOTP_check!Y46*Y102</f>
        <v>983.44800000000009</v>
      </c>
    </row>
    <row r="47" spans="2:25" x14ac:dyDescent="0.3">
      <c r="B47" s="6">
        <v>44</v>
      </c>
      <c r="C47" s="9">
        <v>1.804</v>
      </c>
      <c r="D47" s="9">
        <v>1.657</v>
      </c>
      <c r="E47" s="9">
        <v>1.6579999999999999</v>
      </c>
      <c r="F47" s="9">
        <v>1.611</v>
      </c>
      <c r="I47" s="4">
        <f ca="1">goldenOTP_check!I47*I103</f>
        <v>1032.691</v>
      </c>
      <c r="J47" s="4">
        <f ca="1">goldenOTP_check!J47*J103</f>
        <v>1053.1750000000002</v>
      </c>
      <c r="K47" s="4">
        <f ca="1">goldenOTP_check!K47*K103</f>
        <v>1108.5629999999999</v>
      </c>
      <c r="L47" s="4">
        <f ca="1">goldenOTP_check!L47*L103</f>
        <v>1139.4079999999999</v>
      </c>
      <c r="M47" s="4">
        <f ca="1">goldenOTP_check!M47*M103</f>
        <v>1143.0720000000001</v>
      </c>
      <c r="N47" s="4">
        <f ca="1">goldenOTP_check!N47*N103</f>
        <v>1151.3620000000001</v>
      </c>
      <c r="O47" s="4">
        <f ca="1">goldenOTP_check!O47*O103</f>
        <v>1126.5719999999999</v>
      </c>
      <c r="P47" s="4">
        <f ca="1">goldenOTP_check!P47*P103</f>
        <v>1108.9000000000001</v>
      </c>
      <c r="Q47" s="4">
        <f ca="1">goldenOTP_check!Q47*Q103</f>
        <v>1097.28</v>
      </c>
      <c r="R47" s="4">
        <f ca="1">goldenOTP_check!R47*R103</f>
        <v>1109.7529999999999</v>
      </c>
      <c r="S47" s="4">
        <f ca="1">goldenOTP_check!S47*S103</f>
        <v>1124.9579999999999</v>
      </c>
      <c r="T47" s="4">
        <f ca="1">goldenOTP_check!T47*T103</f>
        <v>1129.758</v>
      </c>
      <c r="U47" s="4">
        <f ca="1">goldenOTP_check!U47*U103</f>
        <v>1145.0159999999998</v>
      </c>
      <c r="V47" s="4">
        <f ca="1">goldenOTP_check!V47*V103</f>
        <v>1127.3679999999999</v>
      </c>
      <c r="W47" s="4">
        <f ca="1">goldenOTP_check!W47*W103</f>
        <v>1100.4390000000001</v>
      </c>
      <c r="X47" s="4">
        <f ca="1">goldenOTP_check!X47*X103</f>
        <v>1069.944</v>
      </c>
      <c r="Y47" s="4">
        <f ca="1">goldenOTP_check!Y47*Y103</f>
        <v>1044.9060000000002</v>
      </c>
    </row>
    <row r="48" spans="2:25" x14ac:dyDescent="0.3">
      <c r="B48" s="6">
        <v>45</v>
      </c>
      <c r="C48" s="9">
        <v>2.0030000000000001</v>
      </c>
      <c r="D48" s="9">
        <v>1.8180000000000001</v>
      </c>
      <c r="E48" s="9">
        <v>1.819</v>
      </c>
      <c r="F48" s="9">
        <v>1.7649999999999999</v>
      </c>
      <c r="I48" s="4">
        <f ca="1">goldenOTP_check!I48*I104</f>
        <v>1049.93</v>
      </c>
      <c r="J48" s="4">
        <f ca="1">goldenOTP_check!J48*J104</f>
        <v>1058.8320000000001</v>
      </c>
      <c r="K48" s="4">
        <f ca="1">goldenOTP_check!K48*K104</f>
        <v>1099.2639999999999</v>
      </c>
      <c r="L48" s="4">
        <f ca="1">goldenOTP_check!L48*L104</f>
        <v>1143.8820000000001</v>
      </c>
      <c r="M48" s="4">
        <f ca="1">goldenOTP_check!M48*M104</f>
        <v>1136.46</v>
      </c>
      <c r="N48" s="4">
        <f ca="1">goldenOTP_check!N48*N104</f>
        <v>1127.3789999999999</v>
      </c>
      <c r="O48" s="4">
        <f ca="1">goldenOTP_check!O48*O104</f>
        <v>1101.654</v>
      </c>
      <c r="P48" s="4">
        <f ca="1">goldenOTP_check!P48*P104</f>
        <v>1076.46</v>
      </c>
      <c r="Q48" s="4">
        <f ca="1">goldenOTP_check!Q48*Q104</f>
        <v>1076.2850000000001</v>
      </c>
      <c r="R48" s="4">
        <f ca="1">goldenOTP_check!R48*R104</f>
        <v>1076.46</v>
      </c>
      <c r="S48" s="4">
        <f ca="1">goldenOTP_check!S48*S104</f>
        <v>1101.654</v>
      </c>
      <c r="T48" s="4">
        <f ca="1">goldenOTP_check!T48*T104</f>
        <v>1127.3789999999999</v>
      </c>
      <c r="U48" s="4">
        <f ca="1">goldenOTP_check!U48*U104</f>
        <v>1141.395</v>
      </c>
      <c r="V48" s="4">
        <f ca="1">goldenOTP_check!V48*V104</f>
        <v>1132.9639999999999</v>
      </c>
      <c r="W48" s="4">
        <f ca="1">goldenOTP_check!W48*W104</f>
        <v>1114.624</v>
      </c>
      <c r="X48" s="4">
        <f ca="1">goldenOTP_check!X48*X104</f>
        <v>1072.2240000000002</v>
      </c>
      <c r="Y48" s="4">
        <f ca="1">goldenOTP_check!Y48*Y104</f>
        <v>1055.124</v>
      </c>
    </row>
    <row r="49" spans="2:25" x14ac:dyDescent="0.3">
      <c r="B49" s="6">
        <v>46</v>
      </c>
      <c r="C49" s="9">
        <v>2.2669999999999999</v>
      </c>
      <c r="D49" s="9">
        <v>2.0350000000000001</v>
      </c>
      <c r="E49" s="9">
        <v>2.0350000000000001</v>
      </c>
      <c r="F49" s="9">
        <v>1.97</v>
      </c>
      <c r="I49" s="4">
        <f ca="1">goldenOTP_check!I49*I105</f>
        <v>1041.8710000000001</v>
      </c>
      <c r="J49" s="4">
        <f ca="1">goldenOTP_check!J49*J105</f>
        <v>1084.72</v>
      </c>
      <c r="K49" s="4">
        <f ca="1">goldenOTP_check!K49*K105</f>
        <v>1107.5159999999998</v>
      </c>
      <c r="L49" s="4">
        <f ca="1">goldenOTP_check!L49*L105</f>
        <v>1133.8600000000001</v>
      </c>
      <c r="M49" s="4">
        <f ca="1">goldenOTP_check!M49*M105</f>
        <v>1139.25</v>
      </c>
      <c r="N49" s="4">
        <f ca="1">goldenOTP_check!N49*N105</f>
        <v>1109.7529999999999</v>
      </c>
      <c r="O49" s="4">
        <f ca="1">goldenOTP_check!O49*O105</f>
        <v>1073.664</v>
      </c>
      <c r="P49" s="4">
        <f ca="1">goldenOTP_check!P49*P105</f>
        <v>1050.318</v>
      </c>
      <c r="Q49" s="4">
        <f ca="1">goldenOTP_check!Q49*Q105</f>
        <v>1035</v>
      </c>
      <c r="R49" s="4">
        <f ca="1">goldenOTP_check!R49*R105</f>
        <v>1056.252</v>
      </c>
      <c r="S49" s="4">
        <f ca="1">goldenOTP_check!S49*S105</f>
        <v>1081.1199999999999</v>
      </c>
      <c r="T49" s="4">
        <f ca="1">goldenOTP_check!T49*T105</f>
        <v>1101.71</v>
      </c>
      <c r="U49" s="4">
        <f ca="1">goldenOTP_check!U49*U105</f>
        <v>1131.4089999999999</v>
      </c>
      <c r="V49" s="4">
        <f ca="1">goldenOTP_check!V49*V105</f>
        <v>1144.6889999999999</v>
      </c>
      <c r="W49" s="4">
        <f ca="1">goldenOTP_check!W49*W105</f>
        <v>1120.3319999999999</v>
      </c>
      <c r="X49" s="4">
        <f ca="1">goldenOTP_check!X49*X105</f>
        <v>1064.972</v>
      </c>
      <c r="Y49" s="4">
        <f ca="1">goldenOTP_check!Y49*Y105</f>
        <v>1047.8880000000001</v>
      </c>
    </row>
    <row r="50" spans="2:25" x14ac:dyDescent="0.3">
      <c r="B50" s="6">
        <v>47</v>
      </c>
      <c r="C50" s="9">
        <v>2.5739999999999998</v>
      </c>
      <c r="D50" s="9">
        <v>2.2919999999999998</v>
      </c>
      <c r="E50" s="9">
        <v>2.2909999999999999</v>
      </c>
      <c r="F50" s="9">
        <v>2.2120000000000002</v>
      </c>
      <c r="I50" s="4">
        <f ca="1">goldenOTP_check!I50*I106</f>
        <v>1031.259</v>
      </c>
      <c r="J50" s="4">
        <f ca="1">goldenOTP_check!J50*J106</f>
        <v>1077.44</v>
      </c>
      <c r="K50" s="4">
        <f ca="1">goldenOTP_check!K50*K106</f>
        <v>1122.576</v>
      </c>
      <c r="L50" s="4">
        <f ca="1">goldenOTP_check!L50*L106</f>
        <v>1139.8319999999999</v>
      </c>
      <c r="M50" s="4">
        <f ca="1">goldenOTP_check!M50*M106</f>
        <v>1136.904</v>
      </c>
      <c r="N50" s="4">
        <f ca="1">goldenOTP_check!N50*N106</f>
        <v>1100.7360000000001</v>
      </c>
      <c r="O50" s="4">
        <f ca="1">goldenOTP_check!O50*O106</f>
        <v>1058.989</v>
      </c>
      <c r="P50" s="4">
        <f ca="1">goldenOTP_check!P50*P106</f>
        <v>1029</v>
      </c>
      <c r="Q50" s="4">
        <f ca="1">goldenOTP_check!Q50*Q106</f>
        <v>1029.1379999999999</v>
      </c>
      <c r="R50" s="4">
        <f ca="1">goldenOTP_check!R50*R106</f>
        <v>1035</v>
      </c>
      <c r="S50" s="4">
        <f ca="1">goldenOTP_check!S50*S106</f>
        <v>1067.4759999999999</v>
      </c>
      <c r="T50" s="4">
        <f ca="1">goldenOTP_check!T50*T106</f>
        <v>1109.376</v>
      </c>
      <c r="U50" s="4">
        <f ca="1">goldenOTP_check!U50*U106</f>
        <v>1127.25</v>
      </c>
      <c r="V50" s="4">
        <f ca="1">goldenOTP_check!V50*V106</f>
        <v>1150.2</v>
      </c>
      <c r="W50" s="4">
        <f ca="1">goldenOTP_check!W50*W106</f>
        <v>1133.4960000000001</v>
      </c>
      <c r="X50" s="4">
        <f ca="1">goldenOTP_check!X50*X106</f>
        <v>1085.175</v>
      </c>
      <c r="Y50" s="4">
        <f ca="1">goldenOTP_check!Y50*Y106</f>
        <v>1027.0899999999999</v>
      </c>
    </row>
    <row r="51" spans="2:25" x14ac:dyDescent="0.3">
      <c r="B51" s="6">
        <v>48</v>
      </c>
      <c r="C51" s="9">
        <v>2.891</v>
      </c>
      <c r="D51" s="9">
        <v>2.5659999999999998</v>
      </c>
      <c r="E51" s="9">
        <v>2.5640000000000001</v>
      </c>
      <c r="F51" s="9">
        <v>2.4670000000000001</v>
      </c>
      <c r="I51" s="4">
        <f ca="1">goldenOTP_check!I51*I107</f>
        <v>1051.335</v>
      </c>
      <c r="J51" s="4">
        <f ca="1">goldenOTP_check!J51*J107</f>
        <v>1059.213</v>
      </c>
      <c r="K51" s="4">
        <f ca="1">goldenOTP_check!K51*K107</f>
        <v>1114.992</v>
      </c>
      <c r="L51" s="4">
        <f ca="1">goldenOTP_check!L51*L107</f>
        <v>1145.326</v>
      </c>
      <c r="M51" s="4">
        <f ca="1">goldenOTP_check!M51*M107</f>
        <v>1133.626</v>
      </c>
      <c r="N51" s="4">
        <f ca="1">goldenOTP_check!N51*N107</f>
        <v>1101.71</v>
      </c>
      <c r="O51" s="4">
        <f ca="1">goldenOTP_check!O51*O107</f>
        <v>1079.2559999999999</v>
      </c>
      <c r="P51" s="4">
        <f ca="1">goldenOTP_check!P51*P107</f>
        <v>1040.5920000000001</v>
      </c>
      <c r="Q51" s="4">
        <f ca="1">goldenOTP_check!Q51*Q107</f>
        <v>1033</v>
      </c>
      <c r="R51" s="4">
        <f ca="1">goldenOTP_check!R51*R107</f>
        <v>1042.548</v>
      </c>
      <c r="S51" s="4">
        <f ca="1">goldenOTP_check!S51*S107</f>
        <v>1080.1880000000001</v>
      </c>
      <c r="T51" s="4">
        <f ca="1">goldenOTP_check!T51*T107</f>
        <v>1102.5509999999999</v>
      </c>
      <c r="U51" s="4">
        <f ca="1">goldenOTP_check!U51*U107</f>
        <v>1135.8429999999998</v>
      </c>
      <c r="V51" s="4">
        <f ca="1">goldenOTP_check!V51*V107</f>
        <v>1152.3329999999999</v>
      </c>
      <c r="W51" s="4">
        <f ca="1">goldenOTP_check!W51*W107</f>
        <v>1128.876</v>
      </c>
      <c r="X51" s="4">
        <f ca="1">goldenOTP_check!X51*X107</f>
        <v>1072.9460000000001</v>
      </c>
      <c r="Y51" s="4">
        <f ca="1">goldenOTP_check!Y51*Y107</f>
        <v>1053.25</v>
      </c>
    </row>
    <row r="52" spans="2:25" x14ac:dyDescent="0.3">
      <c r="B52" s="6">
        <v>49</v>
      </c>
      <c r="C52" s="9">
        <v>3.2789999999999999</v>
      </c>
      <c r="D52" s="9">
        <v>2.911</v>
      </c>
      <c r="E52" s="9">
        <v>2.907</v>
      </c>
      <c r="F52" s="9">
        <v>2.7850000000000001</v>
      </c>
      <c r="I52" s="4">
        <f ca="1">goldenOTP_check!I52*I108</f>
        <v>1008.904</v>
      </c>
      <c r="J52" s="4">
        <f ca="1">goldenOTP_check!J52*J108</f>
        <v>1063.5840000000001</v>
      </c>
      <c r="K52" s="4">
        <f ca="1">goldenOTP_check!K52*K108</f>
        <v>1105.92</v>
      </c>
      <c r="L52" s="4">
        <f ca="1">goldenOTP_check!L52*L108</f>
        <v>1129.954</v>
      </c>
      <c r="M52" s="4">
        <f ca="1">goldenOTP_check!M52*M108</f>
        <v>1144.2149999999999</v>
      </c>
      <c r="N52" s="4">
        <f ca="1">goldenOTP_check!N52*N108</f>
        <v>1119.972</v>
      </c>
      <c r="O52" s="4">
        <f ca="1">goldenOTP_check!O52*O108</f>
        <v>1093.75</v>
      </c>
      <c r="P52" s="4">
        <f ca="1">goldenOTP_check!P52*P108</f>
        <v>1082.9839999999999</v>
      </c>
      <c r="Q52" s="4">
        <f ca="1">goldenOTP_check!Q52*Q108</f>
        <v>1070.3050000000001</v>
      </c>
      <c r="R52" s="4">
        <f ca="1">goldenOTP_check!R52*R108</f>
        <v>1068.3599999999999</v>
      </c>
      <c r="S52" s="4">
        <f ca="1">goldenOTP_check!S52*S108</f>
        <v>1090.25</v>
      </c>
      <c r="T52" s="4">
        <f ca="1">goldenOTP_check!T52*T108</f>
        <v>1114.3999999999999</v>
      </c>
      <c r="U52" s="4">
        <f ca="1">goldenOTP_check!U52*U108</f>
        <v>1145.625</v>
      </c>
      <c r="V52" s="4">
        <f ca="1">goldenOTP_check!V52*V108</f>
        <v>1139.586</v>
      </c>
      <c r="W52" s="4">
        <f ca="1">goldenOTP_check!W52*W108</f>
        <v>1122.3040000000001</v>
      </c>
      <c r="X52" s="4">
        <f ca="1">goldenOTP_check!X52*X108</f>
        <v>1079.1360000000002</v>
      </c>
      <c r="Y52" s="4">
        <f ca="1">goldenOTP_check!Y52*Y108</f>
        <v>1016.38</v>
      </c>
    </row>
    <row r="53" spans="2:25" x14ac:dyDescent="0.3">
      <c r="B53" s="6">
        <v>50</v>
      </c>
      <c r="C53" s="9">
        <v>3.694</v>
      </c>
      <c r="D53" s="9">
        <v>3.2919999999999998</v>
      </c>
      <c r="E53" s="9">
        <v>3.2869999999999999</v>
      </c>
      <c r="F53" s="9">
        <v>3.1320000000000001</v>
      </c>
      <c r="I53" s="4">
        <f ca="1">goldenOTP_check!I53*I109</f>
        <v>990.67500000000007</v>
      </c>
      <c r="J53" s="4">
        <f ca="1">goldenOTP_check!J53*J109</f>
        <v>1059.7190000000001</v>
      </c>
      <c r="K53" s="4">
        <f ca="1">goldenOTP_check!K53*K109</f>
        <v>1088.5140000000001</v>
      </c>
      <c r="L53" s="4">
        <f ca="1">goldenOTP_check!L53*L109</f>
        <v>1121.7979999999998</v>
      </c>
      <c r="M53" s="4">
        <f ca="1">goldenOTP_check!M53*M109</f>
        <v>1145.0159999999998</v>
      </c>
      <c r="N53" s="4">
        <f ca="1">goldenOTP_check!N53*N109</f>
        <v>1135.5740000000001</v>
      </c>
      <c r="O53" s="4">
        <f ca="1">goldenOTP_check!O53*O109</f>
        <v>1119.1759999999999</v>
      </c>
      <c r="P53" s="4">
        <f ca="1">goldenOTP_check!P53*P109</f>
        <v>1106.7560000000001</v>
      </c>
      <c r="Q53" s="4">
        <f ca="1">goldenOTP_check!Q53*Q109</f>
        <v>1098.664</v>
      </c>
      <c r="R53" s="4">
        <f ca="1">goldenOTP_check!R53*R109</f>
        <v>1108.4380000000001</v>
      </c>
      <c r="S53" s="4">
        <f ca="1">goldenOTP_check!S53*S109</f>
        <v>1119.972</v>
      </c>
      <c r="T53" s="4">
        <f ca="1">goldenOTP_check!T53*T109</f>
        <v>1137.028</v>
      </c>
      <c r="U53" s="4">
        <f ca="1">goldenOTP_check!U53*U109</f>
        <v>1131.3120000000001</v>
      </c>
      <c r="V53" s="4">
        <f ca="1">goldenOTP_check!V53*V109</f>
        <v>1131.8240000000001</v>
      </c>
      <c r="W53" s="4">
        <f ca="1">goldenOTP_check!W53*W109</f>
        <v>1101.8700000000001</v>
      </c>
      <c r="X53" s="4">
        <f ca="1">goldenOTP_check!X53*X109</f>
        <v>1067.8990000000001</v>
      </c>
      <c r="Y53" s="4">
        <f ca="1">goldenOTP_check!Y53*Y109</f>
        <v>992.00700000000006</v>
      </c>
    </row>
    <row r="54" spans="2:25" x14ac:dyDescent="0.3">
      <c r="B54" s="6">
        <v>51</v>
      </c>
      <c r="C54" s="9">
        <v>3.4689999999999999</v>
      </c>
      <c r="D54" s="9">
        <v>3.0840000000000001</v>
      </c>
      <c r="E54" s="9">
        <v>3.0840000000000001</v>
      </c>
      <c r="F54" s="9">
        <v>2.9590000000000001</v>
      </c>
      <c r="I54" s="4">
        <f ca="1">goldenOTP_check!I54*I110</f>
        <v>974.02799999999991</v>
      </c>
      <c r="J54" s="4">
        <f ca="1">goldenOTP_check!J54*J110</f>
        <v>1041.75</v>
      </c>
      <c r="K54" s="4">
        <f ca="1">goldenOTP_check!K54*K110</f>
        <v>1060.992</v>
      </c>
      <c r="L54" s="4">
        <f ca="1">goldenOTP_check!L54*L110</f>
        <v>1101</v>
      </c>
      <c r="M54" s="4">
        <f ca="1">goldenOTP_check!M54*M110</f>
        <v>1119.528</v>
      </c>
      <c r="N54" s="4">
        <f ca="1">goldenOTP_check!N54*N110</f>
        <v>1129.4009999999998</v>
      </c>
      <c r="O54" s="4">
        <f ca="1">goldenOTP_check!O54*O110</f>
        <v>1126.125</v>
      </c>
      <c r="P54" s="4">
        <f ca="1">goldenOTP_check!P54*P110</f>
        <v>1132.8869999999999</v>
      </c>
      <c r="Q54" s="4">
        <f ca="1">goldenOTP_check!Q54*Q110</f>
        <v>1128.75</v>
      </c>
      <c r="R54" s="4">
        <f ca="1">goldenOTP_check!R54*R110</f>
        <v>1138.06</v>
      </c>
      <c r="S54" s="4">
        <f ca="1">goldenOTP_check!S54*S110</f>
        <v>1134.441</v>
      </c>
      <c r="T54" s="4">
        <f ca="1">goldenOTP_check!T54*T110</f>
        <v>1138.319</v>
      </c>
      <c r="U54" s="4">
        <f ca="1">goldenOTP_check!U54*U110</f>
        <v>1126.912</v>
      </c>
      <c r="V54" s="4">
        <f ca="1">goldenOTP_check!V54*V110</f>
        <v>1110.5</v>
      </c>
      <c r="W54" s="4">
        <f ca="1">goldenOTP_check!W54*W110</f>
        <v>1068.336</v>
      </c>
      <c r="X54" s="4">
        <f ca="1">goldenOTP_check!X54*X110</f>
        <v>1044</v>
      </c>
      <c r="Y54" s="4">
        <f ca="1">goldenOTP_check!Y54*Y110</f>
        <v>982.19200000000001</v>
      </c>
    </row>
    <row r="55" spans="2:25" x14ac:dyDescent="0.3">
      <c r="B55" s="6">
        <v>52</v>
      </c>
      <c r="C55" s="9">
        <v>2.9990000000000001</v>
      </c>
      <c r="D55" s="9">
        <v>2.6760000000000002</v>
      </c>
      <c r="E55" s="9">
        <v>2.677</v>
      </c>
      <c r="F55" s="9">
        <v>2.5750000000000002</v>
      </c>
      <c r="I55" s="4">
        <f ca="1">goldenOTP_check!I55*I111</f>
        <v>924.11199999999997</v>
      </c>
      <c r="J55" s="4">
        <f ca="1">goldenOTP_check!J55*J111</f>
        <v>1007.655</v>
      </c>
      <c r="K55" s="4">
        <f ca="1">goldenOTP_check!K55*K111</f>
        <v>1037.182</v>
      </c>
      <c r="L55" s="4">
        <f ca="1">goldenOTP_check!L55*L111</f>
        <v>1072.06</v>
      </c>
      <c r="M55" s="4">
        <f ca="1">goldenOTP_check!M55*M111</f>
        <v>1105.5</v>
      </c>
      <c r="N55" s="4">
        <f ca="1">goldenOTP_check!N55*N111</f>
        <v>1129.039</v>
      </c>
      <c r="O55" s="4">
        <f ca="1">goldenOTP_check!O55*O111</f>
        <v>1135.3719999999998</v>
      </c>
      <c r="P55" s="4">
        <f ca="1">goldenOTP_check!P55*P111</f>
        <v>1122.5</v>
      </c>
      <c r="Q55" s="4">
        <f ca="1">goldenOTP_check!Q55*Q111</f>
        <v>1126.2160000000001</v>
      </c>
      <c r="R55" s="4">
        <f ca="1">goldenOTP_check!R55*R111</f>
        <v>1125.625</v>
      </c>
      <c r="S55" s="4">
        <f ca="1">goldenOTP_check!S55*S111</f>
        <v>1139.586</v>
      </c>
      <c r="T55" s="4">
        <f ca="1">goldenOTP_check!T55*T111</f>
        <v>1135.1659999999999</v>
      </c>
      <c r="U55" s="4">
        <f ca="1">goldenOTP_check!U55*U111</f>
        <v>1114</v>
      </c>
      <c r="V55" s="4">
        <f ca="1">goldenOTP_check!V55*V111</f>
        <v>1079.1479999999999</v>
      </c>
      <c r="W55" s="4">
        <f ca="1">goldenOTP_check!W55*W111</f>
        <v>1039.498</v>
      </c>
      <c r="X55" s="4">
        <f ca="1">goldenOTP_check!X55*X111</f>
        <v>1016.521</v>
      </c>
      <c r="Y55" s="4">
        <f ca="1">goldenOTP_check!Y55*Y111</f>
        <v>955.48800000000006</v>
      </c>
    </row>
    <row r="56" spans="2:25" x14ac:dyDescent="0.3">
      <c r="B56" s="6">
        <v>53</v>
      </c>
      <c r="C56" s="9">
        <v>2.6190000000000002</v>
      </c>
      <c r="D56" s="9">
        <v>2.347</v>
      </c>
      <c r="E56" s="9">
        <v>2.347</v>
      </c>
      <c r="F56" s="9">
        <v>2.2669999999999999</v>
      </c>
      <c r="I56" s="12">
        <f ca="1">goldenOTP_check!I56*I112</f>
        <v>813.28499999999997</v>
      </c>
      <c r="J56" s="4">
        <f ca="1">goldenOTP_check!J56*J112</f>
        <v>909.01600000000008</v>
      </c>
      <c r="K56" s="4">
        <f ca="1">goldenOTP_check!K56*K112</f>
        <v>1008.337</v>
      </c>
      <c r="L56" s="4">
        <f ca="1">goldenOTP_check!L56*L112</f>
        <v>1077.386</v>
      </c>
      <c r="M56" s="4">
        <f ca="1">goldenOTP_check!M56*M112</f>
        <v>1095.6000000000001</v>
      </c>
      <c r="N56" s="4">
        <f ca="1">goldenOTP_check!N56*N112</f>
        <v>1086.712</v>
      </c>
      <c r="O56" s="4">
        <f ca="1">goldenOTP_check!O56*O112</f>
        <v>1126.912</v>
      </c>
      <c r="P56" s="4">
        <f ca="1">goldenOTP_check!P56*P112</f>
        <v>1125.1380000000001</v>
      </c>
      <c r="Q56" s="4">
        <f ca="1">goldenOTP_check!Q56*Q112</f>
        <v>1101.3399999999999</v>
      </c>
      <c r="R56" s="4">
        <f ca="1">goldenOTP_check!R56*R112</f>
        <v>1126.74</v>
      </c>
      <c r="S56" s="4">
        <f ca="1">goldenOTP_check!S56*S112</f>
        <v>1091.2</v>
      </c>
      <c r="T56" s="4">
        <f ca="1">goldenOTP_check!T56*T112</f>
        <v>1084.848</v>
      </c>
      <c r="U56" s="4">
        <f ca="1">goldenOTP_check!U56*U112</f>
        <v>1057.0319999999999</v>
      </c>
      <c r="V56" s="4">
        <f ca="1">goldenOTP_check!V56*V112</f>
        <v>1037.547</v>
      </c>
      <c r="W56" s="4">
        <f ca="1">goldenOTP_check!W56*W112</f>
        <v>1019.931</v>
      </c>
      <c r="X56" s="4">
        <f ca="1">goldenOTP_check!X56*X112</f>
        <v>940.98399999999992</v>
      </c>
      <c r="Y56" s="12">
        <f ca="1">goldenOTP_check!Y56*Y112</f>
        <v>873.97</v>
      </c>
    </row>
    <row r="57" spans="2:25" x14ac:dyDescent="0.3">
      <c r="B57" s="6">
        <v>54</v>
      </c>
      <c r="C57" s="9">
        <v>2.2959999999999998</v>
      </c>
      <c r="D57" s="9">
        <v>2.0680000000000001</v>
      </c>
      <c r="E57" s="9">
        <v>2.069</v>
      </c>
      <c r="F57" s="9">
        <v>2.0059999999999998</v>
      </c>
    </row>
    <row r="58" spans="2:25" x14ac:dyDescent="0.3">
      <c r="B58" s="6">
        <v>55</v>
      </c>
      <c r="C58" s="9">
        <v>1.9850000000000001</v>
      </c>
      <c r="D58" s="9">
        <v>1.81</v>
      </c>
      <c r="E58" s="9">
        <v>1.8109999999999999</v>
      </c>
      <c r="F58" s="9">
        <v>1.764</v>
      </c>
      <c r="H58" t="s">
        <v>5</v>
      </c>
      <c r="I58" s="3">
        <f t="shared" ref="I58:Y70" ca="1" si="0">INDIRECT("C"&amp;(17*ROW(1:1)+ROW($C$3)-19+IF(COLUMN(C:C)&gt;19,50000,COLUMN(C:C)-1)))</f>
        <v>3.42</v>
      </c>
      <c r="J58" s="2">
        <f t="shared" ca="1" si="0"/>
        <v>3.5</v>
      </c>
      <c r="K58" s="2">
        <f t="shared" ca="1" si="0"/>
        <v>3.3769999999999998</v>
      </c>
      <c r="L58" s="2">
        <f t="shared" ca="1" si="0"/>
        <v>3.06</v>
      </c>
      <c r="M58" s="2">
        <f t="shared" ca="1" si="0"/>
        <v>2.7959999999999998</v>
      </c>
      <c r="N58" s="2">
        <f t="shared" ca="1" si="0"/>
        <v>2.617</v>
      </c>
      <c r="O58" s="2">
        <f t="shared" ca="1" si="0"/>
        <v>2.472</v>
      </c>
      <c r="P58" s="2">
        <f t="shared" ca="1" si="0"/>
        <v>2.38</v>
      </c>
      <c r="Q58" s="2">
        <f t="shared" ca="1" si="0"/>
        <v>2.355</v>
      </c>
      <c r="R58" s="2">
        <f t="shared" ca="1" si="0"/>
        <v>2.3919999999999999</v>
      </c>
      <c r="S58" s="2">
        <f t="shared" ca="1" si="0"/>
        <v>2.496</v>
      </c>
      <c r="T58" s="2">
        <f t="shared" ca="1" si="0"/>
        <v>2.6520000000000001</v>
      </c>
      <c r="U58" s="2">
        <f t="shared" ca="1" si="0"/>
        <v>2.8439999999999999</v>
      </c>
      <c r="V58" s="2">
        <f t="shared" ca="1" si="0"/>
        <v>3.1059999999999999</v>
      </c>
      <c r="W58" s="2">
        <f t="shared" ca="1" si="0"/>
        <v>3.4409999999999998</v>
      </c>
      <c r="X58" s="2">
        <f t="shared" ca="1" si="0"/>
        <v>3.6419999999999999</v>
      </c>
      <c r="Y58" s="3">
        <f t="shared" ca="1" si="0"/>
        <v>3.7010000000000001</v>
      </c>
    </row>
    <row r="59" spans="2:25" x14ac:dyDescent="0.3">
      <c r="B59" s="6">
        <v>56</v>
      </c>
      <c r="C59" s="9">
        <v>1.722</v>
      </c>
      <c r="D59" s="9">
        <v>1.597</v>
      </c>
      <c r="E59" s="9">
        <v>1.5980000000000001</v>
      </c>
      <c r="F59" s="9">
        <v>1.5580000000000001</v>
      </c>
      <c r="I59" s="2">
        <f t="shared" ca="1" si="0"/>
        <v>3.6230000000000002</v>
      </c>
      <c r="J59" s="2">
        <f t="shared" ca="1" si="0"/>
        <v>3.44</v>
      </c>
      <c r="K59" s="2">
        <f t="shared" ca="1" si="0"/>
        <v>3.0990000000000002</v>
      </c>
      <c r="L59" s="2">
        <f t="shared" ca="1" si="0"/>
        <v>2.7669999999999999</v>
      </c>
      <c r="M59" s="2">
        <f t="shared" ca="1" si="0"/>
        <v>2.512</v>
      </c>
      <c r="N59" s="2">
        <f t="shared" ca="1" si="0"/>
        <v>2.2909999999999999</v>
      </c>
      <c r="O59" s="2">
        <f t="shared" ca="1" si="0"/>
        <v>2.117</v>
      </c>
      <c r="P59" s="2">
        <f t="shared" ca="1" si="0"/>
        <v>2.0089999999999999</v>
      </c>
      <c r="Q59" s="2">
        <f t="shared" ca="1" si="0"/>
        <v>1.976</v>
      </c>
      <c r="R59" s="2">
        <f t="shared" ca="1" si="0"/>
        <v>2.0219999999999998</v>
      </c>
      <c r="S59" s="2">
        <f t="shared" ca="1" si="0"/>
        <v>2.141</v>
      </c>
      <c r="T59" s="2">
        <f t="shared" ca="1" si="0"/>
        <v>2.3239999999999998</v>
      </c>
      <c r="U59" s="2">
        <f t="shared" ca="1" si="0"/>
        <v>2.5609999999999999</v>
      </c>
      <c r="V59" s="2">
        <f t="shared" ca="1" si="0"/>
        <v>2.8239999999999998</v>
      </c>
      <c r="W59" s="2">
        <f t="shared" ca="1" si="0"/>
        <v>3.153</v>
      </c>
      <c r="X59" s="2">
        <f t="shared" ca="1" si="0"/>
        <v>3.508</v>
      </c>
      <c r="Y59" s="2">
        <f t="shared" ca="1" si="0"/>
        <v>3.7589999999999999</v>
      </c>
    </row>
    <row r="60" spans="2:25" x14ac:dyDescent="0.3">
      <c r="B60" s="6">
        <v>57</v>
      </c>
      <c r="C60" s="9">
        <v>1.52</v>
      </c>
      <c r="D60" s="9">
        <v>1.43</v>
      </c>
      <c r="E60" s="9">
        <v>1.4319999999999999</v>
      </c>
      <c r="F60" s="9">
        <v>1.3959999999999999</v>
      </c>
      <c r="I60" s="2">
        <f t="shared" ca="1" si="0"/>
        <v>3.621</v>
      </c>
      <c r="J60" s="2">
        <f t="shared" ca="1" si="0"/>
        <v>3.226</v>
      </c>
      <c r="K60" s="2">
        <f t="shared" ca="1" si="0"/>
        <v>2.83</v>
      </c>
      <c r="L60" s="2">
        <f t="shared" ca="1" si="0"/>
        <v>2.5219999999999998</v>
      </c>
      <c r="M60" s="2">
        <f t="shared" ca="1" si="0"/>
        <v>2.2309999999999999</v>
      </c>
      <c r="N60" s="2">
        <f t="shared" ca="1" si="0"/>
        <v>1.982</v>
      </c>
      <c r="O60" s="2">
        <f t="shared" ca="1" si="0"/>
        <v>1.792</v>
      </c>
      <c r="P60" s="2">
        <f t="shared" ca="1" si="0"/>
        <v>1.67</v>
      </c>
      <c r="Q60" s="2">
        <f t="shared" ca="1" si="0"/>
        <v>1.631</v>
      </c>
      <c r="R60" s="2">
        <f t="shared" ca="1" si="0"/>
        <v>1.677</v>
      </c>
      <c r="S60" s="2">
        <f t="shared" ca="1" si="0"/>
        <v>1.804</v>
      </c>
      <c r="T60" s="2">
        <f t="shared" ca="1" si="0"/>
        <v>2.0030000000000001</v>
      </c>
      <c r="U60" s="2">
        <f t="shared" ca="1" si="0"/>
        <v>2.2669999999999999</v>
      </c>
      <c r="V60" s="2">
        <f t="shared" ca="1" si="0"/>
        <v>2.5739999999999998</v>
      </c>
      <c r="W60" s="2">
        <f t="shared" ca="1" si="0"/>
        <v>2.891</v>
      </c>
      <c r="X60" s="2">
        <f t="shared" ca="1" si="0"/>
        <v>3.2789999999999999</v>
      </c>
      <c r="Y60" s="2">
        <f t="shared" ca="1" si="0"/>
        <v>3.694</v>
      </c>
    </row>
    <row r="61" spans="2:25" x14ac:dyDescent="0.3">
      <c r="B61" s="6">
        <v>58</v>
      </c>
      <c r="C61" s="9">
        <v>1.395</v>
      </c>
      <c r="D61" s="9">
        <v>1.3280000000000001</v>
      </c>
      <c r="E61" s="9">
        <v>1.329</v>
      </c>
      <c r="F61" s="9">
        <v>1.3</v>
      </c>
      <c r="I61" s="2">
        <f t="shared" ca="1" si="0"/>
        <v>3.4689999999999999</v>
      </c>
      <c r="J61" s="2">
        <f t="shared" ca="1" si="0"/>
        <v>2.9990000000000001</v>
      </c>
      <c r="K61" s="2">
        <f t="shared" ca="1" si="0"/>
        <v>2.6190000000000002</v>
      </c>
      <c r="L61" s="2">
        <f t="shared" ca="1" si="0"/>
        <v>2.2959999999999998</v>
      </c>
      <c r="M61" s="2">
        <f t="shared" ca="1" si="0"/>
        <v>1.9850000000000001</v>
      </c>
      <c r="N61" s="2">
        <f t="shared" ca="1" si="0"/>
        <v>1.722</v>
      </c>
      <c r="O61" s="2">
        <f t="shared" ca="1" si="0"/>
        <v>1.52</v>
      </c>
      <c r="P61" s="2">
        <f t="shared" ca="1" si="0"/>
        <v>1.395</v>
      </c>
      <c r="Q61" s="2">
        <f t="shared" ca="1" si="0"/>
        <v>1.353</v>
      </c>
      <c r="R61" s="2">
        <f t="shared" ca="1" si="0"/>
        <v>1.3979999999999999</v>
      </c>
      <c r="S61" s="2">
        <f t="shared" ca="1" si="0"/>
        <v>1.5229999999999999</v>
      </c>
      <c r="T61" s="2">
        <f t="shared" ca="1" si="0"/>
        <v>1.73</v>
      </c>
      <c r="U61" s="2">
        <f t="shared" ca="1" si="0"/>
        <v>2.004</v>
      </c>
      <c r="V61" s="2">
        <f t="shared" ca="1" si="0"/>
        <v>2.3340000000000001</v>
      </c>
      <c r="W61" s="2">
        <f t="shared" ca="1" si="0"/>
        <v>2.6880000000000002</v>
      </c>
      <c r="X61" s="2">
        <f t="shared" ca="1" si="0"/>
        <v>3.0670000000000002</v>
      </c>
      <c r="Y61" s="2">
        <f t="shared" ca="1" si="0"/>
        <v>3.5209999999999999</v>
      </c>
    </row>
    <row r="62" spans="2:25" x14ac:dyDescent="0.3">
      <c r="B62" s="6">
        <v>59</v>
      </c>
      <c r="C62" s="9">
        <v>1.353</v>
      </c>
      <c r="D62" s="9">
        <v>1.2949999999999999</v>
      </c>
      <c r="E62" s="9">
        <v>1.2949999999999999</v>
      </c>
      <c r="F62" s="9">
        <v>1.27</v>
      </c>
      <c r="I62" s="2">
        <f t="shared" ca="1" si="0"/>
        <v>3.3039999999999998</v>
      </c>
      <c r="J62" s="2">
        <f t="shared" ca="1" si="0"/>
        <v>2.8460000000000001</v>
      </c>
      <c r="K62" s="2">
        <f t="shared" ca="1" si="0"/>
        <v>2.4660000000000002</v>
      </c>
      <c r="L62" s="2">
        <f t="shared" ca="1" si="0"/>
        <v>2.1110000000000002</v>
      </c>
      <c r="M62" s="2">
        <f t="shared" ca="1" si="0"/>
        <v>1.79</v>
      </c>
      <c r="N62" s="2">
        <f t="shared" ca="1" si="0"/>
        <v>1.518</v>
      </c>
      <c r="O62" s="2">
        <f t="shared" ca="1" si="0"/>
        <v>1.321</v>
      </c>
      <c r="P62" s="2">
        <f t="shared" ca="1" si="0"/>
        <v>1.2050000000000001</v>
      </c>
      <c r="Q62" s="2">
        <f t="shared" ca="1" si="0"/>
        <v>1.165</v>
      </c>
      <c r="R62" s="2">
        <f t="shared" ca="1" si="0"/>
        <v>1.2090000000000001</v>
      </c>
      <c r="S62" s="2">
        <f t="shared" ca="1" si="0"/>
        <v>1.327</v>
      </c>
      <c r="T62" s="2">
        <f t="shared" ca="1" si="0"/>
        <v>1.5269999999999999</v>
      </c>
      <c r="U62" s="2">
        <f t="shared" ca="1" si="0"/>
        <v>1.8120000000000001</v>
      </c>
      <c r="V62" s="2">
        <f t="shared" ca="1" si="0"/>
        <v>2.15</v>
      </c>
      <c r="W62" s="2">
        <f t="shared" ca="1" si="0"/>
        <v>2.5249999999999999</v>
      </c>
      <c r="X62" s="2">
        <f t="shared" ca="1" si="0"/>
        <v>2.9039999999999999</v>
      </c>
      <c r="Y62" s="2">
        <f t="shared" ca="1" si="0"/>
        <v>3.339</v>
      </c>
    </row>
    <row r="63" spans="2:25" x14ac:dyDescent="0.3">
      <c r="B63" s="6">
        <v>60</v>
      </c>
      <c r="C63" s="9">
        <v>1.3979999999999999</v>
      </c>
      <c r="D63" s="9">
        <v>1.33</v>
      </c>
      <c r="E63" s="9">
        <v>1.33</v>
      </c>
      <c r="F63" s="9">
        <v>1.3009999999999999</v>
      </c>
      <c r="I63" s="2">
        <f t="shared" ca="1" si="0"/>
        <v>3.2090000000000001</v>
      </c>
      <c r="J63" s="2">
        <f t="shared" ca="1" si="0"/>
        <v>2.7650000000000001</v>
      </c>
      <c r="K63" s="2">
        <f t="shared" ca="1" si="0"/>
        <v>2.3759999999999999</v>
      </c>
      <c r="L63" s="2">
        <f t="shared" ca="1" si="0"/>
        <v>2.0049999999999999</v>
      </c>
      <c r="M63" s="2">
        <f t="shared" ca="1" si="0"/>
        <v>1.6679999999999999</v>
      </c>
      <c r="N63" s="2">
        <f t="shared" ca="1" si="0"/>
        <v>1.391</v>
      </c>
      <c r="O63" s="2">
        <f t="shared" ca="1" si="0"/>
        <v>1.202</v>
      </c>
      <c r="P63" s="2">
        <f t="shared" ca="1" si="0"/>
        <v>1.0840000000000001</v>
      </c>
      <c r="Q63" s="2">
        <f t="shared" ca="1" si="0"/>
        <v>1.046</v>
      </c>
      <c r="R63" s="2">
        <f t="shared" ca="1" si="0"/>
        <v>1.091</v>
      </c>
      <c r="S63" s="2">
        <f t="shared" ca="1" si="0"/>
        <v>1.2150000000000001</v>
      </c>
      <c r="T63" s="2">
        <f t="shared" ca="1" si="0"/>
        <v>1.4079999999999999</v>
      </c>
      <c r="U63" s="2">
        <f t="shared" ca="1" si="0"/>
        <v>1.6930000000000001</v>
      </c>
      <c r="V63" s="2">
        <f t="shared" ca="1" si="0"/>
        <v>2.0430000000000001</v>
      </c>
      <c r="W63" s="2">
        <f t="shared" ca="1" si="0"/>
        <v>2.4279999999999999</v>
      </c>
      <c r="X63" s="2">
        <f t="shared" ca="1" si="0"/>
        <v>2.81</v>
      </c>
      <c r="Y63" s="2">
        <f t="shared" ca="1" si="0"/>
        <v>3.2090000000000001</v>
      </c>
    </row>
    <row r="64" spans="2:25" x14ac:dyDescent="0.3">
      <c r="B64" s="6">
        <v>61</v>
      </c>
      <c r="C64" s="9">
        <v>1.5229999999999999</v>
      </c>
      <c r="D64" s="9">
        <v>1.431</v>
      </c>
      <c r="E64" s="9">
        <v>1.431</v>
      </c>
      <c r="F64" s="9">
        <v>1.3939999999999999</v>
      </c>
      <c r="I64" s="2">
        <f t="shared" ca="1" si="0"/>
        <v>3.173</v>
      </c>
      <c r="J64" s="2">
        <f t="shared" ca="1" si="0"/>
        <v>2.742</v>
      </c>
      <c r="K64" s="2">
        <f t="shared" ca="1" si="0"/>
        <v>2.3530000000000002</v>
      </c>
      <c r="L64" s="2">
        <f t="shared" ca="1" si="0"/>
        <v>1.9750000000000001</v>
      </c>
      <c r="M64" s="2">
        <f t="shared" ca="1" si="0"/>
        <v>1.63</v>
      </c>
      <c r="N64" s="2">
        <f t="shared" ca="1" si="0"/>
        <v>1.3520000000000001</v>
      </c>
      <c r="O64" s="2">
        <f t="shared" ca="1" si="0"/>
        <v>1.1599999999999999</v>
      </c>
      <c r="P64" s="2">
        <f t="shared" ca="1" si="0"/>
        <v>1.04</v>
      </c>
      <c r="Q64" s="2">
        <f t="shared" ca="1" si="0"/>
        <v>1.0049999999999999</v>
      </c>
      <c r="R64" s="2">
        <f t="shared" ca="1" si="0"/>
        <v>1.046</v>
      </c>
      <c r="S64" s="2">
        <f t="shared" ca="1" si="0"/>
        <v>1.1719999999999999</v>
      </c>
      <c r="T64" s="2">
        <f t="shared" ca="1" si="0"/>
        <v>1.369</v>
      </c>
      <c r="U64" s="2">
        <f t="shared" ca="1" si="0"/>
        <v>1.6539999999999999</v>
      </c>
      <c r="V64" s="2">
        <f t="shared" ca="1" si="0"/>
        <v>2.0110000000000001</v>
      </c>
      <c r="W64" s="2">
        <f t="shared" ca="1" si="0"/>
        <v>2.4009999999999998</v>
      </c>
      <c r="X64" s="2">
        <f t="shared" ca="1" si="0"/>
        <v>2.7909999999999999</v>
      </c>
      <c r="Y64" s="2">
        <f t="shared" ca="1" si="0"/>
        <v>3.1909999999999998</v>
      </c>
    </row>
    <row r="65" spans="2:25" x14ac:dyDescent="0.3">
      <c r="B65" s="6">
        <v>62</v>
      </c>
      <c r="C65" s="9">
        <v>1.73</v>
      </c>
      <c r="D65" s="9">
        <v>1.599</v>
      </c>
      <c r="E65" s="9">
        <v>1.599</v>
      </c>
      <c r="F65" s="9">
        <v>1.554</v>
      </c>
      <c r="I65" s="2">
        <f t="shared" ca="1" si="0"/>
        <v>3.1989999999999998</v>
      </c>
      <c r="J65" s="2">
        <f t="shared" ca="1" si="0"/>
        <v>2.766</v>
      </c>
      <c r="K65" s="2">
        <f t="shared" ca="1" si="0"/>
        <v>2.3860000000000001</v>
      </c>
      <c r="L65" s="2">
        <f t="shared" ca="1" si="0"/>
        <v>2.02</v>
      </c>
      <c r="M65" s="2">
        <f t="shared" ca="1" si="0"/>
        <v>1.681</v>
      </c>
      <c r="N65" s="2">
        <f t="shared" ca="1" si="0"/>
        <v>1.399</v>
      </c>
      <c r="O65" s="2">
        <f t="shared" ca="1" si="0"/>
        <v>1.2070000000000001</v>
      </c>
      <c r="P65" s="2">
        <f t="shared" ca="1" si="0"/>
        <v>1.0860000000000001</v>
      </c>
      <c r="Q65" s="2">
        <f t="shared" ca="1" si="0"/>
        <v>1.0449999999999999</v>
      </c>
      <c r="R65" s="2">
        <f t="shared" ca="1" si="0"/>
        <v>1.0900000000000001</v>
      </c>
      <c r="S65" s="2">
        <f t="shared" ca="1" si="0"/>
        <v>1.2130000000000001</v>
      </c>
      <c r="T65" s="2">
        <f t="shared" ca="1" si="0"/>
        <v>1.4079999999999999</v>
      </c>
      <c r="U65" s="2">
        <f t="shared" ca="1" si="0"/>
        <v>1.6970000000000001</v>
      </c>
      <c r="V65" s="2">
        <f t="shared" ca="1" si="0"/>
        <v>2.052</v>
      </c>
      <c r="W65" s="2">
        <f t="shared" ca="1" si="0"/>
        <v>2.444</v>
      </c>
      <c r="X65" s="2">
        <f t="shared" ca="1" si="0"/>
        <v>2.831</v>
      </c>
      <c r="Y65" s="2">
        <f t="shared" ca="1" si="0"/>
        <v>3.2320000000000002</v>
      </c>
    </row>
    <row r="66" spans="2:25" x14ac:dyDescent="0.3">
      <c r="B66" s="6">
        <v>63</v>
      </c>
      <c r="C66" s="9">
        <v>2.004</v>
      </c>
      <c r="D66" s="9">
        <v>1.821</v>
      </c>
      <c r="E66" s="9">
        <v>1.821</v>
      </c>
      <c r="F66" s="9">
        <v>1.7669999999999999</v>
      </c>
      <c r="I66" s="2">
        <f t="shared" ca="1" si="0"/>
        <v>3.3029999999999999</v>
      </c>
      <c r="J66" s="2">
        <f t="shared" ca="1" si="0"/>
        <v>2.851</v>
      </c>
      <c r="K66" s="2">
        <f t="shared" ca="1" si="0"/>
        <v>2.4750000000000001</v>
      </c>
      <c r="L66" s="2">
        <f t="shared" ca="1" si="0"/>
        <v>2.1230000000000002</v>
      </c>
      <c r="M66" s="2">
        <f t="shared" ca="1" si="0"/>
        <v>1.7989999999999999</v>
      </c>
      <c r="N66" s="2">
        <f t="shared" ca="1" si="0"/>
        <v>1.526</v>
      </c>
      <c r="O66" s="2">
        <f t="shared" ca="1" si="0"/>
        <v>1.33</v>
      </c>
      <c r="P66" s="2">
        <f t="shared" ca="1" si="0"/>
        <v>1.2130000000000001</v>
      </c>
      <c r="Q66" s="2">
        <f t="shared" ca="1" si="0"/>
        <v>1.1739999999999999</v>
      </c>
      <c r="R66" s="2">
        <f t="shared" ca="1" si="0"/>
        <v>1.214</v>
      </c>
      <c r="S66" s="2">
        <f t="shared" ca="1" si="0"/>
        <v>1.33</v>
      </c>
      <c r="T66" s="2">
        <f t="shared" ca="1" si="0"/>
        <v>1.5269999999999999</v>
      </c>
      <c r="U66" s="2">
        <f t="shared" ca="1" si="0"/>
        <v>1.8140000000000001</v>
      </c>
      <c r="V66" s="2">
        <f t="shared" ca="1" si="0"/>
        <v>2.1589999999999998</v>
      </c>
      <c r="W66" s="2">
        <f t="shared" ca="1" si="0"/>
        <v>2.536</v>
      </c>
      <c r="X66" s="2">
        <f t="shared" ca="1" si="0"/>
        <v>2.9159999999999999</v>
      </c>
      <c r="Y66" s="2">
        <f t="shared" ca="1" si="0"/>
        <v>3.3540000000000001</v>
      </c>
    </row>
    <row r="67" spans="2:25" x14ac:dyDescent="0.3">
      <c r="B67" s="6">
        <v>64</v>
      </c>
      <c r="C67" s="9">
        <v>2.3340000000000001</v>
      </c>
      <c r="D67" s="9">
        <v>2.093</v>
      </c>
      <c r="E67" s="9">
        <v>2.0920000000000001</v>
      </c>
      <c r="F67" s="9">
        <v>2.024</v>
      </c>
      <c r="I67" s="2">
        <f t="shared" ca="1" si="0"/>
        <v>3.4729999999999999</v>
      </c>
      <c r="J67" s="2">
        <f t="shared" ca="1" si="0"/>
        <v>3.0049999999999999</v>
      </c>
      <c r="K67" s="2">
        <f t="shared" ca="1" si="0"/>
        <v>2.6240000000000001</v>
      </c>
      <c r="L67" s="2">
        <f t="shared" ca="1" si="0"/>
        <v>2.298</v>
      </c>
      <c r="M67" s="2">
        <f t="shared" ca="1" si="0"/>
        <v>1.986</v>
      </c>
      <c r="N67" s="2">
        <f t="shared" ca="1" si="0"/>
        <v>1.7250000000000001</v>
      </c>
      <c r="O67" s="2">
        <f t="shared" ca="1" si="0"/>
        <v>1.528</v>
      </c>
      <c r="P67" s="2">
        <f t="shared" ca="1" si="0"/>
        <v>1.407</v>
      </c>
      <c r="Q67" s="2">
        <f t="shared" ca="1" si="0"/>
        <v>1.37</v>
      </c>
      <c r="R67" s="2">
        <f t="shared" ca="1" si="0"/>
        <v>1.4119999999999999</v>
      </c>
      <c r="S67" s="2">
        <f t="shared" ca="1" si="0"/>
        <v>1.5329999999999999</v>
      </c>
      <c r="T67" s="2">
        <f t="shared" ca="1" si="0"/>
        <v>1.736</v>
      </c>
      <c r="U67" s="2">
        <f t="shared" ca="1" si="0"/>
        <v>2.0070000000000001</v>
      </c>
      <c r="V67" s="2">
        <f t="shared" ca="1" si="0"/>
        <v>2.3330000000000002</v>
      </c>
      <c r="W67" s="2">
        <f t="shared" ca="1" si="0"/>
        <v>2.6819999999999999</v>
      </c>
      <c r="X67" s="2">
        <f t="shared" ca="1" si="0"/>
        <v>3.0550000000000002</v>
      </c>
      <c r="Y67" s="2">
        <f t="shared" ca="1" si="0"/>
        <v>3.5019999999999998</v>
      </c>
    </row>
    <row r="68" spans="2:25" x14ac:dyDescent="0.3">
      <c r="B68" s="6">
        <v>65</v>
      </c>
      <c r="C68" s="9">
        <v>2.6880000000000002</v>
      </c>
      <c r="D68" s="9">
        <v>2.3919999999999999</v>
      </c>
      <c r="E68" s="9">
        <v>2.3889999999999998</v>
      </c>
      <c r="F68" s="9">
        <v>2.3069999999999999</v>
      </c>
      <c r="I68" s="2">
        <f t="shared" ca="1" si="0"/>
        <v>3.637</v>
      </c>
      <c r="J68" s="2">
        <f t="shared" ca="1" si="0"/>
        <v>3.2370000000000001</v>
      </c>
      <c r="K68" s="2">
        <f t="shared" ca="1" si="0"/>
        <v>2.8370000000000002</v>
      </c>
      <c r="L68" s="2">
        <f t="shared" ca="1" si="0"/>
        <v>2.5299999999999998</v>
      </c>
      <c r="M68" s="2">
        <f t="shared" ca="1" si="0"/>
        <v>2.2440000000000002</v>
      </c>
      <c r="N68" s="2">
        <f t="shared" ca="1" si="0"/>
        <v>1.994</v>
      </c>
      <c r="O68" s="2">
        <f t="shared" ca="1" si="0"/>
        <v>1.8049999999999999</v>
      </c>
      <c r="P68" s="2">
        <f t="shared" ca="1" si="0"/>
        <v>1.6850000000000001</v>
      </c>
      <c r="Q68" s="2">
        <f t="shared" ca="1" si="0"/>
        <v>1.6479999999999999</v>
      </c>
      <c r="R68" s="2">
        <f t="shared" ca="1" si="0"/>
        <v>1.6970000000000001</v>
      </c>
      <c r="S68" s="2">
        <f t="shared" ca="1" si="0"/>
        <v>1.8240000000000001</v>
      </c>
      <c r="T68" s="2">
        <f t="shared" ca="1" si="0"/>
        <v>2.0179999999999998</v>
      </c>
      <c r="U68" s="2">
        <f t="shared" ca="1" si="0"/>
        <v>2.2709999999999999</v>
      </c>
      <c r="V68" s="2">
        <f t="shared" ca="1" si="0"/>
        <v>2.569</v>
      </c>
      <c r="W68" s="2">
        <f t="shared" ca="1" si="0"/>
        <v>2.883</v>
      </c>
      <c r="X68" s="2">
        <f t="shared" ca="1" si="0"/>
        <v>3.27</v>
      </c>
      <c r="Y68" s="2">
        <f t="shared" ca="1" si="0"/>
        <v>3.6829999999999998</v>
      </c>
    </row>
    <row r="69" spans="2:25" x14ac:dyDescent="0.3">
      <c r="B69" s="6">
        <v>66</v>
      </c>
      <c r="C69" s="9">
        <v>3.0670000000000002</v>
      </c>
      <c r="D69" s="9">
        <v>2.7240000000000002</v>
      </c>
      <c r="E69" s="9">
        <v>2.72</v>
      </c>
      <c r="F69" s="9">
        <v>2.6160000000000001</v>
      </c>
      <c r="I69" s="2">
        <f t="shared" ca="1" si="0"/>
        <v>3.6339999999999999</v>
      </c>
      <c r="J69" s="2">
        <f t="shared" ca="1" si="0"/>
        <v>3.4510000000000001</v>
      </c>
      <c r="K69" s="2">
        <f t="shared" ca="1" si="0"/>
        <v>3.121</v>
      </c>
      <c r="L69" s="2">
        <f t="shared" ca="1" si="0"/>
        <v>2.7970000000000002</v>
      </c>
      <c r="M69" s="2">
        <f t="shared" ca="1" si="0"/>
        <v>2.5419999999999998</v>
      </c>
      <c r="N69" s="2">
        <f t="shared" ca="1" si="0"/>
        <v>2.3159999999999998</v>
      </c>
      <c r="O69" s="2">
        <f t="shared" ca="1" si="0"/>
        <v>2.1389999999999998</v>
      </c>
      <c r="P69" s="2">
        <f t="shared" ca="1" si="0"/>
        <v>2.0289999999999999</v>
      </c>
      <c r="Q69" s="2">
        <f t="shared" ca="1" si="0"/>
        <v>1.9930000000000001</v>
      </c>
      <c r="R69" s="2">
        <f t="shared" ca="1" si="0"/>
        <v>2.0350000000000001</v>
      </c>
      <c r="S69" s="2">
        <f t="shared" ca="1" si="0"/>
        <v>2.153</v>
      </c>
      <c r="T69" s="2">
        <f t="shared" ca="1" si="0"/>
        <v>2.339</v>
      </c>
      <c r="U69" s="2">
        <f t="shared" ca="1" si="0"/>
        <v>2.577</v>
      </c>
      <c r="V69" s="2">
        <f t="shared" ca="1" si="0"/>
        <v>2.84</v>
      </c>
      <c r="W69" s="2">
        <f t="shared" ca="1" si="0"/>
        <v>3.1589999999999998</v>
      </c>
      <c r="X69" s="2">
        <f t="shared" ca="1" si="0"/>
        <v>3.5129999999999999</v>
      </c>
      <c r="Y69" s="2">
        <f t="shared" ca="1" si="0"/>
        <v>3.7879999999999998</v>
      </c>
    </row>
    <row r="70" spans="2:25" x14ac:dyDescent="0.3">
      <c r="B70" s="6">
        <v>67</v>
      </c>
      <c r="C70" s="9">
        <v>3.5209999999999999</v>
      </c>
      <c r="D70" s="9">
        <v>3.1360000000000001</v>
      </c>
      <c r="E70" s="9">
        <v>3.13</v>
      </c>
      <c r="F70" s="9">
        <v>2.9940000000000002</v>
      </c>
      <c r="I70" s="3">
        <f t="shared" ca="1" si="0"/>
        <v>3.5049999999999999</v>
      </c>
      <c r="J70" s="2">
        <f t="shared" ca="1" si="0"/>
        <v>3.5569999999999999</v>
      </c>
      <c r="K70" s="2">
        <f t="shared" ca="1" si="0"/>
        <v>3.4279999999999999</v>
      </c>
      <c r="L70" s="2">
        <f t="shared" ca="1" si="0"/>
        <v>3.1259999999999999</v>
      </c>
      <c r="M70" s="2">
        <f t="shared" ca="1" si="0"/>
        <v>2.8679999999999999</v>
      </c>
      <c r="N70" s="2">
        <f t="shared" ca="1" si="0"/>
        <v>2.6829999999999998</v>
      </c>
      <c r="O70" s="2">
        <f t="shared" ca="1" si="0"/>
        <v>2.524</v>
      </c>
      <c r="P70" s="2">
        <f t="shared" ca="1" si="0"/>
        <v>2.419</v>
      </c>
      <c r="Q70" s="2">
        <f t="shared" ca="1" si="0"/>
        <v>2.3879999999999999</v>
      </c>
      <c r="R70" s="2">
        <f t="shared" ca="1" si="0"/>
        <v>2.4239999999999999</v>
      </c>
      <c r="S70" s="2">
        <f t="shared" ca="1" si="0"/>
        <v>2.5310000000000001</v>
      </c>
      <c r="T70" s="2">
        <f t="shared" ca="1" si="0"/>
        <v>2.6930000000000001</v>
      </c>
      <c r="U70" s="2">
        <f t="shared" ca="1" si="0"/>
        <v>2.89</v>
      </c>
      <c r="V70" s="2">
        <f t="shared" ca="1" si="0"/>
        <v>3.1619999999999999</v>
      </c>
      <c r="W70" s="2">
        <f t="shared" ca="1" si="0"/>
        <v>3.5129999999999999</v>
      </c>
      <c r="X70" s="2">
        <f t="shared" ca="1" si="0"/>
        <v>3.7280000000000002</v>
      </c>
      <c r="Y70" s="3">
        <f t="shared" ca="1" si="0"/>
        <v>3.8210000000000002</v>
      </c>
    </row>
    <row r="71" spans="2:25" x14ac:dyDescent="0.3">
      <c r="B71" s="6">
        <v>68</v>
      </c>
      <c r="C71" s="9">
        <v>3.3039999999999998</v>
      </c>
      <c r="D71" s="9">
        <v>2.9420000000000002</v>
      </c>
      <c r="E71" s="9">
        <v>2.9420000000000002</v>
      </c>
      <c r="F71" s="9">
        <v>2.83</v>
      </c>
    </row>
    <row r="72" spans="2:25" x14ac:dyDescent="0.3">
      <c r="B72" s="6">
        <v>69</v>
      </c>
      <c r="C72" s="9">
        <v>2.8460000000000001</v>
      </c>
      <c r="D72" s="9">
        <v>2.544</v>
      </c>
      <c r="E72" s="9">
        <v>2.5449999999999999</v>
      </c>
      <c r="F72" s="9">
        <v>2.4510000000000001</v>
      </c>
      <c r="H72" t="s">
        <v>1</v>
      </c>
      <c r="I72" s="10">
        <f t="shared" ref="I72:Y84" ca="1" si="1">INDIRECT("D"&amp;(17*ROW(1:1)+ROW($D$3)-19+IF(COLUMN(C:C)&gt;19,50000,COLUMN(C:C)-1)))</f>
        <v>3.0939999999999999</v>
      </c>
      <c r="J72" s="2">
        <f t="shared" ca="1" si="1"/>
        <v>3.1150000000000002</v>
      </c>
      <c r="K72" s="2">
        <f t="shared" ca="1" si="1"/>
        <v>2.9860000000000002</v>
      </c>
      <c r="L72" s="2">
        <f t="shared" ca="1" si="1"/>
        <v>2.7109999999999999</v>
      </c>
      <c r="M72" s="2">
        <f t="shared" ca="1" si="1"/>
        <v>2.4830000000000001</v>
      </c>
      <c r="N72" s="2">
        <f t="shared" ca="1" si="1"/>
        <v>2.3239999999999998</v>
      </c>
      <c r="O72" s="2">
        <f t="shared" ca="1" si="1"/>
        <v>2.198</v>
      </c>
      <c r="P72" s="2">
        <f t="shared" ca="1" si="1"/>
        <v>2.1139999999999999</v>
      </c>
      <c r="Q72" s="2">
        <f t="shared" ca="1" si="1"/>
        <v>2.093</v>
      </c>
      <c r="R72" s="2">
        <f t="shared" ca="1" si="1"/>
        <v>2.1240000000000001</v>
      </c>
      <c r="S72" s="2">
        <f t="shared" ca="1" si="1"/>
        <v>2.2090000000000001</v>
      </c>
      <c r="T72" s="2">
        <f t="shared" ca="1" si="1"/>
        <v>2.343</v>
      </c>
      <c r="U72" s="2">
        <f t="shared" ca="1" si="1"/>
        <v>2.508</v>
      </c>
      <c r="V72" s="2">
        <f t="shared" ca="1" si="1"/>
        <v>2.74</v>
      </c>
      <c r="W72" s="2">
        <f t="shared" ca="1" si="1"/>
        <v>3.036</v>
      </c>
      <c r="X72" s="2">
        <f t="shared" ca="1" si="1"/>
        <v>3.2440000000000002</v>
      </c>
      <c r="Y72" s="10">
        <f t="shared" ca="1" si="1"/>
        <v>3.3639999999999999</v>
      </c>
    </row>
    <row r="73" spans="2:25" x14ac:dyDescent="0.3">
      <c r="B73" s="6">
        <v>70</v>
      </c>
      <c r="C73" s="9">
        <v>2.4660000000000002</v>
      </c>
      <c r="D73" s="9">
        <v>2.2170000000000001</v>
      </c>
      <c r="E73" s="9">
        <v>2.2170000000000001</v>
      </c>
      <c r="F73" s="9">
        <v>2.1469999999999998</v>
      </c>
      <c r="I73" s="2">
        <f t="shared" ca="1" si="1"/>
        <v>3.2370000000000001</v>
      </c>
      <c r="J73" s="2">
        <f t="shared" ca="1" si="1"/>
        <v>3.0529999999999999</v>
      </c>
      <c r="K73" s="2">
        <f t="shared" ca="1" si="1"/>
        <v>2.754</v>
      </c>
      <c r="L73" s="2">
        <f t="shared" ca="1" si="1"/>
        <v>2.4660000000000002</v>
      </c>
      <c r="M73" s="2">
        <f t="shared" ca="1" si="1"/>
        <v>2.2469999999999999</v>
      </c>
      <c r="N73" s="2">
        <f t="shared" ca="1" si="1"/>
        <v>2.0579999999999998</v>
      </c>
      <c r="O73" s="2">
        <f t="shared" ca="1" si="1"/>
        <v>1.911</v>
      </c>
      <c r="P73" s="2">
        <f t="shared" ca="1" si="1"/>
        <v>1.82</v>
      </c>
      <c r="Q73" s="2">
        <f t="shared" ca="1" si="1"/>
        <v>1.794</v>
      </c>
      <c r="R73" s="2">
        <f t="shared" ca="1" si="1"/>
        <v>1.83</v>
      </c>
      <c r="S73" s="2">
        <f t="shared" ca="1" si="1"/>
        <v>1.9259999999999999</v>
      </c>
      <c r="T73" s="2">
        <f t="shared" ca="1" si="1"/>
        <v>2.0760000000000001</v>
      </c>
      <c r="U73" s="2">
        <f t="shared" ca="1" si="1"/>
        <v>2.2759999999999998</v>
      </c>
      <c r="V73" s="2">
        <f t="shared" ca="1" si="1"/>
        <v>2.5</v>
      </c>
      <c r="W73" s="2">
        <f t="shared" ca="1" si="1"/>
        <v>2.7890000000000001</v>
      </c>
      <c r="X73" s="2">
        <f t="shared" ca="1" si="1"/>
        <v>3.1120000000000001</v>
      </c>
      <c r="Y73" s="2">
        <f t="shared" ca="1" si="1"/>
        <v>3.3759999999999999</v>
      </c>
    </row>
    <row r="74" spans="2:25" x14ac:dyDescent="0.3">
      <c r="B74" s="6">
        <v>71</v>
      </c>
      <c r="C74" s="9">
        <v>2.1110000000000002</v>
      </c>
      <c r="D74" s="9">
        <v>1.915</v>
      </c>
      <c r="E74" s="9">
        <v>1.915</v>
      </c>
      <c r="F74" s="9">
        <v>1.863</v>
      </c>
      <c r="I74" s="2">
        <f t="shared" ca="1" si="1"/>
        <v>3.2149999999999999</v>
      </c>
      <c r="J74" s="2">
        <f t="shared" ca="1" si="1"/>
        <v>2.87</v>
      </c>
      <c r="K74" s="2">
        <f t="shared" ca="1" si="1"/>
        <v>2.5270000000000001</v>
      </c>
      <c r="L74" s="2">
        <f t="shared" ca="1" si="1"/>
        <v>2.2589999999999999</v>
      </c>
      <c r="M74" s="2">
        <f t="shared" ca="1" si="1"/>
        <v>2.012</v>
      </c>
      <c r="N74" s="2">
        <f t="shared" ca="1" si="1"/>
        <v>1.806</v>
      </c>
      <c r="O74" s="2">
        <f t="shared" ca="1" si="1"/>
        <v>1.651</v>
      </c>
      <c r="P74" s="2">
        <f t="shared" ca="1" si="1"/>
        <v>1.552</v>
      </c>
      <c r="Q74" s="2">
        <f t="shared" ca="1" si="1"/>
        <v>1.52</v>
      </c>
      <c r="R74" s="2">
        <f t="shared" ca="1" si="1"/>
        <v>1.556</v>
      </c>
      <c r="S74" s="2">
        <f t="shared" ca="1" si="1"/>
        <v>1.657</v>
      </c>
      <c r="T74" s="2">
        <f t="shared" ca="1" si="1"/>
        <v>1.8180000000000001</v>
      </c>
      <c r="U74" s="2">
        <f t="shared" ca="1" si="1"/>
        <v>2.0350000000000001</v>
      </c>
      <c r="V74" s="2">
        <f t="shared" ca="1" si="1"/>
        <v>2.2919999999999998</v>
      </c>
      <c r="W74" s="2">
        <f t="shared" ca="1" si="1"/>
        <v>2.5659999999999998</v>
      </c>
      <c r="X74" s="2">
        <f t="shared" ca="1" si="1"/>
        <v>2.911</v>
      </c>
      <c r="Y74" s="2">
        <f t="shared" ca="1" si="1"/>
        <v>3.2919999999999998</v>
      </c>
    </row>
    <row r="75" spans="2:25" x14ac:dyDescent="0.3">
      <c r="B75" s="6">
        <v>72</v>
      </c>
      <c r="C75" s="9">
        <v>1.79</v>
      </c>
      <c r="D75" s="9">
        <v>1.651</v>
      </c>
      <c r="E75" s="9">
        <v>1.6519999999999999</v>
      </c>
      <c r="F75" s="9">
        <v>1.6120000000000001</v>
      </c>
      <c r="I75" s="2">
        <f t="shared" ca="1" si="1"/>
        <v>3.0840000000000001</v>
      </c>
      <c r="J75" s="2">
        <f t="shared" ca="1" si="1"/>
        <v>2.6760000000000002</v>
      </c>
      <c r="K75" s="2">
        <f t="shared" ca="1" si="1"/>
        <v>2.347</v>
      </c>
      <c r="L75" s="2">
        <f t="shared" ca="1" si="1"/>
        <v>2.0680000000000001</v>
      </c>
      <c r="M75" s="2">
        <f t="shared" ca="1" si="1"/>
        <v>1.81</v>
      </c>
      <c r="N75" s="2">
        <f t="shared" ca="1" si="1"/>
        <v>1.597</v>
      </c>
      <c r="O75" s="2">
        <f t="shared" ca="1" si="1"/>
        <v>1.43</v>
      </c>
      <c r="P75" s="2">
        <f t="shared" ca="1" si="1"/>
        <v>1.3280000000000001</v>
      </c>
      <c r="Q75" s="2">
        <f t="shared" ca="1" si="1"/>
        <v>1.2949999999999999</v>
      </c>
      <c r="R75" s="2">
        <f t="shared" ca="1" si="1"/>
        <v>1.33</v>
      </c>
      <c r="S75" s="2">
        <f t="shared" ca="1" si="1"/>
        <v>1.431</v>
      </c>
      <c r="T75" s="2">
        <f t="shared" ca="1" si="1"/>
        <v>1.599</v>
      </c>
      <c r="U75" s="2">
        <f t="shared" ca="1" si="1"/>
        <v>1.821</v>
      </c>
      <c r="V75" s="2">
        <f t="shared" ca="1" si="1"/>
        <v>2.093</v>
      </c>
      <c r="W75" s="2">
        <f t="shared" ca="1" si="1"/>
        <v>2.3919999999999999</v>
      </c>
      <c r="X75" s="2">
        <f t="shared" ca="1" si="1"/>
        <v>2.7240000000000002</v>
      </c>
      <c r="Y75" s="2">
        <f t="shared" ca="1" si="1"/>
        <v>3.1360000000000001</v>
      </c>
    </row>
    <row r="76" spans="2:25" x14ac:dyDescent="0.3">
      <c r="B76" s="6">
        <v>73</v>
      </c>
      <c r="C76" s="9">
        <v>1.518</v>
      </c>
      <c r="D76" s="9">
        <v>1.431</v>
      </c>
      <c r="E76" s="9">
        <v>1.431</v>
      </c>
      <c r="F76" s="9">
        <v>1.397</v>
      </c>
      <c r="I76" s="2">
        <f t="shared" ca="1" si="1"/>
        <v>2.9420000000000002</v>
      </c>
      <c r="J76" s="2">
        <f t="shared" ca="1" si="1"/>
        <v>2.544</v>
      </c>
      <c r="K76" s="2">
        <f t="shared" ca="1" si="1"/>
        <v>2.2170000000000001</v>
      </c>
      <c r="L76" s="2">
        <f t="shared" ca="1" si="1"/>
        <v>1.915</v>
      </c>
      <c r="M76" s="2">
        <f t="shared" ca="1" si="1"/>
        <v>1.651</v>
      </c>
      <c r="N76" s="2">
        <f t="shared" ca="1" si="1"/>
        <v>1.431</v>
      </c>
      <c r="O76" s="2">
        <f t="shared" ca="1" si="1"/>
        <v>1.268</v>
      </c>
      <c r="P76" s="2">
        <f t="shared" ca="1" si="1"/>
        <v>1.173</v>
      </c>
      <c r="Q76" s="2">
        <f t="shared" ca="1" si="1"/>
        <v>1.141</v>
      </c>
      <c r="R76" s="2">
        <f t="shared" ca="1" si="1"/>
        <v>1.175</v>
      </c>
      <c r="S76" s="2">
        <f t="shared" ca="1" si="1"/>
        <v>1.2709999999999999</v>
      </c>
      <c r="T76" s="2">
        <f t="shared" ca="1" si="1"/>
        <v>1.4350000000000001</v>
      </c>
      <c r="U76" s="2">
        <f t="shared" ca="1" si="1"/>
        <v>1.667</v>
      </c>
      <c r="V76" s="2">
        <f t="shared" ca="1" si="1"/>
        <v>1.9419999999999999</v>
      </c>
      <c r="W76" s="2">
        <f t="shared" ca="1" si="1"/>
        <v>2.254</v>
      </c>
      <c r="X76" s="2">
        <f t="shared" ca="1" si="1"/>
        <v>2.581</v>
      </c>
      <c r="Y76" s="2">
        <f t="shared" ca="1" si="1"/>
        <v>2.9710000000000001</v>
      </c>
    </row>
    <row r="77" spans="2:25" x14ac:dyDescent="0.3">
      <c r="B77" s="6">
        <v>74</v>
      </c>
      <c r="C77" s="9">
        <v>1.321</v>
      </c>
      <c r="D77" s="9">
        <v>1.268</v>
      </c>
      <c r="E77" s="9">
        <v>1.2689999999999999</v>
      </c>
      <c r="F77" s="9">
        <v>1.242</v>
      </c>
      <c r="I77" s="2">
        <f t="shared" ca="1" si="1"/>
        <v>2.855</v>
      </c>
      <c r="J77" s="2">
        <f t="shared" ca="1" si="1"/>
        <v>2.472</v>
      </c>
      <c r="K77" s="2">
        <f t="shared" ca="1" si="1"/>
        <v>2.1389999999999998</v>
      </c>
      <c r="L77" s="2">
        <f t="shared" ca="1" si="1"/>
        <v>1.829</v>
      </c>
      <c r="M77" s="2">
        <f t="shared" ca="1" si="1"/>
        <v>1.554</v>
      </c>
      <c r="N77" s="2">
        <f t="shared" ca="1" si="1"/>
        <v>1.327</v>
      </c>
      <c r="O77" s="2">
        <f t="shared" ca="1" si="1"/>
        <v>1.17</v>
      </c>
      <c r="P77" s="2">
        <f t="shared" ca="1" si="1"/>
        <v>1.071</v>
      </c>
      <c r="Q77" s="2">
        <f t="shared" ca="1" si="1"/>
        <v>1.038</v>
      </c>
      <c r="R77" s="2">
        <f t="shared" ca="1" si="1"/>
        <v>1.077</v>
      </c>
      <c r="S77" s="2">
        <f t="shared" ca="1" si="1"/>
        <v>1.181</v>
      </c>
      <c r="T77" s="2">
        <f t="shared" ca="1" si="1"/>
        <v>1.34</v>
      </c>
      <c r="U77" s="2">
        <f t="shared" ca="1" si="1"/>
        <v>1.5720000000000001</v>
      </c>
      <c r="V77" s="2">
        <f t="shared" ca="1" si="1"/>
        <v>1.8540000000000001</v>
      </c>
      <c r="W77" s="2">
        <f t="shared" ca="1" si="1"/>
        <v>2.1720000000000002</v>
      </c>
      <c r="X77" s="2">
        <f t="shared" ca="1" si="1"/>
        <v>2.5009999999999999</v>
      </c>
      <c r="Y77" s="2">
        <f t="shared" ca="1" si="1"/>
        <v>2.86</v>
      </c>
    </row>
    <row r="78" spans="2:25" x14ac:dyDescent="0.3">
      <c r="B78" s="6">
        <v>75</v>
      </c>
      <c r="C78" s="9">
        <v>1.2050000000000001</v>
      </c>
      <c r="D78" s="9">
        <v>1.173</v>
      </c>
      <c r="E78" s="9">
        <v>1.173</v>
      </c>
      <c r="F78" s="9">
        <v>1.155</v>
      </c>
      <c r="I78" s="2">
        <f t="shared" ca="1" si="1"/>
        <v>2.83</v>
      </c>
      <c r="J78" s="2">
        <f t="shared" ca="1" si="1"/>
        <v>2.4550000000000001</v>
      </c>
      <c r="K78" s="2">
        <f t="shared" ca="1" si="1"/>
        <v>2.121</v>
      </c>
      <c r="L78" s="2">
        <f t="shared" ca="1" si="1"/>
        <v>1.8049999999999999</v>
      </c>
      <c r="M78" s="2">
        <f t="shared" ca="1" si="1"/>
        <v>1.524</v>
      </c>
      <c r="N78" s="2">
        <f t="shared" ca="1" si="1"/>
        <v>1.296</v>
      </c>
      <c r="O78" s="2">
        <f t="shared" ca="1" si="1"/>
        <v>1.1359999999999999</v>
      </c>
      <c r="P78" s="2">
        <f t="shared" ca="1" si="1"/>
        <v>1.0329999999999999</v>
      </c>
      <c r="Q78" s="2">
        <f t="shared" ca="1" si="1"/>
        <v>1.004</v>
      </c>
      <c r="R78" s="2">
        <f t="shared" ca="1" si="1"/>
        <v>1.038</v>
      </c>
      <c r="S78" s="2">
        <f t="shared" ca="1" si="1"/>
        <v>1.1479999999999999</v>
      </c>
      <c r="T78" s="2">
        <f t="shared" ca="1" si="1"/>
        <v>1.31</v>
      </c>
      <c r="U78" s="2">
        <f t="shared" ca="1" si="1"/>
        <v>1.542</v>
      </c>
      <c r="V78" s="2">
        <f t="shared" ca="1" si="1"/>
        <v>1.83</v>
      </c>
      <c r="W78" s="2">
        <f t="shared" ca="1" si="1"/>
        <v>2.1509999999999998</v>
      </c>
      <c r="X78" s="2">
        <f t="shared" ca="1" si="1"/>
        <v>2.4820000000000002</v>
      </c>
      <c r="Y78" s="2">
        <f t="shared" ca="1" si="1"/>
        <v>2.8370000000000002</v>
      </c>
    </row>
    <row r="79" spans="2:25" x14ac:dyDescent="0.3">
      <c r="B79" s="6">
        <v>76</v>
      </c>
      <c r="C79" s="9">
        <v>1.165</v>
      </c>
      <c r="D79" s="9">
        <v>1.141</v>
      </c>
      <c r="E79" s="9">
        <v>1.141</v>
      </c>
      <c r="F79" s="9">
        <v>1.127</v>
      </c>
      <c r="I79" s="2">
        <f t="shared" ca="1" si="1"/>
        <v>2.851</v>
      </c>
      <c r="J79" s="2">
        <f t="shared" ca="1" si="1"/>
        <v>2.4790000000000001</v>
      </c>
      <c r="K79" s="2">
        <f t="shared" ca="1" si="1"/>
        <v>2.153</v>
      </c>
      <c r="L79" s="2">
        <f t="shared" ca="1" si="1"/>
        <v>1.845</v>
      </c>
      <c r="M79" s="2">
        <f t="shared" ca="1" si="1"/>
        <v>1.5680000000000001</v>
      </c>
      <c r="N79" s="2">
        <f t="shared" ca="1" si="1"/>
        <v>1.337</v>
      </c>
      <c r="O79" s="2">
        <f t="shared" ca="1" si="1"/>
        <v>1.1759999999999999</v>
      </c>
      <c r="P79" s="2">
        <f t="shared" ca="1" si="1"/>
        <v>1.0720000000000001</v>
      </c>
      <c r="Q79" s="2">
        <f t="shared" ca="1" si="1"/>
        <v>1.036</v>
      </c>
      <c r="R79" s="2">
        <f t="shared" ca="1" si="1"/>
        <v>1.0760000000000001</v>
      </c>
      <c r="S79" s="2">
        <f t="shared" ca="1" si="1"/>
        <v>1.18</v>
      </c>
      <c r="T79" s="2">
        <f t="shared" ca="1" si="1"/>
        <v>1.3420000000000001</v>
      </c>
      <c r="U79" s="2">
        <f t="shared" ca="1" si="1"/>
        <v>1.5780000000000001</v>
      </c>
      <c r="V79" s="2">
        <f t="shared" ca="1" si="1"/>
        <v>1.865</v>
      </c>
      <c r="W79" s="2">
        <f t="shared" ca="1" si="1"/>
        <v>2.1890000000000001</v>
      </c>
      <c r="X79" s="2">
        <f t="shared" ca="1" si="1"/>
        <v>2.5169999999999999</v>
      </c>
      <c r="Y79" s="2">
        <f t="shared" ca="1" si="1"/>
        <v>2.8719999999999999</v>
      </c>
    </row>
    <row r="80" spans="2:25" x14ac:dyDescent="0.3">
      <c r="B80" s="6">
        <v>77</v>
      </c>
      <c r="C80" s="9">
        <v>1.2090000000000001</v>
      </c>
      <c r="D80" s="9">
        <v>1.175</v>
      </c>
      <c r="E80" s="9">
        <v>1.1739999999999999</v>
      </c>
      <c r="F80" s="9">
        <v>1.155</v>
      </c>
      <c r="I80" s="2">
        <f t="shared" ca="1" si="1"/>
        <v>2.9489999999999998</v>
      </c>
      <c r="J80" s="2">
        <f t="shared" ca="1" si="1"/>
        <v>2.556</v>
      </c>
      <c r="K80" s="2">
        <f t="shared" ca="1" si="1"/>
        <v>2.2309999999999999</v>
      </c>
      <c r="L80" s="2">
        <f t="shared" ca="1" si="1"/>
        <v>1.9319999999999999</v>
      </c>
      <c r="M80" s="2">
        <f t="shared" ca="1" si="1"/>
        <v>1.6659999999999999</v>
      </c>
      <c r="N80" s="2">
        <f t="shared" ca="1" si="1"/>
        <v>1.4419999999999999</v>
      </c>
      <c r="O80" s="2">
        <f t="shared" ca="1" si="1"/>
        <v>1.2789999999999999</v>
      </c>
      <c r="P80" s="2">
        <f t="shared" ca="1" si="1"/>
        <v>1.1819999999999999</v>
      </c>
      <c r="Q80" s="2">
        <f t="shared" ca="1" si="1"/>
        <v>1.1499999999999999</v>
      </c>
      <c r="R80" s="2">
        <f t="shared" ca="1" si="1"/>
        <v>1.1819999999999999</v>
      </c>
      <c r="S80" s="2">
        <f t="shared" ca="1" si="1"/>
        <v>1.2769999999999999</v>
      </c>
      <c r="T80" s="2">
        <f t="shared" ca="1" si="1"/>
        <v>1.44</v>
      </c>
      <c r="U80" s="2">
        <f t="shared" ca="1" si="1"/>
        <v>1.6739999999999999</v>
      </c>
      <c r="V80" s="2">
        <f t="shared" ca="1" si="1"/>
        <v>1.9550000000000001</v>
      </c>
      <c r="W80" s="2">
        <f t="shared" ca="1" si="1"/>
        <v>2.2679999999999998</v>
      </c>
      <c r="X80" s="2">
        <f t="shared" ca="1" si="1"/>
        <v>2.5950000000000002</v>
      </c>
      <c r="Y80" s="2">
        <f t="shared" ca="1" si="1"/>
        <v>2.9820000000000002</v>
      </c>
    </row>
    <row r="81" spans="2:25" x14ac:dyDescent="0.3">
      <c r="B81" s="6">
        <v>78</v>
      </c>
      <c r="C81" s="9">
        <v>1.327</v>
      </c>
      <c r="D81" s="9">
        <v>1.2709999999999999</v>
      </c>
      <c r="E81" s="9">
        <v>1.2709999999999999</v>
      </c>
      <c r="F81" s="9">
        <v>1.242</v>
      </c>
      <c r="I81" s="2">
        <f t="shared" ca="1" si="1"/>
        <v>3.097</v>
      </c>
      <c r="J81" s="2">
        <f t="shared" ca="1" si="1"/>
        <v>2.6930000000000001</v>
      </c>
      <c r="K81" s="2">
        <f t="shared" ca="1" si="1"/>
        <v>2.363</v>
      </c>
      <c r="L81" s="2">
        <f t="shared" ca="1" si="1"/>
        <v>2.081</v>
      </c>
      <c r="M81" s="2">
        <f t="shared" ca="1" si="1"/>
        <v>1.821</v>
      </c>
      <c r="N81" s="2">
        <f t="shared" ca="1" si="1"/>
        <v>1.6080000000000001</v>
      </c>
      <c r="O81" s="2">
        <f t="shared" ca="1" si="1"/>
        <v>1.4450000000000001</v>
      </c>
      <c r="P81" s="2">
        <f t="shared" ca="1" si="1"/>
        <v>1.347</v>
      </c>
      <c r="Q81" s="2">
        <f t="shared" ca="1" si="1"/>
        <v>1.3160000000000001</v>
      </c>
      <c r="R81" s="2">
        <f t="shared" ca="1" si="1"/>
        <v>1.349</v>
      </c>
      <c r="S81" s="2">
        <f t="shared" ca="1" si="1"/>
        <v>1.4470000000000001</v>
      </c>
      <c r="T81" s="2">
        <f t="shared" ca="1" si="1"/>
        <v>1.613</v>
      </c>
      <c r="U81" s="2">
        <f t="shared" ca="1" si="1"/>
        <v>1.8320000000000001</v>
      </c>
      <c r="V81" s="2">
        <f t="shared" ca="1" si="1"/>
        <v>2.101</v>
      </c>
      <c r="W81" s="2">
        <f t="shared" ca="1" si="1"/>
        <v>2.3969999999999998</v>
      </c>
      <c r="X81" s="2">
        <f t="shared" ca="1" si="1"/>
        <v>2.72</v>
      </c>
      <c r="Y81" s="2">
        <f t="shared" ca="1" si="1"/>
        <v>3.1259999999999999</v>
      </c>
    </row>
    <row r="82" spans="2:25" x14ac:dyDescent="0.3">
      <c r="B82" s="6">
        <v>79</v>
      </c>
      <c r="C82" s="9">
        <v>1.5269999999999999</v>
      </c>
      <c r="D82" s="9">
        <v>1.4350000000000001</v>
      </c>
      <c r="E82" s="9">
        <v>1.4350000000000001</v>
      </c>
      <c r="F82" s="9">
        <v>1.397</v>
      </c>
      <c r="I82" s="2">
        <f t="shared" ca="1" si="1"/>
        <v>3.2410000000000001</v>
      </c>
      <c r="J82" s="2">
        <f t="shared" ca="1" si="1"/>
        <v>2.8919999999999999</v>
      </c>
      <c r="K82" s="2">
        <f t="shared" ca="1" si="1"/>
        <v>2.5470000000000002</v>
      </c>
      <c r="L82" s="2">
        <f t="shared" ca="1" si="1"/>
        <v>2.2810000000000001</v>
      </c>
      <c r="M82" s="2">
        <f t="shared" ca="1" si="1"/>
        <v>2.0369999999999999</v>
      </c>
      <c r="N82" s="2">
        <f t="shared" ca="1" si="1"/>
        <v>1.83</v>
      </c>
      <c r="O82" s="2">
        <f t="shared" ca="1" si="1"/>
        <v>1.6739999999999999</v>
      </c>
      <c r="P82" s="2">
        <f t="shared" ca="1" si="1"/>
        <v>1.575</v>
      </c>
      <c r="Q82" s="2">
        <f t="shared" ca="1" si="1"/>
        <v>1.544</v>
      </c>
      <c r="R82" s="2">
        <f t="shared" ca="1" si="1"/>
        <v>1.583</v>
      </c>
      <c r="S82" s="2">
        <f t="shared" ca="1" si="1"/>
        <v>1.6859999999999999</v>
      </c>
      <c r="T82" s="2">
        <f t="shared" ca="1" si="1"/>
        <v>1.8440000000000001</v>
      </c>
      <c r="U82" s="2">
        <f t="shared" ca="1" si="1"/>
        <v>2.0499999999999998</v>
      </c>
      <c r="V82" s="2">
        <f t="shared" ca="1" si="1"/>
        <v>2.2989999999999999</v>
      </c>
      <c r="W82" s="2">
        <f t="shared" ca="1" si="1"/>
        <v>2.5680000000000001</v>
      </c>
      <c r="X82" s="2">
        <f t="shared" ca="1" si="1"/>
        <v>2.911</v>
      </c>
      <c r="Y82" s="2">
        <f t="shared" ca="1" si="1"/>
        <v>3.294</v>
      </c>
    </row>
    <row r="83" spans="2:25" x14ac:dyDescent="0.3">
      <c r="B83" s="6">
        <v>80</v>
      </c>
      <c r="C83" s="9">
        <v>1.8120000000000001</v>
      </c>
      <c r="D83" s="9">
        <v>1.667</v>
      </c>
      <c r="E83" s="9">
        <v>1.6659999999999999</v>
      </c>
      <c r="F83" s="9">
        <v>1.619</v>
      </c>
      <c r="I83" s="2">
        <f t="shared" ca="1" si="1"/>
        <v>3.2690000000000001</v>
      </c>
      <c r="J83" s="2">
        <f t="shared" ca="1" si="1"/>
        <v>3.0859999999999999</v>
      </c>
      <c r="K83" s="2">
        <f t="shared" ca="1" si="1"/>
        <v>2.7959999999999998</v>
      </c>
      <c r="L83" s="2">
        <f t="shared" ca="1" si="1"/>
        <v>2.5129999999999999</v>
      </c>
      <c r="M83" s="2">
        <f t="shared" ca="1" si="1"/>
        <v>2.2919999999999998</v>
      </c>
      <c r="N83" s="2">
        <f t="shared" ca="1" si="1"/>
        <v>2.0979999999999999</v>
      </c>
      <c r="O83" s="2">
        <f t="shared" ca="1" si="1"/>
        <v>1.948</v>
      </c>
      <c r="P83" s="2">
        <f t="shared" ca="1" si="1"/>
        <v>1.855</v>
      </c>
      <c r="Q83" s="2">
        <f t="shared" ca="1" si="1"/>
        <v>1.825</v>
      </c>
      <c r="R83" s="2">
        <f t="shared" ca="1" si="1"/>
        <v>1.859</v>
      </c>
      <c r="S83" s="2">
        <f t="shared" ca="1" si="1"/>
        <v>1.956</v>
      </c>
      <c r="T83" s="2">
        <f t="shared" ca="1" si="1"/>
        <v>2.1110000000000002</v>
      </c>
      <c r="U83" s="2">
        <f t="shared" ca="1" si="1"/>
        <v>2.3109999999999999</v>
      </c>
      <c r="V83" s="2">
        <f t="shared" ca="1" si="1"/>
        <v>2.5310000000000001</v>
      </c>
      <c r="W83" s="2">
        <f t="shared" ca="1" si="1"/>
        <v>2.8050000000000002</v>
      </c>
      <c r="X83" s="2">
        <f t="shared" ca="1" si="1"/>
        <v>3.1219999999999999</v>
      </c>
      <c r="Y83" s="2">
        <f t="shared" ca="1" si="1"/>
        <v>3.4039999999999999</v>
      </c>
    </row>
    <row r="84" spans="2:25" x14ac:dyDescent="0.3">
      <c r="B84" s="6">
        <v>81</v>
      </c>
      <c r="C84" s="9">
        <v>2.15</v>
      </c>
      <c r="D84" s="9">
        <v>1.9419999999999999</v>
      </c>
      <c r="E84" s="9">
        <v>1.94</v>
      </c>
      <c r="F84" s="9">
        <v>1.8819999999999999</v>
      </c>
      <c r="I84" s="10">
        <f t="shared" ca="1" si="1"/>
        <v>3.2170000000000001</v>
      </c>
      <c r="J84" s="2">
        <f t="shared" ca="1" si="1"/>
        <v>3.2229999999999999</v>
      </c>
      <c r="K84" s="2">
        <f t="shared" ca="1" si="1"/>
        <v>3.0880000000000001</v>
      </c>
      <c r="L84" s="2">
        <f t="shared" ca="1" si="1"/>
        <v>2.8159999999999998</v>
      </c>
      <c r="M84" s="2">
        <f t="shared" ca="1" si="1"/>
        <v>2.59</v>
      </c>
      <c r="N84" s="2">
        <f t="shared" ca="1" si="1"/>
        <v>2.423</v>
      </c>
      <c r="O84" s="2">
        <f t="shared" ca="1" si="1"/>
        <v>2.2839999999999998</v>
      </c>
      <c r="P84" s="2">
        <f t="shared" ca="1" si="1"/>
        <v>2.1880000000000002</v>
      </c>
      <c r="Q84" s="2">
        <f t="shared" ca="1" si="1"/>
        <v>2.157</v>
      </c>
      <c r="R84" s="2">
        <f t="shared" ca="1" si="1"/>
        <v>2.19</v>
      </c>
      <c r="S84" s="2">
        <f t="shared" ca="1" si="1"/>
        <v>2.2839999999999998</v>
      </c>
      <c r="T84" s="2">
        <f t="shared" ca="1" si="1"/>
        <v>2.423</v>
      </c>
      <c r="U84" s="2">
        <f t="shared" ca="1" si="1"/>
        <v>2.597</v>
      </c>
      <c r="V84" s="2">
        <f t="shared" ca="1" si="1"/>
        <v>2.8319999999999999</v>
      </c>
      <c r="W84" s="2">
        <f t="shared" ca="1" si="1"/>
        <v>3.1349999999999998</v>
      </c>
      <c r="X84" s="2">
        <f t="shared" ca="1" si="1"/>
        <v>3.3410000000000002</v>
      </c>
      <c r="Y84" s="10">
        <f t="shared" ca="1" si="1"/>
        <v>3.4710000000000001</v>
      </c>
    </row>
    <row r="85" spans="2:25" x14ac:dyDescent="0.3">
      <c r="B85" s="6">
        <v>82</v>
      </c>
      <c r="C85" s="9">
        <v>2.5249999999999999</v>
      </c>
      <c r="D85" s="9">
        <v>2.254</v>
      </c>
      <c r="E85" s="9">
        <v>2.2519999999999998</v>
      </c>
      <c r="F85" s="9">
        <v>2.177</v>
      </c>
    </row>
    <row r="86" spans="2:25" x14ac:dyDescent="0.3">
      <c r="B86" s="6">
        <v>83</v>
      </c>
      <c r="C86" s="9">
        <v>2.9039999999999999</v>
      </c>
      <c r="D86" s="9">
        <v>2.581</v>
      </c>
      <c r="E86" s="9">
        <v>2.5779999999999998</v>
      </c>
      <c r="F86" s="9">
        <v>2.4820000000000002</v>
      </c>
      <c r="H86" t="s">
        <v>2</v>
      </c>
      <c r="I86" s="11">
        <f t="shared" ref="I86:Y98" ca="1" si="2">INDIRECT("E"&amp;(17*ROW(1:1)+ROW($E$3)-19+IF(COLUMN(C:C)&gt;19,50000,COLUMN(C:C)-1)))</f>
        <v>3.0950000000000002</v>
      </c>
      <c r="J86" s="2">
        <f t="shared" ca="1" si="2"/>
        <v>3.1160000000000001</v>
      </c>
      <c r="K86" s="2">
        <f t="shared" ca="1" si="2"/>
        <v>2.99</v>
      </c>
      <c r="L86" s="2">
        <f t="shared" ca="1" si="2"/>
        <v>2.7149999999999999</v>
      </c>
      <c r="M86" s="2">
        <f t="shared" ca="1" si="2"/>
        <v>2.4870000000000001</v>
      </c>
      <c r="N86" s="2">
        <f t="shared" ca="1" si="2"/>
        <v>2.3279999999999998</v>
      </c>
      <c r="O86" s="2">
        <f t="shared" ca="1" si="2"/>
        <v>2.202</v>
      </c>
      <c r="P86" s="2">
        <f t="shared" ca="1" si="2"/>
        <v>2.1179999999999999</v>
      </c>
      <c r="Q86" s="2">
        <f t="shared" ca="1" si="2"/>
        <v>2.097</v>
      </c>
      <c r="R86" s="2">
        <f t="shared" ca="1" si="2"/>
        <v>2.1280000000000001</v>
      </c>
      <c r="S86" s="2">
        <f t="shared" ca="1" si="2"/>
        <v>2.2130000000000001</v>
      </c>
      <c r="T86" s="2">
        <f t="shared" ca="1" si="2"/>
        <v>2.347</v>
      </c>
      <c r="U86" s="2">
        <f t="shared" ca="1" si="2"/>
        <v>2.5110000000000001</v>
      </c>
      <c r="V86" s="2">
        <f t="shared" ca="1" si="2"/>
        <v>2.742</v>
      </c>
      <c r="W86" s="2">
        <f t="shared" ca="1" si="2"/>
        <v>3.0369999999999999</v>
      </c>
      <c r="X86" s="2">
        <f t="shared" ca="1" si="2"/>
        <v>3.2429999999999999</v>
      </c>
      <c r="Y86" s="11">
        <f t="shared" ca="1" si="2"/>
        <v>3.3620000000000001</v>
      </c>
    </row>
    <row r="87" spans="2:25" x14ac:dyDescent="0.3">
      <c r="B87" s="6">
        <v>84</v>
      </c>
      <c r="C87" s="9">
        <v>3.339</v>
      </c>
      <c r="D87" s="9">
        <v>2.9710000000000001</v>
      </c>
      <c r="E87" s="9">
        <v>2.9649999999999999</v>
      </c>
      <c r="F87" s="9">
        <v>2.8439999999999999</v>
      </c>
      <c r="I87" s="2">
        <f t="shared" ca="1" si="2"/>
        <v>3.2360000000000002</v>
      </c>
      <c r="J87" s="2">
        <f t="shared" ca="1" si="2"/>
        <v>3.0550000000000002</v>
      </c>
      <c r="K87" s="2">
        <f t="shared" ca="1" si="2"/>
        <v>2.7570000000000001</v>
      </c>
      <c r="L87" s="2">
        <f t="shared" ca="1" si="2"/>
        <v>2.468</v>
      </c>
      <c r="M87" s="2">
        <f t="shared" ca="1" si="2"/>
        <v>2.25</v>
      </c>
      <c r="N87" s="2">
        <f t="shared" ca="1" si="2"/>
        <v>2.0609999999999999</v>
      </c>
      <c r="O87" s="2">
        <f t="shared" ca="1" si="2"/>
        <v>1.9139999999999999</v>
      </c>
      <c r="P87" s="2">
        <f t="shared" ca="1" si="2"/>
        <v>1.823</v>
      </c>
      <c r="Q87" s="2">
        <f t="shared" ca="1" si="2"/>
        <v>1.796</v>
      </c>
      <c r="R87" s="2">
        <f t="shared" ca="1" si="2"/>
        <v>1.8320000000000001</v>
      </c>
      <c r="S87" s="2">
        <f t="shared" ca="1" si="2"/>
        <v>1.9279999999999999</v>
      </c>
      <c r="T87" s="2">
        <f t="shared" ca="1" si="2"/>
        <v>2.0779999999999998</v>
      </c>
      <c r="U87" s="2">
        <f t="shared" ca="1" si="2"/>
        <v>2.2770000000000001</v>
      </c>
      <c r="V87" s="2">
        <f t="shared" ca="1" si="2"/>
        <v>2.5009999999999999</v>
      </c>
      <c r="W87" s="2">
        <f t="shared" ca="1" si="2"/>
        <v>2.7879999999999998</v>
      </c>
      <c r="X87" s="2">
        <f t="shared" ca="1" si="2"/>
        <v>3.11</v>
      </c>
      <c r="Y87" s="2">
        <f t="shared" ca="1" si="2"/>
        <v>3.3719999999999999</v>
      </c>
    </row>
    <row r="88" spans="2:25" x14ac:dyDescent="0.3">
      <c r="B88" s="6">
        <v>85</v>
      </c>
      <c r="C88" s="9">
        <v>3.2090000000000001</v>
      </c>
      <c r="D88" s="9">
        <v>2.855</v>
      </c>
      <c r="E88" s="9">
        <v>2.8559999999999999</v>
      </c>
      <c r="F88" s="9">
        <v>2.7490000000000001</v>
      </c>
      <c r="I88" s="2">
        <f t="shared" ca="1" si="2"/>
        <v>3.2160000000000002</v>
      </c>
      <c r="J88" s="2">
        <f t="shared" ca="1" si="2"/>
        <v>2.871</v>
      </c>
      <c r="K88" s="2">
        <f t="shared" ca="1" si="2"/>
        <v>2.528</v>
      </c>
      <c r="L88" s="2">
        <f t="shared" ca="1" si="2"/>
        <v>2.2599999999999998</v>
      </c>
      <c r="M88" s="2">
        <f t="shared" ca="1" si="2"/>
        <v>2.0139999999999998</v>
      </c>
      <c r="N88" s="2">
        <f t="shared" ca="1" si="2"/>
        <v>1.8080000000000001</v>
      </c>
      <c r="O88" s="2">
        <f t="shared" ca="1" si="2"/>
        <v>1.653</v>
      </c>
      <c r="P88" s="2">
        <f t="shared" ca="1" si="2"/>
        <v>1.554</v>
      </c>
      <c r="Q88" s="2">
        <f t="shared" ca="1" si="2"/>
        <v>1.5209999999999999</v>
      </c>
      <c r="R88" s="2">
        <f t="shared" ca="1" si="2"/>
        <v>1.556</v>
      </c>
      <c r="S88" s="2">
        <f t="shared" ca="1" si="2"/>
        <v>1.6579999999999999</v>
      </c>
      <c r="T88" s="2">
        <f t="shared" ca="1" si="2"/>
        <v>1.819</v>
      </c>
      <c r="U88" s="2">
        <f t="shared" ca="1" si="2"/>
        <v>2.0350000000000001</v>
      </c>
      <c r="V88" s="2">
        <f t="shared" ca="1" si="2"/>
        <v>2.2909999999999999</v>
      </c>
      <c r="W88" s="2">
        <f t="shared" ca="1" si="2"/>
        <v>2.5640000000000001</v>
      </c>
      <c r="X88" s="2">
        <f t="shared" ca="1" si="2"/>
        <v>2.907</v>
      </c>
      <c r="Y88" s="2">
        <f t="shared" ca="1" si="2"/>
        <v>3.2869999999999999</v>
      </c>
    </row>
    <row r="89" spans="2:25" x14ac:dyDescent="0.3">
      <c r="B89" s="6">
        <v>86</v>
      </c>
      <c r="C89" s="9">
        <v>2.7650000000000001</v>
      </c>
      <c r="D89" s="9">
        <v>2.472</v>
      </c>
      <c r="E89" s="9">
        <v>2.4729999999999999</v>
      </c>
      <c r="F89" s="9">
        <v>2.3839999999999999</v>
      </c>
      <c r="I89" s="2">
        <f t="shared" ca="1" si="2"/>
        <v>3.0840000000000001</v>
      </c>
      <c r="J89" s="2">
        <f t="shared" ca="1" si="2"/>
        <v>2.677</v>
      </c>
      <c r="K89" s="2">
        <f t="shared" ca="1" si="2"/>
        <v>2.347</v>
      </c>
      <c r="L89" s="2">
        <f t="shared" ca="1" si="2"/>
        <v>2.069</v>
      </c>
      <c r="M89" s="2">
        <f t="shared" ca="1" si="2"/>
        <v>1.8109999999999999</v>
      </c>
      <c r="N89" s="2">
        <f t="shared" ca="1" si="2"/>
        <v>1.5980000000000001</v>
      </c>
      <c r="O89" s="2">
        <f t="shared" ca="1" si="2"/>
        <v>1.4319999999999999</v>
      </c>
      <c r="P89" s="2">
        <f t="shared" ca="1" si="2"/>
        <v>1.329</v>
      </c>
      <c r="Q89" s="2">
        <f t="shared" ca="1" si="2"/>
        <v>1.2949999999999999</v>
      </c>
      <c r="R89" s="2">
        <f t="shared" ca="1" si="2"/>
        <v>1.33</v>
      </c>
      <c r="S89" s="2">
        <f t="shared" ca="1" si="2"/>
        <v>1.431</v>
      </c>
      <c r="T89" s="2">
        <f t="shared" ca="1" si="2"/>
        <v>1.599</v>
      </c>
      <c r="U89" s="2">
        <f t="shared" ca="1" si="2"/>
        <v>1.821</v>
      </c>
      <c r="V89" s="2">
        <f t="shared" ca="1" si="2"/>
        <v>2.0920000000000001</v>
      </c>
      <c r="W89" s="2">
        <f t="shared" ca="1" si="2"/>
        <v>2.3889999999999998</v>
      </c>
      <c r="X89" s="2">
        <f t="shared" ca="1" si="2"/>
        <v>2.72</v>
      </c>
      <c r="Y89" s="2">
        <f t="shared" ca="1" si="2"/>
        <v>3.13</v>
      </c>
    </row>
    <row r="90" spans="2:25" x14ac:dyDescent="0.3">
      <c r="B90" s="6">
        <v>87</v>
      </c>
      <c r="C90" s="9">
        <v>2.3759999999999999</v>
      </c>
      <c r="D90" s="9">
        <v>2.1389999999999998</v>
      </c>
      <c r="E90" s="9">
        <v>2.1389999999999998</v>
      </c>
      <c r="F90" s="9">
        <v>2.0739999999999998</v>
      </c>
      <c r="I90" s="2">
        <f t="shared" ca="1" si="2"/>
        <v>2.9420000000000002</v>
      </c>
      <c r="J90" s="2">
        <f t="shared" ca="1" si="2"/>
        <v>2.5449999999999999</v>
      </c>
      <c r="K90" s="2">
        <f t="shared" ca="1" si="2"/>
        <v>2.2170000000000001</v>
      </c>
      <c r="L90" s="2">
        <f t="shared" ca="1" si="2"/>
        <v>1.915</v>
      </c>
      <c r="M90" s="2">
        <f t="shared" ca="1" si="2"/>
        <v>1.6519999999999999</v>
      </c>
      <c r="N90" s="2">
        <f t="shared" ca="1" si="2"/>
        <v>1.431</v>
      </c>
      <c r="O90" s="2">
        <f t="shared" ca="1" si="2"/>
        <v>1.2689999999999999</v>
      </c>
      <c r="P90" s="2">
        <f t="shared" ca="1" si="2"/>
        <v>1.173</v>
      </c>
      <c r="Q90" s="2">
        <f t="shared" ca="1" si="2"/>
        <v>1.141</v>
      </c>
      <c r="R90" s="2">
        <f t="shared" ca="1" si="2"/>
        <v>1.1739999999999999</v>
      </c>
      <c r="S90" s="2">
        <f t="shared" ca="1" si="2"/>
        <v>1.2709999999999999</v>
      </c>
      <c r="T90" s="2">
        <f t="shared" ca="1" si="2"/>
        <v>1.4350000000000001</v>
      </c>
      <c r="U90" s="2">
        <f t="shared" ca="1" si="2"/>
        <v>1.6659999999999999</v>
      </c>
      <c r="V90" s="2">
        <f t="shared" ca="1" si="2"/>
        <v>1.94</v>
      </c>
      <c r="W90" s="2">
        <f t="shared" ca="1" si="2"/>
        <v>2.2519999999999998</v>
      </c>
      <c r="X90" s="2">
        <f t="shared" ca="1" si="2"/>
        <v>2.5779999999999998</v>
      </c>
      <c r="Y90" s="2">
        <f t="shared" ca="1" si="2"/>
        <v>2.9649999999999999</v>
      </c>
    </row>
    <row r="91" spans="2:25" x14ac:dyDescent="0.3">
      <c r="B91" s="6">
        <v>88</v>
      </c>
      <c r="C91" s="9">
        <v>2.0049999999999999</v>
      </c>
      <c r="D91" s="9">
        <v>1.829</v>
      </c>
      <c r="E91" s="9">
        <v>1.83</v>
      </c>
      <c r="F91" s="9">
        <v>1.78</v>
      </c>
      <c r="I91" s="2">
        <f t="shared" ca="1" si="2"/>
        <v>2.8559999999999999</v>
      </c>
      <c r="J91" s="2">
        <f t="shared" ca="1" si="2"/>
        <v>2.4729999999999999</v>
      </c>
      <c r="K91" s="2">
        <f t="shared" ca="1" si="2"/>
        <v>2.1389999999999998</v>
      </c>
      <c r="L91" s="2">
        <f t="shared" ca="1" si="2"/>
        <v>1.83</v>
      </c>
      <c r="M91" s="2">
        <f t="shared" ca="1" si="2"/>
        <v>1.5549999999999999</v>
      </c>
      <c r="N91" s="2">
        <f t="shared" ca="1" si="2"/>
        <v>1.3280000000000001</v>
      </c>
      <c r="O91" s="2">
        <f t="shared" ca="1" si="2"/>
        <v>1.171</v>
      </c>
      <c r="P91" s="2">
        <f t="shared" ca="1" si="2"/>
        <v>1.071</v>
      </c>
      <c r="Q91" s="2">
        <f t="shared" ca="1" si="2"/>
        <v>1.038</v>
      </c>
      <c r="R91" s="2">
        <f t="shared" ca="1" si="2"/>
        <v>1.077</v>
      </c>
      <c r="S91" s="2">
        <f t="shared" ca="1" si="2"/>
        <v>1.181</v>
      </c>
      <c r="T91" s="2">
        <f t="shared" ca="1" si="2"/>
        <v>1.34</v>
      </c>
      <c r="U91" s="2">
        <f t="shared" ca="1" si="2"/>
        <v>1.571</v>
      </c>
      <c r="V91" s="2">
        <f t="shared" ca="1" si="2"/>
        <v>1.853</v>
      </c>
      <c r="W91" s="2">
        <f t="shared" ca="1" si="2"/>
        <v>2.169</v>
      </c>
      <c r="X91" s="2">
        <f t="shared" ca="1" si="2"/>
        <v>2.4969999999999999</v>
      </c>
      <c r="Y91" s="2">
        <f t="shared" ca="1" si="2"/>
        <v>2.8540000000000001</v>
      </c>
    </row>
    <row r="92" spans="2:25" x14ac:dyDescent="0.3">
      <c r="B92" s="6">
        <v>89</v>
      </c>
      <c r="C92" s="9">
        <v>1.6679999999999999</v>
      </c>
      <c r="D92" s="9">
        <v>1.554</v>
      </c>
      <c r="E92" s="9">
        <v>1.5549999999999999</v>
      </c>
      <c r="F92" s="9">
        <v>1.5189999999999999</v>
      </c>
      <c r="I92" s="2">
        <f t="shared" ca="1" si="2"/>
        <v>2.83</v>
      </c>
      <c r="J92" s="2">
        <f t="shared" ca="1" si="2"/>
        <v>2.4550000000000001</v>
      </c>
      <c r="K92" s="2">
        <f t="shared" ca="1" si="2"/>
        <v>2.121</v>
      </c>
      <c r="L92" s="2">
        <f t="shared" ca="1" si="2"/>
        <v>1.8049999999999999</v>
      </c>
      <c r="M92" s="2">
        <f t="shared" ca="1" si="2"/>
        <v>1.5249999999999999</v>
      </c>
      <c r="N92" s="2">
        <f t="shared" ca="1" si="2"/>
        <v>1.2969999999999999</v>
      </c>
      <c r="O92" s="2">
        <f t="shared" ca="1" si="2"/>
        <v>1.137</v>
      </c>
      <c r="P92" s="2">
        <f t="shared" ca="1" si="2"/>
        <v>1.0329999999999999</v>
      </c>
      <c r="Q92" s="2">
        <f t="shared" ca="1" si="2"/>
        <v>1.004</v>
      </c>
      <c r="R92" s="2">
        <f t="shared" ca="1" si="2"/>
        <v>1.038</v>
      </c>
      <c r="S92" s="2">
        <f t="shared" ca="1" si="2"/>
        <v>1.1479999999999999</v>
      </c>
      <c r="T92" s="2">
        <f t="shared" ca="1" si="2"/>
        <v>1.31</v>
      </c>
      <c r="U92" s="2">
        <f t="shared" ca="1" si="2"/>
        <v>1.5409999999999999</v>
      </c>
      <c r="V92" s="2">
        <f t="shared" ca="1" si="2"/>
        <v>1.8280000000000001</v>
      </c>
      <c r="W92" s="2">
        <f t="shared" ca="1" si="2"/>
        <v>2.1480000000000001</v>
      </c>
      <c r="X92" s="2">
        <f t="shared" ca="1" si="2"/>
        <v>2.4780000000000002</v>
      </c>
      <c r="Y92" s="2">
        <f t="shared" ca="1" si="2"/>
        <v>2.8279999999999998</v>
      </c>
    </row>
    <row r="93" spans="2:25" x14ac:dyDescent="0.3">
      <c r="B93" s="6">
        <v>90</v>
      </c>
      <c r="C93" s="9">
        <v>1.391</v>
      </c>
      <c r="D93" s="9">
        <v>1.327</v>
      </c>
      <c r="E93" s="9">
        <v>1.3280000000000001</v>
      </c>
      <c r="F93" s="9">
        <v>1.3009999999999999</v>
      </c>
      <c r="I93" s="2">
        <f t="shared" ca="1" si="2"/>
        <v>2.851</v>
      </c>
      <c r="J93" s="2">
        <f t="shared" ca="1" si="2"/>
        <v>2.4780000000000002</v>
      </c>
      <c r="K93" s="2">
        <f t="shared" ca="1" si="2"/>
        <v>2.153</v>
      </c>
      <c r="L93" s="2">
        <f t="shared" ca="1" si="2"/>
        <v>1.845</v>
      </c>
      <c r="M93" s="2">
        <f t="shared" ca="1" si="2"/>
        <v>1.569</v>
      </c>
      <c r="N93" s="2">
        <f t="shared" ca="1" si="2"/>
        <v>1.337</v>
      </c>
      <c r="O93" s="2">
        <f t="shared" ca="1" si="2"/>
        <v>1.1759999999999999</v>
      </c>
      <c r="P93" s="2">
        <f t="shared" ca="1" si="2"/>
        <v>1.0720000000000001</v>
      </c>
      <c r="Q93" s="2">
        <f t="shared" ca="1" si="2"/>
        <v>1.0349999999999999</v>
      </c>
      <c r="R93" s="2">
        <f t="shared" ca="1" si="2"/>
        <v>1.075</v>
      </c>
      <c r="S93" s="2">
        <f t="shared" ca="1" si="2"/>
        <v>1.179</v>
      </c>
      <c r="T93" s="2">
        <f t="shared" ca="1" si="2"/>
        <v>1.341</v>
      </c>
      <c r="U93" s="2">
        <f t="shared" ca="1" si="2"/>
        <v>1.5760000000000001</v>
      </c>
      <c r="V93" s="2">
        <f t="shared" ca="1" si="2"/>
        <v>1.8620000000000001</v>
      </c>
      <c r="W93" s="2">
        <f t="shared" ca="1" si="2"/>
        <v>2.1850000000000001</v>
      </c>
      <c r="X93" s="2">
        <f t="shared" ca="1" si="2"/>
        <v>2.512</v>
      </c>
      <c r="Y93" s="2">
        <f t="shared" ca="1" si="2"/>
        <v>2.8650000000000002</v>
      </c>
    </row>
    <row r="94" spans="2:25" x14ac:dyDescent="0.3">
      <c r="B94" s="6">
        <v>91</v>
      </c>
      <c r="C94" s="9">
        <v>1.202</v>
      </c>
      <c r="D94" s="9">
        <v>1.17</v>
      </c>
      <c r="E94" s="9">
        <v>1.171</v>
      </c>
      <c r="F94" s="9">
        <v>1.1519999999999999</v>
      </c>
      <c r="I94" s="2">
        <f t="shared" ca="1" si="2"/>
        <v>2.9470000000000001</v>
      </c>
      <c r="J94" s="2">
        <f t="shared" ca="1" si="2"/>
        <v>2.5550000000000002</v>
      </c>
      <c r="K94" s="2">
        <f t="shared" ca="1" si="2"/>
        <v>2.23</v>
      </c>
      <c r="L94" s="2">
        <f t="shared" ca="1" si="2"/>
        <v>1.93</v>
      </c>
      <c r="M94" s="2">
        <f t="shared" ca="1" si="2"/>
        <v>1.665</v>
      </c>
      <c r="N94" s="2">
        <f t="shared" ca="1" si="2"/>
        <v>1.4410000000000001</v>
      </c>
      <c r="O94" s="2">
        <f t="shared" ca="1" si="2"/>
        <v>1.278</v>
      </c>
      <c r="P94" s="2">
        <f t="shared" ca="1" si="2"/>
        <v>1.181</v>
      </c>
      <c r="Q94" s="2">
        <f t="shared" ca="1" si="2"/>
        <v>1.1479999999999999</v>
      </c>
      <c r="R94" s="2">
        <f t="shared" ca="1" si="2"/>
        <v>1.179</v>
      </c>
      <c r="S94" s="2">
        <f t="shared" ca="1" si="2"/>
        <v>1.2749999999999999</v>
      </c>
      <c r="T94" s="2">
        <f t="shared" ca="1" si="2"/>
        <v>1.4370000000000001</v>
      </c>
      <c r="U94" s="2">
        <f t="shared" ca="1" si="2"/>
        <v>1.671</v>
      </c>
      <c r="V94" s="2">
        <f t="shared" ca="1" si="2"/>
        <v>1.9510000000000001</v>
      </c>
      <c r="W94" s="2">
        <f t="shared" ca="1" si="2"/>
        <v>2.2629999999999999</v>
      </c>
      <c r="X94" s="2">
        <f t="shared" ca="1" si="2"/>
        <v>2.589</v>
      </c>
      <c r="Y94" s="2">
        <f t="shared" ca="1" si="2"/>
        <v>2.9729999999999999</v>
      </c>
    </row>
    <row r="95" spans="2:25" x14ac:dyDescent="0.3">
      <c r="B95" s="6">
        <v>92</v>
      </c>
      <c r="C95" s="9">
        <v>1.0840000000000001</v>
      </c>
      <c r="D95" s="9">
        <v>1.071</v>
      </c>
      <c r="E95" s="9">
        <v>1.071</v>
      </c>
      <c r="F95" s="9">
        <v>1.0620000000000001</v>
      </c>
      <c r="I95" s="2">
        <f t="shared" ca="1" si="2"/>
        <v>3.0939999999999999</v>
      </c>
      <c r="J95" s="2">
        <f t="shared" ca="1" si="2"/>
        <v>2.69</v>
      </c>
      <c r="K95" s="2">
        <f t="shared" ca="1" si="2"/>
        <v>2.3610000000000002</v>
      </c>
      <c r="L95" s="2">
        <f t="shared" ca="1" si="2"/>
        <v>2.0790000000000002</v>
      </c>
      <c r="M95" s="2">
        <f t="shared" ca="1" si="2"/>
        <v>1.819</v>
      </c>
      <c r="N95" s="2">
        <f t="shared" ca="1" si="2"/>
        <v>1.6060000000000001</v>
      </c>
      <c r="O95" s="2">
        <f t="shared" ca="1" si="2"/>
        <v>1.444</v>
      </c>
      <c r="P95" s="2">
        <f t="shared" ca="1" si="2"/>
        <v>1.3440000000000001</v>
      </c>
      <c r="Q95" s="2">
        <f t="shared" ca="1" si="2"/>
        <v>1.3129999999999999</v>
      </c>
      <c r="R95" s="2">
        <f t="shared" ca="1" si="2"/>
        <v>1.3460000000000001</v>
      </c>
      <c r="S95" s="2">
        <f t="shared" ca="1" si="2"/>
        <v>1.444</v>
      </c>
      <c r="T95" s="2">
        <f t="shared" ca="1" si="2"/>
        <v>1.61</v>
      </c>
      <c r="U95" s="2">
        <f t="shared" ca="1" si="2"/>
        <v>1.8280000000000001</v>
      </c>
      <c r="V95" s="2">
        <f t="shared" ca="1" si="2"/>
        <v>2.0960000000000001</v>
      </c>
      <c r="W95" s="2">
        <f t="shared" ca="1" si="2"/>
        <v>2.3919999999999999</v>
      </c>
      <c r="X95" s="2">
        <f t="shared" ca="1" si="2"/>
        <v>2.7120000000000002</v>
      </c>
      <c r="Y95" s="2">
        <f t="shared" ca="1" si="2"/>
        <v>3.1160000000000001</v>
      </c>
    </row>
    <row r="96" spans="2:25" x14ac:dyDescent="0.3">
      <c r="B96" s="6">
        <v>93</v>
      </c>
      <c r="C96" s="9">
        <v>1.046</v>
      </c>
      <c r="D96" s="9">
        <v>1.038</v>
      </c>
      <c r="E96" s="9">
        <v>1.038</v>
      </c>
      <c r="F96" s="9">
        <v>1.0349999999999999</v>
      </c>
      <c r="I96" s="2">
        <f t="shared" ca="1" si="2"/>
        <v>3.2370000000000001</v>
      </c>
      <c r="J96" s="2">
        <f t="shared" ca="1" si="2"/>
        <v>2.8889999999999998</v>
      </c>
      <c r="K96" s="2">
        <f t="shared" ca="1" si="2"/>
        <v>2.544</v>
      </c>
      <c r="L96" s="2">
        <f t="shared" ca="1" si="2"/>
        <v>2.278</v>
      </c>
      <c r="M96" s="2">
        <f t="shared" ca="1" si="2"/>
        <v>2.0350000000000001</v>
      </c>
      <c r="N96" s="2">
        <f t="shared" ca="1" si="2"/>
        <v>1.8280000000000001</v>
      </c>
      <c r="O96" s="2">
        <f t="shared" ca="1" si="2"/>
        <v>1.671</v>
      </c>
      <c r="P96" s="2">
        <f t="shared" ca="1" si="2"/>
        <v>1.5720000000000001</v>
      </c>
      <c r="Q96" s="2">
        <f t="shared" ca="1" si="2"/>
        <v>1.5409999999999999</v>
      </c>
      <c r="R96" s="2">
        <f t="shared" ca="1" si="2"/>
        <v>1.579</v>
      </c>
      <c r="S96" s="2">
        <f t="shared" ca="1" si="2"/>
        <v>1.6830000000000001</v>
      </c>
      <c r="T96" s="2">
        <f t="shared" ca="1" si="2"/>
        <v>1.84</v>
      </c>
      <c r="U96" s="2">
        <f t="shared" ca="1" si="2"/>
        <v>2.0459999999999998</v>
      </c>
      <c r="V96" s="2">
        <f t="shared" ca="1" si="2"/>
        <v>2.2930000000000001</v>
      </c>
      <c r="W96" s="2">
        <f t="shared" ca="1" si="2"/>
        <v>2.5609999999999999</v>
      </c>
      <c r="X96" s="2">
        <f t="shared" ca="1" si="2"/>
        <v>2.903</v>
      </c>
      <c r="Y96" s="2">
        <f t="shared" ca="1" si="2"/>
        <v>3.2850000000000001</v>
      </c>
    </row>
    <row r="97" spans="2:25" x14ac:dyDescent="0.3">
      <c r="B97" s="6">
        <v>94</v>
      </c>
      <c r="C97" s="9">
        <v>1.091</v>
      </c>
      <c r="D97" s="9">
        <v>1.077</v>
      </c>
      <c r="E97" s="9">
        <v>1.077</v>
      </c>
      <c r="F97" s="9">
        <v>1.0680000000000001</v>
      </c>
      <c r="I97" s="2">
        <f t="shared" ca="1" si="2"/>
        <v>3.266</v>
      </c>
      <c r="J97" s="2">
        <f t="shared" ca="1" si="2"/>
        <v>3.0830000000000002</v>
      </c>
      <c r="K97" s="2">
        <f t="shared" ca="1" si="2"/>
        <v>2.7930000000000001</v>
      </c>
      <c r="L97" s="2">
        <f t="shared" ca="1" si="2"/>
        <v>2.5099999999999998</v>
      </c>
      <c r="M97" s="2">
        <f t="shared" ca="1" si="2"/>
        <v>2.29</v>
      </c>
      <c r="N97" s="2">
        <f t="shared" ca="1" si="2"/>
        <v>2.0960000000000001</v>
      </c>
      <c r="O97" s="2">
        <f t="shared" ca="1" si="2"/>
        <v>1.946</v>
      </c>
      <c r="P97" s="2">
        <f t="shared" ca="1" si="2"/>
        <v>1.851</v>
      </c>
      <c r="Q97" s="2">
        <f t="shared" ca="1" si="2"/>
        <v>1.821</v>
      </c>
      <c r="R97" s="2">
        <f t="shared" ca="1" si="2"/>
        <v>1.855</v>
      </c>
      <c r="S97" s="2">
        <f t="shared" ca="1" si="2"/>
        <v>1.952</v>
      </c>
      <c r="T97" s="2">
        <f t="shared" ca="1" si="2"/>
        <v>2.1070000000000002</v>
      </c>
      <c r="U97" s="2">
        <f t="shared" ca="1" si="2"/>
        <v>2.3069999999999999</v>
      </c>
      <c r="V97" s="2">
        <f t="shared" ca="1" si="2"/>
        <v>2.5249999999999999</v>
      </c>
      <c r="W97" s="2">
        <f t="shared" ca="1" si="2"/>
        <v>2.798</v>
      </c>
      <c r="X97" s="2">
        <f t="shared" ca="1" si="2"/>
        <v>3.113</v>
      </c>
      <c r="Y97" s="2">
        <f t="shared" ca="1" si="2"/>
        <v>3.3940000000000001</v>
      </c>
    </row>
    <row r="98" spans="2:25" x14ac:dyDescent="0.3">
      <c r="B98" s="6">
        <v>95</v>
      </c>
      <c r="C98" s="9">
        <v>1.2150000000000001</v>
      </c>
      <c r="D98" s="9">
        <v>1.181</v>
      </c>
      <c r="E98" s="9">
        <v>1.181</v>
      </c>
      <c r="F98" s="9">
        <v>1.1599999999999999</v>
      </c>
      <c r="I98" s="11">
        <f t="shared" ca="1" si="2"/>
        <v>3.2149999999999999</v>
      </c>
      <c r="J98" s="2">
        <f t="shared" ca="1" si="2"/>
        <v>3.2189999999999999</v>
      </c>
      <c r="K98" s="2">
        <f t="shared" ca="1" si="2"/>
        <v>3.085</v>
      </c>
      <c r="L98" s="2">
        <f t="shared" ca="1" si="2"/>
        <v>2.8140000000000001</v>
      </c>
      <c r="M98" s="2">
        <f t="shared" ca="1" si="2"/>
        <v>2.5880000000000001</v>
      </c>
      <c r="N98" s="2">
        <f t="shared" ca="1" si="2"/>
        <v>2.42</v>
      </c>
      <c r="O98" s="2">
        <f t="shared" ca="1" si="2"/>
        <v>2.2810000000000001</v>
      </c>
      <c r="P98" s="2">
        <f t="shared" ca="1" si="2"/>
        <v>2.1840000000000002</v>
      </c>
      <c r="Q98" s="2">
        <f t="shared" ca="1" si="2"/>
        <v>2.153</v>
      </c>
      <c r="R98" s="2">
        <f t="shared" ca="1" si="2"/>
        <v>2.1850000000000001</v>
      </c>
      <c r="S98" s="2">
        <f t="shared" ca="1" si="2"/>
        <v>2.2799999999999998</v>
      </c>
      <c r="T98" s="2">
        <f t="shared" ca="1" si="2"/>
        <v>2.419</v>
      </c>
      <c r="U98" s="2">
        <f t="shared" ca="1" si="2"/>
        <v>2.5920000000000001</v>
      </c>
      <c r="V98" s="2">
        <f t="shared" ca="1" si="2"/>
        <v>2.8260000000000001</v>
      </c>
      <c r="W98" s="2">
        <f t="shared" ca="1" si="2"/>
        <v>3.1259999999999999</v>
      </c>
      <c r="X98" s="2">
        <f t="shared" ca="1" si="2"/>
        <v>3.3330000000000002</v>
      </c>
      <c r="Y98" s="11">
        <f t="shared" ca="1" si="2"/>
        <v>3.464</v>
      </c>
    </row>
    <row r="99" spans="2:25" x14ac:dyDescent="0.3">
      <c r="B99" s="6">
        <v>96</v>
      </c>
      <c r="C99" s="9">
        <v>1.4079999999999999</v>
      </c>
      <c r="D99" s="9">
        <v>1.34</v>
      </c>
      <c r="E99" s="9">
        <v>1.34</v>
      </c>
      <c r="F99" s="9">
        <v>1.31</v>
      </c>
    </row>
    <row r="100" spans="2:25" x14ac:dyDescent="0.3">
      <c r="B100" s="6">
        <v>97</v>
      </c>
      <c r="C100" s="9">
        <v>1.6930000000000001</v>
      </c>
      <c r="D100" s="9">
        <v>1.5720000000000001</v>
      </c>
      <c r="E100" s="9">
        <v>1.571</v>
      </c>
      <c r="F100" s="9">
        <v>1.5309999999999999</v>
      </c>
      <c r="H100" t="s">
        <v>3</v>
      </c>
      <c r="I100" s="13">
        <f t="shared" ref="I100:Y112" ca="1" si="3">INDIRECT("F"&amp;(17*ROW(1:1)+ROW($F$3)-19+IF(COLUMN(C:C)&gt;19,50000,COLUMN(C:C)-1)))</f>
        <v>2.9529999999999998</v>
      </c>
      <c r="J100" s="2">
        <f t="shared" ca="1" si="3"/>
        <v>2.9470000000000001</v>
      </c>
      <c r="K100" s="2">
        <f t="shared" ca="1" si="3"/>
        <v>2.8330000000000002</v>
      </c>
      <c r="L100" s="2">
        <f t="shared" ca="1" si="3"/>
        <v>2.581</v>
      </c>
      <c r="M100" s="2">
        <f t="shared" ca="1" si="3"/>
        <v>2.3690000000000002</v>
      </c>
      <c r="N100" s="2">
        <f t="shared" ca="1" si="3"/>
        <v>2.222</v>
      </c>
      <c r="O100" s="2">
        <f t="shared" ca="1" si="3"/>
        <v>2.105</v>
      </c>
      <c r="P100" s="2">
        <f t="shared" ca="1" si="3"/>
        <v>2.0270000000000001</v>
      </c>
      <c r="Q100" s="2">
        <f t="shared" ca="1" si="3"/>
        <v>2.0030000000000001</v>
      </c>
      <c r="R100" s="2">
        <f t="shared" ca="1" si="3"/>
        <v>2.0310000000000001</v>
      </c>
      <c r="S100" s="2">
        <f t="shared" ca="1" si="3"/>
        <v>2.113</v>
      </c>
      <c r="T100" s="2">
        <f t="shared" ca="1" si="3"/>
        <v>2.2349999999999999</v>
      </c>
      <c r="U100" s="2">
        <f t="shared" ca="1" si="3"/>
        <v>2.3860000000000001</v>
      </c>
      <c r="V100" s="2">
        <f t="shared" ca="1" si="3"/>
        <v>2.5979999999999999</v>
      </c>
      <c r="W100" s="2">
        <f t="shared" ca="1" si="3"/>
        <v>2.871</v>
      </c>
      <c r="X100" s="2">
        <f t="shared" ca="1" si="3"/>
        <v>3.06</v>
      </c>
      <c r="Y100" s="13">
        <f t="shared" ca="1" si="3"/>
        <v>3.17</v>
      </c>
    </row>
    <row r="101" spans="2:25" x14ac:dyDescent="0.3">
      <c r="B101" s="6">
        <v>98</v>
      </c>
      <c r="C101" s="9">
        <v>2.0430000000000001</v>
      </c>
      <c r="D101" s="9">
        <v>1.8540000000000001</v>
      </c>
      <c r="E101" s="9">
        <v>1.853</v>
      </c>
      <c r="F101" s="9">
        <v>1.7969999999999999</v>
      </c>
      <c r="I101" s="2">
        <f t="shared" ca="1" si="3"/>
        <v>3.085</v>
      </c>
      <c r="J101" s="2">
        <f t="shared" ca="1" si="3"/>
        <v>2.915</v>
      </c>
      <c r="K101" s="2">
        <f t="shared" ca="1" si="3"/>
        <v>2.64</v>
      </c>
      <c r="L101" s="2">
        <f t="shared" ca="1" si="3"/>
        <v>2.37</v>
      </c>
      <c r="M101" s="2">
        <f t="shared" ca="1" si="3"/>
        <v>2.1640000000000001</v>
      </c>
      <c r="N101" s="2">
        <f t="shared" ca="1" si="3"/>
        <v>1.9890000000000001</v>
      </c>
      <c r="O101" s="2">
        <f t="shared" ca="1" si="3"/>
        <v>1.85</v>
      </c>
      <c r="P101" s="2">
        <f t="shared" ca="1" si="3"/>
        <v>1.764</v>
      </c>
      <c r="Q101" s="2">
        <f t="shared" ca="1" si="3"/>
        <v>1.736</v>
      </c>
      <c r="R101" s="2">
        <f t="shared" ca="1" si="3"/>
        <v>1.77</v>
      </c>
      <c r="S101" s="2">
        <f t="shared" ca="1" si="3"/>
        <v>1.8620000000000001</v>
      </c>
      <c r="T101" s="2">
        <f t="shared" ca="1" si="3"/>
        <v>2.0019999999999998</v>
      </c>
      <c r="U101" s="2">
        <f t="shared" ca="1" si="3"/>
        <v>2.1869999999999998</v>
      </c>
      <c r="V101" s="2">
        <f t="shared" ca="1" si="3"/>
        <v>2.3959999999999999</v>
      </c>
      <c r="W101" s="2">
        <f t="shared" ca="1" si="3"/>
        <v>2.6640000000000001</v>
      </c>
      <c r="X101" s="2">
        <f t="shared" ca="1" si="3"/>
        <v>2.9590000000000001</v>
      </c>
      <c r="Y101" s="2">
        <f t="shared" ca="1" si="3"/>
        <v>3.1970000000000001</v>
      </c>
    </row>
    <row r="102" spans="2:25" x14ac:dyDescent="0.3">
      <c r="B102" s="6">
        <v>99</v>
      </c>
      <c r="C102" s="9">
        <v>2.4279999999999999</v>
      </c>
      <c r="D102" s="9">
        <v>2.1720000000000002</v>
      </c>
      <c r="E102" s="9">
        <v>2.169</v>
      </c>
      <c r="F102" s="9">
        <v>2.0979999999999999</v>
      </c>
      <c r="I102" s="2">
        <f t="shared" ca="1" si="3"/>
        <v>3.081</v>
      </c>
      <c r="J102" s="2">
        <f t="shared" ca="1" si="3"/>
        <v>2.7570000000000001</v>
      </c>
      <c r="K102" s="2">
        <f t="shared" ca="1" si="3"/>
        <v>2.4380000000000002</v>
      </c>
      <c r="L102" s="2">
        <f t="shared" ca="1" si="3"/>
        <v>2.1850000000000001</v>
      </c>
      <c r="M102" s="2">
        <f t="shared" ca="1" si="3"/>
        <v>1.9530000000000001</v>
      </c>
      <c r="N102" s="2">
        <f t="shared" ca="1" si="3"/>
        <v>1.756</v>
      </c>
      <c r="O102" s="2">
        <f t="shared" ca="1" si="3"/>
        <v>1.609</v>
      </c>
      <c r="P102" s="2">
        <f t="shared" ca="1" si="3"/>
        <v>1.514</v>
      </c>
      <c r="Q102" s="2">
        <f t="shared" ca="1" si="3"/>
        <v>1.4830000000000001</v>
      </c>
      <c r="R102" s="2">
        <f t="shared" ca="1" si="3"/>
        <v>1.516</v>
      </c>
      <c r="S102" s="2">
        <f t="shared" ca="1" si="3"/>
        <v>1.611</v>
      </c>
      <c r="T102" s="2">
        <f t="shared" ca="1" si="3"/>
        <v>1.7649999999999999</v>
      </c>
      <c r="U102" s="2">
        <f t="shared" ca="1" si="3"/>
        <v>1.97</v>
      </c>
      <c r="V102" s="2">
        <f t="shared" ca="1" si="3"/>
        <v>2.2120000000000002</v>
      </c>
      <c r="W102" s="2">
        <f t="shared" ca="1" si="3"/>
        <v>2.4670000000000001</v>
      </c>
      <c r="X102" s="2">
        <f t="shared" ca="1" si="3"/>
        <v>2.7850000000000001</v>
      </c>
      <c r="Y102" s="2">
        <f t="shared" ca="1" si="3"/>
        <v>3.1320000000000001</v>
      </c>
    </row>
    <row r="103" spans="2:25" x14ac:dyDescent="0.3">
      <c r="B103" s="6">
        <v>100</v>
      </c>
      <c r="C103" s="9">
        <v>2.81</v>
      </c>
      <c r="D103" s="9">
        <v>2.5009999999999999</v>
      </c>
      <c r="E103" s="9">
        <v>2.4969999999999999</v>
      </c>
      <c r="F103" s="9">
        <v>2.4039999999999999</v>
      </c>
      <c r="I103" s="2">
        <f t="shared" ca="1" si="3"/>
        <v>2.9590000000000001</v>
      </c>
      <c r="J103" s="2">
        <f t="shared" ca="1" si="3"/>
        <v>2.5750000000000002</v>
      </c>
      <c r="K103" s="2">
        <f t="shared" ca="1" si="3"/>
        <v>2.2669999999999999</v>
      </c>
      <c r="L103" s="2">
        <f t="shared" ca="1" si="3"/>
        <v>2.0059999999999998</v>
      </c>
      <c r="M103" s="2">
        <f t="shared" ca="1" si="3"/>
        <v>1.764</v>
      </c>
      <c r="N103" s="2">
        <f t="shared" ca="1" si="3"/>
        <v>1.5580000000000001</v>
      </c>
      <c r="O103" s="2">
        <f t="shared" ca="1" si="3"/>
        <v>1.3959999999999999</v>
      </c>
      <c r="P103" s="2">
        <f t="shared" ca="1" si="3"/>
        <v>1.3</v>
      </c>
      <c r="Q103" s="2">
        <f t="shared" ca="1" si="3"/>
        <v>1.27</v>
      </c>
      <c r="R103" s="2">
        <f t="shared" ca="1" si="3"/>
        <v>1.3009999999999999</v>
      </c>
      <c r="S103" s="2">
        <f t="shared" ca="1" si="3"/>
        <v>1.3939999999999999</v>
      </c>
      <c r="T103" s="2">
        <f t="shared" ca="1" si="3"/>
        <v>1.554</v>
      </c>
      <c r="U103" s="2">
        <f t="shared" ca="1" si="3"/>
        <v>1.7669999999999999</v>
      </c>
      <c r="V103" s="2">
        <f t="shared" ca="1" si="3"/>
        <v>2.024</v>
      </c>
      <c r="W103" s="2">
        <f t="shared" ca="1" si="3"/>
        <v>2.3069999999999999</v>
      </c>
      <c r="X103" s="2">
        <f t="shared" ca="1" si="3"/>
        <v>2.6160000000000001</v>
      </c>
      <c r="Y103" s="2">
        <f t="shared" ca="1" si="3"/>
        <v>2.9940000000000002</v>
      </c>
    </row>
    <row r="104" spans="2:25" x14ac:dyDescent="0.3">
      <c r="B104" s="6">
        <v>101</v>
      </c>
      <c r="C104" s="9">
        <v>3.2090000000000001</v>
      </c>
      <c r="D104" s="9">
        <v>2.86</v>
      </c>
      <c r="E104" s="9">
        <v>2.8540000000000001</v>
      </c>
      <c r="F104" s="9">
        <v>2.7360000000000002</v>
      </c>
      <c r="I104" s="2">
        <f t="shared" ca="1" si="3"/>
        <v>2.83</v>
      </c>
      <c r="J104" s="2">
        <f t="shared" ca="1" si="3"/>
        <v>2.4510000000000001</v>
      </c>
      <c r="K104" s="2">
        <f t="shared" ca="1" si="3"/>
        <v>2.1469999999999998</v>
      </c>
      <c r="L104" s="2">
        <f t="shared" ca="1" si="3"/>
        <v>1.863</v>
      </c>
      <c r="M104" s="2">
        <f t="shared" ca="1" si="3"/>
        <v>1.6120000000000001</v>
      </c>
      <c r="N104" s="2">
        <f t="shared" ca="1" si="3"/>
        <v>1.397</v>
      </c>
      <c r="O104" s="2">
        <f t="shared" ca="1" si="3"/>
        <v>1.242</v>
      </c>
      <c r="P104" s="2">
        <f t="shared" ca="1" si="3"/>
        <v>1.155</v>
      </c>
      <c r="Q104" s="2">
        <f t="shared" ca="1" si="3"/>
        <v>1.127</v>
      </c>
      <c r="R104" s="2">
        <f t="shared" ca="1" si="3"/>
        <v>1.155</v>
      </c>
      <c r="S104" s="2">
        <f t="shared" ca="1" si="3"/>
        <v>1.242</v>
      </c>
      <c r="T104" s="2">
        <f t="shared" ca="1" si="3"/>
        <v>1.397</v>
      </c>
      <c r="U104" s="2">
        <f t="shared" ca="1" si="3"/>
        <v>1.619</v>
      </c>
      <c r="V104" s="2">
        <f t="shared" ca="1" si="3"/>
        <v>1.8819999999999999</v>
      </c>
      <c r="W104" s="2">
        <f t="shared" ca="1" si="3"/>
        <v>2.177</v>
      </c>
      <c r="X104" s="2">
        <f t="shared" ca="1" si="3"/>
        <v>2.4820000000000002</v>
      </c>
      <c r="Y104" s="2">
        <f t="shared" ca="1" si="3"/>
        <v>2.8439999999999999</v>
      </c>
    </row>
    <row r="105" spans="2:25" x14ac:dyDescent="0.3">
      <c r="B105" s="6">
        <v>102</v>
      </c>
      <c r="C105" s="9">
        <v>3.173</v>
      </c>
      <c r="D105" s="9">
        <v>2.83</v>
      </c>
      <c r="E105" s="9">
        <v>2.83</v>
      </c>
      <c r="F105" s="9">
        <v>2.7210000000000001</v>
      </c>
      <c r="I105" s="2">
        <f t="shared" ca="1" si="3"/>
        <v>2.7490000000000001</v>
      </c>
      <c r="J105" s="2">
        <f t="shared" ca="1" si="3"/>
        <v>2.3839999999999999</v>
      </c>
      <c r="K105" s="2">
        <f t="shared" ca="1" si="3"/>
        <v>2.0739999999999998</v>
      </c>
      <c r="L105" s="2">
        <f t="shared" ca="1" si="3"/>
        <v>1.78</v>
      </c>
      <c r="M105" s="2">
        <f t="shared" ca="1" si="3"/>
        <v>1.5189999999999999</v>
      </c>
      <c r="N105" s="2">
        <f t="shared" ca="1" si="3"/>
        <v>1.3009999999999999</v>
      </c>
      <c r="O105" s="2">
        <f t="shared" ca="1" si="3"/>
        <v>1.1519999999999999</v>
      </c>
      <c r="P105" s="2">
        <f t="shared" ca="1" si="3"/>
        <v>1.0620000000000001</v>
      </c>
      <c r="Q105" s="2">
        <f t="shared" ca="1" si="3"/>
        <v>1.0349999999999999</v>
      </c>
      <c r="R105" s="2">
        <f t="shared" ca="1" si="3"/>
        <v>1.0680000000000001</v>
      </c>
      <c r="S105" s="2">
        <f t="shared" ca="1" si="3"/>
        <v>1.1599999999999999</v>
      </c>
      <c r="T105" s="2">
        <f t="shared" ca="1" si="3"/>
        <v>1.31</v>
      </c>
      <c r="U105" s="2">
        <f t="shared" ca="1" si="3"/>
        <v>1.5309999999999999</v>
      </c>
      <c r="V105" s="2">
        <f t="shared" ca="1" si="3"/>
        <v>1.7969999999999999</v>
      </c>
      <c r="W105" s="2">
        <f t="shared" ca="1" si="3"/>
        <v>2.0979999999999999</v>
      </c>
      <c r="X105" s="2">
        <f t="shared" ca="1" si="3"/>
        <v>2.4039999999999999</v>
      </c>
      <c r="Y105" s="2">
        <f t="shared" ca="1" si="3"/>
        <v>2.7360000000000002</v>
      </c>
    </row>
    <row r="106" spans="2:25" x14ac:dyDescent="0.3">
      <c r="B106" s="6">
        <v>103</v>
      </c>
      <c r="C106" s="9">
        <v>2.742</v>
      </c>
      <c r="D106" s="9">
        <v>2.4550000000000001</v>
      </c>
      <c r="E106" s="9">
        <v>2.4550000000000001</v>
      </c>
      <c r="F106" s="9">
        <v>2.3679999999999999</v>
      </c>
      <c r="I106" s="2">
        <f t="shared" ca="1" si="3"/>
        <v>2.7210000000000001</v>
      </c>
      <c r="J106" s="2">
        <f t="shared" ca="1" si="3"/>
        <v>2.3679999999999999</v>
      </c>
      <c r="K106" s="2">
        <f t="shared" ca="1" si="3"/>
        <v>2.056</v>
      </c>
      <c r="L106" s="2">
        <f t="shared" ca="1" si="3"/>
        <v>1.7589999999999999</v>
      </c>
      <c r="M106" s="2">
        <f t="shared" ca="1" si="3"/>
        <v>1.492</v>
      </c>
      <c r="N106" s="2">
        <f t="shared" ca="1" si="3"/>
        <v>1.274</v>
      </c>
      <c r="O106" s="2">
        <f t="shared" ca="1" si="3"/>
        <v>1.123</v>
      </c>
      <c r="P106" s="2">
        <f t="shared" ca="1" si="3"/>
        <v>1.0289999999999999</v>
      </c>
      <c r="Q106" s="2">
        <f t="shared" ca="1" si="3"/>
        <v>1.006</v>
      </c>
      <c r="R106" s="2">
        <f t="shared" ca="1" si="3"/>
        <v>1.0349999999999999</v>
      </c>
      <c r="S106" s="2">
        <f t="shared" ca="1" si="3"/>
        <v>1.1319999999999999</v>
      </c>
      <c r="T106" s="2">
        <f t="shared" ca="1" si="3"/>
        <v>1.284</v>
      </c>
      <c r="U106" s="2">
        <f t="shared" ca="1" si="3"/>
        <v>1.5029999999999999</v>
      </c>
      <c r="V106" s="2">
        <f t="shared" ca="1" si="3"/>
        <v>1.7749999999999999</v>
      </c>
      <c r="W106" s="2">
        <f t="shared" ca="1" si="3"/>
        <v>2.0760000000000001</v>
      </c>
      <c r="X106" s="2">
        <f t="shared" ca="1" si="3"/>
        <v>2.3849999999999998</v>
      </c>
      <c r="Y106" s="2">
        <f t="shared" ca="1" si="3"/>
        <v>2.71</v>
      </c>
    </row>
    <row r="107" spans="2:25" x14ac:dyDescent="0.3">
      <c r="B107" s="6">
        <v>104</v>
      </c>
      <c r="C107" s="9">
        <v>2.3530000000000002</v>
      </c>
      <c r="D107" s="9">
        <v>2.121</v>
      </c>
      <c r="E107" s="9">
        <v>2.121</v>
      </c>
      <c r="F107" s="9">
        <v>2.056</v>
      </c>
      <c r="I107" s="2">
        <f t="shared" ca="1" si="3"/>
        <v>2.7450000000000001</v>
      </c>
      <c r="J107" s="2">
        <f t="shared" ca="1" si="3"/>
        <v>2.391</v>
      </c>
      <c r="K107" s="2">
        <f t="shared" ca="1" si="3"/>
        <v>2.0880000000000001</v>
      </c>
      <c r="L107" s="2">
        <f t="shared" ca="1" si="3"/>
        <v>1.798</v>
      </c>
      <c r="M107" s="2">
        <f t="shared" ca="1" si="3"/>
        <v>1.534</v>
      </c>
      <c r="N107" s="2">
        <f t="shared" ca="1" si="3"/>
        <v>1.31</v>
      </c>
      <c r="O107" s="2">
        <f t="shared" ca="1" si="3"/>
        <v>1.1579999999999999</v>
      </c>
      <c r="P107" s="2">
        <f t="shared" ca="1" si="3"/>
        <v>1.0640000000000001</v>
      </c>
      <c r="Q107" s="2">
        <f t="shared" ca="1" si="3"/>
        <v>1.0329999999999999</v>
      </c>
      <c r="R107" s="2">
        <f t="shared" ca="1" si="3"/>
        <v>1.0660000000000001</v>
      </c>
      <c r="S107" s="2">
        <f t="shared" ca="1" si="3"/>
        <v>1.159</v>
      </c>
      <c r="T107" s="2">
        <f t="shared" ca="1" si="3"/>
        <v>1.3109999999999999</v>
      </c>
      <c r="U107" s="2">
        <f t="shared" ca="1" si="3"/>
        <v>1.5369999999999999</v>
      </c>
      <c r="V107" s="2">
        <f t="shared" ca="1" si="3"/>
        <v>1.8089999999999999</v>
      </c>
      <c r="W107" s="2">
        <f t="shared" ca="1" si="3"/>
        <v>2.1139999999999999</v>
      </c>
      <c r="X107" s="2">
        <f t="shared" ca="1" si="3"/>
        <v>2.4220000000000002</v>
      </c>
      <c r="Y107" s="2">
        <f t="shared" ca="1" si="3"/>
        <v>2.75</v>
      </c>
    </row>
    <row r="108" spans="2:25" x14ac:dyDescent="0.3">
      <c r="B108" s="6">
        <v>105</v>
      </c>
      <c r="C108" s="9">
        <v>1.9750000000000001</v>
      </c>
      <c r="D108" s="9">
        <v>1.8049999999999999</v>
      </c>
      <c r="E108" s="9">
        <v>1.8049999999999999</v>
      </c>
      <c r="F108" s="9">
        <v>1.7589999999999999</v>
      </c>
      <c r="I108" s="2">
        <f t="shared" ca="1" si="3"/>
        <v>2.8340000000000001</v>
      </c>
      <c r="J108" s="2">
        <f t="shared" ca="1" si="3"/>
        <v>2.4620000000000002</v>
      </c>
      <c r="K108" s="2">
        <f t="shared" ca="1" si="3"/>
        <v>2.16</v>
      </c>
      <c r="L108" s="2">
        <f t="shared" ca="1" si="3"/>
        <v>1.877</v>
      </c>
      <c r="M108" s="2">
        <f t="shared" ca="1" si="3"/>
        <v>1.623</v>
      </c>
      <c r="N108" s="2">
        <f t="shared" ca="1" si="3"/>
        <v>1.407</v>
      </c>
      <c r="O108" s="2">
        <f t="shared" ca="1" si="3"/>
        <v>1.25</v>
      </c>
      <c r="P108" s="2">
        <f t="shared" ca="1" si="3"/>
        <v>1.1619999999999999</v>
      </c>
      <c r="Q108" s="2">
        <f t="shared" ca="1" si="3"/>
        <v>1.135</v>
      </c>
      <c r="R108" s="2">
        <f t="shared" ca="1" si="3"/>
        <v>1.1599999999999999</v>
      </c>
      <c r="S108" s="2">
        <f t="shared" ca="1" si="3"/>
        <v>1.246</v>
      </c>
      <c r="T108" s="2">
        <f t="shared" ca="1" si="3"/>
        <v>1.4</v>
      </c>
      <c r="U108" s="2">
        <f t="shared" ca="1" si="3"/>
        <v>1.625</v>
      </c>
      <c r="V108" s="2">
        <f t="shared" ca="1" si="3"/>
        <v>1.893</v>
      </c>
      <c r="W108" s="2">
        <f t="shared" ca="1" si="3"/>
        <v>2.1920000000000002</v>
      </c>
      <c r="X108" s="2">
        <f t="shared" ca="1" si="3"/>
        <v>2.4980000000000002</v>
      </c>
      <c r="Y108" s="2">
        <f t="shared" ca="1" si="3"/>
        <v>2.855</v>
      </c>
    </row>
    <row r="109" spans="2:25" x14ac:dyDescent="0.3">
      <c r="B109" s="6">
        <v>106</v>
      </c>
      <c r="C109" s="9">
        <v>1.63</v>
      </c>
      <c r="D109" s="9">
        <v>1.524</v>
      </c>
      <c r="E109" s="9">
        <v>1.5249999999999999</v>
      </c>
      <c r="F109" s="9">
        <v>1.492</v>
      </c>
      <c r="I109" s="2">
        <f t="shared" ca="1" si="3"/>
        <v>2.9750000000000001</v>
      </c>
      <c r="J109" s="2">
        <f t="shared" ca="1" si="3"/>
        <v>2.5910000000000002</v>
      </c>
      <c r="K109" s="2">
        <f t="shared" ca="1" si="3"/>
        <v>2.282</v>
      </c>
      <c r="L109" s="2">
        <f t="shared" ca="1" si="3"/>
        <v>2.0139999999999998</v>
      </c>
      <c r="M109" s="2">
        <f t="shared" ca="1" si="3"/>
        <v>1.7669999999999999</v>
      </c>
      <c r="N109" s="2">
        <f t="shared" ca="1" si="3"/>
        <v>1.5620000000000001</v>
      </c>
      <c r="O109" s="2">
        <f t="shared" ca="1" si="3"/>
        <v>1.4059999999999999</v>
      </c>
      <c r="P109" s="2">
        <f t="shared" ca="1" si="3"/>
        <v>1.3160000000000001</v>
      </c>
      <c r="Q109" s="2">
        <f t="shared" ca="1" si="3"/>
        <v>1.288</v>
      </c>
      <c r="R109" s="2">
        <f t="shared" ca="1" si="3"/>
        <v>1.3180000000000001</v>
      </c>
      <c r="S109" s="2">
        <f t="shared" ca="1" si="3"/>
        <v>1.407</v>
      </c>
      <c r="T109" s="2">
        <f t="shared" ca="1" si="3"/>
        <v>1.5640000000000001</v>
      </c>
      <c r="U109" s="2">
        <f t="shared" ca="1" si="3"/>
        <v>1.776</v>
      </c>
      <c r="V109" s="2">
        <f t="shared" ca="1" si="3"/>
        <v>2.032</v>
      </c>
      <c r="W109" s="2">
        <f t="shared" ca="1" si="3"/>
        <v>2.31</v>
      </c>
      <c r="X109" s="2">
        <f t="shared" ca="1" si="3"/>
        <v>2.6110000000000002</v>
      </c>
      <c r="Y109" s="2">
        <f t="shared" ca="1" si="3"/>
        <v>2.9790000000000001</v>
      </c>
    </row>
    <row r="110" spans="2:25" x14ac:dyDescent="0.3">
      <c r="B110" s="6">
        <v>107</v>
      </c>
      <c r="C110" s="9">
        <v>1.3520000000000001</v>
      </c>
      <c r="D110" s="9">
        <v>1.296</v>
      </c>
      <c r="E110" s="9">
        <v>1.2969999999999999</v>
      </c>
      <c r="F110" s="9">
        <v>1.274</v>
      </c>
      <c r="I110" s="2">
        <f t="shared" ca="1" si="3"/>
        <v>3.1019999999999999</v>
      </c>
      <c r="J110" s="2">
        <f t="shared" ca="1" si="3"/>
        <v>2.778</v>
      </c>
      <c r="K110" s="2">
        <f t="shared" ca="1" si="3"/>
        <v>2.456</v>
      </c>
      <c r="L110" s="2">
        <f t="shared" ca="1" si="3"/>
        <v>2.202</v>
      </c>
      <c r="M110" s="2">
        <f t="shared" ca="1" si="3"/>
        <v>1.9710000000000001</v>
      </c>
      <c r="N110" s="2">
        <f t="shared" ca="1" si="3"/>
        <v>1.7729999999999999</v>
      </c>
      <c r="O110" s="2">
        <f t="shared" ca="1" si="3"/>
        <v>1.625</v>
      </c>
      <c r="P110" s="2">
        <f t="shared" ca="1" si="3"/>
        <v>1.5329999999999999</v>
      </c>
      <c r="Q110" s="2">
        <f t="shared" ca="1" si="3"/>
        <v>1.5049999999999999</v>
      </c>
      <c r="R110" s="2">
        <f t="shared" ca="1" si="3"/>
        <v>1.54</v>
      </c>
      <c r="S110" s="2">
        <f t="shared" ca="1" si="3"/>
        <v>1.637</v>
      </c>
      <c r="T110" s="2">
        <f t="shared" ca="1" si="3"/>
        <v>1.7869999999999999</v>
      </c>
      <c r="U110" s="2">
        <f t="shared" ca="1" si="3"/>
        <v>1.984</v>
      </c>
      <c r="V110" s="2">
        <f t="shared" ca="1" si="3"/>
        <v>2.2210000000000001</v>
      </c>
      <c r="W110" s="2">
        <f t="shared" ca="1" si="3"/>
        <v>2.4729999999999999</v>
      </c>
      <c r="X110" s="2">
        <f t="shared" ca="1" si="3"/>
        <v>2.7839999999999998</v>
      </c>
      <c r="Y110" s="2">
        <f t="shared" ca="1" si="3"/>
        <v>3.1280000000000001</v>
      </c>
    </row>
    <row r="111" spans="2:25" x14ac:dyDescent="0.3">
      <c r="B111" s="6">
        <v>108</v>
      </c>
      <c r="C111" s="9">
        <v>1.1599999999999999</v>
      </c>
      <c r="D111" s="9">
        <v>1.1359999999999999</v>
      </c>
      <c r="E111" s="9">
        <v>1.137</v>
      </c>
      <c r="F111" s="9">
        <v>1.123</v>
      </c>
      <c r="I111" s="2">
        <f t="shared" ca="1" si="3"/>
        <v>3.1219999999999999</v>
      </c>
      <c r="J111" s="2">
        <f t="shared" ca="1" si="3"/>
        <v>2.9550000000000001</v>
      </c>
      <c r="K111" s="2">
        <f t="shared" ca="1" si="3"/>
        <v>2.6869999999999998</v>
      </c>
      <c r="L111" s="2">
        <f t="shared" ca="1" si="3"/>
        <v>2.42</v>
      </c>
      <c r="M111" s="2">
        <f t="shared" ca="1" si="3"/>
        <v>2.2109999999999999</v>
      </c>
      <c r="N111" s="2">
        <f t="shared" ca="1" si="3"/>
        <v>2.0270000000000001</v>
      </c>
      <c r="O111" s="2">
        <f t="shared" ca="1" si="3"/>
        <v>1.8859999999999999</v>
      </c>
      <c r="P111" s="2">
        <f t="shared" ca="1" si="3"/>
        <v>1.796</v>
      </c>
      <c r="Q111" s="2">
        <f t="shared" ca="1" si="3"/>
        <v>1.768</v>
      </c>
      <c r="R111" s="2">
        <f t="shared" ca="1" si="3"/>
        <v>1.8009999999999999</v>
      </c>
      <c r="S111" s="2">
        <f t="shared" ca="1" si="3"/>
        <v>1.893</v>
      </c>
      <c r="T111" s="2">
        <f t="shared" ca="1" si="3"/>
        <v>2.0379999999999998</v>
      </c>
      <c r="U111" s="2">
        <f t="shared" ca="1" si="3"/>
        <v>2.2280000000000002</v>
      </c>
      <c r="V111" s="2">
        <f t="shared" ca="1" si="3"/>
        <v>2.4359999999999999</v>
      </c>
      <c r="W111" s="2">
        <f t="shared" ca="1" si="3"/>
        <v>2.6930000000000001</v>
      </c>
      <c r="X111" s="2">
        <f t="shared" ca="1" si="3"/>
        <v>2.9809999999999999</v>
      </c>
      <c r="Y111" s="2">
        <f t="shared" ca="1" si="3"/>
        <v>3.2280000000000002</v>
      </c>
    </row>
    <row r="112" spans="2:25" x14ac:dyDescent="0.3">
      <c r="B112" s="6">
        <v>109</v>
      </c>
      <c r="C112" s="9">
        <v>1.04</v>
      </c>
      <c r="D112" s="9">
        <v>1.0329999999999999</v>
      </c>
      <c r="E112" s="9">
        <v>1.0329999999999999</v>
      </c>
      <c r="F112" s="9">
        <v>1.0289999999999999</v>
      </c>
      <c r="I112" s="13">
        <f t="shared" ca="1" si="3"/>
        <v>3.069</v>
      </c>
      <c r="J112" s="2">
        <f t="shared" ca="1" si="3"/>
        <v>3.0710000000000002</v>
      </c>
      <c r="K112" s="2">
        <f t="shared" ca="1" si="3"/>
        <v>2.9569999999999999</v>
      </c>
      <c r="L112" s="2">
        <f t="shared" ca="1" si="3"/>
        <v>2.7069999999999999</v>
      </c>
      <c r="M112" s="2">
        <f t="shared" ca="1" si="3"/>
        <v>2.4900000000000002</v>
      </c>
      <c r="N112" s="2">
        <f t="shared" ca="1" si="3"/>
        <v>2.3319999999999999</v>
      </c>
      <c r="O112" s="2">
        <f t="shared" ca="1" si="3"/>
        <v>2.2010000000000001</v>
      </c>
      <c r="P112" s="2">
        <f t="shared" ca="1" si="3"/>
        <v>2.1070000000000002</v>
      </c>
      <c r="Q112" s="2">
        <f t="shared" ca="1" si="3"/>
        <v>2.0779999999999998</v>
      </c>
      <c r="R112" s="2">
        <f t="shared" ca="1" si="3"/>
        <v>2.11</v>
      </c>
      <c r="S112" s="2">
        <f t="shared" ca="1" si="3"/>
        <v>2.2000000000000002</v>
      </c>
      <c r="T112" s="2">
        <f t="shared" ca="1" si="3"/>
        <v>2.3279999999999998</v>
      </c>
      <c r="U112" s="2">
        <f t="shared" ca="1" si="3"/>
        <v>2.4929999999999999</v>
      </c>
      <c r="V112" s="2">
        <f t="shared" ca="1" si="3"/>
        <v>2.7090000000000001</v>
      </c>
      <c r="W112" s="2">
        <f t="shared" ca="1" si="3"/>
        <v>2.9910000000000001</v>
      </c>
      <c r="X112" s="2">
        <f t="shared" ca="1" si="3"/>
        <v>3.1789999999999998</v>
      </c>
      <c r="Y112" s="13">
        <f t="shared" ca="1" si="3"/>
        <v>3.298</v>
      </c>
    </row>
    <row r="113" spans="2:6" x14ac:dyDescent="0.3">
      <c r="B113" s="6">
        <v>110</v>
      </c>
      <c r="C113" s="9">
        <v>1.0049999999999999</v>
      </c>
      <c r="D113" s="9">
        <v>1.004</v>
      </c>
      <c r="E113" s="9">
        <v>1.004</v>
      </c>
      <c r="F113" s="9">
        <v>1.006</v>
      </c>
    </row>
    <row r="114" spans="2:6" x14ac:dyDescent="0.3">
      <c r="B114" s="6">
        <v>111</v>
      </c>
      <c r="C114" s="9">
        <v>1.046</v>
      </c>
      <c r="D114" s="9">
        <v>1.038</v>
      </c>
      <c r="E114" s="9">
        <v>1.038</v>
      </c>
      <c r="F114" s="9">
        <v>1.0349999999999999</v>
      </c>
    </row>
    <row r="115" spans="2:6" x14ac:dyDescent="0.3">
      <c r="B115" s="6">
        <v>112</v>
      </c>
      <c r="C115" s="9">
        <v>1.1719999999999999</v>
      </c>
      <c r="D115" s="9">
        <v>1.1479999999999999</v>
      </c>
      <c r="E115" s="9">
        <v>1.1479999999999999</v>
      </c>
      <c r="F115" s="9">
        <v>1.1319999999999999</v>
      </c>
    </row>
    <row r="116" spans="2:6" x14ac:dyDescent="0.3">
      <c r="B116" s="6">
        <v>113</v>
      </c>
      <c r="C116" s="9">
        <v>1.369</v>
      </c>
      <c r="D116" s="9">
        <v>1.31</v>
      </c>
      <c r="E116" s="9">
        <v>1.31</v>
      </c>
      <c r="F116" s="9">
        <v>1.284</v>
      </c>
    </row>
    <row r="117" spans="2:6" x14ac:dyDescent="0.3">
      <c r="B117" s="6">
        <v>114</v>
      </c>
      <c r="C117" s="9">
        <v>1.6539999999999999</v>
      </c>
      <c r="D117" s="9">
        <v>1.542</v>
      </c>
      <c r="E117" s="9">
        <v>1.5409999999999999</v>
      </c>
      <c r="F117" s="9">
        <v>1.5029999999999999</v>
      </c>
    </row>
    <row r="118" spans="2:6" x14ac:dyDescent="0.3">
      <c r="B118" s="6">
        <v>115</v>
      </c>
      <c r="C118" s="9">
        <v>2.0110000000000001</v>
      </c>
      <c r="D118" s="9">
        <v>1.83</v>
      </c>
      <c r="E118" s="9">
        <v>1.8280000000000001</v>
      </c>
      <c r="F118" s="9">
        <v>1.7749999999999999</v>
      </c>
    </row>
    <row r="119" spans="2:6" x14ac:dyDescent="0.3">
      <c r="B119" s="6">
        <v>116</v>
      </c>
      <c r="C119" s="9">
        <v>2.4009999999999998</v>
      </c>
      <c r="D119" s="9">
        <v>2.1509999999999998</v>
      </c>
      <c r="E119" s="9">
        <v>2.1480000000000001</v>
      </c>
      <c r="F119" s="9">
        <v>2.0760000000000001</v>
      </c>
    </row>
    <row r="120" spans="2:6" x14ac:dyDescent="0.3">
      <c r="B120" s="6">
        <v>117</v>
      </c>
      <c r="C120" s="9">
        <v>2.7909999999999999</v>
      </c>
      <c r="D120" s="9">
        <v>2.4820000000000002</v>
      </c>
      <c r="E120" s="9">
        <v>2.4780000000000002</v>
      </c>
      <c r="F120" s="9">
        <v>2.3849999999999998</v>
      </c>
    </row>
    <row r="121" spans="2:6" x14ac:dyDescent="0.3">
      <c r="B121" s="6">
        <v>118</v>
      </c>
      <c r="C121" s="9">
        <v>3.1909999999999998</v>
      </c>
      <c r="D121" s="9">
        <v>2.8370000000000002</v>
      </c>
      <c r="E121" s="9">
        <v>2.8279999999999998</v>
      </c>
      <c r="F121" s="9">
        <v>2.71</v>
      </c>
    </row>
    <row r="122" spans="2:6" x14ac:dyDescent="0.3">
      <c r="B122" s="6">
        <v>119</v>
      </c>
      <c r="C122" s="9">
        <v>3.1989999999999998</v>
      </c>
      <c r="D122" s="9">
        <v>2.851</v>
      </c>
      <c r="E122" s="9">
        <v>2.851</v>
      </c>
      <c r="F122" s="9">
        <v>2.7450000000000001</v>
      </c>
    </row>
    <row r="123" spans="2:6" x14ac:dyDescent="0.3">
      <c r="B123" s="6">
        <v>120</v>
      </c>
      <c r="C123" s="9">
        <v>2.766</v>
      </c>
      <c r="D123" s="9">
        <v>2.4790000000000001</v>
      </c>
      <c r="E123" s="9">
        <v>2.4780000000000002</v>
      </c>
      <c r="F123" s="9">
        <v>2.391</v>
      </c>
    </row>
    <row r="124" spans="2:6" x14ac:dyDescent="0.3">
      <c r="B124" s="6">
        <v>121</v>
      </c>
      <c r="C124" s="9">
        <v>2.3860000000000001</v>
      </c>
      <c r="D124" s="9">
        <v>2.153</v>
      </c>
      <c r="E124" s="9">
        <v>2.153</v>
      </c>
      <c r="F124" s="9">
        <v>2.0880000000000001</v>
      </c>
    </row>
    <row r="125" spans="2:6" x14ac:dyDescent="0.3">
      <c r="B125" s="6">
        <v>122</v>
      </c>
      <c r="C125" s="9">
        <v>2.02</v>
      </c>
      <c r="D125" s="9">
        <v>1.845</v>
      </c>
      <c r="E125" s="9">
        <v>1.845</v>
      </c>
      <c r="F125" s="9">
        <v>1.798</v>
      </c>
    </row>
    <row r="126" spans="2:6" x14ac:dyDescent="0.3">
      <c r="B126" s="6">
        <v>123</v>
      </c>
      <c r="C126" s="9">
        <v>1.681</v>
      </c>
      <c r="D126" s="9">
        <v>1.5680000000000001</v>
      </c>
      <c r="E126" s="9">
        <v>1.569</v>
      </c>
      <c r="F126" s="9">
        <v>1.534</v>
      </c>
    </row>
    <row r="127" spans="2:6" x14ac:dyDescent="0.3">
      <c r="B127" s="6">
        <v>124</v>
      </c>
      <c r="C127" s="9">
        <v>1.399</v>
      </c>
      <c r="D127" s="9">
        <v>1.337</v>
      </c>
      <c r="E127" s="9">
        <v>1.337</v>
      </c>
      <c r="F127" s="9">
        <v>1.31</v>
      </c>
    </row>
    <row r="128" spans="2:6" x14ac:dyDescent="0.3">
      <c r="B128" s="6">
        <v>125</v>
      </c>
      <c r="C128" s="9">
        <v>1.2070000000000001</v>
      </c>
      <c r="D128" s="9">
        <v>1.1759999999999999</v>
      </c>
      <c r="E128" s="9">
        <v>1.1759999999999999</v>
      </c>
      <c r="F128" s="9">
        <v>1.1579999999999999</v>
      </c>
    </row>
    <row r="129" spans="2:6" x14ac:dyDescent="0.3">
      <c r="B129" s="6">
        <v>126</v>
      </c>
      <c r="C129" s="9">
        <v>1.0860000000000001</v>
      </c>
      <c r="D129" s="9">
        <v>1.0720000000000001</v>
      </c>
      <c r="E129" s="9">
        <v>1.0720000000000001</v>
      </c>
      <c r="F129" s="9">
        <v>1.0640000000000001</v>
      </c>
    </row>
    <row r="130" spans="2:6" x14ac:dyDescent="0.3">
      <c r="B130" s="6">
        <v>127</v>
      </c>
      <c r="C130" s="9">
        <v>1.0449999999999999</v>
      </c>
      <c r="D130" s="9">
        <v>1.036</v>
      </c>
      <c r="E130" s="9">
        <v>1.0349999999999999</v>
      </c>
      <c r="F130" s="9">
        <v>1.0329999999999999</v>
      </c>
    </row>
    <row r="131" spans="2:6" x14ac:dyDescent="0.3">
      <c r="B131" s="6">
        <v>128</v>
      </c>
      <c r="C131" s="9">
        <v>1.0900000000000001</v>
      </c>
      <c r="D131" s="9">
        <v>1.0760000000000001</v>
      </c>
      <c r="E131" s="9">
        <v>1.075</v>
      </c>
      <c r="F131" s="9">
        <v>1.0660000000000001</v>
      </c>
    </row>
    <row r="132" spans="2:6" x14ac:dyDescent="0.3">
      <c r="B132" s="6">
        <v>129</v>
      </c>
      <c r="C132" s="9">
        <v>1.2130000000000001</v>
      </c>
      <c r="D132" s="9">
        <v>1.18</v>
      </c>
      <c r="E132" s="9">
        <v>1.179</v>
      </c>
      <c r="F132" s="9">
        <v>1.159</v>
      </c>
    </row>
    <row r="133" spans="2:6" x14ac:dyDescent="0.3">
      <c r="B133" s="6">
        <v>130</v>
      </c>
      <c r="C133" s="9">
        <v>1.4079999999999999</v>
      </c>
      <c r="D133" s="9">
        <v>1.3420000000000001</v>
      </c>
      <c r="E133" s="9">
        <v>1.341</v>
      </c>
      <c r="F133" s="9">
        <v>1.3109999999999999</v>
      </c>
    </row>
    <row r="134" spans="2:6" x14ac:dyDescent="0.3">
      <c r="B134" s="6">
        <v>131</v>
      </c>
      <c r="C134" s="9">
        <v>1.6970000000000001</v>
      </c>
      <c r="D134" s="9">
        <v>1.5780000000000001</v>
      </c>
      <c r="E134" s="9">
        <v>1.5760000000000001</v>
      </c>
      <c r="F134" s="9">
        <v>1.5369999999999999</v>
      </c>
    </row>
    <row r="135" spans="2:6" x14ac:dyDescent="0.3">
      <c r="B135" s="6">
        <v>132</v>
      </c>
      <c r="C135" s="9">
        <v>2.052</v>
      </c>
      <c r="D135" s="9">
        <v>1.865</v>
      </c>
      <c r="E135" s="9">
        <v>1.8620000000000001</v>
      </c>
      <c r="F135" s="9">
        <v>1.8089999999999999</v>
      </c>
    </row>
    <row r="136" spans="2:6" x14ac:dyDescent="0.3">
      <c r="B136" s="6">
        <v>133</v>
      </c>
      <c r="C136" s="9">
        <v>2.444</v>
      </c>
      <c r="D136" s="9">
        <v>2.1890000000000001</v>
      </c>
      <c r="E136" s="9">
        <v>2.1850000000000001</v>
      </c>
      <c r="F136" s="9">
        <v>2.1139999999999999</v>
      </c>
    </row>
    <row r="137" spans="2:6" x14ac:dyDescent="0.3">
      <c r="B137" s="6">
        <v>134</v>
      </c>
      <c r="C137" s="9">
        <v>2.831</v>
      </c>
      <c r="D137" s="9">
        <v>2.5169999999999999</v>
      </c>
      <c r="E137" s="9">
        <v>2.512</v>
      </c>
      <c r="F137" s="9">
        <v>2.4220000000000002</v>
      </c>
    </row>
    <row r="138" spans="2:6" x14ac:dyDescent="0.3">
      <c r="B138" s="6">
        <v>135</v>
      </c>
      <c r="C138" s="9">
        <v>3.2320000000000002</v>
      </c>
      <c r="D138" s="9">
        <v>2.8719999999999999</v>
      </c>
      <c r="E138" s="9">
        <v>2.8650000000000002</v>
      </c>
      <c r="F138" s="9">
        <v>2.75</v>
      </c>
    </row>
    <row r="139" spans="2:6" x14ac:dyDescent="0.3">
      <c r="B139" s="6">
        <v>136</v>
      </c>
      <c r="C139" s="9">
        <v>3.3029999999999999</v>
      </c>
      <c r="D139" s="9">
        <v>2.9489999999999998</v>
      </c>
      <c r="E139" s="9">
        <v>2.9470000000000001</v>
      </c>
      <c r="F139" s="9">
        <v>2.8340000000000001</v>
      </c>
    </row>
    <row r="140" spans="2:6" x14ac:dyDescent="0.3">
      <c r="B140" s="6">
        <v>137</v>
      </c>
      <c r="C140" s="9">
        <v>2.851</v>
      </c>
      <c r="D140" s="9">
        <v>2.556</v>
      </c>
      <c r="E140" s="9">
        <v>2.5550000000000002</v>
      </c>
      <c r="F140" s="9">
        <v>2.4620000000000002</v>
      </c>
    </row>
    <row r="141" spans="2:6" x14ac:dyDescent="0.3">
      <c r="B141" s="6">
        <v>138</v>
      </c>
      <c r="C141" s="9">
        <v>2.4750000000000001</v>
      </c>
      <c r="D141" s="9">
        <v>2.2309999999999999</v>
      </c>
      <c r="E141" s="9">
        <v>2.23</v>
      </c>
      <c r="F141" s="9">
        <v>2.16</v>
      </c>
    </row>
    <row r="142" spans="2:6" x14ac:dyDescent="0.3">
      <c r="B142" s="6">
        <v>139</v>
      </c>
      <c r="C142" s="9">
        <v>2.1230000000000002</v>
      </c>
      <c r="D142" s="9">
        <v>1.9319999999999999</v>
      </c>
      <c r="E142" s="9">
        <v>1.93</v>
      </c>
      <c r="F142" s="9">
        <v>1.877</v>
      </c>
    </row>
    <row r="143" spans="2:6" x14ac:dyDescent="0.3">
      <c r="B143" s="6">
        <v>140</v>
      </c>
      <c r="C143" s="9">
        <v>1.7989999999999999</v>
      </c>
      <c r="D143" s="9">
        <v>1.6659999999999999</v>
      </c>
      <c r="E143" s="9">
        <v>1.665</v>
      </c>
      <c r="F143" s="9">
        <v>1.623</v>
      </c>
    </row>
    <row r="144" spans="2:6" x14ac:dyDescent="0.3">
      <c r="B144" s="6">
        <v>141</v>
      </c>
      <c r="C144" s="9">
        <v>1.526</v>
      </c>
      <c r="D144" s="9">
        <v>1.4419999999999999</v>
      </c>
      <c r="E144" s="9">
        <v>1.4410000000000001</v>
      </c>
      <c r="F144" s="9">
        <v>1.407</v>
      </c>
    </row>
    <row r="145" spans="2:6" x14ac:dyDescent="0.3">
      <c r="B145" s="6">
        <v>142</v>
      </c>
      <c r="C145" s="9">
        <v>1.33</v>
      </c>
      <c r="D145" s="9">
        <v>1.2789999999999999</v>
      </c>
      <c r="E145" s="9">
        <v>1.278</v>
      </c>
      <c r="F145" s="9">
        <v>1.25</v>
      </c>
    </row>
    <row r="146" spans="2:6" x14ac:dyDescent="0.3">
      <c r="B146" s="6">
        <v>143</v>
      </c>
      <c r="C146" s="9">
        <v>1.2130000000000001</v>
      </c>
      <c r="D146" s="9">
        <v>1.1819999999999999</v>
      </c>
      <c r="E146" s="9">
        <v>1.181</v>
      </c>
      <c r="F146" s="9">
        <v>1.1619999999999999</v>
      </c>
    </row>
    <row r="147" spans="2:6" x14ac:dyDescent="0.3">
      <c r="B147" s="6">
        <v>144</v>
      </c>
      <c r="C147" s="9">
        <v>1.1739999999999999</v>
      </c>
      <c r="D147" s="9">
        <v>1.1499999999999999</v>
      </c>
      <c r="E147" s="9">
        <v>1.1479999999999999</v>
      </c>
      <c r="F147" s="9">
        <v>1.135</v>
      </c>
    </row>
    <row r="148" spans="2:6" x14ac:dyDescent="0.3">
      <c r="B148" s="6">
        <v>145</v>
      </c>
      <c r="C148" s="9">
        <v>1.214</v>
      </c>
      <c r="D148" s="9">
        <v>1.1819999999999999</v>
      </c>
      <c r="E148" s="9">
        <v>1.179</v>
      </c>
      <c r="F148" s="9">
        <v>1.1599999999999999</v>
      </c>
    </row>
    <row r="149" spans="2:6" x14ac:dyDescent="0.3">
      <c r="B149" s="6">
        <v>146</v>
      </c>
      <c r="C149" s="9">
        <v>1.33</v>
      </c>
      <c r="D149" s="9">
        <v>1.2769999999999999</v>
      </c>
      <c r="E149" s="9">
        <v>1.2749999999999999</v>
      </c>
      <c r="F149" s="9">
        <v>1.246</v>
      </c>
    </row>
    <row r="150" spans="2:6" x14ac:dyDescent="0.3">
      <c r="B150" s="6">
        <v>147</v>
      </c>
      <c r="C150" s="9">
        <v>1.5269999999999999</v>
      </c>
      <c r="D150" s="9">
        <v>1.44</v>
      </c>
      <c r="E150" s="9">
        <v>1.4370000000000001</v>
      </c>
      <c r="F150" s="9">
        <v>1.4</v>
      </c>
    </row>
    <row r="151" spans="2:6" x14ac:dyDescent="0.3">
      <c r="B151" s="6">
        <v>148</v>
      </c>
      <c r="C151" s="9">
        <v>1.8140000000000001</v>
      </c>
      <c r="D151" s="9">
        <v>1.6739999999999999</v>
      </c>
      <c r="E151" s="9">
        <v>1.671</v>
      </c>
      <c r="F151" s="9">
        <v>1.625</v>
      </c>
    </row>
    <row r="152" spans="2:6" x14ac:dyDescent="0.3">
      <c r="B152" s="6">
        <v>149</v>
      </c>
      <c r="C152" s="9">
        <v>2.1589999999999998</v>
      </c>
      <c r="D152" s="9">
        <v>1.9550000000000001</v>
      </c>
      <c r="E152" s="9">
        <v>1.9510000000000001</v>
      </c>
      <c r="F152" s="9">
        <v>1.893</v>
      </c>
    </row>
    <row r="153" spans="2:6" x14ac:dyDescent="0.3">
      <c r="B153" s="6">
        <v>150</v>
      </c>
      <c r="C153" s="9">
        <v>2.536</v>
      </c>
      <c r="D153" s="9">
        <v>2.2679999999999998</v>
      </c>
      <c r="E153" s="9">
        <v>2.2629999999999999</v>
      </c>
      <c r="F153" s="9">
        <v>2.1920000000000002</v>
      </c>
    </row>
    <row r="154" spans="2:6" x14ac:dyDescent="0.3">
      <c r="B154" s="6">
        <v>151</v>
      </c>
      <c r="C154" s="9">
        <v>2.9159999999999999</v>
      </c>
      <c r="D154" s="9">
        <v>2.5950000000000002</v>
      </c>
      <c r="E154" s="9">
        <v>2.589</v>
      </c>
      <c r="F154" s="9">
        <v>2.4980000000000002</v>
      </c>
    </row>
    <row r="155" spans="2:6" x14ac:dyDescent="0.3">
      <c r="B155" s="6">
        <v>152</v>
      </c>
      <c r="C155" s="9">
        <v>3.3540000000000001</v>
      </c>
      <c r="D155" s="9">
        <v>2.9820000000000002</v>
      </c>
      <c r="E155" s="9">
        <v>2.9729999999999999</v>
      </c>
      <c r="F155" s="9">
        <v>2.855</v>
      </c>
    </row>
    <row r="156" spans="2:6" x14ac:dyDescent="0.3">
      <c r="B156" s="6">
        <v>153</v>
      </c>
      <c r="C156" s="9">
        <v>3.4729999999999999</v>
      </c>
      <c r="D156" s="9">
        <v>3.097</v>
      </c>
      <c r="E156" s="9">
        <v>3.0939999999999999</v>
      </c>
      <c r="F156" s="9">
        <v>2.9750000000000001</v>
      </c>
    </row>
    <row r="157" spans="2:6" x14ac:dyDescent="0.3">
      <c r="B157" s="6">
        <v>154</v>
      </c>
      <c r="C157" s="9">
        <v>3.0049999999999999</v>
      </c>
      <c r="D157" s="9">
        <v>2.6930000000000001</v>
      </c>
      <c r="E157" s="9">
        <v>2.69</v>
      </c>
      <c r="F157" s="9">
        <v>2.5910000000000002</v>
      </c>
    </row>
    <row r="158" spans="2:6" x14ac:dyDescent="0.3">
      <c r="B158" s="6">
        <v>155</v>
      </c>
      <c r="C158" s="9">
        <v>2.6240000000000001</v>
      </c>
      <c r="D158" s="9">
        <v>2.363</v>
      </c>
      <c r="E158" s="9">
        <v>2.3610000000000002</v>
      </c>
      <c r="F158" s="9">
        <v>2.282</v>
      </c>
    </row>
    <row r="159" spans="2:6" x14ac:dyDescent="0.3">
      <c r="B159" s="6">
        <v>156</v>
      </c>
      <c r="C159" s="9">
        <v>2.298</v>
      </c>
      <c r="D159" s="9">
        <v>2.081</v>
      </c>
      <c r="E159" s="9">
        <v>2.0790000000000002</v>
      </c>
      <c r="F159" s="9">
        <v>2.0139999999999998</v>
      </c>
    </row>
    <row r="160" spans="2:6" x14ac:dyDescent="0.3">
      <c r="B160" s="6">
        <v>157</v>
      </c>
      <c r="C160" s="9">
        <v>1.986</v>
      </c>
      <c r="D160" s="9">
        <v>1.821</v>
      </c>
      <c r="E160" s="9">
        <v>1.819</v>
      </c>
      <c r="F160" s="9">
        <v>1.7669999999999999</v>
      </c>
    </row>
    <row r="161" spans="2:6" x14ac:dyDescent="0.3">
      <c r="B161" s="6">
        <v>158</v>
      </c>
      <c r="C161" s="9">
        <v>1.7250000000000001</v>
      </c>
      <c r="D161" s="9">
        <v>1.6080000000000001</v>
      </c>
      <c r="E161" s="9">
        <v>1.6060000000000001</v>
      </c>
      <c r="F161" s="9">
        <v>1.5620000000000001</v>
      </c>
    </row>
    <row r="162" spans="2:6" x14ac:dyDescent="0.3">
      <c r="B162" s="6">
        <v>159</v>
      </c>
      <c r="C162" s="9">
        <v>1.528</v>
      </c>
      <c r="D162" s="9">
        <v>1.4450000000000001</v>
      </c>
      <c r="E162" s="9">
        <v>1.444</v>
      </c>
      <c r="F162" s="9">
        <v>1.4059999999999999</v>
      </c>
    </row>
    <row r="163" spans="2:6" x14ac:dyDescent="0.3">
      <c r="B163" s="6">
        <v>160</v>
      </c>
      <c r="C163" s="9">
        <v>1.407</v>
      </c>
      <c r="D163" s="9">
        <v>1.347</v>
      </c>
      <c r="E163" s="9">
        <v>1.3440000000000001</v>
      </c>
      <c r="F163" s="9">
        <v>1.3160000000000001</v>
      </c>
    </row>
    <row r="164" spans="2:6" x14ac:dyDescent="0.3">
      <c r="B164" s="6">
        <v>161</v>
      </c>
      <c r="C164" s="9">
        <v>1.37</v>
      </c>
      <c r="D164" s="9">
        <v>1.3160000000000001</v>
      </c>
      <c r="E164" s="9">
        <v>1.3129999999999999</v>
      </c>
      <c r="F164" s="9">
        <v>1.288</v>
      </c>
    </row>
    <row r="165" spans="2:6" x14ac:dyDescent="0.3">
      <c r="B165" s="6">
        <v>162</v>
      </c>
      <c r="C165" s="9">
        <v>1.4119999999999999</v>
      </c>
      <c r="D165" s="9">
        <v>1.349</v>
      </c>
      <c r="E165" s="9">
        <v>1.3460000000000001</v>
      </c>
      <c r="F165" s="9">
        <v>1.3180000000000001</v>
      </c>
    </row>
    <row r="166" spans="2:6" x14ac:dyDescent="0.3">
      <c r="B166" s="6">
        <v>163</v>
      </c>
      <c r="C166" s="9">
        <v>1.5329999999999999</v>
      </c>
      <c r="D166" s="9">
        <v>1.4470000000000001</v>
      </c>
      <c r="E166" s="9">
        <v>1.444</v>
      </c>
      <c r="F166" s="9">
        <v>1.407</v>
      </c>
    </row>
    <row r="167" spans="2:6" x14ac:dyDescent="0.3">
      <c r="B167" s="6">
        <v>164</v>
      </c>
      <c r="C167" s="9">
        <v>1.736</v>
      </c>
      <c r="D167" s="9">
        <v>1.613</v>
      </c>
      <c r="E167" s="9">
        <v>1.61</v>
      </c>
      <c r="F167" s="9">
        <v>1.5640000000000001</v>
      </c>
    </row>
    <row r="168" spans="2:6" x14ac:dyDescent="0.3">
      <c r="B168" s="6">
        <v>165</v>
      </c>
      <c r="C168" s="9">
        <v>2.0070000000000001</v>
      </c>
      <c r="D168" s="9">
        <v>1.8320000000000001</v>
      </c>
      <c r="E168" s="9">
        <v>1.8280000000000001</v>
      </c>
      <c r="F168" s="9">
        <v>1.776</v>
      </c>
    </row>
    <row r="169" spans="2:6" x14ac:dyDescent="0.3">
      <c r="B169" s="6">
        <v>166</v>
      </c>
      <c r="C169" s="9">
        <v>2.3330000000000002</v>
      </c>
      <c r="D169" s="9">
        <v>2.101</v>
      </c>
      <c r="E169" s="9">
        <v>2.0960000000000001</v>
      </c>
      <c r="F169" s="9">
        <v>2.032</v>
      </c>
    </row>
    <row r="170" spans="2:6" x14ac:dyDescent="0.3">
      <c r="B170" s="6">
        <v>167</v>
      </c>
      <c r="C170" s="9">
        <v>2.6819999999999999</v>
      </c>
      <c r="D170" s="9">
        <v>2.3969999999999998</v>
      </c>
      <c r="E170" s="9">
        <v>2.3919999999999999</v>
      </c>
      <c r="F170" s="9">
        <v>2.31</v>
      </c>
    </row>
    <row r="171" spans="2:6" x14ac:dyDescent="0.3">
      <c r="B171" s="6">
        <v>168</v>
      </c>
      <c r="C171" s="9">
        <v>3.0550000000000002</v>
      </c>
      <c r="D171" s="9">
        <v>2.72</v>
      </c>
      <c r="E171" s="9">
        <v>2.7120000000000002</v>
      </c>
      <c r="F171" s="9">
        <v>2.6110000000000002</v>
      </c>
    </row>
    <row r="172" spans="2:6" x14ac:dyDescent="0.3">
      <c r="B172" s="6">
        <v>169</v>
      </c>
      <c r="C172" s="9">
        <v>3.5019999999999998</v>
      </c>
      <c r="D172" s="9">
        <v>3.1259999999999999</v>
      </c>
      <c r="E172" s="9">
        <v>3.1160000000000001</v>
      </c>
      <c r="F172" s="9">
        <v>2.9790000000000001</v>
      </c>
    </row>
    <row r="173" spans="2:6" x14ac:dyDescent="0.3">
      <c r="B173" s="6">
        <v>170</v>
      </c>
      <c r="C173" s="9">
        <v>3.637</v>
      </c>
      <c r="D173" s="9">
        <v>3.2410000000000001</v>
      </c>
      <c r="E173" s="9">
        <v>3.2370000000000001</v>
      </c>
      <c r="F173" s="9">
        <v>3.1019999999999999</v>
      </c>
    </row>
    <row r="174" spans="2:6" x14ac:dyDescent="0.3">
      <c r="B174" s="6">
        <v>171</v>
      </c>
      <c r="C174" s="9">
        <v>3.2370000000000001</v>
      </c>
      <c r="D174" s="9">
        <v>2.8919999999999999</v>
      </c>
      <c r="E174" s="9">
        <v>2.8889999999999998</v>
      </c>
      <c r="F174" s="9">
        <v>2.778</v>
      </c>
    </row>
    <row r="175" spans="2:6" x14ac:dyDescent="0.3">
      <c r="B175" s="6">
        <v>172</v>
      </c>
      <c r="C175" s="9">
        <v>2.8370000000000002</v>
      </c>
      <c r="D175" s="9">
        <v>2.5470000000000002</v>
      </c>
      <c r="E175" s="9">
        <v>2.544</v>
      </c>
      <c r="F175" s="9">
        <v>2.456</v>
      </c>
    </row>
    <row r="176" spans="2:6" x14ac:dyDescent="0.3">
      <c r="B176" s="6">
        <v>173</v>
      </c>
      <c r="C176" s="9">
        <v>2.5299999999999998</v>
      </c>
      <c r="D176" s="9">
        <v>2.2810000000000001</v>
      </c>
      <c r="E176" s="9">
        <v>2.278</v>
      </c>
      <c r="F176" s="9">
        <v>2.202</v>
      </c>
    </row>
    <row r="177" spans="2:6" x14ac:dyDescent="0.3">
      <c r="B177" s="6">
        <v>174</v>
      </c>
      <c r="C177" s="9">
        <v>2.2440000000000002</v>
      </c>
      <c r="D177" s="9">
        <v>2.0369999999999999</v>
      </c>
      <c r="E177" s="9">
        <v>2.0350000000000001</v>
      </c>
      <c r="F177" s="9">
        <v>1.9710000000000001</v>
      </c>
    </row>
    <row r="178" spans="2:6" x14ac:dyDescent="0.3">
      <c r="B178" s="6">
        <v>175</v>
      </c>
      <c r="C178" s="9">
        <v>1.994</v>
      </c>
      <c r="D178" s="9">
        <v>1.83</v>
      </c>
      <c r="E178" s="9">
        <v>1.8280000000000001</v>
      </c>
      <c r="F178" s="9">
        <v>1.7729999999999999</v>
      </c>
    </row>
    <row r="179" spans="2:6" x14ac:dyDescent="0.3">
      <c r="B179" s="6">
        <v>176</v>
      </c>
      <c r="C179" s="9">
        <v>1.8049999999999999</v>
      </c>
      <c r="D179" s="9">
        <v>1.6739999999999999</v>
      </c>
      <c r="E179" s="9">
        <v>1.671</v>
      </c>
      <c r="F179" s="9">
        <v>1.625</v>
      </c>
    </row>
    <row r="180" spans="2:6" x14ac:dyDescent="0.3">
      <c r="B180" s="6">
        <v>177</v>
      </c>
      <c r="C180" s="9">
        <v>1.6850000000000001</v>
      </c>
      <c r="D180" s="9">
        <v>1.575</v>
      </c>
      <c r="E180" s="9">
        <v>1.5720000000000001</v>
      </c>
      <c r="F180" s="9">
        <v>1.5329999999999999</v>
      </c>
    </row>
    <row r="181" spans="2:6" x14ac:dyDescent="0.3">
      <c r="B181" s="6">
        <v>178</v>
      </c>
      <c r="C181" s="9">
        <v>1.6479999999999999</v>
      </c>
      <c r="D181" s="9">
        <v>1.544</v>
      </c>
      <c r="E181" s="9">
        <v>1.5409999999999999</v>
      </c>
      <c r="F181" s="9">
        <v>1.5049999999999999</v>
      </c>
    </row>
    <row r="182" spans="2:6" x14ac:dyDescent="0.3">
      <c r="B182" s="6">
        <v>179</v>
      </c>
      <c r="C182" s="9">
        <v>1.6970000000000001</v>
      </c>
      <c r="D182" s="9">
        <v>1.583</v>
      </c>
      <c r="E182" s="9">
        <v>1.579</v>
      </c>
      <c r="F182" s="9">
        <v>1.54</v>
      </c>
    </row>
    <row r="183" spans="2:6" x14ac:dyDescent="0.3">
      <c r="B183" s="6">
        <v>180</v>
      </c>
      <c r="C183" s="9">
        <v>1.8240000000000001</v>
      </c>
      <c r="D183" s="9">
        <v>1.6859999999999999</v>
      </c>
      <c r="E183" s="9">
        <v>1.6830000000000001</v>
      </c>
      <c r="F183" s="9">
        <v>1.637</v>
      </c>
    </row>
    <row r="184" spans="2:6" x14ac:dyDescent="0.3">
      <c r="B184" s="6">
        <v>181</v>
      </c>
      <c r="C184" s="9">
        <v>2.0179999999999998</v>
      </c>
      <c r="D184" s="9">
        <v>1.8440000000000001</v>
      </c>
      <c r="E184" s="9">
        <v>1.84</v>
      </c>
      <c r="F184" s="9">
        <v>1.7869999999999999</v>
      </c>
    </row>
    <row r="185" spans="2:6" x14ac:dyDescent="0.3">
      <c r="B185" s="6">
        <v>182</v>
      </c>
      <c r="C185" s="9">
        <v>2.2709999999999999</v>
      </c>
      <c r="D185" s="9">
        <v>2.0499999999999998</v>
      </c>
      <c r="E185" s="9">
        <v>2.0459999999999998</v>
      </c>
      <c r="F185" s="9">
        <v>1.984</v>
      </c>
    </row>
    <row r="186" spans="2:6" x14ac:dyDescent="0.3">
      <c r="B186" s="6">
        <v>183</v>
      </c>
      <c r="C186" s="9">
        <v>2.569</v>
      </c>
      <c r="D186" s="9">
        <v>2.2989999999999999</v>
      </c>
      <c r="E186" s="9">
        <v>2.2930000000000001</v>
      </c>
      <c r="F186" s="9">
        <v>2.2210000000000001</v>
      </c>
    </row>
    <row r="187" spans="2:6" x14ac:dyDescent="0.3">
      <c r="B187" s="6">
        <v>184</v>
      </c>
      <c r="C187" s="9">
        <v>2.883</v>
      </c>
      <c r="D187" s="9">
        <v>2.5680000000000001</v>
      </c>
      <c r="E187" s="9">
        <v>2.5609999999999999</v>
      </c>
      <c r="F187" s="9">
        <v>2.4729999999999999</v>
      </c>
    </row>
    <row r="188" spans="2:6" x14ac:dyDescent="0.3">
      <c r="B188" s="6">
        <v>185</v>
      </c>
      <c r="C188" s="9">
        <v>3.27</v>
      </c>
      <c r="D188" s="9">
        <v>2.911</v>
      </c>
      <c r="E188" s="9">
        <v>2.903</v>
      </c>
      <c r="F188" s="9">
        <v>2.7839999999999998</v>
      </c>
    </row>
    <row r="189" spans="2:6" x14ac:dyDescent="0.3">
      <c r="B189" s="6">
        <v>186</v>
      </c>
      <c r="C189" s="9">
        <v>3.6829999999999998</v>
      </c>
      <c r="D189" s="9">
        <v>3.294</v>
      </c>
      <c r="E189" s="9">
        <v>3.2850000000000001</v>
      </c>
      <c r="F189" s="9">
        <v>3.1280000000000001</v>
      </c>
    </row>
    <row r="190" spans="2:6" x14ac:dyDescent="0.3">
      <c r="B190" s="6">
        <v>187</v>
      </c>
      <c r="C190" s="9">
        <v>3.6339999999999999</v>
      </c>
      <c r="D190" s="9">
        <v>3.2690000000000001</v>
      </c>
      <c r="E190" s="9">
        <v>3.266</v>
      </c>
      <c r="F190" s="9">
        <v>3.1219999999999999</v>
      </c>
    </row>
    <row r="191" spans="2:6" x14ac:dyDescent="0.3">
      <c r="B191" s="6">
        <v>188</v>
      </c>
      <c r="C191" s="9">
        <v>3.4510000000000001</v>
      </c>
      <c r="D191" s="9">
        <v>3.0859999999999999</v>
      </c>
      <c r="E191" s="9">
        <v>3.0830000000000002</v>
      </c>
      <c r="F191" s="9">
        <v>2.9550000000000001</v>
      </c>
    </row>
    <row r="192" spans="2:6" x14ac:dyDescent="0.3">
      <c r="B192" s="6">
        <v>189</v>
      </c>
      <c r="C192" s="9">
        <v>3.121</v>
      </c>
      <c r="D192" s="9">
        <v>2.7959999999999998</v>
      </c>
      <c r="E192" s="9">
        <v>2.7930000000000001</v>
      </c>
      <c r="F192" s="9">
        <v>2.6869999999999998</v>
      </c>
    </row>
    <row r="193" spans="2:6" x14ac:dyDescent="0.3">
      <c r="B193" s="6">
        <v>190</v>
      </c>
      <c r="C193" s="9">
        <v>2.7970000000000002</v>
      </c>
      <c r="D193" s="9">
        <v>2.5129999999999999</v>
      </c>
      <c r="E193" s="9">
        <v>2.5099999999999998</v>
      </c>
      <c r="F193" s="9">
        <v>2.42</v>
      </c>
    </row>
    <row r="194" spans="2:6" x14ac:dyDescent="0.3">
      <c r="B194" s="6">
        <v>191</v>
      </c>
      <c r="C194" s="9">
        <v>2.5419999999999998</v>
      </c>
      <c r="D194" s="9">
        <v>2.2919999999999998</v>
      </c>
      <c r="E194" s="9">
        <v>2.29</v>
      </c>
      <c r="F194" s="9">
        <v>2.2109999999999999</v>
      </c>
    </row>
    <row r="195" spans="2:6" x14ac:dyDescent="0.3">
      <c r="B195" s="6">
        <v>192</v>
      </c>
      <c r="C195" s="9">
        <v>2.3159999999999998</v>
      </c>
      <c r="D195" s="9">
        <v>2.0979999999999999</v>
      </c>
      <c r="E195" s="9">
        <v>2.0960000000000001</v>
      </c>
      <c r="F195" s="9">
        <v>2.0270000000000001</v>
      </c>
    </row>
    <row r="196" spans="2:6" x14ac:dyDescent="0.3">
      <c r="B196" s="6">
        <v>193</v>
      </c>
      <c r="C196" s="9">
        <v>2.1389999999999998</v>
      </c>
      <c r="D196" s="9">
        <v>1.948</v>
      </c>
      <c r="E196" s="9">
        <v>1.946</v>
      </c>
      <c r="F196" s="9">
        <v>1.8859999999999999</v>
      </c>
    </row>
    <row r="197" spans="2:6" x14ac:dyDescent="0.3">
      <c r="B197" s="6">
        <v>194</v>
      </c>
      <c r="C197" s="9">
        <v>2.0289999999999999</v>
      </c>
      <c r="D197" s="9">
        <v>1.855</v>
      </c>
      <c r="E197" s="9">
        <v>1.851</v>
      </c>
      <c r="F197" s="9">
        <v>1.796</v>
      </c>
    </row>
    <row r="198" spans="2:6" x14ac:dyDescent="0.3">
      <c r="B198" s="6">
        <v>195</v>
      </c>
      <c r="C198" s="9">
        <v>1.9930000000000001</v>
      </c>
      <c r="D198" s="9">
        <v>1.825</v>
      </c>
      <c r="E198" s="9">
        <v>1.821</v>
      </c>
      <c r="F198" s="9">
        <v>1.768</v>
      </c>
    </row>
    <row r="199" spans="2:6" x14ac:dyDescent="0.3">
      <c r="B199" s="6">
        <v>196</v>
      </c>
      <c r="C199" s="9">
        <v>2.0350000000000001</v>
      </c>
      <c r="D199" s="9">
        <v>1.859</v>
      </c>
      <c r="E199" s="9">
        <v>1.855</v>
      </c>
      <c r="F199" s="9">
        <v>1.8009999999999999</v>
      </c>
    </row>
    <row r="200" spans="2:6" x14ac:dyDescent="0.3">
      <c r="B200" s="6">
        <v>197</v>
      </c>
      <c r="C200" s="9">
        <v>2.153</v>
      </c>
      <c r="D200" s="9">
        <v>1.956</v>
      </c>
      <c r="E200" s="9">
        <v>1.952</v>
      </c>
      <c r="F200" s="9">
        <v>1.893</v>
      </c>
    </row>
    <row r="201" spans="2:6" x14ac:dyDescent="0.3">
      <c r="B201" s="6">
        <v>198</v>
      </c>
      <c r="C201" s="9">
        <v>2.339</v>
      </c>
      <c r="D201" s="9">
        <v>2.1110000000000002</v>
      </c>
      <c r="E201" s="9">
        <v>2.1070000000000002</v>
      </c>
      <c r="F201" s="9">
        <v>2.0379999999999998</v>
      </c>
    </row>
    <row r="202" spans="2:6" x14ac:dyDescent="0.3">
      <c r="B202" s="6">
        <v>199</v>
      </c>
      <c r="C202" s="9">
        <v>2.577</v>
      </c>
      <c r="D202" s="9">
        <v>2.3109999999999999</v>
      </c>
      <c r="E202" s="9">
        <v>2.3069999999999999</v>
      </c>
      <c r="F202" s="9">
        <v>2.2280000000000002</v>
      </c>
    </row>
    <row r="203" spans="2:6" x14ac:dyDescent="0.3">
      <c r="B203" s="6">
        <v>200</v>
      </c>
      <c r="C203" s="9">
        <v>2.84</v>
      </c>
      <c r="D203" s="9">
        <v>2.5310000000000001</v>
      </c>
      <c r="E203" s="9">
        <v>2.5249999999999999</v>
      </c>
      <c r="F203" s="9">
        <v>2.4359999999999999</v>
      </c>
    </row>
    <row r="204" spans="2:6" x14ac:dyDescent="0.3">
      <c r="B204" s="6">
        <v>201</v>
      </c>
      <c r="C204" s="9">
        <v>3.1589999999999998</v>
      </c>
      <c r="D204" s="9">
        <v>2.8050000000000002</v>
      </c>
      <c r="E204" s="9">
        <v>2.798</v>
      </c>
      <c r="F204" s="9">
        <v>2.6930000000000001</v>
      </c>
    </row>
    <row r="205" spans="2:6" x14ac:dyDescent="0.3">
      <c r="B205" s="6">
        <v>202</v>
      </c>
      <c r="C205" s="9">
        <v>3.5129999999999999</v>
      </c>
      <c r="D205" s="9">
        <v>3.1219999999999999</v>
      </c>
      <c r="E205" s="9">
        <v>3.113</v>
      </c>
      <c r="F205" s="9">
        <v>2.9809999999999999</v>
      </c>
    </row>
    <row r="206" spans="2:6" x14ac:dyDescent="0.3">
      <c r="B206" s="6">
        <v>203</v>
      </c>
      <c r="C206" s="9">
        <v>3.7879999999999998</v>
      </c>
      <c r="D206" s="9">
        <v>3.4039999999999999</v>
      </c>
      <c r="E206" s="9">
        <v>3.3940000000000001</v>
      </c>
      <c r="F206" s="9">
        <v>3.2280000000000002</v>
      </c>
    </row>
    <row r="207" spans="2:6" x14ac:dyDescent="0.3">
      <c r="B207" s="6">
        <v>204</v>
      </c>
      <c r="C207" s="9">
        <v>3.5049999999999999</v>
      </c>
      <c r="D207" s="9">
        <v>3.2170000000000001</v>
      </c>
      <c r="E207" s="9">
        <v>3.2149999999999999</v>
      </c>
      <c r="F207" s="9">
        <v>3.069</v>
      </c>
    </row>
    <row r="208" spans="2:6" x14ac:dyDescent="0.3">
      <c r="B208" s="6">
        <v>205</v>
      </c>
      <c r="C208" s="9">
        <v>3.5569999999999999</v>
      </c>
      <c r="D208" s="9">
        <v>3.2229999999999999</v>
      </c>
      <c r="E208" s="9">
        <v>3.2189999999999999</v>
      </c>
      <c r="F208" s="9">
        <v>3.0710000000000002</v>
      </c>
    </row>
    <row r="209" spans="1:89" x14ac:dyDescent="0.3">
      <c r="B209" s="6">
        <v>206</v>
      </c>
      <c r="C209" s="9">
        <v>3.4279999999999999</v>
      </c>
      <c r="D209" s="9">
        <v>3.0880000000000001</v>
      </c>
      <c r="E209" s="9">
        <v>3.085</v>
      </c>
      <c r="F209" s="9">
        <v>2.9569999999999999</v>
      </c>
    </row>
    <row r="210" spans="1:89" x14ac:dyDescent="0.3">
      <c r="B210" s="6">
        <v>207</v>
      </c>
      <c r="C210" s="9">
        <v>3.1259999999999999</v>
      </c>
      <c r="D210" s="9">
        <v>2.8159999999999998</v>
      </c>
      <c r="E210" s="9">
        <v>2.8140000000000001</v>
      </c>
      <c r="F210" s="9">
        <v>2.7069999999999999</v>
      </c>
    </row>
    <row r="211" spans="1:89" x14ac:dyDescent="0.3">
      <c r="B211" s="6">
        <v>208</v>
      </c>
      <c r="C211" s="9">
        <v>2.8679999999999999</v>
      </c>
      <c r="D211" s="9">
        <v>2.59</v>
      </c>
      <c r="E211" s="9">
        <v>2.5880000000000001</v>
      </c>
      <c r="F211" s="9">
        <v>2.4900000000000002</v>
      </c>
    </row>
    <row r="212" spans="1:89" x14ac:dyDescent="0.3">
      <c r="B212" s="6">
        <v>209</v>
      </c>
      <c r="C212" s="9">
        <v>2.6829999999999998</v>
      </c>
      <c r="D212" s="9">
        <v>2.423</v>
      </c>
      <c r="E212" s="9">
        <v>2.42</v>
      </c>
      <c r="F212" s="9">
        <v>2.3319999999999999</v>
      </c>
    </row>
    <row r="213" spans="1:89" x14ac:dyDescent="0.3">
      <c r="B213" s="6">
        <v>210</v>
      </c>
      <c r="C213" s="9">
        <v>2.524</v>
      </c>
      <c r="D213" s="9">
        <v>2.2839999999999998</v>
      </c>
      <c r="E213" s="9">
        <v>2.2810000000000001</v>
      </c>
      <c r="F213" s="9">
        <v>2.2010000000000001</v>
      </c>
    </row>
    <row r="214" spans="1:89" x14ac:dyDescent="0.3">
      <c r="B214" s="6">
        <v>211</v>
      </c>
      <c r="C214" s="9">
        <v>2.419</v>
      </c>
      <c r="D214" s="9">
        <v>2.1880000000000002</v>
      </c>
      <c r="E214" s="9">
        <v>2.1840000000000002</v>
      </c>
      <c r="F214" s="9">
        <v>2.1070000000000002</v>
      </c>
    </row>
    <row r="215" spans="1:89" x14ac:dyDescent="0.3">
      <c r="B215" s="6">
        <v>212</v>
      </c>
      <c r="C215" s="9">
        <v>2.3879999999999999</v>
      </c>
      <c r="D215" s="9">
        <v>2.157</v>
      </c>
      <c r="E215" s="9">
        <v>2.153</v>
      </c>
      <c r="F215" s="9">
        <v>2.0779999999999998</v>
      </c>
    </row>
    <row r="216" spans="1:89" x14ac:dyDescent="0.3">
      <c r="B216" s="6">
        <v>213</v>
      </c>
      <c r="C216" s="9">
        <v>2.4239999999999999</v>
      </c>
      <c r="D216" s="9">
        <v>2.19</v>
      </c>
      <c r="E216" s="9">
        <v>2.1850000000000001</v>
      </c>
      <c r="F216" s="9">
        <v>2.11</v>
      </c>
    </row>
    <row r="217" spans="1:89" x14ac:dyDescent="0.3">
      <c r="B217" s="6">
        <v>214</v>
      </c>
      <c r="C217" s="9">
        <v>2.5310000000000001</v>
      </c>
      <c r="D217" s="9">
        <v>2.2839999999999998</v>
      </c>
      <c r="E217" s="9">
        <v>2.2799999999999998</v>
      </c>
      <c r="F217" s="9">
        <v>2.2000000000000002</v>
      </c>
    </row>
    <row r="218" spans="1:89" x14ac:dyDescent="0.3">
      <c r="B218" s="6">
        <v>215</v>
      </c>
      <c r="C218" s="9">
        <v>2.6930000000000001</v>
      </c>
      <c r="D218" s="9">
        <v>2.423</v>
      </c>
      <c r="E218" s="9">
        <v>2.419</v>
      </c>
      <c r="F218" s="9">
        <v>2.3279999999999998</v>
      </c>
    </row>
    <row r="219" spans="1:89" x14ac:dyDescent="0.3">
      <c r="B219" s="6">
        <v>216</v>
      </c>
      <c r="C219" s="9">
        <v>2.89</v>
      </c>
      <c r="D219" s="9">
        <v>2.597</v>
      </c>
      <c r="E219" s="9">
        <v>2.5920000000000001</v>
      </c>
      <c r="F219" s="9">
        <v>2.4929999999999999</v>
      </c>
    </row>
    <row r="220" spans="1:89" x14ac:dyDescent="0.3">
      <c r="B220" s="6">
        <v>217</v>
      </c>
      <c r="C220" s="9">
        <v>3.1619999999999999</v>
      </c>
      <c r="D220" s="9">
        <v>2.8319999999999999</v>
      </c>
      <c r="E220" s="9">
        <v>2.8260000000000001</v>
      </c>
      <c r="F220" s="9">
        <v>2.7090000000000001</v>
      </c>
    </row>
    <row r="221" spans="1:89" x14ac:dyDescent="0.3">
      <c r="B221" s="6">
        <v>218</v>
      </c>
      <c r="C221" s="9">
        <v>3.5129999999999999</v>
      </c>
      <c r="D221" s="9">
        <v>3.1349999999999998</v>
      </c>
      <c r="E221" s="9">
        <v>3.1259999999999999</v>
      </c>
      <c r="F221" s="9">
        <v>2.9910000000000001</v>
      </c>
    </row>
    <row r="222" spans="1:89" x14ac:dyDescent="0.3">
      <c r="B222" s="6">
        <v>219</v>
      </c>
      <c r="C222" s="9">
        <v>3.7280000000000002</v>
      </c>
      <c r="D222" s="9">
        <v>3.3410000000000002</v>
      </c>
      <c r="E222" s="9">
        <v>3.3330000000000002</v>
      </c>
      <c r="F222" s="9">
        <v>3.1789999999999998</v>
      </c>
    </row>
    <row r="223" spans="1:89" x14ac:dyDescent="0.3">
      <c r="B223" s="6">
        <v>220</v>
      </c>
      <c r="C223" s="9">
        <v>3.8210000000000002</v>
      </c>
      <c r="D223" s="9">
        <v>3.4710000000000001</v>
      </c>
      <c r="E223" s="9">
        <v>3.464</v>
      </c>
      <c r="F223" s="9">
        <v>3.298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395C-2197-48A3-BD00-4CC718DD775F}">
  <sheetPr codeName="工作表11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757.39099999999996</v>
      </c>
      <c r="J2" s="2">
        <f ca="1">goldenOTP_check!J2*J58</f>
        <v>794.61</v>
      </c>
      <c r="K2" s="2">
        <f ca="1">goldenOTP_check!K2*K58</f>
        <v>845.12199999999996</v>
      </c>
      <c r="L2" s="2">
        <f ca="1">goldenOTP_check!L2*L58</f>
        <v>876.50799999999992</v>
      </c>
      <c r="M2" s="2">
        <f ca="1">goldenOTP_check!M2*M58</f>
        <v>926.16</v>
      </c>
      <c r="N2" s="2">
        <f ca="1">goldenOTP_check!N2*N58</f>
        <v>925.24499999999989</v>
      </c>
      <c r="O2" s="2">
        <f ca="1">goldenOTP_check!O2*O58</f>
        <v>944.2299999999999</v>
      </c>
      <c r="P2" s="2">
        <f ca="1">goldenOTP_check!P2*P58</f>
        <v>982.65199999999993</v>
      </c>
      <c r="Q2" s="2">
        <f ca="1">goldenOTP_check!Q2*Q58</f>
        <v>964.84399999999994</v>
      </c>
      <c r="R2" s="2">
        <f ca="1">goldenOTP_check!R2*R58</f>
        <v>984.67599999999993</v>
      </c>
      <c r="S2" s="2">
        <f ca="1">goldenOTP_check!S2*S58</f>
        <v>972.19399999999996</v>
      </c>
      <c r="T2" s="2">
        <f ca="1">goldenOTP_check!T2*T58</f>
        <v>960.17899999999997</v>
      </c>
      <c r="U2" s="2">
        <f ca="1">goldenOTP_check!U2*U58</f>
        <v>925.75200000000007</v>
      </c>
      <c r="V2" s="2">
        <f ca="1">goldenOTP_check!V2*V58</f>
        <v>880.11800000000005</v>
      </c>
      <c r="W2" s="2">
        <f ca="1">goldenOTP_check!W2*W58</f>
        <v>853.36400000000003</v>
      </c>
      <c r="X2" s="2">
        <f ca="1">goldenOTP_check!X2*X58</f>
        <v>798.66000000000008</v>
      </c>
      <c r="Y2" s="3">
        <f ca="1">goldenOTP_check!Y2*Y58</f>
        <v>754.76199999999994</v>
      </c>
      <c r="BA2"/>
      <c r="BB2"/>
      <c r="BC2"/>
      <c r="BD2"/>
    </row>
    <row r="3" spans="2:56" x14ac:dyDescent="0.3">
      <c r="B3" s="8">
        <v>0</v>
      </c>
      <c r="C3" s="9">
        <v>3.169</v>
      </c>
      <c r="D3" s="9">
        <v>2.919</v>
      </c>
      <c r="E3" s="9">
        <v>2.9169999999999998</v>
      </c>
      <c r="F3" s="9">
        <v>2.7709999999999999</v>
      </c>
      <c r="H3" t="s">
        <v>6</v>
      </c>
      <c r="I3" s="2">
        <f ca="1">goldenOTP_check!I3*I59</f>
        <v>832.41000000000008</v>
      </c>
      <c r="J3" s="2">
        <f ca="1">goldenOTP_check!J3*J59</f>
        <v>867.62900000000002</v>
      </c>
      <c r="K3" s="2">
        <f ca="1">goldenOTP_check!K3*K59</f>
        <v>888.41000000000008</v>
      </c>
      <c r="L3" s="2">
        <f ca="1">goldenOTP_check!L3*L59</f>
        <v>944.55900000000008</v>
      </c>
      <c r="M3" s="2">
        <f ca="1">goldenOTP_check!M3*M59</f>
        <v>965.85</v>
      </c>
      <c r="N3" s="2">
        <f ca="1">goldenOTP_check!N3*N59</f>
        <v>1006.687</v>
      </c>
      <c r="O3" s="2">
        <f ca="1">goldenOTP_check!O3*O59</f>
        <v>1007.304</v>
      </c>
      <c r="P3" s="2">
        <f ca="1">goldenOTP_check!P3*P59</f>
        <v>1027.2</v>
      </c>
      <c r="Q3" s="2">
        <f ca="1">goldenOTP_check!Q3*Q59</f>
        <v>1031.3679999999999</v>
      </c>
      <c r="R3" s="2">
        <f ca="1">goldenOTP_check!R3*R59</f>
        <v>1026.6000000000001</v>
      </c>
      <c r="S3" s="2">
        <f ca="1">goldenOTP_check!S3*S59</f>
        <v>1029.8879999999999</v>
      </c>
      <c r="T3" s="2">
        <f ca="1">goldenOTP_check!T3*T59</f>
        <v>1010.39</v>
      </c>
      <c r="U3" s="2">
        <f ca="1">goldenOTP_check!U3*U59</f>
        <v>971.96</v>
      </c>
      <c r="V3" s="2">
        <f ca="1">goldenOTP_check!V3*V59</f>
        <v>950.90400000000011</v>
      </c>
      <c r="W3" s="2">
        <f ca="1">goldenOTP_check!W3*W59</f>
        <v>898.63000000000011</v>
      </c>
      <c r="X3" s="2">
        <f ca="1">goldenOTP_check!X3*X59</f>
        <v>873.33499999999992</v>
      </c>
      <c r="Y3" s="2">
        <f ca="1">goldenOTP_check!Y3*Y59</f>
        <v>779.28</v>
      </c>
      <c r="BA3"/>
      <c r="BB3"/>
      <c r="BC3"/>
      <c r="BD3"/>
    </row>
    <row r="4" spans="2:56" x14ac:dyDescent="0.3">
      <c r="B4" s="6">
        <v>1</v>
      </c>
      <c r="C4" s="9">
        <v>2.9430000000000001</v>
      </c>
      <c r="D4" s="9">
        <v>2.6920000000000002</v>
      </c>
      <c r="E4" s="9">
        <v>2.694</v>
      </c>
      <c r="F4" s="9">
        <v>2.5640000000000001</v>
      </c>
      <c r="I4" s="2">
        <f ca="1">goldenOTP_check!I4*I60</f>
        <v>841.29</v>
      </c>
      <c r="J4" s="2">
        <f ca="1">goldenOTP_check!J4*J60</f>
        <v>892.03100000000006</v>
      </c>
      <c r="K4" s="2">
        <f ca="1">goldenOTP_check!K4*K60</f>
        <v>930.70799999999997</v>
      </c>
      <c r="L4" s="2">
        <f ca="1">goldenOTP_check!L4*L60</f>
        <v>962.09</v>
      </c>
      <c r="M4" s="2">
        <f ca="1">goldenOTP_check!M4*M60</f>
        <v>1000.309</v>
      </c>
      <c r="N4" s="2">
        <f ca="1">goldenOTP_check!N4*N60</f>
        <v>1030.146</v>
      </c>
      <c r="O4" s="2">
        <f ca="1">goldenOTP_check!O4*O60</f>
        <v>1042.52</v>
      </c>
      <c r="P4" s="2">
        <f ca="1">goldenOTP_check!P4*P60</f>
        <v>1041.3500000000001</v>
      </c>
      <c r="Q4" s="2">
        <f ca="1">goldenOTP_check!Q4*Q60</f>
        <v>1041.0840000000001</v>
      </c>
      <c r="R4" s="2">
        <f ca="1">goldenOTP_check!R4*R60</f>
        <v>1045.586</v>
      </c>
      <c r="S4" s="2">
        <f ca="1">goldenOTP_check!S4*S60</f>
        <v>1051.9000000000001</v>
      </c>
      <c r="T4" s="2">
        <f ca="1">goldenOTP_check!T4*T60</f>
        <v>1039.922</v>
      </c>
      <c r="U4" s="2">
        <f ca="1">goldenOTP_check!U4*U60</f>
        <v>1011.6700000000001</v>
      </c>
      <c r="V4" s="2">
        <f ca="1">goldenOTP_check!V4*V60</f>
        <v>972.9</v>
      </c>
      <c r="W4" s="2">
        <f ca="1">goldenOTP_check!W4*W60</f>
        <v>939.77200000000005</v>
      </c>
      <c r="X4" s="2">
        <f ca="1">goldenOTP_check!X4*X60</f>
        <v>895.56099999999992</v>
      </c>
      <c r="Y4" s="2">
        <f ca="1">goldenOTP_check!Y4*Y60</f>
        <v>834.04</v>
      </c>
      <c r="BA4"/>
      <c r="BB4"/>
      <c r="BC4"/>
      <c r="BD4"/>
    </row>
    <row r="5" spans="2:56" x14ac:dyDescent="0.3">
      <c r="B5" s="6">
        <v>2</v>
      </c>
      <c r="C5" s="9">
        <v>2.6659999999999999</v>
      </c>
      <c r="D5" s="9">
        <v>2.4340000000000002</v>
      </c>
      <c r="E5" s="9">
        <v>2.4359999999999999</v>
      </c>
      <c r="F5" s="9">
        <v>2.3279999999999998</v>
      </c>
      <c r="I5" s="2">
        <f ca="1">goldenOTP_check!I5*I61</f>
        <v>849.68399999999997</v>
      </c>
      <c r="J5" s="2">
        <f ca="1">goldenOTP_check!J5*J61</f>
        <v>897.13600000000008</v>
      </c>
      <c r="K5" s="2">
        <f ca="1">goldenOTP_check!K5*K61</f>
        <v>952.1099999999999</v>
      </c>
      <c r="L5" s="2">
        <f ca="1">goldenOTP_check!L5*L61</f>
        <v>1001.9259999999999</v>
      </c>
      <c r="M5" s="2">
        <f ca="1">goldenOTP_check!M5*M61</f>
        <v>1027.702</v>
      </c>
      <c r="N5" s="2">
        <f ca="1">goldenOTP_check!N5*N61</f>
        <v>1041</v>
      </c>
      <c r="O5" s="2">
        <f ca="1">goldenOTP_check!O5*O61</f>
        <v>1042.096</v>
      </c>
      <c r="P5" s="2">
        <f ca="1">goldenOTP_check!P5*P61</f>
        <v>1041.3240000000001</v>
      </c>
      <c r="Q5" s="2">
        <f ca="1">goldenOTP_check!Q5*Q61</f>
        <v>1054.605</v>
      </c>
      <c r="R5" s="2">
        <f ca="1">goldenOTP_check!R5*R61</f>
        <v>1048.623</v>
      </c>
      <c r="S5" s="2">
        <f ca="1">goldenOTP_check!S5*S61</f>
        <v>1055.848</v>
      </c>
      <c r="T5" s="2">
        <f ca="1">goldenOTP_check!T5*T61</f>
        <v>1056.268</v>
      </c>
      <c r="U5" s="2">
        <f ca="1">goldenOTP_check!U5*U61</f>
        <v>1041.7550000000001</v>
      </c>
      <c r="V5" s="2">
        <f ca="1">goldenOTP_check!V5*V61</f>
        <v>1014.622</v>
      </c>
      <c r="W5" s="2">
        <f ca="1">goldenOTP_check!W5*W61</f>
        <v>960.15600000000006</v>
      </c>
      <c r="X5" s="2">
        <f ca="1">goldenOTP_check!X5*X61</f>
        <v>897.88799999999992</v>
      </c>
      <c r="Y5" s="2">
        <f ca="1">goldenOTP_check!Y5*Y61</f>
        <v>840.26400000000001</v>
      </c>
      <c r="BA5"/>
      <c r="BB5"/>
      <c r="BC5"/>
      <c r="BD5"/>
    </row>
    <row r="6" spans="2:56" x14ac:dyDescent="0.3">
      <c r="B6" s="6">
        <v>3</v>
      </c>
      <c r="C6" s="9">
        <v>2.4279999999999999</v>
      </c>
      <c r="D6" s="9">
        <v>2.218</v>
      </c>
      <c r="E6" s="9">
        <v>2.2210000000000001</v>
      </c>
      <c r="F6" s="9">
        <v>2.129</v>
      </c>
      <c r="I6" s="2">
        <f ca="1">goldenOTP_check!I6*I62</f>
        <v>852.81299999999999</v>
      </c>
      <c r="J6" s="2">
        <f ca="1">goldenOTP_check!J6*J62</f>
        <v>938.12400000000002</v>
      </c>
      <c r="K6" s="2">
        <f ca="1">goldenOTP_check!K6*K62</f>
        <v>974.60399999999993</v>
      </c>
      <c r="L6" s="2">
        <f ca="1">goldenOTP_check!L6*L62</f>
        <v>1024.1279999999999</v>
      </c>
      <c r="M6" s="2">
        <f ca="1">goldenOTP_check!M6*M62</f>
        <v>1039.8399999999999</v>
      </c>
      <c r="N6" s="2">
        <f ca="1">goldenOTP_check!N6*N62</f>
        <v>1040.568</v>
      </c>
      <c r="O6" s="2">
        <f ca="1">goldenOTP_check!O6*O62</f>
        <v>1043.5039999999999</v>
      </c>
      <c r="P6" s="2">
        <f ca="1">goldenOTP_check!P6*P62</f>
        <v>1045.2750000000001</v>
      </c>
      <c r="Q6" s="2">
        <f ca="1">goldenOTP_check!Q6*Q62</f>
        <v>1049.77</v>
      </c>
      <c r="R6" s="2">
        <f ca="1">goldenOTP_check!R6*R62</f>
        <v>1050.7049999999999</v>
      </c>
      <c r="S6" s="2">
        <f ca="1">goldenOTP_check!S6*S62</f>
        <v>1052.8210000000001</v>
      </c>
      <c r="T6" s="2">
        <f ca="1">goldenOTP_check!T6*T62</f>
        <v>1051.2639999999999</v>
      </c>
      <c r="U6" s="2">
        <f ca="1">goldenOTP_check!U6*U62</f>
        <v>1050.56</v>
      </c>
      <c r="V6" s="2">
        <f ca="1">goldenOTP_check!V6*V62</f>
        <v>1034.4960000000001</v>
      </c>
      <c r="W6" s="2">
        <f ca="1">goldenOTP_check!W6*W62</f>
        <v>984.72600000000011</v>
      </c>
      <c r="X6" s="2">
        <f ca="1">goldenOTP_check!X6*X62</f>
        <v>918.80000000000007</v>
      </c>
      <c r="Y6" s="2">
        <f ca="1">goldenOTP_check!Y6*Y62</f>
        <v>864.06799999999998</v>
      </c>
      <c r="BA6"/>
      <c r="BB6"/>
      <c r="BC6"/>
      <c r="BD6"/>
    </row>
    <row r="7" spans="2:56" x14ac:dyDescent="0.3">
      <c r="B7" s="6">
        <v>4</v>
      </c>
      <c r="C7" s="9">
        <v>2.27</v>
      </c>
      <c r="D7" s="9">
        <v>2.0760000000000001</v>
      </c>
      <c r="E7" s="9">
        <v>2.0790000000000002</v>
      </c>
      <c r="F7" s="9">
        <v>1.9990000000000001</v>
      </c>
      <c r="I7" s="2">
        <f ca="1">goldenOTP_check!I7*I63</f>
        <v>859.39499999999998</v>
      </c>
      <c r="J7" s="2">
        <f ca="1">goldenOTP_check!J7*J63</f>
        <v>934.83</v>
      </c>
      <c r="K7" s="2">
        <f ca="1">goldenOTP_check!K7*K63</f>
        <v>982.14600000000007</v>
      </c>
      <c r="L7" s="2">
        <f ca="1">goldenOTP_check!L7*L63</f>
        <v>1014.6</v>
      </c>
      <c r="M7" s="2">
        <f ca="1">goldenOTP_check!M7*M63</f>
        <v>1030.76</v>
      </c>
      <c r="N7" s="2">
        <f ca="1">goldenOTP_check!N7*N63</f>
        <v>1037.269</v>
      </c>
      <c r="O7" s="2">
        <f ca="1">goldenOTP_check!O7*O63</f>
        <v>1041.655</v>
      </c>
      <c r="P7" s="2">
        <f ca="1">goldenOTP_check!P7*P63</f>
        <v>1028.588</v>
      </c>
      <c r="Q7" s="2">
        <f ca="1">goldenOTP_check!Q7*Q63</f>
        <v>1025.5440000000001</v>
      </c>
      <c r="R7" s="2">
        <f ca="1">goldenOTP_check!R7*R63</f>
        <v>1047.248</v>
      </c>
      <c r="S7" s="2">
        <f ca="1">goldenOTP_check!S7*S63</f>
        <v>1048.895</v>
      </c>
      <c r="T7" s="2">
        <f ca="1">goldenOTP_check!T7*T63</f>
        <v>1042.135</v>
      </c>
      <c r="U7" s="2">
        <f ca="1">goldenOTP_check!U7*U63</f>
        <v>1038.5260000000001</v>
      </c>
      <c r="V7" s="2">
        <f ca="1">goldenOTP_check!V7*V63</f>
        <v>1024.8</v>
      </c>
      <c r="W7" s="2">
        <f ca="1">goldenOTP_check!W7*W63</f>
        <v>995.30200000000002</v>
      </c>
      <c r="X7" s="2">
        <f ca="1">goldenOTP_check!X7*X63</f>
        <v>945.82800000000009</v>
      </c>
      <c r="Y7" s="2">
        <f ca="1">goldenOTP_check!Y7*Y63</f>
        <v>864.56999999999994</v>
      </c>
      <c r="BA7"/>
      <c r="BB7"/>
      <c r="BC7"/>
      <c r="BD7"/>
    </row>
    <row r="8" spans="2:56" x14ac:dyDescent="0.3">
      <c r="B8" s="6">
        <v>5</v>
      </c>
      <c r="C8" s="9">
        <v>2.1269999999999998</v>
      </c>
      <c r="D8" s="9">
        <v>1.954</v>
      </c>
      <c r="E8" s="9">
        <v>1.9570000000000001</v>
      </c>
      <c r="F8" s="9">
        <v>1.8839999999999999</v>
      </c>
      <c r="I8" s="2">
        <f ca="1">goldenOTP_check!I8*I64</f>
        <v>885.00300000000004</v>
      </c>
      <c r="J8" s="2">
        <f ca="1">goldenOTP_check!J8*J64</f>
        <v>952.21500000000003</v>
      </c>
      <c r="K8" s="2">
        <f ca="1">goldenOTP_check!K8*K64</f>
        <v>989.02100000000007</v>
      </c>
      <c r="L8" s="2">
        <f ca="1">goldenOTP_check!L8*L64</f>
        <v>1012.427</v>
      </c>
      <c r="M8" s="2">
        <f ca="1">goldenOTP_check!M8*M64</f>
        <v>1035.1799999999998</v>
      </c>
      <c r="N8" s="2">
        <f ca="1">goldenOTP_check!N8*N64</f>
        <v>1034.5650000000001</v>
      </c>
      <c r="O8" s="2">
        <f ca="1">goldenOTP_check!O8*O64</f>
        <v>1033.048</v>
      </c>
      <c r="P8" s="2">
        <f ca="1">goldenOTP_check!P8*P64</f>
        <v>1028.97</v>
      </c>
      <c r="Q8" s="2">
        <f ca="1">goldenOTP_check!Q8*Q64</f>
        <v>1027.0920000000001</v>
      </c>
      <c r="R8" s="2">
        <f ca="1">goldenOTP_check!R8*R64</f>
        <v>1035.963</v>
      </c>
      <c r="S8" s="2">
        <f ca="1">goldenOTP_check!S8*S64</f>
        <v>1059.5659999999998</v>
      </c>
      <c r="T8" s="2">
        <f ca="1">goldenOTP_check!T8*T64</f>
        <v>1047.0899999999999</v>
      </c>
      <c r="U8" s="2">
        <f ca="1">goldenOTP_check!U8*U64</f>
        <v>1049.0309999999999</v>
      </c>
      <c r="V8" s="2">
        <f ca="1">goldenOTP_check!V8*V64</f>
        <v>1025.258</v>
      </c>
      <c r="W8" s="2">
        <f ca="1">goldenOTP_check!W8*W64</f>
        <v>1000.395</v>
      </c>
      <c r="X8" s="2">
        <f ca="1">goldenOTP_check!X8*X64</f>
        <v>932.71500000000003</v>
      </c>
      <c r="Y8" s="2">
        <f ca="1">goldenOTP_check!Y8*Y64</f>
        <v>892.03100000000006</v>
      </c>
    </row>
    <row r="9" spans="2:56" x14ac:dyDescent="0.3">
      <c r="B9" s="6">
        <v>6</v>
      </c>
      <c r="C9" s="9">
        <v>2.0089999999999999</v>
      </c>
      <c r="D9" s="9">
        <v>1.8560000000000001</v>
      </c>
      <c r="E9" s="9">
        <v>1.859</v>
      </c>
      <c r="F9" s="9">
        <v>1.7949999999999999</v>
      </c>
      <c r="I9" s="2">
        <f ca="1">goldenOTP_check!I9*I65</f>
        <v>863.53500000000008</v>
      </c>
      <c r="J9" s="2">
        <f ca="1">goldenOTP_check!J9*J65</f>
        <v>935.25299999999993</v>
      </c>
      <c r="K9" s="2">
        <f ca="1">goldenOTP_check!K9*K65</f>
        <v>978.60399999999993</v>
      </c>
      <c r="L9" s="2">
        <f ca="1">goldenOTP_check!L9*L65</f>
        <v>1025.8690000000001</v>
      </c>
      <c r="M9" s="2">
        <f ca="1">goldenOTP_check!M9*M65</f>
        <v>1036.0650000000001</v>
      </c>
      <c r="N9" s="2">
        <f ca="1">goldenOTP_check!N9*N65</f>
        <v>1038.626</v>
      </c>
      <c r="O9" s="2">
        <f ca="1">goldenOTP_check!O9*O65</f>
        <v>1040.7950000000001</v>
      </c>
      <c r="P9" s="2">
        <f ca="1">goldenOTP_check!P9*P65</f>
        <v>1027.7279999999998</v>
      </c>
      <c r="Q9" s="2">
        <f ca="1">goldenOTP_check!Q9*Q65</f>
        <v>1026.972</v>
      </c>
      <c r="R9" s="2">
        <f ca="1">goldenOTP_check!R9*R65</f>
        <v>1039.44</v>
      </c>
      <c r="S9" s="2">
        <f ca="1">goldenOTP_check!S9*S65</f>
        <v>1058.2179999999998</v>
      </c>
      <c r="T9" s="2">
        <f ca="1">goldenOTP_check!T9*T65</f>
        <v>1055.9089999999999</v>
      </c>
      <c r="U9" s="2">
        <f ca="1">goldenOTP_check!U9*U65</f>
        <v>1054.7070000000001</v>
      </c>
      <c r="V9" s="2">
        <f ca="1">goldenOTP_check!V9*V65</f>
        <v>1023.6</v>
      </c>
      <c r="W9" s="2">
        <f ca="1">goldenOTP_check!W9*W65</f>
        <v>992.26600000000008</v>
      </c>
      <c r="X9" s="2">
        <f ca="1">goldenOTP_check!X9*X65</f>
        <v>939.90599999999995</v>
      </c>
      <c r="Y9" s="2">
        <f ca="1">goldenOTP_check!Y9*Y65</f>
        <v>856.29000000000008</v>
      </c>
    </row>
    <row r="10" spans="2:56" x14ac:dyDescent="0.3">
      <c r="B10" s="6">
        <v>7</v>
      </c>
      <c r="C10" s="9">
        <v>1.9419999999999999</v>
      </c>
      <c r="D10" s="9">
        <v>1.7989999999999999</v>
      </c>
      <c r="E10" s="9">
        <v>1.802</v>
      </c>
      <c r="F10" s="9">
        <v>1.7390000000000001</v>
      </c>
      <c r="I10" s="2">
        <f ca="1">goldenOTP_check!I10*I66</f>
        <v>854.14499999999998</v>
      </c>
      <c r="J10" s="2">
        <f ca="1">goldenOTP_check!J10*J66</f>
        <v>938.12400000000002</v>
      </c>
      <c r="K10" s="2">
        <f ca="1">goldenOTP_check!K10*K66</f>
        <v>970.26599999999996</v>
      </c>
      <c r="L10" s="2">
        <f ca="1">goldenOTP_check!L10*L66</f>
        <v>1016.064</v>
      </c>
      <c r="M10" s="2">
        <f ca="1">goldenOTP_check!M10*M66</f>
        <v>1028.45</v>
      </c>
      <c r="N10" s="2">
        <f ca="1">goldenOTP_check!N10*N66</f>
        <v>1044.4960000000001</v>
      </c>
      <c r="O10" s="2">
        <f ca="1">goldenOTP_check!O10*O66</f>
        <v>1045.0439999999999</v>
      </c>
      <c r="P10" s="2">
        <f ca="1">goldenOTP_check!P10*P66</f>
        <v>1044.463</v>
      </c>
      <c r="Q10" s="2">
        <f ca="1">goldenOTP_check!Q10*Q66</f>
        <v>1047.3330000000001</v>
      </c>
      <c r="R10" s="2">
        <f ca="1">goldenOTP_check!R10*R66</f>
        <v>1049.9649999999999</v>
      </c>
      <c r="S10" s="2">
        <f ca="1">goldenOTP_check!S10*S66</f>
        <v>1054.482</v>
      </c>
      <c r="T10" s="2">
        <f ca="1">goldenOTP_check!T10*T66</f>
        <v>1058.4640000000002</v>
      </c>
      <c r="U10" s="2">
        <f ca="1">goldenOTP_check!U10*U66</f>
        <v>1044.53</v>
      </c>
      <c r="V10" s="2">
        <f ca="1">goldenOTP_check!V10*V66</f>
        <v>1032.192</v>
      </c>
      <c r="W10" s="2">
        <f ca="1">goldenOTP_check!W10*W66</f>
        <v>982.79800000000012</v>
      </c>
      <c r="X10" s="2">
        <f ca="1">goldenOTP_check!X10*X66</f>
        <v>944.71600000000001</v>
      </c>
      <c r="Y10" s="2">
        <f ca="1">goldenOTP_check!Y10*Y66</f>
        <v>850.81500000000005</v>
      </c>
    </row>
    <row r="11" spans="2:56" x14ac:dyDescent="0.3">
      <c r="B11" s="6">
        <v>8</v>
      </c>
      <c r="C11" s="9">
        <v>1.9219999999999999</v>
      </c>
      <c r="D11" s="9">
        <v>1.78</v>
      </c>
      <c r="E11" s="9">
        <v>1.7829999999999999</v>
      </c>
      <c r="F11" s="9">
        <v>1.724</v>
      </c>
      <c r="I11" s="2">
        <f ca="1">goldenOTP_check!I11*I67</f>
        <v>869.37499999999989</v>
      </c>
      <c r="J11" s="2">
        <f ca="1">goldenOTP_check!J11*J67</f>
        <v>918.39599999999996</v>
      </c>
      <c r="K11" s="2">
        <f ca="1">goldenOTP_check!K11*K67</f>
        <v>946.29899999999998</v>
      </c>
      <c r="L11" s="2">
        <f ca="1">goldenOTP_check!L11*L67</f>
        <v>996.63599999999997</v>
      </c>
      <c r="M11" s="2">
        <f ca="1">goldenOTP_check!M11*M67</f>
        <v>1020.981</v>
      </c>
      <c r="N11" s="2">
        <f ca="1">goldenOTP_check!N11*N67</f>
        <v>1031.2839999999999</v>
      </c>
      <c r="O11" s="2">
        <f ca="1">goldenOTP_check!O11*O67</f>
        <v>1045.2719999999999</v>
      </c>
      <c r="P11" s="2">
        <f ca="1">goldenOTP_check!P11*P67</f>
        <v>1041.095</v>
      </c>
      <c r="Q11" s="2">
        <f ca="1">goldenOTP_check!Q11*Q67</f>
        <v>1033.73</v>
      </c>
      <c r="R11" s="2">
        <f ca="1">goldenOTP_check!R11*R67</f>
        <v>1043.5640000000001</v>
      </c>
      <c r="S11" s="2">
        <f ca="1">goldenOTP_check!S11*S67</f>
        <v>1032.9280000000001</v>
      </c>
      <c r="T11" s="2">
        <f ca="1">goldenOTP_check!T11*T67</f>
        <v>1035.4480000000001</v>
      </c>
      <c r="U11" s="2">
        <f ca="1">goldenOTP_check!U11*U67</f>
        <v>1027.702</v>
      </c>
      <c r="V11" s="2">
        <f ca="1">goldenOTP_check!V11*V67</f>
        <v>1006.687</v>
      </c>
      <c r="W11" s="2">
        <f ca="1">goldenOTP_check!W11*W67</f>
        <v>958.81500000000005</v>
      </c>
      <c r="X11" s="2">
        <f ca="1">goldenOTP_check!X11*X67</f>
        <v>929.26</v>
      </c>
      <c r="Y11" s="2">
        <f ca="1">goldenOTP_check!Y11*Y67</f>
        <v>834.20999999999992</v>
      </c>
      <c r="BD11"/>
    </row>
    <row r="12" spans="2:56" x14ac:dyDescent="0.3">
      <c r="B12" s="6">
        <v>9</v>
      </c>
      <c r="C12" s="9">
        <v>1.946</v>
      </c>
      <c r="D12" s="9">
        <v>1.802</v>
      </c>
      <c r="E12" s="9">
        <v>1.8049999999999999</v>
      </c>
      <c r="F12" s="9">
        <v>1.7470000000000001</v>
      </c>
      <c r="I12" s="2">
        <f ca="1">goldenOTP_check!I12*I68</f>
        <v>832.30000000000007</v>
      </c>
      <c r="J12" s="2">
        <f ca="1">goldenOTP_check!J12*J68</f>
        <v>886.73599999999999</v>
      </c>
      <c r="K12" s="2">
        <f ca="1">goldenOTP_check!K12*K68</f>
        <v>927.82399999999996</v>
      </c>
      <c r="L12" s="2">
        <f ca="1">goldenOTP_check!L12*L68</f>
        <v>981.35199999999998</v>
      </c>
      <c r="M12" s="2">
        <f ca="1">goldenOTP_check!M12*M68</f>
        <v>993.27600000000007</v>
      </c>
      <c r="N12" s="2">
        <f ca="1">goldenOTP_check!N12*N68</f>
        <v>1019.759</v>
      </c>
      <c r="O12" s="2">
        <f ca="1">goldenOTP_check!O12*O68</f>
        <v>1029.79</v>
      </c>
      <c r="P12" s="2">
        <f ca="1">goldenOTP_check!P12*P68</f>
        <v>1041.8010000000002</v>
      </c>
      <c r="Q12" s="2">
        <f ca="1">goldenOTP_check!Q12*Q68</f>
        <v>1038.825</v>
      </c>
      <c r="R12" s="2">
        <f ca="1">goldenOTP_check!R12*R68</f>
        <v>1042.518</v>
      </c>
      <c r="S12" s="2">
        <f ca="1">goldenOTP_check!S12*S68</f>
        <v>1033.1400000000001</v>
      </c>
      <c r="T12" s="2">
        <f ca="1">goldenOTP_check!T12*T68</f>
        <v>1025.258</v>
      </c>
      <c r="U12" s="2">
        <f ca="1">goldenOTP_check!U12*U68</f>
        <v>1000.309</v>
      </c>
      <c r="V12" s="2">
        <f ca="1">goldenOTP_check!V12*V68</f>
        <v>966.32</v>
      </c>
      <c r="W12" s="2">
        <f ca="1">goldenOTP_check!W12*W68</f>
        <v>937.3</v>
      </c>
      <c r="X12" s="2">
        <f ca="1">goldenOTP_check!X12*X68</f>
        <v>894.85500000000002</v>
      </c>
      <c r="Y12" s="2">
        <f ca="1">goldenOTP_check!Y12*Y68</f>
        <v>834.04</v>
      </c>
      <c r="BD12"/>
    </row>
    <row r="13" spans="2:56" x14ac:dyDescent="0.3">
      <c r="B13" s="6">
        <v>10</v>
      </c>
      <c r="C13" s="9">
        <v>2.0169999999999999</v>
      </c>
      <c r="D13" s="9">
        <v>1.865</v>
      </c>
      <c r="E13" s="9">
        <v>1.8680000000000001</v>
      </c>
      <c r="F13" s="9">
        <v>1.806</v>
      </c>
      <c r="I13" s="2">
        <f ca="1">goldenOTP_check!I13*I69</f>
        <v>829.71</v>
      </c>
      <c r="J13" s="2">
        <f ca="1">goldenOTP_check!J13*J69</f>
        <v>863.19099999999992</v>
      </c>
      <c r="K13" s="2">
        <f ca="1">goldenOTP_check!K13*K69</f>
        <v>885.49</v>
      </c>
      <c r="L13" s="2">
        <f ca="1">goldenOTP_check!L13*L69</f>
        <v>938.63699999999994</v>
      </c>
      <c r="M13" s="2">
        <f ca="1">goldenOTP_check!M13*M69</f>
        <v>981.35199999999998</v>
      </c>
      <c r="N13" s="2">
        <f ca="1">goldenOTP_check!N13*N69</f>
        <v>993.46199999999999</v>
      </c>
      <c r="O13" s="2">
        <f ca="1">goldenOTP_check!O13*O69</f>
        <v>1013.76</v>
      </c>
      <c r="P13" s="2">
        <f ca="1">goldenOTP_check!P13*P69</f>
        <v>1030.7570000000001</v>
      </c>
      <c r="Q13" s="2">
        <f ca="1">goldenOTP_check!Q13*Q69</f>
        <v>1018.537</v>
      </c>
      <c r="R13" s="2">
        <f ca="1">goldenOTP_check!R13*R69</f>
        <v>1036.867</v>
      </c>
      <c r="S13" s="2">
        <f ca="1">goldenOTP_check!S13*S69</f>
        <v>1025.28</v>
      </c>
      <c r="T13" s="2">
        <f ca="1">goldenOTP_check!T13*T69</f>
        <v>1006.1579999999999</v>
      </c>
      <c r="U13" s="2">
        <f ca="1">goldenOTP_check!U13*U69</f>
        <v>991.9559999999999</v>
      </c>
      <c r="V13" s="2">
        <f ca="1">goldenOTP_check!V13*V69</f>
        <v>947.09699999999998</v>
      </c>
      <c r="W13" s="2">
        <f ca="1">goldenOTP_check!W13*W69</f>
        <v>891.33</v>
      </c>
      <c r="X13" s="2">
        <f ca="1">goldenOTP_check!X13*X69</f>
        <v>866.0440000000001</v>
      </c>
      <c r="Y13" s="2">
        <f ca="1">goldenOTP_check!Y13*Y69</f>
        <v>822.42</v>
      </c>
      <c r="BD13"/>
    </row>
    <row r="14" spans="2:56" x14ac:dyDescent="0.3">
      <c r="B14" s="6">
        <v>11</v>
      </c>
      <c r="C14" s="9">
        <v>2.129</v>
      </c>
      <c r="D14" s="9">
        <v>1.9650000000000001</v>
      </c>
      <c r="E14" s="9">
        <v>1.9670000000000001</v>
      </c>
      <c r="F14" s="9">
        <v>1.8959999999999999</v>
      </c>
      <c r="I14" s="3">
        <f ca="1">goldenOTP_check!I14*I70</f>
        <v>820.33500000000004</v>
      </c>
      <c r="J14" s="2">
        <f ca="1">goldenOTP_check!J14*J70</f>
        <v>849.99199999999996</v>
      </c>
      <c r="K14" s="2">
        <f ca="1">goldenOTP_check!K14*K70</f>
        <v>847.65800000000002</v>
      </c>
      <c r="L14" s="2">
        <f ca="1">goldenOTP_check!L14*L70</f>
        <v>877.952</v>
      </c>
      <c r="M14" s="2">
        <f ca="1">goldenOTP_check!M14*M70</f>
        <v>915.86799999999994</v>
      </c>
      <c r="N14" s="2">
        <f ca="1">goldenOTP_check!N14*N70</f>
        <v>956.57100000000003</v>
      </c>
      <c r="O14" s="2">
        <f ca="1">goldenOTP_check!O14*O70</f>
        <v>969.30200000000002</v>
      </c>
      <c r="P14" s="2">
        <f ca="1">goldenOTP_check!P14*P70</f>
        <v>975.88799999999992</v>
      </c>
      <c r="Q14" s="2">
        <f ca="1">goldenOTP_check!Q14*Q70</f>
        <v>998.327</v>
      </c>
      <c r="R14" s="2">
        <f ca="1">goldenOTP_check!R14*R70</f>
        <v>983.92</v>
      </c>
      <c r="S14" s="2">
        <f ca="1">goldenOTP_check!S14*S70</f>
        <v>987.13599999999997</v>
      </c>
      <c r="T14" s="2">
        <f ca="1">goldenOTP_check!T14*T70</f>
        <v>974.61099999999999</v>
      </c>
      <c r="U14" s="2">
        <f ca="1">goldenOTP_check!U14*U70</f>
        <v>930.00800000000004</v>
      </c>
      <c r="V14" s="2">
        <f ca="1">goldenOTP_check!V14*V70</f>
        <v>888.06</v>
      </c>
      <c r="W14" s="2">
        <f ca="1">goldenOTP_check!W14*W70</f>
        <v>851.46199999999999</v>
      </c>
      <c r="X14" s="2">
        <f ca="1">goldenOTP_check!X14*X70</f>
        <v>842.27</v>
      </c>
      <c r="Y14" s="3">
        <f ca="1">goldenOTP_check!Y14*Y70</f>
        <v>800.44499999999994</v>
      </c>
      <c r="BD14"/>
    </row>
    <row r="15" spans="2:56" x14ac:dyDescent="0.3">
      <c r="B15" s="6">
        <v>12</v>
      </c>
      <c r="C15" s="9">
        <v>2.2690000000000001</v>
      </c>
      <c r="D15" s="9">
        <v>2.0870000000000002</v>
      </c>
      <c r="E15" s="9">
        <v>2.089</v>
      </c>
      <c r="F15" s="9">
        <v>2.012</v>
      </c>
      <c r="BD15"/>
    </row>
    <row r="16" spans="2:56" x14ac:dyDescent="0.3">
      <c r="B16" s="6">
        <v>13</v>
      </c>
      <c r="C16" s="9">
        <v>2.4380000000000002</v>
      </c>
      <c r="D16" s="9">
        <v>2.238</v>
      </c>
      <c r="E16" s="9">
        <v>2.2389999999999999</v>
      </c>
      <c r="F16" s="9">
        <v>2.153</v>
      </c>
      <c r="H16" t="s">
        <v>1</v>
      </c>
      <c r="I16" s="10">
        <f ca="1">goldenOTP_check!I16*I72</f>
        <v>770.61599999999999</v>
      </c>
      <c r="J16" s="2">
        <f ca="1">goldenOTP_check!J16*J72</f>
        <v>807.6</v>
      </c>
      <c r="K16" s="2">
        <f ca="1">goldenOTP_check!K16*K72</f>
        <v>847.03200000000004</v>
      </c>
      <c r="L16" s="2">
        <f ca="1">goldenOTP_check!L16*L72</f>
        <v>878.32799999999997</v>
      </c>
      <c r="M16" s="2">
        <f ca="1">goldenOTP_check!M16*M72</f>
        <v>907.21199999999999</v>
      </c>
      <c r="N16" s="2">
        <f ca="1">goldenOTP_check!N16*N72</f>
        <v>932.05799999999999</v>
      </c>
      <c r="O16" s="2">
        <f ca="1">goldenOTP_check!O16*O72</f>
        <v>940.99200000000008</v>
      </c>
      <c r="P16" s="2">
        <f ca="1">goldenOTP_check!P16*P72</f>
        <v>962.46499999999992</v>
      </c>
      <c r="Q16" s="2">
        <f ca="1">goldenOTP_check!Q16*Q72</f>
        <v>957.64</v>
      </c>
      <c r="R16" s="2">
        <f ca="1">goldenOTP_check!R16*R72</f>
        <v>964.07</v>
      </c>
      <c r="S16" s="2">
        <f ca="1">goldenOTP_check!S16*S72</f>
        <v>958.61</v>
      </c>
      <c r="T16" s="2">
        <f ca="1">goldenOTP_check!T16*T72</f>
        <v>937.30500000000006</v>
      </c>
      <c r="U16" s="2">
        <f ca="1">goldenOTP_check!U16*U72</f>
        <v>912.01900000000012</v>
      </c>
      <c r="V16" s="2">
        <f ca="1">goldenOTP_check!V16*V72</f>
        <v>886.24800000000005</v>
      </c>
      <c r="W16" s="2">
        <f ca="1">goldenOTP_check!W16*W72</f>
        <v>858.86400000000003</v>
      </c>
      <c r="X16" s="2">
        <f ca="1">goldenOTP_check!X16*X72</f>
        <v>817.2</v>
      </c>
      <c r="Y16" s="10">
        <f ca="1">goldenOTP_check!Y16*Y72</f>
        <v>775.89599999999996</v>
      </c>
    </row>
    <row r="17" spans="2:25" x14ac:dyDescent="0.3">
      <c r="B17" s="6">
        <v>14</v>
      </c>
      <c r="C17" s="9">
        <v>2.6920000000000002</v>
      </c>
      <c r="D17" s="9">
        <v>2.468</v>
      </c>
      <c r="E17" s="9">
        <v>2.468</v>
      </c>
      <c r="F17" s="9">
        <v>2.3679999999999999</v>
      </c>
      <c r="H17" t="s">
        <v>6</v>
      </c>
      <c r="I17" s="2">
        <f ca="1">goldenOTP_check!I17*I73</f>
        <v>807.09199999999998</v>
      </c>
      <c r="J17" s="2">
        <f ca="1">goldenOTP_check!J17*J73</f>
        <v>843.17399999999998</v>
      </c>
      <c r="K17" s="2">
        <f ca="1">goldenOTP_check!K17*K73</f>
        <v>877.17600000000004</v>
      </c>
      <c r="L17" s="2">
        <f ca="1">goldenOTP_check!L17*L73</f>
        <v>918.84800000000007</v>
      </c>
      <c r="M17" s="2">
        <f ca="1">goldenOTP_check!M17*M73</f>
        <v>954.19100000000003</v>
      </c>
      <c r="N17" s="2">
        <f ca="1">goldenOTP_check!N17*N73</f>
        <v>988.31200000000001</v>
      </c>
      <c r="O17" s="2">
        <f ca="1">goldenOTP_check!O17*O73</f>
        <v>1007.01</v>
      </c>
      <c r="P17" s="2">
        <f ca="1">goldenOTP_check!P17*P73</f>
        <v>1013.67</v>
      </c>
      <c r="Q17" s="2">
        <f ca="1">goldenOTP_check!Q17*Q73</f>
        <v>1019.19</v>
      </c>
      <c r="R17" s="2">
        <f ca="1">goldenOTP_check!R17*R73</f>
        <v>1015.5600000000001</v>
      </c>
      <c r="S17" s="2">
        <f ca="1">goldenOTP_check!S17*S73</f>
        <v>1012.437</v>
      </c>
      <c r="T17" s="2">
        <f ca="1">goldenOTP_check!T17*T73</f>
        <v>996.13800000000003</v>
      </c>
      <c r="U17" s="2">
        <f ca="1">goldenOTP_check!U17*U73</f>
        <v>964.75400000000002</v>
      </c>
      <c r="V17" s="2">
        <f ca="1">goldenOTP_check!V17*V73</f>
        <v>930.048</v>
      </c>
      <c r="W17" s="2">
        <f ca="1">goldenOTP_check!W17*W73</f>
        <v>891.32399999999996</v>
      </c>
      <c r="X17" s="2">
        <f ca="1">goldenOTP_check!X17*X73</f>
        <v>855.64300000000003</v>
      </c>
      <c r="Y17" s="2">
        <f ca="1">goldenOTP_check!Y17*Y73</f>
        <v>810.23800000000006</v>
      </c>
    </row>
    <row r="18" spans="2:25" x14ac:dyDescent="0.3">
      <c r="B18" s="6">
        <v>15</v>
      </c>
      <c r="C18" s="9">
        <v>2.9580000000000002</v>
      </c>
      <c r="D18" s="9">
        <v>2.7240000000000002</v>
      </c>
      <c r="E18" s="9">
        <v>2.7229999999999999</v>
      </c>
      <c r="F18" s="9">
        <v>2.6019999999999999</v>
      </c>
      <c r="I18" s="2">
        <f ca="1">goldenOTP_check!I18*I74</f>
        <v>841.31799999999998</v>
      </c>
      <c r="J18" s="2">
        <f ca="1">goldenOTP_check!J18*J74</f>
        <v>870.81599999999992</v>
      </c>
      <c r="K18" s="2">
        <f ca="1">goldenOTP_check!K18*K74</f>
        <v>918.47599999999989</v>
      </c>
      <c r="L18" s="2">
        <f ca="1">goldenOTP_check!L18*L74</f>
        <v>963.02799999999991</v>
      </c>
      <c r="M18" s="2">
        <f ca="1">goldenOTP_check!M18*M74</f>
        <v>991.875</v>
      </c>
      <c r="N18" s="2">
        <f ca="1">goldenOTP_check!N18*N74</f>
        <v>1016.6260000000001</v>
      </c>
      <c r="O18" s="2">
        <f ca="1">goldenOTP_check!O18*O74</f>
        <v>1029.4690000000001</v>
      </c>
      <c r="P18" s="2">
        <f ca="1">goldenOTP_check!P18*P74</f>
        <v>1037.82</v>
      </c>
      <c r="Q18" s="2">
        <f ca="1">goldenOTP_check!Q18*Q74</f>
        <v>1047.5360000000001</v>
      </c>
      <c r="R18" s="2">
        <f ca="1">goldenOTP_check!R18*R74</f>
        <v>1042.9649999999999</v>
      </c>
      <c r="S18" s="2">
        <f ca="1">goldenOTP_check!S18*S74</f>
        <v>1042.0150000000001</v>
      </c>
      <c r="T18" s="2">
        <f ca="1">goldenOTP_check!T18*T74</f>
        <v>1030.087</v>
      </c>
      <c r="U18" s="2">
        <f ca="1">goldenOTP_check!U18*U74</f>
        <v>1006.25</v>
      </c>
      <c r="V18" s="2">
        <f ca="1">goldenOTP_check!V18*V74</f>
        <v>967.26900000000001</v>
      </c>
      <c r="W18" s="2">
        <f ca="1">goldenOTP_check!W18*W74</f>
        <v>922.50700000000006</v>
      </c>
      <c r="X18" s="2">
        <f ca="1">goldenOTP_check!X18*X74</f>
        <v>882.096</v>
      </c>
      <c r="Y18" s="2">
        <f ca="1">goldenOTP_check!Y18*Y74</f>
        <v>846.39</v>
      </c>
    </row>
    <row r="19" spans="2:25" x14ac:dyDescent="0.3">
      <c r="B19" s="6">
        <v>16</v>
      </c>
      <c r="C19" s="9">
        <v>3.1579999999999999</v>
      </c>
      <c r="D19" s="9">
        <v>2.9390000000000001</v>
      </c>
      <c r="E19" s="9">
        <v>2.9359999999999999</v>
      </c>
      <c r="F19" s="9">
        <v>2.7959999999999998</v>
      </c>
      <c r="I19" s="2">
        <f ca="1">goldenOTP_check!I19*I75</f>
        <v>848.92500000000007</v>
      </c>
      <c r="J19" s="2">
        <f ca="1">goldenOTP_check!J19*J75</f>
        <v>894.89200000000005</v>
      </c>
      <c r="K19" s="2">
        <f ca="1">goldenOTP_check!K19*K75</f>
        <v>944.68399999999997</v>
      </c>
      <c r="L19" s="2">
        <f ca="1">goldenOTP_check!L19*L75</f>
        <v>984.95799999999997</v>
      </c>
      <c r="M19" s="2">
        <f ca="1">goldenOTP_check!M19*M75</f>
        <v>1014.062</v>
      </c>
      <c r="N19" s="2">
        <f ca="1">goldenOTP_check!N19*N75</f>
        <v>1033.8719999999998</v>
      </c>
      <c r="O19" s="2">
        <f ca="1">goldenOTP_check!O19*O75</f>
        <v>1045.1479999999999</v>
      </c>
      <c r="P19" s="2">
        <f ca="1">goldenOTP_check!P19*P75</f>
        <v>1050.4090000000001</v>
      </c>
      <c r="Q19" s="2">
        <f ca="1">goldenOTP_check!Q19*Q75</f>
        <v>1057.538</v>
      </c>
      <c r="R19" s="2">
        <f ca="1">goldenOTP_check!R19*R75</f>
        <v>1058.819</v>
      </c>
      <c r="S19" s="2">
        <f ca="1">goldenOTP_check!S19*S75</f>
        <v>1061.068</v>
      </c>
      <c r="T19" s="2">
        <f ca="1">goldenOTP_check!T19*T75</f>
        <v>1051.972</v>
      </c>
      <c r="U19" s="2">
        <f ca="1">goldenOTP_check!U19*U75</f>
        <v>1032.6510000000001</v>
      </c>
      <c r="V19" s="2">
        <f ca="1">goldenOTP_check!V19*V75</f>
        <v>1002.2869999999999</v>
      </c>
      <c r="W19" s="2">
        <f ca="1">goldenOTP_check!W19*W75</f>
        <v>959.11400000000003</v>
      </c>
      <c r="X19" s="2">
        <f ca="1">goldenOTP_check!X19*X75</f>
        <v>904.70800000000008</v>
      </c>
      <c r="Y19" s="2">
        <f ca="1">goldenOTP_check!Y19*Y75</f>
        <v>853.04100000000005</v>
      </c>
    </row>
    <row r="20" spans="2:25" x14ac:dyDescent="0.3">
      <c r="B20" s="6">
        <v>17</v>
      </c>
      <c r="C20" s="9">
        <v>3.0830000000000002</v>
      </c>
      <c r="D20" s="9">
        <v>2.8220000000000001</v>
      </c>
      <c r="E20" s="9">
        <v>2.8220000000000001</v>
      </c>
      <c r="F20" s="9">
        <v>2.7029999999999998</v>
      </c>
      <c r="I20" s="2">
        <f ca="1">goldenOTP_check!I20*I76</f>
        <v>850.50900000000001</v>
      </c>
      <c r="J20" s="2">
        <f ca="1">goldenOTP_check!J20*J76</f>
        <v>913.32999999999993</v>
      </c>
      <c r="K20" s="2">
        <f ca="1">goldenOTP_check!K20*K76</f>
        <v>960.15200000000004</v>
      </c>
      <c r="L20" s="2">
        <f ca="1">goldenOTP_check!L20*L76</f>
        <v>1010.496</v>
      </c>
      <c r="M20" s="2">
        <f ca="1">goldenOTP_check!M20*M76</f>
        <v>1032.6420000000001</v>
      </c>
      <c r="N20" s="2">
        <f ca="1">goldenOTP_check!N20*N76</f>
        <v>1041.9639999999999</v>
      </c>
      <c r="O20" s="2">
        <f ca="1">goldenOTP_check!O20*O76</f>
        <v>1047.9260000000002</v>
      </c>
      <c r="P20" s="2">
        <f ca="1">goldenOTP_check!P20*P76</f>
        <v>1048.528</v>
      </c>
      <c r="Q20" s="2">
        <f ca="1">goldenOTP_check!Q20*Q76</f>
        <v>1050.92</v>
      </c>
      <c r="R20" s="2">
        <f ca="1">goldenOTP_check!R20*R76</f>
        <v>1054.989</v>
      </c>
      <c r="S20" s="2">
        <f ca="1">goldenOTP_check!S20*S76</f>
        <v>1060.162</v>
      </c>
      <c r="T20" s="2">
        <f ca="1">goldenOTP_check!T20*T76</f>
        <v>1057.088</v>
      </c>
      <c r="U20" s="2">
        <f ca="1">goldenOTP_check!U20*U76</f>
        <v>1048.788</v>
      </c>
      <c r="V20" s="2">
        <f ca="1">goldenOTP_check!V20*V76</f>
        <v>1018.467</v>
      </c>
      <c r="W20" s="2">
        <f ca="1">goldenOTP_check!W20*W76</f>
        <v>977.62799999999993</v>
      </c>
      <c r="X20" s="2">
        <f ca="1">goldenOTP_check!X20*X76</f>
        <v>929.49899999999991</v>
      </c>
      <c r="Y20" s="2">
        <f ca="1">goldenOTP_check!Y20*Y76</f>
        <v>862.125</v>
      </c>
    </row>
    <row r="21" spans="2:25" x14ac:dyDescent="0.3">
      <c r="B21" s="6">
        <v>18</v>
      </c>
      <c r="C21" s="9">
        <v>2.7370000000000001</v>
      </c>
      <c r="D21" s="9">
        <v>2.5019999999999998</v>
      </c>
      <c r="E21" s="9">
        <v>2.5030000000000001</v>
      </c>
      <c r="F21" s="9">
        <v>2.4020000000000001</v>
      </c>
      <c r="I21" s="2">
        <f ca="1">goldenOTP_check!I21*I77</f>
        <v>848.904</v>
      </c>
      <c r="J21" s="2">
        <f ca="1">goldenOTP_check!J21*J77</f>
        <v>919.58999999999992</v>
      </c>
      <c r="K21" s="2">
        <f ca="1">goldenOTP_check!K21*K77</f>
        <v>964.80000000000007</v>
      </c>
      <c r="L21" s="2">
        <f ca="1">goldenOTP_check!L21*L77</f>
        <v>1011.24</v>
      </c>
      <c r="M21" s="2">
        <f ca="1">goldenOTP_check!M21*M77</f>
        <v>1042.0650000000001</v>
      </c>
      <c r="N21" s="2">
        <f ca="1">goldenOTP_check!N21*N77</f>
        <v>1048.1940000000002</v>
      </c>
      <c r="O21" s="2">
        <f ca="1">goldenOTP_check!O21*O77</f>
        <v>1048.8409999999999</v>
      </c>
      <c r="P21" s="2">
        <f ca="1">goldenOTP_check!P21*P77</f>
        <v>1034.8029999999999</v>
      </c>
      <c r="Q21" s="2">
        <f ca="1">goldenOTP_check!Q21*Q77</f>
        <v>1028.83</v>
      </c>
      <c r="R21" s="2">
        <f ca="1">goldenOTP_check!R21*R77</f>
        <v>1041.6559999999999</v>
      </c>
      <c r="S21" s="2">
        <f ca="1">goldenOTP_check!S21*S77</f>
        <v>1059.989</v>
      </c>
      <c r="T21" s="2">
        <f ca="1">goldenOTP_check!T21*T77</f>
        <v>1060.038</v>
      </c>
      <c r="U21" s="2">
        <f ca="1">goldenOTP_check!U21*U77</f>
        <v>1046.2919999999999</v>
      </c>
      <c r="V21" s="2">
        <f ca="1">goldenOTP_check!V21*V77</f>
        <v>1026.5040000000001</v>
      </c>
      <c r="W21" s="2">
        <f ca="1">goldenOTP_check!W21*W77</f>
        <v>983.024</v>
      </c>
      <c r="X21" s="2">
        <f ca="1">goldenOTP_check!X21*X77</f>
        <v>938.16300000000012</v>
      </c>
      <c r="Y21" s="2">
        <f ca="1">goldenOTP_check!Y21*Y77</f>
        <v>881.22</v>
      </c>
    </row>
    <row r="22" spans="2:25" x14ac:dyDescent="0.3">
      <c r="B22" s="6">
        <v>19</v>
      </c>
      <c r="C22" s="9">
        <v>2.4340000000000002</v>
      </c>
      <c r="D22" s="9">
        <v>2.2320000000000002</v>
      </c>
      <c r="E22" s="9">
        <v>2.2330000000000001</v>
      </c>
      <c r="F22" s="9">
        <v>2.1509999999999998</v>
      </c>
      <c r="I22" s="2">
        <f ca="1">goldenOTP_check!I22*I78</f>
        <v>856.17000000000007</v>
      </c>
      <c r="J22" s="2">
        <f ca="1">goldenOTP_check!J22*J78</f>
        <v>923.04900000000009</v>
      </c>
      <c r="K22" s="2">
        <f ca="1">goldenOTP_check!K22*K78</f>
        <v>971.47199999999998</v>
      </c>
      <c r="L22" s="2">
        <f ca="1">goldenOTP_check!L22*L78</f>
        <v>1018.6800000000001</v>
      </c>
      <c r="M22" s="2">
        <f ca="1">goldenOTP_check!M22*M78</f>
        <v>1030.8800000000001</v>
      </c>
      <c r="N22" s="2">
        <f ca="1">goldenOTP_check!N22*N78</f>
        <v>1041.6410000000001</v>
      </c>
      <c r="O22" s="2">
        <f ca="1">goldenOTP_check!O22*O78</f>
        <v>1043.2470000000001</v>
      </c>
      <c r="P22" s="2">
        <f ca="1">goldenOTP_check!P22*P78</f>
        <v>1026.0249999999999</v>
      </c>
      <c r="Q22" s="2">
        <f ca="1">goldenOTP_check!Q22*Q78</f>
        <v>1028.1149999999998</v>
      </c>
      <c r="R22" s="2">
        <f ca="1">goldenOTP_check!R22*R78</f>
        <v>1033.0319999999999</v>
      </c>
      <c r="S22" s="2">
        <f ca="1">goldenOTP_check!S22*S78</f>
        <v>1060.365</v>
      </c>
      <c r="T22" s="2">
        <f ca="1">goldenOTP_check!T22*T78</f>
        <v>1058.9010000000001</v>
      </c>
      <c r="U22" s="2">
        <f ca="1">goldenOTP_check!U22*U78</f>
        <v>1049.83</v>
      </c>
      <c r="V22" s="2">
        <f ca="1">goldenOTP_check!V22*V78</f>
        <v>1027.4360000000001</v>
      </c>
      <c r="W22" s="2">
        <f ca="1">goldenOTP_check!W22*W78</f>
        <v>988.976</v>
      </c>
      <c r="X22" s="2">
        <f ca="1">goldenOTP_check!X22*X78</f>
        <v>938.65499999999997</v>
      </c>
      <c r="Y22" s="2">
        <f ca="1">goldenOTP_check!Y22*Y78</f>
        <v>865.99799999999993</v>
      </c>
    </row>
    <row r="23" spans="2:25" x14ac:dyDescent="0.3">
      <c r="B23" s="6">
        <v>20</v>
      </c>
      <c r="C23" s="9">
        <v>2.2330000000000001</v>
      </c>
      <c r="D23" s="9">
        <v>2.0510000000000002</v>
      </c>
      <c r="E23" s="9">
        <v>2.0529999999999999</v>
      </c>
      <c r="F23" s="9">
        <v>1.9810000000000001</v>
      </c>
      <c r="I23" s="2">
        <f ca="1">goldenOTP_check!I23*I79</f>
        <v>851.88</v>
      </c>
      <c r="J23" s="2">
        <f ca="1">goldenOTP_check!J23*J79</f>
        <v>920.94899999999996</v>
      </c>
      <c r="K23" s="2">
        <f ca="1">goldenOTP_check!K23*K79</f>
        <v>973.43200000000002</v>
      </c>
      <c r="L23" s="2">
        <f ca="1">goldenOTP_check!L23*L79</f>
        <v>1012.7800000000001</v>
      </c>
      <c r="M23" s="2">
        <f ca="1">goldenOTP_check!M23*M79</f>
        <v>1032.3539999999998</v>
      </c>
      <c r="N23" s="2">
        <f ca="1">goldenOTP_check!N23*N79</f>
        <v>1043.7</v>
      </c>
      <c r="O23" s="2">
        <f ca="1">goldenOTP_check!O23*O79</f>
        <v>1041.5900000000001</v>
      </c>
      <c r="P23" s="2">
        <f ca="1">goldenOTP_check!P23*P79</f>
        <v>1026.3119999999999</v>
      </c>
      <c r="Q23" s="2">
        <f ca="1">goldenOTP_check!Q23*Q79</f>
        <v>1024.0229999999999</v>
      </c>
      <c r="R23" s="2">
        <f ca="1">goldenOTP_check!R23*R79</f>
        <v>1038.1199999999999</v>
      </c>
      <c r="S23" s="2">
        <f ca="1">goldenOTP_check!S23*S79</f>
        <v>1056.2729999999999</v>
      </c>
      <c r="T23" s="2">
        <f ca="1">goldenOTP_check!T23*T79</f>
        <v>1058.346</v>
      </c>
      <c r="U23" s="2">
        <f ca="1">goldenOTP_check!U23*U79</f>
        <v>1046.2919999999999</v>
      </c>
      <c r="V23" s="2">
        <f ca="1">goldenOTP_check!V23*V79</f>
        <v>1026.5040000000001</v>
      </c>
      <c r="W23" s="2">
        <f ca="1">goldenOTP_check!W23*W79</f>
        <v>980.88</v>
      </c>
      <c r="X23" s="2">
        <f ca="1">goldenOTP_check!X23*X79</f>
        <v>933.63299999999992</v>
      </c>
      <c r="Y23" s="2">
        <f ca="1">goldenOTP_check!Y23*Y79</f>
        <v>874.76</v>
      </c>
    </row>
    <row r="24" spans="2:25" x14ac:dyDescent="0.3">
      <c r="B24" s="6">
        <v>21</v>
      </c>
      <c r="C24" s="9">
        <v>2.0550000000000002</v>
      </c>
      <c r="D24" s="9">
        <v>1.897</v>
      </c>
      <c r="E24" s="9">
        <v>1.899</v>
      </c>
      <c r="F24" s="9">
        <v>1.8360000000000001</v>
      </c>
      <c r="I24" s="2">
        <f ca="1">goldenOTP_check!I24*I80</f>
        <v>852.68700000000013</v>
      </c>
      <c r="J24" s="2">
        <f ca="1">goldenOTP_check!J24*J80</f>
        <v>915.5150000000001</v>
      </c>
      <c r="K24" s="2">
        <f ca="1">goldenOTP_check!K24*K80</f>
        <v>959.12400000000002</v>
      </c>
      <c r="L24" s="2">
        <f ca="1">goldenOTP_check!L24*L80</f>
        <v>1005.024</v>
      </c>
      <c r="M24" s="2">
        <f ca="1">goldenOTP_check!M24*M80</f>
        <v>1032.2639999999999</v>
      </c>
      <c r="N24" s="2">
        <f ca="1">goldenOTP_check!N24*N80</f>
        <v>1039.3920000000001</v>
      </c>
      <c r="O24" s="2">
        <f ca="1">goldenOTP_check!O24*O80</f>
        <v>1041.615</v>
      </c>
      <c r="P24" s="2">
        <f ca="1">goldenOTP_check!P24*P80</f>
        <v>1038.6220000000001</v>
      </c>
      <c r="Q24" s="2">
        <f ca="1">goldenOTP_check!Q24*Q80</f>
        <v>1045.1489999999999</v>
      </c>
      <c r="R24" s="2">
        <f ca="1">goldenOTP_check!R24*R80</f>
        <v>1046.0539999999999</v>
      </c>
      <c r="S24" s="2">
        <f ca="1">goldenOTP_check!S24*S80</f>
        <v>1053.921</v>
      </c>
      <c r="T24" s="2">
        <f ca="1">goldenOTP_check!T24*T80</f>
        <v>1048.3319999999999</v>
      </c>
      <c r="U24" s="2">
        <f ca="1">goldenOTP_check!U24*U80</f>
        <v>1043.874</v>
      </c>
      <c r="V24" s="2">
        <f ca="1">goldenOTP_check!V24*V80</f>
        <v>1024.48</v>
      </c>
      <c r="W24" s="2">
        <f ca="1">goldenOTP_check!W24*W80</f>
        <v>976.08600000000001</v>
      </c>
      <c r="X24" s="2">
        <f ca="1">goldenOTP_check!X24*X80</f>
        <v>929.0619999999999</v>
      </c>
      <c r="Y24" s="2">
        <f ca="1">goldenOTP_check!Y24*Y80</f>
        <v>862.125</v>
      </c>
    </row>
    <row r="25" spans="2:25" x14ac:dyDescent="0.3">
      <c r="B25" s="6">
        <v>22</v>
      </c>
      <c r="C25" s="9">
        <v>1.903</v>
      </c>
      <c r="D25" s="9">
        <v>1.768</v>
      </c>
      <c r="E25" s="9">
        <v>1.77</v>
      </c>
      <c r="F25" s="9">
        <v>1.7130000000000001</v>
      </c>
      <c r="I25" s="2">
        <f ca="1">goldenOTP_check!I25*I81</f>
        <v>842.06500000000005</v>
      </c>
      <c r="J25" s="2">
        <f ca="1">goldenOTP_check!J25*J81</f>
        <v>891.2109999999999</v>
      </c>
      <c r="K25" s="2">
        <f ca="1">goldenOTP_check!K25*K81</f>
        <v>941.798</v>
      </c>
      <c r="L25" s="2">
        <f ca="1">goldenOTP_check!L25*L81</f>
        <v>990.94799999999998</v>
      </c>
      <c r="M25" s="2">
        <f ca="1">goldenOTP_check!M25*M81</f>
        <v>1019.025</v>
      </c>
      <c r="N25" s="2">
        <f ca="1">goldenOTP_check!N25*N81</f>
        <v>1034.4100000000001</v>
      </c>
      <c r="O25" s="2">
        <f ca="1">goldenOTP_check!O25*O81</f>
        <v>1034.0039999999999</v>
      </c>
      <c r="P25" s="2">
        <f ca="1">goldenOTP_check!P25*P81</f>
        <v>1042.2719999999999</v>
      </c>
      <c r="Q25" s="2">
        <f ca="1">goldenOTP_check!Q25*Q81</f>
        <v>1045.0930000000001</v>
      </c>
      <c r="R25" s="2">
        <f ca="1">goldenOTP_check!R25*R81</f>
        <v>1044.8100000000002</v>
      </c>
      <c r="S25" s="2">
        <f ca="1">goldenOTP_check!S25*S81</f>
        <v>1040.3719999999998</v>
      </c>
      <c r="T25" s="2">
        <f ca="1">goldenOTP_check!T25*T81</f>
        <v>1041.71</v>
      </c>
      <c r="U25" s="2">
        <f ca="1">goldenOTP_check!U25*U81</f>
        <v>1030.0240000000001</v>
      </c>
      <c r="V25" s="2">
        <f ca="1">goldenOTP_check!V25*V81</f>
        <v>996.697</v>
      </c>
      <c r="W25" s="2">
        <f ca="1">goldenOTP_check!W25*W81</f>
        <v>958.63300000000004</v>
      </c>
      <c r="X25" s="2">
        <f ca="1">goldenOTP_check!X25*X81</f>
        <v>907.57099999999991</v>
      </c>
      <c r="Y25" s="2">
        <f ca="1">goldenOTP_check!Y25*Y81</f>
        <v>857.15700000000004</v>
      </c>
    </row>
    <row r="26" spans="2:25" x14ac:dyDescent="0.3">
      <c r="B26" s="6">
        <v>23</v>
      </c>
      <c r="C26" s="9">
        <v>1.786</v>
      </c>
      <c r="D26" s="9">
        <v>1.67</v>
      </c>
      <c r="E26" s="9">
        <v>1.6719999999999999</v>
      </c>
      <c r="F26" s="9">
        <v>1.621</v>
      </c>
      <c r="I26" s="2">
        <f ca="1">goldenOTP_check!I26*I82</f>
        <v>835.92899999999997</v>
      </c>
      <c r="J26" s="2">
        <f ca="1">goldenOTP_check!J26*J82</f>
        <v>868.93599999999992</v>
      </c>
      <c r="K26" s="2">
        <f ca="1">goldenOTP_check!K26*K82</f>
        <v>908.96</v>
      </c>
      <c r="L26" s="2">
        <f ca="1">goldenOTP_check!L26*L82</f>
        <v>961.50099999999998</v>
      </c>
      <c r="M26" s="2">
        <f ca="1">goldenOTP_check!M26*M82</f>
        <v>987.27500000000009</v>
      </c>
      <c r="N26" s="2">
        <f ca="1">goldenOTP_check!N26*N82</f>
        <v>1019.025</v>
      </c>
      <c r="O26" s="2">
        <f ca="1">goldenOTP_check!O26*O82</f>
        <v>1027.7280000000001</v>
      </c>
      <c r="P26" s="2">
        <f ca="1">goldenOTP_check!P26*P82</f>
        <v>1032.954</v>
      </c>
      <c r="Q26" s="2">
        <f ca="1">goldenOTP_check!Q26*Q82</f>
        <v>1030.992</v>
      </c>
      <c r="R26" s="2">
        <f ca="1">goldenOTP_check!R26*R82</f>
        <v>1035.1769999999999</v>
      </c>
      <c r="S26" s="2">
        <f ca="1">goldenOTP_check!S26*S82</f>
        <v>1034.046</v>
      </c>
      <c r="T26" s="2">
        <f ca="1">goldenOTP_check!T26*T82</f>
        <v>1019.19</v>
      </c>
      <c r="U26" s="2">
        <f ca="1">goldenOTP_check!U26*U82</f>
        <v>998.77500000000009</v>
      </c>
      <c r="V26" s="2">
        <f ca="1">goldenOTP_check!V26*V82</f>
        <v>963.245</v>
      </c>
      <c r="W26" s="2">
        <f ca="1">goldenOTP_check!W26*W82</f>
        <v>922.50700000000006</v>
      </c>
      <c r="X26" s="2">
        <f ca="1">goldenOTP_check!X26*X82</f>
        <v>883.6</v>
      </c>
      <c r="Y26" s="2">
        <f ca="1">goldenOTP_check!Y26*Y82</f>
        <v>849.24299999999994</v>
      </c>
    </row>
    <row r="27" spans="2:25" x14ac:dyDescent="0.3">
      <c r="B27" s="6">
        <v>24</v>
      </c>
      <c r="C27" s="9">
        <v>1.712</v>
      </c>
      <c r="D27" s="9">
        <v>1.609</v>
      </c>
      <c r="E27" s="9">
        <v>1.61</v>
      </c>
      <c r="F27" s="9">
        <v>1.5660000000000001</v>
      </c>
      <c r="I27" s="2">
        <f ca="1">goldenOTP_check!I27*I83</f>
        <v>824.98500000000001</v>
      </c>
      <c r="J27" s="2">
        <f ca="1">goldenOTP_check!J27*J83</f>
        <v>860.24400000000003</v>
      </c>
      <c r="K27" s="2">
        <f ca="1">goldenOTP_check!K27*K83</f>
        <v>879.92699999999991</v>
      </c>
      <c r="L27" s="2">
        <f ca="1">goldenOTP_check!L27*L83</f>
        <v>920.19199999999989</v>
      </c>
      <c r="M27" s="2">
        <f ca="1">goldenOTP_check!M27*M83</f>
        <v>952.17899999999997</v>
      </c>
      <c r="N27" s="2">
        <f ca="1">goldenOTP_check!N27*N83</f>
        <v>982.72199999999998</v>
      </c>
      <c r="O27" s="2">
        <f ca="1">goldenOTP_check!O27*O83</f>
        <v>1000.3770000000001</v>
      </c>
      <c r="P27" s="2">
        <f ca="1">goldenOTP_check!P27*P83</f>
        <v>1015.692</v>
      </c>
      <c r="Q27" s="2">
        <f ca="1">goldenOTP_check!Q27*Q83</f>
        <v>1012.7800000000001</v>
      </c>
      <c r="R27" s="2">
        <f ca="1">goldenOTP_check!R27*R83</f>
        <v>1022.052</v>
      </c>
      <c r="S27" s="2">
        <f ca="1">goldenOTP_check!S27*S83</f>
        <v>1013.04</v>
      </c>
      <c r="T27" s="2">
        <f ca="1">goldenOTP_check!T27*T83</f>
        <v>997.25599999999997</v>
      </c>
      <c r="U27" s="2">
        <f ca="1">goldenOTP_check!U27*U83</f>
        <v>966.26300000000003</v>
      </c>
      <c r="V27" s="2">
        <f ca="1">goldenOTP_check!V27*V83</f>
        <v>932.28800000000001</v>
      </c>
      <c r="W27" s="2">
        <f ca="1">goldenOTP_check!W27*W83</f>
        <v>888.57300000000009</v>
      </c>
      <c r="X27" s="2">
        <f ca="1">goldenOTP_check!X27*X83</f>
        <v>867.79</v>
      </c>
      <c r="Y27" s="2">
        <f ca="1">goldenOTP_check!Y27*Y83</f>
        <v>825.56700000000001</v>
      </c>
    </row>
    <row r="28" spans="2:25" x14ac:dyDescent="0.3">
      <c r="B28" s="6">
        <v>25</v>
      </c>
      <c r="C28" s="9">
        <v>1.6879999999999999</v>
      </c>
      <c r="D28" s="9">
        <v>1.59</v>
      </c>
      <c r="E28" s="9">
        <v>1.591</v>
      </c>
      <c r="F28" s="9">
        <v>1.5489999999999999</v>
      </c>
      <c r="I28" s="10">
        <f ca="1">goldenOTP_check!I28*I84</f>
        <v>806.19299999999998</v>
      </c>
      <c r="J28" s="2">
        <f ca="1">goldenOTP_check!J28*J84</f>
        <v>824.34300000000007</v>
      </c>
      <c r="K28" s="2">
        <f ca="1">goldenOTP_check!K28*K84</f>
        <v>845.68</v>
      </c>
      <c r="L28" s="2">
        <f ca="1">goldenOTP_check!L28*L84</f>
        <v>878.75099999999998</v>
      </c>
      <c r="M28" s="2">
        <f ca="1">goldenOTP_check!M28*M84</f>
        <v>906.47699999999998</v>
      </c>
      <c r="N28" s="2">
        <f ca="1">goldenOTP_check!N28*N84</f>
        <v>931.07</v>
      </c>
      <c r="O28" s="2">
        <f ca="1">goldenOTP_check!O28*O84</f>
        <v>955.18799999999999</v>
      </c>
      <c r="P28" s="2">
        <f ca="1">goldenOTP_check!P28*P84</f>
        <v>958.65000000000009</v>
      </c>
      <c r="Q28" s="2">
        <f ca="1">goldenOTP_check!Q28*Q84</f>
        <v>975.93200000000002</v>
      </c>
      <c r="R28" s="2">
        <f ca="1">goldenOTP_check!R28*R84</f>
        <v>967.05000000000007</v>
      </c>
      <c r="S28" s="2">
        <f ca="1">goldenOTP_check!S28*S84</f>
        <v>970.90499999999997</v>
      </c>
      <c r="T28" s="2">
        <f ca="1">goldenOTP_check!T28*T84</f>
        <v>949.87</v>
      </c>
      <c r="U28" s="2">
        <f ca="1">goldenOTP_check!U28*U84</f>
        <v>921.92100000000005</v>
      </c>
      <c r="V28" s="2">
        <f ca="1">goldenOTP_check!V28*V84</f>
        <v>890.81000000000006</v>
      </c>
      <c r="W28" s="2">
        <f ca="1">goldenOTP_check!W28*W84</f>
        <v>852.15899999999999</v>
      </c>
      <c r="X28" s="2">
        <f ca="1">goldenOTP_check!X28*X84</f>
        <v>819.85799999999995</v>
      </c>
      <c r="Y28" s="10">
        <f ca="1">goldenOTP_check!Y28*Y84</f>
        <v>787.90099999999995</v>
      </c>
    </row>
    <row r="29" spans="2:25" x14ac:dyDescent="0.3">
      <c r="B29" s="6">
        <v>26</v>
      </c>
      <c r="C29" s="9">
        <v>1.7110000000000001</v>
      </c>
      <c r="D29" s="9">
        <v>1.6120000000000001</v>
      </c>
      <c r="E29" s="9">
        <v>1.613</v>
      </c>
      <c r="F29" s="9">
        <v>1.57</v>
      </c>
    </row>
    <row r="30" spans="2:25" x14ac:dyDescent="0.3">
      <c r="B30" s="6">
        <v>27</v>
      </c>
      <c r="C30" s="9">
        <v>1.788</v>
      </c>
      <c r="D30" s="9">
        <v>1.679</v>
      </c>
      <c r="E30" s="9">
        <v>1.68</v>
      </c>
      <c r="F30" s="9">
        <v>1.6319999999999999</v>
      </c>
      <c r="H30" t="s">
        <v>2</v>
      </c>
      <c r="I30" s="11">
        <f ca="1">goldenOTP_check!I30*I86</f>
        <v>764.25399999999991</v>
      </c>
      <c r="J30" s="2">
        <f ca="1">goldenOTP_check!J30*J86</f>
        <v>824.36400000000003</v>
      </c>
      <c r="K30" s="2">
        <f ca="1">goldenOTP_check!K30*K86</f>
        <v>862.34399999999994</v>
      </c>
      <c r="L30" s="2">
        <f ca="1">goldenOTP_check!L30*L86</f>
        <v>892.84199999999998</v>
      </c>
      <c r="M30" s="2">
        <f ca="1">goldenOTP_check!M30*M86</f>
        <v>916.83900000000006</v>
      </c>
      <c r="N30" s="2">
        <f ca="1">goldenOTP_check!N30*N86</f>
        <v>945.23099999999999</v>
      </c>
      <c r="O30" s="2">
        <f ca="1">goldenOTP_check!O30*O86</f>
        <v>962.96199999999999</v>
      </c>
      <c r="P30" s="2">
        <f ca="1">goldenOTP_check!P30*P86</f>
        <v>983.89200000000005</v>
      </c>
      <c r="Q30" s="2">
        <f ca="1">goldenOTP_check!Q30*Q86</f>
        <v>978.86699999999996</v>
      </c>
      <c r="R30" s="2">
        <f ca="1">goldenOTP_check!R30*R86</f>
        <v>985.53</v>
      </c>
      <c r="S30" s="2">
        <f ca="1">goldenOTP_check!S30*S86</f>
        <v>967.62400000000002</v>
      </c>
      <c r="T30" s="2">
        <f ca="1">goldenOTP_check!T30*T86</f>
        <v>950.06100000000004</v>
      </c>
      <c r="U30" s="2">
        <f ca="1">goldenOTP_check!U30*U86</f>
        <v>921.24900000000002</v>
      </c>
      <c r="V30" s="2">
        <f ca="1">goldenOTP_check!V30*V86</f>
        <v>900.07799999999997</v>
      </c>
      <c r="W30" s="2">
        <f ca="1">goldenOTP_check!W30*W86</f>
        <v>873.67200000000003</v>
      </c>
      <c r="X30" s="2">
        <f ca="1">goldenOTP_check!X30*X86</f>
        <v>833.23799999999994</v>
      </c>
      <c r="Y30" s="11">
        <f ca="1">goldenOTP_check!Y30*Y86</f>
        <v>769.23199999999997</v>
      </c>
    </row>
    <row r="31" spans="2:25" x14ac:dyDescent="0.3">
      <c r="B31" s="6">
        <v>28</v>
      </c>
      <c r="C31" s="9">
        <v>1.91</v>
      </c>
      <c r="D31" s="9">
        <v>1.782</v>
      </c>
      <c r="E31" s="9">
        <v>1.7829999999999999</v>
      </c>
      <c r="F31" s="9">
        <v>1.7290000000000001</v>
      </c>
      <c r="H31" t="s">
        <v>6</v>
      </c>
      <c r="I31" s="2">
        <f ca="1">goldenOTP_check!I31*I87</f>
        <v>821.202</v>
      </c>
      <c r="J31" s="2">
        <f ca="1">goldenOTP_check!J31*J87</f>
        <v>858.529</v>
      </c>
      <c r="K31" s="2">
        <f ca="1">goldenOTP_check!K31*K87</f>
        <v>888.73400000000004</v>
      </c>
      <c r="L31" s="2">
        <f ca="1">goldenOTP_check!L31*L87</f>
        <v>930.00900000000001</v>
      </c>
      <c r="M31" s="2">
        <f ca="1">goldenOTP_check!M31*M87</f>
        <v>976.08600000000001</v>
      </c>
      <c r="N31" s="2">
        <f ca="1">goldenOTP_check!N31*N87</f>
        <v>998.28</v>
      </c>
      <c r="O31" s="2">
        <f ca="1">goldenOTP_check!O31*O87</f>
        <v>1026.6079999999999</v>
      </c>
      <c r="P31" s="2">
        <f ca="1">goldenOTP_check!P31*P87</f>
        <v>1032.01</v>
      </c>
      <c r="Q31" s="2">
        <f ca="1">goldenOTP_check!Q31*Q87</f>
        <v>1038.923</v>
      </c>
      <c r="R31" s="2">
        <f ca="1">goldenOTP_check!R31*R87</f>
        <v>1033.933</v>
      </c>
      <c r="S31" s="2">
        <f ca="1">goldenOTP_check!S31*S87</f>
        <v>1031.52</v>
      </c>
      <c r="T31" s="2">
        <f ca="1">goldenOTP_check!T31*T87</f>
        <v>1005.612</v>
      </c>
      <c r="U31" s="2">
        <f ca="1">goldenOTP_check!U31*U87</f>
        <v>985.85199999999998</v>
      </c>
      <c r="V31" s="2">
        <f ca="1">goldenOTP_check!V31*V87</f>
        <v>939.97500000000014</v>
      </c>
      <c r="W31" s="2">
        <f ca="1">goldenOTP_check!W31*W87</f>
        <v>901.86800000000005</v>
      </c>
      <c r="X31" s="2">
        <f ca="1">goldenOTP_check!X31*X87</f>
        <v>870.19099999999992</v>
      </c>
      <c r="Y31" s="2">
        <f ca="1">goldenOTP_check!Y31*Y87</f>
        <v>823.23900000000003</v>
      </c>
    </row>
    <row r="32" spans="2:25" x14ac:dyDescent="0.3">
      <c r="B32" s="6">
        <v>29</v>
      </c>
      <c r="C32" s="9">
        <v>2.0680000000000001</v>
      </c>
      <c r="D32" s="9">
        <v>1.9179999999999999</v>
      </c>
      <c r="E32" s="9">
        <v>1.9179999999999999</v>
      </c>
      <c r="F32" s="9">
        <v>1.859</v>
      </c>
      <c r="I32" s="2">
        <f ca="1">goldenOTP_check!I32*I88</f>
        <v>836.01</v>
      </c>
      <c r="J32" s="2">
        <f ca="1">goldenOTP_check!J32*J88</f>
        <v>884.71199999999999</v>
      </c>
      <c r="K32" s="2">
        <f ca="1">goldenOTP_check!K32*K88</f>
        <v>918.91800000000012</v>
      </c>
      <c r="L32" s="2">
        <f ca="1">goldenOTP_check!L32*L88</f>
        <v>963.53700000000003</v>
      </c>
      <c r="M32" s="2">
        <f ca="1">goldenOTP_check!M32*M88</f>
        <v>1002.806</v>
      </c>
      <c r="N32" s="2">
        <f ca="1">goldenOTP_check!N32*N88</f>
        <v>1036.3109999999999</v>
      </c>
      <c r="O32" s="2">
        <f ca="1">goldenOTP_check!O32*O88</f>
        <v>1046.424</v>
      </c>
      <c r="P32" s="2">
        <f ca="1">goldenOTP_check!P32*P88</f>
        <v>1054.7639999999999</v>
      </c>
      <c r="Q32" s="2">
        <f ca="1">goldenOTP_check!Q32*Q88</f>
        <v>1062.8589999999999</v>
      </c>
      <c r="R32" s="2">
        <f ca="1">goldenOTP_check!R32*R88</f>
        <v>1059.9929999999999</v>
      </c>
      <c r="S32" s="2">
        <f ca="1">goldenOTP_check!S32*S88</f>
        <v>1058.46</v>
      </c>
      <c r="T32" s="2">
        <f ca="1">goldenOTP_check!T32*T88</f>
        <v>1049.3710000000001</v>
      </c>
      <c r="U32" s="2">
        <f ca="1">goldenOTP_check!U32*U88</f>
        <v>1016.75</v>
      </c>
      <c r="V32" s="2">
        <f ca="1">goldenOTP_check!V32*V88</f>
        <v>978.298</v>
      </c>
      <c r="W32" s="2">
        <f ca="1">goldenOTP_check!W32*W88</f>
        <v>932.178</v>
      </c>
      <c r="X32" s="2">
        <f ca="1">goldenOTP_check!X32*X88</f>
        <v>894.64400000000001</v>
      </c>
      <c r="Y32" s="2">
        <f ca="1">goldenOTP_check!Y32*Y88</f>
        <v>860.79499999999996</v>
      </c>
    </row>
    <row r="33" spans="2:25" x14ac:dyDescent="0.3">
      <c r="B33" s="6">
        <v>30</v>
      </c>
      <c r="C33" s="9">
        <v>2.2480000000000002</v>
      </c>
      <c r="D33" s="9">
        <v>2.0760000000000001</v>
      </c>
      <c r="E33" s="9">
        <v>2.0750000000000002</v>
      </c>
      <c r="F33" s="9">
        <v>2.0099999999999998</v>
      </c>
      <c r="I33" s="2">
        <f ca="1">goldenOTP_check!I33*I89</f>
        <v>848.92500000000007</v>
      </c>
      <c r="J33" s="2">
        <f ca="1">goldenOTP_check!J33*J89</f>
        <v>894.89200000000005</v>
      </c>
      <c r="K33" s="2">
        <f ca="1">goldenOTP_check!K33*K89</f>
        <v>944.68399999999997</v>
      </c>
      <c r="L33" s="2">
        <f ca="1">goldenOTP_check!L33*L89</f>
        <v>993.76800000000003</v>
      </c>
      <c r="M33" s="2">
        <f ca="1">goldenOTP_check!M33*M89</f>
        <v>1024.201</v>
      </c>
      <c r="N33" s="2">
        <f ca="1">goldenOTP_check!N33*N89</f>
        <v>1050.3150000000001</v>
      </c>
      <c r="O33" s="2">
        <f ca="1">goldenOTP_check!O33*O89</f>
        <v>1053.0260000000001</v>
      </c>
      <c r="P33" s="2">
        <f ca="1">goldenOTP_check!P33*P89</f>
        <v>1064.1480000000001</v>
      </c>
      <c r="Q33" s="2">
        <f ca="1">goldenOTP_check!Q33*Q89</f>
        <v>1070.2440000000001</v>
      </c>
      <c r="R33" s="2">
        <f ca="1">goldenOTP_check!R33*R89</f>
        <v>1071.816</v>
      </c>
      <c r="S33" s="2">
        <f ca="1">goldenOTP_check!S33*S89</f>
        <v>1069.066</v>
      </c>
      <c r="T33" s="2">
        <f ca="1">goldenOTP_check!T33*T89</f>
        <v>1060.69</v>
      </c>
      <c r="U33" s="2">
        <f ca="1">goldenOTP_check!U33*U89</f>
        <v>1041.0229999999999</v>
      </c>
      <c r="V33" s="2">
        <f ca="1">goldenOTP_check!V33*V89</f>
        <v>1010.1239999999999</v>
      </c>
      <c r="W33" s="2">
        <f ca="1">goldenOTP_check!W33*W89</f>
        <v>957.67100000000005</v>
      </c>
      <c r="X33" s="2">
        <f ca="1">goldenOTP_check!X33*X89</f>
        <v>903.07200000000012</v>
      </c>
      <c r="Y33" s="2">
        <f ca="1">goldenOTP_check!Y33*Y89</f>
        <v>868.34999999999991</v>
      </c>
    </row>
    <row r="34" spans="2:25" x14ac:dyDescent="0.3">
      <c r="B34" s="6">
        <v>31</v>
      </c>
      <c r="C34" s="9">
        <v>2.4620000000000002</v>
      </c>
      <c r="D34" s="9">
        <v>2.2679999999999998</v>
      </c>
      <c r="E34" s="9">
        <v>2.266</v>
      </c>
      <c r="F34" s="9">
        <v>2.1909999999999998</v>
      </c>
      <c r="I34" s="2">
        <f ca="1">goldenOTP_check!I34*I90</f>
        <v>850.14600000000007</v>
      </c>
      <c r="J34" s="2">
        <f ca="1">goldenOTP_check!J34*J90</f>
        <v>913.32999999999993</v>
      </c>
      <c r="K34" s="2">
        <f ca="1">goldenOTP_check!K34*K90</f>
        <v>971.36</v>
      </c>
      <c r="L34" s="2">
        <f ca="1">goldenOTP_check!L34*L90</f>
        <v>1011.104</v>
      </c>
      <c r="M34" s="2">
        <f ca="1">goldenOTP_check!M34*M90</f>
        <v>1042.1759999999999</v>
      </c>
      <c r="N34" s="2">
        <f ca="1">goldenOTP_check!N34*N90</f>
        <v>1050.6200000000001</v>
      </c>
      <c r="O34" s="2">
        <f ca="1">goldenOTP_check!O34*O90</f>
        <v>1053.921</v>
      </c>
      <c r="P34" s="2">
        <f ca="1">goldenOTP_check!P34*P90</f>
        <v>1061.2249999999999</v>
      </c>
      <c r="Q34" s="2">
        <f ca="1">goldenOTP_check!Q34*Q90</f>
        <v>1062.2670000000001</v>
      </c>
      <c r="R34" s="2">
        <f ca="1">goldenOTP_check!R34*R90</f>
        <v>1067.77</v>
      </c>
      <c r="S34" s="2">
        <f ca="1">goldenOTP_check!S34*S90</f>
        <v>1065.348</v>
      </c>
      <c r="T34" s="2">
        <f ca="1">goldenOTP_check!T34*T90</f>
        <v>1064.2539999999999</v>
      </c>
      <c r="U34" s="2">
        <f ca="1">goldenOTP_check!U34*U90</f>
        <v>1047.384</v>
      </c>
      <c r="V34" s="2">
        <f ca="1">goldenOTP_check!V34*V90</f>
        <v>1025.6960000000001</v>
      </c>
      <c r="W34" s="2">
        <f ca="1">goldenOTP_check!W34*W90</f>
        <v>976.59999999999991</v>
      </c>
      <c r="X34" s="2">
        <f ca="1">goldenOTP_check!X34*X90</f>
        <v>928.1880000000001</v>
      </c>
      <c r="Y34" s="2">
        <f ca="1">goldenOTP_check!Y34*Y90</f>
        <v>860.31000000000006</v>
      </c>
    </row>
    <row r="35" spans="2:25" x14ac:dyDescent="0.3">
      <c r="B35" s="6">
        <v>32</v>
      </c>
      <c r="C35" s="9">
        <v>2.7549999999999999</v>
      </c>
      <c r="D35" s="9">
        <v>2.5390000000000001</v>
      </c>
      <c r="E35" s="9">
        <v>2.5369999999999999</v>
      </c>
      <c r="F35" s="9">
        <v>2.4460000000000002</v>
      </c>
      <c r="I35" s="2">
        <f ca="1">goldenOTP_check!I35*I91</f>
        <v>866.4</v>
      </c>
      <c r="J35" s="2">
        <f ca="1">goldenOTP_check!J35*J91</f>
        <v>919.58999999999992</v>
      </c>
      <c r="K35" s="2">
        <f ca="1">goldenOTP_check!K35*K91</f>
        <v>964.80000000000007</v>
      </c>
      <c r="L35" s="2">
        <f ca="1">goldenOTP_check!L35*L91</f>
        <v>1011.24</v>
      </c>
      <c r="M35" s="2">
        <f ca="1">goldenOTP_check!M35*M91</f>
        <v>1042.0650000000001</v>
      </c>
      <c r="N35" s="2">
        <f ca="1">goldenOTP_check!N35*N91</f>
        <v>1049.04</v>
      </c>
      <c r="O35" s="2">
        <f ca="1">goldenOTP_check!O35*O91</f>
        <v>1049.77</v>
      </c>
      <c r="P35" s="2">
        <f ca="1">goldenOTP_check!P35*P91</f>
        <v>1040.088</v>
      </c>
      <c r="Q35" s="2">
        <f ca="1">goldenOTP_check!Q35*Q91</f>
        <v>1034.0329999999999</v>
      </c>
      <c r="R35" s="2">
        <f ca="1">goldenOTP_check!R35*R91</f>
        <v>1046.9760000000001</v>
      </c>
      <c r="S35" s="2">
        <f ca="1">goldenOTP_check!S35*S91</f>
        <v>1059.989</v>
      </c>
      <c r="T35" s="2">
        <f ca="1">goldenOTP_check!T35*T91</f>
        <v>1059.192</v>
      </c>
      <c r="U35" s="2">
        <f ca="1">goldenOTP_check!U35*U91</f>
        <v>1045.5509999999999</v>
      </c>
      <c r="V35" s="2">
        <f ca="1">goldenOTP_check!V35*V91</f>
        <v>1025.8679999999999</v>
      </c>
      <c r="W35" s="2">
        <f ca="1">goldenOTP_check!W35*W91</f>
        <v>981.952</v>
      </c>
      <c r="X35" s="2">
        <f ca="1">goldenOTP_check!X35*X91</f>
        <v>936.35100000000011</v>
      </c>
      <c r="Y35" s="2">
        <f ca="1">goldenOTP_check!Y35*Y91</f>
        <v>879.32</v>
      </c>
    </row>
    <row r="36" spans="2:25" x14ac:dyDescent="0.3">
      <c r="B36" s="6">
        <v>33</v>
      </c>
      <c r="C36" s="9">
        <v>3.056</v>
      </c>
      <c r="D36" s="9">
        <v>2.8330000000000002</v>
      </c>
      <c r="E36" s="9">
        <v>2.8290000000000002</v>
      </c>
      <c r="F36" s="9">
        <v>2.718</v>
      </c>
      <c r="I36" s="2">
        <f ca="1">goldenOTP_check!I36*I92</f>
        <v>855.41399999999999</v>
      </c>
      <c r="J36" s="2">
        <f ca="1">goldenOTP_check!J36*J92</f>
        <v>923.04900000000009</v>
      </c>
      <c r="K36" s="2">
        <f ca="1">goldenOTP_check!K36*K92</f>
        <v>971.47199999999998</v>
      </c>
      <c r="L36" s="2">
        <f ca="1">goldenOTP_check!L36*L92</f>
        <v>1009.967</v>
      </c>
      <c r="M36" s="2">
        <f ca="1">goldenOTP_check!M36*M92</f>
        <v>1031.6379999999999</v>
      </c>
      <c r="N36" s="2">
        <f ca="1">goldenOTP_check!N36*N92</f>
        <v>1042.5039999999999</v>
      </c>
      <c r="O36" s="2">
        <f ca="1">goldenOTP_check!O36*O92</f>
        <v>1037.7619999999999</v>
      </c>
      <c r="P36" s="2">
        <f ca="1">goldenOTP_check!P36*P92</f>
        <v>1026.0249999999999</v>
      </c>
      <c r="Q36" s="2">
        <f ca="1">goldenOTP_check!Q36*Q92</f>
        <v>1027.0920000000001</v>
      </c>
      <c r="R36" s="2">
        <f ca="1">goldenOTP_check!R36*R92</f>
        <v>1033.0319999999999</v>
      </c>
      <c r="S36" s="2">
        <f ca="1">goldenOTP_check!S36*S92</f>
        <v>1053.8440000000001</v>
      </c>
      <c r="T36" s="2">
        <f ca="1">goldenOTP_check!T36*T92</f>
        <v>1050.682</v>
      </c>
      <c r="U36" s="2">
        <f ca="1">goldenOTP_check!U36*U92</f>
        <v>1040.768</v>
      </c>
      <c r="V36" s="2">
        <f ca="1">goldenOTP_check!V36*V92</f>
        <v>1026.1420000000001</v>
      </c>
      <c r="W36" s="2">
        <f ca="1">goldenOTP_check!W36*W92</f>
        <v>978.85199999999998</v>
      </c>
      <c r="X36" s="2">
        <f ca="1">goldenOTP_check!X36*X92</f>
        <v>936.81899999999996</v>
      </c>
      <c r="Y36" s="2">
        <f ca="1">goldenOTP_check!Y36*Y92</f>
        <v>863.73</v>
      </c>
    </row>
    <row r="37" spans="2:25" x14ac:dyDescent="0.3">
      <c r="B37" s="6">
        <v>34</v>
      </c>
      <c r="C37" s="9">
        <v>2.9009999999999998</v>
      </c>
      <c r="D37" s="9">
        <v>2.6539999999999999</v>
      </c>
      <c r="E37" s="9">
        <v>2.6539999999999999</v>
      </c>
      <c r="F37" s="9">
        <v>2.5609999999999999</v>
      </c>
      <c r="I37" s="2">
        <f ca="1">goldenOTP_check!I37*I93</f>
        <v>851.13599999999997</v>
      </c>
      <c r="J37" s="2">
        <f ca="1">goldenOTP_check!J37*J93</f>
        <v>920.04300000000001</v>
      </c>
      <c r="K37" s="2">
        <f ca="1">goldenOTP_check!K37*K93</f>
        <v>962.12</v>
      </c>
      <c r="L37" s="2">
        <f ca="1">goldenOTP_check!L37*L93</f>
        <v>1004.88</v>
      </c>
      <c r="M37" s="2">
        <f ca="1">goldenOTP_check!M37*M93</f>
        <v>1024.0619999999999</v>
      </c>
      <c r="N37" s="2">
        <f ca="1">goldenOTP_check!N37*N93</f>
        <v>1036.3500000000001</v>
      </c>
      <c r="O37" s="2">
        <f ca="1">goldenOTP_check!O37*O93</f>
        <v>1034.9060000000002</v>
      </c>
      <c r="P37" s="2">
        <f ca="1">goldenOTP_check!P37*P93</f>
        <v>1026.3119999999999</v>
      </c>
      <c r="Q37" s="2">
        <f ca="1">goldenOTP_check!Q37*Q93</f>
        <v>1023.022</v>
      </c>
      <c r="R37" s="2">
        <f ca="1">goldenOTP_check!R37*R93</f>
        <v>1037.136</v>
      </c>
      <c r="S37" s="2">
        <f ca="1">goldenOTP_check!S37*S93</f>
        <v>1048.528</v>
      </c>
      <c r="T37" s="2">
        <f ca="1">goldenOTP_check!T37*T93</f>
        <v>1051.25</v>
      </c>
      <c r="U37" s="2">
        <f ca="1">goldenOTP_check!U37*U93</f>
        <v>1044.81</v>
      </c>
      <c r="V37" s="2">
        <f ca="1">goldenOTP_check!V37*V93</f>
        <v>1015.5600000000001</v>
      </c>
      <c r="W37" s="2">
        <f ca="1">goldenOTP_check!W37*W93</f>
        <v>979.27199999999993</v>
      </c>
      <c r="X37" s="2">
        <f ca="1">goldenOTP_check!X37*X93</f>
        <v>921.08799999999997</v>
      </c>
      <c r="Y37" s="2">
        <f ca="1">goldenOTP_check!Y37*Y93</f>
        <v>858.70399999999995</v>
      </c>
    </row>
    <row r="38" spans="2:25" x14ac:dyDescent="0.3">
      <c r="B38" s="6">
        <v>35</v>
      </c>
      <c r="C38" s="9">
        <v>2.5270000000000001</v>
      </c>
      <c r="D38" s="9">
        <v>2.3159999999999998</v>
      </c>
      <c r="E38" s="9">
        <v>2.3159999999999998</v>
      </c>
      <c r="F38" s="9">
        <v>2.234</v>
      </c>
      <c r="I38" s="2">
        <f ca="1">goldenOTP_check!I38*I94</f>
        <v>851.23500000000013</v>
      </c>
      <c r="J38" s="2">
        <f ca="1">goldenOTP_check!J38*J94</f>
        <v>914.20400000000006</v>
      </c>
      <c r="K38" s="2">
        <f ca="1">goldenOTP_check!K38*K94</f>
        <v>958.61</v>
      </c>
      <c r="L38" s="2">
        <f ca="1">goldenOTP_check!L38*L94</f>
        <v>996.15599999999995</v>
      </c>
      <c r="M38" s="2">
        <f ca="1">goldenOTP_check!M38*M94</f>
        <v>1022.8140000000001</v>
      </c>
      <c r="N38" s="2">
        <f ca="1">goldenOTP_check!N38*N94</f>
        <v>1030.82</v>
      </c>
      <c r="O38" s="2">
        <f ca="1">goldenOTP_check!O38*O94</f>
        <v>1034.816</v>
      </c>
      <c r="P38" s="2">
        <f ca="1">goldenOTP_check!P38*P94</f>
        <v>1030.991</v>
      </c>
      <c r="Q38" s="2">
        <f ca="1">goldenOTP_check!Q38*Q94</f>
        <v>1037.7619999999999</v>
      </c>
      <c r="R38" s="2">
        <f ca="1">goldenOTP_check!R38*R94</f>
        <v>1037.452</v>
      </c>
      <c r="S38" s="2">
        <f ca="1">goldenOTP_check!S38*S94</f>
        <v>1046.1780000000001</v>
      </c>
      <c r="T38" s="2">
        <f ca="1">goldenOTP_check!T38*T94</f>
        <v>1040.165</v>
      </c>
      <c r="U38" s="2">
        <f ca="1">goldenOTP_check!U38*U94</f>
        <v>1034.348</v>
      </c>
      <c r="V38" s="2">
        <f ca="1">goldenOTP_check!V38*V94</f>
        <v>1014.246</v>
      </c>
      <c r="W38" s="2">
        <f ca="1">goldenOTP_check!W38*W94</f>
        <v>964.55500000000006</v>
      </c>
      <c r="X38" s="2">
        <f ca="1">goldenOTP_check!X38*X94</f>
        <v>914.15099999999995</v>
      </c>
      <c r="Y38" s="2">
        <f ca="1">goldenOTP_check!Y38*Y94</f>
        <v>864.31999999999994</v>
      </c>
    </row>
    <row r="39" spans="2:25" x14ac:dyDescent="0.3">
      <c r="B39" s="6">
        <v>36</v>
      </c>
      <c r="C39" s="9">
        <v>2.2589999999999999</v>
      </c>
      <c r="D39" s="9">
        <v>2.0779999999999998</v>
      </c>
      <c r="E39" s="9">
        <v>2.0790000000000002</v>
      </c>
      <c r="F39" s="9">
        <v>2.0110000000000001</v>
      </c>
      <c r="I39" s="2">
        <f ca="1">goldenOTP_check!I39*I95</f>
        <v>820.75000000000011</v>
      </c>
      <c r="J39" s="2">
        <f ca="1">goldenOTP_check!J39*J95</f>
        <v>889.57499999999993</v>
      </c>
      <c r="K39" s="2">
        <f ca="1">goldenOTP_check!K39*K95</f>
        <v>931.05599999999993</v>
      </c>
      <c r="L39" s="2">
        <f ca="1">goldenOTP_check!L39*L95</f>
        <v>981.04499999999996</v>
      </c>
      <c r="M39" s="2">
        <f ca="1">goldenOTP_check!M39*M95</f>
        <v>1008.293</v>
      </c>
      <c r="N39" s="2">
        <f ca="1">goldenOTP_check!N39*N95</f>
        <v>1024.46</v>
      </c>
      <c r="O39" s="2">
        <f ca="1">goldenOTP_check!O39*O95</f>
        <v>1032.412</v>
      </c>
      <c r="P39" s="2">
        <f ca="1">goldenOTP_check!P39*P95</f>
        <v>1033.5890000000002</v>
      </c>
      <c r="Q39" s="2">
        <f ca="1">goldenOTP_check!Q39*Q95</f>
        <v>1035.2559999999999</v>
      </c>
      <c r="R39" s="2">
        <f ca="1">goldenOTP_check!R39*R95</f>
        <v>1036.1120000000001</v>
      </c>
      <c r="S39" s="2">
        <f ca="1">goldenOTP_check!S39*S95</f>
        <v>1031.4639999999999</v>
      </c>
      <c r="T39" s="2">
        <f ca="1">goldenOTP_check!T39*T95</f>
        <v>1023.856</v>
      </c>
      <c r="U39" s="2">
        <f ca="1">goldenOTP_check!U39*U95</f>
        <v>1010.6039999999999</v>
      </c>
      <c r="V39" s="2">
        <f ca="1">goldenOTP_check!V39*V95</f>
        <v>983.78699999999992</v>
      </c>
      <c r="W39" s="2">
        <f ca="1">goldenOTP_check!W39*W95</f>
        <v>946.76400000000001</v>
      </c>
      <c r="X39" s="2">
        <f ca="1">goldenOTP_check!X39*X95</f>
        <v>894.05200000000002</v>
      </c>
      <c r="Y39" s="2">
        <f ca="1">goldenOTP_check!Y39*Y95</f>
        <v>859.39499999999998</v>
      </c>
    </row>
    <row r="40" spans="2:25" x14ac:dyDescent="0.3">
      <c r="B40" s="6">
        <v>37</v>
      </c>
      <c r="C40" s="9">
        <v>2.0470000000000002</v>
      </c>
      <c r="D40" s="9">
        <v>1.8919999999999999</v>
      </c>
      <c r="E40" s="9">
        <v>1.893</v>
      </c>
      <c r="F40" s="9">
        <v>1.8340000000000001</v>
      </c>
      <c r="I40" s="2">
        <f ca="1">goldenOTP_check!I40*I96</f>
        <v>834.66100000000006</v>
      </c>
      <c r="J40" s="2">
        <f ca="1">goldenOTP_check!J40*J96</f>
        <v>867.80799999999999</v>
      </c>
      <c r="K40" s="2">
        <f ca="1">goldenOTP_check!K40*K96</f>
        <v>907.649</v>
      </c>
      <c r="L40" s="2">
        <f ca="1">goldenOTP_check!L40*L96</f>
        <v>948.6579999999999</v>
      </c>
      <c r="M40" s="2">
        <f ca="1">goldenOTP_check!M40*M96</f>
        <v>978.12</v>
      </c>
      <c r="N40" s="2">
        <f ca="1">goldenOTP_check!N40*N96</f>
        <v>1008.9340000000001</v>
      </c>
      <c r="O40" s="2">
        <f ca="1">goldenOTP_check!O40*O96</f>
        <v>1019.014</v>
      </c>
      <c r="P40" s="2">
        <f ca="1">goldenOTP_check!P40*P96</f>
        <v>1022.385</v>
      </c>
      <c r="Q40" s="2">
        <f ca="1">goldenOTP_check!Q40*Q96</f>
        <v>1021.8960000000001</v>
      </c>
      <c r="R40" s="2">
        <f ca="1">goldenOTP_check!R40*R96</f>
        <v>1024.5899999999999</v>
      </c>
      <c r="S40" s="2">
        <f ca="1">goldenOTP_check!S40*S96</f>
        <v>1024.5899999999999</v>
      </c>
      <c r="T40" s="2">
        <f ca="1">goldenOTP_check!T40*T96</f>
        <v>1009.332</v>
      </c>
      <c r="U40" s="2">
        <f ca="1">goldenOTP_check!U40*U96</f>
        <v>987.81000000000006</v>
      </c>
      <c r="V40" s="2">
        <f ca="1">goldenOTP_check!V40*V96</f>
        <v>951.678</v>
      </c>
      <c r="W40" s="2">
        <f ca="1">goldenOTP_check!W40*W96</f>
        <v>907.255</v>
      </c>
      <c r="X40" s="2">
        <f ca="1">goldenOTP_check!X40*X96</f>
        <v>867.28</v>
      </c>
      <c r="Y40" s="2">
        <f ca="1">goldenOTP_check!Y40*Y96</f>
        <v>851.73</v>
      </c>
    </row>
    <row r="41" spans="2:25" x14ac:dyDescent="0.3">
      <c r="B41" s="6">
        <v>38</v>
      </c>
      <c r="C41" s="9">
        <v>1.849</v>
      </c>
      <c r="D41" s="9">
        <v>1.7250000000000001</v>
      </c>
      <c r="E41" s="9">
        <v>1.726</v>
      </c>
      <c r="F41" s="9">
        <v>1.6739999999999999</v>
      </c>
      <c r="I41" s="2">
        <f ca="1">goldenOTP_check!I41*I97</f>
        <v>829.19</v>
      </c>
      <c r="J41" s="2">
        <f ca="1">goldenOTP_check!J41*J97</f>
        <v>844.18499999999995</v>
      </c>
      <c r="K41" s="2">
        <f ca="1">goldenOTP_check!K41*K97</f>
        <v>878.74800000000005</v>
      </c>
      <c r="L41" s="2">
        <f ca="1">goldenOTP_check!L41*L97</f>
        <v>906.98400000000004</v>
      </c>
      <c r="M41" s="2">
        <f ca="1">goldenOTP_check!M41*M97</f>
        <v>942.21600000000001</v>
      </c>
      <c r="N41" s="2">
        <f ca="1">goldenOTP_check!N41*N97</f>
        <v>971.06799999999998</v>
      </c>
      <c r="O41" s="2">
        <f ca="1">goldenOTP_check!O41*O97</f>
        <v>989.22900000000004</v>
      </c>
      <c r="P41" s="2">
        <f ca="1">goldenOTP_check!P41*P97</f>
        <v>1004.85</v>
      </c>
      <c r="Q41" s="2">
        <f ca="1">goldenOTP_check!Q41*Q97</f>
        <v>1002.972</v>
      </c>
      <c r="R41" s="2">
        <f ca="1">goldenOTP_check!R41*R97</f>
        <v>1010.5200000000001</v>
      </c>
      <c r="S41" s="2">
        <f ca="1">goldenOTP_check!S41*S97</f>
        <v>1001.169</v>
      </c>
      <c r="T41" s="2">
        <f ca="1">goldenOTP_check!T41*T97</f>
        <v>984.89299999999992</v>
      </c>
      <c r="U41" s="2">
        <f ca="1">goldenOTP_check!U41*U97</f>
        <v>954.66600000000005</v>
      </c>
      <c r="V41" s="2">
        <f ca="1">goldenOTP_check!V41*V97</f>
        <v>917.59199999999998</v>
      </c>
      <c r="W41" s="2">
        <f ca="1">goldenOTP_check!W41*W97</f>
        <v>873.07199999999989</v>
      </c>
      <c r="X41" s="2">
        <f ca="1">goldenOTP_check!X41*X97</f>
        <v>850.58799999999997</v>
      </c>
      <c r="Y41" s="2">
        <f ca="1">goldenOTP_check!Y41*Y97</f>
        <v>829.19</v>
      </c>
    </row>
    <row r="42" spans="2:25" x14ac:dyDescent="0.3">
      <c r="B42" s="6">
        <v>39</v>
      </c>
      <c r="C42" s="9">
        <v>1.6859999999999999</v>
      </c>
      <c r="D42" s="9">
        <v>1.5860000000000001</v>
      </c>
      <c r="E42" s="9">
        <v>1.587</v>
      </c>
      <c r="F42" s="9">
        <v>1.5389999999999999</v>
      </c>
      <c r="I42" s="11">
        <f ca="1">goldenOTP_check!I42*I98</f>
        <v>810.83199999999999</v>
      </c>
      <c r="J42" s="2">
        <f ca="1">goldenOTP_check!J42*J98</f>
        <v>825.90000000000009</v>
      </c>
      <c r="K42" s="2">
        <f ca="1">goldenOTP_check!K42*K98</f>
        <v>844.31600000000003</v>
      </c>
      <c r="L42" s="2">
        <f ca="1">goldenOTP_check!L42*L98</f>
        <v>864.43100000000004</v>
      </c>
      <c r="M42" s="2">
        <f ca="1">goldenOTP_check!M42*M98</f>
        <v>909.84100000000012</v>
      </c>
      <c r="N42" s="2">
        <f ca="1">goldenOTP_check!N42*N98</f>
        <v>918.72</v>
      </c>
      <c r="O42" s="2">
        <f ca="1">goldenOTP_check!O42*O98</f>
        <v>942.88199999999995</v>
      </c>
      <c r="P42" s="2">
        <f ca="1">goldenOTP_check!P42*P98</f>
        <v>948.48</v>
      </c>
      <c r="Q42" s="2">
        <f ca="1">goldenOTP_check!Q42*Q98</f>
        <v>965.26299999999992</v>
      </c>
      <c r="R42" s="2">
        <f ca="1">goldenOTP_check!R42*R98</f>
        <v>956.28</v>
      </c>
      <c r="S42" s="2">
        <f ca="1">goldenOTP_check!S42*S98</f>
        <v>958.41300000000001</v>
      </c>
      <c r="T42" s="2">
        <f ca="1">goldenOTP_check!T42*T98</f>
        <v>935.88799999999992</v>
      </c>
      <c r="U42" s="2">
        <f ca="1">goldenOTP_check!U42*U98</f>
        <v>909.48</v>
      </c>
      <c r="V42" s="2">
        <f ca="1">goldenOTP_check!V42*V98</f>
        <v>875.15500000000009</v>
      </c>
      <c r="W42" s="2">
        <f ca="1">goldenOTP_check!W42*W98</f>
        <v>855.09899999999993</v>
      </c>
      <c r="X42" s="2">
        <f ca="1">goldenOTP_check!X42*X98</f>
        <v>820.5</v>
      </c>
      <c r="Y42" s="11">
        <f ca="1">goldenOTP_check!Y42*Y98</f>
        <v>771.40800000000002</v>
      </c>
    </row>
    <row r="43" spans="2:25" x14ac:dyDescent="0.3">
      <c r="B43" s="6">
        <v>40</v>
      </c>
      <c r="C43" s="9">
        <v>1.556</v>
      </c>
      <c r="D43" s="9">
        <v>1.4770000000000001</v>
      </c>
      <c r="E43" s="9">
        <v>1.478</v>
      </c>
      <c r="F43" s="9">
        <v>1.4370000000000001</v>
      </c>
    </row>
    <row r="44" spans="2:25" x14ac:dyDescent="0.3">
      <c r="B44" s="6">
        <v>41</v>
      </c>
      <c r="C44" s="9">
        <v>1.4750000000000001</v>
      </c>
      <c r="D44" s="9">
        <v>1.4119999999999999</v>
      </c>
      <c r="E44" s="9">
        <v>1.4119999999999999</v>
      </c>
      <c r="F44" s="9">
        <v>1.379</v>
      </c>
      <c r="H44" t="s">
        <v>3</v>
      </c>
      <c r="I44" s="12">
        <f ca="1">goldenOTP_check!I44*I100</f>
        <v>734.31499999999994</v>
      </c>
      <c r="J44" s="4">
        <f ca="1">goldenOTP_check!J44*J100</f>
        <v>797.404</v>
      </c>
      <c r="K44" s="4">
        <f ca="1">goldenOTP_check!K44*K100</f>
        <v>819.4559999999999</v>
      </c>
      <c r="L44" s="4">
        <f ca="1">goldenOTP_check!L44*L100</f>
        <v>870.76099999999997</v>
      </c>
      <c r="M44" s="4">
        <f ca="1">goldenOTP_check!M44*M100</f>
        <v>901.54900000000009</v>
      </c>
      <c r="N44" s="4">
        <f ca="1">goldenOTP_check!N44*N100</f>
        <v>898.66800000000001</v>
      </c>
      <c r="O44" s="4">
        <f ca="1">goldenOTP_check!O44*O100</f>
        <v>938.78499999999997</v>
      </c>
      <c r="P44" s="4">
        <f ca="1">goldenOTP_check!P44*P100</f>
        <v>949.49400000000003</v>
      </c>
      <c r="Q44" s="4">
        <f ca="1">goldenOTP_check!Q44*Q100</f>
        <v>960.26800000000003</v>
      </c>
      <c r="R44" s="4">
        <f ca="1">goldenOTP_check!R44*R100</f>
        <v>953.86200000000008</v>
      </c>
      <c r="S44" s="4">
        <f ca="1">goldenOTP_check!S44*S100</f>
        <v>944.53800000000001</v>
      </c>
      <c r="T44" s="4">
        <f ca="1">goldenOTP_check!T44*T100</f>
        <v>904.39199999999994</v>
      </c>
      <c r="U44" s="4">
        <f ca="1">goldenOTP_check!U44*U100</f>
        <v>907.41200000000003</v>
      </c>
      <c r="V44" s="4">
        <f ca="1">goldenOTP_check!V44*V100</f>
        <v>848.28200000000004</v>
      </c>
      <c r="W44" s="4">
        <f ca="1">goldenOTP_check!W44*W100</f>
        <v>833.53599999999994</v>
      </c>
      <c r="X44" s="4">
        <f ca="1">goldenOTP_check!X44*X100</f>
        <v>809.22199999999998</v>
      </c>
      <c r="Y44" s="12">
        <f ca="1">goldenOTP_check!Y44*Y100</f>
        <v>740.93999999999994</v>
      </c>
    </row>
    <row r="45" spans="2:25" x14ac:dyDescent="0.3">
      <c r="B45" s="6">
        <v>42</v>
      </c>
      <c r="C45" s="9">
        <v>1.452</v>
      </c>
      <c r="D45" s="9">
        <v>1.393</v>
      </c>
      <c r="E45" s="9">
        <v>1.393</v>
      </c>
      <c r="F45" s="9">
        <v>1.3640000000000001</v>
      </c>
      <c r="H45" t="s">
        <v>6</v>
      </c>
      <c r="I45" s="4">
        <f ca="1">goldenOTP_check!I45*I101</f>
        <v>800.08799999999997</v>
      </c>
      <c r="J45" s="4">
        <f ca="1">goldenOTP_check!J45*J101</f>
        <v>819.08199999999999</v>
      </c>
      <c r="K45" s="4">
        <f ca="1">goldenOTP_check!K45*K101</f>
        <v>856.09799999999996</v>
      </c>
      <c r="L45" s="4">
        <f ca="1">goldenOTP_check!L45*L101</f>
        <v>901.35500000000002</v>
      </c>
      <c r="M45" s="4">
        <f ca="1">goldenOTP_check!M45*M101</f>
        <v>940.03200000000004</v>
      </c>
      <c r="N45" s="4">
        <f ca="1">goldenOTP_check!N45*N101</f>
        <v>972.98400000000004</v>
      </c>
      <c r="O45" s="4">
        <f ca="1">goldenOTP_check!O45*O101</f>
        <v>995.29399999999998</v>
      </c>
      <c r="P45" s="4">
        <f ca="1">goldenOTP_check!P45*P101</f>
        <v>997.54200000000003</v>
      </c>
      <c r="Q45" s="4">
        <f ca="1">goldenOTP_check!Q45*Q101</f>
        <v>1003.752</v>
      </c>
      <c r="R45" s="4">
        <f ca="1">goldenOTP_check!R45*R101</f>
        <v>1000.09</v>
      </c>
      <c r="S45" s="4">
        <f ca="1">goldenOTP_check!S45*S101</f>
        <v>1002.0479999999999</v>
      </c>
      <c r="T45" s="4">
        <f ca="1">goldenOTP_check!T45*T101</f>
        <v>982.072</v>
      </c>
      <c r="U45" s="4">
        <f ca="1">goldenOTP_check!U45*U101</f>
        <v>951.80799999999999</v>
      </c>
      <c r="V45" s="4">
        <f ca="1">goldenOTP_check!V45*V101</f>
        <v>914.55</v>
      </c>
      <c r="W45" s="4">
        <f ca="1">goldenOTP_check!W45*W101</f>
        <v>872.01799999999992</v>
      </c>
      <c r="X45" s="4">
        <f ca="1">goldenOTP_check!X45*X101</f>
        <v>834.08600000000001</v>
      </c>
      <c r="Y45" s="4">
        <f ca="1">goldenOTP_check!Y45*Y101</f>
        <v>804.52800000000002</v>
      </c>
    </row>
    <row r="46" spans="2:25" x14ac:dyDescent="0.3">
      <c r="B46" s="6">
        <v>43</v>
      </c>
      <c r="C46" s="9">
        <v>1.4810000000000001</v>
      </c>
      <c r="D46" s="9">
        <v>1.419</v>
      </c>
      <c r="E46" s="9">
        <v>1.419</v>
      </c>
      <c r="F46" s="9">
        <v>1.387</v>
      </c>
      <c r="I46" s="4">
        <f ca="1">goldenOTP_check!I46*I102</f>
        <v>804.154</v>
      </c>
      <c r="J46" s="4">
        <f ca="1">goldenOTP_check!J46*J102</f>
        <v>837.75</v>
      </c>
      <c r="K46" s="4">
        <f ca="1">goldenOTP_check!K46*K102</f>
        <v>890.87300000000005</v>
      </c>
      <c r="L46" s="4">
        <f ca="1">goldenOTP_check!L46*L102</f>
        <v>939.00800000000004</v>
      </c>
      <c r="M46" s="4">
        <f ca="1">goldenOTP_check!M46*M102</f>
        <v>970.92</v>
      </c>
      <c r="N46" s="4">
        <f ca="1">goldenOTP_check!N46*N102</f>
        <v>997.27199999999993</v>
      </c>
      <c r="O46" s="4">
        <f ca="1">goldenOTP_check!O46*O102</f>
        <v>1013.085</v>
      </c>
      <c r="P46" s="4">
        <f ca="1">goldenOTP_check!P46*P102</f>
        <v>1034.25</v>
      </c>
      <c r="Q46" s="4">
        <f ca="1">goldenOTP_check!Q46*Q102</f>
        <v>1039.3680000000002</v>
      </c>
      <c r="R46" s="4">
        <f ca="1">goldenOTP_check!R46*R102</f>
        <v>1040.25</v>
      </c>
      <c r="S46" s="4">
        <f ca="1">goldenOTP_check!S46*S102</f>
        <v>1027.1849999999999</v>
      </c>
      <c r="T46" s="4">
        <f ca="1">goldenOTP_check!T46*T102</f>
        <v>1012.824</v>
      </c>
      <c r="U46" s="4">
        <f ca="1">goldenOTP_check!U46*U102</f>
        <v>988.31999999999994</v>
      </c>
      <c r="V46" s="4">
        <f ca="1">goldenOTP_check!V46*V102</f>
        <v>958.46400000000006</v>
      </c>
      <c r="W46" s="4">
        <f ca="1">goldenOTP_check!W46*W102</f>
        <v>908.59300000000007</v>
      </c>
      <c r="X46" s="4">
        <f ca="1">goldenOTP_check!X46*X102</f>
        <v>851.99999999999989</v>
      </c>
      <c r="Y46" s="4">
        <f ca="1">goldenOTP_check!Y46*Y102</f>
        <v>808.23599999999999</v>
      </c>
    </row>
    <row r="47" spans="2:25" x14ac:dyDescent="0.3">
      <c r="B47" s="6">
        <v>44</v>
      </c>
      <c r="C47" s="9">
        <v>1.57</v>
      </c>
      <c r="D47" s="9">
        <v>1.4950000000000001</v>
      </c>
      <c r="E47" s="9">
        <v>1.4950000000000001</v>
      </c>
      <c r="F47" s="9">
        <v>1.4570000000000001</v>
      </c>
      <c r="I47" s="4">
        <f ca="1">goldenOTP_check!I47*I103</f>
        <v>834.80799999999999</v>
      </c>
      <c r="J47" s="4">
        <f ca="1">goldenOTP_check!J47*J103</f>
        <v>866.26199999999994</v>
      </c>
      <c r="K47" s="4">
        <f ca="1">goldenOTP_check!K47*K103</f>
        <v>931.05599999999993</v>
      </c>
      <c r="L47" s="4">
        <f ca="1">goldenOTP_check!L47*L103</f>
        <v>971.28</v>
      </c>
      <c r="M47" s="4">
        <f ca="1">goldenOTP_check!M47*M103</f>
        <v>994.68</v>
      </c>
      <c r="N47" s="4">
        <f ca="1">goldenOTP_check!N47*N103</f>
        <v>1024.2539999999999</v>
      </c>
      <c r="O47" s="4">
        <f ca="1">goldenOTP_check!O47*O103</f>
        <v>1031.346</v>
      </c>
      <c r="P47" s="4">
        <f ca="1">goldenOTP_check!P47*P103</f>
        <v>1042.366</v>
      </c>
      <c r="Q47" s="4">
        <f ca="1">goldenOTP_check!Q47*Q103</f>
        <v>1046.3040000000001</v>
      </c>
      <c r="R47" s="4">
        <f ca="1">goldenOTP_check!R47*R103</f>
        <v>1050.896</v>
      </c>
      <c r="S47" s="4">
        <f ca="1">goldenOTP_check!S47*S103</f>
        <v>1049.1000000000001</v>
      </c>
      <c r="T47" s="4">
        <f ca="1">goldenOTP_check!T47*T103</f>
        <v>1027.9779999999998</v>
      </c>
      <c r="U47" s="4">
        <f ca="1">goldenOTP_check!U47*U103</f>
        <v>1016.712</v>
      </c>
      <c r="V47" s="4">
        <f ca="1">goldenOTP_check!V47*V103</f>
        <v>974.1930000000001</v>
      </c>
      <c r="W47" s="4">
        <f ca="1">goldenOTP_check!W47*W103</f>
        <v>927.28800000000001</v>
      </c>
      <c r="X47" s="4">
        <f ca="1">goldenOTP_check!X47*X103</f>
        <v>880.16800000000001</v>
      </c>
      <c r="Y47" s="4">
        <f ca="1">goldenOTP_check!Y47*Y103</f>
        <v>840.04300000000001</v>
      </c>
    </row>
    <row r="48" spans="2:25" x14ac:dyDescent="0.3">
      <c r="B48" s="6">
        <v>45</v>
      </c>
      <c r="C48" s="9">
        <v>1.702</v>
      </c>
      <c r="D48" s="9">
        <v>1.607</v>
      </c>
      <c r="E48" s="9">
        <v>1.607</v>
      </c>
      <c r="F48" s="9">
        <v>1.5629999999999999</v>
      </c>
      <c r="I48" s="4">
        <f ca="1">goldenOTP_check!I48*I104</f>
        <v>841.42799999999988</v>
      </c>
      <c r="J48" s="4">
        <f ca="1">goldenOTP_check!J48*J104</f>
        <v>876.096</v>
      </c>
      <c r="K48" s="4">
        <f ca="1">goldenOTP_check!K48*K104</f>
        <v>929.79200000000003</v>
      </c>
      <c r="L48" s="4">
        <f ca="1">goldenOTP_check!L48*L104</f>
        <v>992.83799999999997</v>
      </c>
      <c r="M48" s="4">
        <f ca="1">goldenOTP_check!M48*M104</f>
        <v>1008.855</v>
      </c>
      <c r="N48" s="4">
        <f ca="1">goldenOTP_check!N48*N104</f>
        <v>1029.732</v>
      </c>
      <c r="O48" s="4">
        <f ca="1">goldenOTP_check!O48*O104</f>
        <v>1038.6770000000001</v>
      </c>
      <c r="P48" s="4">
        <f ca="1">goldenOTP_check!P48*P104</f>
        <v>1039.18</v>
      </c>
      <c r="Q48" s="4">
        <f ca="1">goldenOTP_check!Q48*Q104</f>
        <v>1052.4100000000001</v>
      </c>
      <c r="R48" s="4">
        <f ca="1">goldenOTP_check!R48*R104</f>
        <v>1046.636</v>
      </c>
      <c r="S48" s="4">
        <f ca="1">goldenOTP_check!S48*S104</f>
        <v>1051.095</v>
      </c>
      <c r="T48" s="4">
        <f ca="1">goldenOTP_check!T48*T104</f>
        <v>1045.0650000000001</v>
      </c>
      <c r="U48" s="4">
        <f ca="1">goldenOTP_check!U48*U104</f>
        <v>1028.595</v>
      </c>
      <c r="V48" s="4">
        <f ca="1">goldenOTP_check!V48*V104</f>
        <v>993.90200000000004</v>
      </c>
      <c r="W48" s="4">
        <f ca="1">goldenOTP_check!W48*W104</f>
        <v>951.29600000000005</v>
      </c>
      <c r="X48" s="4">
        <f ca="1">goldenOTP_check!X48*X104</f>
        <v>895.96799999999996</v>
      </c>
      <c r="Y48" s="4">
        <f ca="1">goldenOTP_check!Y48*Y104</f>
        <v>856.63900000000001</v>
      </c>
    </row>
    <row r="49" spans="2:25" x14ac:dyDescent="0.3">
      <c r="B49" s="6">
        <v>46</v>
      </c>
      <c r="C49" s="9">
        <v>1.87</v>
      </c>
      <c r="D49" s="9">
        <v>1.75</v>
      </c>
      <c r="E49" s="9">
        <v>1.75</v>
      </c>
      <c r="F49" s="9">
        <v>1.704</v>
      </c>
      <c r="I49" s="4">
        <f ca="1">goldenOTP_check!I49*I105</f>
        <v>836.07399999999996</v>
      </c>
      <c r="J49" s="4">
        <f ca="1">goldenOTP_check!J49*J105</f>
        <v>896.35</v>
      </c>
      <c r="K49" s="4">
        <f ca="1">goldenOTP_check!K49*K105</f>
        <v>935.56799999999998</v>
      </c>
      <c r="L49" s="4">
        <f ca="1">goldenOTP_check!L49*L105</f>
        <v>986.71299999999997</v>
      </c>
      <c r="M49" s="4">
        <f ca="1">goldenOTP_check!M49*M105</f>
        <v>1021.5000000000001</v>
      </c>
      <c r="N49" s="4">
        <f ca="1">goldenOTP_check!N49*N105</f>
        <v>1035.5419999999999</v>
      </c>
      <c r="O49" s="4">
        <f ca="1">goldenOTP_check!O49*O105</f>
        <v>1035.452</v>
      </c>
      <c r="P49" s="4">
        <f ca="1">goldenOTP_check!P49*P105</f>
        <v>1036.472</v>
      </c>
      <c r="Q49" s="4">
        <f ca="1">goldenOTP_check!Q49*Q105</f>
        <v>1028</v>
      </c>
      <c r="R49" s="4">
        <f ca="1">goldenOTP_check!R49*R105</f>
        <v>1042.4059999999999</v>
      </c>
      <c r="S49" s="4">
        <f ca="1">goldenOTP_check!S49*S105</f>
        <v>1046.636</v>
      </c>
      <c r="T49" s="4">
        <f ca="1">goldenOTP_check!T49*T105</f>
        <v>1032.748</v>
      </c>
      <c r="U49" s="4">
        <f ca="1">goldenOTP_check!U49*U105</f>
        <v>1022.776</v>
      </c>
      <c r="V49" s="4">
        <f ca="1">goldenOTP_check!V49*V105</f>
        <v>1007.097</v>
      </c>
      <c r="W49" s="4">
        <f ca="1">goldenOTP_check!W49*W105</f>
        <v>958.53</v>
      </c>
      <c r="X49" s="4">
        <f ca="1">goldenOTP_check!X49*X105</f>
        <v>894.86</v>
      </c>
      <c r="Y49" s="4">
        <f ca="1">goldenOTP_check!Y49*Y105</f>
        <v>864.81399999999996</v>
      </c>
    </row>
    <row r="50" spans="2:25" x14ac:dyDescent="0.3">
      <c r="B50" s="6">
        <v>47</v>
      </c>
      <c r="C50" s="9">
        <v>2.0699999999999998</v>
      </c>
      <c r="D50" s="9">
        <v>1.923</v>
      </c>
      <c r="E50" s="9">
        <v>1.9219999999999999</v>
      </c>
      <c r="F50" s="9">
        <v>1.8720000000000001</v>
      </c>
      <c r="I50" s="4">
        <f ca="1">goldenOTP_check!I50*I106</f>
        <v>829.63099999999997</v>
      </c>
      <c r="J50" s="4">
        <f ca="1">goldenOTP_check!J50*J106</f>
        <v>886.79500000000007</v>
      </c>
      <c r="K50" s="4">
        <f ca="1">goldenOTP_check!K50*K106</f>
        <v>943.48799999999994</v>
      </c>
      <c r="L50" s="4">
        <f ca="1">goldenOTP_check!L50*L106</f>
        <v>986.904</v>
      </c>
      <c r="M50" s="4">
        <f ca="1">goldenOTP_check!M50*M106</f>
        <v>1015.746</v>
      </c>
      <c r="N50" s="4">
        <f ca="1">goldenOTP_check!N50*N106</f>
        <v>1025.568</v>
      </c>
      <c r="O50" s="4">
        <f ca="1">goldenOTP_check!O50*O106</f>
        <v>1022.2120000000001</v>
      </c>
      <c r="P50" s="4">
        <f ca="1">goldenOTP_check!P50*P106</f>
        <v>1022</v>
      </c>
      <c r="Q50" s="4">
        <f ca="1">goldenOTP_check!Q50*Q106</f>
        <v>1030.1609999999998</v>
      </c>
      <c r="R50" s="4">
        <f ca="1">goldenOTP_check!R50*R106</f>
        <v>1028</v>
      </c>
      <c r="S50" s="4">
        <f ca="1">goldenOTP_check!S50*S106</f>
        <v>1038.2429999999999</v>
      </c>
      <c r="T50" s="4">
        <f ca="1">goldenOTP_check!T50*T106</f>
        <v>1044.576</v>
      </c>
      <c r="U50" s="4">
        <f ca="1">goldenOTP_check!U50*U106</f>
        <v>1021.5000000000001</v>
      </c>
      <c r="V50" s="4">
        <f ca="1">goldenOTP_check!V50*V106</f>
        <v>1009.5840000000001</v>
      </c>
      <c r="W50" s="4">
        <f ca="1">goldenOTP_check!W50*W106</f>
        <v>965.87399999999991</v>
      </c>
      <c r="X50" s="4">
        <f ca="1">goldenOTP_check!X50*X106</f>
        <v>907.72500000000002</v>
      </c>
      <c r="Y50" s="4">
        <f ca="1">goldenOTP_check!Y50*Y106</f>
        <v>843.654</v>
      </c>
    </row>
    <row r="51" spans="2:25" x14ac:dyDescent="0.3">
      <c r="B51" s="6">
        <v>48</v>
      </c>
      <c r="C51" s="9">
        <v>2.2810000000000001</v>
      </c>
      <c r="D51" s="9">
        <v>2.1110000000000002</v>
      </c>
      <c r="E51" s="9">
        <v>2.109</v>
      </c>
      <c r="F51" s="9">
        <v>2.0510000000000002</v>
      </c>
      <c r="I51" s="4">
        <f ca="1">goldenOTP_check!I51*I107</f>
        <v>849.11099999999999</v>
      </c>
      <c r="J51" s="4">
        <f ca="1">goldenOTP_check!J51*J107</f>
        <v>873.15300000000002</v>
      </c>
      <c r="K51" s="4">
        <f ca="1">goldenOTP_check!K51*K107</f>
        <v>932.36400000000003</v>
      </c>
      <c r="L51" s="4">
        <f ca="1">goldenOTP_check!L51*L107</f>
        <v>980.98</v>
      </c>
      <c r="M51" s="4">
        <f ca="1">goldenOTP_check!M51*M107</f>
        <v>997.65000000000009</v>
      </c>
      <c r="N51" s="4">
        <f ca="1">goldenOTP_check!N51*N107</f>
        <v>1009.1999999999999</v>
      </c>
      <c r="O51" s="4">
        <f ca="1">goldenOTP_check!O51*O107</f>
        <v>1022.404</v>
      </c>
      <c r="P51" s="4">
        <f ca="1">goldenOTP_check!P51*P107</f>
        <v>1013.2080000000001</v>
      </c>
      <c r="Q51" s="4">
        <f ca="1">goldenOTP_check!Q51*Q107</f>
        <v>1020</v>
      </c>
      <c r="R51" s="4">
        <f ca="1">goldenOTP_check!R51*R107</f>
        <v>1023.9659999999999</v>
      </c>
      <c r="S51" s="4">
        <f ca="1">goldenOTP_check!S51*S107</f>
        <v>1042.9079999999999</v>
      </c>
      <c r="T51" s="4">
        <f ca="1">goldenOTP_check!T51*T107</f>
        <v>1031.9070000000002</v>
      </c>
      <c r="U51" s="4">
        <f ca="1">goldenOTP_check!U51*U107</f>
        <v>1022.037</v>
      </c>
      <c r="V51" s="4">
        <f ca="1">goldenOTP_check!V51*V107</f>
        <v>1006.46</v>
      </c>
      <c r="W51" s="4">
        <f ca="1">goldenOTP_check!W51*W107</f>
        <v>955.86</v>
      </c>
      <c r="X51" s="4">
        <f ca="1">goldenOTP_check!X51*X107</f>
        <v>890.43</v>
      </c>
      <c r="Y51" s="4">
        <f ca="1">goldenOTP_check!Y51*Y107</f>
        <v>856.38800000000003</v>
      </c>
    </row>
    <row r="52" spans="2:25" x14ac:dyDescent="0.3">
      <c r="B52" s="6">
        <v>49</v>
      </c>
      <c r="C52" s="9">
        <v>2.5369999999999999</v>
      </c>
      <c r="D52" s="9">
        <v>2.3460000000000001</v>
      </c>
      <c r="E52" s="9">
        <v>2.3420000000000001</v>
      </c>
      <c r="F52" s="9">
        <v>2.2719999999999998</v>
      </c>
      <c r="I52" s="4">
        <f ca="1">goldenOTP_check!I52*I108</f>
        <v>808.83199999999988</v>
      </c>
      <c r="J52" s="4">
        <f ca="1">goldenOTP_check!J52*J108</f>
        <v>876.52800000000002</v>
      </c>
      <c r="K52" s="4">
        <f ca="1">goldenOTP_check!K52*K108</f>
        <v>927.23199999999997</v>
      </c>
      <c r="L52" s="4">
        <f ca="1">goldenOTP_check!L52*L108</f>
        <v>966.21</v>
      </c>
      <c r="M52" s="4">
        <f ca="1">goldenOTP_check!M52*M108</f>
        <v>998.28</v>
      </c>
      <c r="N52" s="4">
        <f ca="1">goldenOTP_check!N52*N108</f>
        <v>1003.756</v>
      </c>
      <c r="O52" s="4">
        <f ca="1">goldenOTP_check!O52*O108</f>
        <v>1013.2499999999999</v>
      </c>
      <c r="P52" s="4">
        <f ca="1">goldenOTP_check!P52*P108</f>
        <v>1025.2</v>
      </c>
      <c r="Q52" s="4">
        <f ca="1">goldenOTP_check!Q52*Q108</f>
        <v>1023.155</v>
      </c>
      <c r="R52" s="4">
        <f ca="1">goldenOTP_check!R52*R108</f>
        <v>1020.4680000000001</v>
      </c>
      <c r="S52" s="4">
        <f ca="1">goldenOTP_check!S52*S108</f>
        <v>1027.25</v>
      </c>
      <c r="T52" s="4">
        <f ca="1">goldenOTP_check!T52*T108</f>
        <v>1022.0640000000001</v>
      </c>
      <c r="U52" s="4">
        <f ca="1">goldenOTP_check!U52*U108</f>
        <v>1021.5450000000001</v>
      </c>
      <c r="V52" s="4">
        <f ca="1">goldenOTP_check!V52*V108</f>
        <v>989.68799999999999</v>
      </c>
      <c r="W52" s="4">
        <f ca="1">goldenOTP_check!W52*W108</f>
        <v>949.24800000000005</v>
      </c>
      <c r="X52" s="4">
        <f ca="1">goldenOTP_check!X52*X108</f>
        <v>894.2399999999999</v>
      </c>
      <c r="Y52" s="4">
        <f ca="1">goldenOTP_check!Y52*Y108</f>
        <v>819.51200000000006</v>
      </c>
    </row>
    <row r="53" spans="2:25" x14ac:dyDescent="0.3">
      <c r="B53" s="6">
        <v>50</v>
      </c>
      <c r="C53" s="9">
        <v>2.8759999999999999</v>
      </c>
      <c r="D53" s="9">
        <v>2.67</v>
      </c>
      <c r="E53" s="9">
        <v>2.665</v>
      </c>
      <c r="F53" s="9">
        <v>2.5739999999999998</v>
      </c>
      <c r="I53" s="4">
        <f ca="1">goldenOTP_check!I53*I109</f>
        <v>788.54399999999998</v>
      </c>
      <c r="J53" s="4">
        <f ca="1">goldenOTP_check!J53*J109</f>
        <v>860.94499999999994</v>
      </c>
      <c r="K53" s="4">
        <f ca="1">goldenOTP_check!K53*K109</f>
        <v>903.91499999999996</v>
      </c>
      <c r="L53" s="4">
        <f ca="1">goldenOTP_check!L53*L109</f>
        <v>946.34300000000007</v>
      </c>
      <c r="M53" s="4">
        <f ca="1">goldenOTP_check!M53*M109</f>
        <v>986.904</v>
      </c>
      <c r="N53" s="4">
        <f ca="1">goldenOTP_check!N53*N109</f>
        <v>997.44400000000007</v>
      </c>
      <c r="O53" s="4">
        <f ca="1">goldenOTP_check!O53*O109</f>
        <v>1003.756</v>
      </c>
      <c r="P53" s="4">
        <f ca="1">goldenOTP_check!P53*P109</f>
        <v>1011.7230000000001</v>
      </c>
      <c r="Q53" s="4">
        <f ca="1">goldenOTP_check!Q53*Q109</f>
        <v>1012.5110000000001</v>
      </c>
      <c r="R53" s="4">
        <f ca="1">goldenOTP_check!R53*R109</f>
        <v>1015.0870000000001</v>
      </c>
      <c r="S53" s="4">
        <f ca="1">goldenOTP_check!S53*S109</f>
        <v>1011.7159999999999</v>
      </c>
      <c r="T53" s="4">
        <f ca="1">goldenOTP_check!T53*T109</f>
        <v>1008.349</v>
      </c>
      <c r="U53" s="4">
        <f ca="1">goldenOTP_check!U53*U109</f>
        <v>984.80200000000002</v>
      </c>
      <c r="V53" s="4">
        <f ca="1">goldenOTP_check!V53*V109</f>
        <v>966.3950000000001</v>
      </c>
      <c r="W53" s="4">
        <f ca="1">goldenOTP_check!W53*W109</f>
        <v>924.90300000000002</v>
      </c>
      <c r="X53" s="4">
        <f ca="1">goldenOTP_check!X53*X109</f>
        <v>880.98599999999999</v>
      </c>
      <c r="Y53" s="4">
        <f ca="1">goldenOTP_check!Y53*Y109</f>
        <v>804.52800000000002</v>
      </c>
    </row>
    <row r="54" spans="2:25" x14ac:dyDescent="0.3">
      <c r="B54" s="6">
        <v>51</v>
      </c>
      <c r="C54" s="9">
        <v>2.706</v>
      </c>
      <c r="D54" s="9">
        <v>2.4750000000000001</v>
      </c>
      <c r="E54" s="9">
        <v>2.4750000000000001</v>
      </c>
      <c r="F54" s="9">
        <v>2.3919999999999999</v>
      </c>
      <c r="I54" s="4">
        <f ca="1">goldenOTP_check!I54*I110</f>
        <v>796.9319999999999</v>
      </c>
      <c r="J54" s="4">
        <f ca="1">goldenOTP_check!J54*J110</f>
        <v>835.50000000000011</v>
      </c>
      <c r="K54" s="4">
        <f ca="1">goldenOTP_check!K54*K110</f>
        <v>867.45600000000002</v>
      </c>
      <c r="L54" s="4">
        <f ca="1">goldenOTP_check!L54*L110</f>
        <v>911.5</v>
      </c>
      <c r="M54" s="4">
        <f ca="1">goldenOTP_check!M54*M110</f>
        <v>941.74399999999991</v>
      </c>
      <c r="N54" s="4">
        <f ca="1">goldenOTP_check!N54*N110</f>
        <v>969.51400000000001</v>
      </c>
      <c r="O54" s="4">
        <f ca="1">goldenOTP_check!O54*O110</f>
        <v>982.67399999999998</v>
      </c>
      <c r="P54" s="4">
        <f ca="1">goldenOTP_check!P54*P110</f>
        <v>1001.345</v>
      </c>
      <c r="Q54" s="4">
        <f ca="1">goldenOTP_check!Q54*Q110</f>
        <v>1002.75</v>
      </c>
      <c r="R54" s="4">
        <f ca="1">goldenOTP_check!R54*R110</f>
        <v>1003.5620000000001</v>
      </c>
      <c r="S54" s="4">
        <f ca="1">goldenOTP_check!S54*S110</f>
        <v>989.60399999999993</v>
      </c>
      <c r="T54" s="4">
        <f ca="1">goldenOTP_check!T54*T110</f>
        <v>980.34299999999996</v>
      </c>
      <c r="U54" s="4">
        <f ca="1">goldenOTP_check!U54*U110</f>
        <v>956.51199999999994</v>
      </c>
      <c r="V54" s="4">
        <f ca="1">goldenOTP_check!V54*V110</f>
        <v>930</v>
      </c>
      <c r="W54" s="4">
        <f ca="1">goldenOTP_check!W54*W110</f>
        <v>883.43999999999994</v>
      </c>
      <c r="X54" s="4">
        <f ca="1">goldenOTP_check!X54*X110</f>
        <v>851.625</v>
      </c>
      <c r="Y54" s="4">
        <f ca="1">goldenOTP_check!Y54*Y110</f>
        <v>809.178</v>
      </c>
    </row>
    <row r="55" spans="2:25" x14ac:dyDescent="0.3">
      <c r="B55" s="6">
        <v>52</v>
      </c>
      <c r="C55" s="9">
        <v>2.3860000000000001</v>
      </c>
      <c r="D55" s="9">
        <v>2.1880000000000002</v>
      </c>
      <c r="E55" s="9">
        <v>2.1880000000000002</v>
      </c>
      <c r="F55" s="9">
        <v>2.1179999999999999</v>
      </c>
      <c r="I55" s="4">
        <f ca="1">goldenOTP_check!I55*I111</f>
        <v>803.048</v>
      </c>
      <c r="J55" s="4">
        <f ca="1">goldenOTP_check!J55*J111</f>
        <v>821.46899999999994</v>
      </c>
      <c r="K55" s="4">
        <f ca="1">goldenOTP_check!K55*K111</f>
        <v>832.21600000000001</v>
      </c>
      <c r="L55" s="4">
        <f ca="1">goldenOTP_check!L55*L111</f>
        <v>875.81100000000004</v>
      </c>
      <c r="M55" s="4">
        <f ca="1">goldenOTP_check!M55*M111</f>
        <v>911.5</v>
      </c>
      <c r="N55" s="4">
        <f ca="1">goldenOTP_check!N55*N111</f>
        <v>944.67200000000003</v>
      </c>
      <c r="O55" s="4">
        <f ca="1">goldenOTP_check!O55*O111</f>
        <v>964.40400000000011</v>
      </c>
      <c r="P55" s="4">
        <f ca="1">goldenOTP_check!P55*P111</f>
        <v>967.5</v>
      </c>
      <c r="Q55" s="4">
        <f ca="1">goldenOTP_check!Q55*Q111</f>
        <v>977.79499999999996</v>
      </c>
      <c r="R55" s="4">
        <f ca="1">goldenOTP_check!R55*R111</f>
        <v>973.75</v>
      </c>
      <c r="S55" s="4">
        <f ca="1">goldenOTP_check!S55*S111</f>
        <v>978.25</v>
      </c>
      <c r="T55" s="4">
        <f ca="1">goldenOTP_check!T55*T111</f>
        <v>960.82500000000005</v>
      </c>
      <c r="U55" s="4">
        <f ca="1">goldenOTP_check!U55*U111</f>
        <v>929.5</v>
      </c>
      <c r="V55" s="4">
        <f ca="1">goldenOTP_check!V55*V111</f>
        <v>892.20199999999988</v>
      </c>
      <c r="W55" s="4">
        <f ca="1">goldenOTP_check!W55*W111</f>
        <v>844.5680000000001</v>
      </c>
      <c r="X55" s="4">
        <f ca="1">goldenOTP_check!X55*X111</f>
        <v>831.01699999999994</v>
      </c>
      <c r="Y55" s="4">
        <f ca="1">goldenOTP_check!Y55*Y111</f>
        <v>804.82399999999996</v>
      </c>
    </row>
    <row r="56" spans="2:25" x14ac:dyDescent="0.3">
      <c r="B56" s="6">
        <v>53</v>
      </c>
      <c r="C56" s="9">
        <v>2.13</v>
      </c>
      <c r="D56" s="9">
        <v>1.964</v>
      </c>
      <c r="E56" s="9">
        <v>1.964</v>
      </c>
      <c r="F56" s="9">
        <v>1.9039999999999999</v>
      </c>
      <c r="I56" s="12">
        <f ca="1">goldenOTP_check!I56*I112</f>
        <v>756.83999999999992</v>
      </c>
      <c r="J56" s="4">
        <f ca="1">goldenOTP_check!J56*J112</f>
        <v>781.44</v>
      </c>
      <c r="K56" s="4">
        <f ca="1">goldenOTP_check!K56*K112</f>
        <v>811.92099999999994</v>
      </c>
      <c r="L56" s="4">
        <f ca="1">goldenOTP_check!L56*L112</f>
        <v>864.05799999999988</v>
      </c>
      <c r="M56" s="4">
        <f ca="1">goldenOTP_check!M56*M112</f>
        <v>893.6400000000001</v>
      </c>
      <c r="N56" s="4">
        <f ca="1">goldenOTP_check!N56*N112</f>
        <v>889.12799999999993</v>
      </c>
      <c r="O56" s="4">
        <f ca="1">goldenOTP_check!O56*O112</f>
        <v>929.79200000000003</v>
      </c>
      <c r="P56" s="4">
        <f ca="1">goldenOTP_check!P56*P112</f>
        <v>941.44199999999989</v>
      </c>
      <c r="Q56" s="4">
        <f ca="1">goldenOTP_check!Q56*Q112</f>
        <v>928.03</v>
      </c>
      <c r="R56" s="4">
        <f ca="1">goldenOTP_check!R56*R112</f>
        <v>951.58799999999997</v>
      </c>
      <c r="S56" s="4">
        <f ca="1">goldenOTP_check!S56*S112</f>
        <v>918.096</v>
      </c>
      <c r="T56" s="4">
        <f ca="1">goldenOTP_check!T56*T112</f>
        <v>910.09800000000007</v>
      </c>
      <c r="U56" s="4">
        <f ca="1">goldenOTP_check!U56*U112</f>
        <v>878.52800000000002</v>
      </c>
      <c r="V56" s="4">
        <f ca="1">goldenOTP_check!V56*V112</f>
        <v>845.28099999999995</v>
      </c>
      <c r="W56" s="4">
        <f ca="1">goldenOTP_check!W56*W112</f>
        <v>819.423</v>
      </c>
      <c r="X56" s="4">
        <f ca="1">goldenOTP_check!X56*X112</f>
        <v>779.36800000000005</v>
      </c>
      <c r="Y56" s="12">
        <f ca="1">goldenOTP_check!Y56*Y112</f>
        <v>742.79499999999996</v>
      </c>
    </row>
    <row r="57" spans="2:25" x14ac:dyDescent="0.3">
      <c r="B57" s="6">
        <v>54</v>
      </c>
      <c r="C57" s="9">
        <v>1.8939999999999999</v>
      </c>
      <c r="D57" s="9">
        <v>1.762</v>
      </c>
      <c r="E57" s="9">
        <v>1.762</v>
      </c>
      <c r="F57" s="9">
        <v>1.71</v>
      </c>
    </row>
    <row r="58" spans="2:25" x14ac:dyDescent="0.3">
      <c r="B58" s="6">
        <v>55</v>
      </c>
      <c r="C58" s="9">
        <v>1.6819999999999999</v>
      </c>
      <c r="D58" s="9">
        <v>1.5820000000000001</v>
      </c>
      <c r="E58" s="9">
        <v>1.583</v>
      </c>
      <c r="F58" s="9">
        <v>1.5349999999999999</v>
      </c>
      <c r="H58" t="s">
        <v>5</v>
      </c>
      <c r="I58" s="3">
        <f t="shared" ref="I58:Y70" ca="1" si="0">INDIRECT("C"&amp;(17*ROW(1:1)+ROW($C$3)-19+IF(COLUMN(C:C)&gt;19,50000,COLUMN(C:C)-1)))</f>
        <v>3.169</v>
      </c>
      <c r="J58" s="2">
        <f t="shared" ca="1" si="0"/>
        <v>2.9430000000000001</v>
      </c>
      <c r="K58" s="2">
        <f t="shared" ca="1" si="0"/>
        <v>2.6659999999999999</v>
      </c>
      <c r="L58" s="2">
        <f t="shared" ca="1" si="0"/>
        <v>2.4279999999999999</v>
      </c>
      <c r="M58" s="2">
        <f t="shared" ca="1" si="0"/>
        <v>2.27</v>
      </c>
      <c r="N58" s="2">
        <f t="shared" ca="1" si="0"/>
        <v>2.1269999999999998</v>
      </c>
      <c r="O58" s="2">
        <f t="shared" ca="1" si="0"/>
        <v>2.0089999999999999</v>
      </c>
      <c r="P58" s="2">
        <f t="shared" ca="1" si="0"/>
        <v>1.9419999999999999</v>
      </c>
      <c r="Q58" s="2">
        <f t="shared" ca="1" si="0"/>
        <v>1.9219999999999999</v>
      </c>
      <c r="R58" s="2">
        <f t="shared" ca="1" si="0"/>
        <v>1.946</v>
      </c>
      <c r="S58" s="2">
        <f t="shared" ca="1" si="0"/>
        <v>2.0169999999999999</v>
      </c>
      <c r="T58" s="2">
        <f t="shared" ca="1" si="0"/>
        <v>2.129</v>
      </c>
      <c r="U58" s="2">
        <f t="shared" ca="1" si="0"/>
        <v>2.2690000000000001</v>
      </c>
      <c r="V58" s="2">
        <f t="shared" ca="1" si="0"/>
        <v>2.4380000000000002</v>
      </c>
      <c r="W58" s="2">
        <f t="shared" ca="1" si="0"/>
        <v>2.6920000000000002</v>
      </c>
      <c r="X58" s="2">
        <f t="shared" ca="1" si="0"/>
        <v>2.9580000000000002</v>
      </c>
      <c r="Y58" s="3">
        <f t="shared" ca="1" si="0"/>
        <v>3.1579999999999999</v>
      </c>
    </row>
    <row r="59" spans="2:25" x14ac:dyDescent="0.3">
      <c r="B59" s="6">
        <v>56</v>
      </c>
      <c r="C59" s="9">
        <v>1.5</v>
      </c>
      <c r="D59" s="9">
        <v>1.4279999999999999</v>
      </c>
      <c r="E59" s="9">
        <v>1.429</v>
      </c>
      <c r="F59" s="9">
        <v>1.3859999999999999</v>
      </c>
      <c r="I59" s="2">
        <f t="shared" ca="1" si="0"/>
        <v>3.0830000000000002</v>
      </c>
      <c r="J59" s="2">
        <f t="shared" ca="1" si="0"/>
        <v>2.7370000000000001</v>
      </c>
      <c r="K59" s="2">
        <f t="shared" ca="1" si="0"/>
        <v>2.4340000000000002</v>
      </c>
      <c r="L59" s="2">
        <f t="shared" ca="1" si="0"/>
        <v>2.2330000000000001</v>
      </c>
      <c r="M59" s="2">
        <f t="shared" ca="1" si="0"/>
        <v>2.0550000000000002</v>
      </c>
      <c r="N59" s="2">
        <f t="shared" ca="1" si="0"/>
        <v>1.903</v>
      </c>
      <c r="O59" s="2">
        <f t="shared" ca="1" si="0"/>
        <v>1.786</v>
      </c>
      <c r="P59" s="2">
        <f t="shared" ca="1" si="0"/>
        <v>1.712</v>
      </c>
      <c r="Q59" s="2">
        <f t="shared" ca="1" si="0"/>
        <v>1.6879999999999999</v>
      </c>
      <c r="R59" s="2">
        <f t="shared" ca="1" si="0"/>
        <v>1.7110000000000001</v>
      </c>
      <c r="S59" s="2">
        <f t="shared" ca="1" si="0"/>
        <v>1.788</v>
      </c>
      <c r="T59" s="2">
        <f t="shared" ca="1" si="0"/>
        <v>1.91</v>
      </c>
      <c r="U59" s="2">
        <f t="shared" ca="1" si="0"/>
        <v>2.0680000000000001</v>
      </c>
      <c r="V59" s="2">
        <f t="shared" ca="1" si="0"/>
        <v>2.2480000000000002</v>
      </c>
      <c r="W59" s="2">
        <f t="shared" ca="1" si="0"/>
        <v>2.4620000000000002</v>
      </c>
      <c r="X59" s="2">
        <f t="shared" ca="1" si="0"/>
        <v>2.7549999999999999</v>
      </c>
      <c r="Y59" s="2">
        <f t="shared" ca="1" si="0"/>
        <v>3.056</v>
      </c>
    </row>
    <row r="60" spans="2:25" x14ac:dyDescent="0.3">
      <c r="B60" s="6">
        <v>57</v>
      </c>
      <c r="C60" s="9">
        <v>1.3640000000000001</v>
      </c>
      <c r="D60" s="9">
        <v>1.3129999999999999</v>
      </c>
      <c r="E60" s="9">
        <v>1.3129999999999999</v>
      </c>
      <c r="F60" s="9">
        <v>1.278</v>
      </c>
      <c r="I60" s="2">
        <f t="shared" ca="1" si="0"/>
        <v>2.9009999999999998</v>
      </c>
      <c r="J60" s="2">
        <f t="shared" ca="1" si="0"/>
        <v>2.5270000000000001</v>
      </c>
      <c r="K60" s="2">
        <f t="shared" ca="1" si="0"/>
        <v>2.2589999999999999</v>
      </c>
      <c r="L60" s="2">
        <f t="shared" ca="1" si="0"/>
        <v>2.0470000000000002</v>
      </c>
      <c r="M60" s="2">
        <f t="shared" ca="1" si="0"/>
        <v>1.849</v>
      </c>
      <c r="N60" s="2">
        <f t="shared" ca="1" si="0"/>
        <v>1.6859999999999999</v>
      </c>
      <c r="O60" s="2">
        <f t="shared" ca="1" si="0"/>
        <v>1.556</v>
      </c>
      <c r="P60" s="2">
        <f t="shared" ca="1" si="0"/>
        <v>1.4750000000000001</v>
      </c>
      <c r="Q60" s="2">
        <f t="shared" ca="1" si="0"/>
        <v>1.452</v>
      </c>
      <c r="R60" s="2">
        <f t="shared" ca="1" si="0"/>
        <v>1.4810000000000001</v>
      </c>
      <c r="S60" s="2">
        <f t="shared" ca="1" si="0"/>
        <v>1.57</v>
      </c>
      <c r="T60" s="2">
        <f t="shared" ca="1" si="0"/>
        <v>1.702</v>
      </c>
      <c r="U60" s="2">
        <f t="shared" ca="1" si="0"/>
        <v>1.87</v>
      </c>
      <c r="V60" s="2">
        <f t="shared" ca="1" si="0"/>
        <v>2.0699999999999998</v>
      </c>
      <c r="W60" s="2">
        <f t="shared" ca="1" si="0"/>
        <v>2.2810000000000001</v>
      </c>
      <c r="X60" s="2">
        <f t="shared" ca="1" si="0"/>
        <v>2.5369999999999999</v>
      </c>
      <c r="Y60" s="2">
        <f t="shared" ca="1" si="0"/>
        <v>2.8759999999999999</v>
      </c>
    </row>
    <row r="61" spans="2:25" x14ac:dyDescent="0.3">
      <c r="B61" s="6">
        <v>58</v>
      </c>
      <c r="C61" s="9">
        <v>1.284</v>
      </c>
      <c r="D61" s="9">
        <v>1.2490000000000001</v>
      </c>
      <c r="E61" s="9">
        <v>1.2490000000000001</v>
      </c>
      <c r="F61" s="9">
        <v>1.222</v>
      </c>
      <c r="I61" s="2">
        <f t="shared" ca="1" si="0"/>
        <v>2.706</v>
      </c>
      <c r="J61" s="2">
        <f t="shared" ca="1" si="0"/>
        <v>2.3860000000000001</v>
      </c>
      <c r="K61" s="2">
        <f t="shared" ca="1" si="0"/>
        <v>2.13</v>
      </c>
      <c r="L61" s="2">
        <f t="shared" ca="1" si="0"/>
        <v>1.8939999999999999</v>
      </c>
      <c r="M61" s="2">
        <f t="shared" ca="1" si="0"/>
        <v>1.6819999999999999</v>
      </c>
      <c r="N61" s="2">
        <f t="shared" ca="1" si="0"/>
        <v>1.5</v>
      </c>
      <c r="O61" s="2">
        <f t="shared" ca="1" si="0"/>
        <v>1.3640000000000001</v>
      </c>
      <c r="P61" s="2">
        <f t="shared" ca="1" si="0"/>
        <v>1.284</v>
      </c>
      <c r="Q61" s="2">
        <f t="shared" ca="1" si="0"/>
        <v>1.2629999999999999</v>
      </c>
      <c r="R61" s="2">
        <f t="shared" ca="1" si="0"/>
        <v>1.2929999999999999</v>
      </c>
      <c r="S61" s="2">
        <f t="shared" ca="1" si="0"/>
        <v>1.3819999999999999</v>
      </c>
      <c r="T61" s="2">
        <f t="shared" ca="1" si="0"/>
        <v>1.522</v>
      </c>
      <c r="U61" s="2">
        <f t="shared" ca="1" si="0"/>
        <v>1.7050000000000001</v>
      </c>
      <c r="V61" s="2">
        <f t="shared" ca="1" si="0"/>
        <v>1.9179999999999999</v>
      </c>
      <c r="W61" s="2">
        <f t="shared" ca="1" si="0"/>
        <v>2.1480000000000001</v>
      </c>
      <c r="X61" s="2">
        <f t="shared" ca="1" si="0"/>
        <v>2.3879999999999999</v>
      </c>
      <c r="Y61" s="2">
        <f t="shared" ca="1" si="0"/>
        <v>2.6760000000000002</v>
      </c>
    </row>
    <row r="62" spans="2:25" x14ac:dyDescent="0.3">
      <c r="B62" s="6">
        <v>59</v>
      </c>
      <c r="C62" s="9">
        <v>1.2629999999999999</v>
      </c>
      <c r="D62" s="9">
        <v>1.234</v>
      </c>
      <c r="E62" s="9">
        <v>1.2330000000000001</v>
      </c>
      <c r="F62" s="9">
        <v>1.2110000000000001</v>
      </c>
      <c r="I62" s="2">
        <f t="shared" ca="1" si="0"/>
        <v>2.5609999999999999</v>
      </c>
      <c r="J62" s="2">
        <f t="shared" ca="1" si="0"/>
        <v>2.2770000000000001</v>
      </c>
      <c r="K62" s="2">
        <f t="shared" ca="1" si="0"/>
        <v>2.0219999999999998</v>
      </c>
      <c r="L62" s="2">
        <f t="shared" ca="1" si="0"/>
        <v>1.778</v>
      </c>
      <c r="M62" s="2">
        <f t="shared" ca="1" si="0"/>
        <v>1.552</v>
      </c>
      <c r="N62" s="2">
        <f t="shared" ca="1" si="0"/>
        <v>1.3620000000000001</v>
      </c>
      <c r="O62" s="2">
        <f t="shared" ca="1" si="0"/>
        <v>1.232</v>
      </c>
      <c r="P62" s="2">
        <f t="shared" ca="1" si="0"/>
        <v>1.155</v>
      </c>
      <c r="Q62" s="2">
        <f t="shared" ca="1" si="0"/>
        <v>1.1299999999999999</v>
      </c>
      <c r="R62" s="2">
        <f t="shared" ca="1" si="0"/>
        <v>1.161</v>
      </c>
      <c r="S62" s="2">
        <f t="shared" ca="1" si="0"/>
        <v>1.2430000000000001</v>
      </c>
      <c r="T62" s="2">
        <f t="shared" ca="1" si="0"/>
        <v>1.3759999999999999</v>
      </c>
      <c r="U62" s="2">
        <f t="shared" ca="1" si="0"/>
        <v>1.5680000000000001</v>
      </c>
      <c r="V62" s="2">
        <f t="shared" ca="1" si="0"/>
        <v>1.796</v>
      </c>
      <c r="W62" s="2">
        <f t="shared" ca="1" si="0"/>
        <v>2.0430000000000001</v>
      </c>
      <c r="X62" s="2">
        <f t="shared" ca="1" si="0"/>
        <v>2.2970000000000002</v>
      </c>
      <c r="Y62" s="2">
        <f t="shared" ca="1" si="0"/>
        <v>2.5640000000000001</v>
      </c>
    </row>
    <row r="63" spans="2:25" x14ac:dyDescent="0.3">
      <c r="B63" s="6">
        <v>60</v>
      </c>
      <c r="C63" s="9">
        <v>1.2929999999999999</v>
      </c>
      <c r="D63" s="9">
        <v>1.2589999999999999</v>
      </c>
      <c r="E63" s="9">
        <v>1.258</v>
      </c>
      <c r="F63" s="9">
        <v>1.232</v>
      </c>
      <c r="I63" s="2">
        <f t="shared" ca="1" si="0"/>
        <v>2.4910000000000001</v>
      </c>
      <c r="J63" s="2">
        <f t="shared" ca="1" si="0"/>
        <v>2.21</v>
      </c>
      <c r="K63" s="2">
        <f t="shared" ca="1" si="0"/>
        <v>1.9410000000000001</v>
      </c>
      <c r="L63" s="2">
        <f t="shared" ca="1" si="0"/>
        <v>1.6910000000000001</v>
      </c>
      <c r="M63" s="2">
        <f t="shared" ca="1" si="0"/>
        <v>1.46</v>
      </c>
      <c r="N63" s="2">
        <f t="shared" ca="1" si="0"/>
        <v>1.2789999999999999</v>
      </c>
      <c r="O63" s="2">
        <f t="shared" ca="1" si="0"/>
        <v>1.151</v>
      </c>
      <c r="P63" s="2">
        <f t="shared" ca="1" si="0"/>
        <v>1.0669999999999999</v>
      </c>
      <c r="Q63" s="2">
        <f t="shared" ca="1" si="0"/>
        <v>1.038</v>
      </c>
      <c r="R63" s="2">
        <f t="shared" ca="1" si="0"/>
        <v>1.073</v>
      </c>
      <c r="S63" s="2">
        <f t="shared" ca="1" si="0"/>
        <v>1.159</v>
      </c>
      <c r="T63" s="2">
        <f t="shared" ca="1" si="0"/>
        <v>1.2849999999999999</v>
      </c>
      <c r="U63" s="2">
        <f t="shared" ca="1" si="0"/>
        <v>1.4710000000000001</v>
      </c>
      <c r="V63" s="2">
        <f t="shared" ca="1" si="0"/>
        <v>1.708</v>
      </c>
      <c r="W63" s="2">
        <f t="shared" ca="1" si="0"/>
        <v>1.9670000000000001</v>
      </c>
      <c r="X63" s="2">
        <f t="shared" ca="1" si="0"/>
        <v>2.2360000000000002</v>
      </c>
      <c r="Y63" s="2">
        <f t="shared" ca="1" si="0"/>
        <v>2.5059999999999998</v>
      </c>
    </row>
    <row r="64" spans="2:25" x14ac:dyDescent="0.3">
      <c r="B64" s="6">
        <v>61</v>
      </c>
      <c r="C64" s="9">
        <v>1.3819999999999999</v>
      </c>
      <c r="D64" s="9">
        <v>1.333</v>
      </c>
      <c r="E64" s="9">
        <v>1.333</v>
      </c>
      <c r="F64" s="9">
        <v>1.3</v>
      </c>
      <c r="I64" s="2">
        <f t="shared" ca="1" si="0"/>
        <v>2.4790000000000001</v>
      </c>
      <c r="J64" s="2">
        <f t="shared" ca="1" si="0"/>
        <v>2.1890000000000001</v>
      </c>
      <c r="K64" s="2">
        <f t="shared" ca="1" si="0"/>
        <v>1.913</v>
      </c>
      <c r="L64" s="2">
        <f t="shared" ca="1" si="0"/>
        <v>1.657</v>
      </c>
      <c r="M64" s="2">
        <f t="shared" ca="1" si="0"/>
        <v>1.42</v>
      </c>
      <c r="N64" s="2">
        <f t="shared" ca="1" si="0"/>
        <v>1.2390000000000001</v>
      </c>
      <c r="O64" s="2">
        <f t="shared" ca="1" si="0"/>
        <v>1.1120000000000001</v>
      </c>
      <c r="P64" s="2">
        <f t="shared" ca="1" si="0"/>
        <v>1.03</v>
      </c>
      <c r="Q64" s="2">
        <f t="shared" ca="1" si="0"/>
        <v>1.004</v>
      </c>
      <c r="R64" s="2">
        <f t="shared" ca="1" si="0"/>
        <v>1.0369999999999999</v>
      </c>
      <c r="S64" s="2">
        <f t="shared" ca="1" si="0"/>
        <v>1.1259999999999999</v>
      </c>
      <c r="T64" s="2">
        <f t="shared" ca="1" si="0"/>
        <v>1.254</v>
      </c>
      <c r="U64" s="2">
        <f t="shared" ca="1" si="0"/>
        <v>1.4390000000000001</v>
      </c>
      <c r="V64" s="2">
        <f t="shared" ca="1" si="0"/>
        <v>1.6779999999999999</v>
      </c>
      <c r="W64" s="2">
        <f t="shared" ca="1" si="0"/>
        <v>1.9350000000000001</v>
      </c>
      <c r="X64" s="2">
        <f t="shared" ca="1" si="0"/>
        <v>2.2050000000000001</v>
      </c>
      <c r="Y64" s="2">
        <f t="shared" ca="1" si="0"/>
        <v>2.4710000000000001</v>
      </c>
    </row>
    <row r="65" spans="2:25" x14ac:dyDescent="0.3">
      <c r="B65" s="6">
        <v>62</v>
      </c>
      <c r="C65" s="9">
        <v>1.522</v>
      </c>
      <c r="D65" s="9">
        <v>1.4530000000000001</v>
      </c>
      <c r="E65" s="9">
        <v>1.4530000000000001</v>
      </c>
      <c r="F65" s="9">
        <v>1.4139999999999999</v>
      </c>
      <c r="I65" s="2">
        <f t="shared" ca="1" si="0"/>
        <v>2.5030000000000001</v>
      </c>
      <c r="J65" s="2">
        <f t="shared" ca="1" si="0"/>
        <v>2.2109999999999999</v>
      </c>
      <c r="K65" s="2">
        <f t="shared" ca="1" si="0"/>
        <v>1.9339999999999999</v>
      </c>
      <c r="L65" s="2">
        <f t="shared" ca="1" si="0"/>
        <v>1.679</v>
      </c>
      <c r="M65" s="2">
        <f t="shared" ca="1" si="0"/>
        <v>1.4450000000000001</v>
      </c>
      <c r="N65" s="2">
        <f t="shared" ca="1" si="0"/>
        <v>1.262</v>
      </c>
      <c r="O65" s="2">
        <f t="shared" ca="1" si="0"/>
        <v>1.135</v>
      </c>
      <c r="P65" s="2">
        <f t="shared" ca="1" si="0"/>
        <v>1.0529999999999999</v>
      </c>
      <c r="Q65" s="2">
        <f t="shared" ca="1" si="0"/>
        <v>1.028</v>
      </c>
      <c r="R65" s="2">
        <f t="shared" ca="1" si="0"/>
        <v>1.0649999999999999</v>
      </c>
      <c r="S65" s="2">
        <f t="shared" ca="1" si="0"/>
        <v>1.1539999999999999</v>
      </c>
      <c r="T65" s="2">
        <f t="shared" ca="1" si="0"/>
        <v>1.2829999999999999</v>
      </c>
      <c r="U65" s="2">
        <f t="shared" ca="1" si="0"/>
        <v>1.4710000000000001</v>
      </c>
      <c r="V65" s="2">
        <f t="shared" ca="1" si="0"/>
        <v>1.706</v>
      </c>
      <c r="W65" s="2">
        <f t="shared" ca="1" si="0"/>
        <v>1.9610000000000001</v>
      </c>
      <c r="X65" s="2">
        <f t="shared" ca="1" si="0"/>
        <v>2.222</v>
      </c>
      <c r="Y65" s="2">
        <f t="shared" ca="1" si="0"/>
        <v>2.4820000000000002</v>
      </c>
    </row>
    <row r="66" spans="2:25" x14ac:dyDescent="0.3">
      <c r="B66" s="6">
        <v>63</v>
      </c>
      <c r="C66" s="9">
        <v>1.7050000000000001</v>
      </c>
      <c r="D66" s="9">
        <v>1.611</v>
      </c>
      <c r="E66" s="9">
        <v>1.609</v>
      </c>
      <c r="F66" s="9">
        <v>1.569</v>
      </c>
      <c r="I66" s="2">
        <f t="shared" ca="1" si="0"/>
        <v>2.5649999999999999</v>
      </c>
      <c r="J66" s="2">
        <f t="shared" ca="1" si="0"/>
        <v>2.2770000000000001</v>
      </c>
      <c r="K66" s="2">
        <f t="shared" ca="1" si="0"/>
        <v>2.0129999999999999</v>
      </c>
      <c r="L66" s="2">
        <f t="shared" ca="1" si="0"/>
        <v>1.764</v>
      </c>
      <c r="M66" s="2">
        <f t="shared" ca="1" si="0"/>
        <v>1.5349999999999999</v>
      </c>
      <c r="N66" s="2">
        <f t="shared" ca="1" si="0"/>
        <v>1.3460000000000001</v>
      </c>
      <c r="O66" s="2">
        <f t="shared" ca="1" si="0"/>
        <v>1.218</v>
      </c>
      <c r="P66" s="2">
        <f t="shared" ca="1" si="0"/>
        <v>1.139</v>
      </c>
      <c r="Q66" s="2">
        <f t="shared" ca="1" si="0"/>
        <v>1.113</v>
      </c>
      <c r="R66" s="2">
        <f t="shared" ca="1" si="0"/>
        <v>1.145</v>
      </c>
      <c r="S66" s="2">
        <f t="shared" ca="1" si="0"/>
        <v>1.2290000000000001</v>
      </c>
      <c r="T66" s="2">
        <f t="shared" ca="1" si="0"/>
        <v>1.3640000000000001</v>
      </c>
      <c r="U66" s="2">
        <f t="shared" ca="1" si="0"/>
        <v>1.5589999999999999</v>
      </c>
      <c r="V66" s="2">
        <f t="shared" ca="1" si="0"/>
        <v>1.792</v>
      </c>
      <c r="W66" s="2">
        <f t="shared" ca="1" si="0"/>
        <v>2.0390000000000001</v>
      </c>
      <c r="X66" s="2">
        <f t="shared" ca="1" si="0"/>
        <v>2.2930000000000001</v>
      </c>
      <c r="Y66" s="2">
        <f t="shared" ca="1" si="0"/>
        <v>2.5550000000000002</v>
      </c>
    </row>
    <row r="67" spans="2:25" x14ac:dyDescent="0.3">
      <c r="B67" s="6">
        <v>64</v>
      </c>
      <c r="C67" s="9">
        <v>1.9179999999999999</v>
      </c>
      <c r="D67" s="9">
        <v>1.7929999999999999</v>
      </c>
      <c r="E67" s="9">
        <v>1.7909999999999999</v>
      </c>
      <c r="F67" s="9">
        <v>1.7490000000000001</v>
      </c>
      <c r="I67" s="2">
        <f t="shared" ca="1" si="0"/>
        <v>2.6749999999999998</v>
      </c>
      <c r="J67" s="2">
        <f t="shared" ca="1" si="0"/>
        <v>2.367</v>
      </c>
      <c r="K67" s="2">
        <f t="shared" ca="1" si="0"/>
        <v>2.117</v>
      </c>
      <c r="L67" s="2">
        <f t="shared" ca="1" si="0"/>
        <v>1.8839999999999999</v>
      </c>
      <c r="M67" s="2">
        <f t="shared" ca="1" si="0"/>
        <v>1.671</v>
      </c>
      <c r="N67" s="2">
        <f t="shared" ca="1" si="0"/>
        <v>1.486</v>
      </c>
      <c r="O67" s="2">
        <f t="shared" ca="1" si="0"/>
        <v>1.347</v>
      </c>
      <c r="P67" s="2">
        <f t="shared" ca="1" si="0"/>
        <v>1.2649999999999999</v>
      </c>
      <c r="Q67" s="2">
        <f t="shared" ca="1" si="0"/>
        <v>1.238</v>
      </c>
      <c r="R67" s="2">
        <f t="shared" ca="1" si="0"/>
        <v>1.268</v>
      </c>
      <c r="S67" s="2">
        <f t="shared" ca="1" si="0"/>
        <v>1.3520000000000001</v>
      </c>
      <c r="T67" s="2">
        <f t="shared" ca="1" si="0"/>
        <v>1.492</v>
      </c>
      <c r="U67" s="2">
        <f t="shared" ca="1" si="0"/>
        <v>1.6819999999999999</v>
      </c>
      <c r="V67" s="2">
        <f t="shared" ca="1" si="0"/>
        <v>1.903</v>
      </c>
      <c r="W67" s="2">
        <f t="shared" ca="1" si="0"/>
        <v>2.145</v>
      </c>
      <c r="X67" s="2">
        <f t="shared" ca="1" si="0"/>
        <v>2.395</v>
      </c>
      <c r="Y67" s="2">
        <f t="shared" ca="1" si="0"/>
        <v>2.6909999999999998</v>
      </c>
    </row>
    <row r="68" spans="2:25" x14ac:dyDescent="0.3">
      <c r="B68" s="6">
        <v>65</v>
      </c>
      <c r="C68" s="9">
        <v>2.1480000000000001</v>
      </c>
      <c r="D68" s="9">
        <v>1.994</v>
      </c>
      <c r="E68" s="9">
        <v>1.9910000000000001</v>
      </c>
      <c r="F68" s="9">
        <v>1.944</v>
      </c>
      <c r="I68" s="2">
        <f t="shared" ca="1" si="0"/>
        <v>2.87</v>
      </c>
      <c r="J68" s="2">
        <f t="shared" ca="1" si="0"/>
        <v>2.512</v>
      </c>
      <c r="K68" s="2">
        <f t="shared" ca="1" si="0"/>
        <v>2.2519999999999998</v>
      </c>
      <c r="L68" s="2">
        <f t="shared" ca="1" si="0"/>
        <v>2.036</v>
      </c>
      <c r="M68" s="2">
        <f t="shared" ca="1" si="0"/>
        <v>1.8360000000000001</v>
      </c>
      <c r="N68" s="2">
        <f t="shared" ca="1" si="0"/>
        <v>1.669</v>
      </c>
      <c r="O68" s="2">
        <f t="shared" ca="1" si="0"/>
        <v>1.5369999999999999</v>
      </c>
      <c r="P68" s="2">
        <f t="shared" ca="1" si="0"/>
        <v>1.4530000000000001</v>
      </c>
      <c r="Q68" s="2">
        <f t="shared" ca="1" si="0"/>
        <v>1.425</v>
      </c>
      <c r="R68" s="2">
        <f t="shared" ca="1" si="0"/>
        <v>1.454</v>
      </c>
      <c r="S68" s="2">
        <f t="shared" ca="1" si="0"/>
        <v>1.542</v>
      </c>
      <c r="T68" s="2">
        <f t="shared" ca="1" si="0"/>
        <v>1.6779999999999999</v>
      </c>
      <c r="U68" s="2">
        <f t="shared" ca="1" si="0"/>
        <v>1.849</v>
      </c>
      <c r="V68" s="2">
        <f t="shared" ca="1" si="0"/>
        <v>2.056</v>
      </c>
      <c r="W68" s="2">
        <f t="shared" ca="1" si="0"/>
        <v>2.2749999999999999</v>
      </c>
      <c r="X68" s="2">
        <f t="shared" ca="1" si="0"/>
        <v>2.5350000000000001</v>
      </c>
      <c r="Y68" s="2">
        <f t="shared" ca="1" si="0"/>
        <v>2.8759999999999999</v>
      </c>
    </row>
    <row r="69" spans="2:25" x14ac:dyDescent="0.3">
      <c r="B69" s="6">
        <v>66</v>
      </c>
      <c r="C69" s="9">
        <v>2.3879999999999999</v>
      </c>
      <c r="D69" s="9">
        <v>2.2120000000000002</v>
      </c>
      <c r="E69" s="9">
        <v>2.2080000000000002</v>
      </c>
      <c r="F69" s="9">
        <v>2.1520000000000001</v>
      </c>
      <c r="I69" s="2">
        <f t="shared" ca="1" si="0"/>
        <v>3.073</v>
      </c>
      <c r="J69" s="2">
        <f t="shared" ca="1" si="0"/>
        <v>2.7229999999999999</v>
      </c>
      <c r="K69" s="2">
        <f t="shared" ca="1" si="0"/>
        <v>2.4260000000000002</v>
      </c>
      <c r="L69" s="2">
        <f t="shared" ca="1" si="0"/>
        <v>2.2189999999999999</v>
      </c>
      <c r="M69" s="2">
        <f t="shared" ca="1" si="0"/>
        <v>2.036</v>
      </c>
      <c r="N69" s="2">
        <f t="shared" ca="1" si="0"/>
        <v>1.8779999999999999</v>
      </c>
      <c r="O69" s="2">
        <f t="shared" ca="1" si="0"/>
        <v>1.76</v>
      </c>
      <c r="P69" s="2">
        <f t="shared" ca="1" si="0"/>
        <v>1.6870000000000001</v>
      </c>
      <c r="Q69" s="2">
        <f t="shared" ca="1" si="0"/>
        <v>1.667</v>
      </c>
      <c r="R69" s="2">
        <f t="shared" ca="1" si="0"/>
        <v>1.6970000000000001</v>
      </c>
      <c r="S69" s="2">
        <f t="shared" ca="1" si="0"/>
        <v>1.78</v>
      </c>
      <c r="T69" s="2">
        <f t="shared" ca="1" si="0"/>
        <v>1.9019999999999999</v>
      </c>
      <c r="U69" s="2">
        <f t="shared" ca="1" si="0"/>
        <v>2.0579999999999998</v>
      </c>
      <c r="V69" s="2">
        <f t="shared" ca="1" si="0"/>
        <v>2.2389999999999999</v>
      </c>
      <c r="W69" s="2">
        <f t="shared" ca="1" si="0"/>
        <v>2.4420000000000002</v>
      </c>
      <c r="X69" s="2">
        <f t="shared" ca="1" si="0"/>
        <v>2.7320000000000002</v>
      </c>
      <c r="Y69" s="2">
        <f t="shared" ca="1" si="0"/>
        <v>3.0459999999999998</v>
      </c>
    </row>
    <row r="70" spans="2:25" x14ac:dyDescent="0.3">
      <c r="B70" s="6">
        <v>67</v>
      </c>
      <c r="C70" s="9">
        <v>2.6760000000000002</v>
      </c>
      <c r="D70" s="9">
        <v>2.4870000000000001</v>
      </c>
      <c r="E70" s="9">
        <v>2.4809999999999999</v>
      </c>
      <c r="F70" s="9">
        <v>2.407</v>
      </c>
      <c r="I70" s="3">
        <f t="shared" ca="1" si="0"/>
        <v>3.2170000000000001</v>
      </c>
      <c r="J70" s="2">
        <f t="shared" ca="1" si="0"/>
        <v>2.972</v>
      </c>
      <c r="K70" s="2">
        <f t="shared" ca="1" si="0"/>
        <v>2.6739999999999999</v>
      </c>
      <c r="L70" s="2">
        <f t="shared" ca="1" si="0"/>
        <v>2.4319999999999999</v>
      </c>
      <c r="M70" s="2">
        <f t="shared" ca="1" si="0"/>
        <v>2.2669999999999999</v>
      </c>
      <c r="N70" s="2">
        <f t="shared" ca="1" si="0"/>
        <v>2.121</v>
      </c>
      <c r="O70" s="2">
        <f t="shared" ca="1" si="0"/>
        <v>2.0110000000000001</v>
      </c>
      <c r="P70" s="2">
        <f t="shared" ca="1" si="0"/>
        <v>1.944</v>
      </c>
      <c r="Q70" s="2">
        <f t="shared" ca="1" si="0"/>
        <v>1.931</v>
      </c>
      <c r="R70" s="2">
        <f t="shared" ca="1" si="0"/>
        <v>1.96</v>
      </c>
      <c r="S70" s="2">
        <f t="shared" ca="1" si="0"/>
        <v>2.048</v>
      </c>
      <c r="T70" s="2">
        <f t="shared" ca="1" si="0"/>
        <v>2.161</v>
      </c>
      <c r="U70" s="2">
        <f t="shared" ca="1" si="0"/>
        <v>2.302</v>
      </c>
      <c r="V70" s="2">
        <f t="shared" ca="1" si="0"/>
        <v>2.46</v>
      </c>
      <c r="W70" s="2">
        <f t="shared" ca="1" si="0"/>
        <v>2.6859999999999999</v>
      </c>
      <c r="X70" s="2">
        <f t="shared" ca="1" si="0"/>
        <v>2.9449999999999998</v>
      </c>
      <c r="Y70" s="3">
        <f t="shared" ca="1" si="0"/>
        <v>3.1389999999999998</v>
      </c>
    </row>
    <row r="71" spans="2:25" x14ac:dyDescent="0.3">
      <c r="B71" s="6">
        <v>68</v>
      </c>
      <c r="C71" s="9">
        <v>2.5609999999999999</v>
      </c>
      <c r="D71" s="9">
        <v>2.343</v>
      </c>
      <c r="E71" s="9">
        <v>2.3420000000000001</v>
      </c>
      <c r="F71" s="9">
        <v>2.2679999999999998</v>
      </c>
    </row>
    <row r="72" spans="2:25" x14ac:dyDescent="0.3">
      <c r="B72" s="6">
        <v>69</v>
      </c>
      <c r="C72" s="9">
        <v>2.2770000000000001</v>
      </c>
      <c r="D72" s="9">
        <v>2.09</v>
      </c>
      <c r="E72" s="9">
        <v>2.09</v>
      </c>
      <c r="F72" s="9">
        <v>2.028</v>
      </c>
      <c r="H72" t="s">
        <v>1</v>
      </c>
      <c r="I72" s="10">
        <f t="shared" ref="I72:Y84" ca="1" si="1">INDIRECT("D"&amp;(17*ROW(1:1)+ROW($D$3)-19+IF(COLUMN(C:C)&gt;19,50000,COLUMN(C:C)-1)))</f>
        <v>2.919</v>
      </c>
      <c r="J72" s="2">
        <f t="shared" ca="1" si="1"/>
        <v>2.6920000000000002</v>
      </c>
      <c r="K72" s="2">
        <f t="shared" ca="1" si="1"/>
        <v>2.4340000000000002</v>
      </c>
      <c r="L72" s="2">
        <f t="shared" ca="1" si="1"/>
        <v>2.218</v>
      </c>
      <c r="M72" s="2">
        <f t="shared" ca="1" si="1"/>
        <v>2.0760000000000001</v>
      </c>
      <c r="N72" s="2">
        <f t="shared" ca="1" si="1"/>
        <v>1.954</v>
      </c>
      <c r="O72" s="2">
        <f t="shared" ca="1" si="1"/>
        <v>1.8560000000000001</v>
      </c>
      <c r="P72" s="2">
        <f t="shared" ca="1" si="1"/>
        <v>1.7989999999999999</v>
      </c>
      <c r="Q72" s="2">
        <f t="shared" ca="1" si="1"/>
        <v>1.78</v>
      </c>
      <c r="R72" s="2">
        <f t="shared" ca="1" si="1"/>
        <v>1.802</v>
      </c>
      <c r="S72" s="2">
        <f t="shared" ca="1" si="1"/>
        <v>1.865</v>
      </c>
      <c r="T72" s="2">
        <f t="shared" ca="1" si="1"/>
        <v>1.9650000000000001</v>
      </c>
      <c r="U72" s="2">
        <f t="shared" ca="1" si="1"/>
        <v>2.0870000000000002</v>
      </c>
      <c r="V72" s="2">
        <f t="shared" ca="1" si="1"/>
        <v>2.238</v>
      </c>
      <c r="W72" s="2">
        <f t="shared" ca="1" si="1"/>
        <v>2.468</v>
      </c>
      <c r="X72" s="2">
        <f t="shared" ca="1" si="1"/>
        <v>2.7240000000000002</v>
      </c>
      <c r="Y72" s="10">
        <f t="shared" ca="1" si="1"/>
        <v>2.9390000000000001</v>
      </c>
    </row>
    <row r="73" spans="2:25" x14ac:dyDescent="0.3">
      <c r="B73" s="6">
        <v>70</v>
      </c>
      <c r="C73" s="9">
        <v>2.0219999999999998</v>
      </c>
      <c r="D73" s="9">
        <v>1.8680000000000001</v>
      </c>
      <c r="E73" s="9">
        <v>1.8680000000000001</v>
      </c>
      <c r="F73" s="9">
        <v>1.8160000000000001</v>
      </c>
      <c r="I73" s="2">
        <f t="shared" ca="1" si="1"/>
        <v>2.8220000000000001</v>
      </c>
      <c r="J73" s="2">
        <f t="shared" ca="1" si="1"/>
        <v>2.5019999999999998</v>
      </c>
      <c r="K73" s="2">
        <f t="shared" ca="1" si="1"/>
        <v>2.2320000000000002</v>
      </c>
      <c r="L73" s="2">
        <f t="shared" ca="1" si="1"/>
        <v>2.0510000000000002</v>
      </c>
      <c r="M73" s="2">
        <f t="shared" ca="1" si="1"/>
        <v>1.897</v>
      </c>
      <c r="N73" s="2">
        <f t="shared" ca="1" si="1"/>
        <v>1.768</v>
      </c>
      <c r="O73" s="2">
        <f t="shared" ca="1" si="1"/>
        <v>1.67</v>
      </c>
      <c r="P73" s="2">
        <f t="shared" ca="1" si="1"/>
        <v>1.609</v>
      </c>
      <c r="Q73" s="2">
        <f t="shared" ca="1" si="1"/>
        <v>1.59</v>
      </c>
      <c r="R73" s="2">
        <f t="shared" ca="1" si="1"/>
        <v>1.6120000000000001</v>
      </c>
      <c r="S73" s="2">
        <f t="shared" ca="1" si="1"/>
        <v>1.679</v>
      </c>
      <c r="T73" s="2">
        <f t="shared" ca="1" si="1"/>
        <v>1.782</v>
      </c>
      <c r="U73" s="2">
        <f t="shared" ca="1" si="1"/>
        <v>1.9179999999999999</v>
      </c>
      <c r="V73" s="2">
        <f t="shared" ca="1" si="1"/>
        <v>2.0760000000000001</v>
      </c>
      <c r="W73" s="2">
        <f t="shared" ca="1" si="1"/>
        <v>2.2679999999999998</v>
      </c>
      <c r="X73" s="2">
        <f t="shared" ca="1" si="1"/>
        <v>2.5390000000000001</v>
      </c>
      <c r="Y73" s="2">
        <f t="shared" ca="1" si="1"/>
        <v>2.8330000000000002</v>
      </c>
    </row>
    <row r="74" spans="2:25" x14ac:dyDescent="0.3">
      <c r="B74" s="6">
        <v>71</v>
      </c>
      <c r="C74" s="9">
        <v>1.778</v>
      </c>
      <c r="D74" s="9">
        <v>1.6619999999999999</v>
      </c>
      <c r="E74" s="9">
        <v>1.663</v>
      </c>
      <c r="F74" s="9">
        <v>1.617</v>
      </c>
      <c r="I74" s="2">
        <f t="shared" ca="1" si="1"/>
        <v>2.6539999999999999</v>
      </c>
      <c r="J74" s="2">
        <f t="shared" ca="1" si="1"/>
        <v>2.3159999999999998</v>
      </c>
      <c r="K74" s="2">
        <f t="shared" ca="1" si="1"/>
        <v>2.0779999999999998</v>
      </c>
      <c r="L74" s="2">
        <f t="shared" ca="1" si="1"/>
        <v>1.8919999999999999</v>
      </c>
      <c r="M74" s="2">
        <f t="shared" ca="1" si="1"/>
        <v>1.7250000000000001</v>
      </c>
      <c r="N74" s="2">
        <f t="shared" ca="1" si="1"/>
        <v>1.5860000000000001</v>
      </c>
      <c r="O74" s="2">
        <f t="shared" ca="1" si="1"/>
        <v>1.4770000000000001</v>
      </c>
      <c r="P74" s="2">
        <f t="shared" ca="1" si="1"/>
        <v>1.4119999999999999</v>
      </c>
      <c r="Q74" s="2">
        <f t="shared" ca="1" si="1"/>
        <v>1.393</v>
      </c>
      <c r="R74" s="2">
        <f t="shared" ca="1" si="1"/>
        <v>1.419</v>
      </c>
      <c r="S74" s="2">
        <f t="shared" ca="1" si="1"/>
        <v>1.4950000000000001</v>
      </c>
      <c r="T74" s="2">
        <f t="shared" ca="1" si="1"/>
        <v>1.607</v>
      </c>
      <c r="U74" s="2">
        <f t="shared" ca="1" si="1"/>
        <v>1.75</v>
      </c>
      <c r="V74" s="2">
        <f t="shared" ca="1" si="1"/>
        <v>1.923</v>
      </c>
      <c r="W74" s="2">
        <f t="shared" ca="1" si="1"/>
        <v>2.1110000000000002</v>
      </c>
      <c r="X74" s="2">
        <f t="shared" ca="1" si="1"/>
        <v>2.3460000000000001</v>
      </c>
      <c r="Y74" s="2">
        <f t="shared" ca="1" si="1"/>
        <v>2.67</v>
      </c>
    </row>
    <row r="75" spans="2:25" x14ac:dyDescent="0.3">
      <c r="B75" s="6">
        <v>72</v>
      </c>
      <c r="C75" s="9">
        <v>1.552</v>
      </c>
      <c r="D75" s="9">
        <v>1.4710000000000001</v>
      </c>
      <c r="E75" s="9">
        <v>1.472</v>
      </c>
      <c r="F75" s="9">
        <v>1.431</v>
      </c>
      <c r="I75" s="2">
        <f t="shared" ca="1" si="1"/>
        <v>2.4750000000000001</v>
      </c>
      <c r="J75" s="2">
        <f t="shared" ca="1" si="1"/>
        <v>2.1880000000000002</v>
      </c>
      <c r="K75" s="2">
        <f t="shared" ca="1" si="1"/>
        <v>1.964</v>
      </c>
      <c r="L75" s="2">
        <f t="shared" ca="1" si="1"/>
        <v>1.762</v>
      </c>
      <c r="M75" s="2">
        <f t="shared" ca="1" si="1"/>
        <v>1.5820000000000001</v>
      </c>
      <c r="N75" s="2">
        <f t="shared" ca="1" si="1"/>
        <v>1.4279999999999999</v>
      </c>
      <c r="O75" s="2">
        <f t="shared" ca="1" si="1"/>
        <v>1.3129999999999999</v>
      </c>
      <c r="P75" s="2">
        <f t="shared" ca="1" si="1"/>
        <v>1.2490000000000001</v>
      </c>
      <c r="Q75" s="2">
        <f t="shared" ca="1" si="1"/>
        <v>1.234</v>
      </c>
      <c r="R75" s="2">
        <f t="shared" ca="1" si="1"/>
        <v>1.2589999999999999</v>
      </c>
      <c r="S75" s="2">
        <f t="shared" ca="1" si="1"/>
        <v>1.333</v>
      </c>
      <c r="T75" s="2">
        <f t="shared" ca="1" si="1"/>
        <v>1.4530000000000001</v>
      </c>
      <c r="U75" s="2">
        <f t="shared" ca="1" si="1"/>
        <v>1.611</v>
      </c>
      <c r="V75" s="2">
        <f t="shared" ca="1" si="1"/>
        <v>1.7929999999999999</v>
      </c>
      <c r="W75" s="2">
        <f t="shared" ca="1" si="1"/>
        <v>1.994</v>
      </c>
      <c r="X75" s="2">
        <f t="shared" ca="1" si="1"/>
        <v>2.2120000000000002</v>
      </c>
      <c r="Y75" s="2">
        <f t="shared" ca="1" si="1"/>
        <v>2.4870000000000001</v>
      </c>
    </row>
    <row r="76" spans="2:25" x14ac:dyDescent="0.3">
      <c r="B76" s="6">
        <v>73</v>
      </c>
      <c r="C76" s="9">
        <v>1.3620000000000001</v>
      </c>
      <c r="D76" s="9">
        <v>1.3089999999999999</v>
      </c>
      <c r="E76" s="9">
        <v>1.31</v>
      </c>
      <c r="F76" s="9">
        <v>1.276</v>
      </c>
      <c r="I76" s="2">
        <f t="shared" ca="1" si="1"/>
        <v>2.343</v>
      </c>
      <c r="J76" s="2">
        <f t="shared" ca="1" si="1"/>
        <v>2.09</v>
      </c>
      <c r="K76" s="2">
        <f t="shared" ca="1" si="1"/>
        <v>1.8680000000000001</v>
      </c>
      <c r="L76" s="2">
        <f t="shared" ca="1" si="1"/>
        <v>1.6619999999999999</v>
      </c>
      <c r="M76" s="2">
        <f t="shared" ca="1" si="1"/>
        <v>1.4710000000000001</v>
      </c>
      <c r="N76" s="2">
        <f t="shared" ca="1" si="1"/>
        <v>1.3089999999999999</v>
      </c>
      <c r="O76" s="2">
        <f t="shared" ca="1" si="1"/>
        <v>1.1990000000000001</v>
      </c>
      <c r="P76" s="2">
        <f t="shared" ca="1" si="1"/>
        <v>1.1359999999999999</v>
      </c>
      <c r="Q76" s="2">
        <f t="shared" ca="1" si="1"/>
        <v>1.1180000000000001</v>
      </c>
      <c r="R76" s="2">
        <f t="shared" ca="1" si="1"/>
        <v>1.143</v>
      </c>
      <c r="S76" s="2">
        <f t="shared" ca="1" si="1"/>
        <v>1.2130000000000001</v>
      </c>
      <c r="T76" s="2">
        <f t="shared" ca="1" si="1"/>
        <v>1.3280000000000001</v>
      </c>
      <c r="U76" s="2">
        <f t="shared" ca="1" si="1"/>
        <v>1.494</v>
      </c>
      <c r="V76" s="2">
        <f t="shared" ca="1" si="1"/>
        <v>1.6890000000000001</v>
      </c>
      <c r="W76" s="2">
        <f t="shared" ca="1" si="1"/>
        <v>1.9019999999999999</v>
      </c>
      <c r="X76" s="2">
        <f t="shared" ca="1" si="1"/>
        <v>2.1269999999999998</v>
      </c>
      <c r="Y76" s="2">
        <f t="shared" ca="1" si="1"/>
        <v>2.375</v>
      </c>
    </row>
    <row r="77" spans="2:25" x14ac:dyDescent="0.3">
      <c r="B77" s="6">
        <v>74</v>
      </c>
      <c r="C77" s="9">
        <v>1.232</v>
      </c>
      <c r="D77" s="9">
        <v>1.1990000000000001</v>
      </c>
      <c r="E77" s="9">
        <v>1.1990000000000001</v>
      </c>
      <c r="F77" s="9">
        <v>1.171</v>
      </c>
      <c r="I77" s="2">
        <f t="shared" ca="1" si="1"/>
        <v>2.282</v>
      </c>
      <c r="J77" s="2">
        <f t="shared" ca="1" si="1"/>
        <v>2.0299999999999998</v>
      </c>
      <c r="K77" s="2">
        <f t="shared" ca="1" si="1"/>
        <v>1.8</v>
      </c>
      <c r="L77" s="2">
        <f t="shared" ca="1" si="1"/>
        <v>1.59</v>
      </c>
      <c r="M77" s="2">
        <f t="shared" ca="1" si="1"/>
        <v>1.395</v>
      </c>
      <c r="N77" s="2">
        <f t="shared" ca="1" si="1"/>
        <v>1.2390000000000001</v>
      </c>
      <c r="O77" s="2">
        <f t="shared" ca="1" si="1"/>
        <v>1.129</v>
      </c>
      <c r="P77" s="2">
        <f t="shared" ca="1" si="1"/>
        <v>1.0569999999999999</v>
      </c>
      <c r="Q77" s="2">
        <f t="shared" ca="1" si="1"/>
        <v>1.034</v>
      </c>
      <c r="R77" s="2">
        <f t="shared" ca="1" si="1"/>
        <v>1.0640000000000001</v>
      </c>
      <c r="S77" s="2">
        <f t="shared" ca="1" si="1"/>
        <v>1.141</v>
      </c>
      <c r="T77" s="2">
        <f t="shared" ca="1" si="1"/>
        <v>1.2529999999999999</v>
      </c>
      <c r="U77" s="2">
        <f t="shared" ca="1" si="1"/>
        <v>1.4119999999999999</v>
      </c>
      <c r="V77" s="2">
        <f t="shared" ca="1" si="1"/>
        <v>1.6140000000000001</v>
      </c>
      <c r="W77" s="2">
        <f t="shared" ca="1" si="1"/>
        <v>1.8340000000000001</v>
      </c>
      <c r="X77" s="2">
        <f t="shared" ca="1" si="1"/>
        <v>2.0710000000000002</v>
      </c>
      <c r="Y77" s="2">
        <f t="shared" ca="1" si="1"/>
        <v>2.319</v>
      </c>
    </row>
    <row r="78" spans="2:25" x14ac:dyDescent="0.3">
      <c r="B78" s="6">
        <v>75</v>
      </c>
      <c r="C78" s="9">
        <v>1.155</v>
      </c>
      <c r="D78" s="9">
        <v>1.1359999999999999</v>
      </c>
      <c r="E78" s="9">
        <v>1.135</v>
      </c>
      <c r="F78" s="9">
        <v>1.115</v>
      </c>
      <c r="I78" s="2">
        <f t="shared" ca="1" si="1"/>
        <v>2.2650000000000001</v>
      </c>
      <c r="J78" s="2">
        <f t="shared" ca="1" si="1"/>
        <v>2.0110000000000001</v>
      </c>
      <c r="K78" s="2">
        <f t="shared" ca="1" si="1"/>
        <v>1.776</v>
      </c>
      <c r="L78" s="2">
        <f t="shared" ca="1" si="1"/>
        <v>1.56</v>
      </c>
      <c r="M78" s="2">
        <f t="shared" ca="1" si="1"/>
        <v>1.36</v>
      </c>
      <c r="N78" s="2">
        <f t="shared" ca="1" si="1"/>
        <v>1.2070000000000001</v>
      </c>
      <c r="O78" s="2">
        <f t="shared" ca="1" si="1"/>
        <v>1.097</v>
      </c>
      <c r="P78" s="2">
        <f t="shared" ca="1" si="1"/>
        <v>1.0249999999999999</v>
      </c>
      <c r="Q78" s="2">
        <f t="shared" ca="1" si="1"/>
        <v>1.0049999999999999</v>
      </c>
      <c r="R78" s="2">
        <f t="shared" ca="1" si="1"/>
        <v>1.032</v>
      </c>
      <c r="S78" s="2">
        <f t="shared" ca="1" si="1"/>
        <v>1.115</v>
      </c>
      <c r="T78" s="2">
        <f t="shared" ca="1" si="1"/>
        <v>1.2270000000000001</v>
      </c>
      <c r="U78" s="2">
        <f t="shared" ca="1" si="1"/>
        <v>1.385</v>
      </c>
      <c r="V78" s="2">
        <f t="shared" ca="1" si="1"/>
        <v>1.5880000000000001</v>
      </c>
      <c r="W78" s="2">
        <f t="shared" ca="1" si="1"/>
        <v>1.8080000000000001</v>
      </c>
      <c r="X78" s="2">
        <f t="shared" ca="1" si="1"/>
        <v>2.0449999999999999</v>
      </c>
      <c r="Y78" s="2">
        <f t="shared" ca="1" si="1"/>
        <v>2.2909999999999999</v>
      </c>
    </row>
    <row r="79" spans="2:25" x14ac:dyDescent="0.3">
      <c r="B79" s="6">
        <v>76</v>
      </c>
      <c r="C79" s="9">
        <v>1.1299999999999999</v>
      </c>
      <c r="D79" s="9">
        <v>1.1180000000000001</v>
      </c>
      <c r="E79" s="9">
        <v>1.117</v>
      </c>
      <c r="F79" s="9">
        <v>1.1020000000000001</v>
      </c>
      <c r="I79" s="2">
        <f t="shared" ca="1" si="1"/>
        <v>2.29</v>
      </c>
      <c r="J79" s="2">
        <f t="shared" ca="1" si="1"/>
        <v>2.0329999999999999</v>
      </c>
      <c r="K79" s="2">
        <f t="shared" ca="1" si="1"/>
        <v>1.796</v>
      </c>
      <c r="L79" s="2">
        <f t="shared" ca="1" si="1"/>
        <v>1.58</v>
      </c>
      <c r="M79" s="2">
        <f t="shared" ca="1" si="1"/>
        <v>1.3819999999999999</v>
      </c>
      <c r="N79" s="2">
        <f t="shared" ca="1" si="1"/>
        <v>1.2250000000000001</v>
      </c>
      <c r="O79" s="2">
        <f t="shared" ca="1" si="1"/>
        <v>1.1140000000000001</v>
      </c>
      <c r="P79" s="2">
        <f t="shared" ca="1" si="1"/>
        <v>1.0429999999999999</v>
      </c>
      <c r="Q79" s="2">
        <f t="shared" ca="1" si="1"/>
        <v>1.0229999999999999</v>
      </c>
      <c r="R79" s="2">
        <f t="shared" ca="1" si="1"/>
        <v>1.0549999999999999</v>
      </c>
      <c r="S79" s="2">
        <f t="shared" ca="1" si="1"/>
        <v>1.137</v>
      </c>
      <c r="T79" s="2">
        <f t="shared" ca="1" si="1"/>
        <v>1.2509999999999999</v>
      </c>
      <c r="U79" s="2">
        <f t="shared" ca="1" si="1"/>
        <v>1.4119999999999999</v>
      </c>
      <c r="V79" s="2">
        <f t="shared" ca="1" si="1"/>
        <v>1.6140000000000001</v>
      </c>
      <c r="W79" s="2">
        <f t="shared" ca="1" si="1"/>
        <v>1.83</v>
      </c>
      <c r="X79" s="2">
        <f t="shared" ca="1" si="1"/>
        <v>2.0609999999999999</v>
      </c>
      <c r="Y79" s="2">
        <f t="shared" ca="1" si="1"/>
        <v>2.302</v>
      </c>
    </row>
    <row r="80" spans="2:25" x14ac:dyDescent="0.3">
      <c r="B80" s="6">
        <v>77</v>
      </c>
      <c r="C80" s="9">
        <v>1.161</v>
      </c>
      <c r="D80" s="9">
        <v>1.143</v>
      </c>
      <c r="E80" s="9">
        <v>1.1419999999999999</v>
      </c>
      <c r="F80" s="9">
        <v>1.123</v>
      </c>
      <c r="I80" s="2">
        <f t="shared" ca="1" si="1"/>
        <v>2.3490000000000002</v>
      </c>
      <c r="J80" s="2">
        <f t="shared" ca="1" si="1"/>
        <v>2.0950000000000002</v>
      </c>
      <c r="K80" s="2">
        <f t="shared" ca="1" si="1"/>
        <v>1.8660000000000001</v>
      </c>
      <c r="L80" s="2">
        <f t="shared" ca="1" si="1"/>
        <v>1.653</v>
      </c>
      <c r="M80" s="2">
        <f t="shared" ca="1" si="1"/>
        <v>1.458</v>
      </c>
      <c r="N80" s="2">
        <f t="shared" ca="1" si="1"/>
        <v>1.296</v>
      </c>
      <c r="O80" s="2">
        <f t="shared" ca="1" si="1"/>
        <v>1.1850000000000001</v>
      </c>
      <c r="P80" s="2">
        <f t="shared" ca="1" si="1"/>
        <v>1.1180000000000001</v>
      </c>
      <c r="Q80" s="2">
        <f t="shared" ca="1" si="1"/>
        <v>1.099</v>
      </c>
      <c r="R80" s="2">
        <f t="shared" ca="1" si="1"/>
        <v>1.1259999999999999</v>
      </c>
      <c r="S80" s="2">
        <f t="shared" ca="1" si="1"/>
        <v>1.1990000000000001</v>
      </c>
      <c r="T80" s="2">
        <f t="shared" ca="1" si="1"/>
        <v>1.3169999999999999</v>
      </c>
      <c r="U80" s="2">
        <f t="shared" ca="1" si="1"/>
        <v>1.4870000000000001</v>
      </c>
      <c r="V80" s="2">
        <f t="shared" ca="1" si="1"/>
        <v>1.6850000000000001</v>
      </c>
      <c r="W80" s="2">
        <f t="shared" ca="1" si="1"/>
        <v>1.899</v>
      </c>
      <c r="X80" s="2">
        <f t="shared" ca="1" si="1"/>
        <v>2.1259999999999999</v>
      </c>
      <c r="Y80" s="2">
        <f t="shared" ca="1" si="1"/>
        <v>2.375</v>
      </c>
    </row>
    <row r="81" spans="2:25" x14ac:dyDescent="0.3">
      <c r="B81" s="6">
        <v>78</v>
      </c>
      <c r="C81" s="9">
        <v>1.2430000000000001</v>
      </c>
      <c r="D81" s="9">
        <v>1.2130000000000001</v>
      </c>
      <c r="E81" s="9">
        <v>1.212</v>
      </c>
      <c r="F81" s="9">
        <v>1.1850000000000001</v>
      </c>
      <c r="I81" s="2">
        <f t="shared" ca="1" si="1"/>
        <v>2.4550000000000001</v>
      </c>
      <c r="J81" s="2">
        <f t="shared" ca="1" si="1"/>
        <v>2.1789999999999998</v>
      </c>
      <c r="K81" s="2">
        <f t="shared" ca="1" si="1"/>
        <v>1.958</v>
      </c>
      <c r="L81" s="2">
        <f t="shared" ca="1" si="1"/>
        <v>1.7569999999999999</v>
      </c>
      <c r="M81" s="2">
        <f t="shared" ca="1" si="1"/>
        <v>1.575</v>
      </c>
      <c r="N81" s="2">
        <f t="shared" ca="1" si="1"/>
        <v>1.417</v>
      </c>
      <c r="O81" s="2">
        <f t="shared" ca="1" si="1"/>
        <v>1.2989999999999999</v>
      </c>
      <c r="P81" s="2">
        <f t="shared" ca="1" si="1"/>
        <v>1.232</v>
      </c>
      <c r="Q81" s="2">
        <f t="shared" ca="1" si="1"/>
        <v>1.2110000000000001</v>
      </c>
      <c r="R81" s="2">
        <f t="shared" ca="1" si="1"/>
        <v>1.2350000000000001</v>
      </c>
      <c r="S81" s="2">
        <f t="shared" ca="1" si="1"/>
        <v>1.3069999999999999</v>
      </c>
      <c r="T81" s="2">
        <f t="shared" ca="1" si="1"/>
        <v>1.427</v>
      </c>
      <c r="U81" s="2">
        <f t="shared" ca="1" si="1"/>
        <v>1.5920000000000001</v>
      </c>
      <c r="V81" s="2">
        <f t="shared" ca="1" si="1"/>
        <v>1.7829999999999999</v>
      </c>
      <c r="W81" s="2">
        <f t="shared" ca="1" si="1"/>
        <v>1.9930000000000001</v>
      </c>
      <c r="X81" s="2">
        <f t="shared" ca="1" si="1"/>
        <v>2.2189999999999999</v>
      </c>
      <c r="Y81" s="2">
        <f t="shared" ca="1" si="1"/>
        <v>2.4990000000000001</v>
      </c>
    </row>
    <row r="82" spans="2:25" x14ac:dyDescent="0.3">
      <c r="B82" s="6">
        <v>79</v>
      </c>
      <c r="C82" s="9">
        <v>1.3759999999999999</v>
      </c>
      <c r="D82" s="9">
        <v>1.3280000000000001</v>
      </c>
      <c r="E82" s="9">
        <v>1.327</v>
      </c>
      <c r="F82" s="9">
        <v>1.2949999999999999</v>
      </c>
      <c r="I82" s="2">
        <f t="shared" ca="1" si="1"/>
        <v>2.637</v>
      </c>
      <c r="J82" s="2">
        <f t="shared" ca="1" si="1"/>
        <v>2.3109999999999999</v>
      </c>
      <c r="K82" s="2">
        <f t="shared" ca="1" si="1"/>
        <v>2.08</v>
      </c>
      <c r="L82" s="2">
        <f t="shared" ca="1" si="1"/>
        <v>1.889</v>
      </c>
      <c r="M82" s="2">
        <f t="shared" ca="1" si="1"/>
        <v>1.7170000000000001</v>
      </c>
      <c r="N82" s="2">
        <f t="shared" ca="1" si="1"/>
        <v>1.575</v>
      </c>
      <c r="O82" s="2">
        <f t="shared" ca="1" si="1"/>
        <v>1.464</v>
      </c>
      <c r="P82" s="2">
        <f t="shared" ca="1" si="1"/>
        <v>1.3939999999999999</v>
      </c>
      <c r="Q82" s="2">
        <f t="shared" ca="1" si="1"/>
        <v>1.371</v>
      </c>
      <c r="R82" s="2">
        <f t="shared" ca="1" si="1"/>
        <v>1.397</v>
      </c>
      <c r="S82" s="2">
        <f t="shared" ca="1" si="1"/>
        <v>1.4730000000000001</v>
      </c>
      <c r="T82" s="2">
        <f t="shared" ca="1" si="1"/>
        <v>1.59</v>
      </c>
      <c r="U82" s="2">
        <f t="shared" ca="1" si="1"/>
        <v>1.7370000000000001</v>
      </c>
      <c r="V82" s="2">
        <f t="shared" ca="1" si="1"/>
        <v>1.915</v>
      </c>
      <c r="W82" s="2">
        <f t="shared" ca="1" si="1"/>
        <v>2.1110000000000002</v>
      </c>
      <c r="X82" s="2">
        <f t="shared" ca="1" si="1"/>
        <v>2.35</v>
      </c>
      <c r="Y82" s="2">
        <f t="shared" ca="1" si="1"/>
        <v>2.6789999999999998</v>
      </c>
    </row>
    <row r="83" spans="2:25" x14ac:dyDescent="0.3">
      <c r="B83" s="6">
        <v>80</v>
      </c>
      <c r="C83" s="9">
        <v>1.5680000000000001</v>
      </c>
      <c r="D83" s="9">
        <v>1.494</v>
      </c>
      <c r="E83" s="9">
        <v>1.492</v>
      </c>
      <c r="F83" s="9">
        <v>1.4590000000000001</v>
      </c>
      <c r="I83" s="2">
        <f t="shared" ca="1" si="1"/>
        <v>2.835</v>
      </c>
      <c r="J83" s="2">
        <f t="shared" ca="1" si="1"/>
        <v>2.508</v>
      </c>
      <c r="K83" s="2">
        <f t="shared" ca="1" si="1"/>
        <v>2.2389999999999999</v>
      </c>
      <c r="L83" s="2">
        <f t="shared" ca="1" si="1"/>
        <v>2.0539999999999998</v>
      </c>
      <c r="M83" s="2">
        <f t="shared" ca="1" si="1"/>
        <v>1.893</v>
      </c>
      <c r="N83" s="2">
        <f t="shared" ca="1" si="1"/>
        <v>1.758</v>
      </c>
      <c r="O83" s="2">
        <f t="shared" ca="1" si="1"/>
        <v>1.659</v>
      </c>
      <c r="P83" s="2">
        <f t="shared" ca="1" si="1"/>
        <v>1.597</v>
      </c>
      <c r="Q83" s="2">
        <f t="shared" ca="1" si="1"/>
        <v>1.58</v>
      </c>
      <c r="R83" s="2">
        <f t="shared" ca="1" si="1"/>
        <v>1.607</v>
      </c>
      <c r="S83" s="2">
        <f t="shared" ca="1" si="1"/>
        <v>1.68</v>
      </c>
      <c r="T83" s="2">
        <f t="shared" ca="1" si="1"/>
        <v>1.784</v>
      </c>
      <c r="U83" s="2">
        <f t="shared" ca="1" si="1"/>
        <v>1.921</v>
      </c>
      <c r="V83" s="2">
        <f t="shared" ca="1" si="1"/>
        <v>2.081</v>
      </c>
      <c r="W83" s="2">
        <f t="shared" ca="1" si="1"/>
        <v>2.2610000000000001</v>
      </c>
      <c r="X83" s="2">
        <f t="shared" ca="1" si="1"/>
        <v>2.5299999999999998</v>
      </c>
      <c r="Y83" s="2">
        <f t="shared" ca="1" si="1"/>
        <v>2.8370000000000002</v>
      </c>
    </row>
    <row r="84" spans="2:25" x14ac:dyDescent="0.3">
      <c r="B84" s="6">
        <v>81</v>
      </c>
      <c r="C84" s="9">
        <v>1.796</v>
      </c>
      <c r="D84" s="9">
        <v>1.6890000000000001</v>
      </c>
      <c r="E84" s="9">
        <v>1.6870000000000001</v>
      </c>
      <c r="F84" s="9">
        <v>1.651</v>
      </c>
      <c r="I84" s="10">
        <f t="shared" ca="1" si="1"/>
        <v>2.9969999999999999</v>
      </c>
      <c r="J84" s="2">
        <f t="shared" ca="1" si="1"/>
        <v>2.7570000000000001</v>
      </c>
      <c r="K84" s="2">
        <f t="shared" ca="1" si="1"/>
        <v>2.48</v>
      </c>
      <c r="L84" s="2">
        <f t="shared" ca="1" si="1"/>
        <v>2.2589999999999999</v>
      </c>
      <c r="M84" s="2">
        <f t="shared" ca="1" si="1"/>
        <v>2.113</v>
      </c>
      <c r="N84" s="2">
        <f t="shared" ca="1" si="1"/>
        <v>1.9810000000000001</v>
      </c>
      <c r="O84" s="2">
        <f t="shared" ca="1" si="1"/>
        <v>1.8839999999999999</v>
      </c>
      <c r="P84" s="2">
        <f t="shared" ca="1" si="1"/>
        <v>1.8260000000000001</v>
      </c>
      <c r="Q84" s="2">
        <f t="shared" ca="1" si="1"/>
        <v>1.8140000000000001</v>
      </c>
      <c r="R84" s="2">
        <f t="shared" ca="1" si="1"/>
        <v>1.8420000000000001</v>
      </c>
      <c r="S84" s="2">
        <f t="shared" ca="1" si="1"/>
        <v>1.915</v>
      </c>
      <c r="T84" s="2">
        <f t="shared" ca="1" si="1"/>
        <v>2.0209999999999999</v>
      </c>
      <c r="U84" s="2">
        <f t="shared" ca="1" si="1"/>
        <v>2.149</v>
      </c>
      <c r="V84" s="2">
        <f t="shared" ca="1" si="1"/>
        <v>2.29</v>
      </c>
      <c r="W84" s="2">
        <f t="shared" ca="1" si="1"/>
        <v>2.4990000000000001</v>
      </c>
      <c r="X84" s="2">
        <f t="shared" ca="1" si="1"/>
        <v>2.742</v>
      </c>
      <c r="Y84" s="10">
        <f t="shared" ca="1" si="1"/>
        <v>2.9289999999999998</v>
      </c>
    </row>
    <row r="85" spans="2:25" x14ac:dyDescent="0.3">
      <c r="B85" s="6">
        <v>82</v>
      </c>
      <c r="C85" s="9">
        <v>2.0430000000000001</v>
      </c>
      <c r="D85" s="9">
        <v>1.9019999999999999</v>
      </c>
      <c r="E85" s="9">
        <v>1.9</v>
      </c>
      <c r="F85" s="9">
        <v>1.8580000000000001</v>
      </c>
    </row>
    <row r="86" spans="2:25" x14ac:dyDescent="0.3">
      <c r="B86" s="6">
        <v>83</v>
      </c>
      <c r="C86" s="9">
        <v>2.2970000000000002</v>
      </c>
      <c r="D86" s="9">
        <v>2.1269999999999998</v>
      </c>
      <c r="E86" s="9">
        <v>2.1240000000000001</v>
      </c>
      <c r="F86" s="9">
        <v>2.0739999999999998</v>
      </c>
      <c r="H86" t="s">
        <v>2</v>
      </c>
      <c r="I86" s="11">
        <f t="shared" ref="I86:Y98" ca="1" si="2">INDIRECT("E"&amp;(17*ROW(1:1)+ROW($E$3)-19+IF(COLUMN(C:C)&gt;19,50000,COLUMN(C:C)-1)))</f>
        <v>2.9169999999999998</v>
      </c>
      <c r="J86" s="2">
        <f t="shared" ca="1" si="2"/>
        <v>2.694</v>
      </c>
      <c r="K86" s="2">
        <f t="shared" ca="1" si="2"/>
        <v>2.4359999999999999</v>
      </c>
      <c r="L86" s="2">
        <f t="shared" ca="1" si="2"/>
        <v>2.2210000000000001</v>
      </c>
      <c r="M86" s="2">
        <f t="shared" ca="1" si="2"/>
        <v>2.0790000000000002</v>
      </c>
      <c r="N86" s="2">
        <f t="shared" ca="1" si="2"/>
        <v>1.9570000000000001</v>
      </c>
      <c r="O86" s="2">
        <f t="shared" ca="1" si="2"/>
        <v>1.859</v>
      </c>
      <c r="P86" s="2">
        <f t="shared" ca="1" si="2"/>
        <v>1.802</v>
      </c>
      <c r="Q86" s="2">
        <f t="shared" ca="1" si="2"/>
        <v>1.7829999999999999</v>
      </c>
      <c r="R86" s="2">
        <f t="shared" ca="1" si="2"/>
        <v>1.8049999999999999</v>
      </c>
      <c r="S86" s="2">
        <f t="shared" ca="1" si="2"/>
        <v>1.8680000000000001</v>
      </c>
      <c r="T86" s="2">
        <f t="shared" ca="1" si="2"/>
        <v>1.9670000000000001</v>
      </c>
      <c r="U86" s="2">
        <f t="shared" ca="1" si="2"/>
        <v>2.089</v>
      </c>
      <c r="V86" s="2">
        <f t="shared" ca="1" si="2"/>
        <v>2.2389999999999999</v>
      </c>
      <c r="W86" s="2">
        <f t="shared" ca="1" si="2"/>
        <v>2.468</v>
      </c>
      <c r="X86" s="2">
        <f t="shared" ca="1" si="2"/>
        <v>2.7229999999999999</v>
      </c>
      <c r="Y86" s="11">
        <f t="shared" ca="1" si="2"/>
        <v>2.9359999999999999</v>
      </c>
    </row>
    <row r="87" spans="2:25" x14ac:dyDescent="0.3">
      <c r="B87" s="6">
        <v>84</v>
      </c>
      <c r="C87" s="9">
        <v>2.5640000000000001</v>
      </c>
      <c r="D87" s="9">
        <v>2.375</v>
      </c>
      <c r="E87" s="9">
        <v>2.37</v>
      </c>
      <c r="F87" s="9">
        <v>2.3090000000000002</v>
      </c>
      <c r="I87" s="2">
        <f t="shared" ca="1" si="2"/>
        <v>2.8220000000000001</v>
      </c>
      <c r="J87" s="2">
        <f t="shared" ca="1" si="2"/>
        <v>2.5030000000000001</v>
      </c>
      <c r="K87" s="2">
        <f t="shared" ca="1" si="2"/>
        <v>2.2330000000000001</v>
      </c>
      <c r="L87" s="2">
        <f t="shared" ca="1" si="2"/>
        <v>2.0529999999999999</v>
      </c>
      <c r="M87" s="2">
        <f t="shared" ca="1" si="2"/>
        <v>1.899</v>
      </c>
      <c r="N87" s="2">
        <f t="shared" ca="1" si="2"/>
        <v>1.77</v>
      </c>
      <c r="O87" s="2">
        <f t="shared" ca="1" si="2"/>
        <v>1.6719999999999999</v>
      </c>
      <c r="P87" s="2">
        <f t="shared" ca="1" si="2"/>
        <v>1.61</v>
      </c>
      <c r="Q87" s="2">
        <f t="shared" ca="1" si="2"/>
        <v>1.591</v>
      </c>
      <c r="R87" s="2">
        <f t="shared" ca="1" si="2"/>
        <v>1.613</v>
      </c>
      <c r="S87" s="2">
        <f t="shared" ca="1" si="2"/>
        <v>1.68</v>
      </c>
      <c r="T87" s="2">
        <f t="shared" ca="1" si="2"/>
        <v>1.7829999999999999</v>
      </c>
      <c r="U87" s="2">
        <f t="shared" ca="1" si="2"/>
        <v>1.9179999999999999</v>
      </c>
      <c r="V87" s="2">
        <f t="shared" ca="1" si="2"/>
        <v>2.0750000000000002</v>
      </c>
      <c r="W87" s="2">
        <f t="shared" ca="1" si="2"/>
        <v>2.266</v>
      </c>
      <c r="X87" s="2">
        <f t="shared" ca="1" si="2"/>
        <v>2.5369999999999999</v>
      </c>
      <c r="Y87" s="2">
        <f t="shared" ca="1" si="2"/>
        <v>2.8290000000000002</v>
      </c>
    </row>
    <row r="88" spans="2:25" x14ac:dyDescent="0.3">
      <c r="B88" s="6">
        <v>85</v>
      </c>
      <c r="C88" s="9">
        <v>2.4910000000000001</v>
      </c>
      <c r="D88" s="9">
        <v>2.282</v>
      </c>
      <c r="E88" s="9">
        <v>2.2799999999999998</v>
      </c>
      <c r="F88" s="9">
        <v>2.206</v>
      </c>
      <c r="I88" s="2">
        <f t="shared" ca="1" si="2"/>
        <v>2.6539999999999999</v>
      </c>
      <c r="J88" s="2">
        <f t="shared" ca="1" si="2"/>
        <v>2.3159999999999998</v>
      </c>
      <c r="K88" s="2">
        <f t="shared" ca="1" si="2"/>
        <v>2.0790000000000002</v>
      </c>
      <c r="L88" s="2">
        <f t="shared" ca="1" si="2"/>
        <v>1.893</v>
      </c>
      <c r="M88" s="2">
        <f t="shared" ca="1" si="2"/>
        <v>1.726</v>
      </c>
      <c r="N88" s="2">
        <f t="shared" ca="1" si="2"/>
        <v>1.587</v>
      </c>
      <c r="O88" s="2">
        <f t="shared" ca="1" si="2"/>
        <v>1.478</v>
      </c>
      <c r="P88" s="2">
        <f t="shared" ca="1" si="2"/>
        <v>1.4119999999999999</v>
      </c>
      <c r="Q88" s="2">
        <f t="shared" ca="1" si="2"/>
        <v>1.393</v>
      </c>
      <c r="R88" s="2">
        <f t="shared" ca="1" si="2"/>
        <v>1.419</v>
      </c>
      <c r="S88" s="2">
        <f t="shared" ca="1" si="2"/>
        <v>1.4950000000000001</v>
      </c>
      <c r="T88" s="2">
        <f t="shared" ca="1" si="2"/>
        <v>1.607</v>
      </c>
      <c r="U88" s="2">
        <f t="shared" ca="1" si="2"/>
        <v>1.75</v>
      </c>
      <c r="V88" s="2">
        <f t="shared" ca="1" si="2"/>
        <v>1.9219999999999999</v>
      </c>
      <c r="W88" s="2">
        <f t="shared" ca="1" si="2"/>
        <v>2.109</v>
      </c>
      <c r="X88" s="2">
        <f t="shared" ca="1" si="2"/>
        <v>2.3420000000000001</v>
      </c>
      <c r="Y88" s="2">
        <f t="shared" ca="1" si="2"/>
        <v>2.665</v>
      </c>
    </row>
    <row r="89" spans="2:25" x14ac:dyDescent="0.3">
      <c r="B89" s="6">
        <v>86</v>
      </c>
      <c r="C89" s="9">
        <v>2.21</v>
      </c>
      <c r="D89" s="9">
        <v>2.0299999999999998</v>
      </c>
      <c r="E89" s="9">
        <v>2.0299999999999998</v>
      </c>
      <c r="F89" s="9">
        <v>1.97</v>
      </c>
      <c r="I89" s="2">
        <f t="shared" ca="1" si="2"/>
        <v>2.4750000000000001</v>
      </c>
      <c r="J89" s="2">
        <f t="shared" ca="1" si="2"/>
        <v>2.1880000000000002</v>
      </c>
      <c r="K89" s="2">
        <f t="shared" ca="1" si="2"/>
        <v>1.964</v>
      </c>
      <c r="L89" s="2">
        <f t="shared" ca="1" si="2"/>
        <v>1.762</v>
      </c>
      <c r="M89" s="2">
        <f t="shared" ca="1" si="2"/>
        <v>1.583</v>
      </c>
      <c r="N89" s="2">
        <f t="shared" ca="1" si="2"/>
        <v>1.429</v>
      </c>
      <c r="O89" s="2">
        <f t="shared" ca="1" si="2"/>
        <v>1.3129999999999999</v>
      </c>
      <c r="P89" s="2">
        <f t="shared" ca="1" si="2"/>
        <v>1.2490000000000001</v>
      </c>
      <c r="Q89" s="2">
        <f t="shared" ca="1" si="2"/>
        <v>1.2330000000000001</v>
      </c>
      <c r="R89" s="2">
        <f t="shared" ca="1" si="2"/>
        <v>1.258</v>
      </c>
      <c r="S89" s="2">
        <f t="shared" ca="1" si="2"/>
        <v>1.333</v>
      </c>
      <c r="T89" s="2">
        <f t="shared" ca="1" si="2"/>
        <v>1.4530000000000001</v>
      </c>
      <c r="U89" s="2">
        <f t="shared" ca="1" si="2"/>
        <v>1.609</v>
      </c>
      <c r="V89" s="2">
        <f t="shared" ca="1" si="2"/>
        <v>1.7909999999999999</v>
      </c>
      <c r="W89" s="2">
        <f t="shared" ca="1" si="2"/>
        <v>1.9910000000000001</v>
      </c>
      <c r="X89" s="2">
        <f t="shared" ca="1" si="2"/>
        <v>2.2080000000000002</v>
      </c>
      <c r="Y89" s="2">
        <f t="shared" ca="1" si="2"/>
        <v>2.4809999999999999</v>
      </c>
    </row>
    <row r="90" spans="2:25" x14ac:dyDescent="0.3">
      <c r="B90" s="6">
        <v>87</v>
      </c>
      <c r="C90" s="9">
        <v>1.9410000000000001</v>
      </c>
      <c r="D90" s="9">
        <v>1.8</v>
      </c>
      <c r="E90" s="9">
        <v>1.8</v>
      </c>
      <c r="F90" s="9">
        <v>1.752</v>
      </c>
      <c r="I90" s="2">
        <f t="shared" ca="1" si="2"/>
        <v>2.3420000000000001</v>
      </c>
      <c r="J90" s="2">
        <f t="shared" ca="1" si="2"/>
        <v>2.09</v>
      </c>
      <c r="K90" s="2">
        <f t="shared" ca="1" si="2"/>
        <v>1.8680000000000001</v>
      </c>
      <c r="L90" s="2">
        <f t="shared" ca="1" si="2"/>
        <v>1.663</v>
      </c>
      <c r="M90" s="2">
        <f t="shared" ca="1" si="2"/>
        <v>1.472</v>
      </c>
      <c r="N90" s="2">
        <f t="shared" ca="1" si="2"/>
        <v>1.31</v>
      </c>
      <c r="O90" s="2">
        <f t="shared" ca="1" si="2"/>
        <v>1.1990000000000001</v>
      </c>
      <c r="P90" s="2">
        <f t="shared" ca="1" si="2"/>
        <v>1.135</v>
      </c>
      <c r="Q90" s="2">
        <f t="shared" ca="1" si="2"/>
        <v>1.117</v>
      </c>
      <c r="R90" s="2">
        <f t="shared" ca="1" si="2"/>
        <v>1.1419999999999999</v>
      </c>
      <c r="S90" s="2">
        <f t="shared" ca="1" si="2"/>
        <v>1.212</v>
      </c>
      <c r="T90" s="2">
        <f t="shared" ca="1" si="2"/>
        <v>1.327</v>
      </c>
      <c r="U90" s="2">
        <f t="shared" ca="1" si="2"/>
        <v>1.492</v>
      </c>
      <c r="V90" s="2">
        <f t="shared" ca="1" si="2"/>
        <v>1.6870000000000001</v>
      </c>
      <c r="W90" s="2">
        <f t="shared" ca="1" si="2"/>
        <v>1.9</v>
      </c>
      <c r="X90" s="2">
        <f t="shared" ca="1" si="2"/>
        <v>2.1240000000000001</v>
      </c>
      <c r="Y90" s="2">
        <f t="shared" ca="1" si="2"/>
        <v>2.37</v>
      </c>
    </row>
    <row r="91" spans="2:25" x14ac:dyDescent="0.3">
      <c r="B91" s="6">
        <v>88</v>
      </c>
      <c r="C91" s="9">
        <v>1.6910000000000001</v>
      </c>
      <c r="D91" s="9">
        <v>1.59</v>
      </c>
      <c r="E91" s="9">
        <v>1.59</v>
      </c>
      <c r="F91" s="9">
        <v>1.5489999999999999</v>
      </c>
      <c r="I91" s="2">
        <f t="shared" ca="1" si="2"/>
        <v>2.2799999999999998</v>
      </c>
      <c r="J91" s="2">
        <f t="shared" ca="1" si="2"/>
        <v>2.0299999999999998</v>
      </c>
      <c r="K91" s="2">
        <f t="shared" ca="1" si="2"/>
        <v>1.8</v>
      </c>
      <c r="L91" s="2">
        <f t="shared" ca="1" si="2"/>
        <v>1.59</v>
      </c>
      <c r="M91" s="2">
        <f t="shared" ca="1" si="2"/>
        <v>1.395</v>
      </c>
      <c r="N91" s="2">
        <f t="shared" ca="1" si="2"/>
        <v>1.24</v>
      </c>
      <c r="O91" s="2">
        <f t="shared" ca="1" si="2"/>
        <v>1.1299999999999999</v>
      </c>
      <c r="P91" s="2">
        <f t="shared" ca="1" si="2"/>
        <v>1.0569999999999999</v>
      </c>
      <c r="Q91" s="2">
        <f t="shared" ca="1" si="2"/>
        <v>1.0329999999999999</v>
      </c>
      <c r="R91" s="2">
        <f t="shared" ca="1" si="2"/>
        <v>1.0640000000000001</v>
      </c>
      <c r="S91" s="2">
        <f t="shared" ca="1" si="2"/>
        <v>1.141</v>
      </c>
      <c r="T91" s="2">
        <f t="shared" ca="1" si="2"/>
        <v>1.252</v>
      </c>
      <c r="U91" s="2">
        <f t="shared" ca="1" si="2"/>
        <v>1.411</v>
      </c>
      <c r="V91" s="2">
        <f t="shared" ca="1" si="2"/>
        <v>1.613</v>
      </c>
      <c r="W91" s="2">
        <f t="shared" ca="1" si="2"/>
        <v>1.8320000000000001</v>
      </c>
      <c r="X91" s="2">
        <f t="shared" ca="1" si="2"/>
        <v>2.0670000000000002</v>
      </c>
      <c r="Y91" s="2">
        <f t="shared" ca="1" si="2"/>
        <v>2.3140000000000001</v>
      </c>
    </row>
    <row r="92" spans="2:25" x14ac:dyDescent="0.3">
      <c r="B92" s="6">
        <v>89</v>
      </c>
      <c r="C92" s="9">
        <v>1.46</v>
      </c>
      <c r="D92" s="9">
        <v>1.395</v>
      </c>
      <c r="E92" s="9">
        <v>1.395</v>
      </c>
      <c r="F92" s="9">
        <v>1.3620000000000001</v>
      </c>
      <c r="I92" s="2">
        <f t="shared" ca="1" si="2"/>
        <v>2.2629999999999999</v>
      </c>
      <c r="J92" s="2">
        <f t="shared" ca="1" si="2"/>
        <v>2.0110000000000001</v>
      </c>
      <c r="K92" s="2">
        <f t="shared" ca="1" si="2"/>
        <v>1.776</v>
      </c>
      <c r="L92" s="2">
        <f t="shared" ca="1" si="2"/>
        <v>1.5609999999999999</v>
      </c>
      <c r="M92" s="2">
        <f t="shared" ca="1" si="2"/>
        <v>1.361</v>
      </c>
      <c r="N92" s="2">
        <f t="shared" ca="1" si="2"/>
        <v>1.208</v>
      </c>
      <c r="O92" s="2">
        <f t="shared" ca="1" si="2"/>
        <v>1.097</v>
      </c>
      <c r="P92" s="2">
        <f t="shared" ca="1" si="2"/>
        <v>1.0249999999999999</v>
      </c>
      <c r="Q92" s="2">
        <f t="shared" ca="1" si="2"/>
        <v>1.004</v>
      </c>
      <c r="R92" s="2">
        <f t="shared" ca="1" si="2"/>
        <v>1.032</v>
      </c>
      <c r="S92" s="2">
        <f t="shared" ca="1" si="2"/>
        <v>1.1140000000000001</v>
      </c>
      <c r="T92" s="2">
        <f t="shared" ca="1" si="2"/>
        <v>1.226</v>
      </c>
      <c r="U92" s="2">
        <f t="shared" ca="1" si="2"/>
        <v>1.3839999999999999</v>
      </c>
      <c r="V92" s="2">
        <f t="shared" ca="1" si="2"/>
        <v>1.5860000000000001</v>
      </c>
      <c r="W92" s="2">
        <f t="shared" ca="1" si="2"/>
        <v>1.806</v>
      </c>
      <c r="X92" s="2">
        <f t="shared" ca="1" si="2"/>
        <v>2.0409999999999999</v>
      </c>
      <c r="Y92" s="2">
        <f t="shared" ca="1" si="2"/>
        <v>2.2850000000000001</v>
      </c>
    </row>
    <row r="93" spans="2:25" x14ac:dyDescent="0.3">
      <c r="B93" s="6">
        <v>90</v>
      </c>
      <c r="C93" s="9">
        <v>1.2789999999999999</v>
      </c>
      <c r="D93" s="9">
        <v>1.2390000000000001</v>
      </c>
      <c r="E93" s="9">
        <v>1.24</v>
      </c>
      <c r="F93" s="9">
        <v>1.214</v>
      </c>
      <c r="I93" s="2">
        <f t="shared" ca="1" si="2"/>
        <v>2.2879999999999998</v>
      </c>
      <c r="J93" s="2">
        <f t="shared" ca="1" si="2"/>
        <v>2.0310000000000001</v>
      </c>
      <c r="K93" s="2">
        <f t="shared" ca="1" si="2"/>
        <v>1.7949999999999999</v>
      </c>
      <c r="L93" s="2">
        <f t="shared" ca="1" si="2"/>
        <v>1.58</v>
      </c>
      <c r="M93" s="2">
        <f t="shared" ca="1" si="2"/>
        <v>1.3819999999999999</v>
      </c>
      <c r="N93" s="2">
        <f t="shared" ca="1" si="2"/>
        <v>1.2250000000000001</v>
      </c>
      <c r="O93" s="2">
        <f t="shared" ca="1" si="2"/>
        <v>1.1140000000000001</v>
      </c>
      <c r="P93" s="2">
        <f t="shared" ca="1" si="2"/>
        <v>1.0429999999999999</v>
      </c>
      <c r="Q93" s="2">
        <f t="shared" ca="1" si="2"/>
        <v>1.022</v>
      </c>
      <c r="R93" s="2">
        <f t="shared" ca="1" si="2"/>
        <v>1.054</v>
      </c>
      <c r="S93" s="2">
        <f t="shared" ca="1" si="2"/>
        <v>1.1359999999999999</v>
      </c>
      <c r="T93" s="2">
        <f t="shared" ca="1" si="2"/>
        <v>1.25</v>
      </c>
      <c r="U93" s="2">
        <f t="shared" ca="1" si="2"/>
        <v>1.41</v>
      </c>
      <c r="V93" s="2">
        <f t="shared" ca="1" si="2"/>
        <v>1.6120000000000001</v>
      </c>
      <c r="W93" s="2">
        <f t="shared" ca="1" si="2"/>
        <v>1.827</v>
      </c>
      <c r="X93" s="2">
        <f t="shared" ca="1" si="2"/>
        <v>2.056</v>
      </c>
      <c r="Y93" s="2">
        <f t="shared" ca="1" si="2"/>
        <v>2.2959999999999998</v>
      </c>
    </row>
    <row r="94" spans="2:25" x14ac:dyDescent="0.3">
      <c r="B94" s="6">
        <v>91</v>
      </c>
      <c r="C94" s="9">
        <v>1.151</v>
      </c>
      <c r="D94" s="9">
        <v>1.129</v>
      </c>
      <c r="E94" s="9">
        <v>1.1299999999999999</v>
      </c>
      <c r="F94" s="9">
        <v>1.111</v>
      </c>
      <c r="I94" s="2">
        <f t="shared" ca="1" si="2"/>
        <v>2.3450000000000002</v>
      </c>
      <c r="J94" s="2">
        <f t="shared" ca="1" si="2"/>
        <v>2.0920000000000001</v>
      </c>
      <c r="K94" s="2">
        <f t="shared" ca="1" si="2"/>
        <v>1.865</v>
      </c>
      <c r="L94" s="2">
        <f t="shared" ca="1" si="2"/>
        <v>1.6519999999999999</v>
      </c>
      <c r="M94" s="2">
        <f t="shared" ca="1" si="2"/>
        <v>1.4570000000000001</v>
      </c>
      <c r="N94" s="2">
        <f t="shared" ca="1" si="2"/>
        <v>1.2949999999999999</v>
      </c>
      <c r="O94" s="2">
        <f t="shared" ca="1" si="2"/>
        <v>1.1839999999999999</v>
      </c>
      <c r="P94" s="2">
        <f t="shared" ca="1" si="2"/>
        <v>1.117</v>
      </c>
      <c r="Q94" s="2">
        <f t="shared" ca="1" si="2"/>
        <v>1.097</v>
      </c>
      <c r="R94" s="2">
        <f t="shared" ca="1" si="2"/>
        <v>1.1240000000000001</v>
      </c>
      <c r="S94" s="2">
        <f t="shared" ca="1" si="2"/>
        <v>1.1970000000000001</v>
      </c>
      <c r="T94" s="2">
        <f t="shared" ca="1" si="2"/>
        <v>1.3149999999999999</v>
      </c>
      <c r="U94" s="2">
        <f t="shared" ca="1" si="2"/>
        <v>1.484</v>
      </c>
      <c r="V94" s="2">
        <f t="shared" ca="1" si="2"/>
        <v>1.6819999999999999</v>
      </c>
      <c r="W94" s="2">
        <f t="shared" ca="1" si="2"/>
        <v>1.895</v>
      </c>
      <c r="X94" s="2">
        <f t="shared" ca="1" si="2"/>
        <v>2.121</v>
      </c>
      <c r="Y94" s="2">
        <f t="shared" ca="1" si="2"/>
        <v>2.3679999999999999</v>
      </c>
    </row>
    <row r="95" spans="2:25" x14ac:dyDescent="0.3">
      <c r="B95" s="6">
        <v>92</v>
      </c>
      <c r="C95" s="9">
        <v>1.0669999999999999</v>
      </c>
      <c r="D95" s="9">
        <v>1.0569999999999999</v>
      </c>
      <c r="E95" s="9">
        <v>1.0569999999999999</v>
      </c>
      <c r="F95" s="9">
        <v>1.048</v>
      </c>
      <c r="I95" s="2">
        <f t="shared" ca="1" si="2"/>
        <v>2.4500000000000002</v>
      </c>
      <c r="J95" s="2">
        <f t="shared" ca="1" si="2"/>
        <v>2.1749999999999998</v>
      </c>
      <c r="K95" s="2">
        <f t="shared" ca="1" si="2"/>
        <v>1.956</v>
      </c>
      <c r="L95" s="2">
        <f t="shared" ca="1" si="2"/>
        <v>1.7549999999999999</v>
      </c>
      <c r="M95" s="2">
        <f t="shared" ca="1" si="2"/>
        <v>1.573</v>
      </c>
      <c r="N95" s="2">
        <f t="shared" ca="1" si="2"/>
        <v>1.415</v>
      </c>
      <c r="O95" s="2">
        <f t="shared" ca="1" si="2"/>
        <v>1.2969999999999999</v>
      </c>
      <c r="P95" s="2">
        <f t="shared" ca="1" si="2"/>
        <v>1.2290000000000001</v>
      </c>
      <c r="Q95" s="2">
        <f t="shared" ca="1" si="2"/>
        <v>1.208</v>
      </c>
      <c r="R95" s="2">
        <f t="shared" ca="1" si="2"/>
        <v>1.232</v>
      </c>
      <c r="S95" s="2">
        <f t="shared" ca="1" si="2"/>
        <v>1.304</v>
      </c>
      <c r="T95" s="2">
        <f t="shared" ca="1" si="2"/>
        <v>1.4239999999999999</v>
      </c>
      <c r="U95" s="2">
        <f t="shared" ca="1" si="2"/>
        <v>1.589</v>
      </c>
      <c r="V95" s="2">
        <f t="shared" ca="1" si="2"/>
        <v>1.7789999999999999</v>
      </c>
      <c r="W95" s="2">
        <f t="shared" ca="1" si="2"/>
        <v>1.9890000000000001</v>
      </c>
      <c r="X95" s="2">
        <f t="shared" ca="1" si="2"/>
        <v>2.2130000000000001</v>
      </c>
      <c r="Y95" s="2">
        <f t="shared" ca="1" si="2"/>
        <v>2.4910000000000001</v>
      </c>
    </row>
    <row r="96" spans="2:25" x14ac:dyDescent="0.3">
      <c r="B96" s="6">
        <v>93</v>
      </c>
      <c r="C96" s="9">
        <v>1.038</v>
      </c>
      <c r="D96" s="9">
        <v>1.034</v>
      </c>
      <c r="E96" s="9">
        <v>1.0329999999999999</v>
      </c>
      <c r="F96" s="9">
        <v>1.028</v>
      </c>
      <c r="I96" s="2">
        <f t="shared" ca="1" si="2"/>
        <v>2.633</v>
      </c>
      <c r="J96" s="2">
        <f t="shared" ca="1" si="2"/>
        <v>2.3079999999999998</v>
      </c>
      <c r="K96" s="2">
        <f t="shared" ca="1" si="2"/>
        <v>2.077</v>
      </c>
      <c r="L96" s="2">
        <f t="shared" ca="1" si="2"/>
        <v>1.8859999999999999</v>
      </c>
      <c r="M96" s="2">
        <f t="shared" ca="1" si="2"/>
        <v>1.716</v>
      </c>
      <c r="N96" s="2">
        <f t="shared" ca="1" si="2"/>
        <v>1.5740000000000001</v>
      </c>
      <c r="O96" s="2">
        <f t="shared" ca="1" si="2"/>
        <v>1.462</v>
      </c>
      <c r="P96" s="2">
        <f t="shared" ca="1" si="2"/>
        <v>1.391</v>
      </c>
      <c r="Q96" s="2">
        <f t="shared" ca="1" si="2"/>
        <v>1.3680000000000001</v>
      </c>
      <c r="R96" s="2">
        <f t="shared" ca="1" si="2"/>
        <v>1.3939999999999999</v>
      </c>
      <c r="S96" s="2">
        <f t="shared" ca="1" si="2"/>
        <v>1.47</v>
      </c>
      <c r="T96" s="2">
        <f t="shared" ca="1" si="2"/>
        <v>1.587</v>
      </c>
      <c r="U96" s="2">
        <f t="shared" ca="1" si="2"/>
        <v>1.7330000000000001</v>
      </c>
      <c r="V96" s="2">
        <f t="shared" ca="1" si="2"/>
        <v>1.911</v>
      </c>
      <c r="W96" s="2">
        <f t="shared" ca="1" si="2"/>
        <v>2.105</v>
      </c>
      <c r="X96" s="2">
        <f t="shared" ca="1" si="2"/>
        <v>2.3439999999999999</v>
      </c>
      <c r="Y96" s="2">
        <f t="shared" ca="1" si="2"/>
        <v>2.67</v>
      </c>
    </row>
    <row r="97" spans="2:25" x14ac:dyDescent="0.3">
      <c r="B97" s="6">
        <v>94</v>
      </c>
      <c r="C97" s="9">
        <v>1.073</v>
      </c>
      <c r="D97" s="9">
        <v>1.0640000000000001</v>
      </c>
      <c r="E97" s="9">
        <v>1.0640000000000001</v>
      </c>
      <c r="F97" s="9">
        <v>1.054</v>
      </c>
      <c r="I97" s="2">
        <f t="shared" ca="1" si="2"/>
        <v>2.83</v>
      </c>
      <c r="J97" s="2">
        <f t="shared" ca="1" si="2"/>
        <v>2.5049999999999999</v>
      </c>
      <c r="K97" s="2">
        <f t="shared" ca="1" si="2"/>
        <v>2.2360000000000002</v>
      </c>
      <c r="L97" s="2">
        <f t="shared" ca="1" si="2"/>
        <v>2.052</v>
      </c>
      <c r="M97" s="2">
        <f t="shared" ca="1" si="2"/>
        <v>1.8919999999999999</v>
      </c>
      <c r="N97" s="2">
        <f t="shared" ca="1" si="2"/>
        <v>1.756</v>
      </c>
      <c r="O97" s="2">
        <f t="shared" ca="1" si="2"/>
        <v>1.657</v>
      </c>
      <c r="P97" s="2">
        <f t="shared" ca="1" si="2"/>
        <v>1.595</v>
      </c>
      <c r="Q97" s="2">
        <f t="shared" ca="1" si="2"/>
        <v>1.577</v>
      </c>
      <c r="R97" s="2">
        <f t="shared" ca="1" si="2"/>
        <v>1.6040000000000001</v>
      </c>
      <c r="S97" s="2">
        <f t="shared" ca="1" si="2"/>
        <v>1.677</v>
      </c>
      <c r="T97" s="2">
        <f t="shared" ca="1" si="2"/>
        <v>1.7809999999999999</v>
      </c>
      <c r="U97" s="2">
        <f t="shared" ca="1" si="2"/>
        <v>1.917</v>
      </c>
      <c r="V97" s="2">
        <f t="shared" ca="1" si="2"/>
        <v>2.0760000000000001</v>
      </c>
      <c r="W97" s="2">
        <f t="shared" ca="1" si="2"/>
        <v>2.2559999999999998</v>
      </c>
      <c r="X97" s="2">
        <f t="shared" ca="1" si="2"/>
        <v>2.524</v>
      </c>
      <c r="Y97" s="2">
        <f t="shared" ca="1" si="2"/>
        <v>2.83</v>
      </c>
    </row>
    <row r="98" spans="2:25" x14ac:dyDescent="0.3">
      <c r="B98" s="6">
        <v>95</v>
      </c>
      <c r="C98" s="9">
        <v>1.159</v>
      </c>
      <c r="D98" s="9">
        <v>1.141</v>
      </c>
      <c r="E98" s="9">
        <v>1.141</v>
      </c>
      <c r="F98" s="9">
        <v>1.123</v>
      </c>
      <c r="I98" s="11">
        <f t="shared" ca="1" si="2"/>
        <v>2.992</v>
      </c>
      <c r="J98" s="2">
        <f t="shared" ca="1" si="2"/>
        <v>2.7530000000000001</v>
      </c>
      <c r="K98" s="2">
        <f t="shared" ca="1" si="2"/>
        <v>2.476</v>
      </c>
      <c r="L98" s="2">
        <f t="shared" ca="1" si="2"/>
        <v>2.2570000000000001</v>
      </c>
      <c r="M98" s="2">
        <f t="shared" ca="1" si="2"/>
        <v>2.1110000000000002</v>
      </c>
      <c r="N98" s="2">
        <f t="shared" ca="1" si="2"/>
        <v>1.98</v>
      </c>
      <c r="O98" s="2">
        <f t="shared" ca="1" si="2"/>
        <v>1.8819999999999999</v>
      </c>
      <c r="P98" s="2">
        <f t="shared" ca="1" si="2"/>
        <v>1.8240000000000001</v>
      </c>
      <c r="Q98" s="2">
        <f t="shared" ca="1" si="2"/>
        <v>1.8109999999999999</v>
      </c>
      <c r="R98" s="2">
        <f t="shared" ca="1" si="2"/>
        <v>1.839</v>
      </c>
      <c r="S98" s="2">
        <f t="shared" ca="1" si="2"/>
        <v>1.913</v>
      </c>
      <c r="T98" s="2">
        <f t="shared" ca="1" si="2"/>
        <v>2.0169999999999999</v>
      </c>
      <c r="U98" s="2">
        <f t="shared" ca="1" si="2"/>
        <v>2.145</v>
      </c>
      <c r="V98" s="2">
        <f t="shared" ca="1" si="2"/>
        <v>2.2850000000000001</v>
      </c>
      <c r="W98" s="2">
        <f t="shared" ca="1" si="2"/>
        <v>2.4929999999999999</v>
      </c>
      <c r="X98" s="2">
        <f t="shared" ca="1" si="2"/>
        <v>2.7349999999999999</v>
      </c>
      <c r="Y98" s="11">
        <f t="shared" ca="1" si="2"/>
        <v>2.9220000000000002</v>
      </c>
    </row>
    <row r="99" spans="2:25" x14ac:dyDescent="0.3">
      <c r="B99" s="6">
        <v>96</v>
      </c>
      <c r="C99" s="9">
        <v>1.2849999999999999</v>
      </c>
      <c r="D99" s="9">
        <v>1.2529999999999999</v>
      </c>
      <c r="E99" s="9">
        <v>1.252</v>
      </c>
      <c r="F99" s="9">
        <v>1.228</v>
      </c>
    </row>
    <row r="100" spans="2:25" x14ac:dyDescent="0.3">
      <c r="B100" s="6">
        <v>97</v>
      </c>
      <c r="C100" s="9">
        <v>1.4710000000000001</v>
      </c>
      <c r="D100" s="9">
        <v>1.4119999999999999</v>
      </c>
      <c r="E100" s="9">
        <v>1.411</v>
      </c>
      <c r="F100" s="9">
        <v>1.3839999999999999</v>
      </c>
      <c r="H100" t="s">
        <v>3</v>
      </c>
      <c r="I100" s="13">
        <f t="shared" ref="I100:Y112" ca="1" si="3">INDIRECT("F"&amp;(17*ROW(1:1)+ROW($F$3)-19+IF(COLUMN(C:C)&gt;19,50000,COLUMN(C:C)-1)))</f>
        <v>2.7709999999999999</v>
      </c>
      <c r="J100" s="2">
        <f t="shared" ca="1" si="3"/>
        <v>2.5640000000000001</v>
      </c>
      <c r="K100" s="2">
        <f t="shared" ca="1" si="3"/>
        <v>2.3279999999999998</v>
      </c>
      <c r="L100" s="2">
        <f t="shared" ca="1" si="3"/>
        <v>2.129</v>
      </c>
      <c r="M100" s="2">
        <f t="shared" ca="1" si="3"/>
        <v>1.9990000000000001</v>
      </c>
      <c r="N100" s="2">
        <f t="shared" ca="1" si="3"/>
        <v>1.8839999999999999</v>
      </c>
      <c r="O100" s="2">
        <f t="shared" ca="1" si="3"/>
        <v>1.7949999999999999</v>
      </c>
      <c r="P100" s="2">
        <f t="shared" ca="1" si="3"/>
        <v>1.7390000000000001</v>
      </c>
      <c r="Q100" s="2">
        <f t="shared" ca="1" si="3"/>
        <v>1.724</v>
      </c>
      <c r="R100" s="2">
        <f t="shared" ca="1" si="3"/>
        <v>1.7470000000000001</v>
      </c>
      <c r="S100" s="2">
        <f t="shared" ca="1" si="3"/>
        <v>1.806</v>
      </c>
      <c r="T100" s="2">
        <f t="shared" ca="1" si="3"/>
        <v>1.8959999999999999</v>
      </c>
      <c r="U100" s="2">
        <f t="shared" ca="1" si="3"/>
        <v>2.012</v>
      </c>
      <c r="V100" s="2">
        <f t="shared" ca="1" si="3"/>
        <v>2.153</v>
      </c>
      <c r="W100" s="2">
        <f t="shared" ca="1" si="3"/>
        <v>2.3679999999999999</v>
      </c>
      <c r="X100" s="2">
        <f t="shared" ca="1" si="3"/>
        <v>2.6019999999999999</v>
      </c>
      <c r="Y100" s="13">
        <f t="shared" ca="1" si="3"/>
        <v>2.7959999999999998</v>
      </c>
    </row>
    <row r="101" spans="2:25" x14ac:dyDescent="0.3">
      <c r="B101" s="6">
        <v>98</v>
      </c>
      <c r="C101" s="9">
        <v>1.708</v>
      </c>
      <c r="D101" s="9">
        <v>1.6140000000000001</v>
      </c>
      <c r="E101" s="9">
        <v>1.613</v>
      </c>
      <c r="F101" s="9">
        <v>1.581</v>
      </c>
      <c r="I101" s="2">
        <f t="shared" ca="1" si="3"/>
        <v>2.7029999999999998</v>
      </c>
      <c r="J101" s="2">
        <f t="shared" ca="1" si="3"/>
        <v>2.4020000000000001</v>
      </c>
      <c r="K101" s="2">
        <f t="shared" ca="1" si="3"/>
        <v>2.1509999999999998</v>
      </c>
      <c r="L101" s="2">
        <f t="shared" ca="1" si="3"/>
        <v>1.9810000000000001</v>
      </c>
      <c r="M101" s="2">
        <f t="shared" ca="1" si="3"/>
        <v>1.8360000000000001</v>
      </c>
      <c r="N101" s="2">
        <f t="shared" ca="1" si="3"/>
        <v>1.7130000000000001</v>
      </c>
      <c r="O101" s="2">
        <f t="shared" ca="1" si="3"/>
        <v>1.621</v>
      </c>
      <c r="P101" s="2">
        <f t="shared" ca="1" si="3"/>
        <v>1.5660000000000001</v>
      </c>
      <c r="Q101" s="2">
        <f t="shared" ca="1" si="3"/>
        <v>1.5489999999999999</v>
      </c>
      <c r="R101" s="2">
        <f t="shared" ca="1" si="3"/>
        <v>1.57</v>
      </c>
      <c r="S101" s="2">
        <f t="shared" ca="1" si="3"/>
        <v>1.6319999999999999</v>
      </c>
      <c r="T101" s="2">
        <f t="shared" ca="1" si="3"/>
        <v>1.7290000000000001</v>
      </c>
      <c r="U101" s="2">
        <f t="shared" ca="1" si="3"/>
        <v>1.859</v>
      </c>
      <c r="V101" s="2">
        <f t="shared" ca="1" si="3"/>
        <v>2.0099999999999998</v>
      </c>
      <c r="W101" s="2">
        <f t="shared" ca="1" si="3"/>
        <v>2.1909999999999998</v>
      </c>
      <c r="X101" s="2">
        <f t="shared" ca="1" si="3"/>
        <v>2.4460000000000002</v>
      </c>
      <c r="Y101" s="2">
        <f t="shared" ca="1" si="3"/>
        <v>2.718</v>
      </c>
    </row>
    <row r="102" spans="2:25" x14ac:dyDescent="0.3">
      <c r="B102" s="6">
        <v>99</v>
      </c>
      <c r="C102" s="9">
        <v>1.9670000000000001</v>
      </c>
      <c r="D102" s="9">
        <v>1.8340000000000001</v>
      </c>
      <c r="E102" s="9">
        <v>1.8320000000000001</v>
      </c>
      <c r="F102" s="9">
        <v>1.7949999999999999</v>
      </c>
      <c r="I102" s="2">
        <f t="shared" ca="1" si="3"/>
        <v>2.5609999999999999</v>
      </c>
      <c r="J102" s="2">
        <f t="shared" ca="1" si="3"/>
        <v>2.234</v>
      </c>
      <c r="K102" s="2">
        <f t="shared" ca="1" si="3"/>
        <v>2.0110000000000001</v>
      </c>
      <c r="L102" s="2">
        <f t="shared" ca="1" si="3"/>
        <v>1.8340000000000001</v>
      </c>
      <c r="M102" s="2">
        <f t="shared" ca="1" si="3"/>
        <v>1.6739999999999999</v>
      </c>
      <c r="N102" s="2">
        <f t="shared" ca="1" si="3"/>
        <v>1.5389999999999999</v>
      </c>
      <c r="O102" s="2">
        <f t="shared" ca="1" si="3"/>
        <v>1.4370000000000001</v>
      </c>
      <c r="P102" s="2">
        <f t="shared" ca="1" si="3"/>
        <v>1.379</v>
      </c>
      <c r="Q102" s="2">
        <f t="shared" ca="1" si="3"/>
        <v>1.3640000000000001</v>
      </c>
      <c r="R102" s="2">
        <f t="shared" ca="1" si="3"/>
        <v>1.387</v>
      </c>
      <c r="S102" s="2">
        <f t="shared" ca="1" si="3"/>
        <v>1.4570000000000001</v>
      </c>
      <c r="T102" s="2">
        <f t="shared" ca="1" si="3"/>
        <v>1.5629999999999999</v>
      </c>
      <c r="U102" s="2">
        <f t="shared" ca="1" si="3"/>
        <v>1.704</v>
      </c>
      <c r="V102" s="2">
        <f t="shared" ca="1" si="3"/>
        <v>1.8720000000000001</v>
      </c>
      <c r="W102" s="2">
        <f t="shared" ca="1" si="3"/>
        <v>2.0510000000000002</v>
      </c>
      <c r="X102" s="2">
        <f t="shared" ca="1" si="3"/>
        <v>2.2719999999999998</v>
      </c>
      <c r="Y102" s="2">
        <f t="shared" ca="1" si="3"/>
        <v>2.5739999999999998</v>
      </c>
    </row>
    <row r="103" spans="2:25" x14ac:dyDescent="0.3">
      <c r="B103" s="6">
        <v>100</v>
      </c>
      <c r="C103" s="9">
        <v>2.2360000000000002</v>
      </c>
      <c r="D103" s="9">
        <v>2.0710000000000002</v>
      </c>
      <c r="E103" s="9">
        <v>2.0670000000000002</v>
      </c>
      <c r="F103" s="9">
        <v>2.02</v>
      </c>
      <c r="I103" s="2">
        <f t="shared" ca="1" si="3"/>
        <v>2.3919999999999999</v>
      </c>
      <c r="J103" s="2">
        <f t="shared" ca="1" si="3"/>
        <v>2.1179999999999999</v>
      </c>
      <c r="K103" s="2">
        <f t="shared" ca="1" si="3"/>
        <v>1.9039999999999999</v>
      </c>
      <c r="L103" s="2">
        <f t="shared" ca="1" si="3"/>
        <v>1.71</v>
      </c>
      <c r="M103" s="2">
        <f t="shared" ca="1" si="3"/>
        <v>1.5349999999999999</v>
      </c>
      <c r="N103" s="2">
        <f t="shared" ca="1" si="3"/>
        <v>1.3859999999999999</v>
      </c>
      <c r="O103" s="2">
        <f t="shared" ca="1" si="3"/>
        <v>1.278</v>
      </c>
      <c r="P103" s="2">
        <f t="shared" ca="1" si="3"/>
        <v>1.222</v>
      </c>
      <c r="Q103" s="2">
        <f t="shared" ca="1" si="3"/>
        <v>1.2110000000000001</v>
      </c>
      <c r="R103" s="2">
        <f t="shared" ca="1" si="3"/>
        <v>1.232</v>
      </c>
      <c r="S103" s="2">
        <f t="shared" ca="1" si="3"/>
        <v>1.3</v>
      </c>
      <c r="T103" s="2">
        <f t="shared" ca="1" si="3"/>
        <v>1.4139999999999999</v>
      </c>
      <c r="U103" s="2">
        <f t="shared" ca="1" si="3"/>
        <v>1.569</v>
      </c>
      <c r="V103" s="2">
        <f t="shared" ca="1" si="3"/>
        <v>1.7490000000000001</v>
      </c>
      <c r="W103" s="2">
        <f t="shared" ca="1" si="3"/>
        <v>1.944</v>
      </c>
      <c r="X103" s="2">
        <f t="shared" ca="1" si="3"/>
        <v>2.1520000000000001</v>
      </c>
      <c r="Y103" s="2">
        <f t="shared" ca="1" si="3"/>
        <v>2.407</v>
      </c>
    </row>
    <row r="104" spans="2:25" x14ac:dyDescent="0.3">
      <c r="B104" s="6">
        <v>101</v>
      </c>
      <c r="C104" s="9">
        <v>2.5059999999999998</v>
      </c>
      <c r="D104" s="9">
        <v>2.319</v>
      </c>
      <c r="E104" s="9">
        <v>2.3140000000000001</v>
      </c>
      <c r="F104" s="9">
        <v>2.258</v>
      </c>
      <c r="I104" s="2">
        <f t="shared" ca="1" si="3"/>
        <v>2.2679999999999998</v>
      </c>
      <c r="J104" s="2">
        <f t="shared" ca="1" si="3"/>
        <v>2.028</v>
      </c>
      <c r="K104" s="2">
        <f t="shared" ca="1" si="3"/>
        <v>1.8160000000000001</v>
      </c>
      <c r="L104" s="2">
        <f t="shared" ca="1" si="3"/>
        <v>1.617</v>
      </c>
      <c r="M104" s="2">
        <f t="shared" ca="1" si="3"/>
        <v>1.431</v>
      </c>
      <c r="N104" s="2">
        <f t="shared" ca="1" si="3"/>
        <v>1.276</v>
      </c>
      <c r="O104" s="2">
        <f t="shared" ca="1" si="3"/>
        <v>1.171</v>
      </c>
      <c r="P104" s="2">
        <f t="shared" ca="1" si="3"/>
        <v>1.115</v>
      </c>
      <c r="Q104" s="2">
        <f t="shared" ca="1" si="3"/>
        <v>1.1020000000000001</v>
      </c>
      <c r="R104" s="2">
        <f t="shared" ca="1" si="3"/>
        <v>1.123</v>
      </c>
      <c r="S104" s="2">
        <f t="shared" ca="1" si="3"/>
        <v>1.1850000000000001</v>
      </c>
      <c r="T104" s="2">
        <f t="shared" ca="1" si="3"/>
        <v>1.2949999999999999</v>
      </c>
      <c r="U104" s="2">
        <f t="shared" ca="1" si="3"/>
        <v>1.4590000000000001</v>
      </c>
      <c r="V104" s="2">
        <f t="shared" ca="1" si="3"/>
        <v>1.651</v>
      </c>
      <c r="W104" s="2">
        <f t="shared" ca="1" si="3"/>
        <v>1.8580000000000001</v>
      </c>
      <c r="X104" s="2">
        <f t="shared" ca="1" si="3"/>
        <v>2.0739999999999998</v>
      </c>
      <c r="Y104" s="2">
        <f t="shared" ca="1" si="3"/>
        <v>2.3090000000000002</v>
      </c>
    </row>
    <row r="105" spans="2:25" x14ac:dyDescent="0.3">
      <c r="B105" s="6">
        <v>102</v>
      </c>
      <c r="C105" s="9">
        <v>2.4790000000000001</v>
      </c>
      <c r="D105" s="9">
        <v>2.2650000000000001</v>
      </c>
      <c r="E105" s="9">
        <v>2.2629999999999999</v>
      </c>
      <c r="F105" s="9">
        <v>2.1890000000000001</v>
      </c>
      <c r="I105" s="2">
        <f t="shared" ca="1" si="3"/>
        <v>2.206</v>
      </c>
      <c r="J105" s="2">
        <f t="shared" ca="1" si="3"/>
        <v>1.97</v>
      </c>
      <c r="K105" s="2">
        <f t="shared" ca="1" si="3"/>
        <v>1.752</v>
      </c>
      <c r="L105" s="2">
        <f t="shared" ca="1" si="3"/>
        <v>1.5489999999999999</v>
      </c>
      <c r="M105" s="2">
        <f t="shared" ca="1" si="3"/>
        <v>1.3620000000000001</v>
      </c>
      <c r="N105" s="2">
        <f t="shared" ca="1" si="3"/>
        <v>1.214</v>
      </c>
      <c r="O105" s="2">
        <f t="shared" ca="1" si="3"/>
        <v>1.111</v>
      </c>
      <c r="P105" s="2">
        <f t="shared" ca="1" si="3"/>
        <v>1.048</v>
      </c>
      <c r="Q105" s="2">
        <f t="shared" ca="1" si="3"/>
        <v>1.028</v>
      </c>
      <c r="R105" s="2">
        <f t="shared" ca="1" si="3"/>
        <v>1.054</v>
      </c>
      <c r="S105" s="2">
        <f t="shared" ca="1" si="3"/>
        <v>1.123</v>
      </c>
      <c r="T105" s="2">
        <f t="shared" ca="1" si="3"/>
        <v>1.228</v>
      </c>
      <c r="U105" s="2">
        <f t="shared" ca="1" si="3"/>
        <v>1.3839999999999999</v>
      </c>
      <c r="V105" s="2">
        <f t="shared" ca="1" si="3"/>
        <v>1.581</v>
      </c>
      <c r="W105" s="2">
        <f t="shared" ca="1" si="3"/>
        <v>1.7949999999999999</v>
      </c>
      <c r="X105" s="2">
        <f t="shared" ca="1" si="3"/>
        <v>2.02</v>
      </c>
      <c r="Y105" s="2">
        <f t="shared" ca="1" si="3"/>
        <v>2.258</v>
      </c>
    </row>
    <row r="106" spans="2:25" x14ac:dyDescent="0.3">
      <c r="B106" s="6">
        <v>103</v>
      </c>
      <c r="C106" s="9">
        <v>2.1890000000000001</v>
      </c>
      <c r="D106" s="9">
        <v>2.0110000000000001</v>
      </c>
      <c r="E106" s="9">
        <v>2.0110000000000001</v>
      </c>
      <c r="F106" s="9">
        <v>1.9490000000000001</v>
      </c>
      <c r="I106" s="2">
        <f t="shared" ca="1" si="3"/>
        <v>2.1890000000000001</v>
      </c>
      <c r="J106" s="2">
        <f t="shared" ca="1" si="3"/>
        <v>1.9490000000000001</v>
      </c>
      <c r="K106" s="2">
        <f t="shared" ca="1" si="3"/>
        <v>1.728</v>
      </c>
      <c r="L106" s="2">
        <f t="shared" ca="1" si="3"/>
        <v>1.5229999999999999</v>
      </c>
      <c r="M106" s="2">
        <f t="shared" ca="1" si="3"/>
        <v>1.333</v>
      </c>
      <c r="N106" s="2">
        <f t="shared" ca="1" si="3"/>
        <v>1.1870000000000001</v>
      </c>
      <c r="O106" s="2">
        <f t="shared" ca="1" si="3"/>
        <v>1.0840000000000001</v>
      </c>
      <c r="P106" s="2">
        <f t="shared" ca="1" si="3"/>
        <v>1.022</v>
      </c>
      <c r="Q106" s="2">
        <f t="shared" ca="1" si="3"/>
        <v>1.0069999999999999</v>
      </c>
      <c r="R106" s="2">
        <f t="shared" ca="1" si="3"/>
        <v>1.028</v>
      </c>
      <c r="S106" s="2">
        <f t="shared" ca="1" si="3"/>
        <v>1.101</v>
      </c>
      <c r="T106" s="2">
        <f t="shared" ca="1" si="3"/>
        <v>1.2090000000000001</v>
      </c>
      <c r="U106" s="2">
        <f t="shared" ca="1" si="3"/>
        <v>1.3620000000000001</v>
      </c>
      <c r="V106" s="2">
        <f t="shared" ca="1" si="3"/>
        <v>1.5580000000000001</v>
      </c>
      <c r="W106" s="2">
        <f t="shared" ca="1" si="3"/>
        <v>1.7689999999999999</v>
      </c>
      <c r="X106" s="2">
        <f t="shared" ca="1" si="3"/>
        <v>1.9950000000000001</v>
      </c>
      <c r="Y106" s="2">
        <f t="shared" ca="1" si="3"/>
        <v>2.226</v>
      </c>
    </row>
    <row r="107" spans="2:25" x14ac:dyDescent="0.3">
      <c r="B107" s="6">
        <v>104</v>
      </c>
      <c r="C107" s="9">
        <v>1.913</v>
      </c>
      <c r="D107" s="9">
        <v>1.776</v>
      </c>
      <c r="E107" s="9">
        <v>1.776</v>
      </c>
      <c r="F107" s="9">
        <v>1.728</v>
      </c>
      <c r="I107" s="2">
        <f t="shared" ca="1" si="3"/>
        <v>2.2170000000000001</v>
      </c>
      <c r="J107" s="2">
        <f t="shared" ca="1" si="3"/>
        <v>1.9710000000000001</v>
      </c>
      <c r="K107" s="2">
        <f t="shared" ca="1" si="3"/>
        <v>1.746</v>
      </c>
      <c r="L107" s="2">
        <f t="shared" ca="1" si="3"/>
        <v>1.54</v>
      </c>
      <c r="M107" s="2">
        <f t="shared" ca="1" si="3"/>
        <v>1.35</v>
      </c>
      <c r="N107" s="2">
        <f t="shared" ca="1" si="3"/>
        <v>1.2</v>
      </c>
      <c r="O107" s="2">
        <f t="shared" ca="1" si="3"/>
        <v>1.097</v>
      </c>
      <c r="P107" s="2">
        <f t="shared" ca="1" si="3"/>
        <v>1.036</v>
      </c>
      <c r="Q107" s="2">
        <f t="shared" ca="1" si="3"/>
        <v>1.02</v>
      </c>
      <c r="R107" s="2">
        <f t="shared" ca="1" si="3"/>
        <v>1.0469999999999999</v>
      </c>
      <c r="S107" s="2">
        <f t="shared" ca="1" si="3"/>
        <v>1.119</v>
      </c>
      <c r="T107" s="2">
        <f t="shared" ca="1" si="3"/>
        <v>1.2270000000000001</v>
      </c>
      <c r="U107" s="2">
        <f t="shared" ca="1" si="3"/>
        <v>1.383</v>
      </c>
      <c r="V107" s="2">
        <f t="shared" ca="1" si="3"/>
        <v>1.58</v>
      </c>
      <c r="W107" s="2">
        <f t="shared" ca="1" si="3"/>
        <v>1.79</v>
      </c>
      <c r="X107" s="2">
        <f t="shared" ca="1" si="3"/>
        <v>2.0099999999999998</v>
      </c>
      <c r="Y107" s="2">
        <f t="shared" ca="1" si="3"/>
        <v>2.2360000000000002</v>
      </c>
    </row>
    <row r="108" spans="2:25" x14ac:dyDescent="0.3">
      <c r="B108" s="6">
        <v>105</v>
      </c>
      <c r="C108" s="9">
        <v>1.657</v>
      </c>
      <c r="D108" s="9">
        <v>1.56</v>
      </c>
      <c r="E108" s="9">
        <v>1.5609999999999999</v>
      </c>
      <c r="F108" s="9">
        <v>1.5229999999999999</v>
      </c>
      <c r="I108" s="2">
        <f t="shared" ca="1" si="3"/>
        <v>2.2719999999999998</v>
      </c>
      <c r="J108" s="2">
        <f t="shared" ca="1" si="3"/>
        <v>2.0289999999999999</v>
      </c>
      <c r="K108" s="2">
        <f t="shared" ca="1" si="3"/>
        <v>1.8109999999999999</v>
      </c>
      <c r="L108" s="2">
        <f t="shared" ca="1" si="3"/>
        <v>1.605</v>
      </c>
      <c r="M108" s="2">
        <f t="shared" ca="1" si="3"/>
        <v>1.4159999999999999</v>
      </c>
      <c r="N108" s="2">
        <f t="shared" ca="1" si="3"/>
        <v>1.2609999999999999</v>
      </c>
      <c r="O108" s="2">
        <f t="shared" ca="1" si="3"/>
        <v>1.1579999999999999</v>
      </c>
      <c r="P108" s="2">
        <f t="shared" ca="1" si="3"/>
        <v>1.1000000000000001</v>
      </c>
      <c r="Q108" s="2">
        <f t="shared" ca="1" si="3"/>
        <v>1.085</v>
      </c>
      <c r="R108" s="2">
        <f t="shared" ca="1" si="3"/>
        <v>1.1080000000000001</v>
      </c>
      <c r="S108" s="2">
        <f t="shared" ca="1" si="3"/>
        <v>1.1739999999999999</v>
      </c>
      <c r="T108" s="2">
        <f t="shared" ca="1" si="3"/>
        <v>1.284</v>
      </c>
      <c r="U108" s="2">
        <f t="shared" ca="1" si="3"/>
        <v>1.4490000000000001</v>
      </c>
      <c r="V108" s="2">
        <f t="shared" ca="1" si="3"/>
        <v>1.6439999999999999</v>
      </c>
      <c r="W108" s="2">
        <f t="shared" ca="1" si="3"/>
        <v>1.8540000000000001</v>
      </c>
      <c r="X108" s="2">
        <f t="shared" ca="1" si="3"/>
        <v>2.0699999999999998</v>
      </c>
      <c r="Y108" s="2">
        <f t="shared" ca="1" si="3"/>
        <v>2.302</v>
      </c>
    </row>
    <row r="109" spans="2:25" x14ac:dyDescent="0.3">
      <c r="B109" s="6">
        <v>106</v>
      </c>
      <c r="C109" s="9">
        <v>1.42</v>
      </c>
      <c r="D109" s="9">
        <v>1.36</v>
      </c>
      <c r="E109" s="9">
        <v>1.361</v>
      </c>
      <c r="F109" s="9">
        <v>1.333</v>
      </c>
      <c r="I109" s="2">
        <f t="shared" ca="1" si="3"/>
        <v>2.3679999999999999</v>
      </c>
      <c r="J109" s="2">
        <f t="shared" ca="1" si="3"/>
        <v>2.105</v>
      </c>
      <c r="K109" s="2">
        <f t="shared" ca="1" si="3"/>
        <v>1.895</v>
      </c>
      <c r="L109" s="2">
        <f t="shared" ca="1" si="3"/>
        <v>1.6990000000000001</v>
      </c>
      <c r="M109" s="2">
        <f t="shared" ca="1" si="3"/>
        <v>1.5229999999999999</v>
      </c>
      <c r="N109" s="2">
        <f t="shared" ca="1" si="3"/>
        <v>1.3720000000000001</v>
      </c>
      <c r="O109" s="2">
        <f t="shared" ca="1" si="3"/>
        <v>1.2609999999999999</v>
      </c>
      <c r="P109" s="2">
        <f t="shared" ca="1" si="3"/>
        <v>1.2030000000000001</v>
      </c>
      <c r="Q109" s="2">
        <f t="shared" ca="1" si="3"/>
        <v>1.1870000000000001</v>
      </c>
      <c r="R109" s="2">
        <f t="shared" ca="1" si="3"/>
        <v>1.2070000000000001</v>
      </c>
      <c r="S109" s="2">
        <f t="shared" ca="1" si="3"/>
        <v>1.2709999999999999</v>
      </c>
      <c r="T109" s="2">
        <f t="shared" ca="1" si="3"/>
        <v>1.387</v>
      </c>
      <c r="U109" s="2">
        <f t="shared" ca="1" si="3"/>
        <v>1.546</v>
      </c>
      <c r="V109" s="2">
        <f t="shared" ca="1" si="3"/>
        <v>1.7350000000000001</v>
      </c>
      <c r="W109" s="2">
        <f t="shared" ca="1" si="3"/>
        <v>1.9390000000000001</v>
      </c>
      <c r="X109" s="2">
        <f t="shared" ca="1" si="3"/>
        <v>2.1539999999999999</v>
      </c>
      <c r="Y109" s="2">
        <f t="shared" ca="1" si="3"/>
        <v>2.4159999999999999</v>
      </c>
    </row>
    <row r="110" spans="2:25" x14ac:dyDescent="0.3">
      <c r="B110" s="6">
        <v>107</v>
      </c>
      <c r="C110" s="9">
        <v>1.2390000000000001</v>
      </c>
      <c r="D110" s="9">
        <v>1.2070000000000001</v>
      </c>
      <c r="E110" s="9">
        <v>1.208</v>
      </c>
      <c r="F110" s="9">
        <v>1.1870000000000001</v>
      </c>
      <c r="I110" s="2">
        <f t="shared" ca="1" si="3"/>
        <v>2.5379999999999998</v>
      </c>
      <c r="J110" s="2">
        <f t="shared" ca="1" si="3"/>
        <v>2.2280000000000002</v>
      </c>
      <c r="K110" s="2">
        <f t="shared" ca="1" si="3"/>
        <v>2.008</v>
      </c>
      <c r="L110" s="2">
        <f t="shared" ca="1" si="3"/>
        <v>1.823</v>
      </c>
      <c r="M110" s="2">
        <f t="shared" ca="1" si="3"/>
        <v>1.6579999999999999</v>
      </c>
      <c r="N110" s="2">
        <f t="shared" ca="1" si="3"/>
        <v>1.522</v>
      </c>
      <c r="O110" s="2">
        <f t="shared" ca="1" si="3"/>
        <v>1.4179999999999999</v>
      </c>
      <c r="P110" s="2">
        <f t="shared" ca="1" si="3"/>
        <v>1.355</v>
      </c>
      <c r="Q110" s="2">
        <f t="shared" ca="1" si="3"/>
        <v>1.337</v>
      </c>
      <c r="R110" s="2">
        <f t="shared" ca="1" si="3"/>
        <v>1.3580000000000001</v>
      </c>
      <c r="S110" s="2">
        <f t="shared" ca="1" si="3"/>
        <v>1.4279999999999999</v>
      </c>
      <c r="T110" s="2">
        <f t="shared" ca="1" si="3"/>
        <v>1.5389999999999999</v>
      </c>
      <c r="U110" s="2">
        <f t="shared" ca="1" si="3"/>
        <v>1.6839999999999999</v>
      </c>
      <c r="V110" s="2">
        <f t="shared" ca="1" si="3"/>
        <v>1.86</v>
      </c>
      <c r="W110" s="2">
        <f t="shared" ca="1" si="3"/>
        <v>2.0449999999999999</v>
      </c>
      <c r="X110" s="2">
        <f t="shared" ca="1" si="3"/>
        <v>2.2709999999999999</v>
      </c>
      <c r="Y110" s="2">
        <f t="shared" ca="1" si="3"/>
        <v>2.577</v>
      </c>
    </row>
    <row r="111" spans="2:25" x14ac:dyDescent="0.3">
      <c r="B111" s="6">
        <v>108</v>
      </c>
      <c r="C111" s="9">
        <v>1.1120000000000001</v>
      </c>
      <c r="D111" s="9">
        <v>1.097</v>
      </c>
      <c r="E111" s="9">
        <v>1.097</v>
      </c>
      <c r="F111" s="9">
        <v>1.0840000000000001</v>
      </c>
      <c r="I111" s="2">
        <f t="shared" ca="1" si="3"/>
        <v>2.7130000000000001</v>
      </c>
      <c r="J111" s="2">
        <f t="shared" ca="1" si="3"/>
        <v>2.4089999999999998</v>
      </c>
      <c r="K111" s="2">
        <f t="shared" ca="1" si="3"/>
        <v>2.1560000000000001</v>
      </c>
      <c r="L111" s="2">
        <f t="shared" ca="1" si="3"/>
        <v>1.9770000000000001</v>
      </c>
      <c r="M111" s="2">
        <f t="shared" ca="1" si="3"/>
        <v>1.823</v>
      </c>
      <c r="N111" s="2">
        <f t="shared" ca="1" si="3"/>
        <v>1.696</v>
      </c>
      <c r="O111" s="2">
        <f t="shared" ca="1" si="3"/>
        <v>1.6020000000000001</v>
      </c>
      <c r="P111" s="2">
        <f t="shared" ca="1" si="3"/>
        <v>1.548</v>
      </c>
      <c r="Q111" s="2">
        <f t="shared" ca="1" si="3"/>
        <v>1.5349999999999999</v>
      </c>
      <c r="R111" s="2">
        <f t="shared" ca="1" si="3"/>
        <v>1.5580000000000001</v>
      </c>
      <c r="S111" s="2">
        <f t="shared" ca="1" si="3"/>
        <v>1.625</v>
      </c>
      <c r="T111" s="2">
        <f t="shared" ca="1" si="3"/>
        <v>1.7250000000000001</v>
      </c>
      <c r="U111" s="2">
        <f t="shared" ca="1" si="3"/>
        <v>1.859</v>
      </c>
      <c r="V111" s="2">
        <f t="shared" ca="1" si="3"/>
        <v>2.0139999999999998</v>
      </c>
      <c r="W111" s="2">
        <f t="shared" ca="1" si="3"/>
        <v>2.1880000000000002</v>
      </c>
      <c r="X111" s="2">
        <f t="shared" ca="1" si="3"/>
        <v>2.4369999999999998</v>
      </c>
      <c r="Y111" s="2">
        <f t="shared" ca="1" si="3"/>
        <v>2.7189999999999999</v>
      </c>
    </row>
    <row r="112" spans="2:25" x14ac:dyDescent="0.3">
      <c r="B112" s="6">
        <v>109</v>
      </c>
      <c r="C112" s="9">
        <v>1.03</v>
      </c>
      <c r="D112" s="9">
        <v>1.0249999999999999</v>
      </c>
      <c r="E112" s="9">
        <v>1.0249999999999999</v>
      </c>
      <c r="F112" s="9">
        <v>1.022</v>
      </c>
      <c r="I112" s="13">
        <f t="shared" ca="1" si="3"/>
        <v>2.8559999999999999</v>
      </c>
      <c r="J112" s="2">
        <f t="shared" ca="1" si="3"/>
        <v>2.64</v>
      </c>
      <c r="K112" s="2">
        <f t="shared" ca="1" si="3"/>
        <v>2.3809999999999998</v>
      </c>
      <c r="L112" s="2">
        <f t="shared" ca="1" si="3"/>
        <v>2.1709999999999998</v>
      </c>
      <c r="M112" s="2">
        <f t="shared" ca="1" si="3"/>
        <v>2.0310000000000001</v>
      </c>
      <c r="N112" s="2">
        <f t="shared" ca="1" si="3"/>
        <v>1.9079999999999999</v>
      </c>
      <c r="O112" s="2">
        <f t="shared" ca="1" si="3"/>
        <v>1.8160000000000001</v>
      </c>
      <c r="P112" s="2">
        <f t="shared" ca="1" si="3"/>
        <v>1.7629999999999999</v>
      </c>
      <c r="Q112" s="2">
        <f t="shared" ca="1" si="3"/>
        <v>1.7509999999999999</v>
      </c>
      <c r="R112" s="2">
        <f t="shared" ca="1" si="3"/>
        <v>1.782</v>
      </c>
      <c r="S112" s="2">
        <f t="shared" ca="1" si="3"/>
        <v>1.851</v>
      </c>
      <c r="T112" s="2">
        <f t="shared" ca="1" si="3"/>
        <v>1.9530000000000001</v>
      </c>
      <c r="U112" s="2">
        <f t="shared" ca="1" si="3"/>
        <v>2.0720000000000001</v>
      </c>
      <c r="V112" s="2">
        <f t="shared" ca="1" si="3"/>
        <v>2.2069999999999999</v>
      </c>
      <c r="W112" s="2">
        <f t="shared" ca="1" si="3"/>
        <v>2.403</v>
      </c>
      <c r="X112" s="2">
        <f t="shared" ca="1" si="3"/>
        <v>2.633</v>
      </c>
      <c r="Y112" s="13">
        <f t="shared" ca="1" si="3"/>
        <v>2.8029999999999999</v>
      </c>
    </row>
    <row r="113" spans="2:6" x14ac:dyDescent="0.3">
      <c r="B113" s="6">
        <v>110</v>
      </c>
      <c r="C113" s="9">
        <v>1.004</v>
      </c>
      <c r="D113" s="9">
        <v>1.0049999999999999</v>
      </c>
      <c r="E113" s="9">
        <v>1.004</v>
      </c>
      <c r="F113" s="9">
        <v>1.0069999999999999</v>
      </c>
    </row>
    <row r="114" spans="2:6" x14ac:dyDescent="0.3">
      <c r="B114" s="6">
        <v>111</v>
      </c>
      <c r="C114" s="9">
        <v>1.0369999999999999</v>
      </c>
      <c r="D114" s="9">
        <v>1.032</v>
      </c>
      <c r="E114" s="9">
        <v>1.032</v>
      </c>
      <c r="F114" s="9">
        <v>1.028</v>
      </c>
    </row>
    <row r="115" spans="2:6" x14ac:dyDescent="0.3">
      <c r="B115" s="6">
        <v>112</v>
      </c>
      <c r="C115" s="9">
        <v>1.1259999999999999</v>
      </c>
      <c r="D115" s="9">
        <v>1.115</v>
      </c>
      <c r="E115" s="9">
        <v>1.1140000000000001</v>
      </c>
      <c r="F115" s="9">
        <v>1.101</v>
      </c>
    </row>
    <row r="116" spans="2:6" x14ac:dyDescent="0.3">
      <c r="B116" s="6">
        <v>113</v>
      </c>
      <c r="C116" s="9">
        <v>1.254</v>
      </c>
      <c r="D116" s="9">
        <v>1.2270000000000001</v>
      </c>
      <c r="E116" s="9">
        <v>1.226</v>
      </c>
      <c r="F116" s="9">
        <v>1.2090000000000001</v>
      </c>
    </row>
    <row r="117" spans="2:6" x14ac:dyDescent="0.3">
      <c r="B117" s="6">
        <v>114</v>
      </c>
      <c r="C117" s="9">
        <v>1.4390000000000001</v>
      </c>
      <c r="D117" s="9">
        <v>1.385</v>
      </c>
      <c r="E117" s="9">
        <v>1.3839999999999999</v>
      </c>
      <c r="F117" s="9">
        <v>1.3620000000000001</v>
      </c>
    </row>
    <row r="118" spans="2:6" x14ac:dyDescent="0.3">
      <c r="B118" s="6">
        <v>115</v>
      </c>
      <c r="C118" s="9">
        <v>1.6779999999999999</v>
      </c>
      <c r="D118" s="9">
        <v>1.5880000000000001</v>
      </c>
      <c r="E118" s="9">
        <v>1.5860000000000001</v>
      </c>
      <c r="F118" s="9">
        <v>1.5580000000000001</v>
      </c>
    </row>
    <row r="119" spans="2:6" x14ac:dyDescent="0.3">
      <c r="B119" s="6">
        <v>116</v>
      </c>
      <c r="C119" s="9">
        <v>1.9350000000000001</v>
      </c>
      <c r="D119" s="9">
        <v>1.8080000000000001</v>
      </c>
      <c r="E119" s="9">
        <v>1.806</v>
      </c>
      <c r="F119" s="9">
        <v>1.7689999999999999</v>
      </c>
    </row>
    <row r="120" spans="2:6" x14ac:dyDescent="0.3">
      <c r="B120" s="6">
        <v>117</v>
      </c>
      <c r="C120" s="9">
        <v>2.2050000000000001</v>
      </c>
      <c r="D120" s="9">
        <v>2.0449999999999999</v>
      </c>
      <c r="E120" s="9">
        <v>2.0409999999999999</v>
      </c>
      <c r="F120" s="9">
        <v>1.9950000000000001</v>
      </c>
    </row>
    <row r="121" spans="2:6" x14ac:dyDescent="0.3">
      <c r="B121" s="6">
        <v>118</v>
      </c>
      <c r="C121" s="9">
        <v>2.4710000000000001</v>
      </c>
      <c r="D121" s="9">
        <v>2.2909999999999999</v>
      </c>
      <c r="E121" s="9">
        <v>2.2850000000000001</v>
      </c>
      <c r="F121" s="9">
        <v>2.226</v>
      </c>
    </row>
    <row r="122" spans="2:6" x14ac:dyDescent="0.3">
      <c r="B122" s="6">
        <v>119</v>
      </c>
      <c r="C122" s="9">
        <v>2.5030000000000001</v>
      </c>
      <c r="D122" s="9">
        <v>2.29</v>
      </c>
      <c r="E122" s="9">
        <v>2.2879999999999998</v>
      </c>
      <c r="F122" s="9">
        <v>2.2170000000000001</v>
      </c>
    </row>
    <row r="123" spans="2:6" x14ac:dyDescent="0.3">
      <c r="B123" s="6">
        <v>120</v>
      </c>
      <c r="C123" s="9">
        <v>2.2109999999999999</v>
      </c>
      <c r="D123" s="9">
        <v>2.0329999999999999</v>
      </c>
      <c r="E123" s="9">
        <v>2.0310000000000001</v>
      </c>
      <c r="F123" s="9">
        <v>1.9710000000000001</v>
      </c>
    </row>
    <row r="124" spans="2:6" x14ac:dyDescent="0.3">
      <c r="B124" s="6">
        <v>121</v>
      </c>
      <c r="C124" s="9">
        <v>1.9339999999999999</v>
      </c>
      <c r="D124" s="9">
        <v>1.796</v>
      </c>
      <c r="E124" s="9">
        <v>1.7949999999999999</v>
      </c>
      <c r="F124" s="9">
        <v>1.746</v>
      </c>
    </row>
    <row r="125" spans="2:6" x14ac:dyDescent="0.3">
      <c r="B125" s="6">
        <v>122</v>
      </c>
      <c r="C125" s="9">
        <v>1.679</v>
      </c>
      <c r="D125" s="9">
        <v>1.58</v>
      </c>
      <c r="E125" s="9">
        <v>1.58</v>
      </c>
      <c r="F125" s="9">
        <v>1.54</v>
      </c>
    </row>
    <row r="126" spans="2:6" x14ac:dyDescent="0.3">
      <c r="B126" s="6">
        <v>123</v>
      </c>
      <c r="C126" s="9">
        <v>1.4450000000000001</v>
      </c>
      <c r="D126" s="9">
        <v>1.3819999999999999</v>
      </c>
      <c r="E126" s="9">
        <v>1.3819999999999999</v>
      </c>
      <c r="F126" s="9">
        <v>1.35</v>
      </c>
    </row>
    <row r="127" spans="2:6" x14ac:dyDescent="0.3">
      <c r="B127" s="6">
        <v>124</v>
      </c>
      <c r="C127" s="9">
        <v>1.262</v>
      </c>
      <c r="D127" s="9">
        <v>1.2250000000000001</v>
      </c>
      <c r="E127" s="9">
        <v>1.2250000000000001</v>
      </c>
      <c r="F127" s="9">
        <v>1.2</v>
      </c>
    </row>
    <row r="128" spans="2:6" x14ac:dyDescent="0.3">
      <c r="B128" s="6">
        <v>125</v>
      </c>
      <c r="C128" s="9">
        <v>1.135</v>
      </c>
      <c r="D128" s="9">
        <v>1.1140000000000001</v>
      </c>
      <c r="E128" s="9">
        <v>1.1140000000000001</v>
      </c>
      <c r="F128" s="9">
        <v>1.097</v>
      </c>
    </row>
    <row r="129" spans="2:6" x14ac:dyDescent="0.3">
      <c r="B129" s="6">
        <v>126</v>
      </c>
      <c r="C129" s="9">
        <v>1.0529999999999999</v>
      </c>
      <c r="D129" s="9">
        <v>1.0429999999999999</v>
      </c>
      <c r="E129" s="9">
        <v>1.0429999999999999</v>
      </c>
      <c r="F129" s="9">
        <v>1.036</v>
      </c>
    </row>
    <row r="130" spans="2:6" x14ac:dyDescent="0.3">
      <c r="B130" s="6">
        <v>127</v>
      </c>
      <c r="C130" s="9">
        <v>1.028</v>
      </c>
      <c r="D130" s="9">
        <v>1.0229999999999999</v>
      </c>
      <c r="E130" s="9">
        <v>1.022</v>
      </c>
      <c r="F130" s="9">
        <v>1.02</v>
      </c>
    </row>
    <row r="131" spans="2:6" x14ac:dyDescent="0.3">
      <c r="B131" s="6">
        <v>128</v>
      </c>
      <c r="C131" s="9">
        <v>1.0649999999999999</v>
      </c>
      <c r="D131" s="9">
        <v>1.0549999999999999</v>
      </c>
      <c r="E131" s="9">
        <v>1.054</v>
      </c>
      <c r="F131" s="9">
        <v>1.0469999999999999</v>
      </c>
    </row>
    <row r="132" spans="2:6" x14ac:dyDescent="0.3">
      <c r="B132" s="6">
        <v>129</v>
      </c>
      <c r="C132" s="9">
        <v>1.1539999999999999</v>
      </c>
      <c r="D132" s="9">
        <v>1.137</v>
      </c>
      <c r="E132" s="9">
        <v>1.1359999999999999</v>
      </c>
      <c r="F132" s="9">
        <v>1.119</v>
      </c>
    </row>
    <row r="133" spans="2:6" x14ac:dyDescent="0.3">
      <c r="B133" s="6">
        <v>130</v>
      </c>
      <c r="C133" s="9">
        <v>1.2829999999999999</v>
      </c>
      <c r="D133" s="9">
        <v>1.2509999999999999</v>
      </c>
      <c r="E133" s="9">
        <v>1.25</v>
      </c>
      <c r="F133" s="9">
        <v>1.2270000000000001</v>
      </c>
    </row>
    <row r="134" spans="2:6" x14ac:dyDescent="0.3">
      <c r="B134" s="6">
        <v>131</v>
      </c>
      <c r="C134" s="9">
        <v>1.4710000000000001</v>
      </c>
      <c r="D134" s="9">
        <v>1.4119999999999999</v>
      </c>
      <c r="E134" s="9">
        <v>1.41</v>
      </c>
      <c r="F134" s="9">
        <v>1.383</v>
      </c>
    </row>
    <row r="135" spans="2:6" x14ac:dyDescent="0.3">
      <c r="B135" s="6">
        <v>132</v>
      </c>
      <c r="C135" s="9">
        <v>1.706</v>
      </c>
      <c r="D135" s="9">
        <v>1.6140000000000001</v>
      </c>
      <c r="E135" s="9">
        <v>1.6120000000000001</v>
      </c>
      <c r="F135" s="9">
        <v>1.58</v>
      </c>
    </row>
    <row r="136" spans="2:6" x14ac:dyDescent="0.3">
      <c r="B136" s="6">
        <v>133</v>
      </c>
      <c r="C136" s="9">
        <v>1.9610000000000001</v>
      </c>
      <c r="D136" s="9">
        <v>1.83</v>
      </c>
      <c r="E136" s="9">
        <v>1.827</v>
      </c>
      <c r="F136" s="9">
        <v>1.79</v>
      </c>
    </row>
    <row r="137" spans="2:6" x14ac:dyDescent="0.3">
      <c r="B137" s="6">
        <v>134</v>
      </c>
      <c r="C137" s="9">
        <v>2.222</v>
      </c>
      <c r="D137" s="9">
        <v>2.0609999999999999</v>
      </c>
      <c r="E137" s="9">
        <v>2.056</v>
      </c>
      <c r="F137" s="9">
        <v>2.0099999999999998</v>
      </c>
    </row>
    <row r="138" spans="2:6" x14ac:dyDescent="0.3">
      <c r="B138" s="6">
        <v>135</v>
      </c>
      <c r="C138" s="9">
        <v>2.4820000000000002</v>
      </c>
      <c r="D138" s="9">
        <v>2.302</v>
      </c>
      <c r="E138" s="9">
        <v>2.2959999999999998</v>
      </c>
      <c r="F138" s="9">
        <v>2.2360000000000002</v>
      </c>
    </row>
    <row r="139" spans="2:6" x14ac:dyDescent="0.3">
      <c r="B139" s="6">
        <v>136</v>
      </c>
      <c r="C139" s="9">
        <v>2.5649999999999999</v>
      </c>
      <c r="D139" s="9">
        <v>2.3490000000000002</v>
      </c>
      <c r="E139" s="9">
        <v>2.3450000000000002</v>
      </c>
      <c r="F139" s="9">
        <v>2.2719999999999998</v>
      </c>
    </row>
    <row r="140" spans="2:6" x14ac:dyDescent="0.3">
      <c r="B140" s="6">
        <v>137</v>
      </c>
      <c r="C140" s="9">
        <v>2.2770000000000001</v>
      </c>
      <c r="D140" s="9">
        <v>2.0950000000000002</v>
      </c>
      <c r="E140" s="9">
        <v>2.0920000000000001</v>
      </c>
      <c r="F140" s="9">
        <v>2.0289999999999999</v>
      </c>
    </row>
    <row r="141" spans="2:6" x14ac:dyDescent="0.3">
      <c r="B141" s="6">
        <v>138</v>
      </c>
      <c r="C141" s="9">
        <v>2.0129999999999999</v>
      </c>
      <c r="D141" s="9">
        <v>1.8660000000000001</v>
      </c>
      <c r="E141" s="9">
        <v>1.865</v>
      </c>
      <c r="F141" s="9">
        <v>1.8109999999999999</v>
      </c>
    </row>
    <row r="142" spans="2:6" x14ac:dyDescent="0.3">
      <c r="B142" s="6">
        <v>139</v>
      </c>
      <c r="C142" s="9">
        <v>1.764</v>
      </c>
      <c r="D142" s="9">
        <v>1.653</v>
      </c>
      <c r="E142" s="9">
        <v>1.6519999999999999</v>
      </c>
      <c r="F142" s="9">
        <v>1.605</v>
      </c>
    </row>
    <row r="143" spans="2:6" x14ac:dyDescent="0.3">
      <c r="B143" s="6">
        <v>140</v>
      </c>
      <c r="C143" s="9">
        <v>1.5349999999999999</v>
      </c>
      <c r="D143" s="9">
        <v>1.458</v>
      </c>
      <c r="E143" s="9">
        <v>1.4570000000000001</v>
      </c>
      <c r="F143" s="9">
        <v>1.4159999999999999</v>
      </c>
    </row>
    <row r="144" spans="2:6" x14ac:dyDescent="0.3">
      <c r="B144" s="6">
        <v>141</v>
      </c>
      <c r="C144" s="9">
        <v>1.3460000000000001</v>
      </c>
      <c r="D144" s="9">
        <v>1.296</v>
      </c>
      <c r="E144" s="9">
        <v>1.2949999999999999</v>
      </c>
      <c r="F144" s="9">
        <v>1.2609999999999999</v>
      </c>
    </row>
    <row r="145" spans="2:6" x14ac:dyDescent="0.3">
      <c r="B145" s="6">
        <v>142</v>
      </c>
      <c r="C145" s="9">
        <v>1.218</v>
      </c>
      <c r="D145" s="9">
        <v>1.1850000000000001</v>
      </c>
      <c r="E145" s="9">
        <v>1.1839999999999999</v>
      </c>
      <c r="F145" s="9">
        <v>1.1579999999999999</v>
      </c>
    </row>
    <row r="146" spans="2:6" x14ac:dyDescent="0.3">
      <c r="B146" s="6">
        <v>143</v>
      </c>
      <c r="C146" s="9">
        <v>1.139</v>
      </c>
      <c r="D146" s="9">
        <v>1.1180000000000001</v>
      </c>
      <c r="E146" s="9">
        <v>1.117</v>
      </c>
      <c r="F146" s="9">
        <v>1.1000000000000001</v>
      </c>
    </row>
    <row r="147" spans="2:6" x14ac:dyDescent="0.3">
      <c r="B147" s="6">
        <v>144</v>
      </c>
      <c r="C147" s="9">
        <v>1.113</v>
      </c>
      <c r="D147" s="9">
        <v>1.099</v>
      </c>
      <c r="E147" s="9">
        <v>1.097</v>
      </c>
      <c r="F147" s="9">
        <v>1.085</v>
      </c>
    </row>
    <row r="148" spans="2:6" x14ac:dyDescent="0.3">
      <c r="B148" s="6">
        <v>145</v>
      </c>
      <c r="C148" s="9">
        <v>1.145</v>
      </c>
      <c r="D148" s="9">
        <v>1.1259999999999999</v>
      </c>
      <c r="E148" s="9">
        <v>1.1240000000000001</v>
      </c>
      <c r="F148" s="9">
        <v>1.1080000000000001</v>
      </c>
    </row>
    <row r="149" spans="2:6" x14ac:dyDescent="0.3">
      <c r="B149" s="6">
        <v>146</v>
      </c>
      <c r="C149" s="9">
        <v>1.2290000000000001</v>
      </c>
      <c r="D149" s="9">
        <v>1.1990000000000001</v>
      </c>
      <c r="E149" s="9">
        <v>1.1970000000000001</v>
      </c>
      <c r="F149" s="9">
        <v>1.1739999999999999</v>
      </c>
    </row>
    <row r="150" spans="2:6" x14ac:dyDescent="0.3">
      <c r="B150" s="6">
        <v>147</v>
      </c>
      <c r="C150" s="9">
        <v>1.3640000000000001</v>
      </c>
      <c r="D150" s="9">
        <v>1.3169999999999999</v>
      </c>
      <c r="E150" s="9">
        <v>1.3149999999999999</v>
      </c>
      <c r="F150" s="9">
        <v>1.284</v>
      </c>
    </row>
    <row r="151" spans="2:6" x14ac:dyDescent="0.3">
      <c r="B151" s="6">
        <v>148</v>
      </c>
      <c r="C151" s="9">
        <v>1.5589999999999999</v>
      </c>
      <c r="D151" s="9">
        <v>1.4870000000000001</v>
      </c>
      <c r="E151" s="9">
        <v>1.484</v>
      </c>
      <c r="F151" s="9">
        <v>1.4490000000000001</v>
      </c>
    </row>
    <row r="152" spans="2:6" x14ac:dyDescent="0.3">
      <c r="B152" s="6">
        <v>149</v>
      </c>
      <c r="C152" s="9">
        <v>1.792</v>
      </c>
      <c r="D152" s="9">
        <v>1.6850000000000001</v>
      </c>
      <c r="E152" s="9">
        <v>1.6819999999999999</v>
      </c>
      <c r="F152" s="9">
        <v>1.6439999999999999</v>
      </c>
    </row>
    <row r="153" spans="2:6" x14ac:dyDescent="0.3">
      <c r="B153" s="6">
        <v>150</v>
      </c>
      <c r="C153" s="9">
        <v>2.0390000000000001</v>
      </c>
      <c r="D153" s="9">
        <v>1.899</v>
      </c>
      <c r="E153" s="9">
        <v>1.895</v>
      </c>
      <c r="F153" s="9">
        <v>1.8540000000000001</v>
      </c>
    </row>
    <row r="154" spans="2:6" x14ac:dyDescent="0.3">
      <c r="B154" s="6">
        <v>151</v>
      </c>
      <c r="C154" s="9">
        <v>2.2930000000000001</v>
      </c>
      <c r="D154" s="9">
        <v>2.1259999999999999</v>
      </c>
      <c r="E154" s="9">
        <v>2.121</v>
      </c>
      <c r="F154" s="9">
        <v>2.0699999999999998</v>
      </c>
    </row>
    <row r="155" spans="2:6" x14ac:dyDescent="0.3">
      <c r="B155" s="6">
        <v>152</v>
      </c>
      <c r="C155" s="9">
        <v>2.5550000000000002</v>
      </c>
      <c r="D155" s="9">
        <v>2.375</v>
      </c>
      <c r="E155" s="9">
        <v>2.3679999999999999</v>
      </c>
      <c r="F155" s="9">
        <v>2.302</v>
      </c>
    </row>
    <row r="156" spans="2:6" x14ac:dyDescent="0.3">
      <c r="B156" s="6">
        <v>153</v>
      </c>
      <c r="C156" s="9">
        <v>2.6749999999999998</v>
      </c>
      <c r="D156" s="9">
        <v>2.4550000000000001</v>
      </c>
      <c r="E156" s="9">
        <v>2.4500000000000002</v>
      </c>
      <c r="F156" s="9">
        <v>2.3679999999999999</v>
      </c>
    </row>
    <row r="157" spans="2:6" x14ac:dyDescent="0.3">
      <c r="B157" s="6">
        <v>154</v>
      </c>
      <c r="C157" s="9">
        <v>2.367</v>
      </c>
      <c r="D157" s="9">
        <v>2.1789999999999998</v>
      </c>
      <c r="E157" s="9">
        <v>2.1749999999999998</v>
      </c>
      <c r="F157" s="9">
        <v>2.105</v>
      </c>
    </row>
    <row r="158" spans="2:6" x14ac:dyDescent="0.3">
      <c r="B158" s="6">
        <v>155</v>
      </c>
      <c r="C158" s="9">
        <v>2.117</v>
      </c>
      <c r="D158" s="9">
        <v>1.958</v>
      </c>
      <c r="E158" s="9">
        <v>1.956</v>
      </c>
      <c r="F158" s="9">
        <v>1.895</v>
      </c>
    </row>
    <row r="159" spans="2:6" x14ac:dyDescent="0.3">
      <c r="B159" s="6">
        <v>156</v>
      </c>
      <c r="C159" s="9">
        <v>1.8839999999999999</v>
      </c>
      <c r="D159" s="9">
        <v>1.7569999999999999</v>
      </c>
      <c r="E159" s="9">
        <v>1.7549999999999999</v>
      </c>
      <c r="F159" s="9">
        <v>1.6990000000000001</v>
      </c>
    </row>
    <row r="160" spans="2:6" x14ac:dyDescent="0.3">
      <c r="B160" s="6">
        <v>157</v>
      </c>
      <c r="C160" s="9">
        <v>1.671</v>
      </c>
      <c r="D160" s="9">
        <v>1.575</v>
      </c>
      <c r="E160" s="9">
        <v>1.573</v>
      </c>
      <c r="F160" s="9">
        <v>1.5229999999999999</v>
      </c>
    </row>
    <row r="161" spans="2:6" x14ac:dyDescent="0.3">
      <c r="B161" s="6">
        <v>158</v>
      </c>
      <c r="C161" s="9">
        <v>1.486</v>
      </c>
      <c r="D161" s="9">
        <v>1.417</v>
      </c>
      <c r="E161" s="9">
        <v>1.415</v>
      </c>
      <c r="F161" s="9">
        <v>1.3720000000000001</v>
      </c>
    </row>
    <row r="162" spans="2:6" x14ac:dyDescent="0.3">
      <c r="B162" s="6">
        <v>159</v>
      </c>
      <c r="C162" s="9">
        <v>1.347</v>
      </c>
      <c r="D162" s="9">
        <v>1.2989999999999999</v>
      </c>
      <c r="E162" s="9">
        <v>1.2969999999999999</v>
      </c>
      <c r="F162" s="9">
        <v>1.2609999999999999</v>
      </c>
    </row>
    <row r="163" spans="2:6" x14ac:dyDescent="0.3">
      <c r="B163" s="6">
        <v>160</v>
      </c>
      <c r="C163" s="9">
        <v>1.2649999999999999</v>
      </c>
      <c r="D163" s="9">
        <v>1.232</v>
      </c>
      <c r="E163" s="9">
        <v>1.2290000000000001</v>
      </c>
      <c r="F163" s="9">
        <v>1.2030000000000001</v>
      </c>
    </row>
    <row r="164" spans="2:6" x14ac:dyDescent="0.3">
      <c r="B164" s="6">
        <v>161</v>
      </c>
      <c r="C164" s="9">
        <v>1.238</v>
      </c>
      <c r="D164" s="9">
        <v>1.2110000000000001</v>
      </c>
      <c r="E164" s="9">
        <v>1.208</v>
      </c>
      <c r="F164" s="9">
        <v>1.1870000000000001</v>
      </c>
    </row>
    <row r="165" spans="2:6" x14ac:dyDescent="0.3">
      <c r="B165" s="6">
        <v>162</v>
      </c>
      <c r="C165" s="9">
        <v>1.268</v>
      </c>
      <c r="D165" s="9">
        <v>1.2350000000000001</v>
      </c>
      <c r="E165" s="9">
        <v>1.232</v>
      </c>
      <c r="F165" s="9">
        <v>1.2070000000000001</v>
      </c>
    </row>
    <row r="166" spans="2:6" x14ac:dyDescent="0.3">
      <c r="B166" s="6">
        <v>163</v>
      </c>
      <c r="C166" s="9">
        <v>1.3520000000000001</v>
      </c>
      <c r="D166" s="9">
        <v>1.3069999999999999</v>
      </c>
      <c r="E166" s="9">
        <v>1.304</v>
      </c>
      <c r="F166" s="9">
        <v>1.2709999999999999</v>
      </c>
    </row>
    <row r="167" spans="2:6" x14ac:dyDescent="0.3">
      <c r="B167" s="6">
        <v>164</v>
      </c>
      <c r="C167" s="9">
        <v>1.492</v>
      </c>
      <c r="D167" s="9">
        <v>1.427</v>
      </c>
      <c r="E167" s="9">
        <v>1.4239999999999999</v>
      </c>
      <c r="F167" s="9">
        <v>1.387</v>
      </c>
    </row>
    <row r="168" spans="2:6" x14ac:dyDescent="0.3">
      <c r="B168" s="6">
        <v>165</v>
      </c>
      <c r="C168" s="9">
        <v>1.6819999999999999</v>
      </c>
      <c r="D168" s="9">
        <v>1.5920000000000001</v>
      </c>
      <c r="E168" s="9">
        <v>1.589</v>
      </c>
      <c r="F168" s="9">
        <v>1.546</v>
      </c>
    </row>
    <row r="169" spans="2:6" x14ac:dyDescent="0.3">
      <c r="B169" s="6">
        <v>166</v>
      </c>
      <c r="C169" s="9">
        <v>1.903</v>
      </c>
      <c r="D169" s="9">
        <v>1.7829999999999999</v>
      </c>
      <c r="E169" s="9">
        <v>1.7789999999999999</v>
      </c>
      <c r="F169" s="9">
        <v>1.7350000000000001</v>
      </c>
    </row>
    <row r="170" spans="2:6" x14ac:dyDescent="0.3">
      <c r="B170" s="6">
        <v>167</v>
      </c>
      <c r="C170" s="9">
        <v>2.145</v>
      </c>
      <c r="D170" s="9">
        <v>1.9930000000000001</v>
      </c>
      <c r="E170" s="9">
        <v>1.9890000000000001</v>
      </c>
      <c r="F170" s="9">
        <v>1.9390000000000001</v>
      </c>
    </row>
    <row r="171" spans="2:6" x14ac:dyDescent="0.3">
      <c r="B171" s="6">
        <v>168</v>
      </c>
      <c r="C171" s="9">
        <v>2.395</v>
      </c>
      <c r="D171" s="9">
        <v>2.2189999999999999</v>
      </c>
      <c r="E171" s="9">
        <v>2.2130000000000001</v>
      </c>
      <c r="F171" s="9">
        <v>2.1539999999999999</v>
      </c>
    </row>
    <row r="172" spans="2:6" x14ac:dyDescent="0.3">
      <c r="B172" s="6">
        <v>169</v>
      </c>
      <c r="C172" s="9">
        <v>2.6909999999999998</v>
      </c>
      <c r="D172" s="9">
        <v>2.4990000000000001</v>
      </c>
      <c r="E172" s="9">
        <v>2.4910000000000001</v>
      </c>
      <c r="F172" s="9">
        <v>2.4159999999999999</v>
      </c>
    </row>
    <row r="173" spans="2:6" x14ac:dyDescent="0.3">
      <c r="B173" s="6">
        <v>170</v>
      </c>
      <c r="C173" s="9">
        <v>2.87</v>
      </c>
      <c r="D173" s="9">
        <v>2.637</v>
      </c>
      <c r="E173" s="9">
        <v>2.633</v>
      </c>
      <c r="F173" s="9">
        <v>2.5379999999999998</v>
      </c>
    </row>
    <row r="174" spans="2:6" x14ac:dyDescent="0.3">
      <c r="B174" s="6">
        <v>171</v>
      </c>
      <c r="C174" s="9">
        <v>2.512</v>
      </c>
      <c r="D174" s="9">
        <v>2.3109999999999999</v>
      </c>
      <c r="E174" s="9">
        <v>2.3079999999999998</v>
      </c>
      <c r="F174" s="9">
        <v>2.2280000000000002</v>
      </c>
    </row>
    <row r="175" spans="2:6" x14ac:dyDescent="0.3">
      <c r="B175" s="6">
        <v>172</v>
      </c>
      <c r="C175" s="9">
        <v>2.2519999999999998</v>
      </c>
      <c r="D175" s="9">
        <v>2.08</v>
      </c>
      <c r="E175" s="9">
        <v>2.077</v>
      </c>
      <c r="F175" s="9">
        <v>2.008</v>
      </c>
    </row>
    <row r="176" spans="2:6" x14ac:dyDescent="0.3">
      <c r="B176" s="6">
        <v>173</v>
      </c>
      <c r="C176" s="9">
        <v>2.036</v>
      </c>
      <c r="D176" s="9">
        <v>1.889</v>
      </c>
      <c r="E176" s="9">
        <v>1.8859999999999999</v>
      </c>
      <c r="F176" s="9">
        <v>1.823</v>
      </c>
    </row>
    <row r="177" spans="2:6" x14ac:dyDescent="0.3">
      <c r="B177" s="6">
        <v>174</v>
      </c>
      <c r="C177" s="9">
        <v>1.8360000000000001</v>
      </c>
      <c r="D177" s="9">
        <v>1.7170000000000001</v>
      </c>
      <c r="E177" s="9">
        <v>1.716</v>
      </c>
      <c r="F177" s="9">
        <v>1.6579999999999999</v>
      </c>
    </row>
    <row r="178" spans="2:6" x14ac:dyDescent="0.3">
      <c r="B178" s="6">
        <v>175</v>
      </c>
      <c r="C178" s="9">
        <v>1.669</v>
      </c>
      <c r="D178" s="9">
        <v>1.575</v>
      </c>
      <c r="E178" s="9">
        <v>1.5740000000000001</v>
      </c>
      <c r="F178" s="9">
        <v>1.522</v>
      </c>
    </row>
    <row r="179" spans="2:6" x14ac:dyDescent="0.3">
      <c r="B179" s="6">
        <v>176</v>
      </c>
      <c r="C179" s="9">
        <v>1.5369999999999999</v>
      </c>
      <c r="D179" s="9">
        <v>1.464</v>
      </c>
      <c r="E179" s="9">
        <v>1.462</v>
      </c>
      <c r="F179" s="9">
        <v>1.4179999999999999</v>
      </c>
    </row>
    <row r="180" spans="2:6" x14ac:dyDescent="0.3">
      <c r="B180" s="6">
        <v>177</v>
      </c>
      <c r="C180" s="9">
        <v>1.4530000000000001</v>
      </c>
      <c r="D180" s="9">
        <v>1.3939999999999999</v>
      </c>
      <c r="E180" s="9">
        <v>1.391</v>
      </c>
      <c r="F180" s="9">
        <v>1.355</v>
      </c>
    </row>
    <row r="181" spans="2:6" x14ac:dyDescent="0.3">
      <c r="B181" s="6">
        <v>178</v>
      </c>
      <c r="C181" s="9">
        <v>1.425</v>
      </c>
      <c r="D181" s="9">
        <v>1.371</v>
      </c>
      <c r="E181" s="9">
        <v>1.3680000000000001</v>
      </c>
      <c r="F181" s="9">
        <v>1.337</v>
      </c>
    </row>
    <row r="182" spans="2:6" x14ac:dyDescent="0.3">
      <c r="B182" s="6">
        <v>179</v>
      </c>
      <c r="C182" s="9">
        <v>1.454</v>
      </c>
      <c r="D182" s="9">
        <v>1.397</v>
      </c>
      <c r="E182" s="9">
        <v>1.3939999999999999</v>
      </c>
      <c r="F182" s="9">
        <v>1.3580000000000001</v>
      </c>
    </row>
    <row r="183" spans="2:6" x14ac:dyDescent="0.3">
      <c r="B183" s="6">
        <v>180</v>
      </c>
      <c r="C183" s="9">
        <v>1.542</v>
      </c>
      <c r="D183" s="9">
        <v>1.4730000000000001</v>
      </c>
      <c r="E183" s="9">
        <v>1.47</v>
      </c>
      <c r="F183" s="9">
        <v>1.4279999999999999</v>
      </c>
    </row>
    <row r="184" spans="2:6" x14ac:dyDescent="0.3">
      <c r="B184" s="6">
        <v>181</v>
      </c>
      <c r="C184" s="9">
        <v>1.6779999999999999</v>
      </c>
      <c r="D184" s="9">
        <v>1.59</v>
      </c>
      <c r="E184" s="9">
        <v>1.587</v>
      </c>
      <c r="F184" s="9">
        <v>1.5389999999999999</v>
      </c>
    </row>
    <row r="185" spans="2:6" x14ac:dyDescent="0.3">
      <c r="B185" s="6">
        <v>182</v>
      </c>
      <c r="C185" s="9">
        <v>1.849</v>
      </c>
      <c r="D185" s="9">
        <v>1.7370000000000001</v>
      </c>
      <c r="E185" s="9">
        <v>1.7330000000000001</v>
      </c>
      <c r="F185" s="9">
        <v>1.6839999999999999</v>
      </c>
    </row>
    <row r="186" spans="2:6" x14ac:dyDescent="0.3">
      <c r="B186" s="6">
        <v>183</v>
      </c>
      <c r="C186" s="9">
        <v>2.056</v>
      </c>
      <c r="D186" s="9">
        <v>1.915</v>
      </c>
      <c r="E186" s="9">
        <v>1.911</v>
      </c>
      <c r="F186" s="9">
        <v>1.86</v>
      </c>
    </row>
    <row r="187" spans="2:6" x14ac:dyDescent="0.3">
      <c r="B187" s="6">
        <v>184</v>
      </c>
      <c r="C187" s="9">
        <v>2.2749999999999999</v>
      </c>
      <c r="D187" s="9">
        <v>2.1110000000000002</v>
      </c>
      <c r="E187" s="9">
        <v>2.105</v>
      </c>
      <c r="F187" s="9">
        <v>2.0449999999999999</v>
      </c>
    </row>
    <row r="188" spans="2:6" x14ac:dyDescent="0.3">
      <c r="B188" s="6">
        <v>185</v>
      </c>
      <c r="C188" s="9">
        <v>2.5350000000000001</v>
      </c>
      <c r="D188" s="9">
        <v>2.35</v>
      </c>
      <c r="E188" s="9">
        <v>2.3439999999999999</v>
      </c>
      <c r="F188" s="9">
        <v>2.2709999999999999</v>
      </c>
    </row>
    <row r="189" spans="2:6" x14ac:dyDescent="0.3">
      <c r="B189" s="6">
        <v>186</v>
      </c>
      <c r="C189" s="9">
        <v>2.8759999999999999</v>
      </c>
      <c r="D189" s="9">
        <v>2.6789999999999998</v>
      </c>
      <c r="E189" s="9">
        <v>2.67</v>
      </c>
      <c r="F189" s="9">
        <v>2.577</v>
      </c>
    </row>
    <row r="190" spans="2:6" x14ac:dyDescent="0.3">
      <c r="B190" s="6">
        <v>187</v>
      </c>
      <c r="C190" s="9">
        <v>3.073</v>
      </c>
      <c r="D190" s="9">
        <v>2.835</v>
      </c>
      <c r="E190" s="9">
        <v>2.83</v>
      </c>
      <c r="F190" s="9">
        <v>2.7130000000000001</v>
      </c>
    </row>
    <row r="191" spans="2:6" x14ac:dyDescent="0.3">
      <c r="B191" s="6">
        <v>188</v>
      </c>
      <c r="C191" s="9">
        <v>2.7229999999999999</v>
      </c>
      <c r="D191" s="9">
        <v>2.508</v>
      </c>
      <c r="E191" s="9">
        <v>2.5049999999999999</v>
      </c>
      <c r="F191" s="9">
        <v>2.4089999999999998</v>
      </c>
    </row>
    <row r="192" spans="2:6" x14ac:dyDescent="0.3">
      <c r="B192" s="6">
        <v>189</v>
      </c>
      <c r="C192" s="9">
        <v>2.4260000000000002</v>
      </c>
      <c r="D192" s="9">
        <v>2.2389999999999999</v>
      </c>
      <c r="E192" s="9">
        <v>2.2360000000000002</v>
      </c>
      <c r="F192" s="9">
        <v>2.1560000000000001</v>
      </c>
    </row>
    <row r="193" spans="2:6" x14ac:dyDescent="0.3">
      <c r="B193" s="6">
        <v>190</v>
      </c>
      <c r="C193" s="9">
        <v>2.2189999999999999</v>
      </c>
      <c r="D193" s="9">
        <v>2.0539999999999998</v>
      </c>
      <c r="E193" s="9">
        <v>2.052</v>
      </c>
      <c r="F193" s="9">
        <v>1.9770000000000001</v>
      </c>
    </row>
    <row r="194" spans="2:6" x14ac:dyDescent="0.3">
      <c r="B194" s="6">
        <v>191</v>
      </c>
      <c r="C194" s="9">
        <v>2.036</v>
      </c>
      <c r="D194" s="9">
        <v>1.893</v>
      </c>
      <c r="E194" s="9">
        <v>1.8919999999999999</v>
      </c>
      <c r="F194" s="9">
        <v>1.823</v>
      </c>
    </row>
    <row r="195" spans="2:6" x14ac:dyDescent="0.3">
      <c r="B195" s="6">
        <v>192</v>
      </c>
      <c r="C195" s="9">
        <v>1.8779999999999999</v>
      </c>
      <c r="D195" s="9">
        <v>1.758</v>
      </c>
      <c r="E195" s="9">
        <v>1.756</v>
      </c>
      <c r="F195" s="9">
        <v>1.696</v>
      </c>
    </row>
    <row r="196" spans="2:6" x14ac:dyDescent="0.3">
      <c r="B196" s="6">
        <v>193</v>
      </c>
      <c r="C196" s="9">
        <v>1.76</v>
      </c>
      <c r="D196" s="9">
        <v>1.659</v>
      </c>
      <c r="E196" s="9">
        <v>1.657</v>
      </c>
      <c r="F196" s="9">
        <v>1.6020000000000001</v>
      </c>
    </row>
    <row r="197" spans="2:6" x14ac:dyDescent="0.3">
      <c r="B197" s="6">
        <v>194</v>
      </c>
      <c r="C197" s="9">
        <v>1.6870000000000001</v>
      </c>
      <c r="D197" s="9">
        <v>1.597</v>
      </c>
      <c r="E197" s="9">
        <v>1.595</v>
      </c>
      <c r="F197" s="9">
        <v>1.548</v>
      </c>
    </row>
    <row r="198" spans="2:6" x14ac:dyDescent="0.3">
      <c r="B198" s="6">
        <v>195</v>
      </c>
      <c r="C198" s="9">
        <v>1.667</v>
      </c>
      <c r="D198" s="9">
        <v>1.58</v>
      </c>
      <c r="E198" s="9">
        <v>1.577</v>
      </c>
      <c r="F198" s="9">
        <v>1.5349999999999999</v>
      </c>
    </row>
    <row r="199" spans="2:6" x14ac:dyDescent="0.3">
      <c r="B199" s="6">
        <v>196</v>
      </c>
      <c r="C199" s="9">
        <v>1.6970000000000001</v>
      </c>
      <c r="D199" s="9">
        <v>1.607</v>
      </c>
      <c r="E199" s="9">
        <v>1.6040000000000001</v>
      </c>
      <c r="F199" s="9">
        <v>1.5580000000000001</v>
      </c>
    </row>
    <row r="200" spans="2:6" x14ac:dyDescent="0.3">
      <c r="B200" s="6">
        <v>197</v>
      </c>
      <c r="C200" s="9">
        <v>1.78</v>
      </c>
      <c r="D200" s="9">
        <v>1.68</v>
      </c>
      <c r="E200" s="9">
        <v>1.677</v>
      </c>
      <c r="F200" s="9">
        <v>1.625</v>
      </c>
    </row>
    <row r="201" spans="2:6" x14ac:dyDescent="0.3">
      <c r="B201" s="6">
        <v>198</v>
      </c>
      <c r="C201" s="9">
        <v>1.9019999999999999</v>
      </c>
      <c r="D201" s="9">
        <v>1.784</v>
      </c>
      <c r="E201" s="9">
        <v>1.7809999999999999</v>
      </c>
      <c r="F201" s="9">
        <v>1.7250000000000001</v>
      </c>
    </row>
    <row r="202" spans="2:6" x14ac:dyDescent="0.3">
      <c r="B202" s="6">
        <v>199</v>
      </c>
      <c r="C202" s="9">
        <v>2.0579999999999998</v>
      </c>
      <c r="D202" s="9">
        <v>1.921</v>
      </c>
      <c r="E202" s="9">
        <v>1.917</v>
      </c>
      <c r="F202" s="9">
        <v>1.859</v>
      </c>
    </row>
    <row r="203" spans="2:6" x14ac:dyDescent="0.3">
      <c r="B203" s="6">
        <v>200</v>
      </c>
      <c r="C203" s="9">
        <v>2.2389999999999999</v>
      </c>
      <c r="D203" s="9">
        <v>2.081</v>
      </c>
      <c r="E203" s="9">
        <v>2.0760000000000001</v>
      </c>
      <c r="F203" s="9">
        <v>2.0139999999999998</v>
      </c>
    </row>
    <row r="204" spans="2:6" x14ac:dyDescent="0.3">
      <c r="B204" s="6">
        <v>201</v>
      </c>
      <c r="C204" s="9">
        <v>2.4420000000000002</v>
      </c>
      <c r="D204" s="9">
        <v>2.2610000000000001</v>
      </c>
      <c r="E204" s="9">
        <v>2.2559999999999998</v>
      </c>
      <c r="F204" s="9">
        <v>2.1880000000000002</v>
      </c>
    </row>
    <row r="205" spans="2:6" x14ac:dyDescent="0.3">
      <c r="B205" s="6">
        <v>202</v>
      </c>
      <c r="C205" s="9">
        <v>2.7320000000000002</v>
      </c>
      <c r="D205" s="9">
        <v>2.5299999999999998</v>
      </c>
      <c r="E205" s="9">
        <v>2.524</v>
      </c>
      <c r="F205" s="9">
        <v>2.4369999999999998</v>
      </c>
    </row>
    <row r="206" spans="2:6" x14ac:dyDescent="0.3">
      <c r="B206" s="6">
        <v>203</v>
      </c>
      <c r="C206" s="9">
        <v>3.0459999999999998</v>
      </c>
      <c r="D206" s="9">
        <v>2.8370000000000002</v>
      </c>
      <c r="E206" s="9">
        <v>2.83</v>
      </c>
      <c r="F206" s="9">
        <v>2.7189999999999999</v>
      </c>
    </row>
    <row r="207" spans="2:6" x14ac:dyDescent="0.3">
      <c r="B207" s="6">
        <v>204</v>
      </c>
      <c r="C207" s="9">
        <v>3.2170000000000001</v>
      </c>
      <c r="D207" s="9">
        <v>2.9969999999999999</v>
      </c>
      <c r="E207" s="9">
        <v>2.992</v>
      </c>
      <c r="F207" s="9">
        <v>2.8559999999999999</v>
      </c>
    </row>
    <row r="208" spans="2:6" x14ac:dyDescent="0.3">
      <c r="B208" s="6">
        <v>205</v>
      </c>
      <c r="C208" s="9">
        <v>2.972</v>
      </c>
      <c r="D208" s="9">
        <v>2.7570000000000001</v>
      </c>
      <c r="E208" s="9">
        <v>2.7530000000000001</v>
      </c>
      <c r="F208" s="9">
        <v>2.64</v>
      </c>
    </row>
    <row r="209" spans="1:89" x14ac:dyDescent="0.3">
      <c r="B209" s="6">
        <v>206</v>
      </c>
      <c r="C209" s="9">
        <v>2.6739999999999999</v>
      </c>
      <c r="D209" s="9">
        <v>2.48</v>
      </c>
      <c r="E209" s="9">
        <v>2.476</v>
      </c>
      <c r="F209" s="9">
        <v>2.3809999999999998</v>
      </c>
    </row>
    <row r="210" spans="1:89" x14ac:dyDescent="0.3">
      <c r="B210" s="6">
        <v>207</v>
      </c>
      <c r="C210" s="9">
        <v>2.4319999999999999</v>
      </c>
      <c r="D210" s="9">
        <v>2.2589999999999999</v>
      </c>
      <c r="E210" s="9">
        <v>2.2570000000000001</v>
      </c>
      <c r="F210" s="9">
        <v>2.1709999999999998</v>
      </c>
    </row>
    <row r="211" spans="1:89" x14ac:dyDescent="0.3">
      <c r="B211" s="6">
        <v>208</v>
      </c>
      <c r="C211" s="9">
        <v>2.2669999999999999</v>
      </c>
      <c r="D211" s="9">
        <v>2.113</v>
      </c>
      <c r="E211" s="9">
        <v>2.1110000000000002</v>
      </c>
      <c r="F211" s="9">
        <v>2.0310000000000001</v>
      </c>
    </row>
    <row r="212" spans="1:89" x14ac:dyDescent="0.3">
      <c r="B212" s="6">
        <v>209</v>
      </c>
      <c r="C212" s="9">
        <v>2.121</v>
      </c>
      <c r="D212" s="9">
        <v>1.9810000000000001</v>
      </c>
      <c r="E212" s="9">
        <v>1.98</v>
      </c>
      <c r="F212" s="9">
        <v>1.9079999999999999</v>
      </c>
    </row>
    <row r="213" spans="1:89" x14ac:dyDescent="0.3">
      <c r="B213" s="6">
        <v>210</v>
      </c>
      <c r="C213" s="9">
        <v>2.0110000000000001</v>
      </c>
      <c r="D213" s="9">
        <v>1.8839999999999999</v>
      </c>
      <c r="E213" s="9">
        <v>1.8819999999999999</v>
      </c>
      <c r="F213" s="9">
        <v>1.8160000000000001</v>
      </c>
    </row>
    <row r="214" spans="1:89" x14ac:dyDescent="0.3">
      <c r="B214" s="6">
        <v>211</v>
      </c>
      <c r="C214" s="9">
        <v>1.944</v>
      </c>
      <c r="D214" s="9">
        <v>1.8260000000000001</v>
      </c>
      <c r="E214" s="9">
        <v>1.8240000000000001</v>
      </c>
      <c r="F214" s="9">
        <v>1.7629999999999999</v>
      </c>
    </row>
    <row r="215" spans="1:89" x14ac:dyDescent="0.3">
      <c r="B215" s="6">
        <v>212</v>
      </c>
      <c r="C215" s="9">
        <v>1.931</v>
      </c>
      <c r="D215" s="9">
        <v>1.8140000000000001</v>
      </c>
      <c r="E215" s="9">
        <v>1.8109999999999999</v>
      </c>
      <c r="F215" s="9">
        <v>1.7509999999999999</v>
      </c>
    </row>
    <row r="216" spans="1:89" x14ac:dyDescent="0.3">
      <c r="B216" s="6">
        <v>213</v>
      </c>
      <c r="C216" s="9">
        <v>1.96</v>
      </c>
      <c r="D216" s="9">
        <v>1.8420000000000001</v>
      </c>
      <c r="E216" s="9">
        <v>1.839</v>
      </c>
      <c r="F216" s="9">
        <v>1.782</v>
      </c>
    </row>
    <row r="217" spans="1:89" x14ac:dyDescent="0.3">
      <c r="B217" s="6">
        <v>214</v>
      </c>
      <c r="C217" s="9">
        <v>2.048</v>
      </c>
      <c r="D217" s="9">
        <v>1.915</v>
      </c>
      <c r="E217" s="9">
        <v>1.913</v>
      </c>
      <c r="F217" s="9">
        <v>1.851</v>
      </c>
    </row>
    <row r="218" spans="1:89" x14ac:dyDescent="0.3">
      <c r="B218" s="6">
        <v>215</v>
      </c>
      <c r="C218" s="9">
        <v>2.161</v>
      </c>
      <c r="D218" s="9">
        <v>2.0209999999999999</v>
      </c>
      <c r="E218" s="9">
        <v>2.0169999999999999</v>
      </c>
      <c r="F218" s="9">
        <v>1.9530000000000001</v>
      </c>
    </row>
    <row r="219" spans="1:89" x14ac:dyDescent="0.3">
      <c r="B219" s="6">
        <v>216</v>
      </c>
      <c r="C219" s="9">
        <v>2.302</v>
      </c>
      <c r="D219" s="9">
        <v>2.149</v>
      </c>
      <c r="E219" s="9">
        <v>2.145</v>
      </c>
      <c r="F219" s="9">
        <v>2.0720000000000001</v>
      </c>
    </row>
    <row r="220" spans="1:89" x14ac:dyDescent="0.3">
      <c r="B220" s="6">
        <v>217</v>
      </c>
      <c r="C220" s="9">
        <v>2.46</v>
      </c>
      <c r="D220" s="9">
        <v>2.29</v>
      </c>
      <c r="E220" s="9">
        <v>2.2850000000000001</v>
      </c>
      <c r="F220" s="9">
        <v>2.2069999999999999</v>
      </c>
    </row>
    <row r="221" spans="1:89" x14ac:dyDescent="0.3">
      <c r="B221" s="6">
        <v>218</v>
      </c>
      <c r="C221" s="9">
        <v>2.6859999999999999</v>
      </c>
      <c r="D221" s="9">
        <v>2.4990000000000001</v>
      </c>
      <c r="E221" s="9">
        <v>2.4929999999999999</v>
      </c>
      <c r="F221" s="9">
        <v>2.403</v>
      </c>
    </row>
    <row r="222" spans="1:89" x14ac:dyDescent="0.3">
      <c r="B222" s="6">
        <v>219</v>
      </c>
      <c r="C222" s="9">
        <v>2.9449999999999998</v>
      </c>
      <c r="D222" s="9">
        <v>2.742</v>
      </c>
      <c r="E222" s="9">
        <v>2.7349999999999999</v>
      </c>
      <c r="F222" s="9">
        <v>2.633</v>
      </c>
    </row>
    <row r="223" spans="1:89" x14ac:dyDescent="0.3">
      <c r="B223" s="6">
        <v>220</v>
      </c>
      <c r="C223" s="9">
        <v>3.1389999999999998</v>
      </c>
      <c r="D223" s="9">
        <v>2.9289999999999998</v>
      </c>
      <c r="E223" s="9">
        <v>2.9220000000000002</v>
      </c>
      <c r="F223" s="9">
        <v>2.8029999999999999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4902-3C7E-4A47-902C-CC8F8433106F}">
  <sheetPr codeName="工作表1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754.76199999999994</v>
      </c>
      <c r="J2" s="2">
        <f ca="1">goldenOTP_check!J2*J58</f>
        <v>787.86</v>
      </c>
      <c r="K2" s="2">
        <f ca="1">goldenOTP_check!K2*K58</f>
        <v>835.61200000000008</v>
      </c>
      <c r="L2" s="2">
        <f ca="1">goldenOTP_check!L2*L58</f>
        <v>864.59500000000003</v>
      </c>
      <c r="M2" s="2">
        <f ca="1">goldenOTP_check!M2*M58</f>
        <v>911.47199999999998</v>
      </c>
      <c r="N2" s="2">
        <f ca="1">goldenOTP_check!N2*N58</f>
        <v>910.45500000000004</v>
      </c>
      <c r="O2" s="2">
        <f ca="1">goldenOTP_check!O2*O58</f>
        <v>929.66</v>
      </c>
      <c r="P2" s="2">
        <f ca="1">goldenOTP_check!P2*P58</f>
        <v>966.45999999999992</v>
      </c>
      <c r="Q2" s="2">
        <f ca="1">goldenOTP_check!Q2*Q58</f>
        <v>946.77199999999993</v>
      </c>
      <c r="R2" s="2">
        <f ca="1">goldenOTP_check!R2*R58</f>
        <v>964.43599999999992</v>
      </c>
      <c r="S2" s="2">
        <f ca="1">goldenOTP_check!S2*S58</f>
        <v>951.95</v>
      </c>
      <c r="T2" s="2">
        <f ca="1">goldenOTP_check!T2*T58</f>
        <v>938.53099999999995</v>
      </c>
      <c r="U2" s="2">
        <f ca="1">goldenOTP_check!U2*U58</f>
        <v>904.53600000000006</v>
      </c>
      <c r="V2" s="2">
        <f ca="1">goldenOTP_check!V2*V58</f>
        <v>859.18</v>
      </c>
      <c r="W2" s="2">
        <f ca="1">goldenOTP_check!W2*W58</f>
        <v>833.39300000000003</v>
      </c>
      <c r="X2" s="2">
        <f ca="1">goldenOTP_check!X2*X58</f>
        <v>780.57</v>
      </c>
      <c r="Y2" s="3">
        <f ca="1">goldenOTP_check!Y2*Y58</f>
        <v>738.51</v>
      </c>
      <c r="BA2"/>
      <c r="BB2"/>
      <c r="BC2"/>
      <c r="BD2"/>
    </row>
    <row r="3" spans="2:56" x14ac:dyDescent="0.3">
      <c r="B3" s="8">
        <v>0</v>
      </c>
      <c r="C3" s="9">
        <v>3.1579999999999999</v>
      </c>
      <c r="D3" s="9">
        <v>2.9380000000000002</v>
      </c>
      <c r="E3" s="9">
        <v>2.9380000000000002</v>
      </c>
      <c r="F3" s="9">
        <v>2.8010000000000002</v>
      </c>
      <c r="H3" t="s">
        <v>6</v>
      </c>
      <c r="I3" s="2">
        <f ca="1">goldenOTP_check!I3*I59</f>
        <v>826.47</v>
      </c>
      <c r="J3" s="2">
        <f ca="1">goldenOTP_check!J3*J59</f>
        <v>858.75300000000004</v>
      </c>
      <c r="K3" s="2">
        <f ca="1">goldenOTP_check!K3*K59</f>
        <v>877.82499999999993</v>
      </c>
      <c r="L3" s="2">
        <f ca="1">goldenOTP_check!L3*L59</f>
        <v>931.44600000000003</v>
      </c>
      <c r="M3" s="2">
        <f ca="1">goldenOTP_check!M3*M59</f>
        <v>952.69</v>
      </c>
      <c r="N3" s="2">
        <f ca="1">goldenOTP_check!N3*N59</f>
        <v>992.93299999999999</v>
      </c>
      <c r="O3" s="2">
        <f ca="1">goldenOTP_check!O3*O59</f>
        <v>993.20399999999995</v>
      </c>
      <c r="P3" s="2">
        <f ca="1">goldenOTP_check!P3*P59</f>
        <v>1012.2</v>
      </c>
      <c r="Q3" s="2">
        <f ca="1">goldenOTP_check!Q3*Q59</f>
        <v>1015.482</v>
      </c>
      <c r="R3" s="2">
        <f ca="1">goldenOTP_check!R3*R59</f>
        <v>1010.4</v>
      </c>
      <c r="S3" s="2">
        <f ca="1">goldenOTP_check!S3*S59</f>
        <v>1011.456</v>
      </c>
      <c r="T3" s="2">
        <f ca="1">goldenOTP_check!T3*T59</f>
        <v>989.23</v>
      </c>
      <c r="U3" s="2">
        <f ca="1">goldenOTP_check!U3*U59</f>
        <v>950.33999999999992</v>
      </c>
      <c r="V3" s="2">
        <f ca="1">goldenOTP_check!V3*V59</f>
        <v>928.06200000000001</v>
      </c>
      <c r="W3" s="2">
        <f ca="1">goldenOTP_check!W3*W59</f>
        <v>877.09500000000003</v>
      </c>
      <c r="X3" s="2">
        <f ca="1">goldenOTP_check!X3*X59</f>
        <v>852.41300000000001</v>
      </c>
      <c r="Y3" s="2">
        <f ca="1">goldenOTP_check!Y3*Y59</f>
        <v>760.92</v>
      </c>
      <c r="BA3"/>
      <c r="BB3"/>
      <c r="BC3"/>
      <c r="BD3"/>
    </row>
    <row r="4" spans="2:56" x14ac:dyDescent="0.3">
      <c r="B4" s="6">
        <v>1</v>
      </c>
      <c r="C4" s="9">
        <v>2.9180000000000001</v>
      </c>
      <c r="D4" s="9">
        <v>2.7040000000000002</v>
      </c>
      <c r="E4" s="9">
        <v>2.706</v>
      </c>
      <c r="F4" s="9">
        <v>2.5859999999999999</v>
      </c>
      <c r="I4" s="2">
        <f ca="1">goldenOTP_check!I4*I60</f>
        <v>834.91</v>
      </c>
      <c r="J4" s="2">
        <f ca="1">goldenOTP_check!J4*J60</f>
        <v>883.2059999999999</v>
      </c>
      <c r="K4" s="2">
        <f ca="1">goldenOTP_check!K4*K60</f>
        <v>919.58400000000006</v>
      </c>
      <c r="L4" s="2">
        <f ca="1">goldenOTP_check!L4*L60</f>
        <v>950.33999999999992</v>
      </c>
      <c r="M4" s="2">
        <f ca="1">goldenOTP_check!M4*M60</f>
        <v>989.48900000000003</v>
      </c>
      <c r="N4" s="2">
        <f ca="1">goldenOTP_check!N4*N60</f>
        <v>1018.537</v>
      </c>
      <c r="O4" s="2">
        <f ca="1">goldenOTP_check!O4*O60</f>
        <v>1031.8</v>
      </c>
      <c r="P4" s="2">
        <f ca="1">goldenOTP_check!P4*P60</f>
        <v>1031.4660000000001</v>
      </c>
      <c r="Q4" s="2">
        <f ca="1">goldenOTP_check!Q4*Q60</f>
        <v>1029.6119999999999</v>
      </c>
      <c r="R4" s="2">
        <f ca="1">goldenOTP_check!R4*R60</f>
        <v>1032.8780000000002</v>
      </c>
      <c r="S4" s="2">
        <f ca="1">goldenOTP_check!S4*S60</f>
        <v>1035.82</v>
      </c>
      <c r="T4" s="2">
        <f ca="1">goldenOTP_check!T4*T60</f>
        <v>1020.981</v>
      </c>
      <c r="U4" s="2">
        <f ca="1">goldenOTP_check!U4*U60</f>
        <v>990.57100000000003</v>
      </c>
      <c r="V4" s="2">
        <f ca="1">goldenOTP_check!V4*V60</f>
        <v>950.33999999999992</v>
      </c>
      <c r="W4" s="2">
        <f ca="1">goldenOTP_check!W4*W60</f>
        <v>916.7</v>
      </c>
      <c r="X4" s="2">
        <f ca="1">goldenOTP_check!X4*X60</f>
        <v>873.67500000000007</v>
      </c>
      <c r="Y4" s="2">
        <f ca="1">goldenOTP_check!Y4*Y60</f>
        <v>814.31999999999994</v>
      </c>
      <c r="BA4"/>
      <c r="BB4"/>
      <c r="BC4"/>
      <c r="BD4"/>
    </row>
    <row r="5" spans="2:56" x14ac:dyDescent="0.3">
      <c r="B5" s="6">
        <v>2</v>
      </c>
      <c r="C5" s="9">
        <v>2.6360000000000001</v>
      </c>
      <c r="D5" s="9">
        <v>2.44</v>
      </c>
      <c r="E5" s="9">
        <v>2.444</v>
      </c>
      <c r="F5" s="9">
        <v>2.3420000000000001</v>
      </c>
      <c r="I5" s="2">
        <f ca="1">goldenOTP_check!I5*I61</f>
        <v>842.14800000000002</v>
      </c>
      <c r="J5" s="2">
        <f ca="1">goldenOTP_check!J5*J61</f>
        <v>887.7360000000001</v>
      </c>
      <c r="K5" s="2">
        <f ca="1">goldenOTP_check!K5*K61</f>
        <v>941.38199999999995</v>
      </c>
      <c r="L5" s="2">
        <f ca="1">goldenOTP_check!L5*L61</f>
        <v>991.346</v>
      </c>
      <c r="M5" s="2">
        <f ca="1">goldenOTP_check!M5*M61</f>
        <v>1017.9259999999999</v>
      </c>
      <c r="N5" s="2">
        <f ca="1">goldenOTP_check!N5*N61</f>
        <v>1033.366</v>
      </c>
      <c r="O5" s="2">
        <f ca="1">goldenOTP_check!O5*O61</f>
        <v>1035.9840000000002</v>
      </c>
      <c r="P5" s="2">
        <f ca="1">goldenOTP_check!P5*P61</f>
        <v>1036.4580000000001</v>
      </c>
      <c r="Q5" s="2">
        <f ca="1">goldenOTP_check!Q5*Q61</f>
        <v>1047.925</v>
      </c>
      <c r="R5" s="2">
        <f ca="1">goldenOTP_check!R5*R61</f>
        <v>1040.5129999999999</v>
      </c>
      <c r="S5" s="2">
        <f ca="1">goldenOTP_check!S5*S61</f>
        <v>1043.624</v>
      </c>
      <c r="T5" s="2">
        <f ca="1">goldenOTP_check!T5*T61</f>
        <v>1040.306</v>
      </c>
      <c r="U5" s="2">
        <f ca="1">goldenOTP_check!U5*U61</f>
        <v>1022.814</v>
      </c>
      <c r="V5" s="2">
        <f ca="1">goldenOTP_check!V5*V61</f>
        <v>992.404</v>
      </c>
      <c r="W5" s="2">
        <f ca="1">goldenOTP_check!W5*W61</f>
        <v>937.80599999999993</v>
      </c>
      <c r="X5" s="2">
        <f ca="1">goldenOTP_check!X5*X61</f>
        <v>876.45600000000002</v>
      </c>
      <c r="Y5" s="2">
        <f ca="1">goldenOTP_check!Y5*Y61</f>
        <v>820.48199999999997</v>
      </c>
      <c r="BA5"/>
      <c r="BB5"/>
      <c r="BC5"/>
      <c r="BD5"/>
    </row>
    <row r="6" spans="2:56" x14ac:dyDescent="0.3">
      <c r="B6" s="6">
        <v>3</v>
      </c>
      <c r="C6" s="9">
        <v>2.395</v>
      </c>
      <c r="D6" s="9">
        <v>2.2200000000000002</v>
      </c>
      <c r="E6" s="9">
        <v>2.2240000000000002</v>
      </c>
      <c r="F6" s="9">
        <v>2.1389999999999998</v>
      </c>
      <c r="I6" s="2">
        <f ca="1">goldenOTP_check!I6*I62</f>
        <v>846.15300000000002</v>
      </c>
      <c r="J6" s="2">
        <f ca="1">goldenOTP_check!J6*J62</f>
        <v>928.64800000000002</v>
      </c>
      <c r="K6" s="2">
        <f ca="1">goldenOTP_check!K6*K62</f>
        <v>963.51800000000003</v>
      </c>
      <c r="L6" s="2">
        <f ca="1">goldenOTP_check!L6*L62</f>
        <v>1014.3359999999999</v>
      </c>
      <c r="M6" s="2">
        <f ca="1">goldenOTP_check!M6*M62</f>
        <v>1032.47</v>
      </c>
      <c r="N6" s="2">
        <f ca="1">goldenOTP_check!N6*N62</f>
        <v>1035.22</v>
      </c>
      <c r="O6" s="2">
        <f ca="1">goldenOTP_check!O6*O62</f>
        <v>1040.116</v>
      </c>
      <c r="P6" s="2">
        <f ca="1">goldenOTP_check!P6*P62</f>
        <v>1043.4649999999999</v>
      </c>
      <c r="Q6" s="2">
        <f ca="1">goldenOTP_check!Q6*Q62</f>
        <v>1046.0539999999999</v>
      </c>
      <c r="R6" s="2">
        <f ca="1">goldenOTP_check!R6*R62</f>
        <v>1045.2750000000001</v>
      </c>
      <c r="S6" s="2">
        <f ca="1">goldenOTP_check!S6*S62</f>
        <v>1043.5039999999999</v>
      </c>
      <c r="T6" s="2">
        <f ca="1">goldenOTP_check!T6*T62</f>
        <v>1036.748</v>
      </c>
      <c r="U6" s="2">
        <f ca="1">goldenOTP_check!U6*U62</f>
        <v>1031.8</v>
      </c>
      <c r="V6" s="2">
        <f ca="1">goldenOTP_check!V6*V62</f>
        <v>1013.184</v>
      </c>
      <c r="W6" s="2">
        <f ca="1">goldenOTP_check!W6*W62</f>
        <v>961.59</v>
      </c>
      <c r="X6" s="2">
        <f ca="1">goldenOTP_check!X6*X62</f>
        <v>896.00000000000011</v>
      </c>
      <c r="Y6" s="2">
        <f ca="1">goldenOTP_check!Y6*Y62</f>
        <v>843.17399999999998</v>
      </c>
      <c r="BA6"/>
      <c r="BB6"/>
      <c r="BC6"/>
      <c r="BD6"/>
    </row>
    <row r="7" spans="2:56" x14ac:dyDescent="0.3">
      <c r="B7" s="6">
        <v>4</v>
      </c>
      <c r="C7" s="9">
        <v>2.234</v>
      </c>
      <c r="D7" s="9">
        <v>2.0739999999999998</v>
      </c>
      <c r="E7" s="9">
        <v>2.0779999999999998</v>
      </c>
      <c r="F7" s="9">
        <v>2.0049999999999999</v>
      </c>
      <c r="I7" s="2">
        <f ca="1">goldenOTP_check!I7*I63</f>
        <v>852.84</v>
      </c>
      <c r="J7" s="2">
        <f ca="1">goldenOTP_check!J7*J63</f>
        <v>925.947</v>
      </c>
      <c r="K7" s="2">
        <f ca="1">goldenOTP_check!K7*K63</f>
        <v>973.03800000000001</v>
      </c>
      <c r="L7" s="2">
        <f ca="1">goldenOTP_check!L7*L63</f>
        <v>1006.8</v>
      </c>
      <c r="M7" s="2">
        <f ca="1">goldenOTP_check!M7*M63</f>
        <v>1025.1120000000001</v>
      </c>
      <c r="N7" s="2">
        <f ca="1">goldenOTP_check!N7*N63</f>
        <v>1034.836</v>
      </c>
      <c r="O7" s="2">
        <f ca="1">goldenOTP_check!O7*O63</f>
        <v>1042.56</v>
      </c>
      <c r="P7" s="2">
        <f ca="1">goldenOTP_check!P7*P63</f>
        <v>1030.5159999999998</v>
      </c>
      <c r="Q7" s="2">
        <f ca="1">goldenOTP_check!Q7*Q63</f>
        <v>1025.5440000000001</v>
      </c>
      <c r="R7" s="2">
        <f ca="1">goldenOTP_check!R7*R63</f>
        <v>1044.3200000000002</v>
      </c>
      <c r="S7" s="2">
        <f ca="1">goldenOTP_check!S7*S63</f>
        <v>1042.56</v>
      </c>
      <c r="T7" s="2">
        <f ca="1">goldenOTP_check!T7*T63</f>
        <v>1030.7809999999999</v>
      </c>
      <c r="U7" s="2">
        <f ca="1">goldenOTP_check!U7*U63</f>
        <v>1021.582</v>
      </c>
      <c r="V7" s="2">
        <f ca="1">goldenOTP_check!V7*V63</f>
        <v>1004.4</v>
      </c>
      <c r="W7" s="2">
        <f ca="1">goldenOTP_check!W7*W63</f>
        <v>972.53199999999993</v>
      </c>
      <c r="X7" s="2">
        <f ca="1">goldenOTP_check!X7*X63</f>
        <v>922.56299999999999</v>
      </c>
      <c r="Y7" s="2">
        <f ca="1">goldenOTP_check!Y7*Y63</f>
        <v>842.14499999999998</v>
      </c>
      <c r="BA7"/>
      <c r="BB7"/>
      <c r="BC7"/>
      <c r="BD7"/>
    </row>
    <row r="8" spans="2:56" x14ac:dyDescent="0.3">
      <c r="B8" s="6">
        <v>5</v>
      </c>
      <c r="C8" s="9">
        <v>2.093</v>
      </c>
      <c r="D8" s="9">
        <v>1.9510000000000001</v>
      </c>
      <c r="E8" s="9">
        <v>1.9550000000000001</v>
      </c>
      <c r="F8" s="9">
        <v>1.889</v>
      </c>
      <c r="I8" s="2">
        <f ca="1">goldenOTP_check!I8*I64</f>
        <v>878.577</v>
      </c>
      <c r="J8" s="2">
        <f ca="1">goldenOTP_check!J8*J64</f>
        <v>943.51499999999999</v>
      </c>
      <c r="K8" s="2">
        <f ca="1">goldenOTP_check!K8*K64</f>
        <v>980.23199999999997</v>
      </c>
      <c r="L8" s="2">
        <f ca="1">goldenOTP_check!L8*L64</f>
        <v>1005.7059999999999</v>
      </c>
      <c r="M8" s="2">
        <f ca="1">goldenOTP_check!M8*M64</f>
        <v>1030.806</v>
      </c>
      <c r="N8" s="2">
        <f ca="1">goldenOTP_check!N8*N64</f>
        <v>1032.895</v>
      </c>
      <c r="O8" s="2">
        <f ca="1">goldenOTP_check!O8*O64</f>
        <v>1034.9060000000002</v>
      </c>
      <c r="P8" s="2">
        <f ca="1">goldenOTP_check!P8*P64</f>
        <v>1030.9680000000001</v>
      </c>
      <c r="Q8" s="2">
        <f ca="1">goldenOTP_check!Q8*Q64</f>
        <v>1029.1379999999999</v>
      </c>
      <c r="R8" s="2">
        <f ca="1">goldenOTP_check!R8*R64</f>
        <v>1033.9649999999999</v>
      </c>
      <c r="S8" s="2">
        <f ca="1">goldenOTP_check!S8*S64</f>
        <v>1052.979</v>
      </c>
      <c r="T8" s="2">
        <f ca="1">goldenOTP_check!T8*T64</f>
        <v>1035.4000000000001</v>
      </c>
      <c r="U8" s="2">
        <f ca="1">goldenOTP_check!U8*U64</f>
        <v>1032.2639999999999</v>
      </c>
      <c r="V8" s="2">
        <f ca="1">goldenOTP_check!V8*V64</f>
        <v>1005.7059999999999</v>
      </c>
      <c r="W8" s="2">
        <f ca="1">goldenOTP_check!W8*W64</f>
        <v>978.68100000000004</v>
      </c>
      <c r="X8" s="2">
        <f ca="1">goldenOTP_check!X8*X64</f>
        <v>910.71900000000005</v>
      </c>
      <c r="Y8" s="2">
        <f ca="1">goldenOTP_check!Y8*Y64</f>
        <v>871.09299999999996</v>
      </c>
    </row>
    <row r="9" spans="2:56" x14ac:dyDescent="0.3">
      <c r="B9" s="6">
        <v>6</v>
      </c>
      <c r="C9" s="9">
        <v>1.978</v>
      </c>
      <c r="D9" s="9">
        <v>1.8520000000000001</v>
      </c>
      <c r="E9" s="9">
        <v>1.8560000000000001</v>
      </c>
      <c r="F9" s="9">
        <v>1.798</v>
      </c>
      <c r="I9" s="2">
        <f ca="1">goldenOTP_check!I9*I65</f>
        <v>857.32499999999993</v>
      </c>
      <c r="J9" s="2">
        <f ca="1">goldenOTP_check!J9*J65</f>
        <v>927.21600000000012</v>
      </c>
      <c r="K9" s="2">
        <f ca="1">goldenOTP_check!K9*K65</f>
        <v>971.01400000000001</v>
      </c>
      <c r="L9" s="2">
        <f ca="1">goldenOTP_check!L9*L65</f>
        <v>1019.1479999999999</v>
      </c>
      <c r="M9" s="2">
        <f ca="1">goldenOTP_check!M9*M65</f>
        <v>1031.046</v>
      </c>
      <c r="N9" s="2">
        <f ca="1">goldenOTP_check!N9*N65</f>
        <v>1036.98</v>
      </c>
      <c r="O9" s="2">
        <f ca="1">goldenOTP_check!O9*O65</f>
        <v>1041.712</v>
      </c>
      <c r="P9" s="2">
        <f ca="1">goldenOTP_check!P9*P65</f>
        <v>1029.6799999999998</v>
      </c>
      <c r="Q9" s="2">
        <f ca="1">goldenOTP_check!Q9*Q65</f>
        <v>1026.972</v>
      </c>
      <c r="R9" s="2">
        <f ca="1">goldenOTP_check!R9*R65</f>
        <v>1036.5119999999999</v>
      </c>
      <c r="S9" s="2">
        <f ca="1">goldenOTP_check!S9*S65</f>
        <v>1051.799</v>
      </c>
      <c r="T9" s="2">
        <f ca="1">goldenOTP_check!T9*T65</f>
        <v>1044.3869999999999</v>
      </c>
      <c r="U9" s="2">
        <f ca="1">goldenOTP_check!U9*U65</f>
        <v>1038.2159999999999</v>
      </c>
      <c r="V9" s="2">
        <f ca="1">goldenOTP_check!V9*V65</f>
        <v>1003.8000000000001</v>
      </c>
      <c r="W9" s="2">
        <f ca="1">goldenOTP_check!W9*W65</f>
        <v>970.50799999999992</v>
      </c>
      <c r="X9" s="2">
        <f ca="1">goldenOTP_check!X9*X65</f>
        <v>917.91</v>
      </c>
      <c r="Y9" s="2">
        <f ca="1">goldenOTP_check!Y9*Y65</f>
        <v>835.93500000000006</v>
      </c>
    </row>
    <row r="10" spans="2:56" x14ac:dyDescent="0.3">
      <c r="B10" s="6">
        <v>7</v>
      </c>
      <c r="C10" s="9">
        <v>1.91</v>
      </c>
      <c r="D10" s="9">
        <v>1.792</v>
      </c>
      <c r="E10" s="9">
        <v>1.796</v>
      </c>
      <c r="F10" s="9">
        <v>1.7410000000000001</v>
      </c>
      <c r="I10" s="2">
        <f ca="1">goldenOTP_check!I10*I66</f>
        <v>848.48400000000004</v>
      </c>
      <c r="J10" s="2">
        <f ca="1">goldenOTP_check!J10*J66</f>
        <v>931.11999999999989</v>
      </c>
      <c r="K10" s="2">
        <f ca="1">goldenOTP_check!K10*K66</f>
        <v>962.55400000000009</v>
      </c>
      <c r="L10" s="2">
        <f ca="1">goldenOTP_check!L10*L66</f>
        <v>1009.152</v>
      </c>
      <c r="M10" s="2">
        <f ca="1">goldenOTP_check!M10*M66</f>
        <v>1023.0899999999999</v>
      </c>
      <c r="N10" s="2">
        <f ca="1">goldenOTP_check!N10*N66</f>
        <v>1041.3920000000001</v>
      </c>
      <c r="O10" s="2">
        <f ca="1">goldenOTP_check!O10*O66</f>
        <v>1043.328</v>
      </c>
      <c r="P10" s="2">
        <f ca="1">goldenOTP_check!P10*P66</f>
        <v>1043.5459999999998</v>
      </c>
      <c r="Q10" s="2">
        <f ca="1">goldenOTP_check!Q10*Q66</f>
        <v>1045.451</v>
      </c>
      <c r="R10" s="2">
        <f ca="1">goldenOTP_check!R10*R66</f>
        <v>1045.3799999999999</v>
      </c>
      <c r="S10" s="2">
        <f ca="1">goldenOTP_check!S10*S66</f>
        <v>1046.76</v>
      </c>
      <c r="T10" s="2">
        <f ca="1">goldenOTP_check!T10*T66</f>
        <v>1045.2719999999999</v>
      </c>
      <c r="U10" s="2">
        <f ca="1">goldenOTP_check!U10*U66</f>
        <v>1027.78</v>
      </c>
      <c r="V10" s="2">
        <f ca="1">goldenOTP_check!V10*V66</f>
        <v>1012.0319999999999</v>
      </c>
      <c r="W10" s="2">
        <f ca="1">goldenOTP_check!W10*W66</f>
        <v>961.59</v>
      </c>
      <c r="X10" s="2">
        <f ca="1">goldenOTP_check!X10*X66</f>
        <v>923.70399999999995</v>
      </c>
      <c r="Y10" s="2">
        <f ca="1">goldenOTP_check!Y10*Y66</f>
        <v>832.5</v>
      </c>
    </row>
    <row r="11" spans="2:56" x14ac:dyDescent="0.3">
      <c r="B11" s="6">
        <v>8</v>
      </c>
      <c r="C11" s="9">
        <v>1.8859999999999999</v>
      </c>
      <c r="D11" s="9">
        <v>1.772</v>
      </c>
      <c r="E11" s="9">
        <v>1.776</v>
      </c>
      <c r="F11" s="9">
        <v>1.7230000000000001</v>
      </c>
      <c r="I11" s="2">
        <f ca="1">goldenOTP_check!I11*I67</f>
        <v>864.17499999999995</v>
      </c>
      <c r="J11" s="2">
        <f ca="1">goldenOTP_check!J11*J67</f>
        <v>911.80000000000007</v>
      </c>
      <c r="K11" s="2">
        <f ca="1">goldenOTP_check!K11*K67</f>
        <v>938.7</v>
      </c>
      <c r="L11" s="2">
        <f ca="1">goldenOTP_check!L11*L67</f>
        <v>988.17200000000003</v>
      </c>
      <c r="M11" s="2">
        <f ca="1">goldenOTP_check!M11*M67</f>
        <v>1013.649</v>
      </c>
      <c r="N11" s="2">
        <f ca="1">goldenOTP_check!N11*N67</f>
        <v>1025.038</v>
      </c>
      <c r="O11" s="2">
        <f ca="1">goldenOTP_check!O11*O67</f>
        <v>1040.616</v>
      </c>
      <c r="P11" s="2">
        <f ca="1">goldenOTP_check!P11*P67</f>
        <v>1036.1569999999999</v>
      </c>
      <c r="Q11" s="2">
        <f ca="1">goldenOTP_check!Q11*Q67</f>
        <v>1027.885</v>
      </c>
      <c r="R11" s="2">
        <f ca="1">goldenOTP_check!R11*R67</f>
        <v>1034.511</v>
      </c>
      <c r="S11" s="2">
        <f ca="1">goldenOTP_check!S11*S67</f>
        <v>1020.7040000000001</v>
      </c>
      <c r="T11" s="2">
        <f ca="1">goldenOTP_check!T11*T67</f>
        <v>1020.18</v>
      </c>
      <c r="U11" s="2">
        <f ca="1">goldenOTP_check!U11*U67</f>
        <v>1008.761</v>
      </c>
      <c r="V11" s="2">
        <f ca="1">goldenOTP_check!V11*V67</f>
        <v>987.11400000000003</v>
      </c>
      <c r="W11" s="2">
        <f ca="1">goldenOTP_check!W11*W67</f>
        <v>938.25300000000004</v>
      </c>
      <c r="X11" s="2">
        <f ca="1">goldenOTP_check!X11*X67</f>
        <v>908.69600000000003</v>
      </c>
      <c r="Y11" s="2">
        <f ca="1">goldenOTP_check!Y11*Y67</f>
        <v>815.92000000000007</v>
      </c>
      <c r="BD11"/>
    </row>
    <row r="12" spans="2:56" x14ac:dyDescent="0.3">
      <c r="B12" s="6">
        <v>9</v>
      </c>
      <c r="C12" s="9">
        <v>1.9059999999999999</v>
      </c>
      <c r="D12" s="9">
        <v>1.792</v>
      </c>
      <c r="E12" s="9">
        <v>1.796</v>
      </c>
      <c r="F12" s="9">
        <v>1.7430000000000001</v>
      </c>
      <c r="I12" s="2">
        <f ca="1">goldenOTP_check!I12*I68</f>
        <v>831.43</v>
      </c>
      <c r="J12" s="2">
        <f ca="1">goldenOTP_check!J12*J68</f>
        <v>882.14700000000005</v>
      </c>
      <c r="K12" s="2">
        <f ca="1">goldenOTP_check!K12*K68</f>
        <v>920.81999999999994</v>
      </c>
      <c r="L12" s="2">
        <f ca="1">goldenOTP_check!L12*L68</f>
        <v>973.15800000000002</v>
      </c>
      <c r="M12" s="2">
        <f ca="1">goldenOTP_check!M12*M68</f>
        <v>984.62</v>
      </c>
      <c r="N12" s="2">
        <f ca="1">goldenOTP_check!N12*N68</f>
        <v>1011.8159999999999</v>
      </c>
      <c r="O12" s="2">
        <f ca="1">goldenOTP_check!O12*O68</f>
        <v>1021.7499999999999</v>
      </c>
      <c r="P12" s="2">
        <f ca="1">goldenOTP_check!P12*P68</f>
        <v>1033.1970000000001</v>
      </c>
      <c r="Q12" s="2">
        <f ca="1">goldenOTP_check!Q12*Q68</f>
        <v>1029.348</v>
      </c>
      <c r="R12" s="2">
        <f ca="1">goldenOTP_check!R12*R68</f>
        <v>1030.329</v>
      </c>
      <c r="S12" s="2">
        <f ca="1">goldenOTP_check!S12*S68</f>
        <v>1019.0699999999999</v>
      </c>
      <c r="T12" s="2">
        <f ca="1">goldenOTP_check!T12*T68</f>
        <v>1008.15</v>
      </c>
      <c r="U12" s="2">
        <f ca="1">goldenOTP_check!U12*U68</f>
        <v>980.83299999999997</v>
      </c>
      <c r="V12" s="2">
        <f ca="1">goldenOTP_check!V12*V68</f>
        <v>946.1099999999999</v>
      </c>
      <c r="W12" s="2">
        <f ca="1">goldenOTP_check!W12*W68</f>
        <v>917.524</v>
      </c>
      <c r="X12" s="2">
        <f ca="1">goldenOTP_check!X12*X68</f>
        <v>876.14600000000007</v>
      </c>
      <c r="Y12" s="2">
        <f ca="1">goldenOTP_check!Y12*Y68</f>
        <v>817.51</v>
      </c>
      <c r="BD12"/>
    </row>
    <row r="13" spans="2:56" x14ac:dyDescent="0.3">
      <c r="B13" s="6">
        <v>10</v>
      </c>
      <c r="C13" s="9">
        <v>1.9750000000000001</v>
      </c>
      <c r="D13" s="9">
        <v>1.853</v>
      </c>
      <c r="E13" s="9">
        <v>1.857</v>
      </c>
      <c r="F13" s="9">
        <v>1.8</v>
      </c>
      <c r="I13" s="2">
        <f ca="1">goldenOTP_check!I13*I69</f>
        <v>831.87</v>
      </c>
      <c r="J13" s="2">
        <f ca="1">goldenOTP_check!J13*J69</f>
        <v>861.60599999999999</v>
      </c>
      <c r="K13" s="2">
        <f ca="1">goldenOTP_check!K13*K69</f>
        <v>881.11</v>
      </c>
      <c r="L13" s="2">
        <f ca="1">goldenOTP_check!L13*L69</f>
        <v>931.44600000000003</v>
      </c>
      <c r="M13" s="2">
        <f ca="1">goldenOTP_check!M13*M69</f>
        <v>972.19399999999996</v>
      </c>
      <c r="N13" s="2">
        <f ca="1">goldenOTP_check!N13*N69</f>
        <v>984.46899999999994</v>
      </c>
      <c r="O13" s="2">
        <f ca="1">goldenOTP_check!O13*O69</f>
        <v>1003.9680000000001</v>
      </c>
      <c r="P13" s="2">
        <f ca="1">goldenOTP_check!P13*P69</f>
        <v>1019.759</v>
      </c>
      <c r="Q13" s="2">
        <f ca="1">goldenOTP_check!Q13*Q69</f>
        <v>1006.317</v>
      </c>
      <c r="R13" s="2">
        <f ca="1">goldenOTP_check!R13*R69</f>
        <v>1023.4250000000001</v>
      </c>
      <c r="S13" s="2">
        <f ca="1">goldenOTP_check!S13*S69</f>
        <v>1009.728</v>
      </c>
      <c r="T13" s="2">
        <f ca="1">goldenOTP_check!T13*T69</f>
        <v>988.70100000000002</v>
      </c>
      <c r="U13" s="2">
        <f ca="1">goldenOTP_check!U13*U69</f>
        <v>973.15800000000002</v>
      </c>
      <c r="V13" s="2">
        <f ca="1">goldenOTP_check!V13*V69</f>
        <v>928.4849999999999</v>
      </c>
      <c r="W13" s="2">
        <f ca="1">goldenOTP_check!W13*W69</f>
        <v>873.81000000000006</v>
      </c>
      <c r="X13" s="2">
        <f ca="1">goldenOTP_check!X13*X69</f>
        <v>849.56000000000006</v>
      </c>
      <c r="Y13" s="2">
        <f ca="1">goldenOTP_check!Y13*Y69</f>
        <v>807.57</v>
      </c>
      <c r="BD13"/>
    </row>
    <row r="14" spans="2:56" x14ac:dyDescent="0.3">
      <c r="B14" s="6">
        <v>11</v>
      </c>
      <c r="C14" s="9">
        <v>2.081</v>
      </c>
      <c r="D14" s="9">
        <v>1.948</v>
      </c>
      <c r="E14" s="9">
        <v>1.952</v>
      </c>
      <c r="F14" s="9">
        <v>1.8879999999999999</v>
      </c>
      <c r="I14" s="3">
        <f ca="1">goldenOTP_check!I14*I70</f>
        <v>824.92499999999995</v>
      </c>
      <c r="J14" s="2">
        <f ca="1">goldenOTP_check!J14*J70</f>
        <v>850.85</v>
      </c>
      <c r="K14" s="2">
        <f ca="1">goldenOTP_check!K14*K70</f>
        <v>845.12199999999996</v>
      </c>
      <c r="L14" s="2">
        <f ca="1">goldenOTP_check!L14*L70</f>
        <v>872.17599999999993</v>
      </c>
      <c r="M14" s="2">
        <f ca="1">goldenOTP_check!M14*M70</f>
        <v>908.596</v>
      </c>
      <c r="N14" s="2">
        <f ca="1">goldenOTP_check!N14*N70</f>
        <v>946.64900000000011</v>
      </c>
      <c r="O14" s="2">
        <f ca="1">goldenOTP_check!O14*O70</f>
        <v>957.73400000000004</v>
      </c>
      <c r="P14" s="2">
        <f ca="1">goldenOTP_check!P14*P70</f>
        <v>963.33799999999997</v>
      </c>
      <c r="Q14" s="2">
        <f ca="1">goldenOTP_check!Q14*Q70</f>
        <v>984.36799999999994</v>
      </c>
      <c r="R14" s="2">
        <f ca="1">goldenOTP_check!R14*R70</f>
        <v>967.85599999999999</v>
      </c>
      <c r="S14" s="2">
        <f ca="1">goldenOTP_check!S14*S70</f>
        <v>969.78399999999999</v>
      </c>
      <c r="T14" s="2">
        <f ca="1">goldenOTP_check!T14*T70</f>
        <v>957.02199999999993</v>
      </c>
      <c r="U14" s="2">
        <f ca="1">goldenOTP_check!U14*U70</f>
        <v>912.23199999999997</v>
      </c>
      <c r="V14" s="2">
        <f ca="1">goldenOTP_check!V14*V70</f>
        <v>871.09299999999996</v>
      </c>
      <c r="W14" s="2">
        <f ca="1">goldenOTP_check!W14*W70</f>
        <v>835.29499999999996</v>
      </c>
      <c r="X14" s="2">
        <f ca="1">goldenOTP_check!X14*X70</f>
        <v>827.39799999999991</v>
      </c>
      <c r="Y14" s="3">
        <f ca="1">goldenOTP_check!Y14*Y70</f>
        <v>788.20500000000004</v>
      </c>
      <c r="BD14"/>
    </row>
    <row r="15" spans="2:56" x14ac:dyDescent="0.3">
      <c r="B15" s="6">
        <v>12</v>
      </c>
      <c r="C15" s="9">
        <v>2.2170000000000001</v>
      </c>
      <c r="D15" s="9">
        <v>2.0680000000000001</v>
      </c>
      <c r="E15" s="9">
        <v>2.0710000000000002</v>
      </c>
      <c r="F15" s="9">
        <v>2.0009999999999999</v>
      </c>
      <c r="BD15"/>
    </row>
    <row r="16" spans="2:56" x14ac:dyDescent="0.3">
      <c r="B16" s="6">
        <v>13</v>
      </c>
      <c r="C16" s="9">
        <v>2.38</v>
      </c>
      <c r="D16" s="9">
        <v>2.2149999999999999</v>
      </c>
      <c r="E16" s="9">
        <v>2.2170000000000001</v>
      </c>
      <c r="F16" s="9">
        <v>2.1379999999999999</v>
      </c>
      <c r="H16" t="s">
        <v>1</v>
      </c>
      <c r="I16" s="10">
        <f ca="1">goldenOTP_check!I16*I72</f>
        <v>775.63200000000006</v>
      </c>
      <c r="J16" s="2">
        <f ca="1">goldenOTP_check!J16*J72</f>
        <v>811.2</v>
      </c>
      <c r="K16" s="2">
        <f ca="1">goldenOTP_check!K16*K72</f>
        <v>849.12</v>
      </c>
      <c r="L16" s="2">
        <f ca="1">goldenOTP_check!L16*L72</f>
        <v>879.12000000000012</v>
      </c>
      <c r="M16" s="2">
        <f ca="1">goldenOTP_check!M16*M72</f>
        <v>906.33799999999997</v>
      </c>
      <c r="N16" s="2">
        <f ca="1">goldenOTP_check!N16*N72</f>
        <v>930.62700000000007</v>
      </c>
      <c r="O16" s="2">
        <f ca="1">goldenOTP_check!O16*O72</f>
        <v>938.96400000000006</v>
      </c>
      <c r="P16" s="2">
        <f ca="1">goldenOTP_check!P16*P72</f>
        <v>958.72</v>
      </c>
      <c r="Q16" s="2">
        <f ca="1">goldenOTP_check!Q16*Q72</f>
        <v>953.33600000000001</v>
      </c>
      <c r="R16" s="2">
        <f ca="1">goldenOTP_check!R16*R72</f>
        <v>958.72</v>
      </c>
      <c r="S16" s="2">
        <f ca="1">goldenOTP_check!S16*S72</f>
        <v>952.44200000000001</v>
      </c>
      <c r="T16" s="2">
        <f ca="1">goldenOTP_check!T16*T72</f>
        <v>929.19600000000003</v>
      </c>
      <c r="U16" s="2">
        <f ca="1">goldenOTP_check!U16*U72</f>
        <v>903.71600000000001</v>
      </c>
      <c r="V16" s="2">
        <f ca="1">goldenOTP_check!V16*V72</f>
        <v>877.14</v>
      </c>
      <c r="W16" s="2">
        <f ca="1">goldenOTP_check!W16*W72</f>
        <v>850.51199999999994</v>
      </c>
      <c r="X16" s="2">
        <f ca="1">goldenOTP_check!X16*X72</f>
        <v>808.5</v>
      </c>
      <c r="Y16" s="10">
        <f ca="1">goldenOTP_check!Y16*Y72</f>
        <v>767.18400000000008</v>
      </c>
    </row>
    <row r="17" spans="2:25" x14ac:dyDescent="0.3">
      <c r="B17" s="6">
        <v>14</v>
      </c>
      <c r="C17" s="9">
        <v>2.629</v>
      </c>
      <c r="D17" s="9">
        <v>2.444</v>
      </c>
      <c r="E17" s="9">
        <v>2.4449999999999998</v>
      </c>
      <c r="F17" s="9">
        <v>2.35</v>
      </c>
      <c r="H17" t="s">
        <v>6</v>
      </c>
      <c r="I17" s="2">
        <f ca="1">goldenOTP_check!I17*I73</f>
        <v>811.95399999999995</v>
      </c>
      <c r="J17" s="2">
        <f ca="1">goldenOTP_check!J17*J73</f>
        <v>846.54399999999998</v>
      </c>
      <c r="K17" s="2">
        <f ca="1">goldenOTP_check!K17*K73</f>
        <v>878.3549999999999</v>
      </c>
      <c r="L17" s="2">
        <f ca="1">goldenOTP_check!L17*L73</f>
        <v>918.39999999999986</v>
      </c>
      <c r="M17" s="2">
        <f ca="1">goldenOTP_check!M17*M73</f>
        <v>953.18500000000006</v>
      </c>
      <c r="N17" s="2">
        <f ca="1">goldenOTP_check!N17*N73</f>
        <v>986.63499999999999</v>
      </c>
      <c r="O17" s="2">
        <f ca="1">goldenOTP_check!O17*O73</f>
        <v>1003.995</v>
      </c>
      <c r="P17" s="2">
        <f ca="1">goldenOTP_check!P17*P73</f>
        <v>1009.2600000000001</v>
      </c>
      <c r="Q17" s="2">
        <f ca="1">goldenOTP_check!Q17*Q73</f>
        <v>1013.4209999999999</v>
      </c>
      <c r="R17" s="2">
        <f ca="1">goldenOTP_check!R17*R73</f>
        <v>1008.63</v>
      </c>
      <c r="S17" s="2">
        <f ca="1">goldenOTP_check!S17*S73</f>
        <v>1004.598</v>
      </c>
      <c r="T17" s="2">
        <f ca="1">goldenOTP_check!T17*T73</f>
        <v>987.19399999999996</v>
      </c>
      <c r="U17" s="2">
        <f ca="1">goldenOTP_check!U17*U73</f>
        <v>955.197</v>
      </c>
      <c r="V17" s="2">
        <f ca="1">goldenOTP_check!V17*V73</f>
        <v>919.74399999999991</v>
      </c>
      <c r="W17" s="2">
        <f ca="1">goldenOTP_check!W17*W73</f>
        <v>881.89200000000005</v>
      </c>
      <c r="X17" s="2">
        <f ca="1">goldenOTP_check!X17*X73</f>
        <v>846.54399999999998</v>
      </c>
      <c r="Y17" s="2">
        <f ca="1">goldenOTP_check!Y17*Y73</f>
        <v>801.08600000000001</v>
      </c>
    </row>
    <row r="18" spans="2:25" x14ac:dyDescent="0.3">
      <c r="B18" s="6">
        <v>15</v>
      </c>
      <c r="C18" s="9">
        <v>2.891</v>
      </c>
      <c r="D18" s="9">
        <v>2.6949999999999998</v>
      </c>
      <c r="E18" s="9">
        <v>2.6949999999999998</v>
      </c>
      <c r="F18" s="9">
        <v>2.5819999999999999</v>
      </c>
      <c r="I18" s="2">
        <f ca="1">goldenOTP_check!I18*I74</f>
        <v>846.39</v>
      </c>
      <c r="J18" s="2">
        <f ca="1">goldenOTP_check!J18*J74</f>
        <v>873.44799999999998</v>
      </c>
      <c r="K18" s="2">
        <f ca="1">goldenOTP_check!K18*K74</f>
        <v>919.80200000000002</v>
      </c>
      <c r="L18" s="2">
        <f ca="1">goldenOTP_check!L18*L74</f>
        <v>963.02799999999991</v>
      </c>
      <c r="M18" s="2">
        <f ca="1">goldenOTP_check!M18*M74</f>
        <v>990.72500000000002</v>
      </c>
      <c r="N18" s="2">
        <f ca="1">goldenOTP_check!N18*N74</f>
        <v>1014.062</v>
      </c>
      <c r="O18" s="2">
        <f ca="1">goldenOTP_check!O18*O74</f>
        <v>1026.681</v>
      </c>
      <c r="P18" s="2">
        <f ca="1">goldenOTP_check!P18*P74</f>
        <v>1033.4099999999999</v>
      </c>
      <c r="Q18" s="2">
        <f ca="1">goldenOTP_check!Q18*Q74</f>
        <v>1042.2719999999999</v>
      </c>
      <c r="R18" s="2">
        <f ca="1">goldenOTP_check!R18*R74</f>
        <v>1037.085</v>
      </c>
      <c r="S18" s="2">
        <f ca="1">goldenOTP_check!S18*S74</f>
        <v>1033.6510000000001</v>
      </c>
      <c r="T18" s="2">
        <f ca="1">goldenOTP_check!T18*T74</f>
        <v>1021.1129999999999</v>
      </c>
      <c r="U18" s="2">
        <f ca="1">goldenOTP_check!U18*U74</f>
        <v>996.47500000000002</v>
      </c>
      <c r="V18" s="2">
        <f ca="1">goldenOTP_check!V18*V74</f>
        <v>956.7059999999999</v>
      </c>
      <c r="W18" s="2">
        <f ca="1">goldenOTP_check!W18*W74</f>
        <v>912.01900000000012</v>
      </c>
      <c r="X18" s="2">
        <f ca="1">goldenOTP_check!X18*X74</f>
        <v>872.31999999999994</v>
      </c>
      <c r="Y18" s="2">
        <f ca="1">goldenOTP_check!Y18*Y74</f>
        <v>836.88</v>
      </c>
    </row>
    <row r="19" spans="2:25" x14ac:dyDescent="0.3">
      <c r="B19" s="6">
        <v>16</v>
      </c>
      <c r="C19" s="9">
        <v>3.09</v>
      </c>
      <c r="D19" s="9">
        <v>2.9060000000000001</v>
      </c>
      <c r="E19" s="9">
        <v>2.9049999999999998</v>
      </c>
      <c r="F19" s="9">
        <v>2.7759999999999998</v>
      </c>
      <c r="I19" s="2">
        <f ca="1">goldenOTP_check!I19*I75</f>
        <v>854.41300000000001</v>
      </c>
      <c r="J19" s="2">
        <f ca="1">goldenOTP_check!J19*J75</f>
        <v>898.1640000000001</v>
      </c>
      <c r="K19" s="2">
        <f ca="1">goldenOTP_check!K19*K75</f>
        <v>946.60799999999995</v>
      </c>
      <c r="L19" s="2">
        <f ca="1">goldenOTP_check!L19*L75</f>
        <v>985.51699999999994</v>
      </c>
      <c r="M19" s="2">
        <f ca="1">goldenOTP_check!M19*M75</f>
        <v>1014.062</v>
      </c>
      <c r="N19" s="2">
        <f ca="1">goldenOTP_check!N19*N75</f>
        <v>1032.424</v>
      </c>
      <c r="O19" s="2">
        <f ca="1">goldenOTP_check!O19*O75</f>
        <v>1043.556</v>
      </c>
      <c r="P19" s="2">
        <f ca="1">goldenOTP_check!P19*P75</f>
        <v>1047.886</v>
      </c>
      <c r="Q19" s="2">
        <f ca="1">goldenOTP_check!Q19*Q75</f>
        <v>1053.2530000000002</v>
      </c>
      <c r="R19" s="2">
        <f ca="1">goldenOTP_check!R19*R75</f>
        <v>1052.932</v>
      </c>
      <c r="S19" s="2">
        <f ca="1">goldenOTP_check!S19*S75</f>
        <v>1053.904</v>
      </c>
      <c r="T19" s="2">
        <f ca="1">goldenOTP_check!T19*T75</f>
        <v>1042.56</v>
      </c>
      <c r="U19" s="2">
        <f ca="1">goldenOTP_check!U19*U75</f>
        <v>1021.754</v>
      </c>
      <c r="V19" s="2">
        <f ca="1">goldenOTP_check!V19*V75</f>
        <v>991.66600000000005</v>
      </c>
      <c r="W19" s="2">
        <f ca="1">goldenOTP_check!W19*W75</f>
        <v>948.53200000000004</v>
      </c>
      <c r="X19" s="2">
        <f ca="1">goldenOTP_check!X19*X75</f>
        <v>894.48299999999995</v>
      </c>
      <c r="Y19" s="2">
        <f ca="1">goldenOTP_check!Y19*Y75</f>
        <v>844.12299999999993</v>
      </c>
    </row>
    <row r="20" spans="2:25" x14ac:dyDescent="0.3">
      <c r="B20" s="6">
        <v>17</v>
      </c>
      <c r="C20" s="9">
        <v>3.0609999999999999</v>
      </c>
      <c r="D20" s="9">
        <v>2.839</v>
      </c>
      <c r="E20" s="9">
        <v>2.839</v>
      </c>
      <c r="F20" s="9">
        <v>2.7269999999999999</v>
      </c>
      <c r="I20" s="2">
        <f ca="1">goldenOTP_check!I20*I76</f>
        <v>855.59100000000012</v>
      </c>
      <c r="J20" s="2">
        <f ca="1">goldenOTP_check!J20*J76</f>
        <v>916.82599999999991</v>
      </c>
      <c r="K20" s="2">
        <f ca="1">goldenOTP_check!K20*K76</f>
        <v>961.69399999999996</v>
      </c>
      <c r="L20" s="2">
        <f ca="1">goldenOTP_check!L20*L76</f>
        <v>1011.104</v>
      </c>
      <c r="M20" s="2">
        <f ca="1">goldenOTP_check!M20*M76</f>
        <v>1032.6420000000001</v>
      </c>
      <c r="N20" s="2">
        <f ca="1">goldenOTP_check!N20*N76</f>
        <v>1041.1680000000001</v>
      </c>
      <c r="O20" s="2">
        <f ca="1">goldenOTP_check!O20*O76</f>
        <v>1046.1780000000001</v>
      </c>
      <c r="P20" s="2">
        <f ca="1">goldenOTP_check!P20*P76</f>
        <v>1046.682</v>
      </c>
      <c r="Q20" s="2">
        <f ca="1">goldenOTP_check!Q20*Q76</f>
        <v>1047.1600000000001</v>
      </c>
      <c r="R20" s="2">
        <f ca="1">goldenOTP_check!R20*R76</f>
        <v>1049.451</v>
      </c>
      <c r="S20" s="2">
        <f ca="1">goldenOTP_check!S20*S76</f>
        <v>1051.422</v>
      </c>
      <c r="T20" s="2">
        <f ca="1">goldenOTP_check!T20*T76</f>
        <v>1046.74</v>
      </c>
      <c r="U20" s="2">
        <f ca="1">goldenOTP_check!U20*U76</f>
        <v>1037.556</v>
      </c>
      <c r="V20" s="2">
        <f ca="1">goldenOTP_check!V20*V76</f>
        <v>1007.01</v>
      </c>
      <c r="W20" s="2">
        <f ca="1">goldenOTP_check!W20*W76</f>
        <v>966.31999999999994</v>
      </c>
      <c r="X20" s="2">
        <f ca="1">goldenOTP_check!X20*X76</f>
        <v>919.01100000000008</v>
      </c>
      <c r="Y20" s="2">
        <f ca="1">goldenOTP_check!Y20*Y76</f>
        <v>852.32399999999996</v>
      </c>
    </row>
    <row r="21" spans="2:25" x14ac:dyDescent="0.3">
      <c r="B21" s="6">
        <v>18</v>
      </c>
      <c r="C21" s="9">
        <v>2.7090000000000001</v>
      </c>
      <c r="D21" s="9">
        <v>2.512</v>
      </c>
      <c r="E21" s="9">
        <v>2.5139999999999998</v>
      </c>
      <c r="F21" s="9">
        <v>2.419</v>
      </c>
      <c r="I21" s="2">
        <f ca="1">goldenOTP_check!I21*I77</f>
        <v>854.11199999999997</v>
      </c>
      <c r="J21" s="2">
        <f ca="1">goldenOTP_check!J21*J77</f>
        <v>923.66700000000003</v>
      </c>
      <c r="K21" s="2">
        <f ca="1">goldenOTP_check!K21*K77</f>
        <v>967.48</v>
      </c>
      <c r="L21" s="2">
        <f ca="1">goldenOTP_check!L21*L77</f>
        <v>1011.876</v>
      </c>
      <c r="M21" s="2">
        <f ca="1">goldenOTP_check!M21*M77</f>
        <v>1042.0650000000001</v>
      </c>
      <c r="N21" s="2">
        <f ca="1">goldenOTP_check!N21*N77</f>
        <v>1048.1940000000002</v>
      </c>
      <c r="O21" s="2">
        <f ca="1">goldenOTP_check!O21*O77</f>
        <v>1048.8409999999999</v>
      </c>
      <c r="P21" s="2">
        <f ca="1">goldenOTP_check!P21*P77</f>
        <v>1034.8029999999999</v>
      </c>
      <c r="Q21" s="2">
        <f ca="1">goldenOTP_check!Q21*Q77</f>
        <v>1026.8399999999999</v>
      </c>
      <c r="R21" s="2">
        <f ca="1">goldenOTP_check!R21*R77</f>
        <v>1036.761</v>
      </c>
      <c r="S21" s="2">
        <f ca="1">goldenOTP_check!S21*S77</f>
        <v>1052.557</v>
      </c>
      <c r="T21" s="2">
        <f ca="1">goldenOTP_check!T21*T77</f>
        <v>1049.8860000000002</v>
      </c>
      <c r="U21" s="2">
        <f ca="1">goldenOTP_check!U21*U77</f>
        <v>1035.1769999999999</v>
      </c>
      <c r="V21" s="2">
        <f ca="1">goldenOTP_check!V21*V77</f>
        <v>1015.056</v>
      </c>
      <c r="W21" s="2">
        <f ca="1">goldenOTP_check!W21*W77</f>
        <v>972.30400000000009</v>
      </c>
      <c r="X21" s="2">
        <f ca="1">goldenOTP_check!X21*X77</f>
        <v>927.29100000000005</v>
      </c>
      <c r="Y21" s="2">
        <f ca="1">goldenOTP_check!Y21*Y77</f>
        <v>871.34</v>
      </c>
    </row>
    <row r="22" spans="2:25" x14ac:dyDescent="0.3">
      <c r="B22" s="6">
        <v>19</v>
      </c>
      <c r="C22" s="9">
        <v>2.4049999999999998</v>
      </c>
      <c r="D22" s="9">
        <v>2.2349999999999999</v>
      </c>
      <c r="E22" s="9">
        <v>2.2370000000000001</v>
      </c>
      <c r="F22" s="9">
        <v>2.161</v>
      </c>
      <c r="I22" s="2">
        <f ca="1">goldenOTP_check!I22*I78</f>
        <v>861.83999999999992</v>
      </c>
      <c r="J22" s="2">
        <f ca="1">goldenOTP_check!J22*J78</f>
        <v>927.63900000000001</v>
      </c>
      <c r="K22" s="2">
        <f ca="1">goldenOTP_check!K22*K78</f>
        <v>974.20699999999999</v>
      </c>
      <c r="L22" s="2">
        <f ca="1">goldenOTP_check!L22*L78</f>
        <v>1019.986</v>
      </c>
      <c r="M22" s="2">
        <f ca="1">goldenOTP_check!M22*M78</f>
        <v>1031.6379999999999</v>
      </c>
      <c r="N22" s="2">
        <f ca="1">goldenOTP_check!N22*N78</f>
        <v>1041.6410000000001</v>
      </c>
      <c r="O22" s="2">
        <f ca="1">goldenOTP_check!O22*O78</f>
        <v>1044.1980000000001</v>
      </c>
      <c r="P22" s="2">
        <f ca="1">goldenOTP_check!P22*P78</f>
        <v>1024.0229999999999</v>
      </c>
      <c r="Q22" s="2">
        <f ca="1">goldenOTP_check!Q22*Q78</f>
        <v>1026.069</v>
      </c>
      <c r="R22" s="2">
        <f ca="1">goldenOTP_check!R22*R78</f>
        <v>1029.028</v>
      </c>
      <c r="S22" s="2">
        <f ca="1">goldenOTP_check!S22*S78</f>
        <v>1051.806</v>
      </c>
      <c r="T22" s="2">
        <f ca="1">goldenOTP_check!T22*T78</f>
        <v>1048.5450000000001</v>
      </c>
      <c r="U22" s="2">
        <f ca="1">goldenOTP_check!U22*U78</f>
        <v>1038.46</v>
      </c>
      <c r="V22" s="2">
        <f ca="1">goldenOTP_check!V22*V78</f>
        <v>1015.7900000000001</v>
      </c>
      <c r="W22" s="2">
        <f ca="1">goldenOTP_check!W22*W78</f>
        <v>978.03600000000006</v>
      </c>
      <c r="X22" s="2">
        <f ca="1">goldenOTP_check!X22*X78</f>
        <v>927.63900000000001</v>
      </c>
      <c r="Y22" s="2">
        <f ca="1">goldenOTP_check!Y22*Y78</f>
        <v>856.17000000000007</v>
      </c>
    </row>
    <row r="23" spans="2:25" x14ac:dyDescent="0.3">
      <c r="B23" s="6">
        <v>20</v>
      </c>
      <c r="C23" s="9">
        <v>2.202</v>
      </c>
      <c r="D23" s="9">
        <v>2.0499999999999998</v>
      </c>
      <c r="E23" s="9">
        <v>2.0529999999999999</v>
      </c>
      <c r="F23" s="9">
        <v>1.988</v>
      </c>
      <c r="I23" s="2">
        <f ca="1">goldenOTP_check!I23*I79</f>
        <v>858.20399999999995</v>
      </c>
      <c r="J23" s="2">
        <f ca="1">goldenOTP_check!J23*J79</f>
        <v>925.02599999999995</v>
      </c>
      <c r="K23" s="2">
        <f ca="1">goldenOTP_check!K23*K79</f>
        <v>976.68399999999997</v>
      </c>
      <c r="L23" s="2">
        <f ca="1">goldenOTP_check!L23*L79</f>
        <v>1014.703</v>
      </c>
      <c r="M23" s="2">
        <f ca="1">goldenOTP_check!M23*M79</f>
        <v>1033.1010000000001</v>
      </c>
      <c r="N23" s="2">
        <f ca="1">goldenOTP_check!N23*N79</f>
        <v>1043.7</v>
      </c>
      <c r="O23" s="2">
        <f ca="1">goldenOTP_check!O23*O79</f>
        <v>1041.5900000000001</v>
      </c>
      <c r="P23" s="2">
        <f ca="1">goldenOTP_check!P23*P79</f>
        <v>1025.328</v>
      </c>
      <c r="Q23" s="2">
        <f ca="1">goldenOTP_check!Q23*Q79</f>
        <v>1022.021</v>
      </c>
      <c r="R23" s="2">
        <f ca="1">goldenOTP_check!R23*R79</f>
        <v>1033.2</v>
      </c>
      <c r="S23" s="2">
        <f ca="1">goldenOTP_check!S23*S79</f>
        <v>1047.9119999999998</v>
      </c>
      <c r="T23" s="2">
        <f ca="1">goldenOTP_check!T23*T79</f>
        <v>1048.1940000000002</v>
      </c>
      <c r="U23" s="2">
        <f ca="1">goldenOTP_check!U23*U79</f>
        <v>1035.1769999999999</v>
      </c>
      <c r="V23" s="2">
        <f ca="1">goldenOTP_check!V23*V79</f>
        <v>1015.056</v>
      </c>
      <c r="W23" s="2">
        <f ca="1">goldenOTP_check!W23*W79</f>
        <v>970.16000000000008</v>
      </c>
      <c r="X23" s="2">
        <f ca="1">goldenOTP_check!X23*X79</f>
        <v>923.21399999999994</v>
      </c>
      <c r="Y23" s="2">
        <f ca="1">goldenOTP_check!Y23*Y79</f>
        <v>865.2600000000001</v>
      </c>
    </row>
    <row r="24" spans="2:25" x14ac:dyDescent="0.3">
      <c r="B24" s="6">
        <v>21</v>
      </c>
      <c r="C24" s="9">
        <v>2.0270000000000001</v>
      </c>
      <c r="D24" s="9">
        <v>1.895</v>
      </c>
      <c r="E24" s="9">
        <v>1.8979999999999999</v>
      </c>
      <c r="F24" s="9">
        <v>1.84</v>
      </c>
      <c r="I24" s="2">
        <f ca="1">goldenOTP_check!I24*I80</f>
        <v>859.94700000000012</v>
      </c>
      <c r="J24" s="2">
        <f ca="1">goldenOTP_check!J24*J80</f>
        <v>920.75900000000013</v>
      </c>
      <c r="K24" s="2">
        <f ca="1">goldenOTP_check!K24*K80</f>
        <v>962.72199999999998</v>
      </c>
      <c r="L24" s="2">
        <f ca="1">goldenOTP_check!L24*L80</f>
        <v>1006.848</v>
      </c>
      <c r="M24" s="2">
        <f ca="1">goldenOTP_check!M24*M80</f>
        <v>1033.68</v>
      </c>
      <c r="N24" s="2">
        <f ca="1">goldenOTP_check!N24*N80</f>
        <v>1039.3920000000001</v>
      </c>
      <c r="O24" s="2">
        <f ca="1">goldenOTP_check!O24*O80</f>
        <v>1040.7359999999999</v>
      </c>
      <c r="P24" s="2">
        <f ca="1">goldenOTP_check!P24*P80</f>
        <v>1036.7640000000001</v>
      </c>
      <c r="Q24" s="2">
        <f ca="1">goldenOTP_check!Q24*Q80</f>
        <v>1041.345</v>
      </c>
      <c r="R24" s="2">
        <f ca="1">goldenOTP_check!R24*R80</f>
        <v>1040.48</v>
      </c>
      <c r="S24" s="2">
        <f ca="1">goldenOTP_check!S24*S80</f>
        <v>1046.01</v>
      </c>
      <c r="T24" s="2">
        <f ca="1">goldenOTP_check!T24*T80</f>
        <v>1038.78</v>
      </c>
      <c r="U24" s="2">
        <f ca="1">goldenOTP_check!U24*U80</f>
        <v>1032.6420000000001</v>
      </c>
      <c r="V24" s="2">
        <f ca="1">goldenOTP_check!V24*V80</f>
        <v>1013.5360000000001</v>
      </c>
      <c r="W24" s="2">
        <f ca="1">goldenOTP_check!W24*W80</f>
        <v>965.80600000000004</v>
      </c>
      <c r="X24" s="2">
        <f ca="1">goldenOTP_check!X24*X80</f>
        <v>919.44800000000009</v>
      </c>
      <c r="Y24" s="2">
        <f ca="1">goldenOTP_check!Y24*Y80</f>
        <v>853.77599999999995</v>
      </c>
    </row>
    <row r="25" spans="2:25" x14ac:dyDescent="0.3">
      <c r="B25" s="6">
        <v>22</v>
      </c>
      <c r="C25" s="9">
        <v>1.877</v>
      </c>
      <c r="D25" s="9">
        <v>1.7649999999999999</v>
      </c>
      <c r="E25" s="9">
        <v>1.768</v>
      </c>
      <c r="F25" s="9">
        <v>1.716</v>
      </c>
      <c r="I25" s="2">
        <f ca="1">goldenOTP_check!I25*I81</f>
        <v>850.29700000000003</v>
      </c>
      <c r="J25" s="2">
        <f ca="1">goldenOTP_check!J25*J81</f>
        <v>896.93700000000001</v>
      </c>
      <c r="K25" s="2">
        <f ca="1">goldenOTP_check!K25*K81</f>
        <v>945.64599999999996</v>
      </c>
      <c r="L25" s="2">
        <f ca="1">goldenOTP_check!L25*L81</f>
        <v>992.64</v>
      </c>
      <c r="M25" s="2">
        <f ca="1">goldenOTP_check!M25*M81</f>
        <v>1019.025</v>
      </c>
      <c r="N25" s="2">
        <f ca="1">goldenOTP_check!N25*N81</f>
        <v>1032.95</v>
      </c>
      <c r="O25" s="2">
        <f ca="1">goldenOTP_check!O25*O81</f>
        <v>1030.82</v>
      </c>
      <c r="P25" s="2">
        <f ca="1">goldenOTP_check!P25*P81</f>
        <v>1038.0420000000001</v>
      </c>
      <c r="Q25" s="2">
        <f ca="1">goldenOTP_check!Q25*Q81</f>
        <v>1039.0519999999999</v>
      </c>
      <c r="R25" s="2">
        <f ca="1">goldenOTP_check!R25*R81</f>
        <v>1037.1959999999999</v>
      </c>
      <c r="S25" s="2">
        <f ca="1">goldenOTP_check!S25*S81</f>
        <v>1030.82</v>
      </c>
      <c r="T25" s="2">
        <f ca="1">goldenOTP_check!T25*T81</f>
        <v>1031.49</v>
      </c>
      <c r="U25" s="2">
        <f ca="1">goldenOTP_check!U25*U81</f>
        <v>1018.378</v>
      </c>
      <c r="V25" s="2">
        <f ca="1">goldenOTP_check!V25*V81</f>
        <v>986.07600000000002</v>
      </c>
      <c r="W25" s="2">
        <f ca="1">goldenOTP_check!W25*W81</f>
        <v>948.53200000000004</v>
      </c>
      <c r="X25" s="2">
        <f ca="1">goldenOTP_check!X25*X81</f>
        <v>898.1640000000001</v>
      </c>
      <c r="Y25" s="2">
        <f ca="1">goldenOTP_check!Y25*Y81</f>
        <v>849.95400000000006</v>
      </c>
    </row>
    <row r="26" spans="2:25" x14ac:dyDescent="0.3">
      <c r="B26" s="6">
        <v>23</v>
      </c>
      <c r="C26" s="9">
        <v>1.7609999999999999</v>
      </c>
      <c r="D26" s="9">
        <v>1.665</v>
      </c>
      <c r="E26" s="9">
        <v>1.6679999999999999</v>
      </c>
      <c r="F26" s="9">
        <v>1.62</v>
      </c>
      <c r="I26" s="2">
        <f ca="1">goldenOTP_check!I26*I82</f>
        <v>845.75600000000009</v>
      </c>
      <c r="J26" s="2">
        <f ca="1">goldenOTP_check!J26*J82</f>
        <v>876.45600000000002</v>
      </c>
      <c r="K26" s="2">
        <f ca="1">goldenOTP_check!K26*K82</f>
        <v>913.76700000000005</v>
      </c>
      <c r="L26" s="2">
        <f ca="1">goldenOTP_check!L26*L82</f>
        <v>964.04599999999994</v>
      </c>
      <c r="M26" s="2">
        <f ca="1">goldenOTP_check!M26*M82</f>
        <v>988.42500000000007</v>
      </c>
      <c r="N26" s="2">
        <f ca="1">goldenOTP_check!N26*N82</f>
        <v>1018.378</v>
      </c>
      <c r="O26" s="2">
        <f ca="1">goldenOTP_check!O26*O82</f>
        <v>1024.92</v>
      </c>
      <c r="P26" s="2">
        <f ca="1">goldenOTP_check!P26*P82</f>
        <v>1028.508</v>
      </c>
      <c r="Q26" s="2">
        <f ca="1">goldenOTP_check!Q26*Q82</f>
        <v>1024.9759999999999</v>
      </c>
      <c r="R26" s="2">
        <f ca="1">goldenOTP_check!R26*R82</f>
        <v>1027.7670000000001</v>
      </c>
      <c r="S26" s="2">
        <f ca="1">goldenOTP_check!S26*S82</f>
        <v>1024.92</v>
      </c>
      <c r="T26" s="2">
        <f ca="1">goldenOTP_check!T26*T82</f>
        <v>1008.9340000000001</v>
      </c>
      <c r="U26" s="2">
        <f ca="1">goldenOTP_check!U26*U82</f>
        <v>988.42500000000007</v>
      </c>
      <c r="V26" s="2">
        <f ca="1">goldenOTP_check!V26*V82</f>
        <v>953.68799999999999</v>
      </c>
      <c r="W26" s="2">
        <f ca="1">goldenOTP_check!W26*W82</f>
        <v>913.32999999999993</v>
      </c>
      <c r="X26" s="2">
        <f ca="1">goldenOTP_check!X26*X82</f>
        <v>875.70400000000006</v>
      </c>
      <c r="Y26" s="2">
        <f ca="1">goldenOTP_check!Y26*Y82</f>
        <v>842.90299999999991</v>
      </c>
    </row>
    <row r="27" spans="2:25" x14ac:dyDescent="0.3">
      <c r="B27" s="6">
        <v>24</v>
      </c>
      <c r="C27" s="9">
        <v>1.6870000000000001</v>
      </c>
      <c r="D27" s="9">
        <v>1.6020000000000001</v>
      </c>
      <c r="E27" s="9">
        <v>1.6040000000000001</v>
      </c>
      <c r="F27" s="9">
        <v>1.5620000000000001</v>
      </c>
      <c r="I27" s="2">
        <f ca="1">goldenOTP_check!I27*I83</f>
        <v>837.49800000000005</v>
      </c>
      <c r="J27" s="2">
        <f ca="1">goldenOTP_check!J27*J83</f>
        <v>870.19099999999992</v>
      </c>
      <c r="K27" s="2">
        <f ca="1">goldenOTP_check!K27*K83</f>
        <v>886.60799999999995</v>
      </c>
      <c r="L27" s="2">
        <f ca="1">goldenOTP_check!L27*L83</f>
        <v>924.22400000000005</v>
      </c>
      <c r="M27" s="2">
        <f ca="1">goldenOTP_check!M27*M83</f>
        <v>954.19100000000003</v>
      </c>
      <c r="N27" s="2">
        <f ca="1">goldenOTP_check!N27*N83</f>
        <v>982.72199999999998</v>
      </c>
      <c r="O27" s="2">
        <f ca="1">goldenOTP_check!O27*O83</f>
        <v>998.56799999999998</v>
      </c>
      <c r="P27" s="2">
        <f ca="1">goldenOTP_check!P27*P83</f>
        <v>1011.876</v>
      </c>
      <c r="Q27" s="2">
        <f ca="1">goldenOTP_check!Q27*Q83</f>
        <v>1007.011</v>
      </c>
      <c r="R27" s="2">
        <f ca="1">goldenOTP_check!R27*R83</f>
        <v>1015.056</v>
      </c>
      <c r="S27" s="2">
        <f ca="1">goldenOTP_check!S27*S83</f>
        <v>1005.201</v>
      </c>
      <c r="T27" s="2">
        <f ca="1">goldenOTP_check!T27*T83</f>
        <v>988.87099999999998</v>
      </c>
      <c r="U27" s="2">
        <f ca="1">goldenOTP_check!U27*U83</f>
        <v>957.20900000000006</v>
      </c>
      <c r="V27" s="2">
        <f ca="1">goldenOTP_check!V27*V83</f>
        <v>923.32799999999997</v>
      </c>
      <c r="W27" s="2">
        <f ca="1">goldenOTP_check!W27*W83</f>
        <v>881.49899999999991</v>
      </c>
      <c r="X27" s="2">
        <f ca="1">goldenOTP_check!X27*X83</f>
        <v>861.95899999999995</v>
      </c>
      <c r="Y27" s="2">
        <f ca="1">goldenOTP_check!Y27*Y83</f>
        <v>821.202</v>
      </c>
    </row>
    <row r="28" spans="2:25" x14ac:dyDescent="0.3">
      <c r="B28" s="6">
        <v>25</v>
      </c>
      <c r="C28" s="9">
        <v>1.6619999999999999</v>
      </c>
      <c r="D28" s="9">
        <v>1.581</v>
      </c>
      <c r="E28" s="9">
        <v>1.583</v>
      </c>
      <c r="F28" s="9">
        <v>1.5449999999999999</v>
      </c>
      <c r="I28" s="10">
        <f ca="1">goldenOTP_check!I28*I84</f>
        <v>820.71900000000005</v>
      </c>
      <c r="J28" s="2">
        <f ca="1">goldenOTP_check!J28*J84</f>
        <v>836.303</v>
      </c>
      <c r="K28" s="2">
        <f ca="1">goldenOTP_check!K28*K84</f>
        <v>854.20499999999993</v>
      </c>
      <c r="L28" s="2">
        <f ca="1">goldenOTP_check!L28*L84</f>
        <v>884.58600000000001</v>
      </c>
      <c r="M28" s="2">
        <f ca="1">goldenOTP_check!M28*M84</f>
        <v>909.48</v>
      </c>
      <c r="N28" s="2">
        <f ca="1">goldenOTP_check!N28*N84</f>
        <v>932.95</v>
      </c>
      <c r="O28" s="2">
        <f ca="1">goldenOTP_check!O28*O84</f>
        <v>954.17399999999998</v>
      </c>
      <c r="P28" s="2">
        <f ca="1">goldenOTP_check!P28*P84</f>
        <v>956.02499999999998</v>
      </c>
      <c r="Q28" s="2">
        <f ca="1">goldenOTP_check!Q28*Q84</f>
        <v>970.55200000000002</v>
      </c>
      <c r="R28" s="2">
        <f ca="1">goldenOTP_check!R28*R84</f>
        <v>961.27499999999998</v>
      </c>
      <c r="S28" s="2">
        <f ca="1">goldenOTP_check!S28*S84</f>
        <v>964.82100000000003</v>
      </c>
      <c r="T28" s="2">
        <f ca="1">goldenOTP_check!T28*T84</f>
        <v>942.34999999999991</v>
      </c>
      <c r="U28" s="2">
        <f ca="1">goldenOTP_check!U28*U84</f>
        <v>914.62800000000004</v>
      </c>
      <c r="V28" s="2">
        <f ca="1">goldenOTP_check!V28*V84</f>
        <v>883.80799999999988</v>
      </c>
      <c r="W28" s="2">
        <f ca="1">goldenOTP_check!W28*W84</f>
        <v>847.38499999999999</v>
      </c>
      <c r="X28" s="2">
        <f ca="1">goldenOTP_check!X28*X84</f>
        <v>815.971</v>
      </c>
      <c r="Y28" s="10">
        <f ca="1">goldenOTP_check!Y28*Y84</f>
        <v>785.74899999999991</v>
      </c>
    </row>
    <row r="29" spans="2:25" x14ac:dyDescent="0.3">
      <c r="B29" s="6">
        <v>26</v>
      </c>
      <c r="C29" s="9">
        <v>1.6839999999999999</v>
      </c>
      <c r="D29" s="9">
        <v>1.601</v>
      </c>
      <c r="E29" s="9">
        <v>1.603</v>
      </c>
      <c r="F29" s="9">
        <v>1.5629999999999999</v>
      </c>
    </row>
    <row r="30" spans="2:25" x14ac:dyDescent="0.3">
      <c r="B30" s="6">
        <v>27</v>
      </c>
      <c r="C30" s="9">
        <v>1.756</v>
      </c>
      <c r="D30" s="9">
        <v>1.6659999999999999</v>
      </c>
      <c r="E30" s="9">
        <v>1.6679999999999999</v>
      </c>
      <c r="F30" s="9">
        <v>1.623</v>
      </c>
      <c r="H30" t="s">
        <v>2</v>
      </c>
      <c r="I30" s="11">
        <f ca="1">goldenOTP_check!I30*I86</f>
        <v>769.75600000000009</v>
      </c>
      <c r="J30" s="2">
        <f ca="1">goldenOTP_check!J30*J86</f>
        <v>828.03599999999994</v>
      </c>
      <c r="K30" s="2">
        <f ca="1">goldenOTP_check!K30*K86</f>
        <v>865.17599999999993</v>
      </c>
      <c r="L30" s="2">
        <f ca="1">goldenOTP_check!L30*L86</f>
        <v>894.04800000000012</v>
      </c>
      <c r="M30" s="2">
        <f ca="1">goldenOTP_check!M30*M86</f>
        <v>916.39799999999991</v>
      </c>
      <c r="N30" s="2">
        <f ca="1">goldenOTP_check!N30*N86</f>
        <v>944.26499999999999</v>
      </c>
      <c r="O30" s="2">
        <f ca="1">goldenOTP_check!O30*O86</f>
        <v>961.40800000000002</v>
      </c>
      <c r="P30" s="2">
        <f ca="1">goldenOTP_check!P30*P86</f>
        <v>980.61599999999999</v>
      </c>
      <c r="Q30" s="2">
        <f ca="1">goldenOTP_check!Q30*Q86</f>
        <v>975.024</v>
      </c>
      <c r="R30" s="2">
        <f ca="1">goldenOTP_check!R30*R86</f>
        <v>980.61599999999999</v>
      </c>
      <c r="S30" s="2">
        <f ca="1">goldenOTP_check!S30*S86</f>
        <v>961.92600000000004</v>
      </c>
      <c r="T30" s="2">
        <f ca="1">goldenOTP_check!T30*T86</f>
        <v>942.81600000000003</v>
      </c>
      <c r="U30" s="2">
        <f ca="1">goldenOTP_check!U30*U86</f>
        <v>913.31100000000004</v>
      </c>
      <c r="V30" s="2">
        <f ca="1">goldenOTP_check!V30*V86</f>
        <v>891.23400000000004</v>
      </c>
      <c r="W30" s="2">
        <f ca="1">goldenOTP_check!W30*W86</f>
        <v>865.53</v>
      </c>
      <c r="X30" s="2">
        <f ca="1">goldenOTP_check!X30*X86</f>
        <v>824.67</v>
      </c>
      <c r="Y30" s="11">
        <f ca="1">goldenOTP_check!Y30*Y86</f>
        <v>761.1099999999999</v>
      </c>
    </row>
    <row r="31" spans="2:25" x14ac:dyDescent="0.3">
      <c r="B31" s="6">
        <v>28</v>
      </c>
      <c r="C31" s="9">
        <v>1.87</v>
      </c>
      <c r="D31" s="9">
        <v>1.766</v>
      </c>
      <c r="E31" s="9">
        <v>1.768</v>
      </c>
      <c r="F31" s="9">
        <v>1.718</v>
      </c>
      <c r="H31" t="s">
        <v>6</v>
      </c>
      <c r="I31" s="2">
        <f ca="1">goldenOTP_check!I31*I87</f>
        <v>826.149</v>
      </c>
      <c r="J31" s="2">
        <f ca="1">goldenOTP_check!J31*J87</f>
        <v>862.30199999999991</v>
      </c>
      <c r="K31" s="2">
        <f ca="1">goldenOTP_check!K31*K87</f>
        <v>890.32600000000002</v>
      </c>
      <c r="L31" s="2">
        <f ca="1">goldenOTP_check!L31*L87</f>
        <v>930.00900000000001</v>
      </c>
      <c r="M31" s="2">
        <f ca="1">goldenOTP_check!M31*M87</f>
        <v>975.572</v>
      </c>
      <c r="N31" s="2">
        <f ca="1">goldenOTP_check!N31*N87</f>
        <v>997.15200000000004</v>
      </c>
      <c r="O31" s="2">
        <f ca="1">goldenOTP_check!O31*O87</f>
        <v>1024.152</v>
      </c>
      <c r="P31" s="2">
        <f ca="1">goldenOTP_check!P31*P87</f>
        <v>1028.164</v>
      </c>
      <c r="Q31" s="2">
        <f ca="1">goldenOTP_check!Q31*Q87</f>
        <v>1033.6990000000001</v>
      </c>
      <c r="R31" s="2">
        <f ca="1">goldenOTP_check!R31*R87</f>
        <v>1027.5229999999999</v>
      </c>
      <c r="S31" s="2">
        <f ca="1">goldenOTP_check!S31*S87</f>
        <v>1024.152</v>
      </c>
      <c r="T31" s="2">
        <f ca="1">goldenOTP_check!T31*T87</f>
        <v>997.15200000000004</v>
      </c>
      <c r="U31" s="2">
        <f ca="1">goldenOTP_check!U31*U87</f>
        <v>976.59999999999991</v>
      </c>
      <c r="V31" s="2">
        <f ca="1">goldenOTP_check!V31*V87</f>
        <v>930.46199999999988</v>
      </c>
      <c r="W31" s="2">
        <f ca="1">goldenOTP_check!W31*W87</f>
        <v>892.71399999999994</v>
      </c>
      <c r="X31" s="2">
        <f ca="1">goldenOTP_check!X31*X87</f>
        <v>860.93</v>
      </c>
      <c r="Y31" s="2">
        <f ca="1">goldenOTP_check!Y31*Y87</f>
        <v>814.50900000000001</v>
      </c>
    </row>
    <row r="32" spans="2:25" x14ac:dyDescent="0.3">
      <c r="B32" s="6">
        <v>29</v>
      </c>
      <c r="C32" s="9">
        <v>2.0219999999999998</v>
      </c>
      <c r="D32" s="9">
        <v>1.899</v>
      </c>
      <c r="E32" s="9">
        <v>1.9</v>
      </c>
      <c r="F32" s="9">
        <v>1.845</v>
      </c>
      <c r="I32" s="2">
        <f ca="1">goldenOTP_check!I32*I88</f>
        <v>841.3649999999999</v>
      </c>
      <c r="J32" s="2">
        <f ca="1">goldenOTP_check!J32*J88</f>
        <v>887.76799999999992</v>
      </c>
      <c r="K32" s="2">
        <f ca="1">goldenOTP_check!K32*K88</f>
        <v>920.24399999999991</v>
      </c>
      <c r="L32" s="2">
        <f ca="1">goldenOTP_check!L32*L88</f>
        <v>964.04599999999994</v>
      </c>
      <c r="M32" s="2">
        <f ca="1">goldenOTP_check!M32*M88</f>
        <v>1002.225</v>
      </c>
      <c r="N32" s="2">
        <f ca="1">goldenOTP_check!N32*N88</f>
        <v>1035.0049999999999</v>
      </c>
      <c r="O32" s="2">
        <f ca="1">goldenOTP_check!O32*O88</f>
        <v>1044.3</v>
      </c>
      <c r="P32" s="2">
        <f ca="1">goldenOTP_check!P32*P88</f>
        <v>1051.7759999999998</v>
      </c>
      <c r="Q32" s="2">
        <f ca="1">goldenOTP_check!Q32*Q88</f>
        <v>1058.2809999999999</v>
      </c>
      <c r="R32" s="2">
        <f ca="1">goldenOTP_check!R32*R88</f>
        <v>1054.0170000000001</v>
      </c>
      <c r="S32" s="2">
        <f ca="1">goldenOTP_check!S32*S88</f>
        <v>1050.672</v>
      </c>
      <c r="T32" s="2">
        <f ca="1">goldenOTP_check!T32*T88</f>
        <v>1040.8820000000001</v>
      </c>
      <c r="U32" s="2">
        <f ca="1">goldenOTP_check!U32*U88</f>
        <v>1006.873</v>
      </c>
      <c r="V32" s="2">
        <f ca="1">goldenOTP_check!V32*V88</f>
        <v>967.60900000000004</v>
      </c>
      <c r="W32" s="2">
        <f ca="1">goldenOTP_check!W32*W88</f>
        <v>922.01199999999994</v>
      </c>
      <c r="X32" s="2">
        <f ca="1">goldenOTP_check!X32*X88</f>
        <v>885.476</v>
      </c>
      <c r="Y32" s="2">
        <f ca="1">goldenOTP_check!Y32*Y88</f>
        <v>851.428</v>
      </c>
    </row>
    <row r="33" spans="2:25" x14ac:dyDescent="0.3">
      <c r="B33" s="6">
        <v>30</v>
      </c>
      <c r="C33" s="9">
        <v>2.194</v>
      </c>
      <c r="D33" s="9">
        <v>2.0529999999999999</v>
      </c>
      <c r="E33" s="9">
        <v>2.0539999999999998</v>
      </c>
      <c r="F33" s="9">
        <v>1.9950000000000001</v>
      </c>
      <c r="I33" s="2">
        <f ca="1">goldenOTP_check!I33*I89</f>
        <v>854.41300000000001</v>
      </c>
      <c r="J33" s="2">
        <f ca="1">goldenOTP_check!J33*J89</f>
        <v>898.57299999999998</v>
      </c>
      <c r="K33" s="2">
        <f ca="1">goldenOTP_check!K33*K89</f>
        <v>947.08900000000006</v>
      </c>
      <c r="L33" s="2">
        <f ca="1">goldenOTP_check!L33*L89</f>
        <v>994.89599999999996</v>
      </c>
      <c r="M33" s="2">
        <f ca="1">goldenOTP_check!M33*M89</f>
        <v>1024.201</v>
      </c>
      <c r="N33" s="2">
        <f ca="1">goldenOTP_check!N33*N89</f>
        <v>1049.58</v>
      </c>
      <c r="O33" s="2">
        <f ca="1">goldenOTP_check!O33*O89</f>
        <v>1052.2239999999999</v>
      </c>
      <c r="P33" s="2">
        <f ca="1">goldenOTP_check!P33*P89</f>
        <v>1062.4440000000002</v>
      </c>
      <c r="Q33" s="2">
        <f ca="1">goldenOTP_check!Q33*Q89</f>
        <v>1066.7720000000002</v>
      </c>
      <c r="R33" s="2">
        <f ca="1">goldenOTP_check!R33*R89</f>
        <v>1066.704</v>
      </c>
      <c r="S33" s="2">
        <f ca="1">goldenOTP_check!S33*S89</f>
        <v>1061.848</v>
      </c>
      <c r="T33" s="2">
        <f ca="1">goldenOTP_check!T33*T89</f>
        <v>1051.2</v>
      </c>
      <c r="U33" s="2">
        <f ca="1">goldenOTP_check!U33*U89</f>
        <v>1031.318</v>
      </c>
      <c r="V33" s="2">
        <f ca="1">goldenOTP_check!V33*V89</f>
        <v>999.40800000000002</v>
      </c>
      <c r="W33" s="2">
        <f ca="1">goldenOTP_check!W33*W89</f>
        <v>947.56999999999994</v>
      </c>
      <c r="X33" s="2">
        <f ca="1">goldenOTP_check!X33*X89</f>
        <v>893.25600000000009</v>
      </c>
      <c r="Y33" s="2">
        <f ca="1">goldenOTP_check!Y33*Y89</f>
        <v>859.94999999999993</v>
      </c>
    </row>
    <row r="34" spans="2:25" x14ac:dyDescent="0.3">
      <c r="B34" s="6">
        <v>31</v>
      </c>
      <c r="C34" s="9">
        <v>2.403</v>
      </c>
      <c r="D34" s="9">
        <v>2.2440000000000002</v>
      </c>
      <c r="E34" s="9">
        <v>2.2429999999999999</v>
      </c>
      <c r="F34" s="9">
        <v>2.173</v>
      </c>
      <c r="I34" s="2">
        <f ca="1">goldenOTP_check!I34*I90</f>
        <v>855.59100000000012</v>
      </c>
      <c r="J34" s="2">
        <f ca="1">goldenOTP_check!J34*J90</f>
        <v>916.82599999999991</v>
      </c>
      <c r="K34" s="2">
        <f ca="1">goldenOTP_check!K34*K90</f>
        <v>973.44</v>
      </c>
      <c r="L34" s="2">
        <f ca="1">goldenOTP_check!L34*L90</f>
        <v>1011.712</v>
      </c>
      <c r="M34" s="2">
        <f ca="1">goldenOTP_check!M34*M90</f>
        <v>1042.1759999999999</v>
      </c>
      <c r="N34" s="2">
        <f ca="1">goldenOTP_check!N34*N90</f>
        <v>1050.6200000000001</v>
      </c>
      <c r="O34" s="2">
        <f ca="1">goldenOTP_check!O34*O90</f>
        <v>1053.0419999999999</v>
      </c>
      <c r="P34" s="2">
        <f ca="1">goldenOTP_check!P34*P90</f>
        <v>1060.29</v>
      </c>
      <c r="Q34" s="2">
        <f ca="1">goldenOTP_check!Q34*Q90</f>
        <v>1059.414</v>
      </c>
      <c r="R34" s="2">
        <f ca="1">goldenOTP_check!R34*R90</f>
        <v>1063.095</v>
      </c>
      <c r="S34" s="2">
        <f ca="1">goldenOTP_check!S34*S90</f>
        <v>1057.4370000000001</v>
      </c>
      <c r="T34" s="2">
        <f ca="1">goldenOTP_check!T34*T90</f>
        <v>1054.6299999999999</v>
      </c>
      <c r="U34" s="2">
        <f ca="1">goldenOTP_check!U34*U90</f>
        <v>1036.854</v>
      </c>
      <c r="V34" s="2">
        <f ca="1">goldenOTP_check!V34*V90</f>
        <v>1014.144</v>
      </c>
      <c r="W34" s="2">
        <f ca="1">goldenOTP_check!W34*W90</f>
        <v>965.29199999999992</v>
      </c>
      <c r="X34" s="2">
        <f ca="1">goldenOTP_check!X34*X90</f>
        <v>917.7</v>
      </c>
      <c r="Y34" s="2">
        <f ca="1">goldenOTP_check!Y34*Y90</f>
        <v>850.87199999999996</v>
      </c>
    </row>
    <row r="35" spans="2:25" x14ac:dyDescent="0.3">
      <c r="B35" s="6">
        <v>32</v>
      </c>
      <c r="C35" s="9">
        <v>2.6890000000000001</v>
      </c>
      <c r="D35" s="9">
        <v>2.512</v>
      </c>
      <c r="E35" s="9">
        <v>2.5099999999999998</v>
      </c>
      <c r="F35" s="9">
        <v>2.423</v>
      </c>
      <c r="I35" s="2">
        <f ca="1">goldenOTP_check!I35*I91</f>
        <v>872.1</v>
      </c>
      <c r="J35" s="2">
        <f ca="1">goldenOTP_check!J35*J91</f>
        <v>923.66700000000003</v>
      </c>
      <c r="K35" s="2">
        <f ca="1">goldenOTP_check!K35*K91</f>
        <v>968.01600000000008</v>
      </c>
      <c r="L35" s="2">
        <f ca="1">goldenOTP_check!L35*L91</f>
        <v>1013.148</v>
      </c>
      <c r="M35" s="2">
        <f ca="1">goldenOTP_check!M35*M91</f>
        <v>1043.559</v>
      </c>
      <c r="N35" s="2">
        <f ca="1">goldenOTP_check!N35*N91</f>
        <v>1049.8860000000002</v>
      </c>
      <c r="O35" s="2">
        <f ca="1">goldenOTP_check!O35*O91</f>
        <v>1050.6990000000001</v>
      </c>
      <c r="P35" s="2">
        <f ca="1">goldenOTP_check!P35*P91</f>
        <v>1040.088</v>
      </c>
      <c r="Q35" s="2">
        <f ca="1">goldenOTP_check!Q35*Q91</f>
        <v>1033.0319999999999</v>
      </c>
      <c r="R35" s="2">
        <f ca="1">goldenOTP_check!R35*R91</f>
        <v>1042.056</v>
      </c>
      <c r="S35" s="2">
        <f ca="1">goldenOTP_check!S35*S91</f>
        <v>1053.4859999999999</v>
      </c>
      <c r="T35" s="2">
        <f ca="1">goldenOTP_check!T35*T91</f>
        <v>1049.8860000000002</v>
      </c>
      <c r="U35" s="2">
        <f ca="1">goldenOTP_check!U35*U91</f>
        <v>1035.1769999999999</v>
      </c>
      <c r="V35" s="2">
        <f ca="1">goldenOTP_check!V35*V91</f>
        <v>1014.42</v>
      </c>
      <c r="W35" s="2">
        <f ca="1">goldenOTP_check!W35*W91</f>
        <v>971.23200000000008</v>
      </c>
      <c r="X35" s="2">
        <f ca="1">goldenOTP_check!X35*X91</f>
        <v>925.93200000000002</v>
      </c>
      <c r="Y35" s="2">
        <f ca="1">goldenOTP_check!Y35*Y91</f>
        <v>869.43999999999994</v>
      </c>
    </row>
    <row r="36" spans="2:25" x14ac:dyDescent="0.3">
      <c r="B36" s="6">
        <v>33</v>
      </c>
      <c r="C36" s="9">
        <v>2.984</v>
      </c>
      <c r="D36" s="9">
        <v>2.8010000000000002</v>
      </c>
      <c r="E36" s="9">
        <v>2.7989999999999999</v>
      </c>
      <c r="F36" s="9">
        <v>2.6920000000000002</v>
      </c>
      <c r="I36" s="2">
        <f ca="1">goldenOTP_check!I36*I92</f>
        <v>861.46199999999999</v>
      </c>
      <c r="J36" s="2">
        <f ca="1">goldenOTP_check!J36*J92</f>
        <v>927.63900000000001</v>
      </c>
      <c r="K36" s="2">
        <f ca="1">goldenOTP_check!K36*K92</f>
        <v>974.75400000000002</v>
      </c>
      <c r="L36" s="2">
        <f ca="1">goldenOTP_check!L36*L92</f>
        <v>1011.908</v>
      </c>
      <c r="M36" s="2">
        <f ca="1">goldenOTP_check!M36*M92</f>
        <v>1033.154</v>
      </c>
      <c r="N36" s="2">
        <f ca="1">goldenOTP_check!N36*N92</f>
        <v>1043.367</v>
      </c>
      <c r="O36" s="2">
        <f ca="1">goldenOTP_check!O36*O92</f>
        <v>1039.654</v>
      </c>
      <c r="P36" s="2">
        <f ca="1">goldenOTP_check!P36*P92</f>
        <v>1025.0240000000001</v>
      </c>
      <c r="Q36" s="2">
        <f ca="1">goldenOTP_check!Q36*Q92</f>
        <v>1026.069</v>
      </c>
      <c r="R36" s="2">
        <f ca="1">goldenOTP_check!R36*R92</f>
        <v>1029.028</v>
      </c>
      <c r="S36" s="2">
        <f ca="1">goldenOTP_check!S36*S92</f>
        <v>1046.2760000000001</v>
      </c>
      <c r="T36" s="2">
        <f ca="1">goldenOTP_check!T36*T92</f>
        <v>1041.2550000000001</v>
      </c>
      <c r="U36" s="2">
        <f ca="1">goldenOTP_check!U36*U92</f>
        <v>1030.24</v>
      </c>
      <c r="V36" s="2">
        <f ca="1">goldenOTP_check!V36*V92</f>
        <v>1015.1429999999999</v>
      </c>
      <c r="W36" s="2">
        <f ca="1">goldenOTP_check!W36*W92</f>
        <v>968.01200000000006</v>
      </c>
      <c r="X36" s="2">
        <f ca="1">goldenOTP_check!X36*X92</f>
        <v>926.26199999999994</v>
      </c>
      <c r="Y36" s="2">
        <f ca="1">goldenOTP_check!Y36*Y92</f>
        <v>854.28</v>
      </c>
    </row>
    <row r="37" spans="2:25" x14ac:dyDescent="0.3">
      <c r="B37" s="6">
        <v>34</v>
      </c>
      <c r="C37" s="9">
        <v>2.879</v>
      </c>
      <c r="D37" s="9">
        <v>2.67</v>
      </c>
      <c r="E37" s="9">
        <v>2.6709999999999998</v>
      </c>
      <c r="F37" s="9">
        <v>2.577</v>
      </c>
      <c r="I37" s="2">
        <f ca="1">goldenOTP_check!I37*I93</f>
        <v>857.46</v>
      </c>
      <c r="J37" s="2">
        <f ca="1">goldenOTP_check!J37*J93</f>
        <v>924.57299999999998</v>
      </c>
      <c r="K37" s="2">
        <f ca="1">goldenOTP_check!K37*K93</f>
        <v>965.87200000000007</v>
      </c>
      <c r="L37" s="2">
        <f ca="1">goldenOTP_check!L37*L93</f>
        <v>1006.788</v>
      </c>
      <c r="M37" s="2">
        <f ca="1">goldenOTP_check!M37*M93</f>
        <v>1024.8030000000001</v>
      </c>
      <c r="N37" s="2">
        <f ca="1">goldenOTP_check!N37*N93</f>
        <v>1037.1959999999999</v>
      </c>
      <c r="O37" s="2">
        <f ca="1">goldenOTP_check!O37*O93</f>
        <v>1035.835</v>
      </c>
      <c r="P37" s="2">
        <f ca="1">goldenOTP_check!P37*P93</f>
        <v>1025.328</v>
      </c>
      <c r="Q37" s="2">
        <f ca="1">goldenOTP_check!Q37*Q93</f>
        <v>1021.02</v>
      </c>
      <c r="R37" s="2">
        <f ca="1">goldenOTP_check!R37*R93</f>
        <v>1032.2159999999999</v>
      </c>
      <c r="S37" s="2">
        <f ca="1">goldenOTP_check!S37*S93</f>
        <v>1041.144</v>
      </c>
      <c r="T37" s="2">
        <f ca="1">goldenOTP_check!T37*T93</f>
        <v>1041.1579999999999</v>
      </c>
      <c r="U37" s="2">
        <f ca="1">goldenOTP_check!U37*U93</f>
        <v>1034.4359999999999</v>
      </c>
      <c r="V37" s="2">
        <f ca="1">goldenOTP_check!V37*V93</f>
        <v>1004.22</v>
      </c>
      <c r="W37" s="2">
        <f ca="1">goldenOTP_check!W37*W93</f>
        <v>969.08800000000008</v>
      </c>
      <c r="X37" s="2">
        <f ca="1">goldenOTP_check!X37*X93</f>
        <v>911.23199999999997</v>
      </c>
      <c r="Y37" s="2">
        <f ca="1">goldenOTP_check!Y37*Y93</f>
        <v>849.72799999999995</v>
      </c>
    </row>
    <row r="38" spans="2:25" x14ac:dyDescent="0.3">
      <c r="B38" s="6">
        <v>35</v>
      </c>
      <c r="C38" s="9">
        <v>2.5019999999999998</v>
      </c>
      <c r="D38" s="9">
        <v>2.323</v>
      </c>
      <c r="E38" s="9">
        <v>2.3239999999999998</v>
      </c>
      <c r="F38" s="9">
        <v>2.2490000000000001</v>
      </c>
      <c r="I38" s="2">
        <f ca="1">goldenOTP_check!I38*I94</f>
        <v>859.221</v>
      </c>
      <c r="J38" s="2">
        <f ca="1">goldenOTP_check!J38*J94</f>
        <v>919.88499999999999</v>
      </c>
      <c r="K38" s="2">
        <f ca="1">goldenOTP_check!K38*K94</f>
        <v>962.20800000000008</v>
      </c>
      <c r="L38" s="2">
        <f ca="1">goldenOTP_check!L38*L94</f>
        <v>998.56799999999998</v>
      </c>
      <c r="M38" s="2">
        <f ca="1">goldenOTP_check!M38*M94</f>
        <v>1024.2180000000001</v>
      </c>
      <c r="N38" s="2">
        <f ca="1">goldenOTP_check!N38*N94</f>
        <v>1031.616</v>
      </c>
      <c r="O38" s="2">
        <f ca="1">goldenOTP_check!O38*O94</f>
        <v>1034.816</v>
      </c>
      <c r="P38" s="2">
        <f ca="1">goldenOTP_check!P38*P94</f>
        <v>1029.145</v>
      </c>
      <c r="Q38" s="2">
        <f ca="1">goldenOTP_check!Q38*Q94</f>
        <v>1034.924</v>
      </c>
      <c r="R38" s="2">
        <f ca="1">goldenOTP_check!R38*R94</f>
        <v>1032.837</v>
      </c>
      <c r="S38" s="2">
        <f ca="1">goldenOTP_check!S38*S94</f>
        <v>1039.1860000000001</v>
      </c>
      <c r="T38" s="2">
        <f ca="1">goldenOTP_check!T38*T94</f>
        <v>1030.673</v>
      </c>
      <c r="U38" s="2">
        <f ca="1">goldenOTP_check!U38*U94</f>
        <v>1023.893</v>
      </c>
      <c r="V38" s="2">
        <f ca="1">goldenOTP_check!V38*V94</f>
        <v>1003.3919999999999</v>
      </c>
      <c r="W38" s="2">
        <f ca="1">goldenOTP_check!W38*W94</f>
        <v>954.375</v>
      </c>
      <c r="X38" s="2">
        <f ca="1">goldenOTP_check!X38*X94</f>
        <v>905.1</v>
      </c>
      <c r="Y38" s="2">
        <f ca="1">goldenOTP_check!Y38*Y94</f>
        <v>855.92500000000007</v>
      </c>
    </row>
    <row r="39" spans="2:25" x14ac:dyDescent="0.3">
      <c r="B39" s="6">
        <v>36</v>
      </c>
      <c r="C39" s="9">
        <v>2.2320000000000002</v>
      </c>
      <c r="D39" s="9">
        <v>2.081</v>
      </c>
      <c r="E39" s="9">
        <v>2.0819999999999999</v>
      </c>
      <c r="F39" s="9">
        <v>2.0219999999999998</v>
      </c>
      <c r="I39" s="2">
        <f ca="1">goldenOTP_check!I39*I95</f>
        <v>829.46</v>
      </c>
      <c r="J39" s="2">
        <f ca="1">goldenOTP_check!J39*J95</f>
        <v>895.70999999999992</v>
      </c>
      <c r="K39" s="2">
        <f ca="1">goldenOTP_check!K39*K95</f>
        <v>934.86400000000003</v>
      </c>
      <c r="L39" s="2">
        <f ca="1">goldenOTP_check!L39*L95</f>
        <v>983.28099999999995</v>
      </c>
      <c r="M39" s="2">
        <f ca="1">goldenOTP_check!M39*M95</f>
        <v>1008.9340000000001</v>
      </c>
      <c r="N39" s="2">
        <f ca="1">goldenOTP_check!N39*N95</f>
        <v>1024.46</v>
      </c>
      <c r="O39" s="2">
        <f ca="1">goldenOTP_check!O39*O95</f>
        <v>1030.82</v>
      </c>
      <c r="P39" s="2">
        <f ca="1">goldenOTP_check!P39*P95</f>
        <v>1030.2250000000001</v>
      </c>
      <c r="Q39" s="2">
        <f ca="1">goldenOTP_check!Q39*Q95</f>
        <v>1030.114</v>
      </c>
      <c r="R39" s="2">
        <f ca="1">goldenOTP_check!R39*R95</f>
        <v>1029.384</v>
      </c>
      <c r="S39" s="2">
        <f ca="1">goldenOTP_check!S39*S95</f>
        <v>1022.7629999999999</v>
      </c>
      <c r="T39" s="2">
        <f ca="1">goldenOTP_check!T39*T95</f>
        <v>1014.509</v>
      </c>
      <c r="U39" s="2">
        <f ca="1">goldenOTP_check!U39*U95</f>
        <v>999.79200000000003</v>
      </c>
      <c r="V39" s="2">
        <f ca="1">goldenOTP_check!V39*V95</f>
        <v>973.28</v>
      </c>
      <c r="W39" s="2">
        <f ca="1">goldenOTP_check!W39*W95</f>
        <v>936.76800000000003</v>
      </c>
      <c r="X39" s="2">
        <f ca="1">goldenOTP_check!X39*X95</f>
        <v>885.16399999999999</v>
      </c>
      <c r="Y39" s="2">
        <f ca="1">goldenOTP_check!Y39*Y95</f>
        <v>852.15000000000009</v>
      </c>
    </row>
    <row r="40" spans="2:25" x14ac:dyDescent="0.3">
      <c r="B40" s="6">
        <v>37</v>
      </c>
      <c r="C40" s="9">
        <v>2.0219999999999998</v>
      </c>
      <c r="D40" s="9">
        <v>1.8919999999999999</v>
      </c>
      <c r="E40" s="9">
        <v>1.8939999999999999</v>
      </c>
      <c r="F40" s="9">
        <v>1.841</v>
      </c>
      <c r="I40" s="2">
        <f ca="1">goldenOTP_check!I40*I96</f>
        <v>844.80500000000006</v>
      </c>
      <c r="J40" s="2">
        <f ca="1">goldenOTP_check!J40*J96</f>
        <v>875.70400000000006</v>
      </c>
      <c r="K40" s="2">
        <f ca="1">goldenOTP_check!K40*K96</f>
        <v>912.89300000000003</v>
      </c>
      <c r="L40" s="2">
        <f ca="1">goldenOTP_check!L40*L96</f>
        <v>952.17899999999997</v>
      </c>
      <c r="M40" s="2">
        <f ca="1">goldenOTP_check!M40*M96</f>
        <v>979.26</v>
      </c>
      <c r="N40" s="2">
        <f ca="1">goldenOTP_check!N40*N96</f>
        <v>1008.293</v>
      </c>
      <c r="O40" s="2">
        <f ca="1">goldenOTP_check!O40*O96</f>
        <v>1016.923</v>
      </c>
      <c r="P40" s="2">
        <f ca="1">goldenOTP_check!P40*P96</f>
        <v>1018.7099999999999</v>
      </c>
      <c r="Q40" s="2">
        <f ca="1">goldenOTP_check!Q40*Q96</f>
        <v>1015.9200000000001</v>
      </c>
      <c r="R40" s="2">
        <f ca="1">goldenOTP_check!R40*R96</f>
        <v>1017.2399999999999</v>
      </c>
      <c r="S40" s="2">
        <f ca="1">goldenOTP_check!S40*S96</f>
        <v>1016.226</v>
      </c>
      <c r="T40" s="2">
        <f ca="1">goldenOTP_check!T40*T96</f>
        <v>999.79200000000003</v>
      </c>
      <c r="U40" s="2">
        <f ca="1">goldenOTP_check!U40*U96</f>
        <v>978.12</v>
      </c>
      <c r="V40" s="2">
        <f ca="1">goldenOTP_check!V40*V96</f>
        <v>942.21600000000001</v>
      </c>
      <c r="W40" s="2">
        <f ca="1">goldenOTP_check!W40*W96</f>
        <v>899.06599999999992</v>
      </c>
      <c r="X40" s="2">
        <f ca="1">goldenOTP_check!X40*X96</f>
        <v>859.88</v>
      </c>
      <c r="Y40" s="2">
        <f ca="1">goldenOTP_check!Y40*Y96</f>
        <v>845.66899999999998</v>
      </c>
    </row>
    <row r="41" spans="2:25" x14ac:dyDescent="0.3">
      <c r="B41" s="6">
        <v>38</v>
      </c>
      <c r="C41" s="9">
        <v>1.829</v>
      </c>
      <c r="D41" s="9">
        <v>1.7230000000000001</v>
      </c>
      <c r="E41" s="9">
        <v>1.7250000000000001</v>
      </c>
      <c r="F41" s="9">
        <v>1.6779999999999999</v>
      </c>
      <c r="I41" s="2">
        <f ca="1">goldenOTP_check!I41*I97</f>
        <v>841.7890000000001</v>
      </c>
      <c r="J41" s="2">
        <f ca="1">goldenOTP_check!J41*J97</f>
        <v>853.95799999999997</v>
      </c>
      <c r="K41" s="2">
        <f ca="1">goldenOTP_check!K41*K97</f>
        <v>885.822</v>
      </c>
      <c r="L41" s="2">
        <f ca="1">goldenOTP_check!L41*L97</f>
        <v>911.40399999999988</v>
      </c>
      <c r="M41" s="2">
        <f ca="1">goldenOTP_check!M41*M97</f>
        <v>944.70600000000002</v>
      </c>
      <c r="N41" s="2">
        <f ca="1">goldenOTP_check!N41*N97</f>
        <v>972.17399999999998</v>
      </c>
      <c r="O41" s="2">
        <f ca="1">goldenOTP_check!O41*O97</f>
        <v>988.03499999999997</v>
      </c>
      <c r="P41" s="2">
        <f ca="1">goldenOTP_check!P41*P97</f>
        <v>1001.7</v>
      </c>
      <c r="Q41" s="2">
        <f ca="1">goldenOTP_check!Q41*Q97</f>
        <v>997.88400000000001</v>
      </c>
      <c r="R41" s="2">
        <f ca="1">goldenOTP_check!R41*R97</f>
        <v>1004.22</v>
      </c>
      <c r="S41" s="2">
        <f ca="1">goldenOTP_check!S41*S97</f>
        <v>994.005</v>
      </c>
      <c r="T41" s="2">
        <f ca="1">goldenOTP_check!T41*T97</f>
        <v>977.15099999999995</v>
      </c>
      <c r="U41" s="2">
        <f ca="1">goldenOTP_check!U41*U97</f>
        <v>946.69799999999998</v>
      </c>
      <c r="V41" s="2">
        <f ca="1">goldenOTP_check!V41*V97</f>
        <v>909.63599999999997</v>
      </c>
      <c r="W41" s="2">
        <f ca="1">goldenOTP_check!W41*W97</f>
        <v>866.49299999999994</v>
      </c>
      <c r="X41" s="2">
        <f ca="1">goldenOTP_check!X41*X97</f>
        <v>844.85900000000004</v>
      </c>
      <c r="Y41" s="2">
        <f ca="1">goldenOTP_check!Y41*Y97</f>
        <v>824.79499999999996</v>
      </c>
    </row>
    <row r="42" spans="2:25" x14ac:dyDescent="0.3">
      <c r="B42" s="6">
        <v>39</v>
      </c>
      <c r="C42" s="9">
        <v>1.667</v>
      </c>
      <c r="D42" s="9">
        <v>1.5820000000000001</v>
      </c>
      <c r="E42" s="9">
        <v>1.585</v>
      </c>
      <c r="F42" s="9">
        <v>1.54</v>
      </c>
      <c r="I42" s="11">
        <f ca="1">goldenOTP_check!I42*I98</f>
        <v>825.46599999999989</v>
      </c>
      <c r="J42" s="2">
        <f ca="1">goldenOTP_check!J42*J98</f>
        <v>837.90000000000009</v>
      </c>
      <c r="K42" s="2">
        <f ca="1">goldenOTP_check!K42*K98</f>
        <v>853.1819999999999</v>
      </c>
      <c r="L42" s="2">
        <f ca="1">goldenOTP_check!L42*L98</f>
        <v>870.17599999999993</v>
      </c>
      <c r="M42" s="2">
        <f ca="1">goldenOTP_check!M42*M98</f>
        <v>913.2890000000001</v>
      </c>
      <c r="N42" s="2">
        <f ca="1">goldenOTP_check!N42*N98</f>
        <v>920.57600000000002</v>
      </c>
      <c r="O42" s="2">
        <f ca="1">goldenOTP_check!O42*O98</f>
        <v>942.88199999999995</v>
      </c>
      <c r="P42" s="2">
        <f ca="1">goldenOTP_check!P42*P98</f>
        <v>946.4</v>
      </c>
      <c r="Q42" s="2">
        <f ca="1">goldenOTP_check!Q42*Q98</f>
        <v>960.99899999999991</v>
      </c>
      <c r="R42" s="2">
        <f ca="1">goldenOTP_check!R42*R98</f>
        <v>951.07999999999993</v>
      </c>
      <c r="S42" s="2">
        <f ca="1">goldenOTP_check!S42*S98</f>
        <v>952.40100000000007</v>
      </c>
      <c r="T42" s="2">
        <f ca="1">goldenOTP_check!T42*T98</f>
        <v>929.39200000000005</v>
      </c>
      <c r="U42" s="2">
        <f ca="1">goldenOTP_check!U42*U98</f>
        <v>902.69600000000003</v>
      </c>
      <c r="V42" s="2">
        <f ca="1">goldenOTP_check!V42*V98</f>
        <v>869.02700000000004</v>
      </c>
      <c r="W42" s="2">
        <f ca="1">goldenOTP_check!W42*W98</f>
        <v>850.64</v>
      </c>
      <c r="X42" s="2">
        <f ca="1">goldenOTP_check!X42*X98</f>
        <v>816.9</v>
      </c>
      <c r="Y42" s="11">
        <f ca="1">goldenOTP_check!Y42*Y98</f>
        <v>769.56000000000006</v>
      </c>
    </row>
    <row r="43" spans="2:25" x14ac:dyDescent="0.3">
      <c r="B43" s="6">
        <v>40</v>
      </c>
      <c r="C43" s="9">
        <v>1.54</v>
      </c>
      <c r="D43" s="9">
        <v>1.4730000000000001</v>
      </c>
      <c r="E43" s="9">
        <v>1.4750000000000001</v>
      </c>
      <c r="F43" s="9">
        <v>1.4370000000000001</v>
      </c>
    </row>
    <row r="44" spans="2:25" x14ac:dyDescent="0.3">
      <c r="B44" s="6">
        <v>41</v>
      </c>
      <c r="C44" s="9">
        <v>1.4610000000000001</v>
      </c>
      <c r="D44" s="9">
        <v>1.4059999999999999</v>
      </c>
      <c r="E44" s="9">
        <v>1.4079999999999999</v>
      </c>
      <c r="F44" s="9">
        <v>1.3759999999999999</v>
      </c>
      <c r="H44" t="s">
        <v>3</v>
      </c>
      <c r="I44" s="12">
        <f ca="1">goldenOTP_check!I44*I100</f>
        <v>742.26499999999999</v>
      </c>
      <c r="J44" s="4">
        <f ca="1">goldenOTP_check!J44*J100</f>
        <v>804.24599999999998</v>
      </c>
      <c r="K44" s="4">
        <f ca="1">goldenOTP_check!K44*K100</f>
        <v>824.38400000000001</v>
      </c>
      <c r="L44" s="4">
        <f ca="1">goldenOTP_check!L44*L100</f>
        <v>874.85099999999989</v>
      </c>
      <c r="M44" s="4">
        <f ca="1">goldenOTP_check!M44*M100</f>
        <v>904.255</v>
      </c>
      <c r="N44" s="4">
        <f ca="1">goldenOTP_check!N44*N100</f>
        <v>901.053</v>
      </c>
      <c r="O44" s="4">
        <f ca="1">goldenOTP_check!O44*O100</f>
        <v>940.35400000000004</v>
      </c>
      <c r="P44" s="4">
        <f ca="1">goldenOTP_check!P44*P100</f>
        <v>950.58600000000001</v>
      </c>
      <c r="Q44" s="4">
        <f ca="1">goldenOTP_check!Q44*Q100</f>
        <v>959.71100000000001</v>
      </c>
      <c r="R44" s="4">
        <f ca="1">goldenOTP_check!R44*R100</f>
        <v>951.67800000000011</v>
      </c>
      <c r="S44" s="4">
        <f ca="1">goldenOTP_check!S44*S100</f>
        <v>941.4</v>
      </c>
      <c r="T44" s="4">
        <f ca="1">goldenOTP_check!T44*T100</f>
        <v>900.57599999999991</v>
      </c>
      <c r="U44" s="4">
        <f ca="1">goldenOTP_check!U44*U100</f>
        <v>902.45099999999991</v>
      </c>
      <c r="V44" s="4">
        <f ca="1">goldenOTP_check!V44*V100</f>
        <v>842.37199999999996</v>
      </c>
      <c r="W44" s="4">
        <f ca="1">goldenOTP_check!W44*W100</f>
        <v>827.2</v>
      </c>
      <c r="X44" s="4">
        <f ca="1">goldenOTP_check!X44*X100</f>
        <v>803.00199999999995</v>
      </c>
      <c r="Y44" s="12">
        <f ca="1">goldenOTP_check!Y44*Y100</f>
        <v>735.64</v>
      </c>
    </row>
    <row r="45" spans="2:25" x14ac:dyDescent="0.3">
      <c r="B45" s="6">
        <v>42</v>
      </c>
      <c r="C45" s="9">
        <v>1.4359999999999999</v>
      </c>
      <c r="D45" s="9">
        <v>1.3859999999999999</v>
      </c>
      <c r="E45" s="9">
        <v>1.387</v>
      </c>
      <c r="F45" s="9">
        <v>1.36</v>
      </c>
      <c r="H45" t="s">
        <v>6</v>
      </c>
      <c r="I45" s="4">
        <f ca="1">goldenOTP_check!I45*I101</f>
        <v>807.19200000000001</v>
      </c>
      <c r="J45" s="4">
        <f ca="1">goldenOTP_check!J45*J101</f>
        <v>824.87900000000002</v>
      </c>
      <c r="K45" s="4">
        <f ca="1">goldenOTP_check!K45*K101</f>
        <v>860.07799999999997</v>
      </c>
      <c r="L45" s="4">
        <f ca="1">goldenOTP_check!L45*L101</f>
        <v>904.54</v>
      </c>
      <c r="M45" s="4">
        <f ca="1">goldenOTP_check!M45*M101</f>
        <v>942.08</v>
      </c>
      <c r="N45" s="4">
        <f ca="1">goldenOTP_check!N45*N101</f>
        <v>974.68799999999999</v>
      </c>
      <c r="O45" s="4">
        <f ca="1">goldenOTP_check!O45*O101</f>
        <v>994.68000000000006</v>
      </c>
      <c r="P45" s="4">
        <f ca="1">goldenOTP_check!P45*P101</f>
        <v>994.99400000000003</v>
      </c>
      <c r="Q45" s="4">
        <f ca="1">goldenOTP_check!Q45*Q101</f>
        <v>1001.16</v>
      </c>
      <c r="R45" s="4">
        <f ca="1">goldenOTP_check!R45*R101</f>
        <v>995.63099999999997</v>
      </c>
      <c r="S45" s="4">
        <f ca="1">goldenOTP_check!S45*S101</f>
        <v>996.52200000000005</v>
      </c>
      <c r="T45" s="4">
        <f ca="1">goldenOTP_check!T45*T101</f>
        <v>975.82399999999996</v>
      </c>
      <c r="U45" s="4">
        <f ca="1">goldenOTP_check!U45*U101</f>
        <v>944.64</v>
      </c>
      <c r="V45" s="4">
        <f ca="1">goldenOTP_check!V45*V101</f>
        <v>907.72500000000002</v>
      </c>
      <c r="W45" s="4">
        <f ca="1">goldenOTP_check!W45*W101</f>
        <v>864.85400000000004</v>
      </c>
      <c r="X45" s="4">
        <f ca="1">goldenOTP_check!X45*X101</f>
        <v>826.24300000000005</v>
      </c>
      <c r="Y45" s="4">
        <f ca="1">goldenOTP_check!Y45*Y101</f>
        <v>796.83200000000011</v>
      </c>
    </row>
    <row r="46" spans="2:25" x14ac:dyDescent="0.3">
      <c r="B46" s="6">
        <v>43</v>
      </c>
      <c r="C46" s="9">
        <v>1.4630000000000001</v>
      </c>
      <c r="D46" s="9">
        <v>1.411</v>
      </c>
      <c r="E46" s="9">
        <v>1.411</v>
      </c>
      <c r="F46" s="9">
        <v>1.381</v>
      </c>
      <c r="I46" s="4">
        <f ca="1">goldenOTP_check!I46*I102</f>
        <v>809.178</v>
      </c>
      <c r="J46" s="4">
        <f ca="1">goldenOTP_check!J46*J102</f>
        <v>843.375</v>
      </c>
      <c r="K46" s="4">
        <f ca="1">goldenOTP_check!K46*K102</f>
        <v>895.74599999999987</v>
      </c>
      <c r="L46" s="4">
        <f ca="1">goldenOTP_check!L46*L102</f>
        <v>942.59199999999998</v>
      </c>
      <c r="M46" s="4">
        <f ca="1">goldenOTP_check!M46*M102</f>
        <v>973.24</v>
      </c>
      <c r="N46" s="4">
        <f ca="1">goldenOTP_check!N46*N102</f>
        <v>997.92000000000007</v>
      </c>
      <c r="O46" s="4">
        <f ca="1">goldenOTP_check!O46*O102</f>
        <v>1013.085</v>
      </c>
      <c r="P46" s="4">
        <f ca="1">goldenOTP_check!P46*P102</f>
        <v>1032</v>
      </c>
      <c r="Q46" s="4">
        <f ca="1">goldenOTP_check!Q46*Q102</f>
        <v>1036.3200000000002</v>
      </c>
      <c r="R46" s="4">
        <f ca="1">goldenOTP_check!R46*R102</f>
        <v>1035.75</v>
      </c>
      <c r="S46" s="4">
        <f ca="1">goldenOTP_check!S46*S102</f>
        <v>1020.135</v>
      </c>
      <c r="T46" s="4">
        <f ca="1">goldenOTP_check!T46*T102</f>
        <v>1005.048</v>
      </c>
      <c r="U46" s="4">
        <f ca="1">goldenOTP_check!U46*U102</f>
        <v>980.19999999999993</v>
      </c>
      <c r="V46" s="4">
        <f ca="1">goldenOTP_check!V46*V102</f>
        <v>950.27200000000005</v>
      </c>
      <c r="W46" s="4">
        <f ca="1">goldenOTP_check!W46*W102</f>
        <v>900.61899999999991</v>
      </c>
      <c r="X46" s="4">
        <f ca="1">goldenOTP_check!X46*X102</f>
        <v>844.125</v>
      </c>
      <c r="Y46" s="4">
        <f ca="1">goldenOTP_check!Y46*Y102</f>
        <v>800.072</v>
      </c>
    </row>
    <row r="47" spans="2:25" x14ac:dyDescent="0.3">
      <c r="B47" s="6">
        <v>44</v>
      </c>
      <c r="C47" s="9">
        <v>1.546</v>
      </c>
      <c r="D47" s="9">
        <v>1.4830000000000001</v>
      </c>
      <c r="E47" s="9">
        <v>1.484</v>
      </c>
      <c r="F47" s="9">
        <v>1.4470000000000001</v>
      </c>
      <c r="I47" s="4">
        <f ca="1">goldenOTP_check!I47*I103</f>
        <v>842.4860000000001</v>
      </c>
      <c r="J47" s="4">
        <f ca="1">goldenOTP_check!J47*J103</f>
        <v>871.98800000000006</v>
      </c>
      <c r="K47" s="4">
        <f ca="1">goldenOTP_check!K47*K103</f>
        <v>936.43500000000006</v>
      </c>
      <c r="L47" s="4">
        <f ca="1">goldenOTP_check!L47*L103</f>
        <v>974.68799999999999</v>
      </c>
      <c r="M47" s="4">
        <f ca="1">goldenOTP_check!M47*M103</f>
        <v>997.27199999999993</v>
      </c>
      <c r="N47" s="4">
        <f ca="1">goldenOTP_check!N47*N103</f>
        <v>1026.471</v>
      </c>
      <c r="O47" s="4">
        <f ca="1">goldenOTP_check!O47*O103</f>
        <v>1032.96</v>
      </c>
      <c r="P47" s="4">
        <f ca="1">goldenOTP_check!P47*P103</f>
        <v>1042.366</v>
      </c>
      <c r="Q47" s="4">
        <f ca="1">goldenOTP_check!Q47*Q103</f>
        <v>1044.576</v>
      </c>
      <c r="R47" s="4">
        <f ca="1">goldenOTP_check!R47*R103</f>
        <v>1047.4839999999999</v>
      </c>
      <c r="S47" s="4">
        <f ca="1">goldenOTP_check!S47*S103</f>
        <v>1043.451</v>
      </c>
      <c r="T47" s="4">
        <f ca="1">goldenOTP_check!T47*T103</f>
        <v>1020.708</v>
      </c>
      <c r="U47" s="4">
        <f ca="1">goldenOTP_check!U47*U103</f>
        <v>1008.288</v>
      </c>
      <c r="V47" s="4">
        <f ca="1">goldenOTP_check!V47*V103</f>
        <v>965.28100000000006</v>
      </c>
      <c r="W47" s="4">
        <f ca="1">goldenOTP_check!W47*W103</f>
        <v>919.17899999999997</v>
      </c>
      <c r="X47" s="4">
        <f ca="1">goldenOTP_check!X47*X103</f>
        <v>872.39700000000005</v>
      </c>
      <c r="Y47" s="4">
        <f ca="1">goldenOTP_check!Y47*Y103</f>
        <v>833.06299999999999</v>
      </c>
    </row>
    <row r="48" spans="2:25" x14ac:dyDescent="0.3">
      <c r="B48" s="6">
        <v>45</v>
      </c>
      <c r="C48" s="9">
        <v>1.671</v>
      </c>
      <c r="D48" s="9">
        <v>1.593</v>
      </c>
      <c r="E48" s="9">
        <v>1.5940000000000001</v>
      </c>
      <c r="F48" s="9">
        <v>1.5509999999999999</v>
      </c>
      <c r="I48" s="4">
        <f ca="1">goldenOTP_check!I48*I104</f>
        <v>849.59</v>
      </c>
      <c r="J48" s="4">
        <f ca="1">goldenOTP_check!J48*J104</f>
        <v>883.00800000000004</v>
      </c>
      <c r="K48" s="4">
        <f ca="1">goldenOTP_check!K48*K104</f>
        <v>934.91200000000003</v>
      </c>
      <c r="L48" s="4">
        <f ca="1">goldenOTP_check!L48*L104</f>
        <v>995.90800000000002</v>
      </c>
      <c r="M48" s="4">
        <f ca="1">goldenOTP_check!M48*M104</f>
        <v>1010.9699999999999</v>
      </c>
      <c r="N48" s="4">
        <f ca="1">goldenOTP_check!N48*N104</f>
        <v>1030.539</v>
      </c>
      <c r="O48" s="4">
        <f ca="1">goldenOTP_check!O48*O104</f>
        <v>1039.5639999999999</v>
      </c>
      <c r="P48" s="4">
        <f ca="1">goldenOTP_check!P48*P104</f>
        <v>1039.18</v>
      </c>
      <c r="Q48" s="4">
        <f ca="1">goldenOTP_check!Q48*Q104</f>
        <v>1049.5450000000001</v>
      </c>
      <c r="R48" s="4">
        <f ca="1">goldenOTP_check!R48*R104</f>
        <v>1041.9760000000001</v>
      </c>
      <c r="S48" s="4">
        <f ca="1">goldenOTP_check!S48*S104</f>
        <v>1043.999</v>
      </c>
      <c r="T48" s="4">
        <f ca="1">goldenOTP_check!T48*T104</f>
        <v>1036.9949999999999</v>
      </c>
      <c r="U48" s="4">
        <f ca="1">goldenOTP_check!U48*U104</f>
        <v>1018.725</v>
      </c>
      <c r="V48" s="4">
        <f ca="1">goldenOTP_check!V48*V104</f>
        <v>983.66799999999989</v>
      </c>
      <c r="W48" s="4">
        <f ca="1">goldenOTP_check!W48*W104</f>
        <v>942.08</v>
      </c>
      <c r="X48" s="4">
        <f ca="1">goldenOTP_check!X48*X104</f>
        <v>887.32799999999997</v>
      </c>
      <c r="Y48" s="4">
        <f ca="1">goldenOTP_check!Y48*Y104</f>
        <v>848.10599999999999</v>
      </c>
    </row>
    <row r="49" spans="2:25" x14ac:dyDescent="0.3">
      <c r="B49" s="6">
        <v>46</v>
      </c>
      <c r="C49" s="9">
        <v>1.831</v>
      </c>
      <c r="D49" s="9">
        <v>1.7330000000000001</v>
      </c>
      <c r="E49" s="9">
        <v>1.7330000000000001</v>
      </c>
      <c r="F49" s="9">
        <v>1.69</v>
      </c>
      <c r="I49" s="4">
        <f ca="1">goldenOTP_check!I49*I105</f>
        <v>844.0329999999999</v>
      </c>
      <c r="J49" s="4">
        <f ca="1">goldenOTP_check!J49*J105</f>
        <v>903.63</v>
      </c>
      <c r="K49" s="4">
        <f ca="1">goldenOTP_check!K49*K105</f>
        <v>941.976</v>
      </c>
      <c r="L49" s="4">
        <f ca="1">goldenOTP_check!L49*L105</f>
        <v>991.17200000000003</v>
      </c>
      <c r="M49" s="4">
        <f ca="1">goldenOTP_check!M49*M105</f>
        <v>1024.5</v>
      </c>
      <c r="N49" s="4">
        <f ca="1">goldenOTP_check!N49*N105</f>
        <v>1038.1010000000001</v>
      </c>
      <c r="O49" s="4">
        <f ca="1">goldenOTP_check!O49*O105</f>
        <v>1037.316</v>
      </c>
      <c r="P49" s="4">
        <f ca="1">goldenOTP_check!P49*P105</f>
        <v>1036.472</v>
      </c>
      <c r="Q49" s="4">
        <f ca="1">goldenOTP_check!Q49*Q105</f>
        <v>1026</v>
      </c>
      <c r="R49" s="4">
        <f ca="1">goldenOTP_check!R49*R105</f>
        <v>1038.45</v>
      </c>
      <c r="S49" s="4">
        <f ca="1">goldenOTP_check!S49*S105</f>
        <v>1040.1120000000001</v>
      </c>
      <c r="T49" s="4">
        <f ca="1">goldenOTP_check!T49*T105</f>
        <v>1025.1790000000001</v>
      </c>
      <c r="U49" s="4">
        <f ca="1">goldenOTP_check!U49*U105</f>
        <v>1013.9080000000001</v>
      </c>
      <c r="V49" s="4">
        <f ca="1">goldenOTP_check!V49*V105</f>
        <v>997.54200000000003</v>
      </c>
      <c r="W49" s="4">
        <f ca="1">goldenOTP_check!W49*W105</f>
        <v>949.98599999999999</v>
      </c>
      <c r="X49" s="4">
        <f ca="1">goldenOTP_check!X49*X105</f>
        <v>887.32900000000006</v>
      </c>
      <c r="Y49" s="4">
        <f ca="1">goldenOTP_check!Y49*Y105</f>
        <v>856.77100000000007</v>
      </c>
    </row>
    <row r="50" spans="2:25" x14ac:dyDescent="0.3">
      <c r="B50" s="6">
        <v>47</v>
      </c>
      <c r="C50" s="9">
        <v>2.0219999999999998</v>
      </c>
      <c r="D50" s="9">
        <v>1.9019999999999999</v>
      </c>
      <c r="E50" s="9">
        <v>1.901</v>
      </c>
      <c r="F50" s="9">
        <v>1.8560000000000001</v>
      </c>
      <c r="I50" s="4">
        <f ca="1">goldenOTP_check!I50*I106</f>
        <v>839.4849999999999</v>
      </c>
      <c r="J50" s="4">
        <f ca="1">goldenOTP_check!J50*J106</f>
        <v>895.43999999999994</v>
      </c>
      <c r="K50" s="4">
        <f ca="1">goldenOTP_check!K50*K106</f>
        <v>950.04</v>
      </c>
      <c r="L50" s="4">
        <f ca="1">goldenOTP_check!L50*L106</f>
        <v>991.44</v>
      </c>
      <c r="M50" s="4">
        <f ca="1">goldenOTP_check!M50*M106</f>
        <v>1019.556</v>
      </c>
      <c r="N50" s="4">
        <f ca="1">goldenOTP_check!N50*N106</f>
        <v>1029.0240000000001</v>
      </c>
      <c r="O50" s="4">
        <f ca="1">goldenOTP_check!O50*O106</f>
        <v>1025.0409999999999</v>
      </c>
      <c r="P50" s="4">
        <f ca="1">goldenOTP_check!P50*P106</f>
        <v>1020.9999999999999</v>
      </c>
      <c r="Q50" s="4">
        <f ca="1">goldenOTP_check!Q50*Q106</f>
        <v>1029.1379999999999</v>
      </c>
      <c r="R50" s="4">
        <f ca="1">goldenOTP_check!R50*R106</f>
        <v>1024</v>
      </c>
      <c r="S50" s="4">
        <f ca="1">goldenOTP_check!S50*S106</f>
        <v>1031.6420000000001</v>
      </c>
      <c r="T50" s="4">
        <f ca="1">goldenOTP_check!T50*T106</f>
        <v>1035.9360000000001</v>
      </c>
      <c r="U50" s="4">
        <f ca="1">goldenOTP_check!U50*U106</f>
        <v>1011.75</v>
      </c>
      <c r="V50" s="4">
        <f ca="1">goldenOTP_check!V50*V106</f>
        <v>1000.5120000000001</v>
      </c>
      <c r="W50" s="4">
        <f ca="1">goldenOTP_check!W50*W106</f>
        <v>957.13799999999992</v>
      </c>
      <c r="X50" s="4">
        <f ca="1">goldenOTP_check!X50*X106</f>
        <v>899.53500000000008</v>
      </c>
      <c r="Y50" s="4">
        <f ca="1">goldenOTP_check!Y50*Y106</f>
        <v>836.83200000000011</v>
      </c>
    </row>
    <row r="51" spans="2:25" x14ac:dyDescent="0.3">
      <c r="B51" s="6">
        <v>48</v>
      </c>
      <c r="C51" s="9">
        <v>2.2250000000000001</v>
      </c>
      <c r="D51" s="9">
        <v>2.0870000000000002</v>
      </c>
      <c r="E51" s="9">
        <v>2.0859999999999999</v>
      </c>
      <c r="F51" s="9">
        <v>2.0329999999999999</v>
      </c>
      <c r="I51" s="4">
        <f ca="1">goldenOTP_check!I51*I107</f>
        <v>859.06899999999996</v>
      </c>
      <c r="J51" s="4">
        <f ca="1">goldenOTP_check!J51*J107</f>
        <v>882.01300000000003</v>
      </c>
      <c r="K51" s="4">
        <f ca="1">goldenOTP_check!K51*K107</f>
        <v>939.30599999999993</v>
      </c>
      <c r="L51" s="4">
        <f ca="1">goldenOTP_check!L51*L107</f>
        <v>986.07600000000002</v>
      </c>
      <c r="M51" s="4">
        <f ca="1">goldenOTP_check!M51*M107</f>
        <v>1001.345</v>
      </c>
      <c r="N51" s="4">
        <f ca="1">goldenOTP_check!N51*N107</f>
        <v>1013.4050000000001</v>
      </c>
      <c r="O51" s="4">
        <f ca="1">goldenOTP_check!O51*O107</f>
        <v>1025.2</v>
      </c>
      <c r="P51" s="4">
        <f ca="1">goldenOTP_check!P51*P107</f>
        <v>1013.2080000000001</v>
      </c>
      <c r="Q51" s="4">
        <f ca="1">goldenOTP_check!Q51*Q107</f>
        <v>1018.9999999999999</v>
      </c>
      <c r="R51" s="4">
        <f ca="1">goldenOTP_check!R51*R107</f>
        <v>1020.054</v>
      </c>
      <c r="S51" s="4">
        <f ca="1">goldenOTP_check!S51*S107</f>
        <v>1036.384</v>
      </c>
      <c r="T51" s="4">
        <f ca="1">goldenOTP_check!T51*T107</f>
        <v>1024.338</v>
      </c>
      <c r="U51" s="4">
        <f ca="1">goldenOTP_check!U51*U107</f>
        <v>1013.169</v>
      </c>
      <c r="V51" s="4">
        <f ca="1">goldenOTP_check!V51*V107</f>
        <v>996.26800000000003</v>
      </c>
      <c r="W51" s="4">
        <f ca="1">goldenOTP_check!W51*W107</f>
        <v>947.31600000000003</v>
      </c>
      <c r="X51" s="4">
        <f ca="1">goldenOTP_check!X51*X107</f>
        <v>882.45600000000002</v>
      </c>
      <c r="Y51" s="4">
        <f ca="1">goldenOTP_check!Y51*Y107</f>
        <v>849.11099999999999</v>
      </c>
    </row>
    <row r="52" spans="2:25" x14ac:dyDescent="0.3">
      <c r="B52" s="6">
        <v>49</v>
      </c>
      <c r="C52" s="9">
        <v>2.4750000000000001</v>
      </c>
      <c r="D52" s="9">
        <v>2.3199999999999998</v>
      </c>
      <c r="E52" s="9">
        <v>2.3180000000000001</v>
      </c>
      <c r="F52" s="9">
        <v>2.2509999999999999</v>
      </c>
      <c r="I52" s="4">
        <f ca="1">goldenOTP_check!I52*I108</f>
        <v>818.8</v>
      </c>
      <c r="J52" s="4">
        <f ca="1">goldenOTP_check!J52*J108</f>
        <v>885.59999999999991</v>
      </c>
      <c r="K52" s="4">
        <f ca="1">goldenOTP_check!K52*K108</f>
        <v>934.91200000000003</v>
      </c>
      <c r="L52" s="4">
        <f ca="1">goldenOTP_check!L52*L108</f>
        <v>972.23</v>
      </c>
      <c r="M52" s="4">
        <f ca="1">goldenOTP_check!M52*M108</f>
        <v>1002.51</v>
      </c>
      <c r="N52" s="4">
        <f ca="1">goldenOTP_check!N52*N108</f>
        <v>1006.9399999999999</v>
      </c>
      <c r="O52" s="4">
        <f ca="1">goldenOTP_check!O52*O108</f>
        <v>1014.9999999999999</v>
      </c>
      <c r="P52" s="4">
        <f ca="1">goldenOTP_check!P52*P108</f>
        <v>1025.2</v>
      </c>
      <c r="Q52" s="4">
        <f ca="1">goldenOTP_check!Q52*Q108</f>
        <v>1021.269</v>
      </c>
      <c r="R52" s="4">
        <f ca="1">goldenOTP_check!R52*R108</f>
        <v>1016.7840000000001</v>
      </c>
      <c r="S52" s="4">
        <f ca="1">goldenOTP_check!S52*S108</f>
        <v>1021.125</v>
      </c>
      <c r="T52" s="4">
        <f ca="1">goldenOTP_check!T52*T108</f>
        <v>1015.696</v>
      </c>
      <c r="U52" s="4">
        <f ca="1">goldenOTP_check!U52*U108</f>
        <v>1012.38</v>
      </c>
      <c r="V52" s="4">
        <f ca="1">goldenOTP_check!V52*V108</f>
        <v>981.26</v>
      </c>
      <c r="W52" s="4">
        <f ca="1">goldenOTP_check!W52*W108</f>
        <v>941.56799999999998</v>
      </c>
      <c r="X52" s="4">
        <f ca="1">goldenOTP_check!X52*X108</f>
        <v>887.7600000000001</v>
      </c>
      <c r="Y52" s="4">
        <f ca="1">goldenOTP_check!Y52*Y108</f>
        <v>813.46</v>
      </c>
    </row>
    <row r="53" spans="2:25" x14ac:dyDescent="0.3">
      <c r="B53" s="6">
        <v>50</v>
      </c>
      <c r="C53" s="9">
        <v>2.8079999999999998</v>
      </c>
      <c r="D53" s="9">
        <v>2.64</v>
      </c>
      <c r="E53" s="9">
        <v>2.6360000000000001</v>
      </c>
      <c r="F53" s="9">
        <v>2.548</v>
      </c>
      <c r="I53" s="4">
        <f ca="1">goldenOTP_check!I53*I109</f>
        <v>799.5329999999999</v>
      </c>
      <c r="J53" s="4">
        <f ca="1">goldenOTP_check!J53*J109</f>
        <v>871.17</v>
      </c>
      <c r="K53" s="4">
        <f ca="1">goldenOTP_check!K53*K109</f>
        <v>911.54700000000003</v>
      </c>
      <c r="L53" s="4">
        <f ca="1">goldenOTP_check!L53*L109</f>
        <v>952.47</v>
      </c>
      <c r="M53" s="4">
        <f ca="1">goldenOTP_check!M53*M109</f>
        <v>990.79199999999992</v>
      </c>
      <c r="N53" s="4">
        <f ca="1">goldenOTP_check!N53*N109</f>
        <v>999.625</v>
      </c>
      <c r="O53" s="4">
        <f ca="1">goldenOTP_check!O53*O109</f>
        <v>1004.552</v>
      </c>
      <c r="P53" s="4">
        <f ca="1">goldenOTP_check!P53*P109</f>
        <v>1010.8819999999999</v>
      </c>
      <c r="Q53" s="4">
        <f ca="1">goldenOTP_check!Q53*Q109</f>
        <v>1009.099</v>
      </c>
      <c r="R53" s="4">
        <f ca="1">goldenOTP_check!R53*R109</f>
        <v>1010.8819999999999</v>
      </c>
      <c r="S53" s="4">
        <f ca="1">goldenOTP_check!S53*S109</f>
        <v>1005.348</v>
      </c>
      <c r="T53" s="4">
        <f ca="1">goldenOTP_check!T53*T109</f>
        <v>1001.079</v>
      </c>
      <c r="U53" s="4">
        <f ca="1">goldenOTP_check!U53*U109</f>
        <v>976.52099999999996</v>
      </c>
      <c r="V53" s="4">
        <f ca="1">goldenOTP_check!V53*V109</f>
        <v>958.04</v>
      </c>
      <c r="W53" s="4">
        <f ca="1">goldenOTP_check!W53*W109</f>
        <v>917.74799999999993</v>
      </c>
      <c r="X53" s="4">
        <f ca="1">goldenOTP_check!X53*X109</f>
        <v>874.44200000000001</v>
      </c>
      <c r="Y53" s="4">
        <f ca="1">goldenOTP_check!Y53*Y109</f>
        <v>799.8660000000001</v>
      </c>
    </row>
    <row r="54" spans="2:25" x14ac:dyDescent="0.3">
      <c r="B54" s="6">
        <v>51</v>
      </c>
      <c r="C54" s="9">
        <v>2.6819999999999999</v>
      </c>
      <c r="D54" s="9">
        <v>2.4910000000000001</v>
      </c>
      <c r="E54" s="9">
        <v>2.4910000000000001</v>
      </c>
      <c r="F54" s="9">
        <v>2.4140000000000001</v>
      </c>
      <c r="I54" s="4">
        <f ca="1">goldenOTP_check!I54*I110</f>
        <v>809.80600000000004</v>
      </c>
      <c r="J54" s="4">
        <f ca="1">goldenOTP_check!J54*J110</f>
        <v>845.99999999999989</v>
      </c>
      <c r="K54" s="4">
        <f ca="1">goldenOTP_check!K54*K110</f>
        <v>876.096</v>
      </c>
      <c r="L54" s="4">
        <f ca="1">goldenOTP_check!L54*L110</f>
        <v>918.5</v>
      </c>
      <c r="M54" s="4">
        <f ca="1">goldenOTP_check!M54*M110</f>
        <v>946.85599999999999</v>
      </c>
      <c r="N54" s="4">
        <f ca="1">goldenOTP_check!N54*N110</f>
        <v>972.69899999999996</v>
      </c>
      <c r="O54" s="4">
        <f ca="1">goldenOTP_check!O54*O110</f>
        <v>984.06</v>
      </c>
      <c r="P54" s="4">
        <f ca="1">goldenOTP_check!P54*P110</f>
        <v>1000.6060000000001</v>
      </c>
      <c r="Q54" s="4">
        <f ca="1">goldenOTP_check!Q54*Q110</f>
        <v>1000.5</v>
      </c>
      <c r="R54" s="4">
        <f ca="1">goldenOTP_check!R54*R110</f>
        <v>999.86699999999996</v>
      </c>
      <c r="S54" s="4">
        <f ca="1">goldenOTP_check!S54*S110</f>
        <v>984.06</v>
      </c>
      <c r="T54" s="4">
        <f ca="1">goldenOTP_check!T54*T110</f>
        <v>974.61</v>
      </c>
      <c r="U54" s="4">
        <f ca="1">goldenOTP_check!U54*U110</f>
        <v>950.26400000000001</v>
      </c>
      <c r="V54" s="4">
        <f ca="1">goldenOTP_check!V54*V110</f>
        <v>924</v>
      </c>
      <c r="W54" s="4">
        <f ca="1">goldenOTP_check!W54*W110</f>
        <v>878.25599999999997</v>
      </c>
      <c r="X54" s="4">
        <f ca="1">goldenOTP_check!X54*X110</f>
        <v>846.75</v>
      </c>
      <c r="Y54" s="4">
        <f ca="1">goldenOTP_check!Y54*Y110</f>
        <v>805.41</v>
      </c>
    </row>
    <row r="55" spans="2:25" x14ac:dyDescent="0.3">
      <c r="B55" s="6">
        <v>52</v>
      </c>
      <c r="C55" s="9">
        <v>2.3610000000000002</v>
      </c>
      <c r="D55" s="9">
        <v>2.1960000000000002</v>
      </c>
      <c r="E55" s="9">
        <v>2.1970000000000001</v>
      </c>
      <c r="F55" s="9">
        <v>2.1320000000000001</v>
      </c>
      <c r="I55" s="4">
        <f ca="1">goldenOTP_check!I55*I111</f>
        <v>820.21600000000001</v>
      </c>
      <c r="J55" s="4">
        <f ca="1">goldenOTP_check!J55*J111</f>
        <v>834.42700000000002</v>
      </c>
      <c r="K55" s="4">
        <f ca="1">goldenOTP_check!K55*K111</f>
        <v>842.63799999999992</v>
      </c>
      <c r="L55" s="4">
        <f ca="1">goldenOTP_check!L55*L111</f>
        <v>884.67100000000005</v>
      </c>
      <c r="M55" s="4">
        <f ca="1">goldenOTP_check!M55*M111</f>
        <v>918.5</v>
      </c>
      <c r="N55" s="4">
        <f ca="1">goldenOTP_check!N55*N111</f>
        <v>949.12799999999993</v>
      </c>
      <c r="O55" s="4">
        <f ca="1">goldenOTP_check!O55*O111</f>
        <v>967.41399999999999</v>
      </c>
      <c r="P55" s="4">
        <f ca="1">goldenOTP_check!P55*P111</f>
        <v>967.5</v>
      </c>
      <c r="Q55" s="4">
        <f ca="1">goldenOTP_check!Q55*Q111</f>
        <v>975.88400000000001</v>
      </c>
      <c r="R55" s="4">
        <f ca="1">goldenOTP_check!R55*R111</f>
        <v>971.25</v>
      </c>
      <c r="S55" s="4">
        <f ca="1">goldenOTP_check!S55*S111</f>
        <v>974.63800000000003</v>
      </c>
      <c r="T55" s="4">
        <f ca="1">goldenOTP_check!T55*T111</f>
        <v>956.36900000000003</v>
      </c>
      <c r="U55" s="4">
        <f ca="1">goldenOTP_check!U55*U111</f>
        <v>924.5</v>
      </c>
      <c r="V55" s="4">
        <f ca="1">goldenOTP_check!V55*V111</f>
        <v>886.88599999999985</v>
      </c>
      <c r="W55" s="4">
        <f ca="1">goldenOTP_check!W55*W111</f>
        <v>840.322</v>
      </c>
      <c r="X55" s="4">
        <f ca="1">goldenOTP_check!X55*X111</f>
        <v>827.60699999999997</v>
      </c>
      <c r="Y55" s="4">
        <f ca="1">goldenOTP_check!Y55*Y111</f>
        <v>802.4559999999999</v>
      </c>
    </row>
    <row r="56" spans="2:25" x14ac:dyDescent="0.3">
      <c r="B56" s="6">
        <v>53</v>
      </c>
      <c r="C56" s="9">
        <v>2.1059999999999999</v>
      </c>
      <c r="D56" s="9">
        <v>1.968</v>
      </c>
      <c r="E56" s="9">
        <v>1.9690000000000001</v>
      </c>
      <c r="F56" s="9">
        <v>1.915</v>
      </c>
      <c r="I56" s="12">
        <f ca="1">goldenOTP_check!I56*I112</f>
        <v>776.98</v>
      </c>
      <c r="J56" s="4">
        <f ca="1">goldenOTP_check!J56*J112</f>
        <v>795.94399999999996</v>
      </c>
      <c r="K56" s="4">
        <f ca="1">goldenOTP_check!K56*K112</f>
        <v>823.51499999999999</v>
      </c>
      <c r="L56" s="4">
        <f ca="1">goldenOTP_check!L56*L112</f>
        <v>874.40600000000006</v>
      </c>
      <c r="M56" s="4">
        <f ca="1">goldenOTP_check!M56*M112</f>
        <v>901.56</v>
      </c>
      <c r="N56" s="4">
        <f ca="1">goldenOTP_check!N56*N112</f>
        <v>895.18600000000004</v>
      </c>
      <c r="O56" s="4">
        <f ca="1">goldenOTP_check!O56*O112</f>
        <v>933.88800000000003</v>
      </c>
      <c r="P56" s="4">
        <f ca="1">goldenOTP_check!P56*P112</f>
        <v>943.57799999999997</v>
      </c>
      <c r="Q56" s="4">
        <f ca="1">goldenOTP_check!Q56*Q112</f>
        <v>928.03</v>
      </c>
      <c r="R56" s="4">
        <f ca="1">goldenOTP_check!R56*R112</f>
        <v>949.452</v>
      </c>
      <c r="S56" s="4">
        <f ca="1">goldenOTP_check!S56*S112</f>
        <v>916.11199999999997</v>
      </c>
      <c r="T56" s="4">
        <f ca="1">goldenOTP_check!T56*T112</f>
        <v>906.83600000000001</v>
      </c>
      <c r="U56" s="4">
        <f ca="1">goldenOTP_check!U56*U112</f>
        <v>875.56</v>
      </c>
      <c r="V56" s="4">
        <f ca="1">goldenOTP_check!V56*V112</f>
        <v>841.45100000000002</v>
      </c>
      <c r="W56" s="4">
        <f ca="1">goldenOTP_check!W56*W112</f>
        <v>817.03599999999994</v>
      </c>
      <c r="X56" s="4">
        <f ca="1">goldenOTP_check!X56*X112</f>
        <v>777.59199999999998</v>
      </c>
      <c r="Y56" s="12">
        <f ca="1">goldenOTP_check!Y56*Y112</f>
        <v>741.47</v>
      </c>
    </row>
    <row r="57" spans="2:25" x14ac:dyDescent="0.3">
      <c r="B57" s="6">
        <v>54</v>
      </c>
      <c r="C57" s="9">
        <v>1.8740000000000001</v>
      </c>
      <c r="D57" s="9">
        <v>1.7629999999999999</v>
      </c>
      <c r="E57" s="9">
        <v>1.764</v>
      </c>
      <c r="F57" s="9">
        <v>1.716</v>
      </c>
    </row>
    <row r="58" spans="2:25" x14ac:dyDescent="0.3">
      <c r="B58" s="6">
        <v>55</v>
      </c>
      <c r="C58" s="9">
        <v>1.6659999999999999</v>
      </c>
      <c r="D58" s="9">
        <v>1.5820000000000001</v>
      </c>
      <c r="E58" s="9">
        <v>1.583</v>
      </c>
      <c r="F58" s="9">
        <v>1.5389999999999999</v>
      </c>
      <c r="H58" t="s">
        <v>5</v>
      </c>
      <c r="I58" s="3">
        <f t="shared" ref="I58:Y70" ca="1" si="0">INDIRECT("C"&amp;(17*ROW(1:1)+ROW($C$3)-19+IF(COLUMN(C:C)&gt;19,50000,COLUMN(C:C)-1)))</f>
        <v>3.1579999999999999</v>
      </c>
      <c r="J58" s="2">
        <f t="shared" ca="1" si="0"/>
        <v>2.9180000000000001</v>
      </c>
      <c r="K58" s="2">
        <f t="shared" ca="1" si="0"/>
        <v>2.6360000000000001</v>
      </c>
      <c r="L58" s="2">
        <f t="shared" ca="1" si="0"/>
        <v>2.395</v>
      </c>
      <c r="M58" s="2">
        <f t="shared" ca="1" si="0"/>
        <v>2.234</v>
      </c>
      <c r="N58" s="2">
        <f t="shared" ca="1" si="0"/>
        <v>2.093</v>
      </c>
      <c r="O58" s="2">
        <f t="shared" ca="1" si="0"/>
        <v>1.978</v>
      </c>
      <c r="P58" s="2">
        <f t="shared" ca="1" si="0"/>
        <v>1.91</v>
      </c>
      <c r="Q58" s="2">
        <f t="shared" ca="1" si="0"/>
        <v>1.8859999999999999</v>
      </c>
      <c r="R58" s="2">
        <f t="shared" ca="1" si="0"/>
        <v>1.9059999999999999</v>
      </c>
      <c r="S58" s="2">
        <f t="shared" ca="1" si="0"/>
        <v>1.9750000000000001</v>
      </c>
      <c r="T58" s="2">
        <f t="shared" ca="1" si="0"/>
        <v>2.081</v>
      </c>
      <c r="U58" s="2">
        <f t="shared" ca="1" si="0"/>
        <v>2.2170000000000001</v>
      </c>
      <c r="V58" s="2">
        <f t="shared" ca="1" si="0"/>
        <v>2.38</v>
      </c>
      <c r="W58" s="2">
        <f t="shared" ca="1" si="0"/>
        <v>2.629</v>
      </c>
      <c r="X58" s="2">
        <f t="shared" ca="1" si="0"/>
        <v>2.891</v>
      </c>
      <c r="Y58" s="3">
        <f t="shared" ca="1" si="0"/>
        <v>3.09</v>
      </c>
    </row>
    <row r="59" spans="2:25" x14ac:dyDescent="0.3">
      <c r="B59" s="6">
        <v>56</v>
      </c>
      <c r="C59" s="9">
        <v>1.4890000000000001</v>
      </c>
      <c r="D59" s="9">
        <v>1.4259999999999999</v>
      </c>
      <c r="E59" s="9">
        <v>1.4279999999999999</v>
      </c>
      <c r="F59" s="9">
        <v>1.389</v>
      </c>
      <c r="I59" s="2">
        <f t="shared" ca="1" si="0"/>
        <v>3.0609999999999999</v>
      </c>
      <c r="J59" s="2">
        <f t="shared" ca="1" si="0"/>
        <v>2.7090000000000001</v>
      </c>
      <c r="K59" s="2">
        <f t="shared" ca="1" si="0"/>
        <v>2.4049999999999998</v>
      </c>
      <c r="L59" s="2">
        <f t="shared" ca="1" si="0"/>
        <v>2.202</v>
      </c>
      <c r="M59" s="2">
        <f t="shared" ca="1" si="0"/>
        <v>2.0270000000000001</v>
      </c>
      <c r="N59" s="2">
        <f t="shared" ca="1" si="0"/>
        <v>1.877</v>
      </c>
      <c r="O59" s="2">
        <f t="shared" ca="1" si="0"/>
        <v>1.7609999999999999</v>
      </c>
      <c r="P59" s="2">
        <f t="shared" ca="1" si="0"/>
        <v>1.6870000000000001</v>
      </c>
      <c r="Q59" s="2">
        <f t="shared" ca="1" si="0"/>
        <v>1.6619999999999999</v>
      </c>
      <c r="R59" s="2">
        <f t="shared" ca="1" si="0"/>
        <v>1.6839999999999999</v>
      </c>
      <c r="S59" s="2">
        <f t="shared" ca="1" si="0"/>
        <v>1.756</v>
      </c>
      <c r="T59" s="2">
        <f t="shared" ca="1" si="0"/>
        <v>1.87</v>
      </c>
      <c r="U59" s="2">
        <f t="shared" ca="1" si="0"/>
        <v>2.0219999999999998</v>
      </c>
      <c r="V59" s="2">
        <f t="shared" ca="1" si="0"/>
        <v>2.194</v>
      </c>
      <c r="W59" s="2">
        <f t="shared" ca="1" si="0"/>
        <v>2.403</v>
      </c>
      <c r="X59" s="2">
        <f t="shared" ca="1" si="0"/>
        <v>2.6890000000000001</v>
      </c>
      <c r="Y59" s="2">
        <f t="shared" ca="1" si="0"/>
        <v>2.984</v>
      </c>
    </row>
    <row r="60" spans="2:25" x14ac:dyDescent="0.3">
      <c r="B60" s="6">
        <v>57</v>
      </c>
      <c r="C60" s="9">
        <v>1.3560000000000001</v>
      </c>
      <c r="D60" s="9">
        <v>1.3109999999999999</v>
      </c>
      <c r="E60" s="9">
        <v>1.3120000000000001</v>
      </c>
      <c r="F60" s="9">
        <v>1.28</v>
      </c>
      <c r="I60" s="2">
        <f t="shared" ca="1" si="0"/>
        <v>2.879</v>
      </c>
      <c r="J60" s="2">
        <f t="shared" ca="1" si="0"/>
        <v>2.5019999999999998</v>
      </c>
      <c r="K60" s="2">
        <f t="shared" ca="1" si="0"/>
        <v>2.2320000000000002</v>
      </c>
      <c r="L60" s="2">
        <f t="shared" ca="1" si="0"/>
        <v>2.0219999999999998</v>
      </c>
      <c r="M60" s="2">
        <f t="shared" ca="1" si="0"/>
        <v>1.829</v>
      </c>
      <c r="N60" s="2">
        <f t="shared" ca="1" si="0"/>
        <v>1.667</v>
      </c>
      <c r="O60" s="2">
        <f t="shared" ca="1" si="0"/>
        <v>1.54</v>
      </c>
      <c r="P60" s="2">
        <f t="shared" ca="1" si="0"/>
        <v>1.4610000000000001</v>
      </c>
      <c r="Q60" s="2">
        <f t="shared" ca="1" si="0"/>
        <v>1.4359999999999999</v>
      </c>
      <c r="R60" s="2">
        <f t="shared" ca="1" si="0"/>
        <v>1.4630000000000001</v>
      </c>
      <c r="S60" s="2">
        <f t="shared" ca="1" si="0"/>
        <v>1.546</v>
      </c>
      <c r="T60" s="2">
        <f t="shared" ca="1" si="0"/>
        <v>1.671</v>
      </c>
      <c r="U60" s="2">
        <f t="shared" ca="1" si="0"/>
        <v>1.831</v>
      </c>
      <c r="V60" s="2">
        <f t="shared" ca="1" si="0"/>
        <v>2.0219999999999998</v>
      </c>
      <c r="W60" s="2">
        <f t="shared" ca="1" si="0"/>
        <v>2.2250000000000001</v>
      </c>
      <c r="X60" s="2">
        <f t="shared" ca="1" si="0"/>
        <v>2.4750000000000001</v>
      </c>
      <c r="Y60" s="2">
        <f t="shared" ca="1" si="0"/>
        <v>2.8079999999999998</v>
      </c>
    </row>
    <row r="61" spans="2:25" x14ac:dyDescent="0.3">
      <c r="B61" s="6">
        <v>58</v>
      </c>
      <c r="C61" s="9">
        <v>1.278</v>
      </c>
      <c r="D61" s="9">
        <v>1.246</v>
      </c>
      <c r="E61" s="9">
        <v>1.2470000000000001</v>
      </c>
      <c r="F61" s="9">
        <v>1.222</v>
      </c>
      <c r="I61" s="2">
        <f t="shared" ca="1" si="0"/>
        <v>2.6819999999999999</v>
      </c>
      <c r="J61" s="2">
        <f t="shared" ca="1" si="0"/>
        <v>2.3610000000000002</v>
      </c>
      <c r="K61" s="2">
        <f t="shared" ca="1" si="0"/>
        <v>2.1059999999999999</v>
      </c>
      <c r="L61" s="2">
        <f t="shared" ca="1" si="0"/>
        <v>1.8740000000000001</v>
      </c>
      <c r="M61" s="2">
        <f t="shared" ca="1" si="0"/>
        <v>1.6659999999999999</v>
      </c>
      <c r="N61" s="2">
        <f t="shared" ca="1" si="0"/>
        <v>1.4890000000000001</v>
      </c>
      <c r="O61" s="2">
        <f t="shared" ca="1" si="0"/>
        <v>1.3560000000000001</v>
      </c>
      <c r="P61" s="2">
        <f t="shared" ca="1" si="0"/>
        <v>1.278</v>
      </c>
      <c r="Q61" s="2">
        <f t="shared" ca="1" si="0"/>
        <v>1.2549999999999999</v>
      </c>
      <c r="R61" s="2">
        <f t="shared" ca="1" si="0"/>
        <v>1.2829999999999999</v>
      </c>
      <c r="S61" s="2">
        <f t="shared" ca="1" si="0"/>
        <v>1.3660000000000001</v>
      </c>
      <c r="T61" s="2">
        <f t="shared" ca="1" si="0"/>
        <v>1.4990000000000001</v>
      </c>
      <c r="U61" s="2">
        <f t="shared" ca="1" si="0"/>
        <v>1.6739999999999999</v>
      </c>
      <c r="V61" s="2">
        <f t="shared" ca="1" si="0"/>
        <v>1.8759999999999999</v>
      </c>
      <c r="W61" s="2">
        <f t="shared" ca="1" si="0"/>
        <v>2.0979999999999999</v>
      </c>
      <c r="X61" s="2">
        <f t="shared" ca="1" si="0"/>
        <v>2.331</v>
      </c>
      <c r="Y61" s="2">
        <f t="shared" ca="1" si="0"/>
        <v>2.613</v>
      </c>
    </row>
    <row r="62" spans="2:25" x14ac:dyDescent="0.3">
      <c r="B62" s="6">
        <v>59</v>
      </c>
      <c r="C62" s="9">
        <v>1.2549999999999999</v>
      </c>
      <c r="D62" s="9">
        <v>1.2290000000000001</v>
      </c>
      <c r="E62" s="9">
        <v>1.2290000000000001</v>
      </c>
      <c r="F62" s="9">
        <v>1.2090000000000001</v>
      </c>
      <c r="I62" s="2">
        <f t="shared" ca="1" si="0"/>
        <v>2.5409999999999999</v>
      </c>
      <c r="J62" s="2">
        <f t="shared" ca="1" si="0"/>
        <v>2.254</v>
      </c>
      <c r="K62" s="2">
        <f t="shared" ca="1" si="0"/>
        <v>1.9990000000000001</v>
      </c>
      <c r="L62" s="2">
        <f t="shared" ca="1" si="0"/>
        <v>1.7609999999999999</v>
      </c>
      <c r="M62" s="2">
        <f t="shared" ca="1" si="0"/>
        <v>1.5409999999999999</v>
      </c>
      <c r="N62" s="2">
        <f t="shared" ca="1" si="0"/>
        <v>1.355</v>
      </c>
      <c r="O62" s="2">
        <f t="shared" ca="1" si="0"/>
        <v>1.228</v>
      </c>
      <c r="P62" s="2">
        <f t="shared" ca="1" si="0"/>
        <v>1.153</v>
      </c>
      <c r="Q62" s="2">
        <f t="shared" ca="1" si="0"/>
        <v>1.1259999999999999</v>
      </c>
      <c r="R62" s="2">
        <f t="shared" ca="1" si="0"/>
        <v>1.155</v>
      </c>
      <c r="S62" s="2">
        <f t="shared" ca="1" si="0"/>
        <v>1.232</v>
      </c>
      <c r="T62" s="2">
        <f t="shared" ca="1" si="0"/>
        <v>1.357</v>
      </c>
      <c r="U62" s="2">
        <f t="shared" ca="1" si="0"/>
        <v>1.54</v>
      </c>
      <c r="V62" s="2">
        <f t="shared" ca="1" si="0"/>
        <v>1.7589999999999999</v>
      </c>
      <c r="W62" s="2">
        <f t="shared" ca="1" si="0"/>
        <v>1.9950000000000001</v>
      </c>
      <c r="X62" s="2">
        <f t="shared" ca="1" si="0"/>
        <v>2.2400000000000002</v>
      </c>
      <c r="Y62" s="2">
        <f t="shared" ca="1" si="0"/>
        <v>2.5019999999999998</v>
      </c>
    </row>
    <row r="63" spans="2:25" x14ac:dyDescent="0.3">
      <c r="B63" s="6">
        <v>60</v>
      </c>
      <c r="C63" s="9">
        <v>1.2829999999999999</v>
      </c>
      <c r="D63" s="9">
        <v>1.252</v>
      </c>
      <c r="E63" s="9">
        <v>1.252</v>
      </c>
      <c r="F63" s="9">
        <v>1.228</v>
      </c>
      <c r="I63" s="2">
        <f t="shared" ca="1" si="0"/>
        <v>2.472</v>
      </c>
      <c r="J63" s="2">
        <f t="shared" ca="1" si="0"/>
        <v>2.1890000000000001</v>
      </c>
      <c r="K63" s="2">
        <f t="shared" ca="1" si="0"/>
        <v>1.923</v>
      </c>
      <c r="L63" s="2">
        <f t="shared" ca="1" si="0"/>
        <v>1.6779999999999999</v>
      </c>
      <c r="M63" s="2">
        <f t="shared" ca="1" si="0"/>
        <v>1.452</v>
      </c>
      <c r="N63" s="2">
        <f t="shared" ca="1" si="0"/>
        <v>1.276</v>
      </c>
      <c r="O63" s="2">
        <f t="shared" ca="1" si="0"/>
        <v>1.1519999999999999</v>
      </c>
      <c r="P63" s="2">
        <f t="shared" ca="1" si="0"/>
        <v>1.069</v>
      </c>
      <c r="Q63" s="2">
        <f t="shared" ca="1" si="0"/>
        <v>1.038</v>
      </c>
      <c r="R63" s="2">
        <f t="shared" ca="1" si="0"/>
        <v>1.07</v>
      </c>
      <c r="S63" s="2">
        <f t="shared" ca="1" si="0"/>
        <v>1.1519999999999999</v>
      </c>
      <c r="T63" s="2">
        <f t="shared" ca="1" si="0"/>
        <v>1.2709999999999999</v>
      </c>
      <c r="U63" s="2">
        <f t="shared" ca="1" si="0"/>
        <v>1.4470000000000001</v>
      </c>
      <c r="V63" s="2">
        <f t="shared" ca="1" si="0"/>
        <v>1.6739999999999999</v>
      </c>
      <c r="W63" s="2">
        <f t="shared" ca="1" si="0"/>
        <v>1.9219999999999999</v>
      </c>
      <c r="X63" s="2">
        <f t="shared" ca="1" si="0"/>
        <v>2.181</v>
      </c>
      <c r="Y63" s="2">
        <f t="shared" ca="1" si="0"/>
        <v>2.4409999999999998</v>
      </c>
    </row>
    <row r="64" spans="2:25" x14ac:dyDescent="0.3">
      <c r="B64" s="6">
        <v>61</v>
      </c>
      <c r="C64" s="9">
        <v>1.3660000000000001</v>
      </c>
      <c r="D64" s="9">
        <v>1.3240000000000001</v>
      </c>
      <c r="E64" s="9">
        <v>1.3240000000000001</v>
      </c>
      <c r="F64" s="9">
        <v>1.2929999999999999</v>
      </c>
      <c r="I64" s="2">
        <f t="shared" ca="1" si="0"/>
        <v>2.4609999999999999</v>
      </c>
      <c r="J64" s="2">
        <f t="shared" ca="1" si="0"/>
        <v>2.169</v>
      </c>
      <c r="K64" s="2">
        <f t="shared" ca="1" si="0"/>
        <v>1.8959999999999999</v>
      </c>
      <c r="L64" s="2">
        <f t="shared" ca="1" si="0"/>
        <v>1.6459999999999999</v>
      </c>
      <c r="M64" s="2">
        <f t="shared" ca="1" si="0"/>
        <v>1.4139999999999999</v>
      </c>
      <c r="N64" s="2">
        <f t="shared" ca="1" si="0"/>
        <v>1.2370000000000001</v>
      </c>
      <c r="O64" s="2">
        <f t="shared" ca="1" si="0"/>
        <v>1.1140000000000001</v>
      </c>
      <c r="P64" s="2">
        <f t="shared" ca="1" si="0"/>
        <v>1.032</v>
      </c>
      <c r="Q64" s="2">
        <f t="shared" ca="1" si="0"/>
        <v>1.006</v>
      </c>
      <c r="R64" s="2">
        <f t="shared" ca="1" si="0"/>
        <v>1.0349999999999999</v>
      </c>
      <c r="S64" s="2">
        <f t="shared" ca="1" si="0"/>
        <v>1.119</v>
      </c>
      <c r="T64" s="2">
        <f t="shared" ca="1" si="0"/>
        <v>1.24</v>
      </c>
      <c r="U64" s="2">
        <f t="shared" ca="1" si="0"/>
        <v>1.4159999999999999</v>
      </c>
      <c r="V64" s="2">
        <f t="shared" ca="1" si="0"/>
        <v>1.6459999999999999</v>
      </c>
      <c r="W64" s="2">
        <f t="shared" ca="1" si="0"/>
        <v>1.893</v>
      </c>
      <c r="X64" s="2">
        <f t="shared" ca="1" si="0"/>
        <v>2.153</v>
      </c>
      <c r="Y64" s="2">
        <f t="shared" ca="1" si="0"/>
        <v>2.4129999999999998</v>
      </c>
    </row>
    <row r="65" spans="2:25" x14ac:dyDescent="0.3">
      <c r="B65" s="6">
        <v>62</v>
      </c>
      <c r="C65" s="9">
        <v>1.4990000000000001</v>
      </c>
      <c r="D65" s="9">
        <v>1.44</v>
      </c>
      <c r="E65" s="9">
        <v>1.44</v>
      </c>
      <c r="F65" s="9">
        <v>1.4039999999999999</v>
      </c>
      <c r="I65" s="2">
        <f t="shared" ca="1" si="0"/>
        <v>2.4849999999999999</v>
      </c>
      <c r="J65" s="2">
        <f t="shared" ca="1" si="0"/>
        <v>2.1920000000000002</v>
      </c>
      <c r="K65" s="2">
        <f t="shared" ca="1" si="0"/>
        <v>1.919</v>
      </c>
      <c r="L65" s="2">
        <f t="shared" ca="1" si="0"/>
        <v>1.6679999999999999</v>
      </c>
      <c r="M65" s="2">
        <f t="shared" ca="1" si="0"/>
        <v>1.4379999999999999</v>
      </c>
      <c r="N65" s="2">
        <f t="shared" ca="1" si="0"/>
        <v>1.26</v>
      </c>
      <c r="O65" s="2">
        <f t="shared" ca="1" si="0"/>
        <v>1.1359999999999999</v>
      </c>
      <c r="P65" s="2">
        <f t="shared" ca="1" si="0"/>
        <v>1.0549999999999999</v>
      </c>
      <c r="Q65" s="2">
        <f t="shared" ca="1" si="0"/>
        <v>1.028</v>
      </c>
      <c r="R65" s="2">
        <f t="shared" ca="1" si="0"/>
        <v>1.0620000000000001</v>
      </c>
      <c r="S65" s="2">
        <f t="shared" ca="1" si="0"/>
        <v>1.147</v>
      </c>
      <c r="T65" s="2">
        <f t="shared" ca="1" si="0"/>
        <v>1.2689999999999999</v>
      </c>
      <c r="U65" s="2">
        <f t="shared" ca="1" si="0"/>
        <v>1.448</v>
      </c>
      <c r="V65" s="2">
        <f t="shared" ca="1" si="0"/>
        <v>1.673</v>
      </c>
      <c r="W65" s="2">
        <f t="shared" ca="1" si="0"/>
        <v>1.9179999999999999</v>
      </c>
      <c r="X65" s="2">
        <f t="shared" ca="1" si="0"/>
        <v>2.17</v>
      </c>
      <c r="Y65" s="2">
        <f t="shared" ca="1" si="0"/>
        <v>2.423</v>
      </c>
    </row>
    <row r="66" spans="2:25" x14ac:dyDescent="0.3">
      <c r="B66" s="6">
        <v>63</v>
      </c>
      <c r="C66" s="9">
        <v>1.6739999999999999</v>
      </c>
      <c r="D66" s="9">
        <v>1.5940000000000001</v>
      </c>
      <c r="E66" s="9">
        <v>1.5940000000000001</v>
      </c>
      <c r="F66" s="9">
        <v>1.556</v>
      </c>
      <c r="I66" s="2">
        <f t="shared" ca="1" si="0"/>
        <v>2.548</v>
      </c>
      <c r="J66" s="2">
        <f t="shared" ca="1" si="0"/>
        <v>2.2599999999999998</v>
      </c>
      <c r="K66" s="2">
        <f t="shared" ca="1" si="0"/>
        <v>1.9970000000000001</v>
      </c>
      <c r="L66" s="2">
        <f t="shared" ca="1" si="0"/>
        <v>1.752</v>
      </c>
      <c r="M66" s="2">
        <f t="shared" ca="1" si="0"/>
        <v>1.5269999999999999</v>
      </c>
      <c r="N66" s="2">
        <f t="shared" ca="1" si="0"/>
        <v>1.3420000000000001</v>
      </c>
      <c r="O66" s="2">
        <f t="shared" ca="1" si="0"/>
        <v>1.216</v>
      </c>
      <c r="P66" s="2">
        <f t="shared" ca="1" si="0"/>
        <v>1.1379999999999999</v>
      </c>
      <c r="Q66" s="2">
        <f t="shared" ca="1" si="0"/>
        <v>1.111</v>
      </c>
      <c r="R66" s="2">
        <f t="shared" ca="1" si="0"/>
        <v>1.1399999999999999</v>
      </c>
      <c r="S66" s="2">
        <f t="shared" ca="1" si="0"/>
        <v>1.22</v>
      </c>
      <c r="T66" s="2">
        <f t="shared" ca="1" si="0"/>
        <v>1.347</v>
      </c>
      <c r="U66" s="2">
        <f t="shared" ca="1" si="0"/>
        <v>1.534</v>
      </c>
      <c r="V66" s="2">
        <f t="shared" ca="1" si="0"/>
        <v>1.7569999999999999</v>
      </c>
      <c r="W66" s="2">
        <f t="shared" ca="1" si="0"/>
        <v>1.9950000000000001</v>
      </c>
      <c r="X66" s="2">
        <f t="shared" ca="1" si="0"/>
        <v>2.242</v>
      </c>
      <c r="Y66" s="2">
        <f t="shared" ca="1" si="0"/>
        <v>2.5</v>
      </c>
    </row>
    <row r="67" spans="2:25" x14ac:dyDescent="0.3">
      <c r="B67" s="6">
        <v>64</v>
      </c>
      <c r="C67" s="9">
        <v>1.8759999999999999</v>
      </c>
      <c r="D67" s="9">
        <v>1.774</v>
      </c>
      <c r="E67" s="9">
        <v>1.772</v>
      </c>
      <c r="F67" s="9">
        <v>1.7330000000000001</v>
      </c>
      <c r="I67" s="2">
        <f t="shared" ca="1" si="0"/>
        <v>2.6589999999999998</v>
      </c>
      <c r="J67" s="2">
        <f t="shared" ca="1" si="0"/>
        <v>2.35</v>
      </c>
      <c r="K67" s="2">
        <f t="shared" ca="1" si="0"/>
        <v>2.1</v>
      </c>
      <c r="L67" s="2">
        <f t="shared" ca="1" si="0"/>
        <v>1.8680000000000001</v>
      </c>
      <c r="M67" s="2">
        <f t="shared" ca="1" si="0"/>
        <v>1.659</v>
      </c>
      <c r="N67" s="2">
        <f t="shared" ca="1" si="0"/>
        <v>1.4770000000000001</v>
      </c>
      <c r="O67" s="2">
        <f t="shared" ca="1" si="0"/>
        <v>1.341</v>
      </c>
      <c r="P67" s="2">
        <f t="shared" ca="1" si="0"/>
        <v>1.2589999999999999</v>
      </c>
      <c r="Q67" s="2">
        <f t="shared" ca="1" si="0"/>
        <v>1.2310000000000001</v>
      </c>
      <c r="R67" s="2">
        <f t="shared" ca="1" si="0"/>
        <v>1.2569999999999999</v>
      </c>
      <c r="S67" s="2">
        <f t="shared" ca="1" si="0"/>
        <v>1.3360000000000001</v>
      </c>
      <c r="T67" s="2">
        <f t="shared" ca="1" si="0"/>
        <v>1.47</v>
      </c>
      <c r="U67" s="2">
        <f t="shared" ca="1" si="0"/>
        <v>1.651</v>
      </c>
      <c r="V67" s="2">
        <f t="shared" ca="1" si="0"/>
        <v>1.8660000000000001</v>
      </c>
      <c r="W67" s="2">
        <f t="shared" ca="1" si="0"/>
        <v>2.0990000000000002</v>
      </c>
      <c r="X67" s="2">
        <f t="shared" ca="1" si="0"/>
        <v>2.3420000000000001</v>
      </c>
      <c r="Y67" s="2">
        <f t="shared" ca="1" si="0"/>
        <v>2.6320000000000001</v>
      </c>
    </row>
    <row r="68" spans="2:25" x14ac:dyDescent="0.3">
      <c r="B68" s="6">
        <v>65</v>
      </c>
      <c r="C68" s="9">
        <v>2.0979999999999999</v>
      </c>
      <c r="D68" s="9">
        <v>1.972</v>
      </c>
      <c r="E68" s="9">
        <v>1.97</v>
      </c>
      <c r="F68" s="9">
        <v>1.927</v>
      </c>
      <c r="I68" s="2">
        <f t="shared" ca="1" si="0"/>
        <v>2.867</v>
      </c>
      <c r="J68" s="2">
        <f t="shared" ca="1" si="0"/>
        <v>2.4990000000000001</v>
      </c>
      <c r="K68" s="2">
        <f t="shared" ca="1" si="0"/>
        <v>2.2349999999999999</v>
      </c>
      <c r="L68" s="2">
        <f t="shared" ca="1" si="0"/>
        <v>2.0190000000000001</v>
      </c>
      <c r="M68" s="2">
        <f t="shared" ca="1" si="0"/>
        <v>1.82</v>
      </c>
      <c r="N68" s="2">
        <f t="shared" ca="1" si="0"/>
        <v>1.6559999999999999</v>
      </c>
      <c r="O68" s="2">
        <f t="shared" ca="1" si="0"/>
        <v>1.5249999999999999</v>
      </c>
      <c r="P68" s="2">
        <f t="shared" ca="1" si="0"/>
        <v>1.4410000000000001</v>
      </c>
      <c r="Q68" s="2">
        <f t="shared" ca="1" si="0"/>
        <v>1.4119999999999999</v>
      </c>
      <c r="R68" s="2">
        <f t="shared" ca="1" si="0"/>
        <v>1.4370000000000001</v>
      </c>
      <c r="S68" s="2">
        <f t="shared" ca="1" si="0"/>
        <v>1.5209999999999999</v>
      </c>
      <c r="T68" s="2">
        <f t="shared" ca="1" si="0"/>
        <v>1.65</v>
      </c>
      <c r="U68" s="2">
        <f t="shared" ca="1" si="0"/>
        <v>1.8129999999999999</v>
      </c>
      <c r="V68" s="2">
        <f t="shared" ca="1" si="0"/>
        <v>2.0129999999999999</v>
      </c>
      <c r="W68" s="2">
        <f t="shared" ca="1" si="0"/>
        <v>2.2269999999999999</v>
      </c>
      <c r="X68" s="2">
        <f t="shared" ca="1" si="0"/>
        <v>2.4820000000000002</v>
      </c>
      <c r="Y68" s="2">
        <f t="shared" ca="1" si="0"/>
        <v>2.819</v>
      </c>
    </row>
    <row r="69" spans="2:25" x14ac:dyDescent="0.3">
      <c r="B69" s="6">
        <v>66</v>
      </c>
      <c r="C69" s="9">
        <v>2.331</v>
      </c>
      <c r="D69" s="9">
        <v>2.1869999999999998</v>
      </c>
      <c r="E69" s="9">
        <v>2.1840000000000002</v>
      </c>
      <c r="F69" s="9">
        <v>2.133</v>
      </c>
      <c r="I69" s="2">
        <f t="shared" ca="1" si="0"/>
        <v>3.081</v>
      </c>
      <c r="J69" s="2">
        <f t="shared" ca="1" si="0"/>
        <v>2.718</v>
      </c>
      <c r="K69" s="2">
        <f t="shared" ca="1" si="0"/>
        <v>2.4140000000000001</v>
      </c>
      <c r="L69" s="2">
        <f t="shared" ca="1" si="0"/>
        <v>2.202</v>
      </c>
      <c r="M69" s="2">
        <f t="shared" ca="1" si="0"/>
        <v>2.0169999999999999</v>
      </c>
      <c r="N69" s="2">
        <f t="shared" ca="1" si="0"/>
        <v>1.861</v>
      </c>
      <c r="O69" s="2">
        <f t="shared" ca="1" si="0"/>
        <v>1.7430000000000001</v>
      </c>
      <c r="P69" s="2">
        <f t="shared" ca="1" si="0"/>
        <v>1.669</v>
      </c>
      <c r="Q69" s="2">
        <f t="shared" ca="1" si="0"/>
        <v>1.647</v>
      </c>
      <c r="R69" s="2">
        <f t="shared" ca="1" si="0"/>
        <v>1.675</v>
      </c>
      <c r="S69" s="2">
        <f t="shared" ca="1" si="0"/>
        <v>1.7529999999999999</v>
      </c>
      <c r="T69" s="2">
        <f t="shared" ca="1" si="0"/>
        <v>1.869</v>
      </c>
      <c r="U69" s="2">
        <f t="shared" ca="1" si="0"/>
        <v>2.0190000000000001</v>
      </c>
      <c r="V69" s="2">
        <f t="shared" ca="1" si="0"/>
        <v>2.1949999999999998</v>
      </c>
      <c r="W69" s="2">
        <f t="shared" ca="1" si="0"/>
        <v>2.3940000000000001</v>
      </c>
      <c r="X69" s="2">
        <f t="shared" ca="1" si="0"/>
        <v>2.68</v>
      </c>
      <c r="Y69" s="2">
        <f t="shared" ca="1" si="0"/>
        <v>2.9910000000000001</v>
      </c>
    </row>
    <row r="70" spans="2:25" x14ac:dyDescent="0.3">
      <c r="B70" s="6">
        <v>67</v>
      </c>
      <c r="C70" s="9">
        <v>2.613</v>
      </c>
      <c r="D70" s="9">
        <v>2.4609999999999999</v>
      </c>
      <c r="E70" s="9">
        <v>2.4569999999999999</v>
      </c>
      <c r="F70" s="9">
        <v>2.387</v>
      </c>
      <c r="I70" s="3">
        <f t="shared" ca="1" si="0"/>
        <v>3.2349999999999999</v>
      </c>
      <c r="J70" s="2">
        <f t="shared" ca="1" si="0"/>
        <v>2.9750000000000001</v>
      </c>
      <c r="K70" s="2">
        <f t="shared" ca="1" si="0"/>
        <v>2.6659999999999999</v>
      </c>
      <c r="L70" s="2">
        <f t="shared" ca="1" si="0"/>
        <v>2.4159999999999999</v>
      </c>
      <c r="M70" s="2">
        <f t="shared" ca="1" si="0"/>
        <v>2.2490000000000001</v>
      </c>
      <c r="N70" s="2">
        <f t="shared" ca="1" si="0"/>
        <v>2.0990000000000002</v>
      </c>
      <c r="O70" s="2">
        <f t="shared" ca="1" si="0"/>
        <v>1.9870000000000001</v>
      </c>
      <c r="P70" s="2">
        <f t="shared" ca="1" si="0"/>
        <v>1.919</v>
      </c>
      <c r="Q70" s="2">
        <f t="shared" ca="1" si="0"/>
        <v>1.9039999999999999</v>
      </c>
      <c r="R70" s="2">
        <f t="shared" ca="1" si="0"/>
        <v>1.9279999999999999</v>
      </c>
      <c r="S70" s="2">
        <f t="shared" ca="1" si="0"/>
        <v>2.012</v>
      </c>
      <c r="T70" s="2">
        <f t="shared" ca="1" si="0"/>
        <v>2.1219999999999999</v>
      </c>
      <c r="U70" s="2">
        <f t="shared" ca="1" si="0"/>
        <v>2.258</v>
      </c>
      <c r="V70" s="2">
        <f t="shared" ca="1" si="0"/>
        <v>2.4129999999999998</v>
      </c>
      <c r="W70" s="2">
        <f t="shared" ca="1" si="0"/>
        <v>2.6349999999999998</v>
      </c>
      <c r="X70" s="2">
        <f t="shared" ca="1" si="0"/>
        <v>2.8929999999999998</v>
      </c>
      <c r="Y70" s="3">
        <f t="shared" ca="1" si="0"/>
        <v>3.0910000000000002</v>
      </c>
    </row>
    <row r="71" spans="2:25" x14ac:dyDescent="0.3">
      <c r="B71" s="6">
        <v>68</v>
      </c>
      <c r="C71" s="9">
        <v>2.5409999999999999</v>
      </c>
      <c r="D71" s="9">
        <v>2.3570000000000002</v>
      </c>
      <c r="E71" s="9">
        <v>2.3570000000000002</v>
      </c>
      <c r="F71" s="9">
        <v>2.29</v>
      </c>
    </row>
    <row r="72" spans="2:25" x14ac:dyDescent="0.3">
      <c r="B72" s="6">
        <v>69</v>
      </c>
      <c r="C72" s="9">
        <v>2.254</v>
      </c>
      <c r="D72" s="9">
        <v>2.0979999999999999</v>
      </c>
      <c r="E72" s="9">
        <v>2.0979999999999999</v>
      </c>
      <c r="F72" s="9">
        <v>2.044</v>
      </c>
      <c r="H72" t="s">
        <v>1</v>
      </c>
      <c r="I72" s="10">
        <f t="shared" ref="I72:Y84" ca="1" si="1">INDIRECT("D"&amp;(17*ROW(1:1)+ROW($D$3)-19+IF(COLUMN(C:C)&gt;19,50000,COLUMN(C:C)-1)))</f>
        <v>2.9380000000000002</v>
      </c>
      <c r="J72" s="2">
        <f t="shared" ca="1" si="1"/>
        <v>2.7040000000000002</v>
      </c>
      <c r="K72" s="2">
        <f t="shared" ca="1" si="1"/>
        <v>2.44</v>
      </c>
      <c r="L72" s="2">
        <f t="shared" ca="1" si="1"/>
        <v>2.2200000000000002</v>
      </c>
      <c r="M72" s="2">
        <f t="shared" ca="1" si="1"/>
        <v>2.0739999999999998</v>
      </c>
      <c r="N72" s="2">
        <f t="shared" ca="1" si="1"/>
        <v>1.9510000000000001</v>
      </c>
      <c r="O72" s="2">
        <f t="shared" ca="1" si="1"/>
        <v>1.8520000000000001</v>
      </c>
      <c r="P72" s="2">
        <f t="shared" ca="1" si="1"/>
        <v>1.792</v>
      </c>
      <c r="Q72" s="2">
        <f t="shared" ca="1" si="1"/>
        <v>1.772</v>
      </c>
      <c r="R72" s="2">
        <f t="shared" ca="1" si="1"/>
        <v>1.792</v>
      </c>
      <c r="S72" s="2">
        <f t="shared" ca="1" si="1"/>
        <v>1.853</v>
      </c>
      <c r="T72" s="2">
        <f t="shared" ca="1" si="1"/>
        <v>1.948</v>
      </c>
      <c r="U72" s="2">
        <f t="shared" ca="1" si="1"/>
        <v>2.0680000000000001</v>
      </c>
      <c r="V72" s="2">
        <f t="shared" ca="1" si="1"/>
        <v>2.2149999999999999</v>
      </c>
      <c r="W72" s="2">
        <f t="shared" ca="1" si="1"/>
        <v>2.444</v>
      </c>
      <c r="X72" s="2">
        <f t="shared" ca="1" si="1"/>
        <v>2.6949999999999998</v>
      </c>
      <c r="Y72" s="10">
        <f t="shared" ca="1" si="1"/>
        <v>2.9060000000000001</v>
      </c>
    </row>
    <row r="73" spans="2:25" x14ac:dyDescent="0.3">
      <c r="B73" s="6">
        <v>70</v>
      </c>
      <c r="C73" s="9">
        <v>1.9990000000000001</v>
      </c>
      <c r="D73" s="9">
        <v>1.871</v>
      </c>
      <c r="E73" s="9">
        <v>1.8720000000000001</v>
      </c>
      <c r="F73" s="9">
        <v>1.8260000000000001</v>
      </c>
      <c r="I73" s="2">
        <f t="shared" ca="1" si="1"/>
        <v>2.839</v>
      </c>
      <c r="J73" s="2">
        <f t="shared" ca="1" si="1"/>
        <v>2.512</v>
      </c>
      <c r="K73" s="2">
        <f t="shared" ca="1" si="1"/>
        <v>2.2349999999999999</v>
      </c>
      <c r="L73" s="2">
        <f t="shared" ca="1" si="1"/>
        <v>2.0499999999999998</v>
      </c>
      <c r="M73" s="2">
        <f t="shared" ca="1" si="1"/>
        <v>1.895</v>
      </c>
      <c r="N73" s="2">
        <f t="shared" ca="1" si="1"/>
        <v>1.7649999999999999</v>
      </c>
      <c r="O73" s="2">
        <f t="shared" ca="1" si="1"/>
        <v>1.665</v>
      </c>
      <c r="P73" s="2">
        <f t="shared" ca="1" si="1"/>
        <v>1.6020000000000001</v>
      </c>
      <c r="Q73" s="2">
        <f t="shared" ca="1" si="1"/>
        <v>1.581</v>
      </c>
      <c r="R73" s="2">
        <f t="shared" ca="1" si="1"/>
        <v>1.601</v>
      </c>
      <c r="S73" s="2">
        <f t="shared" ca="1" si="1"/>
        <v>1.6659999999999999</v>
      </c>
      <c r="T73" s="2">
        <f t="shared" ca="1" si="1"/>
        <v>1.766</v>
      </c>
      <c r="U73" s="2">
        <f t="shared" ca="1" si="1"/>
        <v>1.899</v>
      </c>
      <c r="V73" s="2">
        <f t="shared" ca="1" si="1"/>
        <v>2.0529999999999999</v>
      </c>
      <c r="W73" s="2">
        <f t="shared" ca="1" si="1"/>
        <v>2.2440000000000002</v>
      </c>
      <c r="X73" s="2">
        <f t="shared" ca="1" si="1"/>
        <v>2.512</v>
      </c>
      <c r="Y73" s="2">
        <f t="shared" ca="1" si="1"/>
        <v>2.8010000000000002</v>
      </c>
    </row>
    <row r="74" spans="2:25" x14ac:dyDescent="0.3">
      <c r="B74" s="6">
        <v>71</v>
      </c>
      <c r="C74" s="9">
        <v>1.7609999999999999</v>
      </c>
      <c r="D74" s="9">
        <v>1.663</v>
      </c>
      <c r="E74" s="9">
        <v>1.6639999999999999</v>
      </c>
      <c r="F74" s="9">
        <v>1.6220000000000001</v>
      </c>
      <c r="I74" s="2">
        <f t="shared" ca="1" si="1"/>
        <v>2.67</v>
      </c>
      <c r="J74" s="2">
        <f t="shared" ca="1" si="1"/>
        <v>2.323</v>
      </c>
      <c r="K74" s="2">
        <f t="shared" ca="1" si="1"/>
        <v>2.081</v>
      </c>
      <c r="L74" s="2">
        <f t="shared" ca="1" si="1"/>
        <v>1.8919999999999999</v>
      </c>
      <c r="M74" s="2">
        <f t="shared" ca="1" si="1"/>
        <v>1.7230000000000001</v>
      </c>
      <c r="N74" s="2">
        <f t="shared" ca="1" si="1"/>
        <v>1.5820000000000001</v>
      </c>
      <c r="O74" s="2">
        <f t="shared" ca="1" si="1"/>
        <v>1.4730000000000001</v>
      </c>
      <c r="P74" s="2">
        <f t="shared" ca="1" si="1"/>
        <v>1.4059999999999999</v>
      </c>
      <c r="Q74" s="2">
        <f t="shared" ca="1" si="1"/>
        <v>1.3859999999999999</v>
      </c>
      <c r="R74" s="2">
        <f t="shared" ca="1" si="1"/>
        <v>1.411</v>
      </c>
      <c r="S74" s="2">
        <f t="shared" ca="1" si="1"/>
        <v>1.4830000000000001</v>
      </c>
      <c r="T74" s="2">
        <f t="shared" ca="1" si="1"/>
        <v>1.593</v>
      </c>
      <c r="U74" s="2">
        <f t="shared" ca="1" si="1"/>
        <v>1.7330000000000001</v>
      </c>
      <c r="V74" s="2">
        <f t="shared" ca="1" si="1"/>
        <v>1.9019999999999999</v>
      </c>
      <c r="W74" s="2">
        <f t="shared" ca="1" si="1"/>
        <v>2.0870000000000002</v>
      </c>
      <c r="X74" s="2">
        <f t="shared" ca="1" si="1"/>
        <v>2.3199999999999998</v>
      </c>
      <c r="Y74" s="2">
        <f t="shared" ca="1" si="1"/>
        <v>2.64</v>
      </c>
    </row>
    <row r="75" spans="2:25" x14ac:dyDescent="0.3">
      <c r="B75" s="6">
        <v>72</v>
      </c>
      <c r="C75" s="9">
        <v>1.5409999999999999</v>
      </c>
      <c r="D75" s="9">
        <v>1.4710000000000001</v>
      </c>
      <c r="E75" s="9">
        <v>1.472</v>
      </c>
      <c r="F75" s="9">
        <v>1.4339999999999999</v>
      </c>
      <c r="I75" s="2">
        <f t="shared" ca="1" si="1"/>
        <v>2.4910000000000001</v>
      </c>
      <c r="J75" s="2">
        <f t="shared" ca="1" si="1"/>
        <v>2.1960000000000002</v>
      </c>
      <c r="K75" s="2">
        <f t="shared" ca="1" si="1"/>
        <v>1.968</v>
      </c>
      <c r="L75" s="2">
        <f t="shared" ca="1" si="1"/>
        <v>1.7629999999999999</v>
      </c>
      <c r="M75" s="2">
        <f t="shared" ca="1" si="1"/>
        <v>1.5820000000000001</v>
      </c>
      <c r="N75" s="2">
        <f t="shared" ca="1" si="1"/>
        <v>1.4259999999999999</v>
      </c>
      <c r="O75" s="2">
        <f t="shared" ca="1" si="1"/>
        <v>1.3109999999999999</v>
      </c>
      <c r="P75" s="2">
        <f t="shared" ca="1" si="1"/>
        <v>1.246</v>
      </c>
      <c r="Q75" s="2">
        <f t="shared" ca="1" si="1"/>
        <v>1.2290000000000001</v>
      </c>
      <c r="R75" s="2">
        <f t="shared" ca="1" si="1"/>
        <v>1.252</v>
      </c>
      <c r="S75" s="2">
        <f t="shared" ca="1" si="1"/>
        <v>1.3240000000000001</v>
      </c>
      <c r="T75" s="2">
        <f t="shared" ca="1" si="1"/>
        <v>1.44</v>
      </c>
      <c r="U75" s="2">
        <f t="shared" ca="1" si="1"/>
        <v>1.5940000000000001</v>
      </c>
      <c r="V75" s="2">
        <f t="shared" ca="1" si="1"/>
        <v>1.774</v>
      </c>
      <c r="W75" s="2">
        <f t="shared" ca="1" si="1"/>
        <v>1.972</v>
      </c>
      <c r="X75" s="2">
        <f t="shared" ca="1" si="1"/>
        <v>2.1869999999999998</v>
      </c>
      <c r="Y75" s="2">
        <f t="shared" ca="1" si="1"/>
        <v>2.4609999999999999</v>
      </c>
    </row>
    <row r="76" spans="2:25" x14ac:dyDescent="0.3">
      <c r="B76" s="6">
        <v>73</v>
      </c>
      <c r="C76" s="9">
        <v>1.355</v>
      </c>
      <c r="D76" s="9">
        <v>1.3080000000000001</v>
      </c>
      <c r="E76" s="9">
        <v>1.31</v>
      </c>
      <c r="F76" s="9">
        <v>1.2769999999999999</v>
      </c>
      <c r="I76" s="2">
        <f t="shared" ca="1" si="1"/>
        <v>2.3570000000000002</v>
      </c>
      <c r="J76" s="2">
        <f t="shared" ca="1" si="1"/>
        <v>2.0979999999999999</v>
      </c>
      <c r="K76" s="2">
        <f t="shared" ca="1" si="1"/>
        <v>1.871</v>
      </c>
      <c r="L76" s="2">
        <f t="shared" ca="1" si="1"/>
        <v>1.663</v>
      </c>
      <c r="M76" s="2">
        <f t="shared" ca="1" si="1"/>
        <v>1.4710000000000001</v>
      </c>
      <c r="N76" s="2">
        <f t="shared" ca="1" si="1"/>
        <v>1.3080000000000001</v>
      </c>
      <c r="O76" s="2">
        <f t="shared" ca="1" si="1"/>
        <v>1.1970000000000001</v>
      </c>
      <c r="P76" s="2">
        <f t="shared" ca="1" si="1"/>
        <v>1.1339999999999999</v>
      </c>
      <c r="Q76" s="2">
        <f t="shared" ca="1" si="1"/>
        <v>1.1140000000000001</v>
      </c>
      <c r="R76" s="2">
        <f t="shared" ca="1" si="1"/>
        <v>1.137</v>
      </c>
      <c r="S76" s="2">
        <f t="shared" ca="1" si="1"/>
        <v>1.2030000000000001</v>
      </c>
      <c r="T76" s="2">
        <f t="shared" ca="1" si="1"/>
        <v>1.3149999999999999</v>
      </c>
      <c r="U76" s="2">
        <f t="shared" ca="1" si="1"/>
        <v>1.478</v>
      </c>
      <c r="V76" s="2">
        <f t="shared" ca="1" si="1"/>
        <v>1.67</v>
      </c>
      <c r="W76" s="2">
        <f t="shared" ca="1" si="1"/>
        <v>1.88</v>
      </c>
      <c r="X76" s="2">
        <f t="shared" ca="1" si="1"/>
        <v>2.1030000000000002</v>
      </c>
      <c r="Y76" s="2">
        <f t="shared" ca="1" si="1"/>
        <v>2.3479999999999999</v>
      </c>
    </row>
    <row r="77" spans="2:25" x14ac:dyDescent="0.3">
      <c r="B77" s="6">
        <v>74</v>
      </c>
      <c r="C77" s="9">
        <v>1.228</v>
      </c>
      <c r="D77" s="9">
        <v>1.1970000000000001</v>
      </c>
      <c r="E77" s="9">
        <v>1.198</v>
      </c>
      <c r="F77" s="9">
        <v>1.1719999999999999</v>
      </c>
      <c r="I77" s="2">
        <f t="shared" ca="1" si="1"/>
        <v>2.2959999999999998</v>
      </c>
      <c r="J77" s="2">
        <f t="shared" ca="1" si="1"/>
        <v>2.0390000000000001</v>
      </c>
      <c r="K77" s="2">
        <f t="shared" ca="1" si="1"/>
        <v>1.8049999999999999</v>
      </c>
      <c r="L77" s="2">
        <f t="shared" ca="1" si="1"/>
        <v>1.591</v>
      </c>
      <c r="M77" s="2">
        <f t="shared" ca="1" si="1"/>
        <v>1.395</v>
      </c>
      <c r="N77" s="2">
        <f t="shared" ca="1" si="1"/>
        <v>1.2390000000000001</v>
      </c>
      <c r="O77" s="2">
        <f t="shared" ca="1" si="1"/>
        <v>1.129</v>
      </c>
      <c r="P77" s="2">
        <f t="shared" ca="1" si="1"/>
        <v>1.0569999999999999</v>
      </c>
      <c r="Q77" s="2">
        <f t="shared" ca="1" si="1"/>
        <v>1.032</v>
      </c>
      <c r="R77" s="2">
        <f t="shared" ca="1" si="1"/>
        <v>1.0589999999999999</v>
      </c>
      <c r="S77" s="2">
        <f t="shared" ca="1" si="1"/>
        <v>1.133</v>
      </c>
      <c r="T77" s="2">
        <f t="shared" ca="1" si="1"/>
        <v>1.2410000000000001</v>
      </c>
      <c r="U77" s="2">
        <f t="shared" ca="1" si="1"/>
        <v>1.397</v>
      </c>
      <c r="V77" s="2">
        <f t="shared" ca="1" si="1"/>
        <v>1.5960000000000001</v>
      </c>
      <c r="W77" s="2">
        <f t="shared" ca="1" si="1"/>
        <v>1.8140000000000001</v>
      </c>
      <c r="X77" s="2">
        <f t="shared" ca="1" si="1"/>
        <v>2.0470000000000002</v>
      </c>
      <c r="Y77" s="2">
        <f t="shared" ca="1" si="1"/>
        <v>2.2930000000000001</v>
      </c>
    </row>
    <row r="78" spans="2:25" x14ac:dyDescent="0.3">
      <c r="B78" s="6">
        <v>75</v>
      </c>
      <c r="C78" s="9">
        <v>1.153</v>
      </c>
      <c r="D78" s="9">
        <v>1.1339999999999999</v>
      </c>
      <c r="E78" s="9">
        <v>1.1339999999999999</v>
      </c>
      <c r="F78" s="9">
        <v>1.115</v>
      </c>
      <c r="I78" s="2">
        <f t="shared" ca="1" si="1"/>
        <v>2.2799999999999998</v>
      </c>
      <c r="J78" s="2">
        <f t="shared" ca="1" si="1"/>
        <v>2.0209999999999999</v>
      </c>
      <c r="K78" s="2">
        <f t="shared" ca="1" si="1"/>
        <v>1.7809999999999999</v>
      </c>
      <c r="L78" s="2">
        <f t="shared" ca="1" si="1"/>
        <v>1.5620000000000001</v>
      </c>
      <c r="M78" s="2">
        <f t="shared" ca="1" si="1"/>
        <v>1.361</v>
      </c>
      <c r="N78" s="2">
        <f t="shared" ca="1" si="1"/>
        <v>1.2070000000000001</v>
      </c>
      <c r="O78" s="2">
        <f t="shared" ca="1" si="1"/>
        <v>1.0980000000000001</v>
      </c>
      <c r="P78" s="2">
        <f t="shared" ca="1" si="1"/>
        <v>1.0229999999999999</v>
      </c>
      <c r="Q78" s="2">
        <f t="shared" ca="1" si="1"/>
        <v>1.0029999999999999</v>
      </c>
      <c r="R78" s="2">
        <f t="shared" ca="1" si="1"/>
        <v>1.028</v>
      </c>
      <c r="S78" s="2">
        <f t="shared" ca="1" si="1"/>
        <v>1.1060000000000001</v>
      </c>
      <c r="T78" s="2">
        <f t="shared" ca="1" si="1"/>
        <v>1.2150000000000001</v>
      </c>
      <c r="U78" s="2">
        <f t="shared" ca="1" si="1"/>
        <v>1.37</v>
      </c>
      <c r="V78" s="2">
        <f t="shared" ca="1" si="1"/>
        <v>1.57</v>
      </c>
      <c r="W78" s="2">
        <f t="shared" ca="1" si="1"/>
        <v>1.788</v>
      </c>
      <c r="X78" s="2">
        <f t="shared" ca="1" si="1"/>
        <v>2.0209999999999999</v>
      </c>
      <c r="Y78" s="2">
        <f t="shared" ca="1" si="1"/>
        <v>2.2650000000000001</v>
      </c>
    </row>
    <row r="79" spans="2:25" x14ac:dyDescent="0.3">
      <c r="B79" s="6">
        <v>76</v>
      </c>
      <c r="C79" s="9">
        <v>1.1259999999999999</v>
      </c>
      <c r="D79" s="9">
        <v>1.1140000000000001</v>
      </c>
      <c r="E79" s="9">
        <v>1.1140000000000001</v>
      </c>
      <c r="F79" s="9">
        <v>1.099</v>
      </c>
      <c r="I79" s="2">
        <f t="shared" ca="1" si="1"/>
        <v>2.3069999999999999</v>
      </c>
      <c r="J79" s="2">
        <f t="shared" ca="1" si="1"/>
        <v>2.0419999999999998</v>
      </c>
      <c r="K79" s="2">
        <f t="shared" ca="1" si="1"/>
        <v>1.802</v>
      </c>
      <c r="L79" s="2">
        <f t="shared" ca="1" si="1"/>
        <v>1.583</v>
      </c>
      <c r="M79" s="2">
        <f t="shared" ca="1" si="1"/>
        <v>1.383</v>
      </c>
      <c r="N79" s="2">
        <f t="shared" ca="1" si="1"/>
        <v>1.2250000000000001</v>
      </c>
      <c r="O79" s="2">
        <f t="shared" ca="1" si="1"/>
        <v>1.1140000000000001</v>
      </c>
      <c r="P79" s="2">
        <f t="shared" ca="1" si="1"/>
        <v>1.042</v>
      </c>
      <c r="Q79" s="2">
        <f t="shared" ca="1" si="1"/>
        <v>1.0209999999999999</v>
      </c>
      <c r="R79" s="2">
        <f t="shared" ca="1" si="1"/>
        <v>1.05</v>
      </c>
      <c r="S79" s="2">
        <f t="shared" ca="1" si="1"/>
        <v>1.1279999999999999</v>
      </c>
      <c r="T79" s="2">
        <f t="shared" ca="1" si="1"/>
        <v>1.2390000000000001</v>
      </c>
      <c r="U79" s="2">
        <f t="shared" ca="1" si="1"/>
        <v>1.397</v>
      </c>
      <c r="V79" s="2">
        <f t="shared" ca="1" si="1"/>
        <v>1.5960000000000001</v>
      </c>
      <c r="W79" s="2">
        <f t="shared" ca="1" si="1"/>
        <v>1.81</v>
      </c>
      <c r="X79" s="2">
        <f t="shared" ca="1" si="1"/>
        <v>2.0379999999999998</v>
      </c>
      <c r="Y79" s="2">
        <f t="shared" ca="1" si="1"/>
        <v>2.2770000000000001</v>
      </c>
    </row>
    <row r="80" spans="2:25" x14ac:dyDescent="0.3">
      <c r="B80" s="6">
        <v>77</v>
      </c>
      <c r="C80" s="9">
        <v>1.155</v>
      </c>
      <c r="D80" s="9">
        <v>1.137</v>
      </c>
      <c r="E80" s="9">
        <v>1.137</v>
      </c>
      <c r="F80" s="9">
        <v>1.1180000000000001</v>
      </c>
      <c r="I80" s="2">
        <f t="shared" ca="1" si="1"/>
        <v>2.3690000000000002</v>
      </c>
      <c r="J80" s="2">
        <f t="shared" ca="1" si="1"/>
        <v>2.1070000000000002</v>
      </c>
      <c r="K80" s="2">
        <f t="shared" ca="1" si="1"/>
        <v>1.873</v>
      </c>
      <c r="L80" s="2">
        <f t="shared" ca="1" si="1"/>
        <v>1.6559999999999999</v>
      </c>
      <c r="M80" s="2">
        <f t="shared" ca="1" si="1"/>
        <v>1.46</v>
      </c>
      <c r="N80" s="2">
        <f t="shared" ca="1" si="1"/>
        <v>1.296</v>
      </c>
      <c r="O80" s="2">
        <f t="shared" ca="1" si="1"/>
        <v>1.1839999999999999</v>
      </c>
      <c r="P80" s="2">
        <f t="shared" ca="1" si="1"/>
        <v>1.1160000000000001</v>
      </c>
      <c r="Q80" s="2">
        <f t="shared" ca="1" si="1"/>
        <v>1.095</v>
      </c>
      <c r="R80" s="2">
        <f t="shared" ca="1" si="1"/>
        <v>1.1200000000000001</v>
      </c>
      <c r="S80" s="2">
        <f t="shared" ca="1" si="1"/>
        <v>1.19</v>
      </c>
      <c r="T80" s="2">
        <f t="shared" ca="1" si="1"/>
        <v>1.3049999999999999</v>
      </c>
      <c r="U80" s="2">
        <f t="shared" ca="1" si="1"/>
        <v>1.4710000000000001</v>
      </c>
      <c r="V80" s="2">
        <f t="shared" ca="1" si="1"/>
        <v>1.667</v>
      </c>
      <c r="W80" s="2">
        <f t="shared" ca="1" si="1"/>
        <v>1.879</v>
      </c>
      <c r="X80" s="2">
        <f t="shared" ca="1" si="1"/>
        <v>2.1040000000000001</v>
      </c>
      <c r="Y80" s="2">
        <f t="shared" ca="1" si="1"/>
        <v>2.3519999999999999</v>
      </c>
    </row>
    <row r="81" spans="2:25" x14ac:dyDescent="0.3">
      <c r="B81" s="6">
        <v>78</v>
      </c>
      <c r="C81" s="9">
        <v>1.232</v>
      </c>
      <c r="D81" s="9">
        <v>1.2030000000000001</v>
      </c>
      <c r="E81" s="9">
        <v>1.2030000000000001</v>
      </c>
      <c r="F81" s="9">
        <v>1.177</v>
      </c>
      <c r="I81" s="2">
        <f t="shared" ca="1" si="1"/>
        <v>2.4790000000000001</v>
      </c>
      <c r="J81" s="2">
        <f t="shared" ca="1" si="1"/>
        <v>2.1930000000000001</v>
      </c>
      <c r="K81" s="2">
        <f t="shared" ca="1" si="1"/>
        <v>1.966</v>
      </c>
      <c r="L81" s="2">
        <f t="shared" ca="1" si="1"/>
        <v>1.76</v>
      </c>
      <c r="M81" s="2">
        <f t="shared" ca="1" si="1"/>
        <v>1.575</v>
      </c>
      <c r="N81" s="2">
        <f t="shared" ca="1" si="1"/>
        <v>1.415</v>
      </c>
      <c r="O81" s="2">
        <f t="shared" ca="1" si="1"/>
        <v>1.2949999999999999</v>
      </c>
      <c r="P81" s="2">
        <f t="shared" ca="1" si="1"/>
        <v>1.2270000000000001</v>
      </c>
      <c r="Q81" s="2">
        <f t="shared" ca="1" si="1"/>
        <v>1.204</v>
      </c>
      <c r="R81" s="2">
        <f t="shared" ca="1" si="1"/>
        <v>1.226</v>
      </c>
      <c r="S81" s="2">
        <f t="shared" ca="1" si="1"/>
        <v>1.2949999999999999</v>
      </c>
      <c r="T81" s="2">
        <f t="shared" ca="1" si="1"/>
        <v>1.413</v>
      </c>
      <c r="U81" s="2">
        <f t="shared" ca="1" si="1"/>
        <v>1.5740000000000001</v>
      </c>
      <c r="V81" s="2">
        <f t="shared" ca="1" si="1"/>
        <v>1.764</v>
      </c>
      <c r="W81" s="2">
        <f t="shared" ca="1" si="1"/>
        <v>1.972</v>
      </c>
      <c r="X81" s="2">
        <f t="shared" ca="1" si="1"/>
        <v>2.1960000000000002</v>
      </c>
      <c r="Y81" s="2">
        <f t="shared" ca="1" si="1"/>
        <v>2.4780000000000002</v>
      </c>
    </row>
    <row r="82" spans="2:25" x14ac:dyDescent="0.3">
      <c r="B82" s="6">
        <v>79</v>
      </c>
      <c r="C82" s="9">
        <v>1.357</v>
      </c>
      <c r="D82" s="9">
        <v>1.3149999999999999</v>
      </c>
      <c r="E82" s="9">
        <v>1.3149999999999999</v>
      </c>
      <c r="F82" s="9">
        <v>1.2849999999999999</v>
      </c>
      <c r="I82" s="2">
        <f t="shared" ca="1" si="1"/>
        <v>2.6680000000000001</v>
      </c>
      <c r="J82" s="2">
        <f t="shared" ca="1" si="1"/>
        <v>2.331</v>
      </c>
      <c r="K82" s="2">
        <f t="shared" ca="1" si="1"/>
        <v>2.0910000000000002</v>
      </c>
      <c r="L82" s="2">
        <f t="shared" ca="1" si="1"/>
        <v>1.8939999999999999</v>
      </c>
      <c r="M82" s="2">
        <f t="shared" ca="1" si="1"/>
        <v>1.7190000000000001</v>
      </c>
      <c r="N82" s="2">
        <f t="shared" ca="1" si="1"/>
        <v>1.5740000000000001</v>
      </c>
      <c r="O82" s="2">
        <f t="shared" ca="1" si="1"/>
        <v>1.46</v>
      </c>
      <c r="P82" s="2">
        <f t="shared" ca="1" si="1"/>
        <v>1.3879999999999999</v>
      </c>
      <c r="Q82" s="2">
        <f t="shared" ca="1" si="1"/>
        <v>1.363</v>
      </c>
      <c r="R82" s="2">
        <f t="shared" ca="1" si="1"/>
        <v>1.387</v>
      </c>
      <c r="S82" s="2">
        <f t="shared" ca="1" si="1"/>
        <v>1.46</v>
      </c>
      <c r="T82" s="2">
        <f t="shared" ca="1" si="1"/>
        <v>1.5740000000000001</v>
      </c>
      <c r="U82" s="2">
        <f t="shared" ca="1" si="1"/>
        <v>1.7190000000000001</v>
      </c>
      <c r="V82" s="2">
        <f t="shared" ca="1" si="1"/>
        <v>1.8959999999999999</v>
      </c>
      <c r="W82" s="2">
        <f t="shared" ca="1" si="1"/>
        <v>2.09</v>
      </c>
      <c r="X82" s="2">
        <f t="shared" ca="1" si="1"/>
        <v>2.3290000000000002</v>
      </c>
      <c r="Y82" s="2">
        <f t="shared" ca="1" si="1"/>
        <v>2.6589999999999998</v>
      </c>
    </row>
    <row r="83" spans="2:25" x14ac:dyDescent="0.3">
      <c r="B83" s="6">
        <v>80</v>
      </c>
      <c r="C83" s="9">
        <v>1.54</v>
      </c>
      <c r="D83" s="9">
        <v>1.478</v>
      </c>
      <c r="E83" s="9">
        <v>1.4770000000000001</v>
      </c>
      <c r="F83" s="9">
        <v>1.4450000000000001</v>
      </c>
      <c r="I83" s="2">
        <f t="shared" ca="1" si="1"/>
        <v>2.8780000000000001</v>
      </c>
      <c r="J83" s="2">
        <f t="shared" ca="1" si="1"/>
        <v>2.5369999999999999</v>
      </c>
      <c r="K83" s="2">
        <f t="shared" ca="1" si="1"/>
        <v>2.2559999999999998</v>
      </c>
      <c r="L83" s="2">
        <f t="shared" ca="1" si="1"/>
        <v>2.0630000000000002</v>
      </c>
      <c r="M83" s="2">
        <f t="shared" ca="1" si="1"/>
        <v>1.897</v>
      </c>
      <c r="N83" s="2">
        <f t="shared" ca="1" si="1"/>
        <v>1.758</v>
      </c>
      <c r="O83" s="2">
        <f t="shared" ca="1" si="1"/>
        <v>1.6559999999999999</v>
      </c>
      <c r="P83" s="2">
        <f t="shared" ca="1" si="1"/>
        <v>1.591</v>
      </c>
      <c r="Q83" s="2">
        <f t="shared" ca="1" si="1"/>
        <v>1.571</v>
      </c>
      <c r="R83" s="2">
        <f t="shared" ca="1" si="1"/>
        <v>1.5960000000000001</v>
      </c>
      <c r="S83" s="2">
        <f t="shared" ca="1" si="1"/>
        <v>1.667</v>
      </c>
      <c r="T83" s="2">
        <f t="shared" ca="1" si="1"/>
        <v>1.7689999999999999</v>
      </c>
      <c r="U83" s="2">
        <f t="shared" ca="1" si="1"/>
        <v>1.903</v>
      </c>
      <c r="V83" s="2">
        <f t="shared" ca="1" si="1"/>
        <v>2.0609999999999999</v>
      </c>
      <c r="W83" s="2">
        <f t="shared" ca="1" si="1"/>
        <v>2.2429999999999999</v>
      </c>
      <c r="X83" s="2">
        <f t="shared" ca="1" si="1"/>
        <v>2.5129999999999999</v>
      </c>
      <c r="Y83" s="2">
        <f t="shared" ca="1" si="1"/>
        <v>2.8220000000000001</v>
      </c>
    </row>
    <row r="84" spans="2:25" x14ac:dyDescent="0.3">
      <c r="B84" s="6">
        <v>81</v>
      </c>
      <c r="C84" s="9">
        <v>1.7589999999999999</v>
      </c>
      <c r="D84" s="9">
        <v>1.67</v>
      </c>
      <c r="E84" s="9">
        <v>1.6679999999999999</v>
      </c>
      <c r="F84" s="9">
        <v>1.6339999999999999</v>
      </c>
      <c r="I84" s="10">
        <f t="shared" ca="1" si="1"/>
        <v>3.0510000000000002</v>
      </c>
      <c r="J84" s="2">
        <f t="shared" ca="1" si="1"/>
        <v>2.7970000000000002</v>
      </c>
      <c r="K84" s="2">
        <f t="shared" ca="1" si="1"/>
        <v>2.5049999999999999</v>
      </c>
      <c r="L84" s="2">
        <f t="shared" ca="1" si="1"/>
        <v>2.274</v>
      </c>
      <c r="M84" s="2">
        <f t="shared" ca="1" si="1"/>
        <v>2.12</v>
      </c>
      <c r="N84" s="2">
        <f t="shared" ca="1" si="1"/>
        <v>1.9850000000000001</v>
      </c>
      <c r="O84" s="2">
        <f t="shared" ca="1" si="1"/>
        <v>1.8819999999999999</v>
      </c>
      <c r="P84" s="2">
        <f t="shared" ca="1" si="1"/>
        <v>1.821</v>
      </c>
      <c r="Q84" s="2">
        <f t="shared" ca="1" si="1"/>
        <v>1.804</v>
      </c>
      <c r="R84" s="2">
        <f t="shared" ca="1" si="1"/>
        <v>1.831</v>
      </c>
      <c r="S84" s="2">
        <f t="shared" ca="1" si="1"/>
        <v>1.903</v>
      </c>
      <c r="T84" s="2">
        <f t="shared" ca="1" si="1"/>
        <v>2.0049999999999999</v>
      </c>
      <c r="U84" s="2">
        <f t="shared" ca="1" si="1"/>
        <v>2.1320000000000001</v>
      </c>
      <c r="V84" s="2">
        <f t="shared" ca="1" si="1"/>
        <v>2.2719999999999998</v>
      </c>
      <c r="W84" s="2">
        <f t="shared" ca="1" si="1"/>
        <v>2.4849999999999999</v>
      </c>
      <c r="X84" s="2">
        <f t="shared" ca="1" si="1"/>
        <v>2.7290000000000001</v>
      </c>
      <c r="Y84" s="10">
        <f t="shared" ca="1" si="1"/>
        <v>2.9209999999999998</v>
      </c>
    </row>
    <row r="85" spans="2:25" x14ac:dyDescent="0.3">
      <c r="B85" s="6">
        <v>82</v>
      </c>
      <c r="C85" s="9">
        <v>1.9950000000000001</v>
      </c>
      <c r="D85" s="9">
        <v>1.88</v>
      </c>
      <c r="E85" s="9">
        <v>1.8779999999999999</v>
      </c>
      <c r="F85" s="9">
        <v>1.84</v>
      </c>
    </row>
    <row r="86" spans="2:25" x14ac:dyDescent="0.3">
      <c r="B86" s="6">
        <v>83</v>
      </c>
      <c r="C86" s="9">
        <v>2.2400000000000002</v>
      </c>
      <c r="D86" s="9">
        <v>2.1030000000000002</v>
      </c>
      <c r="E86" s="9">
        <v>2.1</v>
      </c>
      <c r="F86" s="9">
        <v>2.0539999999999998</v>
      </c>
      <c r="H86" t="s">
        <v>2</v>
      </c>
      <c r="I86" s="11">
        <f t="shared" ref="I86:Y98" ca="1" si="2">INDIRECT("E"&amp;(17*ROW(1:1)+ROW($E$3)-19+IF(COLUMN(C:C)&gt;19,50000,COLUMN(C:C)-1)))</f>
        <v>2.9380000000000002</v>
      </c>
      <c r="J86" s="2">
        <f t="shared" ca="1" si="2"/>
        <v>2.706</v>
      </c>
      <c r="K86" s="2">
        <f t="shared" ca="1" si="2"/>
        <v>2.444</v>
      </c>
      <c r="L86" s="2">
        <f t="shared" ca="1" si="2"/>
        <v>2.2240000000000002</v>
      </c>
      <c r="M86" s="2">
        <f t="shared" ca="1" si="2"/>
        <v>2.0779999999999998</v>
      </c>
      <c r="N86" s="2">
        <f t="shared" ca="1" si="2"/>
        <v>1.9550000000000001</v>
      </c>
      <c r="O86" s="2">
        <f t="shared" ca="1" si="2"/>
        <v>1.8560000000000001</v>
      </c>
      <c r="P86" s="2">
        <f t="shared" ca="1" si="2"/>
        <v>1.796</v>
      </c>
      <c r="Q86" s="2">
        <f t="shared" ca="1" si="2"/>
        <v>1.776</v>
      </c>
      <c r="R86" s="2">
        <f t="shared" ca="1" si="2"/>
        <v>1.796</v>
      </c>
      <c r="S86" s="2">
        <f t="shared" ca="1" si="2"/>
        <v>1.857</v>
      </c>
      <c r="T86" s="2">
        <f t="shared" ca="1" si="2"/>
        <v>1.952</v>
      </c>
      <c r="U86" s="2">
        <f t="shared" ca="1" si="2"/>
        <v>2.0710000000000002</v>
      </c>
      <c r="V86" s="2">
        <f t="shared" ca="1" si="2"/>
        <v>2.2170000000000001</v>
      </c>
      <c r="W86" s="2">
        <f t="shared" ca="1" si="2"/>
        <v>2.4449999999999998</v>
      </c>
      <c r="X86" s="2">
        <f t="shared" ca="1" si="2"/>
        <v>2.6949999999999998</v>
      </c>
      <c r="Y86" s="11">
        <f t="shared" ca="1" si="2"/>
        <v>2.9049999999999998</v>
      </c>
    </row>
    <row r="87" spans="2:25" x14ac:dyDescent="0.3">
      <c r="B87" s="6">
        <v>84</v>
      </c>
      <c r="C87" s="9">
        <v>2.5019999999999998</v>
      </c>
      <c r="D87" s="9">
        <v>2.3479999999999999</v>
      </c>
      <c r="E87" s="9">
        <v>2.3439999999999999</v>
      </c>
      <c r="F87" s="9">
        <v>2.286</v>
      </c>
      <c r="I87" s="2">
        <f t="shared" ca="1" si="2"/>
        <v>2.839</v>
      </c>
      <c r="J87" s="2">
        <f t="shared" ca="1" si="2"/>
        <v>2.5139999999999998</v>
      </c>
      <c r="K87" s="2">
        <f t="shared" ca="1" si="2"/>
        <v>2.2370000000000001</v>
      </c>
      <c r="L87" s="2">
        <f t="shared" ca="1" si="2"/>
        <v>2.0529999999999999</v>
      </c>
      <c r="M87" s="2">
        <f t="shared" ca="1" si="2"/>
        <v>1.8979999999999999</v>
      </c>
      <c r="N87" s="2">
        <f t="shared" ca="1" si="2"/>
        <v>1.768</v>
      </c>
      <c r="O87" s="2">
        <f t="shared" ca="1" si="2"/>
        <v>1.6679999999999999</v>
      </c>
      <c r="P87" s="2">
        <f t="shared" ca="1" si="2"/>
        <v>1.6040000000000001</v>
      </c>
      <c r="Q87" s="2">
        <f t="shared" ca="1" si="2"/>
        <v>1.583</v>
      </c>
      <c r="R87" s="2">
        <f t="shared" ca="1" si="2"/>
        <v>1.603</v>
      </c>
      <c r="S87" s="2">
        <f t="shared" ca="1" si="2"/>
        <v>1.6679999999999999</v>
      </c>
      <c r="T87" s="2">
        <f t="shared" ca="1" si="2"/>
        <v>1.768</v>
      </c>
      <c r="U87" s="2">
        <f t="shared" ca="1" si="2"/>
        <v>1.9</v>
      </c>
      <c r="V87" s="2">
        <f t="shared" ca="1" si="2"/>
        <v>2.0539999999999998</v>
      </c>
      <c r="W87" s="2">
        <f t="shared" ca="1" si="2"/>
        <v>2.2429999999999999</v>
      </c>
      <c r="X87" s="2">
        <f t="shared" ca="1" si="2"/>
        <v>2.5099999999999998</v>
      </c>
      <c r="Y87" s="2">
        <f t="shared" ca="1" si="2"/>
        <v>2.7989999999999999</v>
      </c>
    </row>
    <row r="88" spans="2:25" x14ac:dyDescent="0.3">
      <c r="B88" s="6">
        <v>85</v>
      </c>
      <c r="C88" s="9">
        <v>2.472</v>
      </c>
      <c r="D88" s="9">
        <v>2.2959999999999998</v>
      </c>
      <c r="E88" s="9">
        <v>2.2949999999999999</v>
      </c>
      <c r="F88" s="9">
        <v>2.2269999999999999</v>
      </c>
      <c r="I88" s="2">
        <f t="shared" ca="1" si="2"/>
        <v>2.6709999999999998</v>
      </c>
      <c r="J88" s="2">
        <f t="shared" ca="1" si="2"/>
        <v>2.3239999999999998</v>
      </c>
      <c r="K88" s="2">
        <f t="shared" ca="1" si="2"/>
        <v>2.0819999999999999</v>
      </c>
      <c r="L88" s="2">
        <f t="shared" ca="1" si="2"/>
        <v>1.8939999999999999</v>
      </c>
      <c r="M88" s="2">
        <f t="shared" ca="1" si="2"/>
        <v>1.7250000000000001</v>
      </c>
      <c r="N88" s="2">
        <f t="shared" ca="1" si="2"/>
        <v>1.585</v>
      </c>
      <c r="O88" s="2">
        <f t="shared" ca="1" si="2"/>
        <v>1.4750000000000001</v>
      </c>
      <c r="P88" s="2">
        <f t="shared" ca="1" si="2"/>
        <v>1.4079999999999999</v>
      </c>
      <c r="Q88" s="2">
        <f t="shared" ca="1" si="2"/>
        <v>1.387</v>
      </c>
      <c r="R88" s="2">
        <f t="shared" ca="1" si="2"/>
        <v>1.411</v>
      </c>
      <c r="S88" s="2">
        <f t="shared" ca="1" si="2"/>
        <v>1.484</v>
      </c>
      <c r="T88" s="2">
        <f t="shared" ca="1" si="2"/>
        <v>1.5940000000000001</v>
      </c>
      <c r="U88" s="2">
        <f t="shared" ca="1" si="2"/>
        <v>1.7330000000000001</v>
      </c>
      <c r="V88" s="2">
        <f t="shared" ca="1" si="2"/>
        <v>1.901</v>
      </c>
      <c r="W88" s="2">
        <f t="shared" ca="1" si="2"/>
        <v>2.0859999999999999</v>
      </c>
      <c r="X88" s="2">
        <f t="shared" ca="1" si="2"/>
        <v>2.3180000000000001</v>
      </c>
      <c r="Y88" s="2">
        <f t="shared" ca="1" si="2"/>
        <v>2.6360000000000001</v>
      </c>
    </row>
    <row r="89" spans="2:25" x14ac:dyDescent="0.3">
      <c r="B89" s="6">
        <v>86</v>
      </c>
      <c r="C89" s="9">
        <v>2.1890000000000001</v>
      </c>
      <c r="D89" s="9">
        <v>2.0390000000000001</v>
      </c>
      <c r="E89" s="9">
        <v>2.0390000000000001</v>
      </c>
      <c r="F89" s="9">
        <v>1.986</v>
      </c>
      <c r="I89" s="2">
        <f t="shared" ca="1" si="2"/>
        <v>2.4910000000000001</v>
      </c>
      <c r="J89" s="2">
        <f t="shared" ca="1" si="2"/>
        <v>2.1970000000000001</v>
      </c>
      <c r="K89" s="2">
        <f t="shared" ca="1" si="2"/>
        <v>1.9690000000000001</v>
      </c>
      <c r="L89" s="2">
        <f t="shared" ca="1" si="2"/>
        <v>1.764</v>
      </c>
      <c r="M89" s="2">
        <f t="shared" ca="1" si="2"/>
        <v>1.583</v>
      </c>
      <c r="N89" s="2">
        <f t="shared" ca="1" si="2"/>
        <v>1.4279999999999999</v>
      </c>
      <c r="O89" s="2">
        <f t="shared" ca="1" si="2"/>
        <v>1.3120000000000001</v>
      </c>
      <c r="P89" s="2">
        <f t="shared" ca="1" si="2"/>
        <v>1.2470000000000001</v>
      </c>
      <c r="Q89" s="2">
        <f t="shared" ca="1" si="2"/>
        <v>1.2290000000000001</v>
      </c>
      <c r="R89" s="2">
        <f t="shared" ca="1" si="2"/>
        <v>1.252</v>
      </c>
      <c r="S89" s="2">
        <f t="shared" ca="1" si="2"/>
        <v>1.3240000000000001</v>
      </c>
      <c r="T89" s="2">
        <f t="shared" ca="1" si="2"/>
        <v>1.44</v>
      </c>
      <c r="U89" s="2">
        <f t="shared" ca="1" si="2"/>
        <v>1.5940000000000001</v>
      </c>
      <c r="V89" s="2">
        <f t="shared" ca="1" si="2"/>
        <v>1.772</v>
      </c>
      <c r="W89" s="2">
        <f t="shared" ca="1" si="2"/>
        <v>1.97</v>
      </c>
      <c r="X89" s="2">
        <f t="shared" ca="1" si="2"/>
        <v>2.1840000000000002</v>
      </c>
      <c r="Y89" s="2">
        <f t="shared" ca="1" si="2"/>
        <v>2.4569999999999999</v>
      </c>
    </row>
    <row r="90" spans="2:25" x14ac:dyDescent="0.3">
      <c r="B90" s="6">
        <v>87</v>
      </c>
      <c r="C90" s="9">
        <v>1.923</v>
      </c>
      <c r="D90" s="9">
        <v>1.8049999999999999</v>
      </c>
      <c r="E90" s="9">
        <v>1.806</v>
      </c>
      <c r="F90" s="9">
        <v>1.764</v>
      </c>
      <c r="I90" s="2">
        <f t="shared" ca="1" si="2"/>
        <v>2.3570000000000002</v>
      </c>
      <c r="J90" s="2">
        <f t="shared" ca="1" si="2"/>
        <v>2.0979999999999999</v>
      </c>
      <c r="K90" s="2">
        <f t="shared" ca="1" si="2"/>
        <v>1.8720000000000001</v>
      </c>
      <c r="L90" s="2">
        <f t="shared" ca="1" si="2"/>
        <v>1.6639999999999999</v>
      </c>
      <c r="M90" s="2">
        <f t="shared" ca="1" si="2"/>
        <v>1.472</v>
      </c>
      <c r="N90" s="2">
        <f t="shared" ca="1" si="2"/>
        <v>1.31</v>
      </c>
      <c r="O90" s="2">
        <f t="shared" ca="1" si="2"/>
        <v>1.198</v>
      </c>
      <c r="P90" s="2">
        <f t="shared" ca="1" si="2"/>
        <v>1.1339999999999999</v>
      </c>
      <c r="Q90" s="2">
        <f t="shared" ca="1" si="2"/>
        <v>1.1140000000000001</v>
      </c>
      <c r="R90" s="2">
        <f t="shared" ca="1" si="2"/>
        <v>1.137</v>
      </c>
      <c r="S90" s="2">
        <f t="shared" ca="1" si="2"/>
        <v>1.2030000000000001</v>
      </c>
      <c r="T90" s="2">
        <f t="shared" ca="1" si="2"/>
        <v>1.3149999999999999</v>
      </c>
      <c r="U90" s="2">
        <f t="shared" ca="1" si="2"/>
        <v>1.4770000000000001</v>
      </c>
      <c r="V90" s="2">
        <f t="shared" ca="1" si="2"/>
        <v>1.6679999999999999</v>
      </c>
      <c r="W90" s="2">
        <f t="shared" ca="1" si="2"/>
        <v>1.8779999999999999</v>
      </c>
      <c r="X90" s="2">
        <f t="shared" ca="1" si="2"/>
        <v>2.1</v>
      </c>
      <c r="Y90" s="2">
        <f t="shared" ca="1" si="2"/>
        <v>2.3439999999999999</v>
      </c>
    </row>
    <row r="91" spans="2:25" x14ac:dyDescent="0.3">
      <c r="B91" s="6">
        <v>88</v>
      </c>
      <c r="C91" s="9">
        <v>1.6779999999999999</v>
      </c>
      <c r="D91" s="9">
        <v>1.591</v>
      </c>
      <c r="E91" s="9">
        <v>1.593</v>
      </c>
      <c r="F91" s="9">
        <v>1.556</v>
      </c>
      <c r="I91" s="2">
        <f t="shared" ca="1" si="2"/>
        <v>2.2949999999999999</v>
      </c>
      <c r="J91" s="2">
        <f t="shared" ca="1" si="2"/>
        <v>2.0390000000000001</v>
      </c>
      <c r="K91" s="2">
        <f t="shared" ca="1" si="2"/>
        <v>1.806</v>
      </c>
      <c r="L91" s="2">
        <f t="shared" ca="1" si="2"/>
        <v>1.593</v>
      </c>
      <c r="M91" s="2">
        <f t="shared" ca="1" si="2"/>
        <v>1.397</v>
      </c>
      <c r="N91" s="2">
        <f t="shared" ca="1" si="2"/>
        <v>1.2410000000000001</v>
      </c>
      <c r="O91" s="2">
        <f t="shared" ca="1" si="2"/>
        <v>1.131</v>
      </c>
      <c r="P91" s="2">
        <f t="shared" ca="1" si="2"/>
        <v>1.0569999999999999</v>
      </c>
      <c r="Q91" s="2">
        <f t="shared" ca="1" si="2"/>
        <v>1.032</v>
      </c>
      <c r="R91" s="2">
        <f t="shared" ca="1" si="2"/>
        <v>1.0589999999999999</v>
      </c>
      <c r="S91" s="2">
        <f t="shared" ca="1" si="2"/>
        <v>1.1339999999999999</v>
      </c>
      <c r="T91" s="2">
        <f t="shared" ca="1" si="2"/>
        <v>1.2410000000000001</v>
      </c>
      <c r="U91" s="2">
        <f t="shared" ca="1" si="2"/>
        <v>1.397</v>
      </c>
      <c r="V91" s="2">
        <f t="shared" ca="1" si="2"/>
        <v>1.595</v>
      </c>
      <c r="W91" s="2">
        <f t="shared" ca="1" si="2"/>
        <v>1.8120000000000001</v>
      </c>
      <c r="X91" s="2">
        <f t="shared" ca="1" si="2"/>
        <v>2.044</v>
      </c>
      <c r="Y91" s="2">
        <f t="shared" ca="1" si="2"/>
        <v>2.2879999999999998</v>
      </c>
    </row>
    <row r="92" spans="2:25" x14ac:dyDescent="0.3">
      <c r="B92" s="6">
        <v>89</v>
      </c>
      <c r="C92" s="9">
        <v>1.452</v>
      </c>
      <c r="D92" s="9">
        <v>1.395</v>
      </c>
      <c r="E92" s="9">
        <v>1.397</v>
      </c>
      <c r="F92" s="9">
        <v>1.3660000000000001</v>
      </c>
      <c r="I92" s="2">
        <f t="shared" ca="1" si="2"/>
        <v>2.2789999999999999</v>
      </c>
      <c r="J92" s="2">
        <f t="shared" ca="1" si="2"/>
        <v>2.0209999999999999</v>
      </c>
      <c r="K92" s="2">
        <f t="shared" ca="1" si="2"/>
        <v>1.782</v>
      </c>
      <c r="L92" s="2">
        <f t="shared" ca="1" si="2"/>
        <v>1.5640000000000001</v>
      </c>
      <c r="M92" s="2">
        <f t="shared" ca="1" si="2"/>
        <v>1.363</v>
      </c>
      <c r="N92" s="2">
        <f t="shared" ca="1" si="2"/>
        <v>1.2090000000000001</v>
      </c>
      <c r="O92" s="2">
        <f t="shared" ca="1" si="2"/>
        <v>1.099</v>
      </c>
      <c r="P92" s="2">
        <f t="shared" ca="1" si="2"/>
        <v>1.024</v>
      </c>
      <c r="Q92" s="2">
        <f t="shared" ca="1" si="2"/>
        <v>1.0029999999999999</v>
      </c>
      <c r="R92" s="2">
        <f t="shared" ca="1" si="2"/>
        <v>1.028</v>
      </c>
      <c r="S92" s="2">
        <f t="shared" ca="1" si="2"/>
        <v>1.1060000000000001</v>
      </c>
      <c r="T92" s="2">
        <f t="shared" ca="1" si="2"/>
        <v>1.2150000000000001</v>
      </c>
      <c r="U92" s="2">
        <f t="shared" ca="1" si="2"/>
        <v>1.37</v>
      </c>
      <c r="V92" s="2">
        <f t="shared" ca="1" si="2"/>
        <v>1.569</v>
      </c>
      <c r="W92" s="2">
        <f t="shared" ca="1" si="2"/>
        <v>1.786</v>
      </c>
      <c r="X92" s="2">
        <f t="shared" ca="1" si="2"/>
        <v>2.0179999999999998</v>
      </c>
      <c r="Y92" s="2">
        <f t="shared" ca="1" si="2"/>
        <v>2.2599999999999998</v>
      </c>
    </row>
    <row r="93" spans="2:25" x14ac:dyDescent="0.3">
      <c r="B93" s="6">
        <v>90</v>
      </c>
      <c r="C93" s="9">
        <v>1.276</v>
      </c>
      <c r="D93" s="9">
        <v>1.2390000000000001</v>
      </c>
      <c r="E93" s="9">
        <v>1.2410000000000001</v>
      </c>
      <c r="F93" s="9">
        <v>1.2170000000000001</v>
      </c>
      <c r="I93" s="2">
        <f t="shared" ca="1" si="2"/>
        <v>2.3050000000000002</v>
      </c>
      <c r="J93" s="2">
        <f t="shared" ca="1" si="2"/>
        <v>2.0409999999999999</v>
      </c>
      <c r="K93" s="2">
        <f t="shared" ca="1" si="2"/>
        <v>1.802</v>
      </c>
      <c r="L93" s="2">
        <f t="shared" ca="1" si="2"/>
        <v>1.583</v>
      </c>
      <c r="M93" s="2">
        <f t="shared" ca="1" si="2"/>
        <v>1.383</v>
      </c>
      <c r="N93" s="2">
        <f t="shared" ca="1" si="2"/>
        <v>1.226</v>
      </c>
      <c r="O93" s="2">
        <f t="shared" ca="1" si="2"/>
        <v>1.115</v>
      </c>
      <c r="P93" s="2">
        <f t="shared" ca="1" si="2"/>
        <v>1.042</v>
      </c>
      <c r="Q93" s="2">
        <f t="shared" ca="1" si="2"/>
        <v>1.02</v>
      </c>
      <c r="R93" s="2">
        <f t="shared" ca="1" si="2"/>
        <v>1.0489999999999999</v>
      </c>
      <c r="S93" s="2">
        <f t="shared" ca="1" si="2"/>
        <v>1.1279999999999999</v>
      </c>
      <c r="T93" s="2">
        <f t="shared" ca="1" si="2"/>
        <v>1.238</v>
      </c>
      <c r="U93" s="2">
        <f t="shared" ca="1" si="2"/>
        <v>1.3959999999999999</v>
      </c>
      <c r="V93" s="2">
        <f t="shared" ca="1" si="2"/>
        <v>1.5940000000000001</v>
      </c>
      <c r="W93" s="2">
        <f t="shared" ca="1" si="2"/>
        <v>1.8080000000000001</v>
      </c>
      <c r="X93" s="2">
        <f t="shared" ca="1" si="2"/>
        <v>2.0339999999999998</v>
      </c>
      <c r="Y93" s="2">
        <f t="shared" ca="1" si="2"/>
        <v>2.2719999999999998</v>
      </c>
    </row>
    <row r="94" spans="2:25" x14ac:dyDescent="0.3">
      <c r="B94" s="6">
        <v>91</v>
      </c>
      <c r="C94" s="9">
        <v>1.1519999999999999</v>
      </c>
      <c r="D94" s="9">
        <v>1.129</v>
      </c>
      <c r="E94" s="9">
        <v>1.131</v>
      </c>
      <c r="F94" s="9">
        <v>1.113</v>
      </c>
      <c r="I94" s="2">
        <f t="shared" ca="1" si="2"/>
        <v>2.367</v>
      </c>
      <c r="J94" s="2">
        <f t="shared" ca="1" si="2"/>
        <v>2.105</v>
      </c>
      <c r="K94" s="2">
        <f t="shared" ca="1" si="2"/>
        <v>1.8720000000000001</v>
      </c>
      <c r="L94" s="2">
        <f t="shared" ca="1" si="2"/>
        <v>1.6559999999999999</v>
      </c>
      <c r="M94" s="2">
        <f t="shared" ca="1" si="2"/>
        <v>1.4590000000000001</v>
      </c>
      <c r="N94" s="2">
        <f t="shared" ca="1" si="2"/>
        <v>1.296</v>
      </c>
      <c r="O94" s="2">
        <f t="shared" ca="1" si="2"/>
        <v>1.1839999999999999</v>
      </c>
      <c r="P94" s="2">
        <f t="shared" ca="1" si="2"/>
        <v>1.115</v>
      </c>
      <c r="Q94" s="2">
        <f t="shared" ca="1" si="2"/>
        <v>1.0940000000000001</v>
      </c>
      <c r="R94" s="2">
        <f t="shared" ca="1" si="2"/>
        <v>1.119</v>
      </c>
      <c r="S94" s="2">
        <f t="shared" ca="1" si="2"/>
        <v>1.1890000000000001</v>
      </c>
      <c r="T94" s="2">
        <f t="shared" ca="1" si="2"/>
        <v>1.3029999999999999</v>
      </c>
      <c r="U94" s="2">
        <f t="shared" ca="1" si="2"/>
        <v>1.4690000000000001</v>
      </c>
      <c r="V94" s="2">
        <f t="shared" ca="1" si="2"/>
        <v>1.6639999999999999</v>
      </c>
      <c r="W94" s="2">
        <f t="shared" ca="1" si="2"/>
        <v>1.875</v>
      </c>
      <c r="X94" s="2">
        <f t="shared" ca="1" si="2"/>
        <v>2.1</v>
      </c>
      <c r="Y94" s="2">
        <f t="shared" ca="1" si="2"/>
        <v>2.3450000000000002</v>
      </c>
    </row>
    <row r="95" spans="2:25" x14ac:dyDescent="0.3">
      <c r="B95" s="6">
        <v>92</v>
      </c>
      <c r="C95" s="9">
        <v>1.069</v>
      </c>
      <c r="D95" s="9">
        <v>1.0569999999999999</v>
      </c>
      <c r="E95" s="9">
        <v>1.0569999999999999</v>
      </c>
      <c r="F95" s="9">
        <v>1.048</v>
      </c>
      <c r="I95" s="2">
        <f t="shared" ca="1" si="2"/>
        <v>2.476</v>
      </c>
      <c r="J95" s="2">
        <f t="shared" ca="1" si="2"/>
        <v>2.19</v>
      </c>
      <c r="K95" s="2">
        <f t="shared" ca="1" si="2"/>
        <v>1.964</v>
      </c>
      <c r="L95" s="2">
        <f t="shared" ca="1" si="2"/>
        <v>1.7589999999999999</v>
      </c>
      <c r="M95" s="2">
        <f t="shared" ca="1" si="2"/>
        <v>1.5740000000000001</v>
      </c>
      <c r="N95" s="2">
        <f t="shared" ca="1" si="2"/>
        <v>1.415</v>
      </c>
      <c r="O95" s="2">
        <f t="shared" ca="1" si="2"/>
        <v>1.2949999999999999</v>
      </c>
      <c r="P95" s="2">
        <f t="shared" ca="1" si="2"/>
        <v>1.2250000000000001</v>
      </c>
      <c r="Q95" s="2">
        <f t="shared" ca="1" si="2"/>
        <v>1.202</v>
      </c>
      <c r="R95" s="2">
        <f t="shared" ca="1" si="2"/>
        <v>1.224</v>
      </c>
      <c r="S95" s="2">
        <f t="shared" ca="1" si="2"/>
        <v>1.2929999999999999</v>
      </c>
      <c r="T95" s="2">
        <f t="shared" ca="1" si="2"/>
        <v>1.411</v>
      </c>
      <c r="U95" s="2">
        <f t="shared" ca="1" si="2"/>
        <v>1.5720000000000001</v>
      </c>
      <c r="V95" s="2">
        <f t="shared" ca="1" si="2"/>
        <v>1.76</v>
      </c>
      <c r="W95" s="2">
        <f t="shared" ca="1" si="2"/>
        <v>1.968</v>
      </c>
      <c r="X95" s="2">
        <f t="shared" ca="1" si="2"/>
        <v>2.1909999999999998</v>
      </c>
      <c r="Y95" s="2">
        <f t="shared" ca="1" si="2"/>
        <v>2.4700000000000002</v>
      </c>
    </row>
    <row r="96" spans="2:25" x14ac:dyDescent="0.3">
      <c r="B96" s="6">
        <v>93</v>
      </c>
      <c r="C96" s="9">
        <v>1.038</v>
      </c>
      <c r="D96" s="9">
        <v>1.032</v>
      </c>
      <c r="E96" s="9">
        <v>1.032</v>
      </c>
      <c r="F96" s="9">
        <v>1.026</v>
      </c>
      <c r="I96" s="2">
        <f t="shared" ca="1" si="2"/>
        <v>2.665</v>
      </c>
      <c r="J96" s="2">
        <f t="shared" ca="1" si="2"/>
        <v>2.3290000000000002</v>
      </c>
      <c r="K96" s="2">
        <f t="shared" ca="1" si="2"/>
        <v>2.089</v>
      </c>
      <c r="L96" s="2">
        <f t="shared" ca="1" si="2"/>
        <v>1.893</v>
      </c>
      <c r="M96" s="2">
        <f t="shared" ca="1" si="2"/>
        <v>1.718</v>
      </c>
      <c r="N96" s="2">
        <f t="shared" ca="1" si="2"/>
        <v>1.573</v>
      </c>
      <c r="O96" s="2">
        <f t="shared" ca="1" si="2"/>
        <v>1.4590000000000001</v>
      </c>
      <c r="P96" s="2">
        <f t="shared" ca="1" si="2"/>
        <v>1.3859999999999999</v>
      </c>
      <c r="Q96" s="2">
        <f t="shared" ca="1" si="2"/>
        <v>1.36</v>
      </c>
      <c r="R96" s="2">
        <f t="shared" ca="1" si="2"/>
        <v>1.3839999999999999</v>
      </c>
      <c r="S96" s="2">
        <f t="shared" ca="1" si="2"/>
        <v>1.458</v>
      </c>
      <c r="T96" s="2">
        <f t="shared" ca="1" si="2"/>
        <v>1.5720000000000001</v>
      </c>
      <c r="U96" s="2">
        <f t="shared" ca="1" si="2"/>
        <v>1.716</v>
      </c>
      <c r="V96" s="2">
        <f t="shared" ca="1" si="2"/>
        <v>1.8919999999999999</v>
      </c>
      <c r="W96" s="2">
        <f t="shared" ca="1" si="2"/>
        <v>2.0859999999999999</v>
      </c>
      <c r="X96" s="2">
        <f t="shared" ca="1" si="2"/>
        <v>2.3239999999999998</v>
      </c>
      <c r="Y96" s="2">
        <f t="shared" ca="1" si="2"/>
        <v>2.6509999999999998</v>
      </c>
    </row>
    <row r="97" spans="2:25" x14ac:dyDescent="0.3">
      <c r="B97" s="6">
        <v>94</v>
      </c>
      <c r="C97" s="9">
        <v>1.07</v>
      </c>
      <c r="D97" s="9">
        <v>1.0589999999999999</v>
      </c>
      <c r="E97" s="9">
        <v>1.0589999999999999</v>
      </c>
      <c r="F97" s="9">
        <v>1.05</v>
      </c>
      <c r="I97" s="2">
        <f t="shared" ca="1" si="2"/>
        <v>2.8730000000000002</v>
      </c>
      <c r="J97" s="2">
        <f t="shared" ca="1" si="2"/>
        <v>2.5339999999999998</v>
      </c>
      <c r="K97" s="2">
        <f t="shared" ca="1" si="2"/>
        <v>2.254</v>
      </c>
      <c r="L97" s="2">
        <f t="shared" ca="1" si="2"/>
        <v>2.0619999999999998</v>
      </c>
      <c r="M97" s="2">
        <f t="shared" ca="1" si="2"/>
        <v>1.897</v>
      </c>
      <c r="N97" s="2">
        <f t="shared" ca="1" si="2"/>
        <v>1.758</v>
      </c>
      <c r="O97" s="2">
        <f t="shared" ca="1" si="2"/>
        <v>1.655</v>
      </c>
      <c r="P97" s="2">
        <f t="shared" ca="1" si="2"/>
        <v>1.59</v>
      </c>
      <c r="Q97" s="2">
        <f t="shared" ca="1" si="2"/>
        <v>1.569</v>
      </c>
      <c r="R97" s="2">
        <f t="shared" ca="1" si="2"/>
        <v>1.5940000000000001</v>
      </c>
      <c r="S97" s="2">
        <f t="shared" ca="1" si="2"/>
        <v>1.665</v>
      </c>
      <c r="T97" s="2">
        <f t="shared" ca="1" si="2"/>
        <v>1.7669999999999999</v>
      </c>
      <c r="U97" s="2">
        <f t="shared" ca="1" si="2"/>
        <v>1.901</v>
      </c>
      <c r="V97" s="2">
        <f t="shared" ca="1" si="2"/>
        <v>2.0579999999999998</v>
      </c>
      <c r="W97" s="2">
        <f t="shared" ca="1" si="2"/>
        <v>2.2389999999999999</v>
      </c>
      <c r="X97" s="2">
        <f t="shared" ca="1" si="2"/>
        <v>2.5070000000000001</v>
      </c>
      <c r="Y97" s="2">
        <f t="shared" ca="1" si="2"/>
        <v>2.8149999999999999</v>
      </c>
    </row>
    <row r="98" spans="2:25" x14ac:dyDescent="0.3">
      <c r="B98" s="6">
        <v>95</v>
      </c>
      <c r="C98" s="9">
        <v>1.1519999999999999</v>
      </c>
      <c r="D98" s="9">
        <v>1.133</v>
      </c>
      <c r="E98" s="9">
        <v>1.1339999999999999</v>
      </c>
      <c r="F98" s="9">
        <v>1.1160000000000001</v>
      </c>
      <c r="I98" s="11">
        <f t="shared" ca="1" si="2"/>
        <v>3.0459999999999998</v>
      </c>
      <c r="J98" s="2">
        <f t="shared" ca="1" si="2"/>
        <v>2.7930000000000001</v>
      </c>
      <c r="K98" s="2">
        <f t="shared" ca="1" si="2"/>
        <v>2.5019999999999998</v>
      </c>
      <c r="L98" s="2">
        <f t="shared" ca="1" si="2"/>
        <v>2.2719999999999998</v>
      </c>
      <c r="M98" s="2">
        <f t="shared" ca="1" si="2"/>
        <v>2.1190000000000002</v>
      </c>
      <c r="N98" s="2">
        <f t="shared" ca="1" si="2"/>
        <v>1.984</v>
      </c>
      <c r="O98" s="2">
        <f t="shared" ca="1" si="2"/>
        <v>1.8819999999999999</v>
      </c>
      <c r="P98" s="2">
        <f t="shared" ca="1" si="2"/>
        <v>1.82</v>
      </c>
      <c r="Q98" s="2">
        <f t="shared" ca="1" si="2"/>
        <v>1.8029999999999999</v>
      </c>
      <c r="R98" s="2">
        <f t="shared" ca="1" si="2"/>
        <v>1.829</v>
      </c>
      <c r="S98" s="2">
        <f t="shared" ca="1" si="2"/>
        <v>1.901</v>
      </c>
      <c r="T98" s="2">
        <f t="shared" ca="1" si="2"/>
        <v>2.0030000000000001</v>
      </c>
      <c r="U98" s="2">
        <f t="shared" ca="1" si="2"/>
        <v>2.129</v>
      </c>
      <c r="V98" s="2">
        <f t="shared" ca="1" si="2"/>
        <v>2.2690000000000001</v>
      </c>
      <c r="W98" s="2">
        <f t="shared" ca="1" si="2"/>
        <v>2.48</v>
      </c>
      <c r="X98" s="2">
        <f t="shared" ca="1" si="2"/>
        <v>2.7229999999999999</v>
      </c>
      <c r="Y98" s="11">
        <f t="shared" ca="1" si="2"/>
        <v>2.915</v>
      </c>
    </row>
    <row r="99" spans="2:25" x14ac:dyDescent="0.3">
      <c r="B99" s="6">
        <v>96</v>
      </c>
      <c r="C99" s="9">
        <v>1.2709999999999999</v>
      </c>
      <c r="D99" s="9">
        <v>1.2410000000000001</v>
      </c>
      <c r="E99" s="9">
        <v>1.2410000000000001</v>
      </c>
      <c r="F99" s="9">
        <v>1.2190000000000001</v>
      </c>
    </row>
    <row r="100" spans="2:25" x14ac:dyDescent="0.3">
      <c r="B100" s="6">
        <v>97</v>
      </c>
      <c r="C100" s="9">
        <v>1.4470000000000001</v>
      </c>
      <c r="D100" s="9">
        <v>1.397</v>
      </c>
      <c r="E100" s="9">
        <v>1.397</v>
      </c>
      <c r="F100" s="9">
        <v>1.3720000000000001</v>
      </c>
      <c r="H100" t="s">
        <v>3</v>
      </c>
      <c r="I100" s="13">
        <f t="shared" ref="I100:Y112" ca="1" si="3">INDIRECT("F"&amp;(17*ROW(1:1)+ROW($F$3)-19+IF(COLUMN(C:C)&gt;19,50000,COLUMN(C:C)-1)))</f>
        <v>2.8010000000000002</v>
      </c>
      <c r="J100" s="2">
        <f t="shared" ca="1" si="3"/>
        <v>2.5859999999999999</v>
      </c>
      <c r="K100" s="2">
        <f t="shared" ca="1" si="3"/>
        <v>2.3420000000000001</v>
      </c>
      <c r="L100" s="2">
        <f t="shared" ca="1" si="3"/>
        <v>2.1389999999999998</v>
      </c>
      <c r="M100" s="2">
        <f t="shared" ca="1" si="3"/>
        <v>2.0049999999999999</v>
      </c>
      <c r="N100" s="2">
        <f t="shared" ca="1" si="3"/>
        <v>1.889</v>
      </c>
      <c r="O100" s="2">
        <f t="shared" ca="1" si="3"/>
        <v>1.798</v>
      </c>
      <c r="P100" s="2">
        <f t="shared" ca="1" si="3"/>
        <v>1.7410000000000001</v>
      </c>
      <c r="Q100" s="2">
        <f t="shared" ca="1" si="3"/>
        <v>1.7230000000000001</v>
      </c>
      <c r="R100" s="2">
        <f t="shared" ca="1" si="3"/>
        <v>1.7430000000000001</v>
      </c>
      <c r="S100" s="2">
        <f t="shared" ca="1" si="3"/>
        <v>1.8</v>
      </c>
      <c r="T100" s="2">
        <f t="shared" ca="1" si="3"/>
        <v>1.8879999999999999</v>
      </c>
      <c r="U100" s="2">
        <f t="shared" ca="1" si="3"/>
        <v>2.0009999999999999</v>
      </c>
      <c r="V100" s="2">
        <f t="shared" ca="1" si="3"/>
        <v>2.1379999999999999</v>
      </c>
      <c r="W100" s="2">
        <f t="shared" ca="1" si="3"/>
        <v>2.35</v>
      </c>
      <c r="X100" s="2">
        <f t="shared" ca="1" si="3"/>
        <v>2.5819999999999999</v>
      </c>
      <c r="Y100" s="13">
        <f t="shared" ca="1" si="3"/>
        <v>2.7759999999999998</v>
      </c>
    </row>
    <row r="101" spans="2:25" x14ac:dyDescent="0.3">
      <c r="B101" s="6">
        <v>98</v>
      </c>
      <c r="C101" s="9">
        <v>1.6739999999999999</v>
      </c>
      <c r="D101" s="9">
        <v>1.5960000000000001</v>
      </c>
      <c r="E101" s="9">
        <v>1.595</v>
      </c>
      <c r="F101" s="9">
        <v>1.5660000000000001</v>
      </c>
      <c r="I101" s="2">
        <f t="shared" ca="1" si="3"/>
        <v>2.7269999999999999</v>
      </c>
      <c r="J101" s="2">
        <f t="shared" ca="1" si="3"/>
        <v>2.419</v>
      </c>
      <c r="K101" s="2">
        <f t="shared" ca="1" si="3"/>
        <v>2.161</v>
      </c>
      <c r="L101" s="2">
        <f t="shared" ca="1" si="3"/>
        <v>1.988</v>
      </c>
      <c r="M101" s="2">
        <f t="shared" ca="1" si="3"/>
        <v>1.84</v>
      </c>
      <c r="N101" s="2">
        <f t="shared" ca="1" si="3"/>
        <v>1.716</v>
      </c>
      <c r="O101" s="2">
        <f t="shared" ca="1" si="3"/>
        <v>1.62</v>
      </c>
      <c r="P101" s="2">
        <f t="shared" ca="1" si="3"/>
        <v>1.5620000000000001</v>
      </c>
      <c r="Q101" s="2">
        <f t="shared" ca="1" si="3"/>
        <v>1.5449999999999999</v>
      </c>
      <c r="R101" s="2">
        <f t="shared" ca="1" si="3"/>
        <v>1.5629999999999999</v>
      </c>
      <c r="S101" s="2">
        <f t="shared" ca="1" si="3"/>
        <v>1.623</v>
      </c>
      <c r="T101" s="2">
        <f t="shared" ca="1" si="3"/>
        <v>1.718</v>
      </c>
      <c r="U101" s="2">
        <f t="shared" ca="1" si="3"/>
        <v>1.845</v>
      </c>
      <c r="V101" s="2">
        <f t="shared" ca="1" si="3"/>
        <v>1.9950000000000001</v>
      </c>
      <c r="W101" s="2">
        <f t="shared" ca="1" si="3"/>
        <v>2.173</v>
      </c>
      <c r="X101" s="2">
        <f t="shared" ca="1" si="3"/>
        <v>2.423</v>
      </c>
      <c r="Y101" s="2">
        <f t="shared" ca="1" si="3"/>
        <v>2.6920000000000002</v>
      </c>
    </row>
    <row r="102" spans="2:25" x14ac:dyDescent="0.3">
      <c r="B102" s="6">
        <v>99</v>
      </c>
      <c r="C102" s="9">
        <v>1.9219999999999999</v>
      </c>
      <c r="D102" s="9">
        <v>1.8140000000000001</v>
      </c>
      <c r="E102" s="9">
        <v>1.8120000000000001</v>
      </c>
      <c r="F102" s="9">
        <v>1.7789999999999999</v>
      </c>
      <c r="I102" s="2">
        <f t="shared" ca="1" si="3"/>
        <v>2.577</v>
      </c>
      <c r="J102" s="2">
        <f t="shared" ca="1" si="3"/>
        <v>2.2490000000000001</v>
      </c>
      <c r="K102" s="2">
        <f t="shared" ca="1" si="3"/>
        <v>2.0219999999999998</v>
      </c>
      <c r="L102" s="2">
        <f t="shared" ca="1" si="3"/>
        <v>1.841</v>
      </c>
      <c r="M102" s="2">
        <f t="shared" ca="1" si="3"/>
        <v>1.6779999999999999</v>
      </c>
      <c r="N102" s="2">
        <f t="shared" ca="1" si="3"/>
        <v>1.54</v>
      </c>
      <c r="O102" s="2">
        <f t="shared" ca="1" si="3"/>
        <v>1.4370000000000001</v>
      </c>
      <c r="P102" s="2">
        <f t="shared" ca="1" si="3"/>
        <v>1.3759999999999999</v>
      </c>
      <c r="Q102" s="2">
        <f t="shared" ca="1" si="3"/>
        <v>1.36</v>
      </c>
      <c r="R102" s="2">
        <f t="shared" ca="1" si="3"/>
        <v>1.381</v>
      </c>
      <c r="S102" s="2">
        <f t="shared" ca="1" si="3"/>
        <v>1.4470000000000001</v>
      </c>
      <c r="T102" s="2">
        <f t="shared" ca="1" si="3"/>
        <v>1.5509999999999999</v>
      </c>
      <c r="U102" s="2">
        <f t="shared" ca="1" si="3"/>
        <v>1.69</v>
      </c>
      <c r="V102" s="2">
        <f t="shared" ca="1" si="3"/>
        <v>1.8560000000000001</v>
      </c>
      <c r="W102" s="2">
        <f t="shared" ca="1" si="3"/>
        <v>2.0329999999999999</v>
      </c>
      <c r="X102" s="2">
        <f t="shared" ca="1" si="3"/>
        <v>2.2509999999999999</v>
      </c>
      <c r="Y102" s="2">
        <f t="shared" ca="1" si="3"/>
        <v>2.548</v>
      </c>
    </row>
    <row r="103" spans="2:25" x14ac:dyDescent="0.3">
      <c r="B103" s="6">
        <v>100</v>
      </c>
      <c r="C103" s="9">
        <v>2.181</v>
      </c>
      <c r="D103" s="9">
        <v>2.0470000000000002</v>
      </c>
      <c r="E103" s="9">
        <v>2.044</v>
      </c>
      <c r="F103" s="9">
        <v>2.0030000000000001</v>
      </c>
      <c r="I103" s="2">
        <f t="shared" ca="1" si="3"/>
        <v>2.4140000000000001</v>
      </c>
      <c r="J103" s="2">
        <f t="shared" ca="1" si="3"/>
        <v>2.1320000000000001</v>
      </c>
      <c r="K103" s="2">
        <f t="shared" ca="1" si="3"/>
        <v>1.915</v>
      </c>
      <c r="L103" s="2">
        <f t="shared" ca="1" si="3"/>
        <v>1.716</v>
      </c>
      <c r="M103" s="2">
        <f t="shared" ca="1" si="3"/>
        <v>1.5389999999999999</v>
      </c>
      <c r="N103" s="2">
        <f t="shared" ca="1" si="3"/>
        <v>1.389</v>
      </c>
      <c r="O103" s="2">
        <f t="shared" ca="1" si="3"/>
        <v>1.28</v>
      </c>
      <c r="P103" s="2">
        <f t="shared" ca="1" si="3"/>
        <v>1.222</v>
      </c>
      <c r="Q103" s="2">
        <f t="shared" ca="1" si="3"/>
        <v>1.2090000000000001</v>
      </c>
      <c r="R103" s="2">
        <f t="shared" ca="1" si="3"/>
        <v>1.228</v>
      </c>
      <c r="S103" s="2">
        <f t="shared" ca="1" si="3"/>
        <v>1.2929999999999999</v>
      </c>
      <c r="T103" s="2">
        <f t="shared" ca="1" si="3"/>
        <v>1.4039999999999999</v>
      </c>
      <c r="U103" s="2">
        <f t="shared" ca="1" si="3"/>
        <v>1.556</v>
      </c>
      <c r="V103" s="2">
        <f t="shared" ca="1" si="3"/>
        <v>1.7330000000000001</v>
      </c>
      <c r="W103" s="2">
        <f t="shared" ca="1" si="3"/>
        <v>1.927</v>
      </c>
      <c r="X103" s="2">
        <f t="shared" ca="1" si="3"/>
        <v>2.133</v>
      </c>
      <c r="Y103" s="2">
        <f t="shared" ca="1" si="3"/>
        <v>2.387</v>
      </c>
    </row>
    <row r="104" spans="2:25" x14ac:dyDescent="0.3">
      <c r="B104" s="6">
        <v>101</v>
      </c>
      <c r="C104" s="9">
        <v>2.4409999999999998</v>
      </c>
      <c r="D104" s="9">
        <v>2.2930000000000001</v>
      </c>
      <c r="E104" s="9">
        <v>2.2879999999999998</v>
      </c>
      <c r="F104" s="9">
        <v>2.2370000000000001</v>
      </c>
      <c r="I104" s="2">
        <f t="shared" ca="1" si="3"/>
        <v>2.29</v>
      </c>
      <c r="J104" s="2">
        <f t="shared" ca="1" si="3"/>
        <v>2.044</v>
      </c>
      <c r="K104" s="2">
        <f t="shared" ca="1" si="3"/>
        <v>1.8260000000000001</v>
      </c>
      <c r="L104" s="2">
        <f t="shared" ca="1" si="3"/>
        <v>1.6220000000000001</v>
      </c>
      <c r="M104" s="2">
        <f t="shared" ca="1" si="3"/>
        <v>1.4339999999999999</v>
      </c>
      <c r="N104" s="2">
        <f t="shared" ca="1" si="3"/>
        <v>1.2769999999999999</v>
      </c>
      <c r="O104" s="2">
        <f t="shared" ca="1" si="3"/>
        <v>1.1719999999999999</v>
      </c>
      <c r="P104" s="2">
        <f t="shared" ca="1" si="3"/>
        <v>1.115</v>
      </c>
      <c r="Q104" s="2">
        <f t="shared" ca="1" si="3"/>
        <v>1.099</v>
      </c>
      <c r="R104" s="2">
        <f t="shared" ca="1" si="3"/>
        <v>1.1180000000000001</v>
      </c>
      <c r="S104" s="2">
        <f t="shared" ca="1" si="3"/>
        <v>1.177</v>
      </c>
      <c r="T104" s="2">
        <f t="shared" ca="1" si="3"/>
        <v>1.2849999999999999</v>
      </c>
      <c r="U104" s="2">
        <f t="shared" ca="1" si="3"/>
        <v>1.4450000000000001</v>
      </c>
      <c r="V104" s="2">
        <f t="shared" ca="1" si="3"/>
        <v>1.6339999999999999</v>
      </c>
      <c r="W104" s="2">
        <f t="shared" ca="1" si="3"/>
        <v>1.84</v>
      </c>
      <c r="X104" s="2">
        <f t="shared" ca="1" si="3"/>
        <v>2.0539999999999998</v>
      </c>
      <c r="Y104" s="2">
        <f t="shared" ca="1" si="3"/>
        <v>2.286</v>
      </c>
    </row>
    <row r="105" spans="2:25" x14ac:dyDescent="0.3">
      <c r="B105" s="6">
        <v>102</v>
      </c>
      <c r="C105" s="9">
        <v>2.4609999999999999</v>
      </c>
      <c r="D105" s="9">
        <v>2.2799999999999998</v>
      </c>
      <c r="E105" s="9">
        <v>2.2789999999999999</v>
      </c>
      <c r="F105" s="9">
        <v>2.2149999999999999</v>
      </c>
      <c r="I105" s="2">
        <f t="shared" ca="1" si="3"/>
        <v>2.2269999999999999</v>
      </c>
      <c r="J105" s="2">
        <f t="shared" ca="1" si="3"/>
        <v>1.986</v>
      </c>
      <c r="K105" s="2">
        <f t="shared" ca="1" si="3"/>
        <v>1.764</v>
      </c>
      <c r="L105" s="2">
        <f t="shared" ca="1" si="3"/>
        <v>1.556</v>
      </c>
      <c r="M105" s="2">
        <f t="shared" ca="1" si="3"/>
        <v>1.3660000000000001</v>
      </c>
      <c r="N105" s="2">
        <f t="shared" ca="1" si="3"/>
        <v>1.2170000000000001</v>
      </c>
      <c r="O105" s="2">
        <f t="shared" ca="1" si="3"/>
        <v>1.113</v>
      </c>
      <c r="P105" s="2">
        <f t="shared" ca="1" si="3"/>
        <v>1.048</v>
      </c>
      <c r="Q105" s="2">
        <f t="shared" ca="1" si="3"/>
        <v>1.026</v>
      </c>
      <c r="R105" s="2">
        <f t="shared" ca="1" si="3"/>
        <v>1.05</v>
      </c>
      <c r="S105" s="2">
        <f t="shared" ca="1" si="3"/>
        <v>1.1160000000000001</v>
      </c>
      <c r="T105" s="2">
        <f t="shared" ca="1" si="3"/>
        <v>1.2190000000000001</v>
      </c>
      <c r="U105" s="2">
        <f t="shared" ca="1" si="3"/>
        <v>1.3720000000000001</v>
      </c>
      <c r="V105" s="2">
        <f t="shared" ca="1" si="3"/>
        <v>1.5660000000000001</v>
      </c>
      <c r="W105" s="2">
        <f t="shared" ca="1" si="3"/>
        <v>1.7789999999999999</v>
      </c>
      <c r="X105" s="2">
        <f t="shared" ca="1" si="3"/>
        <v>2.0030000000000001</v>
      </c>
      <c r="Y105" s="2">
        <f t="shared" ca="1" si="3"/>
        <v>2.2370000000000001</v>
      </c>
    </row>
    <row r="106" spans="2:25" x14ac:dyDescent="0.3">
      <c r="B106" s="6">
        <v>103</v>
      </c>
      <c r="C106" s="9">
        <v>2.169</v>
      </c>
      <c r="D106" s="9">
        <v>2.0209999999999999</v>
      </c>
      <c r="E106" s="9">
        <v>2.0209999999999999</v>
      </c>
      <c r="F106" s="9">
        <v>1.968</v>
      </c>
      <c r="I106" s="2">
        <f t="shared" ca="1" si="3"/>
        <v>2.2149999999999999</v>
      </c>
      <c r="J106" s="2">
        <f t="shared" ca="1" si="3"/>
        <v>1.968</v>
      </c>
      <c r="K106" s="2">
        <f t="shared" ca="1" si="3"/>
        <v>1.74</v>
      </c>
      <c r="L106" s="2">
        <f t="shared" ca="1" si="3"/>
        <v>1.53</v>
      </c>
      <c r="M106" s="2">
        <f t="shared" ca="1" si="3"/>
        <v>1.3380000000000001</v>
      </c>
      <c r="N106" s="2">
        <f t="shared" ca="1" si="3"/>
        <v>1.1910000000000001</v>
      </c>
      <c r="O106" s="2">
        <f t="shared" ca="1" si="3"/>
        <v>1.087</v>
      </c>
      <c r="P106" s="2">
        <f t="shared" ca="1" si="3"/>
        <v>1.0209999999999999</v>
      </c>
      <c r="Q106" s="2">
        <f t="shared" ca="1" si="3"/>
        <v>1.006</v>
      </c>
      <c r="R106" s="2">
        <f t="shared" ca="1" si="3"/>
        <v>1.024</v>
      </c>
      <c r="S106" s="2">
        <f t="shared" ca="1" si="3"/>
        <v>1.0940000000000001</v>
      </c>
      <c r="T106" s="2">
        <f t="shared" ca="1" si="3"/>
        <v>1.1990000000000001</v>
      </c>
      <c r="U106" s="2">
        <f t="shared" ca="1" si="3"/>
        <v>1.349</v>
      </c>
      <c r="V106" s="2">
        <f t="shared" ca="1" si="3"/>
        <v>1.544</v>
      </c>
      <c r="W106" s="2">
        <f t="shared" ca="1" si="3"/>
        <v>1.7529999999999999</v>
      </c>
      <c r="X106" s="2">
        <f t="shared" ca="1" si="3"/>
        <v>1.9770000000000001</v>
      </c>
      <c r="Y106" s="2">
        <f t="shared" ca="1" si="3"/>
        <v>2.2080000000000002</v>
      </c>
    </row>
    <row r="107" spans="2:25" x14ac:dyDescent="0.3">
      <c r="B107" s="6">
        <v>104</v>
      </c>
      <c r="C107" s="9">
        <v>1.8959999999999999</v>
      </c>
      <c r="D107" s="9">
        <v>1.7809999999999999</v>
      </c>
      <c r="E107" s="9">
        <v>1.782</v>
      </c>
      <c r="F107" s="9">
        <v>1.74</v>
      </c>
      <c r="I107" s="2">
        <f t="shared" ca="1" si="3"/>
        <v>2.2429999999999999</v>
      </c>
      <c r="J107" s="2">
        <f t="shared" ca="1" si="3"/>
        <v>1.9910000000000001</v>
      </c>
      <c r="K107" s="2">
        <f t="shared" ca="1" si="3"/>
        <v>1.7589999999999999</v>
      </c>
      <c r="L107" s="2">
        <f t="shared" ca="1" si="3"/>
        <v>1.548</v>
      </c>
      <c r="M107" s="2">
        <f t="shared" ca="1" si="3"/>
        <v>1.355</v>
      </c>
      <c r="N107" s="2">
        <f t="shared" ca="1" si="3"/>
        <v>1.2050000000000001</v>
      </c>
      <c r="O107" s="2">
        <f t="shared" ca="1" si="3"/>
        <v>1.1000000000000001</v>
      </c>
      <c r="P107" s="2">
        <f t="shared" ca="1" si="3"/>
        <v>1.036</v>
      </c>
      <c r="Q107" s="2">
        <f t="shared" ca="1" si="3"/>
        <v>1.0189999999999999</v>
      </c>
      <c r="R107" s="2">
        <f t="shared" ca="1" si="3"/>
        <v>1.0429999999999999</v>
      </c>
      <c r="S107" s="2">
        <f t="shared" ca="1" si="3"/>
        <v>1.1120000000000001</v>
      </c>
      <c r="T107" s="2">
        <f t="shared" ca="1" si="3"/>
        <v>1.218</v>
      </c>
      <c r="U107" s="2">
        <f t="shared" ca="1" si="3"/>
        <v>1.371</v>
      </c>
      <c r="V107" s="2">
        <f t="shared" ca="1" si="3"/>
        <v>1.5640000000000001</v>
      </c>
      <c r="W107" s="2">
        <f t="shared" ca="1" si="3"/>
        <v>1.774</v>
      </c>
      <c r="X107" s="2">
        <f t="shared" ca="1" si="3"/>
        <v>1.992</v>
      </c>
      <c r="Y107" s="2">
        <f t="shared" ca="1" si="3"/>
        <v>2.2170000000000001</v>
      </c>
    </row>
    <row r="108" spans="2:25" x14ac:dyDescent="0.3">
      <c r="B108" s="6">
        <v>105</v>
      </c>
      <c r="C108" s="9">
        <v>1.6459999999999999</v>
      </c>
      <c r="D108" s="9">
        <v>1.5620000000000001</v>
      </c>
      <c r="E108" s="9">
        <v>1.5640000000000001</v>
      </c>
      <c r="F108" s="9">
        <v>1.53</v>
      </c>
      <c r="I108" s="2">
        <f t="shared" ca="1" si="3"/>
        <v>2.2999999999999998</v>
      </c>
      <c r="J108" s="2">
        <f t="shared" ca="1" si="3"/>
        <v>2.0499999999999998</v>
      </c>
      <c r="K108" s="2">
        <f t="shared" ca="1" si="3"/>
        <v>1.8260000000000001</v>
      </c>
      <c r="L108" s="2">
        <f t="shared" ca="1" si="3"/>
        <v>1.615</v>
      </c>
      <c r="M108" s="2">
        <f t="shared" ca="1" si="3"/>
        <v>1.4219999999999999</v>
      </c>
      <c r="N108" s="2">
        <f t="shared" ca="1" si="3"/>
        <v>1.2649999999999999</v>
      </c>
      <c r="O108" s="2">
        <f t="shared" ca="1" si="3"/>
        <v>1.1599999999999999</v>
      </c>
      <c r="P108" s="2">
        <f t="shared" ca="1" si="3"/>
        <v>1.1000000000000001</v>
      </c>
      <c r="Q108" s="2">
        <f t="shared" ca="1" si="3"/>
        <v>1.083</v>
      </c>
      <c r="R108" s="2">
        <f t="shared" ca="1" si="3"/>
        <v>1.1040000000000001</v>
      </c>
      <c r="S108" s="2">
        <f t="shared" ca="1" si="3"/>
        <v>1.167</v>
      </c>
      <c r="T108" s="2">
        <f t="shared" ca="1" si="3"/>
        <v>1.276</v>
      </c>
      <c r="U108" s="2">
        <f t="shared" ca="1" si="3"/>
        <v>1.4359999999999999</v>
      </c>
      <c r="V108" s="2">
        <f t="shared" ca="1" si="3"/>
        <v>1.63</v>
      </c>
      <c r="W108" s="2">
        <f t="shared" ca="1" si="3"/>
        <v>1.839</v>
      </c>
      <c r="X108" s="2">
        <f t="shared" ca="1" si="3"/>
        <v>2.0550000000000002</v>
      </c>
      <c r="Y108" s="2">
        <f t="shared" ca="1" si="3"/>
        <v>2.2850000000000001</v>
      </c>
    </row>
    <row r="109" spans="2:25" x14ac:dyDescent="0.3">
      <c r="B109" s="6">
        <v>106</v>
      </c>
      <c r="C109" s="9">
        <v>1.4139999999999999</v>
      </c>
      <c r="D109" s="9">
        <v>1.361</v>
      </c>
      <c r="E109" s="9">
        <v>1.363</v>
      </c>
      <c r="F109" s="9">
        <v>1.3380000000000001</v>
      </c>
      <c r="I109" s="2">
        <f t="shared" ca="1" si="3"/>
        <v>2.4009999999999998</v>
      </c>
      <c r="J109" s="2">
        <f t="shared" ca="1" si="3"/>
        <v>2.13</v>
      </c>
      <c r="K109" s="2">
        <f t="shared" ca="1" si="3"/>
        <v>1.911</v>
      </c>
      <c r="L109" s="2">
        <f t="shared" ca="1" si="3"/>
        <v>1.71</v>
      </c>
      <c r="M109" s="2">
        <f t="shared" ca="1" si="3"/>
        <v>1.5289999999999999</v>
      </c>
      <c r="N109" s="2">
        <f t="shared" ca="1" si="3"/>
        <v>1.375</v>
      </c>
      <c r="O109" s="2">
        <f t="shared" ca="1" si="3"/>
        <v>1.262</v>
      </c>
      <c r="P109" s="2">
        <f t="shared" ca="1" si="3"/>
        <v>1.202</v>
      </c>
      <c r="Q109" s="2">
        <f t="shared" ca="1" si="3"/>
        <v>1.1830000000000001</v>
      </c>
      <c r="R109" s="2">
        <f t="shared" ca="1" si="3"/>
        <v>1.202</v>
      </c>
      <c r="S109" s="2">
        <f t="shared" ca="1" si="3"/>
        <v>1.2629999999999999</v>
      </c>
      <c r="T109" s="2">
        <f t="shared" ca="1" si="3"/>
        <v>1.377</v>
      </c>
      <c r="U109" s="2">
        <f t="shared" ca="1" si="3"/>
        <v>1.5329999999999999</v>
      </c>
      <c r="V109" s="2">
        <f t="shared" ca="1" si="3"/>
        <v>1.72</v>
      </c>
      <c r="W109" s="2">
        <f t="shared" ca="1" si="3"/>
        <v>1.9239999999999999</v>
      </c>
      <c r="X109" s="2">
        <f t="shared" ca="1" si="3"/>
        <v>2.1379999999999999</v>
      </c>
      <c r="Y109" s="2">
        <f t="shared" ca="1" si="3"/>
        <v>2.4020000000000001</v>
      </c>
    </row>
    <row r="110" spans="2:25" x14ac:dyDescent="0.3">
      <c r="B110" s="6">
        <v>107</v>
      </c>
      <c r="C110" s="9">
        <v>1.2370000000000001</v>
      </c>
      <c r="D110" s="9">
        <v>1.2070000000000001</v>
      </c>
      <c r="E110" s="9">
        <v>1.2090000000000001</v>
      </c>
      <c r="F110" s="9">
        <v>1.1910000000000001</v>
      </c>
      <c r="I110" s="2">
        <f t="shared" ca="1" si="3"/>
        <v>2.5790000000000002</v>
      </c>
      <c r="J110" s="2">
        <f t="shared" ca="1" si="3"/>
        <v>2.2559999999999998</v>
      </c>
      <c r="K110" s="2">
        <f t="shared" ca="1" si="3"/>
        <v>2.028</v>
      </c>
      <c r="L110" s="2">
        <f t="shared" ca="1" si="3"/>
        <v>1.837</v>
      </c>
      <c r="M110" s="2">
        <f t="shared" ca="1" si="3"/>
        <v>1.667</v>
      </c>
      <c r="N110" s="2">
        <f t="shared" ca="1" si="3"/>
        <v>1.5269999999999999</v>
      </c>
      <c r="O110" s="2">
        <f t="shared" ca="1" si="3"/>
        <v>1.42</v>
      </c>
      <c r="P110" s="2">
        <f t="shared" ca="1" si="3"/>
        <v>1.3540000000000001</v>
      </c>
      <c r="Q110" s="2">
        <f t="shared" ca="1" si="3"/>
        <v>1.3340000000000001</v>
      </c>
      <c r="R110" s="2">
        <f t="shared" ca="1" si="3"/>
        <v>1.353</v>
      </c>
      <c r="S110" s="2">
        <f t="shared" ca="1" si="3"/>
        <v>1.42</v>
      </c>
      <c r="T110" s="2">
        <f t="shared" ca="1" si="3"/>
        <v>1.53</v>
      </c>
      <c r="U110" s="2">
        <f t="shared" ca="1" si="3"/>
        <v>1.673</v>
      </c>
      <c r="V110" s="2">
        <f t="shared" ca="1" si="3"/>
        <v>1.8480000000000001</v>
      </c>
      <c r="W110" s="2">
        <f t="shared" ca="1" si="3"/>
        <v>2.0329999999999999</v>
      </c>
      <c r="X110" s="2">
        <f t="shared" ca="1" si="3"/>
        <v>2.258</v>
      </c>
      <c r="Y110" s="2">
        <f t="shared" ca="1" si="3"/>
        <v>2.5649999999999999</v>
      </c>
    </row>
    <row r="111" spans="2:25" x14ac:dyDescent="0.3">
      <c r="B111" s="6">
        <v>108</v>
      </c>
      <c r="C111" s="9">
        <v>1.1140000000000001</v>
      </c>
      <c r="D111" s="9">
        <v>1.0980000000000001</v>
      </c>
      <c r="E111" s="9">
        <v>1.099</v>
      </c>
      <c r="F111" s="9">
        <v>1.087</v>
      </c>
      <c r="I111" s="2">
        <f t="shared" ca="1" si="3"/>
        <v>2.7709999999999999</v>
      </c>
      <c r="J111" s="2">
        <f t="shared" ca="1" si="3"/>
        <v>2.4470000000000001</v>
      </c>
      <c r="K111" s="2">
        <f t="shared" ca="1" si="3"/>
        <v>2.1829999999999998</v>
      </c>
      <c r="L111" s="2">
        <f t="shared" ca="1" si="3"/>
        <v>1.9970000000000001</v>
      </c>
      <c r="M111" s="2">
        <f t="shared" ca="1" si="3"/>
        <v>1.837</v>
      </c>
      <c r="N111" s="2">
        <f t="shared" ca="1" si="3"/>
        <v>1.704</v>
      </c>
      <c r="O111" s="2">
        <f t="shared" ca="1" si="3"/>
        <v>1.607</v>
      </c>
      <c r="P111" s="2">
        <f t="shared" ca="1" si="3"/>
        <v>1.548</v>
      </c>
      <c r="Q111" s="2">
        <f t="shared" ca="1" si="3"/>
        <v>1.532</v>
      </c>
      <c r="R111" s="2">
        <f t="shared" ca="1" si="3"/>
        <v>1.554</v>
      </c>
      <c r="S111" s="2">
        <f t="shared" ca="1" si="3"/>
        <v>1.619</v>
      </c>
      <c r="T111" s="2">
        <f t="shared" ca="1" si="3"/>
        <v>1.7170000000000001</v>
      </c>
      <c r="U111" s="2">
        <f t="shared" ca="1" si="3"/>
        <v>1.849</v>
      </c>
      <c r="V111" s="2">
        <f t="shared" ca="1" si="3"/>
        <v>2.0019999999999998</v>
      </c>
      <c r="W111" s="2">
        <f t="shared" ca="1" si="3"/>
        <v>2.177</v>
      </c>
      <c r="X111" s="2">
        <f t="shared" ca="1" si="3"/>
        <v>2.427</v>
      </c>
      <c r="Y111" s="2">
        <f t="shared" ca="1" si="3"/>
        <v>2.7109999999999999</v>
      </c>
    </row>
    <row r="112" spans="2:25" x14ac:dyDescent="0.3">
      <c r="B112" s="6">
        <v>109</v>
      </c>
      <c r="C112" s="9">
        <v>1.032</v>
      </c>
      <c r="D112" s="9">
        <v>1.0229999999999999</v>
      </c>
      <c r="E112" s="9">
        <v>1.024</v>
      </c>
      <c r="F112" s="9">
        <v>1.0209999999999999</v>
      </c>
      <c r="I112" s="13">
        <f t="shared" ca="1" si="3"/>
        <v>2.9319999999999999</v>
      </c>
      <c r="J112" s="2">
        <f t="shared" ca="1" si="3"/>
        <v>2.6890000000000001</v>
      </c>
      <c r="K112" s="2">
        <f t="shared" ca="1" si="3"/>
        <v>2.415</v>
      </c>
      <c r="L112" s="2">
        <f t="shared" ca="1" si="3"/>
        <v>2.1970000000000001</v>
      </c>
      <c r="M112" s="2">
        <f t="shared" ca="1" si="3"/>
        <v>2.0489999999999999</v>
      </c>
      <c r="N112" s="2">
        <f t="shared" ca="1" si="3"/>
        <v>1.921</v>
      </c>
      <c r="O112" s="2">
        <f t="shared" ca="1" si="3"/>
        <v>1.8240000000000001</v>
      </c>
      <c r="P112" s="2">
        <f t="shared" ca="1" si="3"/>
        <v>1.7669999999999999</v>
      </c>
      <c r="Q112" s="2">
        <f t="shared" ca="1" si="3"/>
        <v>1.7509999999999999</v>
      </c>
      <c r="R112" s="2">
        <f t="shared" ca="1" si="3"/>
        <v>1.778</v>
      </c>
      <c r="S112" s="2">
        <f t="shared" ca="1" si="3"/>
        <v>1.847</v>
      </c>
      <c r="T112" s="2">
        <f t="shared" ca="1" si="3"/>
        <v>1.946</v>
      </c>
      <c r="U112" s="2">
        <f t="shared" ca="1" si="3"/>
        <v>2.0649999999999999</v>
      </c>
      <c r="V112" s="2">
        <f t="shared" ca="1" si="3"/>
        <v>2.1970000000000001</v>
      </c>
      <c r="W112" s="2">
        <f t="shared" ca="1" si="3"/>
        <v>2.3959999999999999</v>
      </c>
      <c r="X112" s="2">
        <f t="shared" ca="1" si="3"/>
        <v>2.6269999999999998</v>
      </c>
      <c r="Y112" s="13">
        <f t="shared" ca="1" si="3"/>
        <v>2.798</v>
      </c>
    </row>
    <row r="113" spans="2:6" x14ac:dyDescent="0.3">
      <c r="B113" s="6">
        <v>110</v>
      </c>
      <c r="C113" s="9">
        <v>1.006</v>
      </c>
      <c r="D113" s="9">
        <v>1.0029999999999999</v>
      </c>
      <c r="E113" s="9">
        <v>1.0029999999999999</v>
      </c>
      <c r="F113" s="9">
        <v>1.006</v>
      </c>
    </row>
    <row r="114" spans="2:6" x14ac:dyDescent="0.3">
      <c r="B114" s="6">
        <v>111</v>
      </c>
      <c r="C114" s="9">
        <v>1.0349999999999999</v>
      </c>
      <c r="D114" s="9">
        <v>1.028</v>
      </c>
      <c r="E114" s="9">
        <v>1.028</v>
      </c>
      <c r="F114" s="9">
        <v>1.024</v>
      </c>
    </row>
    <row r="115" spans="2:6" x14ac:dyDescent="0.3">
      <c r="B115" s="6">
        <v>112</v>
      </c>
      <c r="C115" s="9">
        <v>1.119</v>
      </c>
      <c r="D115" s="9">
        <v>1.1060000000000001</v>
      </c>
      <c r="E115" s="9">
        <v>1.1060000000000001</v>
      </c>
      <c r="F115" s="9">
        <v>1.0940000000000001</v>
      </c>
    </row>
    <row r="116" spans="2:6" x14ac:dyDescent="0.3">
      <c r="B116" s="6">
        <v>113</v>
      </c>
      <c r="C116" s="9">
        <v>1.24</v>
      </c>
      <c r="D116" s="9">
        <v>1.2150000000000001</v>
      </c>
      <c r="E116" s="9">
        <v>1.2150000000000001</v>
      </c>
      <c r="F116" s="9">
        <v>1.1990000000000001</v>
      </c>
    </row>
    <row r="117" spans="2:6" x14ac:dyDescent="0.3">
      <c r="B117" s="6">
        <v>114</v>
      </c>
      <c r="C117" s="9">
        <v>1.4159999999999999</v>
      </c>
      <c r="D117" s="9">
        <v>1.37</v>
      </c>
      <c r="E117" s="9">
        <v>1.37</v>
      </c>
      <c r="F117" s="9">
        <v>1.349</v>
      </c>
    </row>
    <row r="118" spans="2:6" x14ac:dyDescent="0.3">
      <c r="B118" s="6">
        <v>115</v>
      </c>
      <c r="C118" s="9">
        <v>1.6459999999999999</v>
      </c>
      <c r="D118" s="9">
        <v>1.57</v>
      </c>
      <c r="E118" s="9">
        <v>1.569</v>
      </c>
      <c r="F118" s="9">
        <v>1.544</v>
      </c>
    </row>
    <row r="119" spans="2:6" x14ac:dyDescent="0.3">
      <c r="B119" s="6">
        <v>116</v>
      </c>
      <c r="C119" s="9">
        <v>1.893</v>
      </c>
      <c r="D119" s="9">
        <v>1.788</v>
      </c>
      <c r="E119" s="9">
        <v>1.786</v>
      </c>
      <c r="F119" s="9">
        <v>1.7529999999999999</v>
      </c>
    </row>
    <row r="120" spans="2:6" x14ac:dyDescent="0.3">
      <c r="B120" s="6">
        <v>117</v>
      </c>
      <c r="C120" s="9">
        <v>2.153</v>
      </c>
      <c r="D120" s="9">
        <v>2.0209999999999999</v>
      </c>
      <c r="E120" s="9">
        <v>2.0179999999999998</v>
      </c>
      <c r="F120" s="9">
        <v>1.9770000000000001</v>
      </c>
    </row>
    <row r="121" spans="2:6" x14ac:dyDescent="0.3">
      <c r="B121" s="6">
        <v>118</v>
      </c>
      <c r="C121" s="9">
        <v>2.4129999999999998</v>
      </c>
      <c r="D121" s="9">
        <v>2.2650000000000001</v>
      </c>
      <c r="E121" s="9">
        <v>2.2599999999999998</v>
      </c>
      <c r="F121" s="9">
        <v>2.2080000000000002</v>
      </c>
    </row>
    <row r="122" spans="2:6" x14ac:dyDescent="0.3">
      <c r="B122" s="6">
        <v>119</v>
      </c>
      <c r="C122" s="9">
        <v>2.4849999999999999</v>
      </c>
      <c r="D122" s="9">
        <v>2.3069999999999999</v>
      </c>
      <c r="E122" s="9">
        <v>2.3050000000000002</v>
      </c>
      <c r="F122" s="9">
        <v>2.2429999999999999</v>
      </c>
    </row>
    <row r="123" spans="2:6" x14ac:dyDescent="0.3">
      <c r="B123" s="6">
        <v>120</v>
      </c>
      <c r="C123" s="9">
        <v>2.1920000000000002</v>
      </c>
      <c r="D123" s="9">
        <v>2.0419999999999998</v>
      </c>
      <c r="E123" s="9">
        <v>2.0409999999999999</v>
      </c>
      <c r="F123" s="9">
        <v>1.9910000000000001</v>
      </c>
    </row>
    <row r="124" spans="2:6" x14ac:dyDescent="0.3">
      <c r="B124" s="6">
        <v>121</v>
      </c>
      <c r="C124" s="9">
        <v>1.919</v>
      </c>
      <c r="D124" s="9">
        <v>1.802</v>
      </c>
      <c r="E124" s="9">
        <v>1.802</v>
      </c>
      <c r="F124" s="9">
        <v>1.7589999999999999</v>
      </c>
    </row>
    <row r="125" spans="2:6" x14ac:dyDescent="0.3">
      <c r="B125" s="6">
        <v>122</v>
      </c>
      <c r="C125" s="9">
        <v>1.6679999999999999</v>
      </c>
      <c r="D125" s="9">
        <v>1.583</v>
      </c>
      <c r="E125" s="9">
        <v>1.583</v>
      </c>
      <c r="F125" s="9">
        <v>1.548</v>
      </c>
    </row>
    <row r="126" spans="2:6" x14ac:dyDescent="0.3">
      <c r="B126" s="6">
        <v>123</v>
      </c>
      <c r="C126" s="9">
        <v>1.4379999999999999</v>
      </c>
      <c r="D126" s="9">
        <v>1.383</v>
      </c>
      <c r="E126" s="9">
        <v>1.383</v>
      </c>
      <c r="F126" s="9">
        <v>1.355</v>
      </c>
    </row>
    <row r="127" spans="2:6" x14ac:dyDescent="0.3">
      <c r="B127" s="6">
        <v>124</v>
      </c>
      <c r="C127" s="9">
        <v>1.26</v>
      </c>
      <c r="D127" s="9">
        <v>1.2250000000000001</v>
      </c>
      <c r="E127" s="9">
        <v>1.226</v>
      </c>
      <c r="F127" s="9">
        <v>1.2050000000000001</v>
      </c>
    </row>
    <row r="128" spans="2:6" x14ac:dyDescent="0.3">
      <c r="B128" s="6">
        <v>125</v>
      </c>
      <c r="C128" s="9">
        <v>1.1359999999999999</v>
      </c>
      <c r="D128" s="9">
        <v>1.1140000000000001</v>
      </c>
      <c r="E128" s="9">
        <v>1.115</v>
      </c>
      <c r="F128" s="9">
        <v>1.1000000000000001</v>
      </c>
    </row>
    <row r="129" spans="2:6" x14ac:dyDescent="0.3">
      <c r="B129" s="6">
        <v>126</v>
      </c>
      <c r="C129" s="9">
        <v>1.0549999999999999</v>
      </c>
      <c r="D129" s="9">
        <v>1.042</v>
      </c>
      <c r="E129" s="9">
        <v>1.042</v>
      </c>
      <c r="F129" s="9">
        <v>1.036</v>
      </c>
    </row>
    <row r="130" spans="2:6" x14ac:dyDescent="0.3">
      <c r="B130" s="6">
        <v>127</v>
      </c>
      <c r="C130" s="9">
        <v>1.028</v>
      </c>
      <c r="D130" s="9">
        <v>1.0209999999999999</v>
      </c>
      <c r="E130" s="9">
        <v>1.02</v>
      </c>
      <c r="F130" s="9">
        <v>1.0189999999999999</v>
      </c>
    </row>
    <row r="131" spans="2:6" x14ac:dyDescent="0.3">
      <c r="B131" s="6">
        <v>128</v>
      </c>
      <c r="C131" s="9">
        <v>1.0620000000000001</v>
      </c>
      <c r="D131" s="9">
        <v>1.05</v>
      </c>
      <c r="E131" s="9">
        <v>1.0489999999999999</v>
      </c>
      <c r="F131" s="9">
        <v>1.0429999999999999</v>
      </c>
    </row>
    <row r="132" spans="2:6" x14ac:dyDescent="0.3">
      <c r="B132" s="6">
        <v>129</v>
      </c>
      <c r="C132" s="9">
        <v>1.147</v>
      </c>
      <c r="D132" s="9">
        <v>1.1279999999999999</v>
      </c>
      <c r="E132" s="9">
        <v>1.1279999999999999</v>
      </c>
      <c r="F132" s="9">
        <v>1.1120000000000001</v>
      </c>
    </row>
    <row r="133" spans="2:6" x14ac:dyDescent="0.3">
      <c r="B133" s="6">
        <v>130</v>
      </c>
      <c r="C133" s="9">
        <v>1.2689999999999999</v>
      </c>
      <c r="D133" s="9">
        <v>1.2390000000000001</v>
      </c>
      <c r="E133" s="9">
        <v>1.238</v>
      </c>
      <c r="F133" s="9">
        <v>1.218</v>
      </c>
    </row>
    <row r="134" spans="2:6" x14ac:dyDescent="0.3">
      <c r="B134" s="6">
        <v>131</v>
      </c>
      <c r="C134" s="9">
        <v>1.448</v>
      </c>
      <c r="D134" s="9">
        <v>1.397</v>
      </c>
      <c r="E134" s="9">
        <v>1.3959999999999999</v>
      </c>
      <c r="F134" s="9">
        <v>1.371</v>
      </c>
    </row>
    <row r="135" spans="2:6" x14ac:dyDescent="0.3">
      <c r="B135" s="6">
        <v>132</v>
      </c>
      <c r="C135" s="9">
        <v>1.673</v>
      </c>
      <c r="D135" s="9">
        <v>1.5960000000000001</v>
      </c>
      <c r="E135" s="9">
        <v>1.5940000000000001</v>
      </c>
      <c r="F135" s="9">
        <v>1.5640000000000001</v>
      </c>
    </row>
    <row r="136" spans="2:6" x14ac:dyDescent="0.3">
      <c r="B136" s="6">
        <v>133</v>
      </c>
      <c r="C136" s="9">
        <v>1.9179999999999999</v>
      </c>
      <c r="D136" s="9">
        <v>1.81</v>
      </c>
      <c r="E136" s="9">
        <v>1.8080000000000001</v>
      </c>
      <c r="F136" s="9">
        <v>1.774</v>
      </c>
    </row>
    <row r="137" spans="2:6" x14ac:dyDescent="0.3">
      <c r="B137" s="6">
        <v>134</v>
      </c>
      <c r="C137" s="9">
        <v>2.17</v>
      </c>
      <c r="D137" s="9">
        <v>2.0379999999999998</v>
      </c>
      <c r="E137" s="9">
        <v>2.0339999999999998</v>
      </c>
      <c r="F137" s="9">
        <v>1.992</v>
      </c>
    </row>
    <row r="138" spans="2:6" x14ac:dyDescent="0.3">
      <c r="B138" s="6">
        <v>135</v>
      </c>
      <c r="C138" s="9">
        <v>2.423</v>
      </c>
      <c r="D138" s="9">
        <v>2.2770000000000001</v>
      </c>
      <c r="E138" s="9">
        <v>2.2719999999999998</v>
      </c>
      <c r="F138" s="9">
        <v>2.2170000000000001</v>
      </c>
    </row>
    <row r="139" spans="2:6" x14ac:dyDescent="0.3">
      <c r="B139" s="6">
        <v>136</v>
      </c>
      <c r="C139" s="9">
        <v>2.548</v>
      </c>
      <c r="D139" s="9">
        <v>2.3690000000000002</v>
      </c>
      <c r="E139" s="9">
        <v>2.367</v>
      </c>
      <c r="F139" s="9">
        <v>2.2999999999999998</v>
      </c>
    </row>
    <row r="140" spans="2:6" x14ac:dyDescent="0.3">
      <c r="B140" s="6">
        <v>137</v>
      </c>
      <c r="C140" s="9">
        <v>2.2599999999999998</v>
      </c>
      <c r="D140" s="9">
        <v>2.1070000000000002</v>
      </c>
      <c r="E140" s="9">
        <v>2.105</v>
      </c>
      <c r="F140" s="9">
        <v>2.0499999999999998</v>
      </c>
    </row>
    <row r="141" spans="2:6" x14ac:dyDescent="0.3">
      <c r="B141" s="6">
        <v>138</v>
      </c>
      <c r="C141" s="9">
        <v>1.9970000000000001</v>
      </c>
      <c r="D141" s="9">
        <v>1.873</v>
      </c>
      <c r="E141" s="9">
        <v>1.8720000000000001</v>
      </c>
      <c r="F141" s="9">
        <v>1.8260000000000001</v>
      </c>
    </row>
    <row r="142" spans="2:6" x14ac:dyDescent="0.3">
      <c r="B142" s="6">
        <v>139</v>
      </c>
      <c r="C142" s="9">
        <v>1.752</v>
      </c>
      <c r="D142" s="9">
        <v>1.6559999999999999</v>
      </c>
      <c r="E142" s="9">
        <v>1.6559999999999999</v>
      </c>
      <c r="F142" s="9">
        <v>1.615</v>
      </c>
    </row>
    <row r="143" spans="2:6" x14ac:dyDescent="0.3">
      <c r="B143" s="6">
        <v>140</v>
      </c>
      <c r="C143" s="9">
        <v>1.5269999999999999</v>
      </c>
      <c r="D143" s="9">
        <v>1.46</v>
      </c>
      <c r="E143" s="9">
        <v>1.4590000000000001</v>
      </c>
      <c r="F143" s="9">
        <v>1.4219999999999999</v>
      </c>
    </row>
    <row r="144" spans="2:6" x14ac:dyDescent="0.3">
      <c r="B144" s="6">
        <v>141</v>
      </c>
      <c r="C144" s="9">
        <v>1.3420000000000001</v>
      </c>
      <c r="D144" s="9">
        <v>1.296</v>
      </c>
      <c r="E144" s="9">
        <v>1.296</v>
      </c>
      <c r="F144" s="9">
        <v>1.2649999999999999</v>
      </c>
    </row>
    <row r="145" spans="2:6" x14ac:dyDescent="0.3">
      <c r="B145" s="6">
        <v>142</v>
      </c>
      <c r="C145" s="9">
        <v>1.216</v>
      </c>
      <c r="D145" s="9">
        <v>1.1839999999999999</v>
      </c>
      <c r="E145" s="9">
        <v>1.1839999999999999</v>
      </c>
      <c r="F145" s="9">
        <v>1.1599999999999999</v>
      </c>
    </row>
    <row r="146" spans="2:6" x14ac:dyDescent="0.3">
      <c r="B146" s="6">
        <v>143</v>
      </c>
      <c r="C146" s="9">
        <v>1.1379999999999999</v>
      </c>
      <c r="D146" s="9">
        <v>1.1160000000000001</v>
      </c>
      <c r="E146" s="9">
        <v>1.115</v>
      </c>
      <c r="F146" s="9">
        <v>1.1000000000000001</v>
      </c>
    </row>
    <row r="147" spans="2:6" x14ac:dyDescent="0.3">
      <c r="B147" s="6">
        <v>144</v>
      </c>
      <c r="C147" s="9">
        <v>1.111</v>
      </c>
      <c r="D147" s="9">
        <v>1.095</v>
      </c>
      <c r="E147" s="9">
        <v>1.0940000000000001</v>
      </c>
      <c r="F147" s="9">
        <v>1.083</v>
      </c>
    </row>
    <row r="148" spans="2:6" x14ac:dyDescent="0.3">
      <c r="B148" s="6">
        <v>145</v>
      </c>
      <c r="C148" s="9">
        <v>1.1399999999999999</v>
      </c>
      <c r="D148" s="9">
        <v>1.1200000000000001</v>
      </c>
      <c r="E148" s="9">
        <v>1.119</v>
      </c>
      <c r="F148" s="9">
        <v>1.1040000000000001</v>
      </c>
    </row>
    <row r="149" spans="2:6" x14ac:dyDescent="0.3">
      <c r="B149" s="6">
        <v>146</v>
      </c>
      <c r="C149" s="9">
        <v>1.22</v>
      </c>
      <c r="D149" s="9">
        <v>1.19</v>
      </c>
      <c r="E149" s="9">
        <v>1.1890000000000001</v>
      </c>
      <c r="F149" s="9">
        <v>1.167</v>
      </c>
    </row>
    <row r="150" spans="2:6" x14ac:dyDescent="0.3">
      <c r="B150" s="6">
        <v>147</v>
      </c>
      <c r="C150" s="9">
        <v>1.347</v>
      </c>
      <c r="D150" s="9">
        <v>1.3049999999999999</v>
      </c>
      <c r="E150" s="9">
        <v>1.3029999999999999</v>
      </c>
      <c r="F150" s="9">
        <v>1.276</v>
      </c>
    </row>
    <row r="151" spans="2:6" x14ac:dyDescent="0.3">
      <c r="B151" s="6">
        <v>148</v>
      </c>
      <c r="C151" s="9">
        <v>1.534</v>
      </c>
      <c r="D151" s="9">
        <v>1.4710000000000001</v>
      </c>
      <c r="E151" s="9">
        <v>1.4690000000000001</v>
      </c>
      <c r="F151" s="9">
        <v>1.4359999999999999</v>
      </c>
    </row>
    <row r="152" spans="2:6" x14ac:dyDescent="0.3">
      <c r="B152" s="6">
        <v>149</v>
      </c>
      <c r="C152" s="9">
        <v>1.7569999999999999</v>
      </c>
      <c r="D152" s="9">
        <v>1.667</v>
      </c>
      <c r="E152" s="9">
        <v>1.6639999999999999</v>
      </c>
      <c r="F152" s="9">
        <v>1.63</v>
      </c>
    </row>
    <row r="153" spans="2:6" x14ac:dyDescent="0.3">
      <c r="B153" s="6">
        <v>150</v>
      </c>
      <c r="C153" s="9">
        <v>1.9950000000000001</v>
      </c>
      <c r="D153" s="9">
        <v>1.879</v>
      </c>
      <c r="E153" s="9">
        <v>1.875</v>
      </c>
      <c r="F153" s="9">
        <v>1.839</v>
      </c>
    </row>
    <row r="154" spans="2:6" x14ac:dyDescent="0.3">
      <c r="B154" s="6">
        <v>151</v>
      </c>
      <c r="C154" s="9">
        <v>2.242</v>
      </c>
      <c r="D154" s="9">
        <v>2.1040000000000001</v>
      </c>
      <c r="E154" s="9">
        <v>2.1</v>
      </c>
      <c r="F154" s="9">
        <v>2.0550000000000002</v>
      </c>
    </row>
    <row r="155" spans="2:6" x14ac:dyDescent="0.3">
      <c r="B155" s="6">
        <v>152</v>
      </c>
      <c r="C155" s="9">
        <v>2.5</v>
      </c>
      <c r="D155" s="9">
        <v>2.3519999999999999</v>
      </c>
      <c r="E155" s="9">
        <v>2.3450000000000002</v>
      </c>
      <c r="F155" s="9">
        <v>2.2850000000000001</v>
      </c>
    </row>
    <row r="156" spans="2:6" x14ac:dyDescent="0.3">
      <c r="B156" s="6">
        <v>153</v>
      </c>
      <c r="C156" s="9">
        <v>2.6589999999999998</v>
      </c>
      <c r="D156" s="9">
        <v>2.4790000000000001</v>
      </c>
      <c r="E156" s="9">
        <v>2.476</v>
      </c>
      <c r="F156" s="9">
        <v>2.4009999999999998</v>
      </c>
    </row>
    <row r="157" spans="2:6" x14ac:dyDescent="0.3">
      <c r="B157" s="6">
        <v>154</v>
      </c>
      <c r="C157" s="9">
        <v>2.35</v>
      </c>
      <c r="D157" s="9">
        <v>2.1930000000000001</v>
      </c>
      <c r="E157" s="9">
        <v>2.19</v>
      </c>
      <c r="F157" s="9">
        <v>2.13</v>
      </c>
    </row>
    <row r="158" spans="2:6" x14ac:dyDescent="0.3">
      <c r="B158" s="6">
        <v>155</v>
      </c>
      <c r="C158" s="9">
        <v>2.1</v>
      </c>
      <c r="D158" s="9">
        <v>1.966</v>
      </c>
      <c r="E158" s="9">
        <v>1.964</v>
      </c>
      <c r="F158" s="9">
        <v>1.911</v>
      </c>
    </row>
    <row r="159" spans="2:6" x14ac:dyDescent="0.3">
      <c r="B159" s="6">
        <v>156</v>
      </c>
      <c r="C159" s="9">
        <v>1.8680000000000001</v>
      </c>
      <c r="D159" s="9">
        <v>1.76</v>
      </c>
      <c r="E159" s="9">
        <v>1.7589999999999999</v>
      </c>
      <c r="F159" s="9">
        <v>1.71</v>
      </c>
    </row>
    <row r="160" spans="2:6" x14ac:dyDescent="0.3">
      <c r="B160" s="6">
        <v>157</v>
      </c>
      <c r="C160" s="9">
        <v>1.659</v>
      </c>
      <c r="D160" s="9">
        <v>1.575</v>
      </c>
      <c r="E160" s="9">
        <v>1.5740000000000001</v>
      </c>
      <c r="F160" s="9">
        <v>1.5289999999999999</v>
      </c>
    </row>
    <row r="161" spans="2:6" x14ac:dyDescent="0.3">
      <c r="B161" s="6">
        <v>158</v>
      </c>
      <c r="C161" s="9">
        <v>1.4770000000000001</v>
      </c>
      <c r="D161" s="9">
        <v>1.415</v>
      </c>
      <c r="E161" s="9">
        <v>1.415</v>
      </c>
      <c r="F161" s="9">
        <v>1.375</v>
      </c>
    </row>
    <row r="162" spans="2:6" x14ac:dyDescent="0.3">
      <c r="B162" s="6">
        <v>159</v>
      </c>
      <c r="C162" s="9">
        <v>1.341</v>
      </c>
      <c r="D162" s="9">
        <v>1.2949999999999999</v>
      </c>
      <c r="E162" s="9">
        <v>1.2949999999999999</v>
      </c>
      <c r="F162" s="9">
        <v>1.262</v>
      </c>
    </row>
    <row r="163" spans="2:6" x14ac:dyDescent="0.3">
      <c r="B163" s="6">
        <v>160</v>
      </c>
      <c r="C163" s="9">
        <v>1.2589999999999999</v>
      </c>
      <c r="D163" s="9">
        <v>1.2270000000000001</v>
      </c>
      <c r="E163" s="9">
        <v>1.2250000000000001</v>
      </c>
      <c r="F163" s="9">
        <v>1.202</v>
      </c>
    </row>
    <row r="164" spans="2:6" x14ac:dyDescent="0.3">
      <c r="B164" s="6">
        <v>161</v>
      </c>
      <c r="C164" s="9">
        <v>1.2310000000000001</v>
      </c>
      <c r="D164" s="9">
        <v>1.204</v>
      </c>
      <c r="E164" s="9">
        <v>1.202</v>
      </c>
      <c r="F164" s="9">
        <v>1.1830000000000001</v>
      </c>
    </row>
    <row r="165" spans="2:6" x14ac:dyDescent="0.3">
      <c r="B165" s="6">
        <v>162</v>
      </c>
      <c r="C165" s="9">
        <v>1.2569999999999999</v>
      </c>
      <c r="D165" s="9">
        <v>1.226</v>
      </c>
      <c r="E165" s="9">
        <v>1.224</v>
      </c>
      <c r="F165" s="9">
        <v>1.202</v>
      </c>
    </row>
    <row r="166" spans="2:6" x14ac:dyDescent="0.3">
      <c r="B166" s="6">
        <v>163</v>
      </c>
      <c r="C166" s="9">
        <v>1.3360000000000001</v>
      </c>
      <c r="D166" s="9">
        <v>1.2949999999999999</v>
      </c>
      <c r="E166" s="9">
        <v>1.2929999999999999</v>
      </c>
      <c r="F166" s="9">
        <v>1.2629999999999999</v>
      </c>
    </row>
    <row r="167" spans="2:6" x14ac:dyDescent="0.3">
      <c r="B167" s="6">
        <v>164</v>
      </c>
      <c r="C167" s="9">
        <v>1.47</v>
      </c>
      <c r="D167" s="9">
        <v>1.413</v>
      </c>
      <c r="E167" s="9">
        <v>1.411</v>
      </c>
      <c r="F167" s="9">
        <v>1.377</v>
      </c>
    </row>
    <row r="168" spans="2:6" x14ac:dyDescent="0.3">
      <c r="B168" s="6">
        <v>165</v>
      </c>
      <c r="C168" s="9">
        <v>1.651</v>
      </c>
      <c r="D168" s="9">
        <v>1.5740000000000001</v>
      </c>
      <c r="E168" s="9">
        <v>1.5720000000000001</v>
      </c>
      <c r="F168" s="9">
        <v>1.5329999999999999</v>
      </c>
    </row>
    <row r="169" spans="2:6" x14ac:dyDescent="0.3">
      <c r="B169" s="6">
        <v>166</v>
      </c>
      <c r="C169" s="9">
        <v>1.8660000000000001</v>
      </c>
      <c r="D169" s="9">
        <v>1.764</v>
      </c>
      <c r="E169" s="9">
        <v>1.76</v>
      </c>
      <c r="F169" s="9">
        <v>1.72</v>
      </c>
    </row>
    <row r="170" spans="2:6" x14ac:dyDescent="0.3">
      <c r="B170" s="6">
        <v>167</v>
      </c>
      <c r="C170" s="9">
        <v>2.0990000000000002</v>
      </c>
      <c r="D170" s="9">
        <v>1.972</v>
      </c>
      <c r="E170" s="9">
        <v>1.968</v>
      </c>
      <c r="F170" s="9">
        <v>1.9239999999999999</v>
      </c>
    </row>
    <row r="171" spans="2:6" x14ac:dyDescent="0.3">
      <c r="B171" s="6">
        <v>168</v>
      </c>
      <c r="C171" s="9">
        <v>2.3420000000000001</v>
      </c>
      <c r="D171" s="9">
        <v>2.1960000000000002</v>
      </c>
      <c r="E171" s="9">
        <v>2.1909999999999998</v>
      </c>
      <c r="F171" s="9">
        <v>2.1379999999999999</v>
      </c>
    </row>
    <row r="172" spans="2:6" x14ac:dyDescent="0.3">
      <c r="B172" s="6">
        <v>169</v>
      </c>
      <c r="C172" s="9">
        <v>2.6320000000000001</v>
      </c>
      <c r="D172" s="9">
        <v>2.4780000000000002</v>
      </c>
      <c r="E172" s="9">
        <v>2.4700000000000002</v>
      </c>
      <c r="F172" s="9">
        <v>2.4020000000000001</v>
      </c>
    </row>
    <row r="173" spans="2:6" x14ac:dyDescent="0.3">
      <c r="B173" s="6">
        <v>170</v>
      </c>
      <c r="C173" s="9">
        <v>2.867</v>
      </c>
      <c r="D173" s="9">
        <v>2.6680000000000001</v>
      </c>
      <c r="E173" s="9">
        <v>2.665</v>
      </c>
      <c r="F173" s="9">
        <v>2.5790000000000002</v>
      </c>
    </row>
    <row r="174" spans="2:6" x14ac:dyDescent="0.3">
      <c r="B174" s="6">
        <v>171</v>
      </c>
      <c r="C174" s="9">
        <v>2.4990000000000001</v>
      </c>
      <c r="D174" s="9">
        <v>2.331</v>
      </c>
      <c r="E174" s="9">
        <v>2.3290000000000002</v>
      </c>
      <c r="F174" s="9">
        <v>2.2559999999999998</v>
      </c>
    </row>
    <row r="175" spans="2:6" x14ac:dyDescent="0.3">
      <c r="B175" s="6">
        <v>172</v>
      </c>
      <c r="C175" s="9">
        <v>2.2349999999999999</v>
      </c>
      <c r="D175" s="9">
        <v>2.0910000000000002</v>
      </c>
      <c r="E175" s="9">
        <v>2.089</v>
      </c>
      <c r="F175" s="9">
        <v>2.028</v>
      </c>
    </row>
    <row r="176" spans="2:6" x14ac:dyDescent="0.3">
      <c r="B176" s="6">
        <v>173</v>
      </c>
      <c r="C176" s="9">
        <v>2.0190000000000001</v>
      </c>
      <c r="D176" s="9">
        <v>1.8939999999999999</v>
      </c>
      <c r="E176" s="9">
        <v>1.893</v>
      </c>
      <c r="F176" s="9">
        <v>1.837</v>
      </c>
    </row>
    <row r="177" spans="2:6" x14ac:dyDescent="0.3">
      <c r="B177" s="6">
        <v>174</v>
      </c>
      <c r="C177" s="9">
        <v>1.82</v>
      </c>
      <c r="D177" s="9">
        <v>1.7190000000000001</v>
      </c>
      <c r="E177" s="9">
        <v>1.718</v>
      </c>
      <c r="F177" s="9">
        <v>1.667</v>
      </c>
    </row>
    <row r="178" spans="2:6" x14ac:dyDescent="0.3">
      <c r="B178" s="6">
        <v>175</v>
      </c>
      <c r="C178" s="9">
        <v>1.6559999999999999</v>
      </c>
      <c r="D178" s="9">
        <v>1.5740000000000001</v>
      </c>
      <c r="E178" s="9">
        <v>1.573</v>
      </c>
      <c r="F178" s="9">
        <v>1.5269999999999999</v>
      </c>
    </row>
    <row r="179" spans="2:6" x14ac:dyDescent="0.3">
      <c r="B179" s="6">
        <v>176</v>
      </c>
      <c r="C179" s="9">
        <v>1.5249999999999999</v>
      </c>
      <c r="D179" s="9">
        <v>1.46</v>
      </c>
      <c r="E179" s="9">
        <v>1.4590000000000001</v>
      </c>
      <c r="F179" s="9">
        <v>1.42</v>
      </c>
    </row>
    <row r="180" spans="2:6" x14ac:dyDescent="0.3">
      <c r="B180" s="6">
        <v>177</v>
      </c>
      <c r="C180" s="9">
        <v>1.4410000000000001</v>
      </c>
      <c r="D180" s="9">
        <v>1.3879999999999999</v>
      </c>
      <c r="E180" s="9">
        <v>1.3859999999999999</v>
      </c>
      <c r="F180" s="9">
        <v>1.3540000000000001</v>
      </c>
    </row>
    <row r="181" spans="2:6" x14ac:dyDescent="0.3">
      <c r="B181" s="6">
        <v>178</v>
      </c>
      <c r="C181" s="9">
        <v>1.4119999999999999</v>
      </c>
      <c r="D181" s="9">
        <v>1.363</v>
      </c>
      <c r="E181" s="9">
        <v>1.36</v>
      </c>
      <c r="F181" s="9">
        <v>1.3340000000000001</v>
      </c>
    </row>
    <row r="182" spans="2:6" x14ac:dyDescent="0.3">
      <c r="B182" s="6">
        <v>179</v>
      </c>
      <c r="C182" s="9">
        <v>1.4370000000000001</v>
      </c>
      <c r="D182" s="9">
        <v>1.387</v>
      </c>
      <c r="E182" s="9">
        <v>1.3839999999999999</v>
      </c>
      <c r="F182" s="9">
        <v>1.353</v>
      </c>
    </row>
    <row r="183" spans="2:6" x14ac:dyDescent="0.3">
      <c r="B183" s="6">
        <v>180</v>
      </c>
      <c r="C183" s="9">
        <v>1.5209999999999999</v>
      </c>
      <c r="D183" s="9">
        <v>1.46</v>
      </c>
      <c r="E183" s="9">
        <v>1.458</v>
      </c>
      <c r="F183" s="9">
        <v>1.42</v>
      </c>
    </row>
    <row r="184" spans="2:6" x14ac:dyDescent="0.3">
      <c r="B184" s="6">
        <v>181</v>
      </c>
      <c r="C184" s="9">
        <v>1.65</v>
      </c>
      <c r="D184" s="9">
        <v>1.5740000000000001</v>
      </c>
      <c r="E184" s="9">
        <v>1.5720000000000001</v>
      </c>
      <c r="F184" s="9">
        <v>1.53</v>
      </c>
    </row>
    <row r="185" spans="2:6" x14ac:dyDescent="0.3">
      <c r="B185" s="6">
        <v>182</v>
      </c>
      <c r="C185" s="9">
        <v>1.8129999999999999</v>
      </c>
      <c r="D185" s="9">
        <v>1.7190000000000001</v>
      </c>
      <c r="E185" s="9">
        <v>1.716</v>
      </c>
      <c r="F185" s="9">
        <v>1.673</v>
      </c>
    </row>
    <row r="186" spans="2:6" x14ac:dyDescent="0.3">
      <c r="B186" s="6">
        <v>183</v>
      </c>
      <c r="C186" s="9">
        <v>2.0129999999999999</v>
      </c>
      <c r="D186" s="9">
        <v>1.8959999999999999</v>
      </c>
      <c r="E186" s="9">
        <v>1.8919999999999999</v>
      </c>
      <c r="F186" s="9">
        <v>1.8480000000000001</v>
      </c>
    </row>
    <row r="187" spans="2:6" x14ac:dyDescent="0.3">
      <c r="B187" s="6">
        <v>184</v>
      </c>
      <c r="C187" s="9">
        <v>2.2269999999999999</v>
      </c>
      <c r="D187" s="9">
        <v>2.09</v>
      </c>
      <c r="E187" s="9">
        <v>2.0859999999999999</v>
      </c>
      <c r="F187" s="9">
        <v>2.0329999999999999</v>
      </c>
    </row>
    <row r="188" spans="2:6" x14ac:dyDescent="0.3">
      <c r="B188" s="6">
        <v>185</v>
      </c>
      <c r="C188" s="9">
        <v>2.4820000000000002</v>
      </c>
      <c r="D188" s="9">
        <v>2.3290000000000002</v>
      </c>
      <c r="E188" s="9">
        <v>2.3239999999999998</v>
      </c>
      <c r="F188" s="9">
        <v>2.258</v>
      </c>
    </row>
    <row r="189" spans="2:6" x14ac:dyDescent="0.3">
      <c r="B189" s="6">
        <v>186</v>
      </c>
      <c r="C189" s="9">
        <v>2.819</v>
      </c>
      <c r="D189" s="9">
        <v>2.6589999999999998</v>
      </c>
      <c r="E189" s="9">
        <v>2.6509999999999998</v>
      </c>
      <c r="F189" s="9">
        <v>2.5649999999999999</v>
      </c>
    </row>
    <row r="190" spans="2:6" x14ac:dyDescent="0.3">
      <c r="B190" s="6">
        <v>187</v>
      </c>
      <c r="C190" s="9">
        <v>3.081</v>
      </c>
      <c r="D190" s="9">
        <v>2.8780000000000001</v>
      </c>
      <c r="E190" s="9">
        <v>2.8730000000000002</v>
      </c>
      <c r="F190" s="9">
        <v>2.7709999999999999</v>
      </c>
    </row>
    <row r="191" spans="2:6" x14ac:dyDescent="0.3">
      <c r="B191" s="6">
        <v>188</v>
      </c>
      <c r="C191" s="9">
        <v>2.718</v>
      </c>
      <c r="D191" s="9">
        <v>2.5369999999999999</v>
      </c>
      <c r="E191" s="9">
        <v>2.5339999999999998</v>
      </c>
      <c r="F191" s="9">
        <v>2.4470000000000001</v>
      </c>
    </row>
    <row r="192" spans="2:6" x14ac:dyDescent="0.3">
      <c r="B192" s="6">
        <v>189</v>
      </c>
      <c r="C192" s="9">
        <v>2.4140000000000001</v>
      </c>
      <c r="D192" s="9">
        <v>2.2559999999999998</v>
      </c>
      <c r="E192" s="9">
        <v>2.254</v>
      </c>
      <c r="F192" s="9">
        <v>2.1829999999999998</v>
      </c>
    </row>
    <row r="193" spans="2:6" x14ac:dyDescent="0.3">
      <c r="B193" s="6">
        <v>190</v>
      </c>
      <c r="C193" s="9">
        <v>2.202</v>
      </c>
      <c r="D193" s="9">
        <v>2.0630000000000002</v>
      </c>
      <c r="E193" s="9">
        <v>2.0619999999999998</v>
      </c>
      <c r="F193" s="9">
        <v>1.9970000000000001</v>
      </c>
    </row>
    <row r="194" spans="2:6" x14ac:dyDescent="0.3">
      <c r="B194" s="6">
        <v>191</v>
      </c>
      <c r="C194" s="9">
        <v>2.0169999999999999</v>
      </c>
      <c r="D194" s="9">
        <v>1.897</v>
      </c>
      <c r="E194" s="9">
        <v>1.897</v>
      </c>
      <c r="F194" s="9">
        <v>1.837</v>
      </c>
    </row>
    <row r="195" spans="2:6" x14ac:dyDescent="0.3">
      <c r="B195" s="6">
        <v>192</v>
      </c>
      <c r="C195" s="9">
        <v>1.861</v>
      </c>
      <c r="D195" s="9">
        <v>1.758</v>
      </c>
      <c r="E195" s="9">
        <v>1.758</v>
      </c>
      <c r="F195" s="9">
        <v>1.704</v>
      </c>
    </row>
    <row r="196" spans="2:6" x14ac:dyDescent="0.3">
      <c r="B196" s="6">
        <v>193</v>
      </c>
      <c r="C196" s="9">
        <v>1.7430000000000001</v>
      </c>
      <c r="D196" s="9">
        <v>1.6559999999999999</v>
      </c>
      <c r="E196" s="9">
        <v>1.655</v>
      </c>
      <c r="F196" s="9">
        <v>1.607</v>
      </c>
    </row>
    <row r="197" spans="2:6" x14ac:dyDescent="0.3">
      <c r="B197" s="6">
        <v>194</v>
      </c>
      <c r="C197" s="9">
        <v>1.669</v>
      </c>
      <c r="D197" s="9">
        <v>1.591</v>
      </c>
      <c r="E197" s="9">
        <v>1.59</v>
      </c>
      <c r="F197" s="9">
        <v>1.548</v>
      </c>
    </row>
    <row r="198" spans="2:6" x14ac:dyDescent="0.3">
      <c r="B198" s="6">
        <v>195</v>
      </c>
      <c r="C198" s="9">
        <v>1.647</v>
      </c>
      <c r="D198" s="9">
        <v>1.571</v>
      </c>
      <c r="E198" s="9">
        <v>1.569</v>
      </c>
      <c r="F198" s="9">
        <v>1.532</v>
      </c>
    </row>
    <row r="199" spans="2:6" x14ac:dyDescent="0.3">
      <c r="B199" s="6">
        <v>196</v>
      </c>
      <c r="C199" s="9">
        <v>1.675</v>
      </c>
      <c r="D199" s="9">
        <v>1.5960000000000001</v>
      </c>
      <c r="E199" s="9">
        <v>1.5940000000000001</v>
      </c>
      <c r="F199" s="9">
        <v>1.554</v>
      </c>
    </row>
    <row r="200" spans="2:6" x14ac:dyDescent="0.3">
      <c r="B200" s="6">
        <v>197</v>
      </c>
      <c r="C200" s="9">
        <v>1.7529999999999999</v>
      </c>
      <c r="D200" s="9">
        <v>1.667</v>
      </c>
      <c r="E200" s="9">
        <v>1.665</v>
      </c>
      <c r="F200" s="9">
        <v>1.619</v>
      </c>
    </row>
    <row r="201" spans="2:6" x14ac:dyDescent="0.3">
      <c r="B201" s="6">
        <v>198</v>
      </c>
      <c r="C201" s="9">
        <v>1.869</v>
      </c>
      <c r="D201" s="9">
        <v>1.7689999999999999</v>
      </c>
      <c r="E201" s="9">
        <v>1.7669999999999999</v>
      </c>
      <c r="F201" s="9">
        <v>1.7170000000000001</v>
      </c>
    </row>
    <row r="202" spans="2:6" x14ac:dyDescent="0.3">
      <c r="B202" s="6">
        <v>199</v>
      </c>
      <c r="C202" s="9">
        <v>2.0190000000000001</v>
      </c>
      <c r="D202" s="9">
        <v>1.903</v>
      </c>
      <c r="E202" s="9">
        <v>1.901</v>
      </c>
      <c r="F202" s="9">
        <v>1.849</v>
      </c>
    </row>
    <row r="203" spans="2:6" x14ac:dyDescent="0.3">
      <c r="B203" s="6">
        <v>200</v>
      </c>
      <c r="C203" s="9">
        <v>2.1949999999999998</v>
      </c>
      <c r="D203" s="9">
        <v>2.0609999999999999</v>
      </c>
      <c r="E203" s="9">
        <v>2.0579999999999998</v>
      </c>
      <c r="F203" s="9">
        <v>2.0019999999999998</v>
      </c>
    </row>
    <row r="204" spans="2:6" x14ac:dyDescent="0.3">
      <c r="B204" s="6">
        <v>201</v>
      </c>
      <c r="C204" s="9">
        <v>2.3940000000000001</v>
      </c>
      <c r="D204" s="9">
        <v>2.2429999999999999</v>
      </c>
      <c r="E204" s="9">
        <v>2.2389999999999999</v>
      </c>
      <c r="F204" s="9">
        <v>2.177</v>
      </c>
    </row>
    <row r="205" spans="2:6" x14ac:dyDescent="0.3">
      <c r="B205" s="6">
        <v>202</v>
      </c>
      <c r="C205" s="9">
        <v>2.68</v>
      </c>
      <c r="D205" s="9">
        <v>2.5129999999999999</v>
      </c>
      <c r="E205" s="9">
        <v>2.5070000000000001</v>
      </c>
      <c r="F205" s="9">
        <v>2.427</v>
      </c>
    </row>
    <row r="206" spans="2:6" x14ac:dyDescent="0.3">
      <c r="B206" s="6">
        <v>203</v>
      </c>
      <c r="C206" s="9">
        <v>2.9910000000000001</v>
      </c>
      <c r="D206" s="9">
        <v>2.8220000000000001</v>
      </c>
      <c r="E206" s="9">
        <v>2.8149999999999999</v>
      </c>
      <c r="F206" s="9">
        <v>2.7109999999999999</v>
      </c>
    </row>
    <row r="207" spans="2:6" x14ac:dyDescent="0.3">
      <c r="B207" s="6">
        <v>204</v>
      </c>
      <c r="C207" s="9">
        <v>3.2349999999999999</v>
      </c>
      <c r="D207" s="9">
        <v>3.0510000000000002</v>
      </c>
      <c r="E207" s="9">
        <v>3.0459999999999998</v>
      </c>
      <c r="F207" s="9">
        <v>2.9319999999999999</v>
      </c>
    </row>
    <row r="208" spans="2:6" x14ac:dyDescent="0.3">
      <c r="B208" s="6">
        <v>205</v>
      </c>
      <c r="C208" s="9">
        <v>2.9750000000000001</v>
      </c>
      <c r="D208" s="9">
        <v>2.7970000000000002</v>
      </c>
      <c r="E208" s="9">
        <v>2.7930000000000001</v>
      </c>
      <c r="F208" s="9">
        <v>2.6890000000000001</v>
      </c>
    </row>
    <row r="209" spans="1:89" x14ac:dyDescent="0.3">
      <c r="B209" s="6">
        <v>206</v>
      </c>
      <c r="C209" s="9">
        <v>2.6659999999999999</v>
      </c>
      <c r="D209" s="9">
        <v>2.5049999999999999</v>
      </c>
      <c r="E209" s="9">
        <v>2.5019999999999998</v>
      </c>
      <c r="F209" s="9">
        <v>2.415</v>
      </c>
    </row>
    <row r="210" spans="1:89" x14ac:dyDescent="0.3">
      <c r="B210" s="6">
        <v>207</v>
      </c>
      <c r="C210" s="9">
        <v>2.4159999999999999</v>
      </c>
      <c r="D210" s="9">
        <v>2.274</v>
      </c>
      <c r="E210" s="9">
        <v>2.2719999999999998</v>
      </c>
      <c r="F210" s="9">
        <v>2.1970000000000001</v>
      </c>
    </row>
    <row r="211" spans="1:89" x14ac:dyDescent="0.3">
      <c r="B211" s="6">
        <v>208</v>
      </c>
      <c r="C211" s="9">
        <v>2.2490000000000001</v>
      </c>
      <c r="D211" s="9">
        <v>2.12</v>
      </c>
      <c r="E211" s="9">
        <v>2.1190000000000002</v>
      </c>
      <c r="F211" s="9">
        <v>2.0489999999999999</v>
      </c>
    </row>
    <row r="212" spans="1:89" x14ac:dyDescent="0.3">
      <c r="B212" s="6">
        <v>209</v>
      </c>
      <c r="C212" s="9">
        <v>2.0990000000000002</v>
      </c>
      <c r="D212" s="9">
        <v>1.9850000000000001</v>
      </c>
      <c r="E212" s="9">
        <v>1.984</v>
      </c>
      <c r="F212" s="9">
        <v>1.921</v>
      </c>
    </row>
    <row r="213" spans="1:89" x14ac:dyDescent="0.3">
      <c r="B213" s="6">
        <v>210</v>
      </c>
      <c r="C213" s="9">
        <v>1.9870000000000001</v>
      </c>
      <c r="D213" s="9">
        <v>1.8819999999999999</v>
      </c>
      <c r="E213" s="9">
        <v>1.8819999999999999</v>
      </c>
      <c r="F213" s="9">
        <v>1.8240000000000001</v>
      </c>
    </row>
    <row r="214" spans="1:89" x14ac:dyDescent="0.3">
      <c r="B214" s="6">
        <v>211</v>
      </c>
      <c r="C214" s="9">
        <v>1.919</v>
      </c>
      <c r="D214" s="9">
        <v>1.821</v>
      </c>
      <c r="E214" s="9">
        <v>1.82</v>
      </c>
      <c r="F214" s="9">
        <v>1.7669999999999999</v>
      </c>
    </row>
    <row r="215" spans="1:89" x14ac:dyDescent="0.3">
      <c r="B215" s="6">
        <v>212</v>
      </c>
      <c r="C215" s="9">
        <v>1.9039999999999999</v>
      </c>
      <c r="D215" s="9">
        <v>1.804</v>
      </c>
      <c r="E215" s="9">
        <v>1.8029999999999999</v>
      </c>
      <c r="F215" s="9">
        <v>1.7509999999999999</v>
      </c>
    </row>
    <row r="216" spans="1:89" x14ac:dyDescent="0.3">
      <c r="B216" s="6">
        <v>213</v>
      </c>
      <c r="C216" s="9">
        <v>1.9279999999999999</v>
      </c>
      <c r="D216" s="9">
        <v>1.831</v>
      </c>
      <c r="E216" s="9">
        <v>1.829</v>
      </c>
      <c r="F216" s="9">
        <v>1.778</v>
      </c>
    </row>
    <row r="217" spans="1:89" x14ac:dyDescent="0.3">
      <c r="B217" s="6">
        <v>214</v>
      </c>
      <c r="C217" s="9">
        <v>2.012</v>
      </c>
      <c r="D217" s="9">
        <v>1.903</v>
      </c>
      <c r="E217" s="9">
        <v>1.901</v>
      </c>
      <c r="F217" s="9">
        <v>1.847</v>
      </c>
    </row>
    <row r="218" spans="1:89" x14ac:dyDescent="0.3">
      <c r="B218" s="6">
        <v>215</v>
      </c>
      <c r="C218" s="9">
        <v>2.1219999999999999</v>
      </c>
      <c r="D218" s="9">
        <v>2.0049999999999999</v>
      </c>
      <c r="E218" s="9">
        <v>2.0030000000000001</v>
      </c>
      <c r="F218" s="9">
        <v>1.946</v>
      </c>
    </row>
    <row r="219" spans="1:89" x14ac:dyDescent="0.3">
      <c r="B219" s="6">
        <v>216</v>
      </c>
      <c r="C219" s="9">
        <v>2.258</v>
      </c>
      <c r="D219" s="9">
        <v>2.1320000000000001</v>
      </c>
      <c r="E219" s="9">
        <v>2.129</v>
      </c>
      <c r="F219" s="9">
        <v>2.0649999999999999</v>
      </c>
    </row>
    <row r="220" spans="1:89" x14ac:dyDescent="0.3">
      <c r="B220" s="6">
        <v>217</v>
      </c>
      <c r="C220" s="9">
        <v>2.4129999999999998</v>
      </c>
      <c r="D220" s="9">
        <v>2.2719999999999998</v>
      </c>
      <c r="E220" s="9">
        <v>2.2690000000000001</v>
      </c>
      <c r="F220" s="9">
        <v>2.1970000000000001</v>
      </c>
    </row>
    <row r="221" spans="1:89" x14ac:dyDescent="0.3">
      <c r="B221" s="6">
        <v>218</v>
      </c>
      <c r="C221" s="9">
        <v>2.6349999999999998</v>
      </c>
      <c r="D221" s="9">
        <v>2.4849999999999999</v>
      </c>
      <c r="E221" s="9">
        <v>2.48</v>
      </c>
      <c r="F221" s="9">
        <v>2.3959999999999999</v>
      </c>
    </row>
    <row r="222" spans="1:89" x14ac:dyDescent="0.3">
      <c r="B222" s="6">
        <v>219</v>
      </c>
      <c r="C222" s="9">
        <v>2.8929999999999998</v>
      </c>
      <c r="D222" s="9">
        <v>2.7290000000000001</v>
      </c>
      <c r="E222" s="9">
        <v>2.7229999999999999</v>
      </c>
      <c r="F222" s="9">
        <v>2.6269999999999998</v>
      </c>
    </row>
    <row r="223" spans="1:89" x14ac:dyDescent="0.3">
      <c r="B223" s="6">
        <v>220</v>
      </c>
      <c r="C223" s="9">
        <v>3.0910000000000002</v>
      </c>
      <c r="D223" s="9">
        <v>2.9209999999999998</v>
      </c>
      <c r="E223" s="9">
        <v>2.915</v>
      </c>
      <c r="F223" s="9">
        <v>2.798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A7EA-80EC-4AF7-955F-9B6A29827049}">
  <sheetPr codeName="工作表13"/>
  <dimension ref="A2:CK280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239</v>
      </c>
      <c r="J2" s="2">
        <f ca="1">goldenOTP_check!J2*J58</f>
        <v>270</v>
      </c>
      <c r="K2" s="2">
        <f ca="1">goldenOTP_check!K2*K58</f>
        <v>317</v>
      </c>
      <c r="L2" s="2">
        <f ca="1">goldenOTP_check!L2*L58</f>
        <v>361</v>
      </c>
      <c r="M2" s="2">
        <f ca="1">goldenOTP_check!M2*M58</f>
        <v>408</v>
      </c>
      <c r="N2" s="2">
        <f ca="1">goldenOTP_check!N2*N58</f>
        <v>435</v>
      </c>
      <c r="O2" s="2">
        <f ca="1">goldenOTP_check!O2*O58</f>
        <v>470</v>
      </c>
      <c r="P2" s="2">
        <f ca="1">goldenOTP_check!P2*P58</f>
        <v>506</v>
      </c>
      <c r="Q2" s="2">
        <f ca="1">goldenOTP_check!Q2*Q58</f>
        <v>502</v>
      </c>
      <c r="R2" s="2">
        <f ca="1">goldenOTP_check!R2*R58</f>
        <v>506</v>
      </c>
      <c r="S2" s="2">
        <f ca="1">goldenOTP_check!S2*S58</f>
        <v>482</v>
      </c>
      <c r="T2" s="2">
        <f ca="1">goldenOTP_check!T2*T58</f>
        <v>451</v>
      </c>
      <c r="U2" s="2">
        <f ca="1">goldenOTP_check!U2*U58</f>
        <v>408</v>
      </c>
      <c r="V2" s="2">
        <f ca="1">goldenOTP_check!V2*V58</f>
        <v>361</v>
      </c>
      <c r="W2" s="2">
        <f ca="1">goldenOTP_check!W2*W58</f>
        <v>317</v>
      </c>
      <c r="X2" s="2">
        <f ca="1">goldenOTP_check!X2*X58</f>
        <v>270</v>
      </c>
      <c r="Y2" s="3">
        <f ca="1">goldenOTP_check!Y2*Y58</f>
        <v>239</v>
      </c>
      <c r="BA2"/>
      <c r="BB2"/>
      <c r="BC2"/>
      <c r="BD2"/>
    </row>
    <row r="3" spans="2:56" x14ac:dyDescent="0.3">
      <c r="B3" s="8">
        <v>0</v>
      </c>
      <c r="C3" s="9">
        <v>1</v>
      </c>
      <c r="D3" s="9">
        <v>1</v>
      </c>
      <c r="E3" s="9">
        <v>1</v>
      </c>
      <c r="F3" s="9">
        <v>1</v>
      </c>
      <c r="H3" t="s">
        <v>6</v>
      </c>
      <c r="I3" s="2">
        <f ca="1">goldenOTP_check!I3*I59</f>
        <v>270</v>
      </c>
      <c r="J3" s="2">
        <f ca="1">goldenOTP_check!J3*J59</f>
        <v>317</v>
      </c>
      <c r="K3" s="2">
        <f ca="1">goldenOTP_check!K3*K59</f>
        <v>365</v>
      </c>
      <c r="L3" s="2">
        <f ca="1">goldenOTP_check!L3*L59</f>
        <v>423</v>
      </c>
      <c r="M3" s="2">
        <f ca="1">goldenOTP_check!M3*M59</f>
        <v>470</v>
      </c>
      <c r="N3" s="2">
        <f ca="1">goldenOTP_check!N3*N59</f>
        <v>529</v>
      </c>
      <c r="O3" s="2">
        <f ca="1">goldenOTP_check!O3*O59</f>
        <v>564</v>
      </c>
      <c r="P3" s="2">
        <f ca="1">goldenOTP_check!P3*P59</f>
        <v>600</v>
      </c>
      <c r="Q3" s="2">
        <f ca="1">goldenOTP_check!Q3*Q59</f>
        <v>611</v>
      </c>
      <c r="R3" s="2">
        <f ca="1">goldenOTP_check!R3*R59</f>
        <v>600</v>
      </c>
      <c r="S3" s="2">
        <f ca="1">goldenOTP_check!S3*S59</f>
        <v>576</v>
      </c>
      <c r="T3" s="2">
        <f ca="1">goldenOTP_check!T3*T59</f>
        <v>529</v>
      </c>
      <c r="U3" s="2">
        <f ca="1">goldenOTP_check!U3*U59</f>
        <v>470</v>
      </c>
      <c r="V3" s="2">
        <f ca="1">goldenOTP_check!V3*V59</f>
        <v>423</v>
      </c>
      <c r="W3" s="2">
        <f ca="1">goldenOTP_check!W3*W59</f>
        <v>365</v>
      </c>
      <c r="X3" s="2">
        <f ca="1">goldenOTP_check!X3*X59</f>
        <v>317</v>
      </c>
      <c r="Y3" s="2">
        <f ca="1">goldenOTP_check!Y3*Y59</f>
        <v>255</v>
      </c>
      <c r="BA3"/>
      <c r="BB3"/>
      <c r="BC3"/>
      <c r="BD3"/>
    </row>
    <row r="4" spans="2:56" x14ac:dyDescent="0.3">
      <c r="B4" s="6">
        <v>1</v>
      </c>
      <c r="C4" s="9">
        <v>1</v>
      </c>
      <c r="D4" s="9">
        <v>1</v>
      </c>
      <c r="E4" s="9">
        <v>1</v>
      </c>
      <c r="F4" s="9">
        <v>1</v>
      </c>
      <c r="I4" s="2">
        <f ca="1">goldenOTP_check!I4*I60</f>
        <v>290</v>
      </c>
      <c r="J4" s="2">
        <f ca="1">goldenOTP_check!J4*J60</f>
        <v>353</v>
      </c>
      <c r="K4" s="2">
        <f ca="1">goldenOTP_check!K4*K60</f>
        <v>412</v>
      </c>
      <c r="L4" s="2">
        <f ca="1">goldenOTP_check!L4*L60</f>
        <v>470</v>
      </c>
      <c r="M4" s="2">
        <f ca="1">goldenOTP_check!M4*M60</f>
        <v>541</v>
      </c>
      <c r="N4" s="2">
        <f ca="1">goldenOTP_check!N4*N60</f>
        <v>611</v>
      </c>
      <c r="O4" s="2">
        <f ca="1">goldenOTP_check!O4*O60</f>
        <v>670</v>
      </c>
      <c r="P4" s="2">
        <f ca="1">goldenOTP_check!P4*P60</f>
        <v>706</v>
      </c>
      <c r="Q4" s="2">
        <f ca="1">goldenOTP_check!Q4*Q60</f>
        <v>717</v>
      </c>
      <c r="R4" s="2">
        <f ca="1">goldenOTP_check!R4*R60</f>
        <v>706</v>
      </c>
      <c r="S4" s="2">
        <f ca="1">goldenOTP_check!S4*S60</f>
        <v>670</v>
      </c>
      <c r="T4" s="2">
        <f ca="1">goldenOTP_check!T4*T60</f>
        <v>611</v>
      </c>
      <c r="U4" s="2">
        <f ca="1">goldenOTP_check!U4*U60</f>
        <v>541</v>
      </c>
      <c r="V4" s="2">
        <f ca="1">goldenOTP_check!V4*V60</f>
        <v>470</v>
      </c>
      <c r="W4" s="2">
        <f ca="1">goldenOTP_check!W4*W60</f>
        <v>412</v>
      </c>
      <c r="X4" s="2">
        <f ca="1">goldenOTP_check!X4*X60</f>
        <v>353</v>
      </c>
      <c r="Y4" s="2">
        <f ca="1">goldenOTP_check!Y4*Y60</f>
        <v>290</v>
      </c>
      <c r="BA4"/>
      <c r="BB4"/>
      <c r="BC4"/>
      <c r="BD4"/>
    </row>
    <row r="5" spans="2:56" x14ac:dyDescent="0.3">
      <c r="B5" s="6">
        <v>2</v>
      </c>
      <c r="C5" s="9">
        <v>1</v>
      </c>
      <c r="D5" s="9">
        <v>1</v>
      </c>
      <c r="E5" s="9">
        <v>1</v>
      </c>
      <c r="F5" s="9">
        <v>1</v>
      </c>
      <c r="I5" s="2">
        <f ca="1">goldenOTP_check!I5*I61</f>
        <v>314</v>
      </c>
      <c r="J5" s="2">
        <f ca="1">goldenOTP_check!J5*J61</f>
        <v>376</v>
      </c>
      <c r="K5" s="2">
        <f ca="1">goldenOTP_check!K5*K61</f>
        <v>447</v>
      </c>
      <c r="L5" s="2">
        <f ca="1">goldenOTP_check!L5*L61</f>
        <v>529</v>
      </c>
      <c r="M5" s="2">
        <f ca="1">goldenOTP_check!M5*M61</f>
        <v>611</v>
      </c>
      <c r="N5" s="2">
        <f ca="1">goldenOTP_check!N5*N61</f>
        <v>694</v>
      </c>
      <c r="O5" s="2">
        <f ca="1">goldenOTP_check!O5*O61</f>
        <v>764</v>
      </c>
      <c r="P5" s="2">
        <f ca="1">goldenOTP_check!P5*P61</f>
        <v>811</v>
      </c>
      <c r="Q5" s="2">
        <f ca="1">goldenOTP_check!Q5*Q61</f>
        <v>835</v>
      </c>
      <c r="R5" s="2">
        <f ca="1">goldenOTP_check!R5*R61</f>
        <v>811</v>
      </c>
      <c r="S5" s="2">
        <f ca="1">goldenOTP_check!S5*S61</f>
        <v>764</v>
      </c>
      <c r="T5" s="2">
        <f ca="1">goldenOTP_check!T5*T61</f>
        <v>694</v>
      </c>
      <c r="U5" s="2">
        <f ca="1">goldenOTP_check!U5*U61</f>
        <v>611</v>
      </c>
      <c r="V5" s="2">
        <f ca="1">goldenOTP_check!V5*V61</f>
        <v>529</v>
      </c>
      <c r="W5" s="2">
        <f ca="1">goldenOTP_check!W5*W61</f>
        <v>447</v>
      </c>
      <c r="X5" s="2">
        <f ca="1">goldenOTP_check!X5*X61</f>
        <v>376</v>
      </c>
      <c r="Y5" s="2">
        <f ca="1">goldenOTP_check!Y5*Y61</f>
        <v>314</v>
      </c>
      <c r="BA5"/>
      <c r="BB5"/>
      <c r="BC5"/>
      <c r="BD5"/>
    </row>
    <row r="6" spans="2:56" x14ac:dyDescent="0.3">
      <c r="B6" s="6">
        <v>3</v>
      </c>
      <c r="C6" s="9">
        <v>1</v>
      </c>
      <c r="D6" s="9">
        <v>1</v>
      </c>
      <c r="E6" s="9">
        <v>1</v>
      </c>
      <c r="F6" s="9">
        <v>1</v>
      </c>
      <c r="I6" s="2">
        <f ca="1">goldenOTP_check!I6*I62</f>
        <v>333</v>
      </c>
      <c r="J6" s="2">
        <f ca="1">goldenOTP_check!J6*J62</f>
        <v>412</v>
      </c>
      <c r="K6" s="2">
        <f ca="1">goldenOTP_check!K6*K62</f>
        <v>482</v>
      </c>
      <c r="L6" s="2">
        <f ca="1">goldenOTP_check!L6*L62</f>
        <v>576</v>
      </c>
      <c r="M6" s="2">
        <f ca="1">goldenOTP_check!M6*M62</f>
        <v>670</v>
      </c>
      <c r="N6" s="2">
        <f ca="1">goldenOTP_check!N6*N62</f>
        <v>764</v>
      </c>
      <c r="O6" s="2">
        <f ca="1">goldenOTP_check!O6*O62</f>
        <v>847</v>
      </c>
      <c r="P6" s="2">
        <f ca="1">goldenOTP_check!P6*P62</f>
        <v>905</v>
      </c>
      <c r="Q6" s="2">
        <f ca="1">goldenOTP_check!Q6*Q62</f>
        <v>929</v>
      </c>
      <c r="R6" s="2">
        <f ca="1">goldenOTP_check!R6*R62</f>
        <v>905</v>
      </c>
      <c r="S6" s="2">
        <f ca="1">goldenOTP_check!S6*S62</f>
        <v>847</v>
      </c>
      <c r="T6" s="2">
        <f ca="1">goldenOTP_check!T6*T62</f>
        <v>764</v>
      </c>
      <c r="U6" s="2">
        <f ca="1">goldenOTP_check!U6*U62</f>
        <v>670</v>
      </c>
      <c r="V6" s="2">
        <f ca="1">goldenOTP_check!V6*V62</f>
        <v>576</v>
      </c>
      <c r="W6" s="2">
        <f ca="1">goldenOTP_check!W6*W62</f>
        <v>482</v>
      </c>
      <c r="X6" s="2">
        <f ca="1">goldenOTP_check!X6*X62</f>
        <v>400</v>
      </c>
      <c r="Y6" s="2">
        <f ca="1">goldenOTP_check!Y6*Y62</f>
        <v>337</v>
      </c>
      <c r="BA6"/>
      <c r="BB6"/>
      <c r="BC6"/>
      <c r="BD6"/>
    </row>
    <row r="7" spans="2:56" x14ac:dyDescent="0.3">
      <c r="B7" s="6">
        <v>4</v>
      </c>
      <c r="C7" s="9">
        <v>1</v>
      </c>
      <c r="D7" s="9">
        <v>1</v>
      </c>
      <c r="E7" s="9">
        <v>1</v>
      </c>
      <c r="F7" s="9">
        <v>1</v>
      </c>
      <c r="I7" s="2">
        <f ca="1">goldenOTP_check!I7*I63</f>
        <v>345</v>
      </c>
      <c r="J7" s="2">
        <f ca="1">goldenOTP_check!J7*J63</f>
        <v>423</v>
      </c>
      <c r="K7" s="2">
        <f ca="1">goldenOTP_check!K7*K63</f>
        <v>506</v>
      </c>
      <c r="L7" s="2">
        <f ca="1">goldenOTP_check!L7*L63</f>
        <v>600</v>
      </c>
      <c r="M7" s="2">
        <f ca="1">goldenOTP_check!M7*M63</f>
        <v>706</v>
      </c>
      <c r="N7" s="2">
        <f ca="1">goldenOTP_check!N7*N63</f>
        <v>811</v>
      </c>
      <c r="O7" s="2">
        <f ca="1">goldenOTP_check!O7*O63</f>
        <v>905</v>
      </c>
      <c r="P7" s="2">
        <f ca="1">goldenOTP_check!P7*P63</f>
        <v>964</v>
      </c>
      <c r="Q7" s="2">
        <f ca="1">goldenOTP_check!Q7*Q63</f>
        <v>988</v>
      </c>
      <c r="R7" s="2">
        <f ca="1">goldenOTP_check!R7*R63</f>
        <v>976</v>
      </c>
      <c r="S7" s="2">
        <f ca="1">goldenOTP_check!S7*S63</f>
        <v>905</v>
      </c>
      <c r="T7" s="2">
        <f ca="1">goldenOTP_check!T7*T63</f>
        <v>811</v>
      </c>
      <c r="U7" s="2">
        <f ca="1">goldenOTP_check!U7*U63</f>
        <v>706</v>
      </c>
      <c r="V7" s="2">
        <f ca="1">goldenOTP_check!V7*V63</f>
        <v>600</v>
      </c>
      <c r="W7" s="2">
        <f ca="1">goldenOTP_check!W7*W63</f>
        <v>506</v>
      </c>
      <c r="X7" s="2">
        <f ca="1">goldenOTP_check!X7*X63</f>
        <v>423</v>
      </c>
      <c r="Y7" s="2">
        <f ca="1">goldenOTP_check!Y7*Y63</f>
        <v>345</v>
      </c>
      <c r="BA7"/>
      <c r="BB7"/>
      <c r="BC7"/>
      <c r="BD7"/>
    </row>
    <row r="8" spans="2:56" x14ac:dyDescent="0.3">
      <c r="B8" s="6">
        <v>5</v>
      </c>
      <c r="C8" s="9">
        <v>1</v>
      </c>
      <c r="D8" s="9">
        <v>1</v>
      </c>
      <c r="E8" s="9">
        <v>1</v>
      </c>
      <c r="F8" s="9">
        <v>1</v>
      </c>
      <c r="I8" s="2">
        <f ca="1">goldenOTP_check!I8*I64</f>
        <v>357</v>
      </c>
      <c r="J8" s="2">
        <f ca="1">goldenOTP_check!J8*J64</f>
        <v>435</v>
      </c>
      <c r="K8" s="2">
        <f ca="1">goldenOTP_check!K8*K64</f>
        <v>517</v>
      </c>
      <c r="L8" s="2">
        <f ca="1">goldenOTP_check!L8*L64</f>
        <v>611</v>
      </c>
      <c r="M8" s="2">
        <f ca="1">goldenOTP_check!M8*M64</f>
        <v>729</v>
      </c>
      <c r="N8" s="2">
        <f ca="1">goldenOTP_check!N8*N64</f>
        <v>835</v>
      </c>
      <c r="O8" s="2">
        <f ca="1">goldenOTP_check!O8*O64</f>
        <v>929</v>
      </c>
      <c r="P8" s="2">
        <f ca="1">goldenOTP_check!P8*P64</f>
        <v>999</v>
      </c>
      <c r="Q8" s="2">
        <f ca="1">goldenOTP_check!Q8*Q64</f>
        <v>1023</v>
      </c>
      <c r="R8" s="2">
        <f ca="1">goldenOTP_check!R8*R64</f>
        <v>999</v>
      </c>
      <c r="S8" s="2">
        <f ca="1">goldenOTP_check!S8*S64</f>
        <v>941</v>
      </c>
      <c r="T8" s="2">
        <f ca="1">goldenOTP_check!T8*T64</f>
        <v>835</v>
      </c>
      <c r="U8" s="2">
        <f ca="1">goldenOTP_check!U8*U64</f>
        <v>729</v>
      </c>
      <c r="V8" s="2">
        <f ca="1">goldenOTP_check!V8*V64</f>
        <v>611</v>
      </c>
      <c r="W8" s="2">
        <f ca="1">goldenOTP_check!W8*W64</f>
        <v>517</v>
      </c>
      <c r="X8" s="2">
        <f ca="1">goldenOTP_check!X8*X64</f>
        <v>423</v>
      </c>
      <c r="Y8" s="2">
        <f ca="1">goldenOTP_check!Y8*Y64</f>
        <v>361</v>
      </c>
    </row>
    <row r="9" spans="2:56" x14ac:dyDescent="0.3">
      <c r="B9" s="6">
        <v>6</v>
      </c>
      <c r="C9" s="9">
        <v>1</v>
      </c>
      <c r="D9" s="9">
        <v>1</v>
      </c>
      <c r="E9" s="9">
        <v>1</v>
      </c>
      <c r="F9" s="9">
        <v>1</v>
      </c>
      <c r="I9" s="2">
        <f ca="1">goldenOTP_check!I9*I65</f>
        <v>345</v>
      </c>
      <c r="J9" s="2">
        <f ca="1">goldenOTP_check!J9*J65</f>
        <v>423</v>
      </c>
      <c r="K9" s="2">
        <f ca="1">goldenOTP_check!K9*K65</f>
        <v>506</v>
      </c>
      <c r="L9" s="2">
        <f ca="1">goldenOTP_check!L9*L65</f>
        <v>611</v>
      </c>
      <c r="M9" s="2">
        <f ca="1">goldenOTP_check!M9*M65</f>
        <v>717</v>
      </c>
      <c r="N9" s="2">
        <f ca="1">goldenOTP_check!N9*N65</f>
        <v>823</v>
      </c>
      <c r="O9" s="2">
        <f ca="1">goldenOTP_check!O9*O65</f>
        <v>917</v>
      </c>
      <c r="P9" s="2">
        <f ca="1">goldenOTP_check!P9*P65</f>
        <v>976</v>
      </c>
      <c r="Q9" s="2">
        <f ca="1">goldenOTP_check!Q9*Q65</f>
        <v>999</v>
      </c>
      <c r="R9" s="2">
        <f ca="1">goldenOTP_check!R9*R65</f>
        <v>976</v>
      </c>
      <c r="S9" s="2">
        <f ca="1">goldenOTP_check!S9*S65</f>
        <v>917</v>
      </c>
      <c r="T9" s="2">
        <f ca="1">goldenOTP_check!T9*T65</f>
        <v>823</v>
      </c>
      <c r="U9" s="2">
        <f ca="1">goldenOTP_check!U9*U65</f>
        <v>717</v>
      </c>
      <c r="V9" s="2">
        <f ca="1">goldenOTP_check!V9*V65</f>
        <v>600</v>
      </c>
      <c r="W9" s="2">
        <f ca="1">goldenOTP_check!W9*W65</f>
        <v>506</v>
      </c>
      <c r="X9" s="2">
        <f ca="1">goldenOTP_check!X9*X65</f>
        <v>423</v>
      </c>
      <c r="Y9" s="2">
        <f ca="1">goldenOTP_check!Y9*Y65</f>
        <v>345</v>
      </c>
    </row>
    <row r="10" spans="2:56" x14ac:dyDescent="0.3">
      <c r="B10" s="6">
        <v>7</v>
      </c>
      <c r="C10" s="9">
        <v>1</v>
      </c>
      <c r="D10" s="9">
        <v>1</v>
      </c>
      <c r="E10" s="9">
        <v>1</v>
      </c>
      <c r="F10" s="9">
        <v>1</v>
      </c>
      <c r="I10" s="2">
        <f ca="1">goldenOTP_check!I10*I66</f>
        <v>333</v>
      </c>
      <c r="J10" s="2">
        <f ca="1">goldenOTP_check!J10*J66</f>
        <v>412</v>
      </c>
      <c r="K10" s="2">
        <f ca="1">goldenOTP_check!K10*K66</f>
        <v>482</v>
      </c>
      <c r="L10" s="2">
        <f ca="1">goldenOTP_check!L10*L66</f>
        <v>576</v>
      </c>
      <c r="M10" s="2">
        <f ca="1">goldenOTP_check!M10*M66</f>
        <v>670</v>
      </c>
      <c r="N10" s="2">
        <f ca="1">goldenOTP_check!N10*N66</f>
        <v>776</v>
      </c>
      <c r="O10" s="2">
        <f ca="1">goldenOTP_check!O10*O66</f>
        <v>858</v>
      </c>
      <c r="P10" s="2">
        <f ca="1">goldenOTP_check!P10*P66</f>
        <v>917</v>
      </c>
      <c r="Q10" s="2">
        <f ca="1">goldenOTP_check!Q10*Q66</f>
        <v>941</v>
      </c>
      <c r="R10" s="2">
        <f ca="1">goldenOTP_check!R10*R66</f>
        <v>917</v>
      </c>
      <c r="S10" s="2">
        <f ca="1">goldenOTP_check!S10*S66</f>
        <v>858</v>
      </c>
      <c r="T10" s="2">
        <f ca="1">goldenOTP_check!T10*T66</f>
        <v>776</v>
      </c>
      <c r="U10" s="2">
        <f ca="1">goldenOTP_check!U10*U66</f>
        <v>670</v>
      </c>
      <c r="V10" s="2">
        <f ca="1">goldenOTP_check!V10*V66</f>
        <v>576</v>
      </c>
      <c r="W10" s="2">
        <f ca="1">goldenOTP_check!W10*W66</f>
        <v>482</v>
      </c>
      <c r="X10" s="2">
        <f ca="1">goldenOTP_check!X10*X66</f>
        <v>412</v>
      </c>
      <c r="Y10" s="2">
        <f ca="1">goldenOTP_check!Y10*Y66</f>
        <v>333</v>
      </c>
    </row>
    <row r="11" spans="2:56" x14ac:dyDescent="0.3">
      <c r="B11" s="6">
        <v>8</v>
      </c>
      <c r="C11" s="9">
        <v>1</v>
      </c>
      <c r="D11" s="9">
        <v>1</v>
      </c>
      <c r="E11" s="9">
        <v>1</v>
      </c>
      <c r="F11" s="9">
        <v>1</v>
      </c>
      <c r="I11" s="2">
        <f ca="1">goldenOTP_check!I11*I67</f>
        <v>325</v>
      </c>
      <c r="J11" s="2">
        <f ca="1">goldenOTP_check!J11*J67</f>
        <v>388</v>
      </c>
      <c r="K11" s="2">
        <f ca="1">goldenOTP_check!K11*K67</f>
        <v>447</v>
      </c>
      <c r="L11" s="2">
        <f ca="1">goldenOTP_check!L11*L67</f>
        <v>529</v>
      </c>
      <c r="M11" s="2">
        <f ca="1">goldenOTP_check!M11*M67</f>
        <v>611</v>
      </c>
      <c r="N11" s="2">
        <f ca="1">goldenOTP_check!N11*N67</f>
        <v>694</v>
      </c>
      <c r="O11" s="2">
        <f ca="1">goldenOTP_check!O11*O67</f>
        <v>776</v>
      </c>
      <c r="P11" s="2">
        <f ca="1">goldenOTP_check!P11*P67</f>
        <v>823</v>
      </c>
      <c r="Q11" s="2">
        <f ca="1">goldenOTP_check!Q11*Q67</f>
        <v>835</v>
      </c>
      <c r="R11" s="2">
        <f ca="1">goldenOTP_check!R11*R67</f>
        <v>823</v>
      </c>
      <c r="S11" s="2">
        <f ca="1">goldenOTP_check!S11*S67</f>
        <v>764</v>
      </c>
      <c r="T11" s="2">
        <f ca="1">goldenOTP_check!T11*T67</f>
        <v>694</v>
      </c>
      <c r="U11" s="2">
        <f ca="1">goldenOTP_check!U11*U67</f>
        <v>611</v>
      </c>
      <c r="V11" s="2">
        <f ca="1">goldenOTP_check!V11*V67</f>
        <v>529</v>
      </c>
      <c r="W11" s="2">
        <f ca="1">goldenOTP_check!W11*W67</f>
        <v>447</v>
      </c>
      <c r="X11" s="2">
        <f ca="1">goldenOTP_check!X11*X67</f>
        <v>388</v>
      </c>
      <c r="Y11" s="2">
        <f ca="1">goldenOTP_check!Y11*Y67</f>
        <v>310</v>
      </c>
      <c r="BD11"/>
    </row>
    <row r="12" spans="2:56" x14ac:dyDescent="0.3">
      <c r="B12" s="6">
        <v>9</v>
      </c>
      <c r="C12" s="9">
        <v>1</v>
      </c>
      <c r="D12" s="9">
        <v>1</v>
      </c>
      <c r="E12" s="9">
        <v>1</v>
      </c>
      <c r="F12" s="9">
        <v>1</v>
      </c>
      <c r="I12" s="2">
        <f ca="1">goldenOTP_check!I12*I68</f>
        <v>290</v>
      </c>
      <c r="J12" s="2">
        <f ca="1">goldenOTP_check!J12*J68</f>
        <v>353</v>
      </c>
      <c r="K12" s="2">
        <f ca="1">goldenOTP_check!K12*K68</f>
        <v>412</v>
      </c>
      <c r="L12" s="2">
        <f ca="1">goldenOTP_check!L12*L68</f>
        <v>482</v>
      </c>
      <c r="M12" s="2">
        <f ca="1">goldenOTP_check!M12*M68</f>
        <v>541</v>
      </c>
      <c r="N12" s="2">
        <f ca="1">goldenOTP_check!N12*N68</f>
        <v>611</v>
      </c>
      <c r="O12" s="2">
        <f ca="1">goldenOTP_check!O12*O68</f>
        <v>670</v>
      </c>
      <c r="P12" s="2">
        <f ca="1">goldenOTP_check!P12*P68</f>
        <v>717</v>
      </c>
      <c r="Q12" s="2">
        <f ca="1">goldenOTP_check!Q12*Q68</f>
        <v>729</v>
      </c>
      <c r="R12" s="2">
        <f ca="1">goldenOTP_check!R12*R68</f>
        <v>717</v>
      </c>
      <c r="S12" s="2">
        <f ca="1">goldenOTP_check!S12*S68</f>
        <v>670</v>
      </c>
      <c r="T12" s="2">
        <f ca="1">goldenOTP_check!T12*T68</f>
        <v>611</v>
      </c>
      <c r="U12" s="2">
        <f ca="1">goldenOTP_check!U12*U68</f>
        <v>541</v>
      </c>
      <c r="V12" s="2">
        <f ca="1">goldenOTP_check!V12*V68</f>
        <v>470</v>
      </c>
      <c r="W12" s="2">
        <f ca="1">goldenOTP_check!W12*W68</f>
        <v>412</v>
      </c>
      <c r="X12" s="2">
        <f ca="1">goldenOTP_check!X12*X68</f>
        <v>353</v>
      </c>
      <c r="Y12" s="2">
        <f ca="1">goldenOTP_check!Y12*Y68</f>
        <v>290</v>
      </c>
      <c r="BD12"/>
    </row>
    <row r="13" spans="2:56" x14ac:dyDescent="0.3">
      <c r="B13" s="6">
        <v>10</v>
      </c>
      <c r="C13" s="9">
        <v>1</v>
      </c>
      <c r="D13" s="9">
        <v>1</v>
      </c>
      <c r="E13" s="9">
        <v>1</v>
      </c>
      <c r="F13" s="9">
        <v>1</v>
      </c>
      <c r="I13" s="2">
        <f ca="1">goldenOTP_check!I13*I69</f>
        <v>270</v>
      </c>
      <c r="J13" s="2">
        <f ca="1">goldenOTP_check!J13*J69</f>
        <v>317</v>
      </c>
      <c r="K13" s="2">
        <f ca="1">goldenOTP_check!K13*K69</f>
        <v>365</v>
      </c>
      <c r="L13" s="2">
        <f ca="1">goldenOTP_check!L13*L69</f>
        <v>423</v>
      </c>
      <c r="M13" s="2">
        <f ca="1">goldenOTP_check!M13*M69</f>
        <v>482</v>
      </c>
      <c r="N13" s="2">
        <f ca="1">goldenOTP_check!N13*N69</f>
        <v>529</v>
      </c>
      <c r="O13" s="2">
        <f ca="1">goldenOTP_check!O13*O69</f>
        <v>576</v>
      </c>
      <c r="P13" s="2">
        <f ca="1">goldenOTP_check!P13*P69</f>
        <v>611</v>
      </c>
      <c r="Q13" s="2">
        <f ca="1">goldenOTP_check!Q13*Q69</f>
        <v>611</v>
      </c>
      <c r="R13" s="2">
        <f ca="1">goldenOTP_check!R13*R69</f>
        <v>611</v>
      </c>
      <c r="S13" s="2">
        <f ca="1">goldenOTP_check!S13*S69</f>
        <v>576</v>
      </c>
      <c r="T13" s="2">
        <f ca="1">goldenOTP_check!T13*T69</f>
        <v>529</v>
      </c>
      <c r="U13" s="2">
        <f ca="1">goldenOTP_check!U13*U69</f>
        <v>482</v>
      </c>
      <c r="V13" s="2">
        <f ca="1">goldenOTP_check!V13*V69</f>
        <v>423</v>
      </c>
      <c r="W13" s="2">
        <f ca="1">goldenOTP_check!W13*W69</f>
        <v>365</v>
      </c>
      <c r="X13" s="2">
        <f ca="1">goldenOTP_check!X13*X69</f>
        <v>317</v>
      </c>
      <c r="Y13" s="2">
        <f ca="1">goldenOTP_check!Y13*Y69</f>
        <v>270</v>
      </c>
      <c r="BD13"/>
    </row>
    <row r="14" spans="2:56" x14ac:dyDescent="0.3">
      <c r="B14" s="6">
        <v>11</v>
      </c>
      <c r="C14" s="9">
        <v>1</v>
      </c>
      <c r="D14" s="9">
        <v>1</v>
      </c>
      <c r="E14" s="9">
        <v>1</v>
      </c>
      <c r="F14" s="9">
        <v>1</v>
      </c>
      <c r="I14" s="3">
        <f ca="1">goldenOTP_check!I14*I70</f>
        <v>255</v>
      </c>
      <c r="J14" s="2">
        <f ca="1">goldenOTP_check!J14*J70</f>
        <v>286</v>
      </c>
      <c r="K14" s="2">
        <f ca="1">goldenOTP_check!K14*K70</f>
        <v>317</v>
      </c>
      <c r="L14" s="2">
        <f ca="1">goldenOTP_check!L14*L70</f>
        <v>361</v>
      </c>
      <c r="M14" s="2">
        <f ca="1">goldenOTP_check!M14*M70</f>
        <v>404</v>
      </c>
      <c r="N14" s="2">
        <f ca="1">goldenOTP_check!N14*N70</f>
        <v>451</v>
      </c>
      <c r="O14" s="2">
        <f ca="1">goldenOTP_check!O14*O70</f>
        <v>482</v>
      </c>
      <c r="P14" s="2">
        <f ca="1">goldenOTP_check!P14*P70</f>
        <v>502</v>
      </c>
      <c r="Q14" s="2">
        <f ca="1">goldenOTP_check!Q14*Q70</f>
        <v>517</v>
      </c>
      <c r="R14" s="2">
        <f ca="1">goldenOTP_check!R14*R70</f>
        <v>502</v>
      </c>
      <c r="S14" s="2">
        <f ca="1">goldenOTP_check!S14*S70</f>
        <v>482</v>
      </c>
      <c r="T14" s="2">
        <f ca="1">goldenOTP_check!T14*T70</f>
        <v>451</v>
      </c>
      <c r="U14" s="2">
        <f ca="1">goldenOTP_check!U14*U70</f>
        <v>404</v>
      </c>
      <c r="V14" s="2">
        <f ca="1">goldenOTP_check!V14*V70</f>
        <v>361</v>
      </c>
      <c r="W14" s="2">
        <f ca="1">goldenOTP_check!W14*W70</f>
        <v>317</v>
      </c>
      <c r="X14" s="2">
        <f ca="1">goldenOTP_check!X14*X70</f>
        <v>286</v>
      </c>
      <c r="Y14" s="3">
        <f ca="1">goldenOTP_check!Y14*Y70</f>
        <v>255</v>
      </c>
      <c r="BD14"/>
    </row>
    <row r="15" spans="2:56" x14ac:dyDescent="0.3">
      <c r="B15" s="6">
        <v>12</v>
      </c>
      <c r="C15" s="9">
        <v>1</v>
      </c>
      <c r="D15" s="9">
        <v>1</v>
      </c>
      <c r="E15" s="9">
        <v>1</v>
      </c>
      <c r="F15" s="9">
        <v>1</v>
      </c>
      <c r="BD15"/>
    </row>
    <row r="16" spans="2:56" x14ac:dyDescent="0.3">
      <c r="B16" s="6">
        <v>13</v>
      </c>
      <c r="C16" s="9">
        <v>1</v>
      </c>
      <c r="D16" s="9">
        <v>1</v>
      </c>
      <c r="E16" s="9">
        <v>1</v>
      </c>
      <c r="F16" s="9">
        <v>1</v>
      </c>
      <c r="H16" t="s">
        <v>1</v>
      </c>
      <c r="I16" s="10">
        <f ca="1">goldenOTP_check!I16*I72</f>
        <v>264</v>
      </c>
      <c r="J16" s="2">
        <f ca="1">goldenOTP_check!J16*J72</f>
        <v>300</v>
      </c>
      <c r="K16" s="2">
        <f ca="1">goldenOTP_check!K16*K72</f>
        <v>348</v>
      </c>
      <c r="L16" s="2">
        <f ca="1">goldenOTP_check!L16*L72</f>
        <v>396</v>
      </c>
      <c r="M16" s="2">
        <f ca="1">goldenOTP_check!M16*M72</f>
        <v>437</v>
      </c>
      <c r="N16" s="2">
        <f ca="1">goldenOTP_check!N16*N72</f>
        <v>477</v>
      </c>
      <c r="O16" s="2">
        <f ca="1">goldenOTP_check!O16*O72</f>
        <v>507</v>
      </c>
      <c r="P16" s="2">
        <f ca="1">goldenOTP_check!P16*P72</f>
        <v>535</v>
      </c>
      <c r="Q16" s="2">
        <f ca="1">goldenOTP_check!Q16*Q72</f>
        <v>538</v>
      </c>
      <c r="R16" s="2">
        <f ca="1">goldenOTP_check!R16*R72</f>
        <v>535</v>
      </c>
      <c r="S16" s="2">
        <f ca="1">goldenOTP_check!S16*S72</f>
        <v>514</v>
      </c>
      <c r="T16" s="2">
        <f ca="1">goldenOTP_check!T16*T72</f>
        <v>477</v>
      </c>
      <c r="U16" s="2">
        <f ca="1">goldenOTP_check!U16*U72</f>
        <v>437</v>
      </c>
      <c r="V16" s="2">
        <f ca="1">goldenOTP_check!V16*V72</f>
        <v>396</v>
      </c>
      <c r="W16" s="2">
        <f ca="1">goldenOTP_check!W16*W72</f>
        <v>348</v>
      </c>
      <c r="X16" s="2">
        <f ca="1">goldenOTP_check!X16*X72</f>
        <v>300</v>
      </c>
      <c r="Y16" s="10">
        <f ca="1">goldenOTP_check!Y16*Y72</f>
        <v>264</v>
      </c>
    </row>
    <row r="17" spans="2:25" x14ac:dyDescent="0.3">
      <c r="B17" s="6">
        <v>14</v>
      </c>
      <c r="C17" s="9">
        <v>1</v>
      </c>
      <c r="D17" s="9">
        <v>1</v>
      </c>
      <c r="E17" s="9">
        <v>1</v>
      </c>
      <c r="F17" s="9">
        <v>1</v>
      </c>
      <c r="H17" t="s">
        <v>6</v>
      </c>
      <c r="I17" s="2">
        <f ca="1">goldenOTP_check!I17*I73</f>
        <v>286</v>
      </c>
      <c r="J17" s="2">
        <f ca="1">goldenOTP_check!J17*J73</f>
        <v>337</v>
      </c>
      <c r="K17" s="2">
        <f ca="1">goldenOTP_check!K17*K73</f>
        <v>393</v>
      </c>
      <c r="L17" s="2">
        <f ca="1">goldenOTP_check!L17*L73</f>
        <v>448</v>
      </c>
      <c r="M17" s="2">
        <f ca="1">goldenOTP_check!M17*M73</f>
        <v>503</v>
      </c>
      <c r="N17" s="2">
        <f ca="1">goldenOTP_check!N17*N73</f>
        <v>559</v>
      </c>
      <c r="O17" s="2">
        <f ca="1">goldenOTP_check!O17*O73</f>
        <v>603</v>
      </c>
      <c r="P17" s="2">
        <f ca="1">goldenOTP_check!P17*P73</f>
        <v>630</v>
      </c>
      <c r="Q17" s="2">
        <f ca="1">goldenOTP_check!Q17*Q73</f>
        <v>641</v>
      </c>
      <c r="R17" s="2">
        <f ca="1">goldenOTP_check!R17*R73</f>
        <v>630</v>
      </c>
      <c r="S17" s="2">
        <f ca="1">goldenOTP_check!S17*S73</f>
        <v>603</v>
      </c>
      <c r="T17" s="2">
        <f ca="1">goldenOTP_check!T17*T73</f>
        <v>559</v>
      </c>
      <c r="U17" s="2">
        <f ca="1">goldenOTP_check!U17*U73</f>
        <v>503</v>
      </c>
      <c r="V17" s="2">
        <f ca="1">goldenOTP_check!V17*V73</f>
        <v>448</v>
      </c>
      <c r="W17" s="2">
        <f ca="1">goldenOTP_check!W17*W73</f>
        <v>393</v>
      </c>
      <c r="X17" s="2">
        <f ca="1">goldenOTP_check!X17*X73</f>
        <v>337</v>
      </c>
      <c r="Y17" s="2">
        <f ca="1">goldenOTP_check!Y17*Y73</f>
        <v>286</v>
      </c>
    </row>
    <row r="18" spans="2:25" x14ac:dyDescent="0.3">
      <c r="B18" s="6">
        <v>15</v>
      </c>
      <c r="C18" s="9">
        <v>1</v>
      </c>
      <c r="D18" s="9">
        <v>1</v>
      </c>
      <c r="E18" s="9">
        <v>1</v>
      </c>
      <c r="F18" s="9">
        <v>1</v>
      </c>
      <c r="I18" s="2">
        <f ca="1">goldenOTP_check!I18*I74</f>
        <v>317</v>
      </c>
      <c r="J18" s="2">
        <f ca="1">goldenOTP_check!J18*J74</f>
        <v>376</v>
      </c>
      <c r="K18" s="2">
        <f ca="1">goldenOTP_check!K18*K74</f>
        <v>442</v>
      </c>
      <c r="L18" s="2">
        <f ca="1">goldenOTP_check!L18*L74</f>
        <v>509</v>
      </c>
      <c r="M18" s="2">
        <f ca="1">goldenOTP_check!M18*M74</f>
        <v>575</v>
      </c>
      <c r="N18" s="2">
        <f ca="1">goldenOTP_check!N18*N74</f>
        <v>641</v>
      </c>
      <c r="O18" s="2">
        <f ca="1">goldenOTP_check!O18*O74</f>
        <v>697</v>
      </c>
      <c r="P18" s="2">
        <f ca="1">goldenOTP_check!P18*P74</f>
        <v>735</v>
      </c>
      <c r="Q18" s="2">
        <f ca="1">goldenOTP_check!Q18*Q74</f>
        <v>752</v>
      </c>
      <c r="R18" s="2">
        <f ca="1">goldenOTP_check!R18*R74</f>
        <v>735</v>
      </c>
      <c r="S18" s="2">
        <f ca="1">goldenOTP_check!S18*S74</f>
        <v>697</v>
      </c>
      <c r="T18" s="2">
        <f ca="1">goldenOTP_check!T18*T74</f>
        <v>641</v>
      </c>
      <c r="U18" s="2">
        <f ca="1">goldenOTP_check!U18*U74</f>
        <v>575</v>
      </c>
      <c r="V18" s="2">
        <f ca="1">goldenOTP_check!V18*V74</f>
        <v>503</v>
      </c>
      <c r="W18" s="2">
        <f ca="1">goldenOTP_check!W18*W74</f>
        <v>437</v>
      </c>
      <c r="X18" s="2">
        <f ca="1">goldenOTP_check!X18*X74</f>
        <v>376</v>
      </c>
      <c r="Y18" s="2">
        <f ca="1">goldenOTP_check!Y18*Y74</f>
        <v>317</v>
      </c>
    </row>
    <row r="19" spans="2:25" x14ac:dyDescent="0.3">
      <c r="B19" s="6">
        <v>16</v>
      </c>
      <c r="C19" s="9">
        <v>1</v>
      </c>
      <c r="D19" s="9">
        <v>1</v>
      </c>
      <c r="E19" s="9">
        <v>1</v>
      </c>
      <c r="F19" s="9">
        <v>1</v>
      </c>
      <c r="I19" s="2">
        <f ca="1">goldenOTP_check!I19*I75</f>
        <v>343</v>
      </c>
      <c r="J19" s="2">
        <f ca="1">goldenOTP_check!J19*J75</f>
        <v>409</v>
      </c>
      <c r="K19" s="2">
        <f ca="1">goldenOTP_check!K19*K75</f>
        <v>481</v>
      </c>
      <c r="L19" s="2">
        <f ca="1">goldenOTP_check!L19*L75</f>
        <v>559</v>
      </c>
      <c r="M19" s="2">
        <f ca="1">goldenOTP_check!M19*M75</f>
        <v>641</v>
      </c>
      <c r="N19" s="2">
        <f ca="1">goldenOTP_check!N19*N75</f>
        <v>724</v>
      </c>
      <c r="O19" s="2">
        <f ca="1">goldenOTP_check!O19*O75</f>
        <v>796</v>
      </c>
      <c r="P19" s="2">
        <f ca="1">goldenOTP_check!P19*P75</f>
        <v>841</v>
      </c>
      <c r="Q19" s="2">
        <f ca="1">goldenOTP_check!Q19*Q75</f>
        <v>857</v>
      </c>
      <c r="R19" s="2">
        <f ca="1">goldenOTP_check!R19*R75</f>
        <v>841</v>
      </c>
      <c r="S19" s="2">
        <f ca="1">goldenOTP_check!S19*S75</f>
        <v>796</v>
      </c>
      <c r="T19" s="2">
        <f ca="1">goldenOTP_check!T19*T75</f>
        <v>724</v>
      </c>
      <c r="U19" s="2">
        <f ca="1">goldenOTP_check!U19*U75</f>
        <v>641</v>
      </c>
      <c r="V19" s="2">
        <f ca="1">goldenOTP_check!V19*V75</f>
        <v>559</v>
      </c>
      <c r="W19" s="2">
        <f ca="1">goldenOTP_check!W19*W75</f>
        <v>481</v>
      </c>
      <c r="X19" s="2">
        <f ca="1">goldenOTP_check!X19*X75</f>
        <v>409</v>
      </c>
      <c r="Y19" s="2">
        <f ca="1">goldenOTP_check!Y19*Y75</f>
        <v>343</v>
      </c>
    </row>
    <row r="20" spans="2:25" x14ac:dyDescent="0.3">
      <c r="B20" s="6">
        <v>17</v>
      </c>
      <c r="C20" s="9">
        <v>1</v>
      </c>
      <c r="D20" s="9">
        <v>1</v>
      </c>
      <c r="E20" s="9">
        <v>1</v>
      </c>
      <c r="F20" s="9">
        <v>1</v>
      </c>
      <c r="I20" s="2">
        <f ca="1">goldenOTP_check!I20*I76</f>
        <v>363</v>
      </c>
      <c r="J20" s="2">
        <f ca="1">goldenOTP_check!J20*J76</f>
        <v>437</v>
      </c>
      <c r="K20" s="2">
        <f ca="1">goldenOTP_check!K20*K76</f>
        <v>514</v>
      </c>
      <c r="L20" s="2">
        <f ca="1">goldenOTP_check!L20*L76</f>
        <v>608</v>
      </c>
      <c r="M20" s="2">
        <f ca="1">goldenOTP_check!M20*M76</f>
        <v>702</v>
      </c>
      <c r="N20" s="2">
        <f ca="1">goldenOTP_check!N20*N76</f>
        <v>796</v>
      </c>
      <c r="O20" s="2">
        <f ca="1">goldenOTP_check!O20*O76</f>
        <v>874</v>
      </c>
      <c r="P20" s="2">
        <f ca="1">goldenOTP_check!P20*P76</f>
        <v>923</v>
      </c>
      <c r="Q20" s="2">
        <f ca="1">goldenOTP_check!Q20*Q76</f>
        <v>940</v>
      </c>
      <c r="R20" s="2">
        <f ca="1">goldenOTP_check!R20*R76</f>
        <v>923</v>
      </c>
      <c r="S20" s="2">
        <f ca="1">goldenOTP_check!S20*S76</f>
        <v>874</v>
      </c>
      <c r="T20" s="2">
        <f ca="1">goldenOTP_check!T20*T76</f>
        <v>796</v>
      </c>
      <c r="U20" s="2">
        <f ca="1">goldenOTP_check!U20*U76</f>
        <v>702</v>
      </c>
      <c r="V20" s="2">
        <f ca="1">goldenOTP_check!V20*V76</f>
        <v>603</v>
      </c>
      <c r="W20" s="2">
        <f ca="1">goldenOTP_check!W20*W76</f>
        <v>514</v>
      </c>
      <c r="X20" s="2">
        <f ca="1">goldenOTP_check!X20*X76</f>
        <v>437</v>
      </c>
      <c r="Y20" s="2">
        <f ca="1">goldenOTP_check!Y20*Y76</f>
        <v>363</v>
      </c>
    </row>
    <row r="21" spans="2:25" x14ac:dyDescent="0.3">
      <c r="B21" s="6">
        <v>18</v>
      </c>
      <c r="C21" s="9">
        <v>1</v>
      </c>
      <c r="D21" s="9">
        <v>1</v>
      </c>
      <c r="E21" s="9">
        <v>1</v>
      </c>
      <c r="F21" s="9">
        <v>1</v>
      </c>
      <c r="I21" s="2">
        <f ca="1">goldenOTP_check!I21*I77</f>
        <v>372</v>
      </c>
      <c r="J21" s="2">
        <f ca="1">goldenOTP_check!J21*J77</f>
        <v>453</v>
      </c>
      <c r="K21" s="2">
        <f ca="1">goldenOTP_check!K21*K77</f>
        <v>536</v>
      </c>
      <c r="L21" s="2">
        <f ca="1">goldenOTP_check!L21*L77</f>
        <v>636</v>
      </c>
      <c r="M21" s="2">
        <f ca="1">goldenOTP_check!M21*M77</f>
        <v>747</v>
      </c>
      <c r="N21" s="2">
        <f ca="1">goldenOTP_check!N21*N77</f>
        <v>846</v>
      </c>
      <c r="O21" s="2">
        <f ca="1">goldenOTP_check!O21*O77</f>
        <v>929</v>
      </c>
      <c r="P21" s="2">
        <f ca="1">goldenOTP_check!P21*P77</f>
        <v>979</v>
      </c>
      <c r="Q21" s="2">
        <f ca="1">goldenOTP_check!Q21*Q77</f>
        <v>995</v>
      </c>
      <c r="R21" s="2">
        <f ca="1">goldenOTP_check!R21*R77</f>
        <v>979</v>
      </c>
      <c r="S21" s="2">
        <f ca="1">goldenOTP_check!S21*S77</f>
        <v>929</v>
      </c>
      <c r="T21" s="2">
        <f ca="1">goldenOTP_check!T21*T77</f>
        <v>846</v>
      </c>
      <c r="U21" s="2">
        <f ca="1">goldenOTP_check!U21*U77</f>
        <v>741</v>
      </c>
      <c r="V21" s="2">
        <f ca="1">goldenOTP_check!V21*V77</f>
        <v>636</v>
      </c>
      <c r="W21" s="2">
        <f ca="1">goldenOTP_check!W21*W77</f>
        <v>536</v>
      </c>
      <c r="X21" s="2">
        <f ca="1">goldenOTP_check!X21*X77</f>
        <v>453</v>
      </c>
      <c r="Y21" s="2">
        <f ca="1">goldenOTP_check!Y21*Y77</f>
        <v>380</v>
      </c>
    </row>
    <row r="22" spans="2:25" x14ac:dyDescent="0.3">
      <c r="B22" s="6">
        <v>19</v>
      </c>
      <c r="C22" s="9">
        <v>1</v>
      </c>
      <c r="D22" s="9">
        <v>1</v>
      </c>
      <c r="E22" s="9">
        <v>1</v>
      </c>
      <c r="F22" s="9">
        <v>1</v>
      </c>
      <c r="I22" s="2">
        <f ca="1">goldenOTP_check!I22*I78</f>
        <v>378</v>
      </c>
      <c r="J22" s="2">
        <f ca="1">goldenOTP_check!J22*J78</f>
        <v>459</v>
      </c>
      <c r="K22" s="2">
        <f ca="1">goldenOTP_check!K22*K78</f>
        <v>547</v>
      </c>
      <c r="L22" s="2">
        <f ca="1">goldenOTP_check!L22*L78</f>
        <v>653</v>
      </c>
      <c r="M22" s="2">
        <f ca="1">goldenOTP_check!M22*M78</f>
        <v>758</v>
      </c>
      <c r="N22" s="2">
        <f ca="1">goldenOTP_check!N22*N78</f>
        <v>863</v>
      </c>
      <c r="O22" s="2">
        <f ca="1">goldenOTP_check!O22*O78</f>
        <v>951</v>
      </c>
      <c r="P22" s="2">
        <f ca="1">goldenOTP_check!P22*P78</f>
        <v>1001</v>
      </c>
      <c r="Q22" s="2">
        <f ca="1">goldenOTP_check!Q22*Q78</f>
        <v>1023</v>
      </c>
      <c r="R22" s="2">
        <f ca="1">goldenOTP_check!R22*R78</f>
        <v>1001</v>
      </c>
      <c r="S22" s="2">
        <f ca="1">goldenOTP_check!S22*S78</f>
        <v>951</v>
      </c>
      <c r="T22" s="2">
        <f ca="1">goldenOTP_check!T22*T78</f>
        <v>863</v>
      </c>
      <c r="U22" s="2">
        <f ca="1">goldenOTP_check!U22*U78</f>
        <v>758</v>
      </c>
      <c r="V22" s="2">
        <f ca="1">goldenOTP_check!V22*V78</f>
        <v>647</v>
      </c>
      <c r="W22" s="2">
        <f ca="1">goldenOTP_check!W22*W78</f>
        <v>547</v>
      </c>
      <c r="X22" s="2">
        <f ca="1">goldenOTP_check!X22*X78</f>
        <v>459</v>
      </c>
      <c r="Y22" s="2">
        <f ca="1">goldenOTP_check!Y22*Y78</f>
        <v>378</v>
      </c>
    </row>
    <row r="23" spans="2:25" x14ac:dyDescent="0.3">
      <c r="B23" s="6">
        <v>20</v>
      </c>
      <c r="C23" s="9">
        <v>1</v>
      </c>
      <c r="D23" s="9">
        <v>1</v>
      </c>
      <c r="E23" s="9">
        <v>1</v>
      </c>
      <c r="F23" s="9">
        <v>1</v>
      </c>
      <c r="I23" s="2">
        <f ca="1">goldenOTP_check!I23*I79</f>
        <v>372</v>
      </c>
      <c r="J23" s="2">
        <f ca="1">goldenOTP_check!J23*J79</f>
        <v>453</v>
      </c>
      <c r="K23" s="2">
        <f ca="1">goldenOTP_check!K23*K79</f>
        <v>542</v>
      </c>
      <c r="L23" s="2">
        <f ca="1">goldenOTP_check!L23*L79</f>
        <v>641</v>
      </c>
      <c r="M23" s="2">
        <f ca="1">goldenOTP_check!M23*M79</f>
        <v>747</v>
      </c>
      <c r="N23" s="2">
        <f ca="1">goldenOTP_check!N23*N79</f>
        <v>852</v>
      </c>
      <c r="O23" s="2">
        <f ca="1">goldenOTP_check!O23*O79</f>
        <v>935</v>
      </c>
      <c r="P23" s="2">
        <f ca="1">goldenOTP_check!P23*P79</f>
        <v>984</v>
      </c>
      <c r="Q23" s="2">
        <f ca="1">goldenOTP_check!Q23*Q79</f>
        <v>1001</v>
      </c>
      <c r="R23" s="2">
        <f ca="1">goldenOTP_check!R23*R79</f>
        <v>984</v>
      </c>
      <c r="S23" s="2">
        <f ca="1">goldenOTP_check!S23*S79</f>
        <v>929</v>
      </c>
      <c r="T23" s="2">
        <f ca="1">goldenOTP_check!T23*T79</f>
        <v>846</v>
      </c>
      <c r="U23" s="2">
        <f ca="1">goldenOTP_check!U23*U79</f>
        <v>741</v>
      </c>
      <c r="V23" s="2">
        <f ca="1">goldenOTP_check!V23*V79</f>
        <v>636</v>
      </c>
      <c r="W23" s="2">
        <f ca="1">goldenOTP_check!W23*W79</f>
        <v>536</v>
      </c>
      <c r="X23" s="2">
        <f ca="1">goldenOTP_check!X23*X79</f>
        <v>453</v>
      </c>
      <c r="Y23" s="2">
        <f ca="1">goldenOTP_check!Y23*Y79</f>
        <v>380</v>
      </c>
    </row>
    <row r="24" spans="2:25" x14ac:dyDescent="0.3">
      <c r="B24" s="6">
        <v>21</v>
      </c>
      <c r="C24" s="9">
        <v>1</v>
      </c>
      <c r="D24" s="9">
        <v>1</v>
      </c>
      <c r="E24" s="9">
        <v>1</v>
      </c>
      <c r="F24" s="9">
        <v>1</v>
      </c>
      <c r="I24" s="2">
        <f ca="1">goldenOTP_check!I24*I80</f>
        <v>363</v>
      </c>
      <c r="J24" s="2">
        <f ca="1">goldenOTP_check!J24*J80</f>
        <v>437</v>
      </c>
      <c r="K24" s="2">
        <f ca="1">goldenOTP_check!K24*K80</f>
        <v>514</v>
      </c>
      <c r="L24" s="2">
        <f ca="1">goldenOTP_check!L24*L80</f>
        <v>608</v>
      </c>
      <c r="M24" s="2">
        <f ca="1">goldenOTP_check!M24*M80</f>
        <v>708</v>
      </c>
      <c r="N24" s="2">
        <f ca="1">goldenOTP_check!N24*N80</f>
        <v>802</v>
      </c>
      <c r="O24" s="2">
        <f ca="1">goldenOTP_check!O24*O80</f>
        <v>879</v>
      </c>
      <c r="P24" s="2">
        <f ca="1">goldenOTP_check!P24*P80</f>
        <v>929</v>
      </c>
      <c r="Q24" s="2">
        <f ca="1">goldenOTP_check!Q24*Q80</f>
        <v>951</v>
      </c>
      <c r="R24" s="2">
        <f ca="1">goldenOTP_check!R24*R80</f>
        <v>929</v>
      </c>
      <c r="S24" s="2">
        <f ca="1">goldenOTP_check!S24*S80</f>
        <v>879</v>
      </c>
      <c r="T24" s="2">
        <f ca="1">goldenOTP_check!T24*T80</f>
        <v>796</v>
      </c>
      <c r="U24" s="2">
        <f ca="1">goldenOTP_check!U24*U80</f>
        <v>702</v>
      </c>
      <c r="V24" s="2">
        <f ca="1">goldenOTP_check!V24*V80</f>
        <v>608</v>
      </c>
      <c r="W24" s="2">
        <f ca="1">goldenOTP_check!W24*W80</f>
        <v>514</v>
      </c>
      <c r="X24" s="2">
        <f ca="1">goldenOTP_check!X24*X80</f>
        <v>437</v>
      </c>
      <c r="Y24" s="2">
        <f ca="1">goldenOTP_check!Y24*Y80</f>
        <v>363</v>
      </c>
    </row>
    <row r="25" spans="2:25" x14ac:dyDescent="0.3">
      <c r="B25" s="6">
        <v>22</v>
      </c>
      <c r="C25" s="9">
        <v>1</v>
      </c>
      <c r="D25" s="9">
        <v>1</v>
      </c>
      <c r="E25" s="9">
        <v>1</v>
      </c>
      <c r="F25" s="9">
        <v>1</v>
      </c>
      <c r="I25" s="2">
        <f ca="1">goldenOTP_check!I25*I81</f>
        <v>343</v>
      </c>
      <c r="J25" s="2">
        <f ca="1">goldenOTP_check!J25*J81</f>
        <v>409</v>
      </c>
      <c r="K25" s="2">
        <f ca="1">goldenOTP_check!K25*K81</f>
        <v>481</v>
      </c>
      <c r="L25" s="2">
        <f ca="1">goldenOTP_check!L25*L81</f>
        <v>564</v>
      </c>
      <c r="M25" s="2">
        <f ca="1">goldenOTP_check!M25*M81</f>
        <v>647</v>
      </c>
      <c r="N25" s="2">
        <f ca="1">goldenOTP_check!N25*N81</f>
        <v>730</v>
      </c>
      <c r="O25" s="2">
        <f ca="1">goldenOTP_check!O25*O81</f>
        <v>796</v>
      </c>
      <c r="P25" s="2">
        <f ca="1">goldenOTP_check!P25*P81</f>
        <v>846</v>
      </c>
      <c r="Q25" s="2">
        <f ca="1">goldenOTP_check!Q25*Q81</f>
        <v>863</v>
      </c>
      <c r="R25" s="2">
        <f ca="1">goldenOTP_check!R25*R81</f>
        <v>846</v>
      </c>
      <c r="S25" s="2">
        <f ca="1">goldenOTP_check!S25*S81</f>
        <v>796</v>
      </c>
      <c r="T25" s="2">
        <f ca="1">goldenOTP_check!T25*T81</f>
        <v>730</v>
      </c>
      <c r="U25" s="2">
        <f ca="1">goldenOTP_check!U25*U81</f>
        <v>647</v>
      </c>
      <c r="V25" s="2">
        <f ca="1">goldenOTP_check!V25*V81</f>
        <v>559</v>
      </c>
      <c r="W25" s="2">
        <f ca="1">goldenOTP_check!W25*W81</f>
        <v>481</v>
      </c>
      <c r="X25" s="2">
        <f ca="1">goldenOTP_check!X25*X81</f>
        <v>409</v>
      </c>
      <c r="Y25" s="2">
        <f ca="1">goldenOTP_check!Y25*Y81</f>
        <v>343</v>
      </c>
    </row>
    <row r="26" spans="2:25" x14ac:dyDescent="0.3">
      <c r="B26" s="6">
        <v>23</v>
      </c>
      <c r="C26" s="9">
        <v>1</v>
      </c>
      <c r="D26" s="9">
        <v>1</v>
      </c>
      <c r="E26" s="9">
        <v>1</v>
      </c>
      <c r="F26" s="9">
        <v>1</v>
      </c>
      <c r="I26" s="2">
        <f ca="1">goldenOTP_check!I26*I82</f>
        <v>317</v>
      </c>
      <c r="J26" s="2">
        <f ca="1">goldenOTP_check!J26*J82</f>
        <v>376</v>
      </c>
      <c r="K26" s="2">
        <f ca="1">goldenOTP_check!K26*K82</f>
        <v>437</v>
      </c>
      <c r="L26" s="2">
        <f ca="1">goldenOTP_check!L26*L82</f>
        <v>509</v>
      </c>
      <c r="M26" s="2">
        <f ca="1">goldenOTP_check!M26*M82</f>
        <v>575</v>
      </c>
      <c r="N26" s="2">
        <f ca="1">goldenOTP_check!N26*N82</f>
        <v>647</v>
      </c>
      <c r="O26" s="2">
        <f ca="1">goldenOTP_check!O26*O82</f>
        <v>702</v>
      </c>
      <c r="P26" s="2">
        <f ca="1">goldenOTP_check!P26*P82</f>
        <v>741</v>
      </c>
      <c r="Q26" s="2">
        <f ca="1">goldenOTP_check!Q26*Q82</f>
        <v>752</v>
      </c>
      <c r="R26" s="2">
        <f ca="1">goldenOTP_check!R26*R82</f>
        <v>741</v>
      </c>
      <c r="S26" s="2">
        <f ca="1">goldenOTP_check!S26*S82</f>
        <v>702</v>
      </c>
      <c r="T26" s="2">
        <f ca="1">goldenOTP_check!T26*T82</f>
        <v>641</v>
      </c>
      <c r="U26" s="2">
        <f ca="1">goldenOTP_check!U26*U82</f>
        <v>575</v>
      </c>
      <c r="V26" s="2">
        <f ca="1">goldenOTP_check!V26*V82</f>
        <v>503</v>
      </c>
      <c r="W26" s="2">
        <f ca="1">goldenOTP_check!W26*W82</f>
        <v>437</v>
      </c>
      <c r="X26" s="2">
        <f ca="1">goldenOTP_check!X26*X82</f>
        <v>376</v>
      </c>
      <c r="Y26" s="2">
        <f ca="1">goldenOTP_check!Y26*Y82</f>
        <v>317</v>
      </c>
    </row>
    <row r="27" spans="2:25" x14ac:dyDescent="0.3">
      <c r="B27" s="6">
        <v>24</v>
      </c>
      <c r="C27" s="9">
        <v>1</v>
      </c>
      <c r="D27" s="9">
        <v>1</v>
      </c>
      <c r="E27" s="9">
        <v>1</v>
      </c>
      <c r="F27" s="9">
        <v>1</v>
      </c>
      <c r="I27" s="2">
        <f ca="1">goldenOTP_check!I27*I83</f>
        <v>291</v>
      </c>
      <c r="J27" s="2">
        <f ca="1">goldenOTP_check!J27*J83</f>
        <v>343</v>
      </c>
      <c r="K27" s="2">
        <f ca="1">goldenOTP_check!K27*K83</f>
        <v>393</v>
      </c>
      <c r="L27" s="2">
        <f ca="1">goldenOTP_check!L27*L83</f>
        <v>448</v>
      </c>
      <c r="M27" s="2">
        <f ca="1">goldenOTP_check!M27*M83</f>
        <v>503</v>
      </c>
      <c r="N27" s="2">
        <f ca="1">goldenOTP_check!N27*N83</f>
        <v>559</v>
      </c>
      <c r="O27" s="2">
        <f ca="1">goldenOTP_check!O27*O83</f>
        <v>603</v>
      </c>
      <c r="P27" s="2">
        <f ca="1">goldenOTP_check!P27*P83</f>
        <v>636</v>
      </c>
      <c r="Q27" s="2">
        <f ca="1">goldenOTP_check!Q27*Q83</f>
        <v>641</v>
      </c>
      <c r="R27" s="2">
        <f ca="1">goldenOTP_check!R27*R83</f>
        <v>636</v>
      </c>
      <c r="S27" s="2">
        <f ca="1">goldenOTP_check!S27*S83</f>
        <v>603</v>
      </c>
      <c r="T27" s="2">
        <f ca="1">goldenOTP_check!T27*T83</f>
        <v>559</v>
      </c>
      <c r="U27" s="2">
        <f ca="1">goldenOTP_check!U27*U83</f>
        <v>503</v>
      </c>
      <c r="V27" s="2">
        <f ca="1">goldenOTP_check!V27*V83</f>
        <v>448</v>
      </c>
      <c r="W27" s="2">
        <f ca="1">goldenOTP_check!W27*W83</f>
        <v>393</v>
      </c>
      <c r="X27" s="2">
        <f ca="1">goldenOTP_check!X27*X83</f>
        <v>343</v>
      </c>
      <c r="Y27" s="2">
        <f ca="1">goldenOTP_check!Y27*Y83</f>
        <v>291</v>
      </c>
    </row>
    <row r="28" spans="2:25" x14ac:dyDescent="0.3">
      <c r="B28" s="6">
        <v>25</v>
      </c>
      <c r="C28" s="9">
        <v>1</v>
      </c>
      <c r="D28" s="9">
        <v>1</v>
      </c>
      <c r="E28" s="9">
        <v>1</v>
      </c>
      <c r="F28" s="9">
        <v>1</v>
      </c>
      <c r="I28" s="10">
        <f ca="1">goldenOTP_check!I28*I84</f>
        <v>269</v>
      </c>
      <c r="J28" s="2">
        <f ca="1">goldenOTP_check!J28*J84</f>
        <v>299</v>
      </c>
      <c r="K28" s="2">
        <f ca="1">goldenOTP_check!K28*K84</f>
        <v>341</v>
      </c>
      <c r="L28" s="2">
        <f ca="1">goldenOTP_check!L28*L84</f>
        <v>389</v>
      </c>
      <c r="M28" s="2">
        <f ca="1">goldenOTP_check!M28*M84</f>
        <v>429</v>
      </c>
      <c r="N28" s="2">
        <f ca="1">goldenOTP_check!N28*N84</f>
        <v>470</v>
      </c>
      <c r="O28" s="2">
        <f ca="1">goldenOTP_check!O28*O84</f>
        <v>507</v>
      </c>
      <c r="P28" s="2">
        <f ca="1">goldenOTP_check!P28*P84</f>
        <v>525</v>
      </c>
      <c r="Q28" s="2">
        <f ca="1">goldenOTP_check!Q28*Q84</f>
        <v>538</v>
      </c>
      <c r="R28" s="2">
        <f ca="1">goldenOTP_check!R28*R84</f>
        <v>525</v>
      </c>
      <c r="S28" s="2">
        <f ca="1">goldenOTP_check!S28*S84</f>
        <v>507</v>
      </c>
      <c r="T28" s="2">
        <f ca="1">goldenOTP_check!T28*T84</f>
        <v>470</v>
      </c>
      <c r="U28" s="2">
        <f ca="1">goldenOTP_check!U28*U84</f>
        <v>429</v>
      </c>
      <c r="V28" s="2">
        <f ca="1">goldenOTP_check!V28*V84</f>
        <v>389</v>
      </c>
      <c r="W28" s="2">
        <f ca="1">goldenOTP_check!W28*W84</f>
        <v>341</v>
      </c>
      <c r="X28" s="2">
        <f ca="1">goldenOTP_check!X28*X84</f>
        <v>299</v>
      </c>
      <c r="Y28" s="10">
        <f ca="1">goldenOTP_check!Y28*Y84</f>
        <v>269</v>
      </c>
    </row>
    <row r="29" spans="2:25" x14ac:dyDescent="0.3">
      <c r="B29" s="6">
        <v>26</v>
      </c>
      <c r="C29" s="9">
        <v>1</v>
      </c>
      <c r="D29" s="9">
        <v>1</v>
      </c>
      <c r="E29" s="9">
        <v>1</v>
      </c>
      <c r="F29" s="9">
        <v>1</v>
      </c>
    </row>
    <row r="30" spans="2:25" x14ac:dyDescent="0.3">
      <c r="B30" s="6">
        <v>27</v>
      </c>
      <c r="C30" s="9">
        <v>1</v>
      </c>
      <c r="D30" s="9">
        <v>1</v>
      </c>
      <c r="E30" s="9">
        <v>1</v>
      </c>
      <c r="F30" s="9">
        <v>1</v>
      </c>
      <c r="H30" t="s">
        <v>2</v>
      </c>
      <c r="I30" s="11">
        <f ca="1">goldenOTP_check!I30*I86</f>
        <v>262</v>
      </c>
      <c r="J30" s="2">
        <f ca="1">goldenOTP_check!J30*J86</f>
        <v>306</v>
      </c>
      <c r="K30" s="2">
        <f ca="1">goldenOTP_check!K30*K86</f>
        <v>354</v>
      </c>
      <c r="L30" s="2">
        <f ca="1">goldenOTP_check!L30*L86</f>
        <v>402</v>
      </c>
      <c r="M30" s="2">
        <f ca="1">goldenOTP_check!M30*M86</f>
        <v>441</v>
      </c>
      <c r="N30" s="2">
        <f ca="1">goldenOTP_check!N30*N86</f>
        <v>483</v>
      </c>
      <c r="O30" s="2">
        <f ca="1">goldenOTP_check!O30*O86</f>
        <v>518</v>
      </c>
      <c r="P30" s="2">
        <f ca="1">goldenOTP_check!P30*P86</f>
        <v>546</v>
      </c>
      <c r="Q30" s="2">
        <f ca="1">goldenOTP_check!Q30*Q86</f>
        <v>549</v>
      </c>
      <c r="R30" s="2">
        <f ca="1">goldenOTP_check!R30*R86</f>
        <v>546</v>
      </c>
      <c r="S30" s="2">
        <f ca="1">goldenOTP_check!S30*S86</f>
        <v>518</v>
      </c>
      <c r="T30" s="2">
        <f ca="1">goldenOTP_check!T30*T86</f>
        <v>483</v>
      </c>
      <c r="U30" s="2">
        <f ca="1">goldenOTP_check!U30*U86</f>
        <v>441</v>
      </c>
      <c r="V30" s="2">
        <f ca="1">goldenOTP_check!V30*V86</f>
        <v>402</v>
      </c>
      <c r="W30" s="2">
        <f ca="1">goldenOTP_check!W30*W86</f>
        <v>354</v>
      </c>
      <c r="X30" s="2">
        <f ca="1">goldenOTP_check!X30*X86</f>
        <v>306</v>
      </c>
      <c r="Y30" s="11">
        <f ca="1">goldenOTP_check!Y30*Y86</f>
        <v>262</v>
      </c>
    </row>
    <row r="31" spans="2:25" x14ac:dyDescent="0.3">
      <c r="B31" s="6">
        <v>28</v>
      </c>
      <c r="C31" s="9">
        <v>1</v>
      </c>
      <c r="D31" s="9">
        <v>1</v>
      </c>
      <c r="E31" s="9">
        <v>1</v>
      </c>
      <c r="F31" s="9">
        <v>1</v>
      </c>
      <c r="H31" t="s">
        <v>6</v>
      </c>
      <c r="I31" s="2">
        <f ca="1">goldenOTP_check!I31*I87</f>
        <v>291</v>
      </c>
      <c r="J31" s="2">
        <f ca="1">goldenOTP_check!J31*J87</f>
        <v>343</v>
      </c>
      <c r="K31" s="2">
        <f ca="1">goldenOTP_check!K31*K87</f>
        <v>398</v>
      </c>
      <c r="L31" s="2">
        <f ca="1">goldenOTP_check!L31*L87</f>
        <v>453</v>
      </c>
      <c r="M31" s="2">
        <f ca="1">goldenOTP_check!M31*M87</f>
        <v>514</v>
      </c>
      <c r="N31" s="2">
        <f ca="1">goldenOTP_check!N31*N87</f>
        <v>564</v>
      </c>
      <c r="O31" s="2">
        <f ca="1">goldenOTP_check!O31*O87</f>
        <v>614</v>
      </c>
      <c r="P31" s="2">
        <f ca="1">goldenOTP_check!P31*P87</f>
        <v>641</v>
      </c>
      <c r="Q31" s="2">
        <f ca="1">goldenOTP_check!Q31*Q87</f>
        <v>653</v>
      </c>
      <c r="R31" s="2">
        <f ca="1">goldenOTP_check!R31*R87</f>
        <v>641</v>
      </c>
      <c r="S31" s="2">
        <f ca="1">goldenOTP_check!S31*S87</f>
        <v>614</v>
      </c>
      <c r="T31" s="2">
        <f ca="1">goldenOTP_check!T31*T87</f>
        <v>564</v>
      </c>
      <c r="U31" s="2">
        <f ca="1">goldenOTP_check!U31*U87</f>
        <v>514</v>
      </c>
      <c r="V31" s="2">
        <f ca="1">goldenOTP_check!V31*V87</f>
        <v>453</v>
      </c>
      <c r="W31" s="2">
        <f ca="1">goldenOTP_check!W31*W87</f>
        <v>398</v>
      </c>
      <c r="X31" s="2">
        <f ca="1">goldenOTP_check!X31*X87</f>
        <v>343</v>
      </c>
      <c r="Y31" s="2">
        <f ca="1">goldenOTP_check!Y31*Y87</f>
        <v>291</v>
      </c>
    </row>
    <row r="32" spans="2:25" x14ac:dyDescent="0.3">
      <c r="B32" s="6">
        <v>29</v>
      </c>
      <c r="C32" s="9">
        <v>1</v>
      </c>
      <c r="D32" s="9">
        <v>1</v>
      </c>
      <c r="E32" s="9">
        <v>1</v>
      </c>
      <c r="F32" s="9">
        <v>1</v>
      </c>
      <c r="I32" s="2">
        <f ca="1">goldenOTP_check!I32*I88</f>
        <v>315</v>
      </c>
      <c r="J32" s="2">
        <f ca="1">goldenOTP_check!J32*J88</f>
        <v>382</v>
      </c>
      <c r="K32" s="2">
        <f ca="1">goldenOTP_check!K32*K88</f>
        <v>442</v>
      </c>
      <c r="L32" s="2">
        <f ca="1">goldenOTP_check!L32*L88</f>
        <v>509</v>
      </c>
      <c r="M32" s="2">
        <f ca="1">goldenOTP_check!M32*M88</f>
        <v>581</v>
      </c>
      <c r="N32" s="2">
        <f ca="1">goldenOTP_check!N32*N88</f>
        <v>653</v>
      </c>
      <c r="O32" s="2">
        <f ca="1">goldenOTP_check!O32*O88</f>
        <v>708</v>
      </c>
      <c r="P32" s="2">
        <f ca="1">goldenOTP_check!P32*P88</f>
        <v>747</v>
      </c>
      <c r="Q32" s="2">
        <f ca="1">goldenOTP_check!Q32*Q88</f>
        <v>763</v>
      </c>
      <c r="R32" s="2">
        <f ca="1">goldenOTP_check!R32*R88</f>
        <v>747</v>
      </c>
      <c r="S32" s="2">
        <f ca="1">goldenOTP_check!S32*S88</f>
        <v>708</v>
      </c>
      <c r="T32" s="2">
        <f ca="1">goldenOTP_check!T32*T88</f>
        <v>653</v>
      </c>
      <c r="U32" s="2">
        <f ca="1">goldenOTP_check!U32*U88</f>
        <v>581</v>
      </c>
      <c r="V32" s="2">
        <f ca="1">goldenOTP_check!V32*V88</f>
        <v>509</v>
      </c>
      <c r="W32" s="2">
        <f ca="1">goldenOTP_check!W32*W88</f>
        <v>442</v>
      </c>
      <c r="X32" s="2">
        <f ca="1">goldenOTP_check!X32*X88</f>
        <v>382</v>
      </c>
      <c r="Y32" s="2">
        <f ca="1">goldenOTP_check!Y32*Y88</f>
        <v>323</v>
      </c>
    </row>
    <row r="33" spans="2:25" x14ac:dyDescent="0.3">
      <c r="B33" s="6">
        <v>30</v>
      </c>
      <c r="C33" s="9">
        <v>1</v>
      </c>
      <c r="D33" s="9">
        <v>1</v>
      </c>
      <c r="E33" s="9">
        <v>1</v>
      </c>
      <c r="F33" s="9">
        <v>1</v>
      </c>
      <c r="I33" s="2">
        <f ca="1">goldenOTP_check!I33*I89</f>
        <v>343</v>
      </c>
      <c r="J33" s="2">
        <f ca="1">goldenOTP_check!J33*J89</f>
        <v>409</v>
      </c>
      <c r="K33" s="2">
        <f ca="1">goldenOTP_check!K33*K89</f>
        <v>481</v>
      </c>
      <c r="L33" s="2">
        <f ca="1">goldenOTP_check!L33*L89</f>
        <v>564</v>
      </c>
      <c r="M33" s="2">
        <f ca="1">goldenOTP_check!M33*M89</f>
        <v>647</v>
      </c>
      <c r="N33" s="2">
        <f ca="1">goldenOTP_check!N33*N89</f>
        <v>735</v>
      </c>
      <c r="O33" s="2">
        <f ca="1">goldenOTP_check!O33*O89</f>
        <v>802</v>
      </c>
      <c r="P33" s="2">
        <f ca="1">goldenOTP_check!P33*P89</f>
        <v>852</v>
      </c>
      <c r="Q33" s="2">
        <f ca="1">goldenOTP_check!Q33*Q89</f>
        <v>868</v>
      </c>
      <c r="R33" s="2">
        <f ca="1">goldenOTP_check!R33*R89</f>
        <v>852</v>
      </c>
      <c r="S33" s="2">
        <f ca="1">goldenOTP_check!S33*S89</f>
        <v>802</v>
      </c>
      <c r="T33" s="2">
        <f ca="1">goldenOTP_check!T33*T89</f>
        <v>730</v>
      </c>
      <c r="U33" s="2">
        <f ca="1">goldenOTP_check!U33*U89</f>
        <v>647</v>
      </c>
      <c r="V33" s="2">
        <f ca="1">goldenOTP_check!V33*V89</f>
        <v>564</v>
      </c>
      <c r="W33" s="2">
        <f ca="1">goldenOTP_check!W33*W89</f>
        <v>481</v>
      </c>
      <c r="X33" s="2">
        <f ca="1">goldenOTP_check!X33*X89</f>
        <v>409</v>
      </c>
      <c r="Y33" s="2">
        <f ca="1">goldenOTP_check!Y33*Y89</f>
        <v>350</v>
      </c>
    </row>
    <row r="34" spans="2:25" x14ac:dyDescent="0.3">
      <c r="B34" s="6">
        <v>31</v>
      </c>
      <c r="C34" s="9">
        <v>1</v>
      </c>
      <c r="D34" s="9">
        <v>1</v>
      </c>
      <c r="E34" s="9">
        <v>1</v>
      </c>
      <c r="F34" s="9">
        <v>1</v>
      </c>
      <c r="I34" s="2">
        <f ca="1">goldenOTP_check!I34*I90</f>
        <v>363</v>
      </c>
      <c r="J34" s="2">
        <f ca="1">goldenOTP_check!J34*J90</f>
        <v>437</v>
      </c>
      <c r="K34" s="2">
        <f ca="1">goldenOTP_check!K34*K90</f>
        <v>520</v>
      </c>
      <c r="L34" s="2">
        <f ca="1">goldenOTP_check!L34*L90</f>
        <v>608</v>
      </c>
      <c r="M34" s="2">
        <f ca="1">goldenOTP_check!M34*M90</f>
        <v>708</v>
      </c>
      <c r="N34" s="2">
        <f ca="1">goldenOTP_check!N34*N90</f>
        <v>802</v>
      </c>
      <c r="O34" s="2">
        <f ca="1">goldenOTP_check!O34*O90</f>
        <v>879</v>
      </c>
      <c r="P34" s="2">
        <f ca="1">goldenOTP_check!P34*P90</f>
        <v>935</v>
      </c>
      <c r="Q34" s="2">
        <f ca="1">goldenOTP_check!Q34*Q90</f>
        <v>951</v>
      </c>
      <c r="R34" s="2">
        <f ca="1">goldenOTP_check!R34*R90</f>
        <v>935</v>
      </c>
      <c r="S34" s="2">
        <f ca="1">goldenOTP_check!S34*S90</f>
        <v>879</v>
      </c>
      <c r="T34" s="2">
        <f ca="1">goldenOTP_check!T34*T90</f>
        <v>802</v>
      </c>
      <c r="U34" s="2">
        <f ca="1">goldenOTP_check!U34*U90</f>
        <v>702</v>
      </c>
      <c r="V34" s="2">
        <f ca="1">goldenOTP_check!V34*V90</f>
        <v>608</v>
      </c>
      <c r="W34" s="2">
        <f ca="1">goldenOTP_check!W34*W90</f>
        <v>514</v>
      </c>
      <c r="X34" s="2">
        <f ca="1">goldenOTP_check!X34*X90</f>
        <v>437</v>
      </c>
      <c r="Y34" s="2">
        <f ca="1">goldenOTP_check!Y34*Y90</f>
        <v>363</v>
      </c>
    </row>
    <row r="35" spans="2:25" x14ac:dyDescent="0.3">
      <c r="B35" s="6">
        <v>32</v>
      </c>
      <c r="C35" s="9">
        <v>1</v>
      </c>
      <c r="D35" s="9">
        <v>1</v>
      </c>
      <c r="E35" s="9">
        <v>1</v>
      </c>
      <c r="F35" s="9">
        <v>1</v>
      </c>
      <c r="I35" s="2">
        <f ca="1">goldenOTP_check!I35*I91</f>
        <v>380</v>
      </c>
      <c r="J35" s="2">
        <f ca="1">goldenOTP_check!J35*J91</f>
        <v>453</v>
      </c>
      <c r="K35" s="2">
        <f ca="1">goldenOTP_check!K35*K91</f>
        <v>536</v>
      </c>
      <c r="L35" s="2">
        <f ca="1">goldenOTP_check!L35*L91</f>
        <v>636</v>
      </c>
      <c r="M35" s="2">
        <f ca="1">goldenOTP_check!M35*M91</f>
        <v>747</v>
      </c>
      <c r="N35" s="2">
        <f ca="1">goldenOTP_check!N35*N91</f>
        <v>846</v>
      </c>
      <c r="O35" s="2">
        <f ca="1">goldenOTP_check!O35*O91</f>
        <v>929</v>
      </c>
      <c r="P35" s="2">
        <f ca="1">goldenOTP_check!P35*P91</f>
        <v>984</v>
      </c>
      <c r="Q35" s="2">
        <f ca="1">goldenOTP_check!Q35*Q91</f>
        <v>1001</v>
      </c>
      <c r="R35" s="2">
        <f ca="1">goldenOTP_check!R35*R91</f>
        <v>984</v>
      </c>
      <c r="S35" s="2">
        <f ca="1">goldenOTP_check!S35*S91</f>
        <v>929</v>
      </c>
      <c r="T35" s="2">
        <f ca="1">goldenOTP_check!T35*T91</f>
        <v>846</v>
      </c>
      <c r="U35" s="2">
        <f ca="1">goldenOTP_check!U35*U91</f>
        <v>741</v>
      </c>
      <c r="V35" s="2">
        <f ca="1">goldenOTP_check!V35*V91</f>
        <v>636</v>
      </c>
      <c r="W35" s="2">
        <f ca="1">goldenOTP_check!W35*W91</f>
        <v>536</v>
      </c>
      <c r="X35" s="2">
        <f ca="1">goldenOTP_check!X35*X91</f>
        <v>453</v>
      </c>
      <c r="Y35" s="2">
        <f ca="1">goldenOTP_check!Y35*Y91</f>
        <v>380</v>
      </c>
    </row>
    <row r="36" spans="2:25" x14ac:dyDescent="0.3">
      <c r="B36" s="6">
        <v>33</v>
      </c>
      <c r="C36" s="9">
        <v>1</v>
      </c>
      <c r="D36" s="9">
        <v>1</v>
      </c>
      <c r="E36" s="9">
        <v>1</v>
      </c>
      <c r="F36" s="9">
        <v>1</v>
      </c>
      <c r="I36" s="2">
        <f ca="1">goldenOTP_check!I36*I92</f>
        <v>378</v>
      </c>
      <c r="J36" s="2">
        <f ca="1">goldenOTP_check!J36*J92</f>
        <v>459</v>
      </c>
      <c r="K36" s="2">
        <f ca="1">goldenOTP_check!K36*K92</f>
        <v>547</v>
      </c>
      <c r="L36" s="2">
        <f ca="1">goldenOTP_check!L36*L92</f>
        <v>647</v>
      </c>
      <c r="M36" s="2">
        <f ca="1">goldenOTP_check!M36*M92</f>
        <v>758</v>
      </c>
      <c r="N36" s="2">
        <f ca="1">goldenOTP_check!N36*N92</f>
        <v>863</v>
      </c>
      <c r="O36" s="2">
        <f ca="1">goldenOTP_check!O36*O92</f>
        <v>946</v>
      </c>
      <c r="P36" s="2">
        <f ca="1">goldenOTP_check!P36*P92</f>
        <v>1001</v>
      </c>
      <c r="Q36" s="2">
        <f ca="1">goldenOTP_check!Q36*Q92</f>
        <v>1023</v>
      </c>
      <c r="R36" s="2">
        <f ca="1">goldenOTP_check!R36*R92</f>
        <v>1001</v>
      </c>
      <c r="S36" s="2">
        <f ca="1">goldenOTP_check!S36*S92</f>
        <v>946</v>
      </c>
      <c r="T36" s="2">
        <f ca="1">goldenOTP_check!T36*T92</f>
        <v>857</v>
      </c>
      <c r="U36" s="2">
        <f ca="1">goldenOTP_check!U36*U92</f>
        <v>752</v>
      </c>
      <c r="V36" s="2">
        <f ca="1">goldenOTP_check!V36*V92</f>
        <v>647</v>
      </c>
      <c r="W36" s="2">
        <f ca="1">goldenOTP_check!W36*W92</f>
        <v>542</v>
      </c>
      <c r="X36" s="2">
        <f ca="1">goldenOTP_check!X36*X92</f>
        <v>459</v>
      </c>
      <c r="Y36" s="2">
        <f ca="1">goldenOTP_check!Y36*Y92</f>
        <v>378</v>
      </c>
    </row>
    <row r="37" spans="2:25" x14ac:dyDescent="0.3">
      <c r="B37" s="6">
        <v>34</v>
      </c>
      <c r="C37" s="9">
        <v>1</v>
      </c>
      <c r="D37" s="9">
        <v>1</v>
      </c>
      <c r="E37" s="9">
        <v>1</v>
      </c>
      <c r="F37" s="9">
        <v>1</v>
      </c>
      <c r="I37" s="2">
        <f ca="1">goldenOTP_check!I37*I93</f>
        <v>372</v>
      </c>
      <c r="J37" s="2">
        <f ca="1">goldenOTP_check!J37*J93</f>
        <v>453</v>
      </c>
      <c r="K37" s="2">
        <f ca="1">goldenOTP_check!K37*K93</f>
        <v>536</v>
      </c>
      <c r="L37" s="2">
        <f ca="1">goldenOTP_check!L37*L93</f>
        <v>636</v>
      </c>
      <c r="M37" s="2">
        <f ca="1">goldenOTP_check!M37*M93</f>
        <v>741</v>
      </c>
      <c r="N37" s="2">
        <f ca="1">goldenOTP_check!N37*N93</f>
        <v>846</v>
      </c>
      <c r="O37" s="2">
        <f ca="1">goldenOTP_check!O37*O93</f>
        <v>929</v>
      </c>
      <c r="P37" s="2">
        <f ca="1">goldenOTP_check!P37*P93</f>
        <v>984</v>
      </c>
      <c r="Q37" s="2">
        <f ca="1">goldenOTP_check!Q37*Q93</f>
        <v>1001</v>
      </c>
      <c r="R37" s="2">
        <f ca="1">goldenOTP_check!R37*R93</f>
        <v>984</v>
      </c>
      <c r="S37" s="2">
        <f ca="1">goldenOTP_check!S37*S93</f>
        <v>923</v>
      </c>
      <c r="T37" s="2">
        <f ca="1">goldenOTP_check!T37*T93</f>
        <v>841</v>
      </c>
      <c r="U37" s="2">
        <f ca="1">goldenOTP_check!U37*U93</f>
        <v>741</v>
      </c>
      <c r="V37" s="2">
        <f ca="1">goldenOTP_check!V37*V93</f>
        <v>630</v>
      </c>
      <c r="W37" s="2">
        <f ca="1">goldenOTP_check!W37*W93</f>
        <v>536</v>
      </c>
      <c r="X37" s="2">
        <f ca="1">goldenOTP_check!X37*X93</f>
        <v>448</v>
      </c>
      <c r="Y37" s="2">
        <f ca="1">goldenOTP_check!Y37*Y93</f>
        <v>374</v>
      </c>
    </row>
    <row r="38" spans="2:25" x14ac:dyDescent="0.3">
      <c r="B38" s="6">
        <v>35</v>
      </c>
      <c r="C38" s="9">
        <v>1</v>
      </c>
      <c r="D38" s="9">
        <v>1</v>
      </c>
      <c r="E38" s="9">
        <v>1</v>
      </c>
      <c r="F38" s="9">
        <v>1</v>
      </c>
      <c r="I38" s="2">
        <f ca="1">goldenOTP_check!I38*I94</f>
        <v>363</v>
      </c>
      <c r="J38" s="2">
        <f ca="1">goldenOTP_check!J38*J94</f>
        <v>437</v>
      </c>
      <c r="K38" s="2">
        <f ca="1">goldenOTP_check!K38*K94</f>
        <v>514</v>
      </c>
      <c r="L38" s="2">
        <f ca="1">goldenOTP_check!L38*L94</f>
        <v>603</v>
      </c>
      <c r="M38" s="2">
        <f ca="1">goldenOTP_check!M38*M94</f>
        <v>702</v>
      </c>
      <c r="N38" s="2">
        <f ca="1">goldenOTP_check!N38*N94</f>
        <v>796</v>
      </c>
      <c r="O38" s="2">
        <f ca="1">goldenOTP_check!O38*O94</f>
        <v>874</v>
      </c>
      <c r="P38" s="2">
        <f ca="1">goldenOTP_check!P38*P94</f>
        <v>923</v>
      </c>
      <c r="Q38" s="2">
        <f ca="1">goldenOTP_check!Q38*Q94</f>
        <v>946</v>
      </c>
      <c r="R38" s="2">
        <f ca="1">goldenOTP_check!R38*R94</f>
        <v>923</v>
      </c>
      <c r="S38" s="2">
        <f ca="1">goldenOTP_check!S38*S94</f>
        <v>874</v>
      </c>
      <c r="T38" s="2">
        <f ca="1">goldenOTP_check!T38*T94</f>
        <v>791</v>
      </c>
      <c r="U38" s="2">
        <f ca="1">goldenOTP_check!U38*U94</f>
        <v>697</v>
      </c>
      <c r="V38" s="2">
        <f ca="1">goldenOTP_check!V38*V94</f>
        <v>603</v>
      </c>
      <c r="W38" s="2">
        <f ca="1">goldenOTP_check!W38*W94</f>
        <v>509</v>
      </c>
      <c r="X38" s="2">
        <f ca="1">goldenOTP_check!X38*X94</f>
        <v>431</v>
      </c>
      <c r="Y38" s="2">
        <f ca="1">goldenOTP_check!Y38*Y94</f>
        <v>365</v>
      </c>
    </row>
    <row r="39" spans="2:25" x14ac:dyDescent="0.3">
      <c r="B39" s="6">
        <v>36</v>
      </c>
      <c r="C39" s="9">
        <v>1</v>
      </c>
      <c r="D39" s="9">
        <v>1</v>
      </c>
      <c r="E39" s="9">
        <v>1</v>
      </c>
      <c r="F39" s="9">
        <v>1</v>
      </c>
      <c r="I39" s="2">
        <f ca="1">goldenOTP_check!I39*I95</f>
        <v>335</v>
      </c>
      <c r="J39" s="2">
        <f ca="1">goldenOTP_check!J39*J95</f>
        <v>409</v>
      </c>
      <c r="K39" s="2">
        <f ca="1">goldenOTP_check!K39*K95</f>
        <v>476</v>
      </c>
      <c r="L39" s="2">
        <f ca="1">goldenOTP_check!L39*L95</f>
        <v>559</v>
      </c>
      <c r="M39" s="2">
        <f ca="1">goldenOTP_check!M39*M95</f>
        <v>641</v>
      </c>
      <c r="N39" s="2">
        <f ca="1">goldenOTP_check!N39*N95</f>
        <v>724</v>
      </c>
      <c r="O39" s="2">
        <f ca="1">goldenOTP_check!O39*O95</f>
        <v>796</v>
      </c>
      <c r="P39" s="2">
        <f ca="1">goldenOTP_check!P39*P95</f>
        <v>841</v>
      </c>
      <c r="Q39" s="2">
        <f ca="1">goldenOTP_check!Q39*Q95</f>
        <v>857</v>
      </c>
      <c r="R39" s="2">
        <f ca="1">goldenOTP_check!R39*R95</f>
        <v>841</v>
      </c>
      <c r="S39" s="2">
        <f ca="1">goldenOTP_check!S39*S95</f>
        <v>791</v>
      </c>
      <c r="T39" s="2">
        <f ca="1">goldenOTP_check!T39*T95</f>
        <v>719</v>
      </c>
      <c r="U39" s="2">
        <f ca="1">goldenOTP_check!U39*U95</f>
        <v>636</v>
      </c>
      <c r="V39" s="2">
        <f ca="1">goldenOTP_check!V39*V95</f>
        <v>553</v>
      </c>
      <c r="W39" s="2">
        <f ca="1">goldenOTP_check!W39*W95</f>
        <v>476</v>
      </c>
      <c r="X39" s="2">
        <f ca="1">goldenOTP_check!X39*X95</f>
        <v>404</v>
      </c>
      <c r="Y39" s="2">
        <f ca="1">goldenOTP_check!Y39*Y95</f>
        <v>345</v>
      </c>
    </row>
    <row r="40" spans="2:25" x14ac:dyDescent="0.3">
      <c r="B40" s="6">
        <v>37</v>
      </c>
      <c r="C40" s="9">
        <v>1</v>
      </c>
      <c r="D40" s="9">
        <v>1</v>
      </c>
      <c r="E40" s="9">
        <v>1</v>
      </c>
      <c r="F40" s="9">
        <v>1</v>
      </c>
      <c r="I40" s="2">
        <f ca="1">goldenOTP_check!I40*I96</f>
        <v>317</v>
      </c>
      <c r="J40" s="2">
        <f ca="1">goldenOTP_check!J40*J96</f>
        <v>376</v>
      </c>
      <c r="K40" s="2">
        <f ca="1">goldenOTP_check!K40*K96</f>
        <v>437</v>
      </c>
      <c r="L40" s="2">
        <f ca="1">goldenOTP_check!L40*L96</f>
        <v>503</v>
      </c>
      <c r="M40" s="2">
        <f ca="1">goldenOTP_check!M40*M96</f>
        <v>570</v>
      </c>
      <c r="N40" s="2">
        <f ca="1">goldenOTP_check!N40*N96</f>
        <v>641</v>
      </c>
      <c r="O40" s="2">
        <f ca="1">goldenOTP_check!O40*O96</f>
        <v>697</v>
      </c>
      <c r="P40" s="2">
        <f ca="1">goldenOTP_check!P40*P96</f>
        <v>735</v>
      </c>
      <c r="Q40" s="2">
        <f ca="1">goldenOTP_check!Q40*Q96</f>
        <v>747</v>
      </c>
      <c r="R40" s="2">
        <f ca="1">goldenOTP_check!R40*R96</f>
        <v>735</v>
      </c>
      <c r="S40" s="2">
        <f ca="1">goldenOTP_check!S40*S96</f>
        <v>697</v>
      </c>
      <c r="T40" s="2">
        <f ca="1">goldenOTP_check!T40*T96</f>
        <v>636</v>
      </c>
      <c r="U40" s="2">
        <f ca="1">goldenOTP_check!U40*U96</f>
        <v>570</v>
      </c>
      <c r="V40" s="2">
        <f ca="1">goldenOTP_check!V40*V96</f>
        <v>498</v>
      </c>
      <c r="W40" s="2">
        <f ca="1">goldenOTP_check!W40*W96</f>
        <v>431</v>
      </c>
      <c r="X40" s="2">
        <f ca="1">goldenOTP_check!X40*X96</f>
        <v>370</v>
      </c>
      <c r="Y40" s="2">
        <f ca="1">goldenOTP_check!Y40*Y96</f>
        <v>319</v>
      </c>
    </row>
    <row r="41" spans="2:25" x14ac:dyDescent="0.3">
      <c r="B41" s="6">
        <v>38</v>
      </c>
      <c r="C41" s="9">
        <v>1</v>
      </c>
      <c r="D41" s="9">
        <v>1</v>
      </c>
      <c r="E41" s="9">
        <v>1</v>
      </c>
      <c r="F41" s="9">
        <v>1</v>
      </c>
      <c r="I41" s="2">
        <f ca="1">goldenOTP_check!I41*I97</f>
        <v>293</v>
      </c>
      <c r="J41" s="2">
        <f ca="1">goldenOTP_check!J41*J97</f>
        <v>337</v>
      </c>
      <c r="K41" s="2">
        <f ca="1">goldenOTP_check!K41*K97</f>
        <v>393</v>
      </c>
      <c r="L41" s="2">
        <f ca="1">goldenOTP_check!L41*L97</f>
        <v>442</v>
      </c>
      <c r="M41" s="2">
        <f ca="1">goldenOTP_check!M41*M97</f>
        <v>498</v>
      </c>
      <c r="N41" s="2">
        <f ca="1">goldenOTP_check!N41*N97</f>
        <v>553</v>
      </c>
      <c r="O41" s="2">
        <f ca="1">goldenOTP_check!O41*O97</f>
        <v>597</v>
      </c>
      <c r="P41" s="2">
        <f ca="1">goldenOTP_check!P41*P97</f>
        <v>630</v>
      </c>
      <c r="Q41" s="2">
        <f ca="1">goldenOTP_check!Q41*Q97</f>
        <v>636</v>
      </c>
      <c r="R41" s="2">
        <f ca="1">goldenOTP_check!R41*R97</f>
        <v>630</v>
      </c>
      <c r="S41" s="2">
        <f ca="1">goldenOTP_check!S41*S97</f>
        <v>597</v>
      </c>
      <c r="T41" s="2">
        <f ca="1">goldenOTP_check!T41*T97</f>
        <v>553</v>
      </c>
      <c r="U41" s="2">
        <f ca="1">goldenOTP_check!U41*U97</f>
        <v>498</v>
      </c>
      <c r="V41" s="2">
        <f ca="1">goldenOTP_check!V41*V97</f>
        <v>442</v>
      </c>
      <c r="W41" s="2">
        <f ca="1">goldenOTP_check!W41*W97</f>
        <v>387</v>
      </c>
      <c r="X41" s="2">
        <f ca="1">goldenOTP_check!X41*X97</f>
        <v>337</v>
      </c>
      <c r="Y41" s="2">
        <f ca="1">goldenOTP_check!Y41*Y97</f>
        <v>293</v>
      </c>
    </row>
    <row r="42" spans="2:25" x14ac:dyDescent="0.3">
      <c r="B42" s="6">
        <v>39</v>
      </c>
      <c r="C42" s="9">
        <v>1</v>
      </c>
      <c r="D42" s="9">
        <v>1</v>
      </c>
      <c r="E42" s="9">
        <v>1</v>
      </c>
      <c r="F42" s="9">
        <v>1</v>
      </c>
      <c r="I42" s="11">
        <f ca="1">goldenOTP_check!I42*I98</f>
        <v>271</v>
      </c>
      <c r="J42" s="2">
        <f ca="1">goldenOTP_check!J42*J98</f>
        <v>300</v>
      </c>
      <c r="K42" s="2">
        <f ca="1">goldenOTP_check!K42*K98</f>
        <v>341</v>
      </c>
      <c r="L42" s="2">
        <f ca="1">goldenOTP_check!L42*L98</f>
        <v>383</v>
      </c>
      <c r="M42" s="2">
        <f ca="1">goldenOTP_check!M42*M98</f>
        <v>431</v>
      </c>
      <c r="N42" s="2">
        <f ca="1">goldenOTP_check!N42*N98</f>
        <v>464</v>
      </c>
      <c r="O42" s="2">
        <f ca="1">goldenOTP_check!O42*O98</f>
        <v>501</v>
      </c>
      <c r="P42" s="2">
        <f ca="1">goldenOTP_check!P42*P98</f>
        <v>520</v>
      </c>
      <c r="Q42" s="2">
        <f ca="1">goldenOTP_check!Q42*Q98</f>
        <v>533</v>
      </c>
      <c r="R42" s="2">
        <f ca="1">goldenOTP_check!R42*R98</f>
        <v>520</v>
      </c>
      <c r="S42" s="2">
        <f ca="1">goldenOTP_check!S42*S98</f>
        <v>501</v>
      </c>
      <c r="T42" s="2">
        <f ca="1">goldenOTP_check!T42*T98</f>
        <v>464</v>
      </c>
      <c r="U42" s="2">
        <f ca="1">goldenOTP_check!U42*U98</f>
        <v>424</v>
      </c>
      <c r="V42" s="2">
        <f ca="1">goldenOTP_check!V42*V98</f>
        <v>383</v>
      </c>
      <c r="W42" s="2">
        <f ca="1">goldenOTP_check!W42*W98</f>
        <v>343</v>
      </c>
      <c r="X42" s="2">
        <f ca="1">goldenOTP_check!X42*X98</f>
        <v>300</v>
      </c>
      <c r="Y42" s="11">
        <f ca="1">goldenOTP_check!Y42*Y98</f>
        <v>264</v>
      </c>
    </row>
    <row r="43" spans="2:25" x14ac:dyDescent="0.3">
      <c r="B43" s="6">
        <v>40</v>
      </c>
      <c r="C43" s="9">
        <v>1</v>
      </c>
      <c r="D43" s="9">
        <v>1</v>
      </c>
      <c r="E43" s="9">
        <v>1</v>
      </c>
      <c r="F43" s="9">
        <v>1</v>
      </c>
    </row>
    <row r="44" spans="2:25" x14ac:dyDescent="0.3">
      <c r="B44" s="6">
        <v>41</v>
      </c>
      <c r="C44" s="9">
        <v>1</v>
      </c>
      <c r="D44" s="9">
        <v>1</v>
      </c>
      <c r="E44" s="9">
        <v>1</v>
      </c>
      <c r="F44" s="9">
        <v>1</v>
      </c>
      <c r="H44" t="s">
        <v>3</v>
      </c>
      <c r="I44" s="12">
        <f ca="1">goldenOTP_check!I44*I100</f>
        <v>265</v>
      </c>
      <c r="J44" s="4">
        <f ca="1">goldenOTP_check!J44*J100</f>
        <v>311</v>
      </c>
      <c r="K44" s="4">
        <f ca="1">goldenOTP_check!K44*K100</f>
        <v>352</v>
      </c>
      <c r="L44" s="4">
        <f ca="1">goldenOTP_check!L44*L100</f>
        <v>409</v>
      </c>
      <c r="M44" s="4">
        <f ca="1">goldenOTP_check!M44*M100</f>
        <v>451</v>
      </c>
      <c r="N44" s="4">
        <f ca="1">goldenOTP_check!N44*N100</f>
        <v>477</v>
      </c>
      <c r="O44" s="4">
        <f ca="1">goldenOTP_check!O44*O100</f>
        <v>523</v>
      </c>
      <c r="P44" s="4">
        <f ca="1">goldenOTP_check!P44*P100</f>
        <v>546</v>
      </c>
      <c r="Q44" s="4">
        <f ca="1">goldenOTP_check!Q44*Q100</f>
        <v>557</v>
      </c>
      <c r="R44" s="4">
        <f ca="1">goldenOTP_check!R44*R100</f>
        <v>546</v>
      </c>
      <c r="S44" s="4">
        <f ca="1">goldenOTP_check!S44*S100</f>
        <v>523</v>
      </c>
      <c r="T44" s="4">
        <f ca="1">goldenOTP_check!T44*T100</f>
        <v>477</v>
      </c>
      <c r="U44" s="4">
        <f ca="1">goldenOTP_check!U44*U100</f>
        <v>451</v>
      </c>
      <c r="V44" s="4">
        <f ca="1">goldenOTP_check!V44*V100</f>
        <v>394</v>
      </c>
      <c r="W44" s="4">
        <f ca="1">goldenOTP_check!W44*W100</f>
        <v>352</v>
      </c>
      <c r="X44" s="4">
        <f ca="1">goldenOTP_check!X44*X100</f>
        <v>311</v>
      </c>
      <c r="Y44" s="12">
        <f ca="1">goldenOTP_check!Y44*Y100</f>
        <v>265</v>
      </c>
    </row>
    <row r="45" spans="2:25" x14ac:dyDescent="0.3">
      <c r="B45" s="6">
        <v>42</v>
      </c>
      <c r="C45" s="9">
        <v>1</v>
      </c>
      <c r="D45" s="9">
        <v>1</v>
      </c>
      <c r="E45" s="9">
        <v>1</v>
      </c>
      <c r="F45" s="9">
        <v>1</v>
      </c>
      <c r="H45" t="s">
        <v>6</v>
      </c>
      <c r="I45" s="4">
        <f ca="1">goldenOTP_check!I45*I101</f>
        <v>296</v>
      </c>
      <c r="J45" s="4">
        <f ca="1">goldenOTP_check!J45*J101</f>
        <v>341</v>
      </c>
      <c r="K45" s="4">
        <f ca="1">goldenOTP_check!K45*K101</f>
        <v>398</v>
      </c>
      <c r="L45" s="4">
        <f ca="1">goldenOTP_check!L45*L101</f>
        <v>455</v>
      </c>
      <c r="M45" s="4">
        <f ca="1">goldenOTP_check!M45*M101</f>
        <v>512</v>
      </c>
      <c r="N45" s="4">
        <f ca="1">goldenOTP_check!N45*N101</f>
        <v>568</v>
      </c>
      <c r="O45" s="4">
        <f ca="1">goldenOTP_check!O45*O101</f>
        <v>614</v>
      </c>
      <c r="P45" s="4">
        <f ca="1">goldenOTP_check!P45*P101</f>
        <v>637</v>
      </c>
      <c r="Q45" s="4">
        <f ca="1">goldenOTP_check!Q45*Q101</f>
        <v>648</v>
      </c>
      <c r="R45" s="4">
        <f ca="1">goldenOTP_check!R45*R101</f>
        <v>637</v>
      </c>
      <c r="S45" s="4">
        <f ca="1">goldenOTP_check!S45*S101</f>
        <v>614</v>
      </c>
      <c r="T45" s="4">
        <f ca="1">goldenOTP_check!T45*T101</f>
        <v>568</v>
      </c>
      <c r="U45" s="4">
        <f ca="1">goldenOTP_check!U45*U101</f>
        <v>512</v>
      </c>
      <c r="V45" s="4">
        <f ca="1">goldenOTP_check!V45*V101</f>
        <v>455</v>
      </c>
      <c r="W45" s="4">
        <f ca="1">goldenOTP_check!W45*W101</f>
        <v>398</v>
      </c>
      <c r="X45" s="4">
        <f ca="1">goldenOTP_check!X45*X101</f>
        <v>341</v>
      </c>
      <c r="Y45" s="4">
        <f ca="1">goldenOTP_check!Y45*Y101</f>
        <v>296</v>
      </c>
    </row>
    <row r="46" spans="2:25" x14ac:dyDescent="0.3">
      <c r="B46" s="6">
        <v>43</v>
      </c>
      <c r="C46" s="9">
        <v>1</v>
      </c>
      <c r="D46" s="9">
        <v>1</v>
      </c>
      <c r="E46" s="9">
        <v>1</v>
      </c>
      <c r="F46" s="9">
        <v>1</v>
      </c>
      <c r="I46" s="4">
        <f ca="1">goldenOTP_check!I46*I102</f>
        <v>314</v>
      </c>
      <c r="J46" s="4">
        <f ca="1">goldenOTP_check!J46*J102</f>
        <v>375</v>
      </c>
      <c r="K46" s="4">
        <f ca="1">goldenOTP_check!K46*K102</f>
        <v>443</v>
      </c>
      <c r="L46" s="4">
        <f ca="1">goldenOTP_check!L46*L102</f>
        <v>512</v>
      </c>
      <c r="M46" s="4">
        <f ca="1">goldenOTP_check!M46*M102</f>
        <v>580</v>
      </c>
      <c r="N46" s="4">
        <f ca="1">goldenOTP_check!N46*N102</f>
        <v>648</v>
      </c>
      <c r="O46" s="4">
        <f ca="1">goldenOTP_check!O46*O102</f>
        <v>705</v>
      </c>
      <c r="P46" s="4">
        <f ca="1">goldenOTP_check!P46*P102</f>
        <v>750</v>
      </c>
      <c r="Q46" s="4">
        <f ca="1">goldenOTP_check!Q46*Q102</f>
        <v>762</v>
      </c>
      <c r="R46" s="4">
        <f ca="1">goldenOTP_check!R46*R102</f>
        <v>750</v>
      </c>
      <c r="S46" s="4">
        <f ca="1">goldenOTP_check!S46*S102</f>
        <v>705</v>
      </c>
      <c r="T46" s="4">
        <f ca="1">goldenOTP_check!T46*T102</f>
        <v>648</v>
      </c>
      <c r="U46" s="4">
        <f ca="1">goldenOTP_check!U46*U102</f>
        <v>580</v>
      </c>
      <c r="V46" s="4">
        <f ca="1">goldenOTP_check!V46*V102</f>
        <v>512</v>
      </c>
      <c r="W46" s="4">
        <f ca="1">goldenOTP_check!W46*W102</f>
        <v>443</v>
      </c>
      <c r="X46" s="4">
        <f ca="1">goldenOTP_check!X46*X102</f>
        <v>375</v>
      </c>
      <c r="Y46" s="4">
        <f ca="1">goldenOTP_check!Y46*Y102</f>
        <v>314</v>
      </c>
    </row>
    <row r="47" spans="2:25" x14ac:dyDescent="0.3">
      <c r="B47" s="6">
        <v>44</v>
      </c>
      <c r="C47" s="9">
        <v>1</v>
      </c>
      <c r="D47" s="9">
        <v>1</v>
      </c>
      <c r="E47" s="9">
        <v>1</v>
      </c>
      <c r="F47" s="9">
        <v>1</v>
      </c>
      <c r="I47" s="4">
        <f ca="1">goldenOTP_check!I47*I103</f>
        <v>349</v>
      </c>
      <c r="J47" s="4">
        <f ca="1">goldenOTP_check!J47*J103</f>
        <v>409</v>
      </c>
      <c r="K47" s="4">
        <f ca="1">goldenOTP_check!K47*K103</f>
        <v>489</v>
      </c>
      <c r="L47" s="4">
        <f ca="1">goldenOTP_check!L47*L103</f>
        <v>568</v>
      </c>
      <c r="M47" s="4">
        <f ca="1">goldenOTP_check!M47*M103</f>
        <v>648</v>
      </c>
      <c r="N47" s="4">
        <f ca="1">goldenOTP_check!N47*N103</f>
        <v>739</v>
      </c>
      <c r="O47" s="4">
        <f ca="1">goldenOTP_check!O47*O103</f>
        <v>807</v>
      </c>
      <c r="P47" s="4">
        <f ca="1">goldenOTP_check!P47*P103</f>
        <v>853</v>
      </c>
      <c r="Q47" s="4">
        <f ca="1">goldenOTP_check!Q47*Q103</f>
        <v>864</v>
      </c>
      <c r="R47" s="4">
        <f ca="1">goldenOTP_check!R47*R103</f>
        <v>853</v>
      </c>
      <c r="S47" s="4">
        <f ca="1">goldenOTP_check!S47*S103</f>
        <v>807</v>
      </c>
      <c r="T47" s="4">
        <f ca="1">goldenOTP_check!T47*T103</f>
        <v>727</v>
      </c>
      <c r="U47" s="4">
        <f ca="1">goldenOTP_check!U47*U103</f>
        <v>648</v>
      </c>
      <c r="V47" s="4">
        <f ca="1">goldenOTP_check!V47*V103</f>
        <v>557</v>
      </c>
      <c r="W47" s="4">
        <f ca="1">goldenOTP_check!W47*W103</f>
        <v>477</v>
      </c>
      <c r="X47" s="4">
        <f ca="1">goldenOTP_check!X47*X103</f>
        <v>409</v>
      </c>
      <c r="Y47" s="4">
        <f ca="1">goldenOTP_check!Y47*Y103</f>
        <v>349</v>
      </c>
    </row>
    <row r="48" spans="2:25" x14ac:dyDescent="0.3">
      <c r="B48" s="6">
        <v>45</v>
      </c>
      <c r="C48" s="9">
        <v>1</v>
      </c>
      <c r="D48" s="9">
        <v>1</v>
      </c>
      <c r="E48" s="9">
        <v>1</v>
      </c>
      <c r="F48" s="9">
        <v>1</v>
      </c>
      <c r="I48" s="4">
        <f ca="1">goldenOTP_check!I48*I104</f>
        <v>371</v>
      </c>
      <c r="J48" s="4">
        <f ca="1">goldenOTP_check!J48*J104</f>
        <v>432</v>
      </c>
      <c r="K48" s="4">
        <f ca="1">goldenOTP_check!K48*K104</f>
        <v>512</v>
      </c>
      <c r="L48" s="4">
        <f ca="1">goldenOTP_check!L48*L104</f>
        <v>614</v>
      </c>
      <c r="M48" s="4">
        <f ca="1">goldenOTP_check!M48*M104</f>
        <v>705</v>
      </c>
      <c r="N48" s="4">
        <f ca="1">goldenOTP_check!N48*N104</f>
        <v>807</v>
      </c>
      <c r="O48" s="4">
        <f ca="1">goldenOTP_check!O48*O104</f>
        <v>887</v>
      </c>
      <c r="P48" s="4">
        <f ca="1">goldenOTP_check!P48*P104</f>
        <v>932</v>
      </c>
      <c r="Q48" s="4">
        <f ca="1">goldenOTP_check!Q48*Q104</f>
        <v>955</v>
      </c>
      <c r="R48" s="4">
        <f ca="1">goldenOTP_check!R48*R104</f>
        <v>932</v>
      </c>
      <c r="S48" s="4">
        <f ca="1">goldenOTP_check!S48*S104</f>
        <v>887</v>
      </c>
      <c r="T48" s="4">
        <f ca="1">goldenOTP_check!T48*T104</f>
        <v>807</v>
      </c>
      <c r="U48" s="4">
        <f ca="1">goldenOTP_check!U48*U104</f>
        <v>705</v>
      </c>
      <c r="V48" s="4">
        <f ca="1">goldenOTP_check!V48*V104</f>
        <v>602</v>
      </c>
      <c r="W48" s="4">
        <f ca="1">goldenOTP_check!W48*W104</f>
        <v>512</v>
      </c>
      <c r="X48" s="4">
        <f ca="1">goldenOTP_check!X48*X104</f>
        <v>432</v>
      </c>
      <c r="Y48" s="4">
        <f ca="1">goldenOTP_check!Y48*Y104</f>
        <v>371</v>
      </c>
    </row>
    <row r="49" spans="2:25" x14ac:dyDescent="0.3">
      <c r="B49" s="6">
        <v>46</v>
      </c>
      <c r="C49" s="9">
        <v>1</v>
      </c>
      <c r="D49" s="9">
        <v>1</v>
      </c>
      <c r="E49" s="9">
        <v>1</v>
      </c>
      <c r="F49" s="9">
        <v>1</v>
      </c>
      <c r="I49" s="4">
        <f ca="1">goldenOTP_check!I49*I105</f>
        <v>379</v>
      </c>
      <c r="J49" s="4">
        <f ca="1">goldenOTP_check!J49*J105</f>
        <v>455</v>
      </c>
      <c r="K49" s="4">
        <f ca="1">goldenOTP_check!K49*K105</f>
        <v>534</v>
      </c>
      <c r="L49" s="4">
        <f ca="1">goldenOTP_check!L49*L105</f>
        <v>637</v>
      </c>
      <c r="M49" s="4">
        <f ca="1">goldenOTP_check!M49*M105</f>
        <v>750</v>
      </c>
      <c r="N49" s="4">
        <f ca="1">goldenOTP_check!N49*N105</f>
        <v>853</v>
      </c>
      <c r="O49" s="4">
        <f ca="1">goldenOTP_check!O49*O105</f>
        <v>932</v>
      </c>
      <c r="P49" s="4">
        <f ca="1">goldenOTP_check!P49*P105</f>
        <v>989</v>
      </c>
      <c r="Q49" s="4">
        <f ca="1">goldenOTP_check!Q49*Q105</f>
        <v>1000</v>
      </c>
      <c r="R49" s="4">
        <f ca="1">goldenOTP_check!R49*R105</f>
        <v>989</v>
      </c>
      <c r="S49" s="4">
        <f ca="1">goldenOTP_check!S49*S105</f>
        <v>932</v>
      </c>
      <c r="T49" s="4">
        <f ca="1">goldenOTP_check!T49*T105</f>
        <v>841</v>
      </c>
      <c r="U49" s="4">
        <f ca="1">goldenOTP_check!U49*U105</f>
        <v>739</v>
      </c>
      <c r="V49" s="4">
        <f ca="1">goldenOTP_check!V49*V105</f>
        <v>637</v>
      </c>
      <c r="W49" s="4">
        <f ca="1">goldenOTP_check!W49*W105</f>
        <v>534</v>
      </c>
      <c r="X49" s="4">
        <f ca="1">goldenOTP_check!X49*X105</f>
        <v>443</v>
      </c>
      <c r="Y49" s="4">
        <f ca="1">goldenOTP_check!Y49*Y105</f>
        <v>383</v>
      </c>
    </row>
    <row r="50" spans="2:25" x14ac:dyDescent="0.3">
      <c r="B50" s="6">
        <v>47</v>
      </c>
      <c r="C50" s="9">
        <v>1</v>
      </c>
      <c r="D50" s="9">
        <v>1</v>
      </c>
      <c r="E50" s="9">
        <v>1</v>
      </c>
      <c r="F50" s="9">
        <v>1</v>
      </c>
      <c r="I50" s="4">
        <f ca="1">goldenOTP_check!I50*I106</f>
        <v>379</v>
      </c>
      <c r="J50" s="4">
        <f ca="1">goldenOTP_check!J50*J106</f>
        <v>455</v>
      </c>
      <c r="K50" s="4">
        <f ca="1">goldenOTP_check!K50*K106</f>
        <v>546</v>
      </c>
      <c r="L50" s="4">
        <f ca="1">goldenOTP_check!L50*L106</f>
        <v>648</v>
      </c>
      <c r="M50" s="4">
        <f ca="1">goldenOTP_check!M50*M106</f>
        <v>762</v>
      </c>
      <c r="N50" s="4">
        <f ca="1">goldenOTP_check!N50*N106</f>
        <v>864</v>
      </c>
      <c r="O50" s="4">
        <f ca="1">goldenOTP_check!O50*O106</f>
        <v>943</v>
      </c>
      <c r="P50" s="4">
        <f ca="1">goldenOTP_check!P50*P106</f>
        <v>1000</v>
      </c>
      <c r="Q50" s="4">
        <f ca="1">goldenOTP_check!Q50*Q106</f>
        <v>1023</v>
      </c>
      <c r="R50" s="4">
        <f ca="1">goldenOTP_check!R50*R106</f>
        <v>1000</v>
      </c>
      <c r="S50" s="4">
        <f ca="1">goldenOTP_check!S50*S106</f>
        <v>943</v>
      </c>
      <c r="T50" s="4">
        <f ca="1">goldenOTP_check!T50*T106</f>
        <v>864</v>
      </c>
      <c r="U50" s="4">
        <f ca="1">goldenOTP_check!U50*U106</f>
        <v>750</v>
      </c>
      <c r="V50" s="4">
        <f ca="1">goldenOTP_check!V50*V106</f>
        <v>648</v>
      </c>
      <c r="W50" s="4">
        <f ca="1">goldenOTP_check!W50*W106</f>
        <v>546</v>
      </c>
      <c r="X50" s="4">
        <f ca="1">goldenOTP_check!X50*X106</f>
        <v>455</v>
      </c>
      <c r="Y50" s="4">
        <f ca="1">goldenOTP_check!Y50*Y106</f>
        <v>379</v>
      </c>
    </row>
    <row r="51" spans="2:25" x14ac:dyDescent="0.3">
      <c r="B51" s="6">
        <v>48</v>
      </c>
      <c r="C51" s="9">
        <v>1</v>
      </c>
      <c r="D51" s="9">
        <v>1</v>
      </c>
      <c r="E51" s="9">
        <v>1</v>
      </c>
      <c r="F51" s="9">
        <v>1</v>
      </c>
      <c r="I51" s="4">
        <f ca="1">goldenOTP_check!I51*I107</f>
        <v>383</v>
      </c>
      <c r="J51" s="4">
        <f ca="1">goldenOTP_check!J51*J107</f>
        <v>443</v>
      </c>
      <c r="K51" s="4">
        <f ca="1">goldenOTP_check!K51*K107</f>
        <v>534</v>
      </c>
      <c r="L51" s="4">
        <f ca="1">goldenOTP_check!L51*L107</f>
        <v>637</v>
      </c>
      <c r="M51" s="4">
        <f ca="1">goldenOTP_check!M51*M107</f>
        <v>739</v>
      </c>
      <c r="N51" s="4">
        <f ca="1">goldenOTP_check!N51*N107</f>
        <v>841</v>
      </c>
      <c r="O51" s="4">
        <f ca="1">goldenOTP_check!O51*O107</f>
        <v>932</v>
      </c>
      <c r="P51" s="4">
        <f ca="1">goldenOTP_check!P51*P107</f>
        <v>978</v>
      </c>
      <c r="Q51" s="4">
        <f ca="1">goldenOTP_check!Q51*Q107</f>
        <v>1000</v>
      </c>
      <c r="R51" s="4">
        <f ca="1">goldenOTP_check!R51*R107</f>
        <v>978</v>
      </c>
      <c r="S51" s="4">
        <f ca="1">goldenOTP_check!S51*S107</f>
        <v>932</v>
      </c>
      <c r="T51" s="4">
        <f ca="1">goldenOTP_check!T51*T107</f>
        <v>841</v>
      </c>
      <c r="U51" s="4">
        <f ca="1">goldenOTP_check!U51*U107</f>
        <v>739</v>
      </c>
      <c r="V51" s="4">
        <f ca="1">goldenOTP_check!V51*V107</f>
        <v>637</v>
      </c>
      <c r="W51" s="4">
        <f ca="1">goldenOTP_check!W51*W107</f>
        <v>534</v>
      </c>
      <c r="X51" s="4">
        <f ca="1">goldenOTP_check!X51*X107</f>
        <v>443</v>
      </c>
      <c r="Y51" s="4">
        <f ca="1">goldenOTP_check!Y51*Y107</f>
        <v>383</v>
      </c>
    </row>
    <row r="52" spans="2:25" x14ac:dyDescent="0.3">
      <c r="B52" s="6">
        <v>49</v>
      </c>
      <c r="C52" s="9">
        <v>1</v>
      </c>
      <c r="D52" s="9">
        <v>1</v>
      </c>
      <c r="E52" s="9">
        <v>1</v>
      </c>
      <c r="F52" s="9">
        <v>1</v>
      </c>
      <c r="I52" s="4">
        <f ca="1">goldenOTP_check!I52*I108</f>
        <v>356</v>
      </c>
      <c r="J52" s="4">
        <f ca="1">goldenOTP_check!J52*J108</f>
        <v>432</v>
      </c>
      <c r="K52" s="4">
        <f ca="1">goldenOTP_check!K52*K108</f>
        <v>512</v>
      </c>
      <c r="L52" s="4">
        <f ca="1">goldenOTP_check!L52*L108</f>
        <v>602</v>
      </c>
      <c r="M52" s="4">
        <f ca="1">goldenOTP_check!M52*M108</f>
        <v>705</v>
      </c>
      <c r="N52" s="4">
        <f ca="1">goldenOTP_check!N52*N108</f>
        <v>796</v>
      </c>
      <c r="O52" s="4">
        <f ca="1">goldenOTP_check!O52*O108</f>
        <v>875</v>
      </c>
      <c r="P52" s="4">
        <f ca="1">goldenOTP_check!P52*P108</f>
        <v>932</v>
      </c>
      <c r="Q52" s="4">
        <f ca="1">goldenOTP_check!Q52*Q108</f>
        <v>943</v>
      </c>
      <c r="R52" s="4">
        <f ca="1">goldenOTP_check!R52*R108</f>
        <v>921</v>
      </c>
      <c r="S52" s="4">
        <f ca="1">goldenOTP_check!S52*S108</f>
        <v>875</v>
      </c>
      <c r="T52" s="4">
        <f ca="1">goldenOTP_check!T52*T108</f>
        <v>796</v>
      </c>
      <c r="U52" s="4">
        <f ca="1">goldenOTP_check!U52*U108</f>
        <v>705</v>
      </c>
      <c r="V52" s="4">
        <f ca="1">goldenOTP_check!V52*V108</f>
        <v>602</v>
      </c>
      <c r="W52" s="4">
        <f ca="1">goldenOTP_check!W52*W108</f>
        <v>512</v>
      </c>
      <c r="X52" s="4">
        <f ca="1">goldenOTP_check!X52*X108</f>
        <v>432</v>
      </c>
      <c r="Y52" s="4">
        <f ca="1">goldenOTP_check!Y52*Y108</f>
        <v>356</v>
      </c>
    </row>
    <row r="53" spans="2:25" x14ac:dyDescent="0.3">
      <c r="B53" s="6">
        <v>50</v>
      </c>
      <c r="C53" s="9">
        <v>1</v>
      </c>
      <c r="D53" s="9">
        <v>1</v>
      </c>
      <c r="E53" s="9">
        <v>1</v>
      </c>
      <c r="F53" s="9">
        <v>1</v>
      </c>
      <c r="I53" s="4">
        <f ca="1">goldenOTP_check!I53*I109</f>
        <v>333</v>
      </c>
      <c r="J53" s="4">
        <f ca="1">goldenOTP_check!J53*J109</f>
        <v>409</v>
      </c>
      <c r="K53" s="4">
        <f ca="1">goldenOTP_check!K53*K109</f>
        <v>477</v>
      </c>
      <c r="L53" s="4">
        <f ca="1">goldenOTP_check!L53*L109</f>
        <v>557</v>
      </c>
      <c r="M53" s="4">
        <f ca="1">goldenOTP_check!M53*M109</f>
        <v>648</v>
      </c>
      <c r="N53" s="4">
        <f ca="1">goldenOTP_check!N53*N109</f>
        <v>727</v>
      </c>
      <c r="O53" s="4">
        <f ca="1">goldenOTP_check!O53*O109</f>
        <v>796</v>
      </c>
      <c r="P53" s="4">
        <f ca="1">goldenOTP_check!P53*P109</f>
        <v>841</v>
      </c>
      <c r="Q53" s="4">
        <f ca="1">goldenOTP_check!Q53*Q109</f>
        <v>853</v>
      </c>
      <c r="R53" s="4">
        <f ca="1">goldenOTP_check!R53*R109</f>
        <v>841</v>
      </c>
      <c r="S53" s="4">
        <f ca="1">goldenOTP_check!S53*S109</f>
        <v>796</v>
      </c>
      <c r="T53" s="4">
        <f ca="1">goldenOTP_check!T53*T109</f>
        <v>727</v>
      </c>
      <c r="U53" s="4">
        <f ca="1">goldenOTP_check!U53*U109</f>
        <v>637</v>
      </c>
      <c r="V53" s="4">
        <f ca="1">goldenOTP_check!V53*V109</f>
        <v>557</v>
      </c>
      <c r="W53" s="4">
        <f ca="1">goldenOTP_check!W53*W109</f>
        <v>477</v>
      </c>
      <c r="X53" s="4">
        <f ca="1">goldenOTP_check!X53*X109</f>
        <v>409</v>
      </c>
      <c r="Y53" s="4">
        <f ca="1">goldenOTP_check!Y53*Y109</f>
        <v>333</v>
      </c>
    </row>
    <row r="54" spans="2:25" x14ac:dyDescent="0.3">
      <c r="B54" s="6">
        <v>51</v>
      </c>
      <c r="C54" s="9">
        <v>1</v>
      </c>
      <c r="D54" s="9">
        <v>1</v>
      </c>
      <c r="E54" s="9">
        <v>1</v>
      </c>
      <c r="F54" s="9">
        <v>1</v>
      </c>
      <c r="I54" s="4">
        <f ca="1">goldenOTP_check!I54*I110</f>
        <v>314</v>
      </c>
      <c r="J54" s="4">
        <f ca="1">goldenOTP_check!J54*J110</f>
        <v>375</v>
      </c>
      <c r="K54" s="4">
        <f ca="1">goldenOTP_check!K54*K110</f>
        <v>432</v>
      </c>
      <c r="L54" s="4">
        <f ca="1">goldenOTP_check!L54*L110</f>
        <v>500</v>
      </c>
      <c r="M54" s="4">
        <f ca="1">goldenOTP_check!M54*M110</f>
        <v>568</v>
      </c>
      <c r="N54" s="4">
        <f ca="1">goldenOTP_check!N54*N110</f>
        <v>637</v>
      </c>
      <c r="O54" s="4">
        <f ca="1">goldenOTP_check!O54*O110</f>
        <v>693</v>
      </c>
      <c r="P54" s="4">
        <f ca="1">goldenOTP_check!P54*P110</f>
        <v>739</v>
      </c>
      <c r="Q54" s="4">
        <f ca="1">goldenOTP_check!Q54*Q110</f>
        <v>750</v>
      </c>
      <c r="R54" s="4">
        <f ca="1">goldenOTP_check!R54*R110</f>
        <v>739</v>
      </c>
      <c r="S54" s="4">
        <f ca="1">goldenOTP_check!S54*S110</f>
        <v>693</v>
      </c>
      <c r="T54" s="4">
        <f ca="1">goldenOTP_check!T54*T110</f>
        <v>637</v>
      </c>
      <c r="U54" s="4">
        <f ca="1">goldenOTP_check!U54*U110</f>
        <v>568</v>
      </c>
      <c r="V54" s="4">
        <f ca="1">goldenOTP_check!V54*V110</f>
        <v>500</v>
      </c>
      <c r="W54" s="4">
        <f ca="1">goldenOTP_check!W54*W110</f>
        <v>432</v>
      </c>
      <c r="X54" s="4">
        <f ca="1">goldenOTP_check!X54*X110</f>
        <v>375</v>
      </c>
      <c r="Y54" s="4">
        <f ca="1">goldenOTP_check!Y54*Y110</f>
        <v>314</v>
      </c>
    </row>
    <row r="55" spans="2:25" x14ac:dyDescent="0.3">
      <c r="B55" s="6">
        <v>52</v>
      </c>
      <c r="C55" s="9">
        <v>1</v>
      </c>
      <c r="D55" s="9">
        <v>1</v>
      </c>
      <c r="E55" s="9">
        <v>1</v>
      </c>
      <c r="F55" s="9">
        <v>1</v>
      </c>
      <c r="I55" s="4">
        <f ca="1">goldenOTP_check!I55*I111</f>
        <v>296</v>
      </c>
      <c r="J55" s="4">
        <f ca="1">goldenOTP_check!J55*J111</f>
        <v>341</v>
      </c>
      <c r="K55" s="4">
        <f ca="1">goldenOTP_check!K55*K111</f>
        <v>386</v>
      </c>
      <c r="L55" s="4">
        <f ca="1">goldenOTP_check!L55*L111</f>
        <v>443</v>
      </c>
      <c r="M55" s="4">
        <f ca="1">goldenOTP_check!M55*M111</f>
        <v>500</v>
      </c>
      <c r="N55" s="4">
        <f ca="1">goldenOTP_check!N55*N111</f>
        <v>557</v>
      </c>
      <c r="O55" s="4">
        <f ca="1">goldenOTP_check!O55*O111</f>
        <v>602</v>
      </c>
      <c r="P55" s="4">
        <f ca="1">goldenOTP_check!P55*P111</f>
        <v>625</v>
      </c>
      <c r="Q55" s="4">
        <f ca="1">goldenOTP_check!Q55*Q111</f>
        <v>637</v>
      </c>
      <c r="R55" s="4">
        <f ca="1">goldenOTP_check!R55*R111</f>
        <v>625</v>
      </c>
      <c r="S55" s="4">
        <f ca="1">goldenOTP_check!S55*S111</f>
        <v>602</v>
      </c>
      <c r="T55" s="4">
        <f ca="1">goldenOTP_check!T55*T111</f>
        <v>557</v>
      </c>
      <c r="U55" s="4">
        <f ca="1">goldenOTP_check!U55*U111</f>
        <v>500</v>
      </c>
      <c r="V55" s="4">
        <f ca="1">goldenOTP_check!V55*V111</f>
        <v>443</v>
      </c>
      <c r="W55" s="4">
        <f ca="1">goldenOTP_check!W55*W111</f>
        <v>386</v>
      </c>
      <c r="X55" s="4">
        <f ca="1">goldenOTP_check!X55*X111</f>
        <v>341</v>
      </c>
      <c r="Y55" s="4">
        <f ca="1">goldenOTP_check!Y55*Y111</f>
        <v>296</v>
      </c>
    </row>
    <row r="56" spans="2:25" x14ac:dyDescent="0.3">
      <c r="B56" s="6">
        <v>53</v>
      </c>
      <c r="C56" s="9">
        <v>1</v>
      </c>
      <c r="D56" s="9">
        <v>1</v>
      </c>
      <c r="E56" s="9">
        <v>1</v>
      </c>
      <c r="F56" s="9">
        <v>1</v>
      </c>
      <c r="I56" s="12">
        <f ca="1">goldenOTP_check!I56*I112</f>
        <v>265</v>
      </c>
      <c r="J56" s="4">
        <f ca="1">goldenOTP_check!J56*J112</f>
        <v>296</v>
      </c>
      <c r="K56" s="4">
        <f ca="1">goldenOTP_check!K56*K112</f>
        <v>341</v>
      </c>
      <c r="L56" s="4">
        <f ca="1">goldenOTP_check!L56*L112</f>
        <v>398</v>
      </c>
      <c r="M56" s="4">
        <f ca="1">goldenOTP_check!M56*M112</f>
        <v>440</v>
      </c>
      <c r="N56" s="4">
        <f ca="1">goldenOTP_check!N56*N112</f>
        <v>466</v>
      </c>
      <c r="O56" s="4">
        <f ca="1">goldenOTP_check!O56*O112</f>
        <v>512</v>
      </c>
      <c r="P56" s="4">
        <f ca="1">goldenOTP_check!P56*P112</f>
        <v>534</v>
      </c>
      <c r="Q56" s="4">
        <f ca="1">goldenOTP_check!Q56*Q112</f>
        <v>530</v>
      </c>
      <c r="R56" s="4">
        <f ca="1">goldenOTP_check!R56*R112</f>
        <v>534</v>
      </c>
      <c r="S56" s="4">
        <f ca="1">goldenOTP_check!S56*S112</f>
        <v>496</v>
      </c>
      <c r="T56" s="4">
        <f ca="1">goldenOTP_check!T56*T112</f>
        <v>466</v>
      </c>
      <c r="U56" s="4">
        <f ca="1">goldenOTP_check!U56*U112</f>
        <v>424</v>
      </c>
      <c r="V56" s="4">
        <f ca="1">goldenOTP_check!V56*V112</f>
        <v>383</v>
      </c>
      <c r="W56" s="4">
        <f ca="1">goldenOTP_check!W56*W112</f>
        <v>341</v>
      </c>
      <c r="X56" s="4">
        <f ca="1">goldenOTP_check!X56*X112</f>
        <v>296</v>
      </c>
      <c r="Y56" s="12">
        <f ca="1">goldenOTP_check!Y56*Y112</f>
        <v>265</v>
      </c>
    </row>
    <row r="57" spans="2:25" x14ac:dyDescent="0.3">
      <c r="B57" s="6">
        <v>54</v>
      </c>
      <c r="C57" s="9">
        <v>1</v>
      </c>
      <c r="D57" s="9">
        <v>1</v>
      </c>
      <c r="E57" s="9">
        <v>1</v>
      </c>
      <c r="F57" s="9">
        <v>1</v>
      </c>
    </row>
    <row r="58" spans="2:25" x14ac:dyDescent="0.3">
      <c r="B58" s="6">
        <v>55</v>
      </c>
      <c r="C58" s="9">
        <v>1</v>
      </c>
      <c r="D58" s="9">
        <v>1</v>
      </c>
      <c r="E58" s="9">
        <v>1</v>
      </c>
      <c r="F58" s="9">
        <v>1</v>
      </c>
      <c r="H58" t="s">
        <v>5</v>
      </c>
      <c r="I58" s="3">
        <f t="shared" ref="I58:Y70" ca="1" si="0">INDIRECT("C"&amp;(17*ROW(1:1)+ROW($C$3)-19+IF(COLUMN(C:C)&gt;19,50000,COLUMN(C:C)-1)))</f>
        <v>1</v>
      </c>
      <c r="J58" s="2">
        <f t="shared" ca="1" si="0"/>
        <v>1</v>
      </c>
      <c r="K58" s="2">
        <f t="shared" ca="1" si="0"/>
        <v>1</v>
      </c>
      <c r="L58" s="2">
        <f t="shared" ca="1" si="0"/>
        <v>1</v>
      </c>
      <c r="M58" s="2">
        <f t="shared" ca="1" si="0"/>
        <v>1</v>
      </c>
      <c r="N58" s="2">
        <f t="shared" ca="1" si="0"/>
        <v>1</v>
      </c>
      <c r="O58" s="2">
        <f t="shared" ca="1" si="0"/>
        <v>1</v>
      </c>
      <c r="P58" s="2">
        <f t="shared" ca="1" si="0"/>
        <v>1</v>
      </c>
      <c r="Q58" s="2">
        <f t="shared" ca="1" si="0"/>
        <v>1</v>
      </c>
      <c r="R58" s="2">
        <f t="shared" ca="1" si="0"/>
        <v>1</v>
      </c>
      <c r="S58" s="2">
        <f t="shared" ca="1" si="0"/>
        <v>1</v>
      </c>
      <c r="T58" s="2">
        <f t="shared" ca="1" si="0"/>
        <v>1</v>
      </c>
      <c r="U58" s="2">
        <f t="shared" ca="1" si="0"/>
        <v>1</v>
      </c>
      <c r="V58" s="2">
        <f t="shared" ca="1" si="0"/>
        <v>1</v>
      </c>
      <c r="W58" s="2">
        <f t="shared" ca="1" si="0"/>
        <v>1</v>
      </c>
      <c r="X58" s="2">
        <f t="shared" ca="1" si="0"/>
        <v>1</v>
      </c>
      <c r="Y58" s="3">
        <f t="shared" ca="1" si="0"/>
        <v>1</v>
      </c>
    </row>
    <row r="59" spans="2:25" x14ac:dyDescent="0.3">
      <c r="B59" s="6">
        <v>56</v>
      </c>
      <c r="C59" s="9">
        <v>1</v>
      </c>
      <c r="D59" s="9">
        <v>1</v>
      </c>
      <c r="E59" s="9">
        <v>1</v>
      </c>
      <c r="F59" s="9">
        <v>1</v>
      </c>
      <c r="I59" s="2">
        <f t="shared" ca="1" si="0"/>
        <v>1</v>
      </c>
      <c r="J59" s="2">
        <f t="shared" ca="1" si="0"/>
        <v>1</v>
      </c>
      <c r="K59" s="2">
        <f t="shared" ca="1" si="0"/>
        <v>1</v>
      </c>
      <c r="L59" s="2">
        <f t="shared" ca="1" si="0"/>
        <v>1</v>
      </c>
      <c r="M59" s="2">
        <f t="shared" ca="1" si="0"/>
        <v>1</v>
      </c>
      <c r="N59" s="2">
        <f t="shared" ca="1" si="0"/>
        <v>1</v>
      </c>
      <c r="O59" s="2">
        <f t="shared" ca="1" si="0"/>
        <v>1</v>
      </c>
      <c r="P59" s="2">
        <f t="shared" ca="1" si="0"/>
        <v>1</v>
      </c>
      <c r="Q59" s="2">
        <f t="shared" ca="1" si="0"/>
        <v>1</v>
      </c>
      <c r="R59" s="2">
        <f t="shared" ca="1" si="0"/>
        <v>1</v>
      </c>
      <c r="S59" s="2">
        <f t="shared" ca="1" si="0"/>
        <v>1</v>
      </c>
      <c r="T59" s="2">
        <f t="shared" ca="1" si="0"/>
        <v>1</v>
      </c>
      <c r="U59" s="2">
        <f t="shared" ca="1" si="0"/>
        <v>1</v>
      </c>
      <c r="V59" s="2">
        <f t="shared" ca="1" si="0"/>
        <v>1</v>
      </c>
      <c r="W59" s="2">
        <f t="shared" ca="1" si="0"/>
        <v>1</v>
      </c>
      <c r="X59" s="2">
        <f t="shared" ca="1" si="0"/>
        <v>1</v>
      </c>
      <c r="Y59" s="2">
        <f t="shared" ca="1" si="0"/>
        <v>1</v>
      </c>
    </row>
    <row r="60" spans="2:25" x14ac:dyDescent="0.3">
      <c r="B60" s="6">
        <v>57</v>
      </c>
      <c r="C60" s="9">
        <v>1</v>
      </c>
      <c r="D60" s="9">
        <v>1</v>
      </c>
      <c r="E60" s="9">
        <v>1</v>
      </c>
      <c r="F60" s="9">
        <v>1</v>
      </c>
      <c r="I60" s="2">
        <f t="shared" ca="1" si="0"/>
        <v>1</v>
      </c>
      <c r="J60" s="2">
        <f t="shared" ca="1" si="0"/>
        <v>1</v>
      </c>
      <c r="K60" s="2">
        <f t="shared" ca="1" si="0"/>
        <v>1</v>
      </c>
      <c r="L60" s="2">
        <f t="shared" ca="1" si="0"/>
        <v>1</v>
      </c>
      <c r="M60" s="2">
        <f t="shared" ca="1" si="0"/>
        <v>1</v>
      </c>
      <c r="N60" s="2">
        <f t="shared" ca="1" si="0"/>
        <v>1</v>
      </c>
      <c r="O60" s="2">
        <f t="shared" ca="1" si="0"/>
        <v>1</v>
      </c>
      <c r="P60" s="2">
        <f t="shared" ca="1" si="0"/>
        <v>1</v>
      </c>
      <c r="Q60" s="2">
        <f t="shared" ca="1" si="0"/>
        <v>1</v>
      </c>
      <c r="R60" s="2">
        <f t="shared" ca="1" si="0"/>
        <v>1</v>
      </c>
      <c r="S60" s="2">
        <f t="shared" ca="1" si="0"/>
        <v>1</v>
      </c>
      <c r="T60" s="2">
        <f t="shared" ca="1" si="0"/>
        <v>1</v>
      </c>
      <c r="U60" s="2">
        <f t="shared" ca="1" si="0"/>
        <v>1</v>
      </c>
      <c r="V60" s="2">
        <f t="shared" ca="1" si="0"/>
        <v>1</v>
      </c>
      <c r="W60" s="2">
        <f t="shared" ca="1" si="0"/>
        <v>1</v>
      </c>
      <c r="X60" s="2">
        <f t="shared" ca="1" si="0"/>
        <v>1</v>
      </c>
      <c r="Y60" s="2">
        <f t="shared" ca="1" si="0"/>
        <v>1</v>
      </c>
    </row>
    <row r="61" spans="2:25" x14ac:dyDescent="0.3">
      <c r="B61" s="6">
        <v>58</v>
      </c>
      <c r="C61" s="9">
        <v>1</v>
      </c>
      <c r="D61" s="9">
        <v>1</v>
      </c>
      <c r="E61" s="9">
        <v>1</v>
      </c>
      <c r="F61" s="9">
        <v>1</v>
      </c>
      <c r="I61" s="2">
        <f t="shared" ca="1" si="0"/>
        <v>1</v>
      </c>
      <c r="J61" s="2">
        <f t="shared" ca="1" si="0"/>
        <v>1</v>
      </c>
      <c r="K61" s="2">
        <f t="shared" ca="1" si="0"/>
        <v>1</v>
      </c>
      <c r="L61" s="2">
        <f t="shared" ca="1" si="0"/>
        <v>1</v>
      </c>
      <c r="M61" s="2">
        <f t="shared" ca="1" si="0"/>
        <v>1</v>
      </c>
      <c r="N61" s="2">
        <f t="shared" ca="1" si="0"/>
        <v>1</v>
      </c>
      <c r="O61" s="2">
        <f t="shared" ca="1" si="0"/>
        <v>1</v>
      </c>
      <c r="P61" s="2">
        <f t="shared" ca="1" si="0"/>
        <v>1</v>
      </c>
      <c r="Q61" s="2">
        <f t="shared" ca="1" si="0"/>
        <v>1</v>
      </c>
      <c r="R61" s="2">
        <f t="shared" ca="1" si="0"/>
        <v>1</v>
      </c>
      <c r="S61" s="2">
        <f t="shared" ca="1" si="0"/>
        <v>1</v>
      </c>
      <c r="T61" s="2">
        <f t="shared" ca="1" si="0"/>
        <v>1</v>
      </c>
      <c r="U61" s="2">
        <f t="shared" ca="1" si="0"/>
        <v>1</v>
      </c>
      <c r="V61" s="2">
        <f t="shared" ca="1" si="0"/>
        <v>1</v>
      </c>
      <c r="W61" s="2">
        <f t="shared" ca="1" si="0"/>
        <v>1</v>
      </c>
      <c r="X61" s="2">
        <f t="shared" ca="1" si="0"/>
        <v>1</v>
      </c>
      <c r="Y61" s="2">
        <f t="shared" ca="1" si="0"/>
        <v>1</v>
      </c>
    </row>
    <row r="62" spans="2:25" x14ac:dyDescent="0.3">
      <c r="B62" s="6">
        <v>59</v>
      </c>
      <c r="C62" s="9">
        <v>1</v>
      </c>
      <c r="D62" s="9">
        <v>1</v>
      </c>
      <c r="E62" s="9">
        <v>1</v>
      </c>
      <c r="F62" s="9">
        <v>1</v>
      </c>
      <c r="I62" s="2">
        <f t="shared" ca="1" si="0"/>
        <v>1</v>
      </c>
      <c r="J62" s="2">
        <f t="shared" ca="1" si="0"/>
        <v>1</v>
      </c>
      <c r="K62" s="2">
        <f t="shared" ca="1" si="0"/>
        <v>1</v>
      </c>
      <c r="L62" s="2">
        <f t="shared" ca="1" si="0"/>
        <v>1</v>
      </c>
      <c r="M62" s="2">
        <f t="shared" ca="1" si="0"/>
        <v>1</v>
      </c>
      <c r="N62" s="2">
        <f t="shared" ca="1" si="0"/>
        <v>1</v>
      </c>
      <c r="O62" s="2">
        <f t="shared" ca="1" si="0"/>
        <v>1</v>
      </c>
      <c r="P62" s="2">
        <f t="shared" ca="1" si="0"/>
        <v>1</v>
      </c>
      <c r="Q62" s="2">
        <f t="shared" ca="1" si="0"/>
        <v>1</v>
      </c>
      <c r="R62" s="2">
        <f t="shared" ca="1" si="0"/>
        <v>1</v>
      </c>
      <c r="S62" s="2">
        <f t="shared" ca="1" si="0"/>
        <v>1</v>
      </c>
      <c r="T62" s="2">
        <f t="shared" ca="1" si="0"/>
        <v>1</v>
      </c>
      <c r="U62" s="2">
        <f t="shared" ca="1" si="0"/>
        <v>1</v>
      </c>
      <c r="V62" s="2">
        <f t="shared" ca="1" si="0"/>
        <v>1</v>
      </c>
      <c r="W62" s="2">
        <f t="shared" ca="1" si="0"/>
        <v>1</v>
      </c>
      <c r="X62" s="2">
        <f t="shared" ca="1" si="0"/>
        <v>1</v>
      </c>
      <c r="Y62" s="2">
        <f t="shared" ca="1" si="0"/>
        <v>1</v>
      </c>
    </row>
    <row r="63" spans="2:25" x14ac:dyDescent="0.3">
      <c r="B63" s="6">
        <v>60</v>
      </c>
      <c r="C63" s="9">
        <v>1</v>
      </c>
      <c r="D63" s="9">
        <v>1</v>
      </c>
      <c r="E63" s="9">
        <v>1</v>
      </c>
      <c r="F63" s="9">
        <v>1</v>
      </c>
      <c r="I63" s="2">
        <f t="shared" ca="1" si="0"/>
        <v>1</v>
      </c>
      <c r="J63" s="2">
        <f t="shared" ca="1" si="0"/>
        <v>1</v>
      </c>
      <c r="K63" s="2">
        <f t="shared" ca="1" si="0"/>
        <v>1</v>
      </c>
      <c r="L63" s="2">
        <f t="shared" ca="1" si="0"/>
        <v>1</v>
      </c>
      <c r="M63" s="2">
        <f t="shared" ca="1" si="0"/>
        <v>1</v>
      </c>
      <c r="N63" s="2">
        <f t="shared" ca="1" si="0"/>
        <v>1</v>
      </c>
      <c r="O63" s="2">
        <f t="shared" ca="1" si="0"/>
        <v>1</v>
      </c>
      <c r="P63" s="2">
        <f t="shared" ca="1" si="0"/>
        <v>1</v>
      </c>
      <c r="Q63" s="2">
        <f t="shared" ca="1" si="0"/>
        <v>1</v>
      </c>
      <c r="R63" s="2">
        <f t="shared" ca="1" si="0"/>
        <v>1</v>
      </c>
      <c r="S63" s="2">
        <f t="shared" ca="1" si="0"/>
        <v>1</v>
      </c>
      <c r="T63" s="2">
        <f t="shared" ca="1" si="0"/>
        <v>1</v>
      </c>
      <c r="U63" s="2">
        <f t="shared" ca="1" si="0"/>
        <v>1</v>
      </c>
      <c r="V63" s="2">
        <f t="shared" ca="1" si="0"/>
        <v>1</v>
      </c>
      <c r="W63" s="2">
        <f t="shared" ca="1" si="0"/>
        <v>1</v>
      </c>
      <c r="X63" s="2">
        <f t="shared" ca="1" si="0"/>
        <v>1</v>
      </c>
      <c r="Y63" s="2">
        <f t="shared" ca="1" si="0"/>
        <v>1</v>
      </c>
    </row>
    <row r="64" spans="2:25" x14ac:dyDescent="0.3">
      <c r="B64" s="6">
        <v>61</v>
      </c>
      <c r="C64" s="9">
        <v>1</v>
      </c>
      <c r="D64" s="9">
        <v>1</v>
      </c>
      <c r="E64" s="9">
        <v>1</v>
      </c>
      <c r="F64" s="9">
        <v>1</v>
      </c>
      <c r="I64" s="2">
        <f t="shared" ca="1" si="0"/>
        <v>1</v>
      </c>
      <c r="J64" s="2">
        <f t="shared" ca="1" si="0"/>
        <v>1</v>
      </c>
      <c r="K64" s="2">
        <f t="shared" ca="1" si="0"/>
        <v>1</v>
      </c>
      <c r="L64" s="2">
        <f t="shared" ca="1" si="0"/>
        <v>1</v>
      </c>
      <c r="M64" s="2">
        <f t="shared" ca="1" si="0"/>
        <v>1</v>
      </c>
      <c r="N64" s="2">
        <f t="shared" ca="1" si="0"/>
        <v>1</v>
      </c>
      <c r="O64" s="2">
        <f t="shared" ca="1" si="0"/>
        <v>1</v>
      </c>
      <c r="P64" s="2">
        <f t="shared" ca="1" si="0"/>
        <v>1</v>
      </c>
      <c r="Q64" s="2">
        <f t="shared" ca="1" si="0"/>
        <v>1</v>
      </c>
      <c r="R64" s="2">
        <f t="shared" ca="1" si="0"/>
        <v>1</v>
      </c>
      <c r="S64" s="2">
        <f t="shared" ca="1" si="0"/>
        <v>1</v>
      </c>
      <c r="T64" s="2">
        <f t="shared" ca="1" si="0"/>
        <v>1</v>
      </c>
      <c r="U64" s="2">
        <f t="shared" ca="1" si="0"/>
        <v>1</v>
      </c>
      <c r="V64" s="2">
        <f t="shared" ca="1" si="0"/>
        <v>1</v>
      </c>
      <c r="W64" s="2">
        <f t="shared" ca="1" si="0"/>
        <v>1</v>
      </c>
      <c r="X64" s="2">
        <f t="shared" ca="1" si="0"/>
        <v>1</v>
      </c>
      <c r="Y64" s="2">
        <f t="shared" ca="1" si="0"/>
        <v>1</v>
      </c>
    </row>
    <row r="65" spans="2:25" x14ac:dyDescent="0.3">
      <c r="B65" s="6">
        <v>62</v>
      </c>
      <c r="C65" s="9">
        <v>1</v>
      </c>
      <c r="D65" s="9">
        <v>1</v>
      </c>
      <c r="E65" s="9">
        <v>1</v>
      </c>
      <c r="F65" s="9">
        <v>1</v>
      </c>
      <c r="I65" s="2">
        <f t="shared" ca="1" si="0"/>
        <v>1</v>
      </c>
      <c r="J65" s="2">
        <f t="shared" ca="1" si="0"/>
        <v>1</v>
      </c>
      <c r="K65" s="2">
        <f t="shared" ca="1" si="0"/>
        <v>1</v>
      </c>
      <c r="L65" s="2">
        <f t="shared" ca="1" si="0"/>
        <v>1</v>
      </c>
      <c r="M65" s="2">
        <f t="shared" ca="1" si="0"/>
        <v>1</v>
      </c>
      <c r="N65" s="2">
        <f t="shared" ca="1" si="0"/>
        <v>1</v>
      </c>
      <c r="O65" s="2">
        <f t="shared" ca="1" si="0"/>
        <v>1</v>
      </c>
      <c r="P65" s="2">
        <f t="shared" ca="1" si="0"/>
        <v>1</v>
      </c>
      <c r="Q65" s="2">
        <f t="shared" ca="1" si="0"/>
        <v>1</v>
      </c>
      <c r="R65" s="2">
        <f t="shared" ca="1" si="0"/>
        <v>1</v>
      </c>
      <c r="S65" s="2">
        <f t="shared" ca="1" si="0"/>
        <v>1</v>
      </c>
      <c r="T65" s="2">
        <f t="shared" ca="1" si="0"/>
        <v>1</v>
      </c>
      <c r="U65" s="2">
        <f t="shared" ca="1" si="0"/>
        <v>1</v>
      </c>
      <c r="V65" s="2">
        <f t="shared" ca="1" si="0"/>
        <v>1</v>
      </c>
      <c r="W65" s="2">
        <f t="shared" ca="1" si="0"/>
        <v>1</v>
      </c>
      <c r="X65" s="2">
        <f t="shared" ca="1" si="0"/>
        <v>1</v>
      </c>
      <c r="Y65" s="2">
        <f t="shared" ca="1" si="0"/>
        <v>1</v>
      </c>
    </row>
    <row r="66" spans="2:25" x14ac:dyDescent="0.3">
      <c r="B66" s="6">
        <v>63</v>
      </c>
      <c r="C66" s="9">
        <v>1</v>
      </c>
      <c r="D66" s="9">
        <v>1</v>
      </c>
      <c r="E66" s="9">
        <v>1</v>
      </c>
      <c r="F66" s="9">
        <v>1</v>
      </c>
      <c r="I66" s="2">
        <f t="shared" ca="1" si="0"/>
        <v>1</v>
      </c>
      <c r="J66" s="2">
        <f t="shared" ca="1" si="0"/>
        <v>1</v>
      </c>
      <c r="K66" s="2">
        <f t="shared" ca="1" si="0"/>
        <v>1</v>
      </c>
      <c r="L66" s="2">
        <f t="shared" ca="1" si="0"/>
        <v>1</v>
      </c>
      <c r="M66" s="2">
        <f t="shared" ca="1" si="0"/>
        <v>1</v>
      </c>
      <c r="N66" s="2">
        <f t="shared" ca="1" si="0"/>
        <v>1</v>
      </c>
      <c r="O66" s="2">
        <f t="shared" ca="1" si="0"/>
        <v>1</v>
      </c>
      <c r="P66" s="2">
        <f t="shared" ca="1" si="0"/>
        <v>1</v>
      </c>
      <c r="Q66" s="2">
        <f t="shared" ca="1" si="0"/>
        <v>1</v>
      </c>
      <c r="R66" s="2">
        <f t="shared" ca="1" si="0"/>
        <v>1</v>
      </c>
      <c r="S66" s="2">
        <f t="shared" ca="1" si="0"/>
        <v>1</v>
      </c>
      <c r="T66" s="2">
        <f t="shared" ca="1" si="0"/>
        <v>1</v>
      </c>
      <c r="U66" s="2">
        <f t="shared" ca="1" si="0"/>
        <v>1</v>
      </c>
      <c r="V66" s="2">
        <f t="shared" ca="1" si="0"/>
        <v>1</v>
      </c>
      <c r="W66" s="2">
        <f t="shared" ca="1" si="0"/>
        <v>1</v>
      </c>
      <c r="X66" s="2">
        <f t="shared" ca="1" si="0"/>
        <v>1</v>
      </c>
      <c r="Y66" s="2">
        <f t="shared" ca="1" si="0"/>
        <v>1</v>
      </c>
    </row>
    <row r="67" spans="2:25" x14ac:dyDescent="0.3">
      <c r="B67" s="6">
        <v>64</v>
      </c>
      <c r="C67" s="9">
        <v>1</v>
      </c>
      <c r="D67" s="9">
        <v>1</v>
      </c>
      <c r="E67" s="9">
        <v>1</v>
      </c>
      <c r="F67" s="9">
        <v>1</v>
      </c>
      <c r="I67" s="2">
        <f t="shared" ca="1" si="0"/>
        <v>1</v>
      </c>
      <c r="J67" s="2">
        <f t="shared" ca="1" si="0"/>
        <v>1</v>
      </c>
      <c r="K67" s="2">
        <f t="shared" ca="1" si="0"/>
        <v>1</v>
      </c>
      <c r="L67" s="2">
        <f t="shared" ca="1" si="0"/>
        <v>1</v>
      </c>
      <c r="M67" s="2">
        <f t="shared" ca="1" si="0"/>
        <v>1</v>
      </c>
      <c r="N67" s="2">
        <f t="shared" ca="1" si="0"/>
        <v>1</v>
      </c>
      <c r="O67" s="2">
        <f t="shared" ca="1" si="0"/>
        <v>1</v>
      </c>
      <c r="P67" s="2">
        <f t="shared" ca="1" si="0"/>
        <v>1</v>
      </c>
      <c r="Q67" s="2">
        <f t="shared" ca="1" si="0"/>
        <v>1</v>
      </c>
      <c r="R67" s="2">
        <f t="shared" ca="1" si="0"/>
        <v>1</v>
      </c>
      <c r="S67" s="2">
        <f t="shared" ca="1" si="0"/>
        <v>1</v>
      </c>
      <c r="T67" s="2">
        <f t="shared" ca="1" si="0"/>
        <v>1</v>
      </c>
      <c r="U67" s="2">
        <f t="shared" ca="1" si="0"/>
        <v>1</v>
      </c>
      <c r="V67" s="2">
        <f t="shared" ca="1" si="0"/>
        <v>1</v>
      </c>
      <c r="W67" s="2">
        <f t="shared" ca="1" si="0"/>
        <v>1</v>
      </c>
      <c r="X67" s="2">
        <f t="shared" ca="1" si="0"/>
        <v>1</v>
      </c>
      <c r="Y67" s="2">
        <f t="shared" ca="1" si="0"/>
        <v>1</v>
      </c>
    </row>
    <row r="68" spans="2:25" x14ac:dyDescent="0.3">
      <c r="B68" s="6">
        <v>65</v>
      </c>
      <c r="C68" s="9">
        <v>1</v>
      </c>
      <c r="D68" s="9">
        <v>1</v>
      </c>
      <c r="E68" s="9">
        <v>1</v>
      </c>
      <c r="F68" s="9">
        <v>1</v>
      </c>
      <c r="I68" s="2">
        <f t="shared" ca="1" si="0"/>
        <v>1</v>
      </c>
      <c r="J68" s="2">
        <f t="shared" ca="1" si="0"/>
        <v>1</v>
      </c>
      <c r="K68" s="2">
        <f t="shared" ca="1" si="0"/>
        <v>1</v>
      </c>
      <c r="L68" s="2">
        <f t="shared" ca="1" si="0"/>
        <v>1</v>
      </c>
      <c r="M68" s="2">
        <f t="shared" ca="1" si="0"/>
        <v>1</v>
      </c>
      <c r="N68" s="2">
        <f t="shared" ca="1" si="0"/>
        <v>1</v>
      </c>
      <c r="O68" s="2">
        <f t="shared" ca="1" si="0"/>
        <v>1</v>
      </c>
      <c r="P68" s="2">
        <f t="shared" ca="1" si="0"/>
        <v>1</v>
      </c>
      <c r="Q68" s="2">
        <f t="shared" ca="1" si="0"/>
        <v>1</v>
      </c>
      <c r="R68" s="2">
        <f t="shared" ca="1" si="0"/>
        <v>1</v>
      </c>
      <c r="S68" s="2">
        <f t="shared" ca="1" si="0"/>
        <v>1</v>
      </c>
      <c r="T68" s="2">
        <f t="shared" ca="1" si="0"/>
        <v>1</v>
      </c>
      <c r="U68" s="2">
        <f t="shared" ca="1" si="0"/>
        <v>1</v>
      </c>
      <c r="V68" s="2">
        <f t="shared" ca="1" si="0"/>
        <v>1</v>
      </c>
      <c r="W68" s="2">
        <f t="shared" ca="1" si="0"/>
        <v>1</v>
      </c>
      <c r="X68" s="2">
        <f t="shared" ca="1" si="0"/>
        <v>1</v>
      </c>
      <c r="Y68" s="2">
        <f t="shared" ca="1" si="0"/>
        <v>1</v>
      </c>
    </row>
    <row r="69" spans="2:25" x14ac:dyDescent="0.3">
      <c r="B69" s="6">
        <v>66</v>
      </c>
      <c r="C69" s="9">
        <v>1</v>
      </c>
      <c r="D69" s="9">
        <v>1</v>
      </c>
      <c r="E69" s="9">
        <v>1</v>
      </c>
      <c r="F69" s="9">
        <v>1</v>
      </c>
      <c r="I69" s="2">
        <f t="shared" ca="1" si="0"/>
        <v>1</v>
      </c>
      <c r="J69" s="2">
        <f t="shared" ca="1" si="0"/>
        <v>1</v>
      </c>
      <c r="K69" s="2">
        <f t="shared" ca="1" si="0"/>
        <v>1</v>
      </c>
      <c r="L69" s="2">
        <f t="shared" ca="1" si="0"/>
        <v>1</v>
      </c>
      <c r="M69" s="2">
        <f t="shared" ca="1" si="0"/>
        <v>1</v>
      </c>
      <c r="N69" s="2">
        <f t="shared" ca="1" si="0"/>
        <v>1</v>
      </c>
      <c r="O69" s="2">
        <f t="shared" ca="1" si="0"/>
        <v>1</v>
      </c>
      <c r="P69" s="2">
        <f t="shared" ca="1" si="0"/>
        <v>1</v>
      </c>
      <c r="Q69" s="2">
        <f t="shared" ca="1" si="0"/>
        <v>1</v>
      </c>
      <c r="R69" s="2">
        <f t="shared" ca="1" si="0"/>
        <v>1</v>
      </c>
      <c r="S69" s="2">
        <f t="shared" ca="1" si="0"/>
        <v>1</v>
      </c>
      <c r="T69" s="2">
        <f t="shared" ca="1" si="0"/>
        <v>1</v>
      </c>
      <c r="U69" s="2">
        <f t="shared" ca="1" si="0"/>
        <v>1</v>
      </c>
      <c r="V69" s="2">
        <f t="shared" ca="1" si="0"/>
        <v>1</v>
      </c>
      <c r="W69" s="2">
        <f t="shared" ca="1" si="0"/>
        <v>1</v>
      </c>
      <c r="X69" s="2">
        <f t="shared" ca="1" si="0"/>
        <v>1</v>
      </c>
      <c r="Y69" s="2">
        <f t="shared" ca="1" si="0"/>
        <v>1</v>
      </c>
    </row>
    <row r="70" spans="2:25" x14ac:dyDescent="0.3">
      <c r="B70" s="6">
        <v>67</v>
      </c>
      <c r="C70" s="9">
        <v>1</v>
      </c>
      <c r="D70" s="9">
        <v>1</v>
      </c>
      <c r="E70" s="9">
        <v>1</v>
      </c>
      <c r="F70" s="9">
        <v>1</v>
      </c>
      <c r="I70" s="3">
        <f t="shared" ca="1" si="0"/>
        <v>1</v>
      </c>
      <c r="J70" s="2">
        <f t="shared" ca="1" si="0"/>
        <v>1</v>
      </c>
      <c r="K70" s="2">
        <f t="shared" ca="1" si="0"/>
        <v>1</v>
      </c>
      <c r="L70" s="2">
        <f t="shared" ca="1" si="0"/>
        <v>1</v>
      </c>
      <c r="M70" s="2">
        <f t="shared" ca="1" si="0"/>
        <v>1</v>
      </c>
      <c r="N70" s="2">
        <f t="shared" ca="1" si="0"/>
        <v>1</v>
      </c>
      <c r="O70" s="2">
        <f t="shared" ca="1" si="0"/>
        <v>1</v>
      </c>
      <c r="P70" s="2">
        <f t="shared" ca="1" si="0"/>
        <v>1</v>
      </c>
      <c r="Q70" s="2">
        <f t="shared" ca="1" si="0"/>
        <v>1</v>
      </c>
      <c r="R70" s="2">
        <f t="shared" ca="1" si="0"/>
        <v>1</v>
      </c>
      <c r="S70" s="2">
        <f t="shared" ca="1" si="0"/>
        <v>1</v>
      </c>
      <c r="T70" s="2">
        <f t="shared" ca="1" si="0"/>
        <v>1</v>
      </c>
      <c r="U70" s="2">
        <f t="shared" ca="1" si="0"/>
        <v>1</v>
      </c>
      <c r="V70" s="2">
        <f t="shared" ca="1" si="0"/>
        <v>1</v>
      </c>
      <c r="W70" s="2">
        <f t="shared" ca="1" si="0"/>
        <v>1</v>
      </c>
      <c r="X70" s="2">
        <f t="shared" ca="1" si="0"/>
        <v>1</v>
      </c>
      <c r="Y70" s="3">
        <f t="shared" ca="1" si="0"/>
        <v>1</v>
      </c>
    </row>
    <row r="71" spans="2:25" x14ac:dyDescent="0.3">
      <c r="B71" s="6">
        <v>68</v>
      </c>
      <c r="C71" s="9">
        <v>1</v>
      </c>
      <c r="D71" s="9">
        <v>1</v>
      </c>
      <c r="E71" s="9">
        <v>1</v>
      </c>
      <c r="F71" s="9">
        <v>1</v>
      </c>
    </row>
    <row r="72" spans="2:25" x14ac:dyDescent="0.3">
      <c r="B72" s="6">
        <v>69</v>
      </c>
      <c r="C72" s="9">
        <v>1</v>
      </c>
      <c r="D72" s="9">
        <v>1</v>
      </c>
      <c r="E72" s="9">
        <v>1</v>
      </c>
      <c r="F72" s="9">
        <v>1</v>
      </c>
      <c r="H72" t="s">
        <v>1</v>
      </c>
      <c r="I72" s="10">
        <f t="shared" ref="I72:Y84" ca="1" si="1">INDIRECT("D"&amp;(17*ROW(1:1)+ROW($D$3)-19+IF(COLUMN(C:C)&gt;19,50000,COLUMN(C:C)-1)))</f>
        <v>1</v>
      </c>
      <c r="J72" s="2">
        <f t="shared" ca="1" si="1"/>
        <v>1</v>
      </c>
      <c r="K72" s="2">
        <f t="shared" ca="1" si="1"/>
        <v>1</v>
      </c>
      <c r="L72" s="2">
        <f t="shared" ca="1" si="1"/>
        <v>1</v>
      </c>
      <c r="M72" s="2">
        <f t="shared" ca="1" si="1"/>
        <v>1</v>
      </c>
      <c r="N72" s="2">
        <f t="shared" ca="1" si="1"/>
        <v>1</v>
      </c>
      <c r="O72" s="2">
        <f t="shared" ca="1" si="1"/>
        <v>1</v>
      </c>
      <c r="P72" s="2">
        <f t="shared" ca="1" si="1"/>
        <v>1</v>
      </c>
      <c r="Q72" s="2">
        <f t="shared" ca="1" si="1"/>
        <v>1</v>
      </c>
      <c r="R72" s="2">
        <f t="shared" ca="1" si="1"/>
        <v>1</v>
      </c>
      <c r="S72" s="2">
        <f t="shared" ca="1" si="1"/>
        <v>1</v>
      </c>
      <c r="T72" s="2">
        <f t="shared" ca="1" si="1"/>
        <v>1</v>
      </c>
      <c r="U72" s="2">
        <f t="shared" ca="1" si="1"/>
        <v>1</v>
      </c>
      <c r="V72" s="2">
        <f t="shared" ca="1" si="1"/>
        <v>1</v>
      </c>
      <c r="W72" s="2">
        <f t="shared" ca="1" si="1"/>
        <v>1</v>
      </c>
      <c r="X72" s="2">
        <f t="shared" ca="1" si="1"/>
        <v>1</v>
      </c>
      <c r="Y72" s="10">
        <f t="shared" ca="1" si="1"/>
        <v>1</v>
      </c>
    </row>
    <row r="73" spans="2:25" x14ac:dyDescent="0.3">
      <c r="B73" s="6">
        <v>70</v>
      </c>
      <c r="C73" s="9">
        <v>1</v>
      </c>
      <c r="D73" s="9">
        <v>1</v>
      </c>
      <c r="E73" s="9">
        <v>1</v>
      </c>
      <c r="F73" s="9">
        <v>1</v>
      </c>
      <c r="I73" s="2">
        <f t="shared" ca="1" si="1"/>
        <v>1</v>
      </c>
      <c r="J73" s="2">
        <f t="shared" ca="1" si="1"/>
        <v>1</v>
      </c>
      <c r="K73" s="2">
        <f t="shared" ca="1" si="1"/>
        <v>1</v>
      </c>
      <c r="L73" s="2">
        <f t="shared" ca="1" si="1"/>
        <v>1</v>
      </c>
      <c r="M73" s="2">
        <f t="shared" ca="1" si="1"/>
        <v>1</v>
      </c>
      <c r="N73" s="2">
        <f t="shared" ca="1" si="1"/>
        <v>1</v>
      </c>
      <c r="O73" s="2">
        <f t="shared" ca="1" si="1"/>
        <v>1</v>
      </c>
      <c r="P73" s="2">
        <f t="shared" ca="1" si="1"/>
        <v>1</v>
      </c>
      <c r="Q73" s="2">
        <f t="shared" ca="1" si="1"/>
        <v>1</v>
      </c>
      <c r="R73" s="2">
        <f t="shared" ca="1" si="1"/>
        <v>1</v>
      </c>
      <c r="S73" s="2">
        <f t="shared" ca="1" si="1"/>
        <v>1</v>
      </c>
      <c r="T73" s="2">
        <f t="shared" ca="1" si="1"/>
        <v>1</v>
      </c>
      <c r="U73" s="2">
        <f t="shared" ca="1" si="1"/>
        <v>1</v>
      </c>
      <c r="V73" s="2">
        <f t="shared" ca="1" si="1"/>
        <v>1</v>
      </c>
      <c r="W73" s="2">
        <f t="shared" ca="1" si="1"/>
        <v>1</v>
      </c>
      <c r="X73" s="2">
        <f t="shared" ca="1" si="1"/>
        <v>1</v>
      </c>
      <c r="Y73" s="2">
        <f t="shared" ca="1" si="1"/>
        <v>1</v>
      </c>
    </row>
    <row r="74" spans="2:25" x14ac:dyDescent="0.3">
      <c r="B74" s="6">
        <v>71</v>
      </c>
      <c r="C74" s="9">
        <v>1</v>
      </c>
      <c r="D74" s="9">
        <v>1</v>
      </c>
      <c r="E74" s="9">
        <v>1</v>
      </c>
      <c r="F74" s="9">
        <v>1</v>
      </c>
      <c r="I74" s="2">
        <f t="shared" ca="1" si="1"/>
        <v>1</v>
      </c>
      <c r="J74" s="2">
        <f t="shared" ca="1" si="1"/>
        <v>1</v>
      </c>
      <c r="K74" s="2">
        <f t="shared" ca="1" si="1"/>
        <v>1</v>
      </c>
      <c r="L74" s="2">
        <f t="shared" ca="1" si="1"/>
        <v>1</v>
      </c>
      <c r="M74" s="2">
        <f t="shared" ca="1" si="1"/>
        <v>1</v>
      </c>
      <c r="N74" s="2">
        <f t="shared" ca="1" si="1"/>
        <v>1</v>
      </c>
      <c r="O74" s="2">
        <f t="shared" ca="1" si="1"/>
        <v>1</v>
      </c>
      <c r="P74" s="2">
        <f t="shared" ca="1" si="1"/>
        <v>1</v>
      </c>
      <c r="Q74" s="2">
        <f t="shared" ca="1" si="1"/>
        <v>1</v>
      </c>
      <c r="R74" s="2">
        <f t="shared" ca="1" si="1"/>
        <v>1</v>
      </c>
      <c r="S74" s="2">
        <f t="shared" ca="1" si="1"/>
        <v>1</v>
      </c>
      <c r="T74" s="2">
        <f t="shared" ca="1" si="1"/>
        <v>1</v>
      </c>
      <c r="U74" s="2">
        <f t="shared" ca="1" si="1"/>
        <v>1</v>
      </c>
      <c r="V74" s="2">
        <f t="shared" ca="1" si="1"/>
        <v>1</v>
      </c>
      <c r="W74" s="2">
        <f t="shared" ca="1" si="1"/>
        <v>1</v>
      </c>
      <c r="X74" s="2">
        <f t="shared" ca="1" si="1"/>
        <v>1</v>
      </c>
      <c r="Y74" s="2">
        <f t="shared" ca="1" si="1"/>
        <v>1</v>
      </c>
    </row>
    <row r="75" spans="2:25" x14ac:dyDescent="0.3">
      <c r="B75" s="6">
        <v>72</v>
      </c>
      <c r="C75" s="9">
        <v>1</v>
      </c>
      <c r="D75" s="9">
        <v>1</v>
      </c>
      <c r="E75" s="9">
        <v>1</v>
      </c>
      <c r="F75" s="9">
        <v>1</v>
      </c>
      <c r="I75" s="2">
        <f t="shared" ca="1" si="1"/>
        <v>1</v>
      </c>
      <c r="J75" s="2">
        <f t="shared" ca="1" si="1"/>
        <v>1</v>
      </c>
      <c r="K75" s="2">
        <f t="shared" ca="1" si="1"/>
        <v>1</v>
      </c>
      <c r="L75" s="2">
        <f t="shared" ca="1" si="1"/>
        <v>1</v>
      </c>
      <c r="M75" s="2">
        <f t="shared" ca="1" si="1"/>
        <v>1</v>
      </c>
      <c r="N75" s="2">
        <f t="shared" ca="1" si="1"/>
        <v>1</v>
      </c>
      <c r="O75" s="2">
        <f t="shared" ca="1" si="1"/>
        <v>1</v>
      </c>
      <c r="P75" s="2">
        <f t="shared" ca="1" si="1"/>
        <v>1</v>
      </c>
      <c r="Q75" s="2">
        <f t="shared" ca="1" si="1"/>
        <v>1</v>
      </c>
      <c r="R75" s="2">
        <f t="shared" ca="1" si="1"/>
        <v>1</v>
      </c>
      <c r="S75" s="2">
        <f t="shared" ca="1" si="1"/>
        <v>1</v>
      </c>
      <c r="T75" s="2">
        <f t="shared" ca="1" si="1"/>
        <v>1</v>
      </c>
      <c r="U75" s="2">
        <f t="shared" ca="1" si="1"/>
        <v>1</v>
      </c>
      <c r="V75" s="2">
        <f t="shared" ca="1" si="1"/>
        <v>1</v>
      </c>
      <c r="W75" s="2">
        <f t="shared" ca="1" si="1"/>
        <v>1</v>
      </c>
      <c r="X75" s="2">
        <f t="shared" ca="1" si="1"/>
        <v>1</v>
      </c>
      <c r="Y75" s="2">
        <f t="shared" ca="1" si="1"/>
        <v>1</v>
      </c>
    </row>
    <row r="76" spans="2:25" x14ac:dyDescent="0.3">
      <c r="B76" s="6">
        <v>73</v>
      </c>
      <c r="C76" s="9">
        <v>1</v>
      </c>
      <c r="D76" s="9">
        <v>1</v>
      </c>
      <c r="E76" s="9">
        <v>1</v>
      </c>
      <c r="F76" s="9">
        <v>1</v>
      </c>
      <c r="I76" s="2">
        <f t="shared" ca="1" si="1"/>
        <v>1</v>
      </c>
      <c r="J76" s="2">
        <f t="shared" ca="1" si="1"/>
        <v>1</v>
      </c>
      <c r="K76" s="2">
        <f t="shared" ca="1" si="1"/>
        <v>1</v>
      </c>
      <c r="L76" s="2">
        <f t="shared" ca="1" si="1"/>
        <v>1</v>
      </c>
      <c r="M76" s="2">
        <f t="shared" ca="1" si="1"/>
        <v>1</v>
      </c>
      <c r="N76" s="2">
        <f t="shared" ca="1" si="1"/>
        <v>1</v>
      </c>
      <c r="O76" s="2">
        <f t="shared" ca="1" si="1"/>
        <v>1</v>
      </c>
      <c r="P76" s="2">
        <f t="shared" ca="1" si="1"/>
        <v>1</v>
      </c>
      <c r="Q76" s="2">
        <f t="shared" ca="1" si="1"/>
        <v>1</v>
      </c>
      <c r="R76" s="2">
        <f t="shared" ca="1" si="1"/>
        <v>1</v>
      </c>
      <c r="S76" s="2">
        <f t="shared" ca="1" si="1"/>
        <v>1</v>
      </c>
      <c r="T76" s="2">
        <f t="shared" ca="1" si="1"/>
        <v>1</v>
      </c>
      <c r="U76" s="2">
        <f t="shared" ca="1" si="1"/>
        <v>1</v>
      </c>
      <c r="V76" s="2">
        <f t="shared" ca="1" si="1"/>
        <v>1</v>
      </c>
      <c r="W76" s="2">
        <f t="shared" ca="1" si="1"/>
        <v>1</v>
      </c>
      <c r="X76" s="2">
        <f t="shared" ca="1" si="1"/>
        <v>1</v>
      </c>
      <c r="Y76" s="2">
        <f t="shared" ca="1" si="1"/>
        <v>1</v>
      </c>
    </row>
    <row r="77" spans="2:25" x14ac:dyDescent="0.3">
      <c r="B77" s="6">
        <v>74</v>
      </c>
      <c r="C77" s="9">
        <v>1</v>
      </c>
      <c r="D77" s="9">
        <v>1</v>
      </c>
      <c r="E77" s="9">
        <v>1</v>
      </c>
      <c r="F77" s="9">
        <v>1</v>
      </c>
      <c r="I77" s="2">
        <f t="shared" ca="1" si="1"/>
        <v>1</v>
      </c>
      <c r="J77" s="2">
        <f t="shared" ca="1" si="1"/>
        <v>1</v>
      </c>
      <c r="K77" s="2">
        <f t="shared" ca="1" si="1"/>
        <v>1</v>
      </c>
      <c r="L77" s="2">
        <f t="shared" ca="1" si="1"/>
        <v>1</v>
      </c>
      <c r="M77" s="2">
        <f t="shared" ca="1" si="1"/>
        <v>1</v>
      </c>
      <c r="N77" s="2">
        <f t="shared" ca="1" si="1"/>
        <v>1</v>
      </c>
      <c r="O77" s="2">
        <f t="shared" ca="1" si="1"/>
        <v>1</v>
      </c>
      <c r="P77" s="2">
        <f t="shared" ca="1" si="1"/>
        <v>1</v>
      </c>
      <c r="Q77" s="2">
        <f t="shared" ca="1" si="1"/>
        <v>1</v>
      </c>
      <c r="R77" s="2">
        <f t="shared" ca="1" si="1"/>
        <v>1</v>
      </c>
      <c r="S77" s="2">
        <f t="shared" ca="1" si="1"/>
        <v>1</v>
      </c>
      <c r="T77" s="2">
        <f t="shared" ca="1" si="1"/>
        <v>1</v>
      </c>
      <c r="U77" s="2">
        <f t="shared" ca="1" si="1"/>
        <v>1</v>
      </c>
      <c r="V77" s="2">
        <f t="shared" ca="1" si="1"/>
        <v>1</v>
      </c>
      <c r="W77" s="2">
        <f t="shared" ca="1" si="1"/>
        <v>1</v>
      </c>
      <c r="X77" s="2">
        <f t="shared" ca="1" si="1"/>
        <v>1</v>
      </c>
      <c r="Y77" s="2">
        <f t="shared" ca="1" si="1"/>
        <v>1</v>
      </c>
    </row>
    <row r="78" spans="2:25" x14ac:dyDescent="0.3">
      <c r="B78" s="6">
        <v>75</v>
      </c>
      <c r="C78" s="9">
        <v>1</v>
      </c>
      <c r="D78" s="9">
        <v>1</v>
      </c>
      <c r="E78" s="9">
        <v>1</v>
      </c>
      <c r="F78" s="9">
        <v>1</v>
      </c>
      <c r="I78" s="2">
        <f t="shared" ca="1" si="1"/>
        <v>1</v>
      </c>
      <c r="J78" s="2">
        <f t="shared" ca="1" si="1"/>
        <v>1</v>
      </c>
      <c r="K78" s="2">
        <f t="shared" ca="1" si="1"/>
        <v>1</v>
      </c>
      <c r="L78" s="2">
        <f t="shared" ca="1" si="1"/>
        <v>1</v>
      </c>
      <c r="M78" s="2">
        <f t="shared" ca="1" si="1"/>
        <v>1</v>
      </c>
      <c r="N78" s="2">
        <f t="shared" ca="1" si="1"/>
        <v>1</v>
      </c>
      <c r="O78" s="2">
        <f t="shared" ca="1" si="1"/>
        <v>1</v>
      </c>
      <c r="P78" s="2">
        <f t="shared" ca="1" si="1"/>
        <v>1</v>
      </c>
      <c r="Q78" s="2">
        <f t="shared" ca="1" si="1"/>
        <v>1</v>
      </c>
      <c r="R78" s="2">
        <f t="shared" ca="1" si="1"/>
        <v>1</v>
      </c>
      <c r="S78" s="2">
        <f t="shared" ca="1" si="1"/>
        <v>1</v>
      </c>
      <c r="T78" s="2">
        <f t="shared" ca="1" si="1"/>
        <v>1</v>
      </c>
      <c r="U78" s="2">
        <f t="shared" ca="1" si="1"/>
        <v>1</v>
      </c>
      <c r="V78" s="2">
        <f t="shared" ca="1" si="1"/>
        <v>1</v>
      </c>
      <c r="W78" s="2">
        <f t="shared" ca="1" si="1"/>
        <v>1</v>
      </c>
      <c r="X78" s="2">
        <f t="shared" ca="1" si="1"/>
        <v>1</v>
      </c>
      <c r="Y78" s="2">
        <f t="shared" ca="1" si="1"/>
        <v>1</v>
      </c>
    </row>
    <row r="79" spans="2:25" x14ac:dyDescent="0.3">
      <c r="B79" s="6">
        <v>76</v>
      </c>
      <c r="C79" s="9">
        <v>1</v>
      </c>
      <c r="D79" s="9">
        <v>1</v>
      </c>
      <c r="E79" s="9">
        <v>1</v>
      </c>
      <c r="F79" s="9">
        <v>1</v>
      </c>
      <c r="I79" s="2">
        <f t="shared" ca="1" si="1"/>
        <v>1</v>
      </c>
      <c r="J79" s="2">
        <f t="shared" ca="1" si="1"/>
        <v>1</v>
      </c>
      <c r="K79" s="2">
        <f t="shared" ca="1" si="1"/>
        <v>1</v>
      </c>
      <c r="L79" s="2">
        <f t="shared" ca="1" si="1"/>
        <v>1</v>
      </c>
      <c r="M79" s="2">
        <f t="shared" ca="1" si="1"/>
        <v>1</v>
      </c>
      <c r="N79" s="2">
        <f t="shared" ca="1" si="1"/>
        <v>1</v>
      </c>
      <c r="O79" s="2">
        <f t="shared" ca="1" si="1"/>
        <v>1</v>
      </c>
      <c r="P79" s="2">
        <f t="shared" ca="1" si="1"/>
        <v>1</v>
      </c>
      <c r="Q79" s="2">
        <f t="shared" ca="1" si="1"/>
        <v>1</v>
      </c>
      <c r="R79" s="2">
        <f t="shared" ca="1" si="1"/>
        <v>1</v>
      </c>
      <c r="S79" s="2">
        <f t="shared" ca="1" si="1"/>
        <v>1</v>
      </c>
      <c r="T79" s="2">
        <f t="shared" ca="1" si="1"/>
        <v>1</v>
      </c>
      <c r="U79" s="2">
        <f t="shared" ca="1" si="1"/>
        <v>1</v>
      </c>
      <c r="V79" s="2">
        <f t="shared" ca="1" si="1"/>
        <v>1</v>
      </c>
      <c r="W79" s="2">
        <f t="shared" ca="1" si="1"/>
        <v>1</v>
      </c>
      <c r="X79" s="2">
        <f t="shared" ca="1" si="1"/>
        <v>1</v>
      </c>
      <c r="Y79" s="2">
        <f t="shared" ca="1" si="1"/>
        <v>1</v>
      </c>
    </row>
    <row r="80" spans="2:25" x14ac:dyDescent="0.3">
      <c r="B80" s="6">
        <v>77</v>
      </c>
      <c r="C80" s="9">
        <v>1</v>
      </c>
      <c r="D80" s="9">
        <v>1</v>
      </c>
      <c r="E80" s="9">
        <v>1</v>
      </c>
      <c r="F80" s="9">
        <v>1</v>
      </c>
      <c r="I80" s="2">
        <f t="shared" ca="1" si="1"/>
        <v>1</v>
      </c>
      <c r="J80" s="2">
        <f t="shared" ca="1" si="1"/>
        <v>1</v>
      </c>
      <c r="K80" s="2">
        <f t="shared" ca="1" si="1"/>
        <v>1</v>
      </c>
      <c r="L80" s="2">
        <f t="shared" ca="1" si="1"/>
        <v>1</v>
      </c>
      <c r="M80" s="2">
        <f t="shared" ca="1" si="1"/>
        <v>1</v>
      </c>
      <c r="N80" s="2">
        <f t="shared" ca="1" si="1"/>
        <v>1</v>
      </c>
      <c r="O80" s="2">
        <f t="shared" ca="1" si="1"/>
        <v>1</v>
      </c>
      <c r="P80" s="2">
        <f t="shared" ca="1" si="1"/>
        <v>1</v>
      </c>
      <c r="Q80" s="2">
        <f t="shared" ca="1" si="1"/>
        <v>1</v>
      </c>
      <c r="R80" s="2">
        <f t="shared" ca="1" si="1"/>
        <v>1</v>
      </c>
      <c r="S80" s="2">
        <f t="shared" ca="1" si="1"/>
        <v>1</v>
      </c>
      <c r="T80" s="2">
        <f t="shared" ca="1" si="1"/>
        <v>1</v>
      </c>
      <c r="U80" s="2">
        <f t="shared" ca="1" si="1"/>
        <v>1</v>
      </c>
      <c r="V80" s="2">
        <f t="shared" ca="1" si="1"/>
        <v>1</v>
      </c>
      <c r="W80" s="2">
        <f t="shared" ca="1" si="1"/>
        <v>1</v>
      </c>
      <c r="X80" s="2">
        <f t="shared" ca="1" si="1"/>
        <v>1</v>
      </c>
      <c r="Y80" s="2">
        <f t="shared" ca="1" si="1"/>
        <v>1</v>
      </c>
    </row>
    <row r="81" spans="2:25" x14ac:dyDescent="0.3">
      <c r="B81" s="6">
        <v>78</v>
      </c>
      <c r="C81" s="9">
        <v>1</v>
      </c>
      <c r="D81" s="9">
        <v>1</v>
      </c>
      <c r="E81" s="9">
        <v>1</v>
      </c>
      <c r="F81" s="9">
        <v>1</v>
      </c>
      <c r="I81" s="2">
        <f t="shared" ca="1" si="1"/>
        <v>1</v>
      </c>
      <c r="J81" s="2">
        <f t="shared" ca="1" si="1"/>
        <v>1</v>
      </c>
      <c r="K81" s="2">
        <f t="shared" ca="1" si="1"/>
        <v>1</v>
      </c>
      <c r="L81" s="2">
        <f t="shared" ca="1" si="1"/>
        <v>1</v>
      </c>
      <c r="M81" s="2">
        <f t="shared" ca="1" si="1"/>
        <v>1</v>
      </c>
      <c r="N81" s="2">
        <f t="shared" ca="1" si="1"/>
        <v>1</v>
      </c>
      <c r="O81" s="2">
        <f t="shared" ca="1" si="1"/>
        <v>1</v>
      </c>
      <c r="P81" s="2">
        <f t="shared" ca="1" si="1"/>
        <v>1</v>
      </c>
      <c r="Q81" s="2">
        <f t="shared" ca="1" si="1"/>
        <v>1</v>
      </c>
      <c r="R81" s="2">
        <f t="shared" ca="1" si="1"/>
        <v>1</v>
      </c>
      <c r="S81" s="2">
        <f t="shared" ca="1" si="1"/>
        <v>1</v>
      </c>
      <c r="T81" s="2">
        <f t="shared" ca="1" si="1"/>
        <v>1</v>
      </c>
      <c r="U81" s="2">
        <f t="shared" ca="1" si="1"/>
        <v>1</v>
      </c>
      <c r="V81" s="2">
        <f t="shared" ca="1" si="1"/>
        <v>1</v>
      </c>
      <c r="W81" s="2">
        <f t="shared" ca="1" si="1"/>
        <v>1</v>
      </c>
      <c r="X81" s="2">
        <f t="shared" ca="1" si="1"/>
        <v>1</v>
      </c>
      <c r="Y81" s="2">
        <f t="shared" ca="1" si="1"/>
        <v>1</v>
      </c>
    </row>
    <row r="82" spans="2:25" x14ac:dyDescent="0.3">
      <c r="B82" s="6">
        <v>79</v>
      </c>
      <c r="C82" s="9">
        <v>1</v>
      </c>
      <c r="D82" s="9">
        <v>1</v>
      </c>
      <c r="E82" s="9">
        <v>1</v>
      </c>
      <c r="F82" s="9">
        <v>1</v>
      </c>
      <c r="I82" s="2">
        <f t="shared" ca="1" si="1"/>
        <v>1</v>
      </c>
      <c r="J82" s="2">
        <f t="shared" ca="1" si="1"/>
        <v>1</v>
      </c>
      <c r="K82" s="2">
        <f t="shared" ca="1" si="1"/>
        <v>1</v>
      </c>
      <c r="L82" s="2">
        <f t="shared" ca="1" si="1"/>
        <v>1</v>
      </c>
      <c r="M82" s="2">
        <f t="shared" ca="1" si="1"/>
        <v>1</v>
      </c>
      <c r="N82" s="2">
        <f t="shared" ca="1" si="1"/>
        <v>1</v>
      </c>
      <c r="O82" s="2">
        <f t="shared" ca="1" si="1"/>
        <v>1</v>
      </c>
      <c r="P82" s="2">
        <f t="shared" ca="1" si="1"/>
        <v>1</v>
      </c>
      <c r="Q82" s="2">
        <f t="shared" ca="1" si="1"/>
        <v>1</v>
      </c>
      <c r="R82" s="2">
        <f t="shared" ca="1" si="1"/>
        <v>1</v>
      </c>
      <c r="S82" s="2">
        <f t="shared" ca="1" si="1"/>
        <v>1</v>
      </c>
      <c r="T82" s="2">
        <f t="shared" ca="1" si="1"/>
        <v>1</v>
      </c>
      <c r="U82" s="2">
        <f t="shared" ca="1" si="1"/>
        <v>1</v>
      </c>
      <c r="V82" s="2">
        <f t="shared" ca="1" si="1"/>
        <v>1</v>
      </c>
      <c r="W82" s="2">
        <f t="shared" ca="1" si="1"/>
        <v>1</v>
      </c>
      <c r="X82" s="2">
        <f t="shared" ca="1" si="1"/>
        <v>1</v>
      </c>
      <c r="Y82" s="2">
        <f t="shared" ca="1" si="1"/>
        <v>1</v>
      </c>
    </row>
    <row r="83" spans="2:25" x14ac:dyDescent="0.3">
      <c r="B83" s="6">
        <v>80</v>
      </c>
      <c r="C83" s="9">
        <v>1</v>
      </c>
      <c r="D83" s="9">
        <v>1</v>
      </c>
      <c r="E83" s="9">
        <v>1</v>
      </c>
      <c r="F83" s="9">
        <v>1</v>
      </c>
      <c r="I83" s="2">
        <f t="shared" ca="1" si="1"/>
        <v>1</v>
      </c>
      <c r="J83" s="2">
        <f t="shared" ca="1" si="1"/>
        <v>1</v>
      </c>
      <c r="K83" s="2">
        <f t="shared" ca="1" si="1"/>
        <v>1</v>
      </c>
      <c r="L83" s="2">
        <f t="shared" ca="1" si="1"/>
        <v>1</v>
      </c>
      <c r="M83" s="2">
        <f t="shared" ca="1" si="1"/>
        <v>1</v>
      </c>
      <c r="N83" s="2">
        <f t="shared" ca="1" si="1"/>
        <v>1</v>
      </c>
      <c r="O83" s="2">
        <f t="shared" ca="1" si="1"/>
        <v>1</v>
      </c>
      <c r="P83" s="2">
        <f t="shared" ca="1" si="1"/>
        <v>1</v>
      </c>
      <c r="Q83" s="2">
        <f t="shared" ca="1" si="1"/>
        <v>1</v>
      </c>
      <c r="R83" s="2">
        <f t="shared" ca="1" si="1"/>
        <v>1</v>
      </c>
      <c r="S83" s="2">
        <f t="shared" ca="1" si="1"/>
        <v>1</v>
      </c>
      <c r="T83" s="2">
        <f t="shared" ca="1" si="1"/>
        <v>1</v>
      </c>
      <c r="U83" s="2">
        <f t="shared" ca="1" si="1"/>
        <v>1</v>
      </c>
      <c r="V83" s="2">
        <f t="shared" ca="1" si="1"/>
        <v>1</v>
      </c>
      <c r="W83" s="2">
        <f t="shared" ca="1" si="1"/>
        <v>1</v>
      </c>
      <c r="X83" s="2">
        <f t="shared" ca="1" si="1"/>
        <v>1</v>
      </c>
      <c r="Y83" s="2">
        <f t="shared" ca="1" si="1"/>
        <v>1</v>
      </c>
    </row>
    <row r="84" spans="2:25" x14ac:dyDescent="0.3">
      <c r="B84" s="6">
        <v>81</v>
      </c>
      <c r="C84" s="9">
        <v>1</v>
      </c>
      <c r="D84" s="9">
        <v>1</v>
      </c>
      <c r="E84" s="9">
        <v>1</v>
      </c>
      <c r="F84" s="9">
        <v>1</v>
      </c>
      <c r="I84" s="10">
        <f t="shared" ca="1" si="1"/>
        <v>1</v>
      </c>
      <c r="J84" s="2">
        <f t="shared" ca="1" si="1"/>
        <v>1</v>
      </c>
      <c r="K84" s="2">
        <f t="shared" ca="1" si="1"/>
        <v>1</v>
      </c>
      <c r="L84" s="2">
        <f t="shared" ca="1" si="1"/>
        <v>1</v>
      </c>
      <c r="M84" s="2">
        <f t="shared" ca="1" si="1"/>
        <v>1</v>
      </c>
      <c r="N84" s="2">
        <f t="shared" ca="1" si="1"/>
        <v>1</v>
      </c>
      <c r="O84" s="2">
        <f t="shared" ca="1" si="1"/>
        <v>1</v>
      </c>
      <c r="P84" s="2">
        <f t="shared" ca="1" si="1"/>
        <v>1</v>
      </c>
      <c r="Q84" s="2">
        <f t="shared" ca="1" si="1"/>
        <v>1</v>
      </c>
      <c r="R84" s="2">
        <f t="shared" ca="1" si="1"/>
        <v>1</v>
      </c>
      <c r="S84" s="2">
        <f t="shared" ca="1" si="1"/>
        <v>1</v>
      </c>
      <c r="T84" s="2">
        <f t="shared" ca="1" si="1"/>
        <v>1</v>
      </c>
      <c r="U84" s="2">
        <f t="shared" ca="1" si="1"/>
        <v>1</v>
      </c>
      <c r="V84" s="2">
        <f t="shared" ca="1" si="1"/>
        <v>1</v>
      </c>
      <c r="W84" s="2">
        <f t="shared" ca="1" si="1"/>
        <v>1</v>
      </c>
      <c r="X84" s="2">
        <f t="shared" ca="1" si="1"/>
        <v>1</v>
      </c>
      <c r="Y84" s="10">
        <f t="shared" ca="1" si="1"/>
        <v>1</v>
      </c>
    </row>
    <row r="85" spans="2:25" x14ac:dyDescent="0.3">
      <c r="B85" s="6">
        <v>82</v>
      </c>
      <c r="C85" s="9">
        <v>1</v>
      </c>
      <c r="D85" s="9">
        <v>1</v>
      </c>
      <c r="E85" s="9">
        <v>1</v>
      </c>
      <c r="F85" s="9">
        <v>1</v>
      </c>
    </row>
    <row r="86" spans="2:25" x14ac:dyDescent="0.3">
      <c r="B86" s="6">
        <v>83</v>
      </c>
      <c r="C86" s="9">
        <v>1</v>
      </c>
      <c r="D86" s="9">
        <v>1</v>
      </c>
      <c r="E86" s="9">
        <v>1</v>
      </c>
      <c r="F86" s="9">
        <v>1</v>
      </c>
      <c r="H86" t="s">
        <v>2</v>
      </c>
      <c r="I86" s="11">
        <f t="shared" ref="I86:Y98" ca="1" si="2">INDIRECT("E"&amp;(17*ROW(1:1)+ROW($E$3)-19+IF(COLUMN(C:C)&gt;19,50000,COLUMN(C:C)-1)))</f>
        <v>1</v>
      </c>
      <c r="J86" s="2">
        <f t="shared" ca="1" si="2"/>
        <v>1</v>
      </c>
      <c r="K86" s="2">
        <f t="shared" ca="1" si="2"/>
        <v>1</v>
      </c>
      <c r="L86" s="2">
        <f t="shared" ca="1" si="2"/>
        <v>1</v>
      </c>
      <c r="M86" s="2">
        <f t="shared" ca="1" si="2"/>
        <v>1</v>
      </c>
      <c r="N86" s="2">
        <f t="shared" ca="1" si="2"/>
        <v>1</v>
      </c>
      <c r="O86" s="2">
        <f t="shared" ca="1" si="2"/>
        <v>1</v>
      </c>
      <c r="P86" s="2">
        <f t="shared" ca="1" si="2"/>
        <v>1</v>
      </c>
      <c r="Q86" s="2">
        <f t="shared" ca="1" si="2"/>
        <v>1</v>
      </c>
      <c r="R86" s="2">
        <f t="shared" ca="1" si="2"/>
        <v>1</v>
      </c>
      <c r="S86" s="2">
        <f t="shared" ca="1" si="2"/>
        <v>1</v>
      </c>
      <c r="T86" s="2">
        <f t="shared" ca="1" si="2"/>
        <v>1</v>
      </c>
      <c r="U86" s="2">
        <f t="shared" ca="1" si="2"/>
        <v>1</v>
      </c>
      <c r="V86" s="2">
        <f t="shared" ca="1" si="2"/>
        <v>1</v>
      </c>
      <c r="W86" s="2">
        <f t="shared" ca="1" si="2"/>
        <v>1</v>
      </c>
      <c r="X86" s="2">
        <f t="shared" ca="1" si="2"/>
        <v>1</v>
      </c>
      <c r="Y86" s="11">
        <f t="shared" ca="1" si="2"/>
        <v>1</v>
      </c>
    </row>
    <row r="87" spans="2:25" x14ac:dyDescent="0.3">
      <c r="B87" s="6">
        <v>84</v>
      </c>
      <c r="C87" s="9">
        <v>1</v>
      </c>
      <c r="D87" s="9">
        <v>1</v>
      </c>
      <c r="E87" s="9">
        <v>1</v>
      </c>
      <c r="F87" s="9">
        <v>1</v>
      </c>
      <c r="I87" s="2">
        <f t="shared" ca="1" si="2"/>
        <v>1</v>
      </c>
      <c r="J87" s="2">
        <f t="shared" ca="1" si="2"/>
        <v>1</v>
      </c>
      <c r="K87" s="2">
        <f t="shared" ca="1" si="2"/>
        <v>1</v>
      </c>
      <c r="L87" s="2">
        <f t="shared" ca="1" si="2"/>
        <v>1</v>
      </c>
      <c r="M87" s="2">
        <f t="shared" ca="1" si="2"/>
        <v>1</v>
      </c>
      <c r="N87" s="2">
        <f t="shared" ca="1" si="2"/>
        <v>1</v>
      </c>
      <c r="O87" s="2">
        <f t="shared" ca="1" si="2"/>
        <v>1</v>
      </c>
      <c r="P87" s="2">
        <f t="shared" ca="1" si="2"/>
        <v>1</v>
      </c>
      <c r="Q87" s="2">
        <f t="shared" ca="1" si="2"/>
        <v>1</v>
      </c>
      <c r="R87" s="2">
        <f t="shared" ca="1" si="2"/>
        <v>1</v>
      </c>
      <c r="S87" s="2">
        <f t="shared" ca="1" si="2"/>
        <v>1</v>
      </c>
      <c r="T87" s="2">
        <f t="shared" ca="1" si="2"/>
        <v>1</v>
      </c>
      <c r="U87" s="2">
        <f t="shared" ca="1" si="2"/>
        <v>1</v>
      </c>
      <c r="V87" s="2">
        <f t="shared" ca="1" si="2"/>
        <v>1</v>
      </c>
      <c r="W87" s="2">
        <f t="shared" ca="1" si="2"/>
        <v>1</v>
      </c>
      <c r="X87" s="2">
        <f t="shared" ca="1" si="2"/>
        <v>1</v>
      </c>
      <c r="Y87" s="2">
        <f t="shared" ca="1" si="2"/>
        <v>1</v>
      </c>
    </row>
    <row r="88" spans="2:25" x14ac:dyDescent="0.3">
      <c r="B88" s="6">
        <v>85</v>
      </c>
      <c r="C88" s="9">
        <v>1</v>
      </c>
      <c r="D88" s="9">
        <v>1</v>
      </c>
      <c r="E88" s="9">
        <v>1</v>
      </c>
      <c r="F88" s="9">
        <v>1</v>
      </c>
      <c r="I88" s="2">
        <f t="shared" ca="1" si="2"/>
        <v>1</v>
      </c>
      <c r="J88" s="2">
        <f t="shared" ca="1" si="2"/>
        <v>1</v>
      </c>
      <c r="K88" s="2">
        <f t="shared" ca="1" si="2"/>
        <v>1</v>
      </c>
      <c r="L88" s="2">
        <f t="shared" ca="1" si="2"/>
        <v>1</v>
      </c>
      <c r="M88" s="2">
        <f t="shared" ca="1" si="2"/>
        <v>1</v>
      </c>
      <c r="N88" s="2">
        <f t="shared" ca="1" si="2"/>
        <v>1</v>
      </c>
      <c r="O88" s="2">
        <f t="shared" ca="1" si="2"/>
        <v>1</v>
      </c>
      <c r="P88" s="2">
        <f t="shared" ca="1" si="2"/>
        <v>1</v>
      </c>
      <c r="Q88" s="2">
        <f t="shared" ca="1" si="2"/>
        <v>1</v>
      </c>
      <c r="R88" s="2">
        <f t="shared" ca="1" si="2"/>
        <v>1</v>
      </c>
      <c r="S88" s="2">
        <f t="shared" ca="1" si="2"/>
        <v>1</v>
      </c>
      <c r="T88" s="2">
        <f t="shared" ca="1" si="2"/>
        <v>1</v>
      </c>
      <c r="U88" s="2">
        <f t="shared" ca="1" si="2"/>
        <v>1</v>
      </c>
      <c r="V88" s="2">
        <f t="shared" ca="1" si="2"/>
        <v>1</v>
      </c>
      <c r="W88" s="2">
        <f t="shared" ca="1" si="2"/>
        <v>1</v>
      </c>
      <c r="X88" s="2">
        <f t="shared" ca="1" si="2"/>
        <v>1</v>
      </c>
      <c r="Y88" s="2">
        <f t="shared" ca="1" si="2"/>
        <v>1</v>
      </c>
    </row>
    <row r="89" spans="2:25" x14ac:dyDescent="0.3">
      <c r="B89" s="6">
        <v>86</v>
      </c>
      <c r="C89" s="9">
        <v>1</v>
      </c>
      <c r="D89" s="9">
        <v>1</v>
      </c>
      <c r="E89" s="9">
        <v>1</v>
      </c>
      <c r="F89" s="9">
        <v>1</v>
      </c>
      <c r="I89" s="2">
        <f t="shared" ca="1" si="2"/>
        <v>1</v>
      </c>
      <c r="J89" s="2">
        <f t="shared" ca="1" si="2"/>
        <v>1</v>
      </c>
      <c r="K89" s="2">
        <f t="shared" ca="1" si="2"/>
        <v>1</v>
      </c>
      <c r="L89" s="2">
        <f t="shared" ca="1" si="2"/>
        <v>1</v>
      </c>
      <c r="M89" s="2">
        <f t="shared" ca="1" si="2"/>
        <v>1</v>
      </c>
      <c r="N89" s="2">
        <f t="shared" ca="1" si="2"/>
        <v>1</v>
      </c>
      <c r="O89" s="2">
        <f t="shared" ca="1" si="2"/>
        <v>1</v>
      </c>
      <c r="P89" s="2">
        <f t="shared" ca="1" si="2"/>
        <v>1</v>
      </c>
      <c r="Q89" s="2">
        <f t="shared" ca="1" si="2"/>
        <v>1</v>
      </c>
      <c r="R89" s="2">
        <f t="shared" ca="1" si="2"/>
        <v>1</v>
      </c>
      <c r="S89" s="2">
        <f t="shared" ca="1" si="2"/>
        <v>1</v>
      </c>
      <c r="T89" s="2">
        <f t="shared" ca="1" si="2"/>
        <v>1</v>
      </c>
      <c r="U89" s="2">
        <f t="shared" ca="1" si="2"/>
        <v>1</v>
      </c>
      <c r="V89" s="2">
        <f t="shared" ca="1" si="2"/>
        <v>1</v>
      </c>
      <c r="W89" s="2">
        <f t="shared" ca="1" si="2"/>
        <v>1</v>
      </c>
      <c r="X89" s="2">
        <f t="shared" ca="1" si="2"/>
        <v>1</v>
      </c>
      <c r="Y89" s="2">
        <f t="shared" ca="1" si="2"/>
        <v>1</v>
      </c>
    </row>
    <row r="90" spans="2:25" x14ac:dyDescent="0.3">
      <c r="B90" s="6">
        <v>87</v>
      </c>
      <c r="C90" s="9">
        <v>1</v>
      </c>
      <c r="D90" s="9">
        <v>1</v>
      </c>
      <c r="E90" s="9">
        <v>1</v>
      </c>
      <c r="F90" s="9">
        <v>1</v>
      </c>
      <c r="I90" s="2">
        <f t="shared" ca="1" si="2"/>
        <v>1</v>
      </c>
      <c r="J90" s="2">
        <f t="shared" ca="1" si="2"/>
        <v>1</v>
      </c>
      <c r="K90" s="2">
        <f t="shared" ca="1" si="2"/>
        <v>1</v>
      </c>
      <c r="L90" s="2">
        <f t="shared" ca="1" si="2"/>
        <v>1</v>
      </c>
      <c r="M90" s="2">
        <f t="shared" ca="1" si="2"/>
        <v>1</v>
      </c>
      <c r="N90" s="2">
        <f t="shared" ca="1" si="2"/>
        <v>1</v>
      </c>
      <c r="O90" s="2">
        <f t="shared" ca="1" si="2"/>
        <v>1</v>
      </c>
      <c r="P90" s="2">
        <f t="shared" ca="1" si="2"/>
        <v>1</v>
      </c>
      <c r="Q90" s="2">
        <f t="shared" ca="1" si="2"/>
        <v>1</v>
      </c>
      <c r="R90" s="2">
        <f t="shared" ca="1" si="2"/>
        <v>1</v>
      </c>
      <c r="S90" s="2">
        <f t="shared" ca="1" si="2"/>
        <v>1</v>
      </c>
      <c r="T90" s="2">
        <f t="shared" ca="1" si="2"/>
        <v>1</v>
      </c>
      <c r="U90" s="2">
        <f t="shared" ca="1" si="2"/>
        <v>1</v>
      </c>
      <c r="V90" s="2">
        <f t="shared" ca="1" si="2"/>
        <v>1</v>
      </c>
      <c r="W90" s="2">
        <f t="shared" ca="1" si="2"/>
        <v>1</v>
      </c>
      <c r="X90" s="2">
        <f t="shared" ca="1" si="2"/>
        <v>1</v>
      </c>
      <c r="Y90" s="2">
        <f t="shared" ca="1" si="2"/>
        <v>1</v>
      </c>
    </row>
    <row r="91" spans="2:25" x14ac:dyDescent="0.3">
      <c r="B91" s="6">
        <v>88</v>
      </c>
      <c r="C91" s="9">
        <v>1</v>
      </c>
      <c r="D91" s="9">
        <v>1</v>
      </c>
      <c r="E91" s="9">
        <v>1</v>
      </c>
      <c r="F91" s="9">
        <v>1</v>
      </c>
      <c r="I91" s="2">
        <f t="shared" ca="1" si="2"/>
        <v>1</v>
      </c>
      <c r="J91" s="2">
        <f t="shared" ca="1" si="2"/>
        <v>1</v>
      </c>
      <c r="K91" s="2">
        <f t="shared" ca="1" si="2"/>
        <v>1</v>
      </c>
      <c r="L91" s="2">
        <f t="shared" ca="1" si="2"/>
        <v>1</v>
      </c>
      <c r="M91" s="2">
        <f t="shared" ca="1" si="2"/>
        <v>1</v>
      </c>
      <c r="N91" s="2">
        <f t="shared" ca="1" si="2"/>
        <v>1</v>
      </c>
      <c r="O91" s="2">
        <f t="shared" ca="1" si="2"/>
        <v>1</v>
      </c>
      <c r="P91" s="2">
        <f t="shared" ca="1" si="2"/>
        <v>1</v>
      </c>
      <c r="Q91" s="2">
        <f t="shared" ca="1" si="2"/>
        <v>1</v>
      </c>
      <c r="R91" s="2">
        <f t="shared" ca="1" si="2"/>
        <v>1</v>
      </c>
      <c r="S91" s="2">
        <f t="shared" ca="1" si="2"/>
        <v>1</v>
      </c>
      <c r="T91" s="2">
        <f t="shared" ca="1" si="2"/>
        <v>1</v>
      </c>
      <c r="U91" s="2">
        <f t="shared" ca="1" si="2"/>
        <v>1</v>
      </c>
      <c r="V91" s="2">
        <f t="shared" ca="1" si="2"/>
        <v>1</v>
      </c>
      <c r="W91" s="2">
        <f t="shared" ca="1" si="2"/>
        <v>1</v>
      </c>
      <c r="X91" s="2">
        <f t="shared" ca="1" si="2"/>
        <v>1</v>
      </c>
      <c r="Y91" s="2">
        <f t="shared" ca="1" si="2"/>
        <v>1</v>
      </c>
    </row>
    <row r="92" spans="2:25" x14ac:dyDescent="0.3">
      <c r="B92" s="6">
        <v>89</v>
      </c>
      <c r="C92" s="9">
        <v>1</v>
      </c>
      <c r="D92" s="9">
        <v>1</v>
      </c>
      <c r="E92" s="9">
        <v>1</v>
      </c>
      <c r="F92" s="9">
        <v>1</v>
      </c>
      <c r="I92" s="2">
        <f t="shared" ca="1" si="2"/>
        <v>1</v>
      </c>
      <c r="J92" s="2">
        <f t="shared" ca="1" si="2"/>
        <v>1</v>
      </c>
      <c r="K92" s="2">
        <f t="shared" ca="1" si="2"/>
        <v>1</v>
      </c>
      <c r="L92" s="2">
        <f t="shared" ca="1" si="2"/>
        <v>1</v>
      </c>
      <c r="M92" s="2">
        <f t="shared" ca="1" si="2"/>
        <v>1</v>
      </c>
      <c r="N92" s="2">
        <f t="shared" ca="1" si="2"/>
        <v>1</v>
      </c>
      <c r="O92" s="2">
        <f t="shared" ca="1" si="2"/>
        <v>1</v>
      </c>
      <c r="P92" s="2">
        <f t="shared" ca="1" si="2"/>
        <v>1</v>
      </c>
      <c r="Q92" s="2">
        <f t="shared" ca="1" si="2"/>
        <v>1</v>
      </c>
      <c r="R92" s="2">
        <f t="shared" ca="1" si="2"/>
        <v>1</v>
      </c>
      <c r="S92" s="2">
        <f t="shared" ca="1" si="2"/>
        <v>1</v>
      </c>
      <c r="T92" s="2">
        <f t="shared" ca="1" si="2"/>
        <v>1</v>
      </c>
      <c r="U92" s="2">
        <f t="shared" ca="1" si="2"/>
        <v>1</v>
      </c>
      <c r="V92" s="2">
        <f t="shared" ca="1" si="2"/>
        <v>1</v>
      </c>
      <c r="W92" s="2">
        <f t="shared" ca="1" si="2"/>
        <v>1</v>
      </c>
      <c r="X92" s="2">
        <f t="shared" ca="1" si="2"/>
        <v>1</v>
      </c>
      <c r="Y92" s="2">
        <f t="shared" ca="1" si="2"/>
        <v>1</v>
      </c>
    </row>
    <row r="93" spans="2:25" x14ac:dyDescent="0.3">
      <c r="B93" s="6">
        <v>90</v>
      </c>
      <c r="C93" s="9">
        <v>1</v>
      </c>
      <c r="D93" s="9">
        <v>1</v>
      </c>
      <c r="E93" s="9">
        <v>1</v>
      </c>
      <c r="F93" s="9">
        <v>1</v>
      </c>
      <c r="I93" s="2">
        <f t="shared" ca="1" si="2"/>
        <v>1</v>
      </c>
      <c r="J93" s="2">
        <f t="shared" ca="1" si="2"/>
        <v>1</v>
      </c>
      <c r="K93" s="2">
        <f t="shared" ca="1" si="2"/>
        <v>1</v>
      </c>
      <c r="L93" s="2">
        <f t="shared" ca="1" si="2"/>
        <v>1</v>
      </c>
      <c r="M93" s="2">
        <f t="shared" ca="1" si="2"/>
        <v>1</v>
      </c>
      <c r="N93" s="2">
        <f t="shared" ca="1" si="2"/>
        <v>1</v>
      </c>
      <c r="O93" s="2">
        <f t="shared" ca="1" si="2"/>
        <v>1</v>
      </c>
      <c r="P93" s="2">
        <f t="shared" ca="1" si="2"/>
        <v>1</v>
      </c>
      <c r="Q93" s="2">
        <f t="shared" ca="1" si="2"/>
        <v>1</v>
      </c>
      <c r="R93" s="2">
        <f t="shared" ca="1" si="2"/>
        <v>1</v>
      </c>
      <c r="S93" s="2">
        <f t="shared" ca="1" si="2"/>
        <v>1</v>
      </c>
      <c r="T93" s="2">
        <f t="shared" ca="1" si="2"/>
        <v>1</v>
      </c>
      <c r="U93" s="2">
        <f t="shared" ca="1" si="2"/>
        <v>1</v>
      </c>
      <c r="V93" s="2">
        <f t="shared" ca="1" si="2"/>
        <v>1</v>
      </c>
      <c r="W93" s="2">
        <f t="shared" ca="1" si="2"/>
        <v>1</v>
      </c>
      <c r="X93" s="2">
        <f t="shared" ca="1" si="2"/>
        <v>1</v>
      </c>
      <c r="Y93" s="2">
        <f t="shared" ca="1" si="2"/>
        <v>1</v>
      </c>
    </row>
    <row r="94" spans="2:25" x14ac:dyDescent="0.3">
      <c r="B94" s="6">
        <v>91</v>
      </c>
      <c r="C94" s="9">
        <v>1</v>
      </c>
      <c r="D94" s="9">
        <v>1</v>
      </c>
      <c r="E94" s="9">
        <v>1</v>
      </c>
      <c r="F94" s="9">
        <v>1</v>
      </c>
      <c r="I94" s="2">
        <f t="shared" ca="1" si="2"/>
        <v>1</v>
      </c>
      <c r="J94" s="2">
        <f t="shared" ca="1" si="2"/>
        <v>1</v>
      </c>
      <c r="K94" s="2">
        <f t="shared" ca="1" si="2"/>
        <v>1</v>
      </c>
      <c r="L94" s="2">
        <f t="shared" ca="1" si="2"/>
        <v>1</v>
      </c>
      <c r="M94" s="2">
        <f t="shared" ca="1" si="2"/>
        <v>1</v>
      </c>
      <c r="N94" s="2">
        <f t="shared" ca="1" si="2"/>
        <v>1</v>
      </c>
      <c r="O94" s="2">
        <f t="shared" ca="1" si="2"/>
        <v>1</v>
      </c>
      <c r="P94" s="2">
        <f t="shared" ca="1" si="2"/>
        <v>1</v>
      </c>
      <c r="Q94" s="2">
        <f t="shared" ca="1" si="2"/>
        <v>1</v>
      </c>
      <c r="R94" s="2">
        <f t="shared" ca="1" si="2"/>
        <v>1</v>
      </c>
      <c r="S94" s="2">
        <f t="shared" ca="1" si="2"/>
        <v>1</v>
      </c>
      <c r="T94" s="2">
        <f t="shared" ca="1" si="2"/>
        <v>1</v>
      </c>
      <c r="U94" s="2">
        <f t="shared" ca="1" si="2"/>
        <v>1</v>
      </c>
      <c r="V94" s="2">
        <f t="shared" ca="1" si="2"/>
        <v>1</v>
      </c>
      <c r="W94" s="2">
        <f t="shared" ca="1" si="2"/>
        <v>1</v>
      </c>
      <c r="X94" s="2">
        <f t="shared" ca="1" si="2"/>
        <v>1</v>
      </c>
      <c r="Y94" s="2">
        <f t="shared" ca="1" si="2"/>
        <v>1</v>
      </c>
    </row>
    <row r="95" spans="2:25" x14ac:dyDescent="0.3">
      <c r="B95" s="6">
        <v>92</v>
      </c>
      <c r="C95" s="9">
        <v>1</v>
      </c>
      <c r="D95" s="9">
        <v>1</v>
      </c>
      <c r="E95" s="9">
        <v>1</v>
      </c>
      <c r="F95" s="9">
        <v>1</v>
      </c>
      <c r="I95" s="2">
        <f t="shared" ca="1" si="2"/>
        <v>1</v>
      </c>
      <c r="J95" s="2">
        <f t="shared" ca="1" si="2"/>
        <v>1</v>
      </c>
      <c r="K95" s="2">
        <f t="shared" ca="1" si="2"/>
        <v>1</v>
      </c>
      <c r="L95" s="2">
        <f t="shared" ca="1" si="2"/>
        <v>1</v>
      </c>
      <c r="M95" s="2">
        <f t="shared" ca="1" si="2"/>
        <v>1</v>
      </c>
      <c r="N95" s="2">
        <f t="shared" ca="1" si="2"/>
        <v>1</v>
      </c>
      <c r="O95" s="2">
        <f t="shared" ca="1" si="2"/>
        <v>1</v>
      </c>
      <c r="P95" s="2">
        <f t="shared" ca="1" si="2"/>
        <v>1</v>
      </c>
      <c r="Q95" s="2">
        <f t="shared" ca="1" si="2"/>
        <v>1</v>
      </c>
      <c r="R95" s="2">
        <f t="shared" ca="1" si="2"/>
        <v>1</v>
      </c>
      <c r="S95" s="2">
        <f t="shared" ca="1" si="2"/>
        <v>1</v>
      </c>
      <c r="T95" s="2">
        <f t="shared" ca="1" si="2"/>
        <v>1</v>
      </c>
      <c r="U95" s="2">
        <f t="shared" ca="1" si="2"/>
        <v>1</v>
      </c>
      <c r="V95" s="2">
        <f t="shared" ca="1" si="2"/>
        <v>1</v>
      </c>
      <c r="W95" s="2">
        <f t="shared" ca="1" si="2"/>
        <v>1</v>
      </c>
      <c r="X95" s="2">
        <f t="shared" ca="1" si="2"/>
        <v>1</v>
      </c>
      <c r="Y95" s="2">
        <f t="shared" ca="1" si="2"/>
        <v>1</v>
      </c>
    </row>
    <row r="96" spans="2:25" x14ac:dyDescent="0.3">
      <c r="B96" s="6">
        <v>93</v>
      </c>
      <c r="C96" s="9">
        <v>1</v>
      </c>
      <c r="D96" s="9">
        <v>1</v>
      </c>
      <c r="E96" s="9">
        <v>1</v>
      </c>
      <c r="F96" s="9">
        <v>1</v>
      </c>
      <c r="I96" s="2">
        <f t="shared" ca="1" si="2"/>
        <v>1</v>
      </c>
      <c r="J96" s="2">
        <f t="shared" ca="1" si="2"/>
        <v>1</v>
      </c>
      <c r="K96" s="2">
        <f t="shared" ca="1" si="2"/>
        <v>1</v>
      </c>
      <c r="L96" s="2">
        <f t="shared" ca="1" si="2"/>
        <v>1</v>
      </c>
      <c r="M96" s="2">
        <f t="shared" ca="1" si="2"/>
        <v>1</v>
      </c>
      <c r="N96" s="2">
        <f t="shared" ca="1" si="2"/>
        <v>1</v>
      </c>
      <c r="O96" s="2">
        <f t="shared" ca="1" si="2"/>
        <v>1</v>
      </c>
      <c r="P96" s="2">
        <f t="shared" ca="1" si="2"/>
        <v>1</v>
      </c>
      <c r="Q96" s="2">
        <f t="shared" ca="1" si="2"/>
        <v>1</v>
      </c>
      <c r="R96" s="2">
        <f t="shared" ca="1" si="2"/>
        <v>1</v>
      </c>
      <c r="S96" s="2">
        <f t="shared" ca="1" si="2"/>
        <v>1</v>
      </c>
      <c r="T96" s="2">
        <f t="shared" ca="1" si="2"/>
        <v>1</v>
      </c>
      <c r="U96" s="2">
        <f t="shared" ca="1" si="2"/>
        <v>1</v>
      </c>
      <c r="V96" s="2">
        <f t="shared" ca="1" si="2"/>
        <v>1</v>
      </c>
      <c r="W96" s="2">
        <f t="shared" ca="1" si="2"/>
        <v>1</v>
      </c>
      <c r="X96" s="2">
        <f t="shared" ca="1" si="2"/>
        <v>1</v>
      </c>
      <c r="Y96" s="2">
        <f t="shared" ca="1" si="2"/>
        <v>1</v>
      </c>
    </row>
    <row r="97" spans="2:25" x14ac:dyDescent="0.3">
      <c r="B97" s="6">
        <v>94</v>
      </c>
      <c r="C97" s="9">
        <v>1</v>
      </c>
      <c r="D97" s="9">
        <v>1</v>
      </c>
      <c r="E97" s="9">
        <v>1</v>
      </c>
      <c r="F97" s="9">
        <v>1</v>
      </c>
      <c r="I97" s="2">
        <f t="shared" ca="1" si="2"/>
        <v>1</v>
      </c>
      <c r="J97" s="2">
        <f t="shared" ca="1" si="2"/>
        <v>1</v>
      </c>
      <c r="K97" s="2">
        <f t="shared" ca="1" si="2"/>
        <v>1</v>
      </c>
      <c r="L97" s="2">
        <f t="shared" ca="1" si="2"/>
        <v>1</v>
      </c>
      <c r="M97" s="2">
        <f t="shared" ca="1" si="2"/>
        <v>1</v>
      </c>
      <c r="N97" s="2">
        <f t="shared" ca="1" si="2"/>
        <v>1</v>
      </c>
      <c r="O97" s="2">
        <f t="shared" ca="1" si="2"/>
        <v>1</v>
      </c>
      <c r="P97" s="2">
        <f t="shared" ca="1" si="2"/>
        <v>1</v>
      </c>
      <c r="Q97" s="2">
        <f t="shared" ca="1" si="2"/>
        <v>1</v>
      </c>
      <c r="R97" s="2">
        <f t="shared" ca="1" si="2"/>
        <v>1</v>
      </c>
      <c r="S97" s="2">
        <f t="shared" ca="1" si="2"/>
        <v>1</v>
      </c>
      <c r="T97" s="2">
        <f t="shared" ca="1" si="2"/>
        <v>1</v>
      </c>
      <c r="U97" s="2">
        <f t="shared" ca="1" si="2"/>
        <v>1</v>
      </c>
      <c r="V97" s="2">
        <f t="shared" ca="1" si="2"/>
        <v>1</v>
      </c>
      <c r="W97" s="2">
        <f t="shared" ca="1" si="2"/>
        <v>1</v>
      </c>
      <c r="X97" s="2">
        <f t="shared" ca="1" si="2"/>
        <v>1</v>
      </c>
      <c r="Y97" s="2">
        <f t="shared" ca="1" si="2"/>
        <v>1</v>
      </c>
    </row>
    <row r="98" spans="2:25" x14ac:dyDescent="0.3">
      <c r="B98" s="6">
        <v>95</v>
      </c>
      <c r="C98" s="9">
        <v>1</v>
      </c>
      <c r="D98" s="9">
        <v>1</v>
      </c>
      <c r="E98" s="9">
        <v>1</v>
      </c>
      <c r="F98" s="9">
        <v>1</v>
      </c>
      <c r="I98" s="11">
        <f t="shared" ca="1" si="2"/>
        <v>1</v>
      </c>
      <c r="J98" s="2">
        <f t="shared" ca="1" si="2"/>
        <v>1</v>
      </c>
      <c r="K98" s="2">
        <f t="shared" ca="1" si="2"/>
        <v>1</v>
      </c>
      <c r="L98" s="2">
        <f t="shared" ca="1" si="2"/>
        <v>1</v>
      </c>
      <c r="M98" s="2">
        <f t="shared" ca="1" si="2"/>
        <v>1</v>
      </c>
      <c r="N98" s="2">
        <f t="shared" ca="1" si="2"/>
        <v>1</v>
      </c>
      <c r="O98" s="2">
        <f t="shared" ca="1" si="2"/>
        <v>1</v>
      </c>
      <c r="P98" s="2">
        <f t="shared" ca="1" si="2"/>
        <v>1</v>
      </c>
      <c r="Q98" s="2">
        <f t="shared" ca="1" si="2"/>
        <v>1</v>
      </c>
      <c r="R98" s="2">
        <f t="shared" ca="1" si="2"/>
        <v>1</v>
      </c>
      <c r="S98" s="2">
        <f t="shared" ca="1" si="2"/>
        <v>1</v>
      </c>
      <c r="T98" s="2">
        <f t="shared" ca="1" si="2"/>
        <v>1</v>
      </c>
      <c r="U98" s="2">
        <f t="shared" ca="1" si="2"/>
        <v>1</v>
      </c>
      <c r="V98" s="2">
        <f t="shared" ca="1" si="2"/>
        <v>1</v>
      </c>
      <c r="W98" s="2">
        <f t="shared" ca="1" si="2"/>
        <v>1</v>
      </c>
      <c r="X98" s="2">
        <f t="shared" ca="1" si="2"/>
        <v>1</v>
      </c>
      <c r="Y98" s="11">
        <f t="shared" ca="1" si="2"/>
        <v>1</v>
      </c>
    </row>
    <row r="99" spans="2:25" x14ac:dyDescent="0.3">
      <c r="B99" s="6">
        <v>96</v>
      </c>
      <c r="C99" s="9">
        <v>1</v>
      </c>
      <c r="D99" s="9">
        <v>1</v>
      </c>
      <c r="E99" s="9">
        <v>1</v>
      </c>
      <c r="F99" s="9">
        <v>1</v>
      </c>
    </row>
    <row r="100" spans="2:25" x14ac:dyDescent="0.3">
      <c r="B100" s="6">
        <v>97</v>
      </c>
      <c r="C100" s="9">
        <v>1</v>
      </c>
      <c r="D100" s="9">
        <v>1</v>
      </c>
      <c r="E100" s="9">
        <v>1</v>
      </c>
      <c r="F100" s="9">
        <v>1</v>
      </c>
      <c r="H100" t="s">
        <v>3</v>
      </c>
      <c r="I100" s="13">
        <f t="shared" ref="I100:Y112" ca="1" si="3">INDIRECT("F"&amp;(17*ROW(1:1)+ROW($F$3)-19+IF(COLUMN(C:C)&gt;19,50000,COLUMN(C:C)-1)))</f>
        <v>1</v>
      </c>
      <c r="J100" s="2">
        <f t="shared" ca="1" si="3"/>
        <v>1</v>
      </c>
      <c r="K100" s="2">
        <f t="shared" ca="1" si="3"/>
        <v>1</v>
      </c>
      <c r="L100" s="2">
        <f t="shared" ca="1" si="3"/>
        <v>1</v>
      </c>
      <c r="M100" s="2">
        <f t="shared" ca="1" si="3"/>
        <v>1</v>
      </c>
      <c r="N100" s="2">
        <f t="shared" ca="1" si="3"/>
        <v>1</v>
      </c>
      <c r="O100" s="2">
        <f t="shared" ca="1" si="3"/>
        <v>1</v>
      </c>
      <c r="P100" s="2">
        <f t="shared" ca="1" si="3"/>
        <v>1</v>
      </c>
      <c r="Q100" s="2">
        <f t="shared" ca="1" si="3"/>
        <v>1</v>
      </c>
      <c r="R100" s="2">
        <f t="shared" ca="1" si="3"/>
        <v>1</v>
      </c>
      <c r="S100" s="2">
        <f t="shared" ca="1" si="3"/>
        <v>1</v>
      </c>
      <c r="T100" s="2">
        <f t="shared" ca="1" si="3"/>
        <v>1</v>
      </c>
      <c r="U100" s="2">
        <f t="shared" ca="1" si="3"/>
        <v>1</v>
      </c>
      <c r="V100" s="2">
        <f t="shared" ca="1" si="3"/>
        <v>1</v>
      </c>
      <c r="W100" s="2">
        <f t="shared" ca="1" si="3"/>
        <v>1</v>
      </c>
      <c r="X100" s="2">
        <f t="shared" ca="1" si="3"/>
        <v>1</v>
      </c>
      <c r="Y100" s="13">
        <f t="shared" ca="1" si="3"/>
        <v>1</v>
      </c>
    </row>
    <row r="101" spans="2:25" x14ac:dyDescent="0.3">
      <c r="B101" s="6">
        <v>98</v>
      </c>
      <c r="C101" s="9">
        <v>1</v>
      </c>
      <c r="D101" s="9">
        <v>1</v>
      </c>
      <c r="E101" s="9">
        <v>1</v>
      </c>
      <c r="F101" s="9">
        <v>1</v>
      </c>
      <c r="I101" s="2">
        <f t="shared" ca="1" si="3"/>
        <v>1</v>
      </c>
      <c r="J101" s="2">
        <f t="shared" ca="1" si="3"/>
        <v>1</v>
      </c>
      <c r="K101" s="2">
        <f t="shared" ca="1" si="3"/>
        <v>1</v>
      </c>
      <c r="L101" s="2">
        <f t="shared" ca="1" si="3"/>
        <v>1</v>
      </c>
      <c r="M101" s="2">
        <f t="shared" ca="1" si="3"/>
        <v>1</v>
      </c>
      <c r="N101" s="2">
        <f t="shared" ca="1" si="3"/>
        <v>1</v>
      </c>
      <c r="O101" s="2">
        <f t="shared" ca="1" si="3"/>
        <v>1</v>
      </c>
      <c r="P101" s="2">
        <f t="shared" ca="1" si="3"/>
        <v>1</v>
      </c>
      <c r="Q101" s="2">
        <f t="shared" ca="1" si="3"/>
        <v>1</v>
      </c>
      <c r="R101" s="2">
        <f t="shared" ca="1" si="3"/>
        <v>1</v>
      </c>
      <c r="S101" s="2">
        <f t="shared" ca="1" si="3"/>
        <v>1</v>
      </c>
      <c r="T101" s="2">
        <f t="shared" ca="1" si="3"/>
        <v>1</v>
      </c>
      <c r="U101" s="2">
        <f t="shared" ca="1" si="3"/>
        <v>1</v>
      </c>
      <c r="V101" s="2">
        <f t="shared" ca="1" si="3"/>
        <v>1</v>
      </c>
      <c r="W101" s="2">
        <f t="shared" ca="1" si="3"/>
        <v>1</v>
      </c>
      <c r="X101" s="2">
        <f t="shared" ca="1" si="3"/>
        <v>1</v>
      </c>
      <c r="Y101" s="2">
        <f t="shared" ca="1" si="3"/>
        <v>1</v>
      </c>
    </row>
    <row r="102" spans="2:25" x14ac:dyDescent="0.3">
      <c r="B102" s="6">
        <v>99</v>
      </c>
      <c r="C102" s="9">
        <v>1</v>
      </c>
      <c r="D102" s="9">
        <v>1</v>
      </c>
      <c r="E102" s="9">
        <v>1</v>
      </c>
      <c r="F102" s="9">
        <v>1</v>
      </c>
      <c r="I102" s="2">
        <f t="shared" ca="1" si="3"/>
        <v>1</v>
      </c>
      <c r="J102" s="2">
        <f t="shared" ca="1" si="3"/>
        <v>1</v>
      </c>
      <c r="K102" s="2">
        <f t="shared" ca="1" si="3"/>
        <v>1</v>
      </c>
      <c r="L102" s="2">
        <f t="shared" ca="1" si="3"/>
        <v>1</v>
      </c>
      <c r="M102" s="2">
        <f t="shared" ca="1" si="3"/>
        <v>1</v>
      </c>
      <c r="N102" s="2">
        <f t="shared" ca="1" si="3"/>
        <v>1</v>
      </c>
      <c r="O102" s="2">
        <f t="shared" ca="1" si="3"/>
        <v>1</v>
      </c>
      <c r="P102" s="2">
        <f t="shared" ca="1" si="3"/>
        <v>1</v>
      </c>
      <c r="Q102" s="2">
        <f t="shared" ca="1" si="3"/>
        <v>1</v>
      </c>
      <c r="R102" s="2">
        <f t="shared" ca="1" si="3"/>
        <v>1</v>
      </c>
      <c r="S102" s="2">
        <f t="shared" ca="1" si="3"/>
        <v>1</v>
      </c>
      <c r="T102" s="2">
        <f t="shared" ca="1" si="3"/>
        <v>1</v>
      </c>
      <c r="U102" s="2">
        <f t="shared" ca="1" si="3"/>
        <v>1</v>
      </c>
      <c r="V102" s="2">
        <f t="shared" ca="1" si="3"/>
        <v>1</v>
      </c>
      <c r="W102" s="2">
        <f t="shared" ca="1" si="3"/>
        <v>1</v>
      </c>
      <c r="X102" s="2">
        <f t="shared" ca="1" si="3"/>
        <v>1</v>
      </c>
      <c r="Y102" s="2">
        <f t="shared" ca="1" si="3"/>
        <v>1</v>
      </c>
    </row>
    <row r="103" spans="2:25" x14ac:dyDescent="0.3">
      <c r="B103" s="6">
        <v>100</v>
      </c>
      <c r="C103" s="9">
        <v>1</v>
      </c>
      <c r="D103" s="9">
        <v>1</v>
      </c>
      <c r="E103" s="9">
        <v>1</v>
      </c>
      <c r="F103" s="9">
        <v>1</v>
      </c>
      <c r="I103" s="2">
        <f t="shared" ca="1" si="3"/>
        <v>1</v>
      </c>
      <c r="J103" s="2">
        <f t="shared" ca="1" si="3"/>
        <v>1</v>
      </c>
      <c r="K103" s="2">
        <f t="shared" ca="1" si="3"/>
        <v>1</v>
      </c>
      <c r="L103" s="2">
        <f t="shared" ca="1" si="3"/>
        <v>1</v>
      </c>
      <c r="M103" s="2">
        <f t="shared" ca="1" si="3"/>
        <v>1</v>
      </c>
      <c r="N103" s="2">
        <f t="shared" ca="1" si="3"/>
        <v>1</v>
      </c>
      <c r="O103" s="2">
        <f t="shared" ca="1" si="3"/>
        <v>1</v>
      </c>
      <c r="P103" s="2">
        <f t="shared" ca="1" si="3"/>
        <v>1</v>
      </c>
      <c r="Q103" s="2">
        <f t="shared" ca="1" si="3"/>
        <v>1</v>
      </c>
      <c r="R103" s="2">
        <f t="shared" ca="1" si="3"/>
        <v>1</v>
      </c>
      <c r="S103" s="2">
        <f t="shared" ca="1" si="3"/>
        <v>1</v>
      </c>
      <c r="T103" s="2">
        <f t="shared" ca="1" si="3"/>
        <v>1</v>
      </c>
      <c r="U103" s="2">
        <f t="shared" ca="1" si="3"/>
        <v>1</v>
      </c>
      <c r="V103" s="2">
        <f t="shared" ca="1" si="3"/>
        <v>1</v>
      </c>
      <c r="W103" s="2">
        <f t="shared" ca="1" si="3"/>
        <v>1</v>
      </c>
      <c r="X103" s="2">
        <f t="shared" ca="1" si="3"/>
        <v>1</v>
      </c>
      <c r="Y103" s="2">
        <f t="shared" ca="1" si="3"/>
        <v>1</v>
      </c>
    </row>
    <row r="104" spans="2:25" x14ac:dyDescent="0.3">
      <c r="B104" s="6">
        <v>101</v>
      </c>
      <c r="C104" s="9">
        <v>1</v>
      </c>
      <c r="D104" s="9">
        <v>1</v>
      </c>
      <c r="E104" s="9">
        <v>1</v>
      </c>
      <c r="F104" s="9">
        <v>1</v>
      </c>
      <c r="I104" s="2">
        <f t="shared" ca="1" si="3"/>
        <v>1</v>
      </c>
      <c r="J104" s="2">
        <f t="shared" ca="1" si="3"/>
        <v>1</v>
      </c>
      <c r="K104" s="2">
        <f t="shared" ca="1" si="3"/>
        <v>1</v>
      </c>
      <c r="L104" s="2">
        <f t="shared" ca="1" si="3"/>
        <v>1</v>
      </c>
      <c r="M104" s="2">
        <f t="shared" ca="1" si="3"/>
        <v>1</v>
      </c>
      <c r="N104" s="2">
        <f t="shared" ca="1" si="3"/>
        <v>1</v>
      </c>
      <c r="O104" s="2">
        <f t="shared" ca="1" si="3"/>
        <v>1</v>
      </c>
      <c r="P104" s="2">
        <f t="shared" ca="1" si="3"/>
        <v>1</v>
      </c>
      <c r="Q104" s="2">
        <f t="shared" ca="1" si="3"/>
        <v>1</v>
      </c>
      <c r="R104" s="2">
        <f t="shared" ca="1" si="3"/>
        <v>1</v>
      </c>
      <c r="S104" s="2">
        <f t="shared" ca="1" si="3"/>
        <v>1</v>
      </c>
      <c r="T104" s="2">
        <f t="shared" ca="1" si="3"/>
        <v>1</v>
      </c>
      <c r="U104" s="2">
        <f t="shared" ca="1" si="3"/>
        <v>1</v>
      </c>
      <c r="V104" s="2">
        <f t="shared" ca="1" si="3"/>
        <v>1</v>
      </c>
      <c r="W104" s="2">
        <f t="shared" ca="1" si="3"/>
        <v>1</v>
      </c>
      <c r="X104" s="2">
        <f t="shared" ca="1" si="3"/>
        <v>1</v>
      </c>
      <c r="Y104" s="2">
        <f t="shared" ca="1" si="3"/>
        <v>1</v>
      </c>
    </row>
    <row r="105" spans="2:25" x14ac:dyDescent="0.3">
      <c r="B105" s="6">
        <v>102</v>
      </c>
      <c r="C105" s="9">
        <v>1</v>
      </c>
      <c r="D105" s="9">
        <v>1</v>
      </c>
      <c r="E105" s="9">
        <v>1</v>
      </c>
      <c r="F105" s="9">
        <v>1</v>
      </c>
      <c r="I105" s="2">
        <f t="shared" ca="1" si="3"/>
        <v>1</v>
      </c>
      <c r="J105" s="2">
        <f t="shared" ca="1" si="3"/>
        <v>1</v>
      </c>
      <c r="K105" s="2">
        <f t="shared" ca="1" si="3"/>
        <v>1</v>
      </c>
      <c r="L105" s="2">
        <f t="shared" ca="1" si="3"/>
        <v>1</v>
      </c>
      <c r="M105" s="2">
        <f t="shared" ca="1" si="3"/>
        <v>1</v>
      </c>
      <c r="N105" s="2">
        <f t="shared" ca="1" si="3"/>
        <v>1</v>
      </c>
      <c r="O105" s="2">
        <f t="shared" ca="1" si="3"/>
        <v>1</v>
      </c>
      <c r="P105" s="2">
        <f t="shared" ca="1" si="3"/>
        <v>1</v>
      </c>
      <c r="Q105" s="2">
        <f t="shared" ca="1" si="3"/>
        <v>1</v>
      </c>
      <c r="R105" s="2">
        <f t="shared" ca="1" si="3"/>
        <v>1</v>
      </c>
      <c r="S105" s="2">
        <f t="shared" ca="1" si="3"/>
        <v>1</v>
      </c>
      <c r="T105" s="2">
        <f t="shared" ca="1" si="3"/>
        <v>1</v>
      </c>
      <c r="U105" s="2">
        <f t="shared" ca="1" si="3"/>
        <v>1</v>
      </c>
      <c r="V105" s="2">
        <f t="shared" ca="1" si="3"/>
        <v>1</v>
      </c>
      <c r="W105" s="2">
        <f t="shared" ca="1" si="3"/>
        <v>1</v>
      </c>
      <c r="X105" s="2">
        <f t="shared" ca="1" si="3"/>
        <v>1</v>
      </c>
      <c r="Y105" s="2">
        <f t="shared" ca="1" si="3"/>
        <v>1</v>
      </c>
    </row>
    <row r="106" spans="2:25" x14ac:dyDescent="0.3">
      <c r="B106" s="6">
        <v>103</v>
      </c>
      <c r="C106" s="9">
        <v>1</v>
      </c>
      <c r="D106" s="9">
        <v>1</v>
      </c>
      <c r="E106" s="9">
        <v>1</v>
      </c>
      <c r="F106" s="9">
        <v>1</v>
      </c>
      <c r="I106" s="2">
        <f t="shared" ca="1" si="3"/>
        <v>1</v>
      </c>
      <c r="J106" s="2">
        <f t="shared" ca="1" si="3"/>
        <v>1</v>
      </c>
      <c r="K106" s="2">
        <f t="shared" ca="1" si="3"/>
        <v>1</v>
      </c>
      <c r="L106" s="2">
        <f t="shared" ca="1" si="3"/>
        <v>1</v>
      </c>
      <c r="M106" s="2">
        <f t="shared" ca="1" si="3"/>
        <v>1</v>
      </c>
      <c r="N106" s="2">
        <f t="shared" ca="1" si="3"/>
        <v>1</v>
      </c>
      <c r="O106" s="2">
        <f t="shared" ca="1" si="3"/>
        <v>1</v>
      </c>
      <c r="P106" s="2">
        <f t="shared" ca="1" si="3"/>
        <v>1</v>
      </c>
      <c r="Q106" s="2">
        <f t="shared" ca="1" si="3"/>
        <v>1</v>
      </c>
      <c r="R106" s="2">
        <f t="shared" ca="1" si="3"/>
        <v>1</v>
      </c>
      <c r="S106" s="2">
        <f t="shared" ca="1" si="3"/>
        <v>1</v>
      </c>
      <c r="T106" s="2">
        <f t="shared" ca="1" si="3"/>
        <v>1</v>
      </c>
      <c r="U106" s="2">
        <f t="shared" ca="1" si="3"/>
        <v>1</v>
      </c>
      <c r="V106" s="2">
        <f t="shared" ca="1" si="3"/>
        <v>1</v>
      </c>
      <c r="W106" s="2">
        <f t="shared" ca="1" si="3"/>
        <v>1</v>
      </c>
      <c r="X106" s="2">
        <f t="shared" ca="1" si="3"/>
        <v>1</v>
      </c>
      <c r="Y106" s="2">
        <f t="shared" ca="1" si="3"/>
        <v>1</v>
      </c>
    </row>
    <row r="107" spans="2:25" x14ac:dyDescent="0.3">
      <c r="B107" s="6">
        <v>104</v>
      </c>
      <c r="C107" s="9">
        <v>1</v>
      </c>
      <c r="D107" s="9">
        <v>1</v>
      </c>
      <c r="E107" s="9">
        <v>1</v>
      </c>
      <c r="F107" s="9">
        <v>1</v>
      </c>
      <c r="I107" s="2">
        <f t="shared" ca="1" si="3"/>
        <v>1</v>
      </c>
      <c r="J107" s="2">
        <f t="shared" ca="1" si="3"/>
        <v>1</v>
      </c>
      <c r="K107" s="2">
        <f t="shared" ca="1" si="3"/>
        <v>1</v>
      </c>
      <c r="L107" s="2">
        <f t="shared" ca="1" si="3"/>
        <v>1</v>
      </c>
      <c r="M107" s="2">
        <f t="shared" ca="1" si="3"/>
        <v>1</v>
      </c>
      <c r="N107" s="2">
        <f t="shared" ca="1" si="3"/>
        <v>1</v>
      </c>
      <c r="O107" s="2">
        <f t="shared" ca="1" si="3"/>
        <v>1</v>
      </c>
      <c r="P107" s="2">
        <f t="shared" ca="1" si="3"/>
        <v>1</v>
      </c>
      <c r="Q107" s="2">
        <f t="shared" ca="1" si="3"/>
        <v>1</v>
      </c>
      <c r="R107" s="2">
        <f t="shared" ca="1" si="3"/>
        <v>1</v>
      </c>
      <c r="S107" s="2">
        <f t="shared" ca="1" si="3"/>
        <v>1</v>
      </c>
      <c r="T107" s="2">
        <f t="shared" ca="1" si="3"/>
        <v>1</v>
      </c>
      <c r="U107" s="2">
        <f t="shared" ca="1" si="3"/>
        <v>1</v>
      </c>
      <c r="V107" s="2">
        <f t="shared" ca="1" si="3"/>
        <v>1</v>
      </c>
      <c r="W107" s="2">
        <f t="shared" ca="1" si="3"/>
        <v>1</v>
      </c>
      <c r="X107" s="2">
        <f t="shared" ca="1" si="3"/>
        <v>1</v>
      </c>
      <c r="Y107" s="2">
        <f t="shared" ca="1" si="3"/>
        <v>1</v>
      </c>
    </row>
    <row r="108" spans="2:25" x14ac:dyDescent="0.3">
      <c r="B108" s="6">
        <v>105</v>
      </c>
      <c r="C108" s="9">
        <v>1</v>
      </c>
      <c r="D108" s="9">
        <v>1</v>
      </c>
      <c r="E108" s="9">
        <v>1</v>
      </c>
      <c r="F108" s="9">
        <v>1</v>
      </c>
      <c r="I108" s="2">
        <f t="shared" ca="1" si="3"/>
        <v>1</v>
      </c>
      <c r="J108" s="2">
        <f t="shared" ca="1" si="3"/>
        <v>1</v>
      </c>
      <c r="K108" s="2">
        <f t="shared" ca="1" si="3"/>
        <v>1</v>
      </c>
      <c r="L108" s="2">
        <f t="shared" ca="1" si="3"/>
        <v>1</v>
      </c>
      <c r="M108" s="2">
        <f t="shared" ca="1" si="3"/>
        <v>1</v>
      </c>
      <c r="N108" s="2">
        <f t="shared" ca="1" si="3"/>
        <v>1</v>
      </c>
      <c r="O108" s="2">
        <f t="shared" ca="1" si="3"/>
        <v>1</v>
      </c>
      <c r="P108" s="2">
        <f t="shared" ca="1" si="3"/>
        <v>1</v>
      </c>
      <c r="Q108" s="2">
        <f t="shared" ca="1" si="3"/>
        <v>1</v>
      </c>
      <c r="R108" s="2">
        <f t="shared" ca="1" si="3"/>
        <v>1</v>
      </c>
      <c r="S108" s="2">
        <f t="shared" ca="1" si="3"/>
        <v>1</v>
      </c>
      <c r="T108" s="2">
        <f t="shared" ca="1" si="3"/>
        <v>1</v>
      </c>
      <c r="U108" s="2">
        <f t="shared" ca="1" si="3"/>
        <v>1</v>
      </c>
      <c r="V108" s="2">
        <f t="shared" ca="1" si="3"/>
        <v>1</v>
      </c>
      <c r="W108" s="2">
        <f t="shared" ca="1" si="3"/>
        <v>1</v>
      </c>
      <c r="X108" s="2">
        <f t="shared" ca="1" si="3"/>
        <v>1</v>
      </c>
      <c r="Y108" s="2">
        <f t="shared" ca="1" si="3"/>
        <v>1</v>
      </c>
    </row>
    <row r="109" spans="2:25" x14ac:dyDescent="0.3">
      <c r="B109" s="6">
        <v>106</v>
      </c>
      <c r="C109" s="9">
        <v>1</v>
      </c>
      <c r="D109" s="9">
        <v>1</v>
      </c>
      <c r="E109" s="9">
        <v>1</v>
      </c>
      <c r="F109" s="9">
        <v>1</v>
      </c>
      <c r="I109" s="2">
        <f t="shared" ca="1" si="3"/>
        <v>1</v>
      </c>
      <c r="J109" s="2">
        <f t="shared" ca="1" si="3"/>
        <v>1</v>
      </c>
      <c r="K109" s="2">
        <f t="shared" ca="1" si="3"/>
        <v>1</v>
      </c>
      <c r="L109" s="2">
        <f t="shared" ca="1" si="3"/>
        <v>1</v>
      </c>
      <c r="M109" s="2">
        <f t="shared" ca="1" si="3"/>
        <v>1</v>
      </c>
      <c r="N109" s="2">
        <f t="shared" ca="1" si="3"/>
        <v>1</v>
      </c>
      <c r="O109" s="2">
        <f t="shared" ca="1" si="3"/>
        <v>1</v>
      </c>
      <c r="P109" s="2">
        <f t="shared" ca="1" si="3"/>
        <v>1</v>
      </c>
      <c r="Q109" s="2">
        <f t="shared" ca="1" si="3"/>
        <v>1</v>
      </c>
      <c r="R109" s="2">
        <f t="shared" ca="1" si="3"/>
        <v>1</v>
      </c>
      <c r="S109" s="2">
        <f t="shared" ca="1" si="3"/>
        <v>1</v>
      </c>
      <c r="T109" s="2">
        <f t="shared" ca="1" si="3"/>
        <v>1</v>
      </c>
      <c r="U109" s="2">
        <f t="shared" ca="1" si="3"/>
        <v>1</v>
      </c>
      <c r="V109" s="2">
        <f t="shared" ca="1" si="3"/>
        <v>1</v>
      </c>
      <c r="W109" s="2">
        <f t="shared" ca="1" si="3"/>
        <v>1</v>
      </c>
      <c r="X109" s="2">
        <f t="shared" ca="1" si="3"/>
        <v>1</v>
      </c>
      <c r="Y109" s="2">
        <f t="shared" ca="1" si="3"/>
        <v>1</v>
      </c>
    </row>
    <row r="110" spans="2:25" x14ac:dyDescent="0.3">
      <c r="B110" s="6">
        <v>107</v>
      </c>
      <c r="C110" s="9">
        <v>1</v>
      </c>
      <c r="D110" s="9">
        <v>1</v>
      </c>
      <c r="E110" s="9">
        <v>1</v>
      </c>
      <c r="F110" s="9">
        <v>1</v>
      </c>
      <c r="I110" s="2">
        <f t="shared" ca="1" si="3"/>
        <v>1</v>
      </c>
      <c r="J110" s="2">
        <f t="shared" ca="1" si="3"/>
        <v>1</v>
      </c>
      <c r="K110" s="2">
        <f t="shared" ca="1" si="3"/>
        <v>1</v>
      </c>
      <c r="L110" s="2">
        <f t="shared" ca="1" si="3"/>
        <v>1</v>
      </c>
      <c r="M110" s="2">
        <f t="shared" ca="1" si="3"/>
        <v>1</v>
      </c>
      <c r="N110" s="2">
        <f t="shared" ca="1" si="3"/>
        <v>1</v>
      </c>
      <c r="O110" s="2">
        <f t="shared" ca="1" si="3"/>
        <v>1</v>
      </c>
      <c r="P110" s="2">
        <f t="shared" ca="1" si="3"/>
        <v>1</v>
      </c>
      <c r="Q110" s="2">
        <f t="shared" ca="1" si="3"/>
        <v>1</v>
      </c>
      <c r="R110" s="2">
        <f t="shared" ca="1" si="3"/>
        <v>1</v>
      </c>
      <c r="S110" s="2">
        <f t="shared" ca="1" si="3"/>
        <v>1</v>
      </c>
      <c r="T110" s="2">
        <f t="shared" ca="1" si="3"/>
        <v>1</v>
      </c>
      <c r="U110" s="2">
        <f t="shared" ca="1" si="3"/>
        <v>1</v>
      </c>
      <c r="V110" s="2">
        <f t="shared" ca="1" si="3"/>
        <v>1</v>
      </c>
      <c r="W110" s="2">
        <f t="shared" ca="1" si="3"/>
        <v>1</v>
      </c>
      <c r="X110" s="2">
        <f t="shared" ca="1" si="3"/>
        <v>1</v>
      </c>
      <c r="Y110" s="2">
        <f t="shared" ca="1" si="3"/>
        <v>1</v>
      </c>
    </row>
    <row r="111" spans="2:25" x14ac:dyDescent="0.3">
      <c r="B111" s="6">
        <v>108</v>
      </c>
      <c r="C111" s="9">
        <v>1</v>
      </c>
      <c r="D111" s="9">
        <v>1</v>
      </c>
      <c r="E111" s="9">
        <v>1</v>
      </c>
      <c r="F111" s="9">
        <v>1</v>
      </c>
      <c r="I111" s="2">
        <f t="shared" ca="1" si="3"/>
        <v>1</v>
      </c>
      <c r="J111" s="2">
        <f t="shared" ca="1" si="3"/>
        <v>1</v>
      </c>
      <c r="K111" s="2">
        <f t="shared" ca="1" si="3"/>
        <v>1</v>
      </c>
      <c r="L111" s="2">
        <f t="shared" ca="1" si="3"/>
        <v>1</v>
      </c>
      <c r="M111" s="2">
        <f t="shared" ca="1" si="3"/>
        <v>1</v>
      </c>
      <c r="N111" s="2">
        <f t="shared" ca="1" si="3"/>
        <v>1</v>
      </c>
      <c r="O111" s="2">
        <f t="shared" ca="1" si="3"/>
        <v>1</v>
      </c>
      <c r="P111" s="2">
        <f t="shared" ca="1" si="3"/>
        <v>1</v>
      </c>
      <c r="Q111" s="2">
        <f t="shared" ca="1" si="3"/>
        <v>1</v>
      </c>
      <c r="R111" s="2">
        <f t="shared" ca="1" si="3"/>
        <v>1</v>
      </c>
      <c r="S111" s="2">
        <f t="shared" ca="1" si="3"/>
        <v>1</v>
      </c>
      <c r="T111" s="2">
        <f t="shared" ca="1" si="3"/>
        <v>1</v>
      </c>
      <c r="U111" s="2">
        <f t="shared" ca="1" si="3"/>
        <v>1</v>
      </c>
      <c r="V111" s="2">
        <f t="shared" ca="1" si="3"/>
        <v>1</v>
      </c>
      <c r="W111" s="2">
        <f t="shared" ca="1" si="3"/>
        <v>1</v>
      </c>
      <c r="X111" s="2">
        <f t="shared" ca="1" si="3"/>
        <v>1</v>
      </c>
      <c r="Y111" s="2">
        <f t="shared" ca="1" si="3"/>
        <v>1</v>
      </c>
    </row>
    <row r="112" spans="2:25" x14ac:dyDescent="0.3">
      <c r="B112" s="6">
        <v>109</v>
      </c>
      <c r="C112" s="9">
        <v>1</v>
      </c>
      <c r="D112" s="9">
        <v>1</v>
      </c>
      <c r="E112" s="9">
        <v>1</v>
      </c>
      <c r="F112" s="9">
        <v>1</v>
      </c>
      <c r="I112" s="13">
        <f t="shared" ca="1" si="3"/>
        <v>1</v>
      </c>
      <c r="J112" s="2">
        <f t="shared" ca="1" si="3"/>
        <v>1</v>
      </c>
      <c r="K112" s="2">
        <f t="shared" ca="1" si="3"/>
        <v>1</v>
      </c>
      <c r="L112" s="2">
        <f t="shared" ca="1" si="3"/>
        <v>1</v>
      </c>
      <c r="M112" s="2">
        <f t="shared" ca="1" si="3"/>
        <v>1</v>
      </c>
      <c r="N112" s="2">
        <f t="shared" ca="1" si="3"/>
        <v>1</v>
      </c>
      <c r="O112" s="2">
        <f t="shared" ca="1" si="3"/>
        <v>1</v>
      </c>
      <c r="P112" s="2">
        <f t="shared" ca="1" si="3"/>
        <v>1</v>
      </c>
      <c r="Q112" s="2">
        <f t="shared" ca="1" si="3"/>
        <v>1</v>
      </c>
      <c r="R112" s="2">
        <f t="shared" ca="1" si="3"/>
        <v>1</v>
      </c>
      <c r="S112" s="2">
        <f t="shared" ca="1" si="3"/>
        <v>1</v>
      </c>
      <c r="T112" s="2">
        <f t="shared" ca="1" si="3"/>
        <v>1</v>
      </c>
      <c r="U112" s="2">
        <f t="shared" ca="1" si="3"/>
        <v>1</v>
      </c>
      <c r="V112" s="2">
        <f t="shared" ca="1" si="3"/>
        <v>1</v>
      </c>
      <c r="W112" s="2">
        <f t="shared" ca="1" si="3"/>
        <v>1</v>
      </c>
      <c r="X112" s="2">
        <f t="shared" ca="1" si="3"/>
        <v>1</v>
      </c>
      <c r="Y112" s="13">
        <f t="shared" ca="1" si="3"/>
        <v>1</v>
      </c>
    </row>
    <row r="113" spans="2:6" x14ac:dyDescent="0.3">
      <c r="B113" s="6">
        <v>110</v>
      </c>
      <c r="C113" s="9">
        <v>1</v>
      </c>
      <c r="D113" s="9">
        <v>1</v>
      </c>
      <c r="E113" s="9">
        <v>1</v>
      </c>
      <c r="F113" s="9">
        <v>1</v>
      </c>
    </row>
    <row r="114" spans="2:6" x14ac:dyDescent="0.3">
      <c r="B114" s="6">
        <v>111</v>
      </c>
      <c r="C114" s="9">
        <v>1</v>
      </c>
      <c r="D114" s="9">
        <v>1</v>
      </c>
      <c r="E114" s="9">
        <v>1</v>
      </c>
      <c r="F114" s="9">
        <v>1</v>
      </c>
    </row>
    <row r="115" spans="2:6" x14ac:dyDescent="0.3">
      <c r="B115" s="6">
        <v>112</v>
      </c>
      <c r="C115" s="9">
        <v>1</v>
      </c>
      <c r="D115" s="9">
        <v>1</v>
      </c>
      <c r="E115" s="9">
        <v>1</v>
      </c>
      <c r="F115" s="9">
        <v>1</v>
      </c>
    </row>
    <row r="116" spans="2:6" x14ac:dyDescent="0.3">
      <c r="B116" s="6">
        <v>113</v>
      </c>
      <c r="C116" s="9">
        <v>1</v>
      </c>
      <c r="D116" s="9">
        <v>1</v>
      </c>
      <c r="E116" s="9">
        <v>1</v>
      </c>
      <c r="F116" s="9">
        <v>1</v>
      </c>
    </row>
    <row r="117" spans="2:6" x14ac:dyDescent="0.3">
      <c r="B117" s="6">
        <v>114</v>
      </c>
      <c r="C117" s="9">
        <v>1</v>
      </c>
      <c r="D117" s="9">
        <v>1</v>
      </c>
      <c r="E117" s="9">
        <v>1</v>
      </c>
      <c r="F117" s="9">
        <v>1</v>
      </c>
    </row>
    <row r="118" spans="2:6" x14ac:dyDescent="0.3">
      <c r="B118" s="6">
        <v>115</v>
      </c>
      <c r="C118" s="9">
        <v>1</v>
      </c>
      <c r="D118" s="9">
        <v>1</v>
      </c>
      <c r="E118" s="9">
        <v>1</v>
      </c>
      <c r="F118" s="9">
        <v>1</v>
      </c>
    </row>
    <row r="119" spans="2:6" x14ac:dyDescent="0.3">
      <c r="B119" s="6">
        <v>116</v>
      </c>
      <c r="C119" s="9">
        <v>1</v>
      </c>
      <c r="D119" s="9">
        <v>1</v>
      </c>
      <c r="E119" s="9">
        <v>1</v>
      </c>
      <c r="F119" s="9">
        <v>1</v>
      </c>
    </row>
    <row r="120" spans="2:6" x14ac:dyDescent="0.3">
      <c r="B120" s="6">
        <v>117</v>
      </c>
      <c r="C120" s="9">
        <v>1</v>
      </c>
      <c r="D120" s="9">
        <v>1</v>
      </c>
      <c r="E120" s="9">
        <v>1</v>
      </c>
      <c r="F120" s="9">
        <v>1</v>
      </c>
    </row>
    <row r="121" spans="2:6" x14ac:dyDescent="0.3">
      <c r="B121" s="6">
        <v>118</v>
      </c>
      <c r="C121" s="9">
        <v>1</v>
      </c>
      <c r="D121" s="9">
        <v>1</v>
      </c>
      <c r="E121" s="9">
        <v>1</v>
      </c>
      <c r="F121" s="9">
        <v>1</v>
      </c>
    </row>
    <row r="122" spans="2:6" x14ac:dyDescent="0.3">
      <c r="B122" s="6">
        <v>119</v>
      </c>
      <c r="C122" s="9">
        <v>1</v>
      </c>
      <c r="D122" s="9">
        <v>1</v>
      </c>
      <c r="E122" s="9">
        <v>1</v>
      </c>
      <c r="F122" s="9">
        <v>1</v>
      </c>
    </row>
    <row r="123" spans="2:6" x14ac:dyDescent="0.3">
      <c r="B123" s="6">
        <v>120</v>
      </c>
      <c r="C123" s="9">
        <v>1</v>
      </c>
      <c r="D123" s="9">
        <v>1</v>
      </c>
      <c r="E123" s="9">
        <v>1</v>
      </c>
      <c r="F123" s="9">
        <v>1</v>
      </c>
    </row>
    <row r="124" spans="2:6" x14ac:dyDescent="0.3">
      <c r="B124" s="6">
        <v>121</v>
      </c>
      <c r="C124" s="9">
        <v>1</v>
      </c>
      <c r="D124" s="9">
        <v>1</v>
      </c>
      <c r="E124" s="9">
        <v>1</v>
      </c>
      <c r="F124" s="9">
        <v>1</v>
      </c>
    </row>
    <row r="125" spans="2:6" x14ac:dyDescent="0.3">
      <c r="B125" s="6">
        <v>122</v>
      </c>
      <c r="C125" s="9">
        <v>1</v>
      </c>
      <c r="D125" s="9">
        <v>1</v>
      </c>
      <c r="E125" s="9">
        <v>1</v>
      </c>
      <c r="F125" s="9">
        <v>1</v>
      </c>
    </row>
    <row r="126" spans="2:6" x14ac:dyDescent="0.3">
      <c r="B126" s="6">
        <v>123</v>
      </c>
      <c r="C126" s="9">
        <v>1</v>
      </c>
      <c r="D126" s="9">
        <v>1</v>
      </c>
      <c r="E126" s="9">
        <v>1</v>
      </c>
      <c r="F126" s="9">
        <v>1</v>
      </c>
    </row>
    <row r="127" spans="2:6" x14ac:dyDescent="0.3">
      <c r="B127" s="6">
        <v>124</v>
      </c>
      <c r="C127" s="9">
        <v>1</v>
      </c>
      <c r="D127" s="9">
        <v>1</v>
      </c>
      <c r="E127" s="9">
        <v>1</v>
      </c>
      <c r="F127" s="9">
        <v>1</v>
      </c>
    </row>
    <row r="128" spans="2:6" x14ac:dyDescent="0.3">
      <c r="B128" s="6">
        <v>125</v>
      </c>
      <c r="C128" s="9">
        <v>1</v>
      </c>
      <c r="D128" s="9">
        <v>1</v>
      </c>
      <c r="E128" s="9">
        <v>1</v>
      </c>
      <c r="F128" s="9">
        <v>1</v>
      </c>
    </row>
    <row r="129" spans="2:6" x14ac:dyDescent="0.3">
      <c r="B129" s="6">
        <v>126</v>
      </c>
      <c r="C129" s="9">
        <v>1</v>
      </c>
      <c r="D129" s="9">
        <v>1</v>
      </c>
      <c r="E129" s="9">
        <v>1</v>
      </c>
      <c r="F129" s="9">
        <v>1</v>
      </c>
    </row>
    <row r="130" spans="2:6" x14ac:dyDescent="0.3">
      <c r="B130" s="6">
        <v>127</v>
      </c>
      <c r="C130" s="9">
        <v>1</v>
      </c>
      <c r="D130" s="9">
        <v>1</v>
      </c>
      <c r="E130" s="9">
        <v>1</v>
      </c>
      <c r="F130" s="9">
        <v>1</v>
      </c>
    </row>
    <row r="131" spans="2:6" x14ac:dyDescent="0.3">
      <c r="B131" s="6">
        <v>128</v>
      </c>
      <c r="C131" s="9">
        <v>1</v>
      </c>
      <c r="D131" s="9">
        <v>1</v>
      </c>
      <c r="E131" s="9">
        <v>1</v>
      </c>
      <c r="F131" s="9">
        <v>1</v>
      </c>
    </row>
    <row r="132" spans="2:6" x14ac:dyDescent="0.3">
      <c r="B132" s="6">
        <v>129</v>
      </c>
      <c r="C132" s="9">
        <v>1</v>
      </c>
      <c r="D132" s="9">
        <v>1</v>
      </c>
      <c r="E132" s="9">
        <v>1</v>
      </c>
      <c r="F132" s="9">
        <v>1</v>
      </c>
    </row>
    <row r="133" spans="2:6" x14ac:dyDescent="0.3">
      <c r="B133" s="6">
        <v>130</v>
      </c>
      <c r="C133" s="9">
        <v>1</v>
      </c>
      <c r="D133" s="9">
        <v>1</v>
      </c>
      <c r="E133" s="9">
        <v>1</v>
      </c>
      <c r="F133" s="9">
        <v>1</v>
      </c>
    </row>
    <row r="134" spans="2:6" x14ac:dyDescent="0.3">
      <c r="B134" s="6">
        <v>131</v>
      </c>
      <c r="C134" s="9">
        <v>1</v>
      </c>
      <c r="D134" s="9">
        <v>1</v>
      </c>
      <c r="E134" s="9">
        <v>1</v>
      </c>
      <c r="F134" s="9">
        <v>1</v>
      </c>
    </row>
    <row r="135" spans="2:6" x14ac:dyDescent="0.3">
      <c r="B135" s="6">
        <v>132</v>
      </c>
      <c r="C135" s="9">
        <v>1</v>
      </c>
      <c r="D135" s="9">
        <v>1</v>
      </c>
      <c r="E135" s="9">
        <v>1</v>
      </c>
      <c r="F135" s="9">
        <v>1</v>
      </c>
    </row>
    <row r="136" spans="2:6" x14ac:dyDescent="0.3">
      <c r="B136" s="6">
        <v>133</v>
      </c>
      <c r="C136" s="9">
        <v>1</v>
      </c>
      <c r="D136" s="9">
        <v>1</v>
      </c>
      <c r="E136" s="9">
        <v>1</v>
      </c>
      <c r="F136" s="9">
        <v>1</v>
      </c>
    </row>
    <row r="137" spans="2:6" x14ac:dyDescent="0.3">
      <c r="B137" s="6">
        <v>134</v>
      </c>
      <c r="C137" s="9">
        <v>1</v>
      </c>
      <c r="D137" s="9">
        <v>1</v>
      </c>
      <c r="E137" s="9">
        <v>1</v>
      </c>
      <c r="F137" s="9">
        <v>1</v>
      </c>
    </row>
    <row r="138" spans="2:6" x14ac:dyDescent="0.3">
      <c r="B138" s="6">
        <v>135</v>
      </c>
      <c r="C138" s="9">
        <v>1</v>
      </c>
      <c r="D138" s="9">
        <v>1</v>
      </c>
      <c r="E138" s="9">
        <v>1</v>
      </c>
      <c r="F138" s="9">
        <v>1</v>
      </c>
    </row>
    <row r="139" spans="2:6" x14ac:dyDescent="0.3">
      <c r="B139" s="6">
        <v>136</v>
      </c>
      <c r="C139" s="9">
        <v>1</v>
      </c>
      <c r="D139" s="9">
        <v>1</v>
      </c>
      <c r="E139" s="9">
        <v>1</v>
      </c>
      <c r="F139" s="9">
        <v>1</v>
      </c>
    </row>
    <row r="140" spans="2:6" x14ac:dyDescent="0.3">
      <c r="B140" s="6">
        <v>137</v>
      </c>
      <c r="C140" s="9">
        <v>1</v>
      </c>
      <c r="D140" s="9">
        <v>1</v>
      </c>
      <c r="E140" s="9">
        <v>1</v>
      </c>
      <c r="F140" s="9">
        <v>1</v>
      </c>
    </row>
    <row r="141" spans="2:6" x14ac:dyDescent="0.3">
      <c r="B141" s="6">
        <v>138</v>
      </c>
      <c r="C141" s="9">
        <v>1</v>
      </c>
      <c r="D141" s="9">
        <v>1</v>
      </c>
      <c r="E141" s="9">
        <v>1</v>
      </c>
      <c r="F141" s="9">
        <v>1</v>
      </c>
    </row>
    <row r="142" spans="2:6" x14ac:dyDescent="0.3">
      <c r="B142" s="6">
        <v>139</v>
      </c>
      <c r="C142" s="9">
        <v>1</v>
      </c>
      <c r="D142" s="9">
        <v>1</v>
      </c>
      <c r="E142" s="9">
        <v>1</v>
      </c>
      <c r="F142" s="9">
        <v>1</v>
      </c>
    </row>
    <row r="143" spans="2:6" x14ac:dyDescent="0.3">
      <c r="B143" s="6">
        <v>140</v>
      </c>
      <c r="C143" s="9">
        <v>1</v>
      </c>
      <c r="D143" s="9">
        <v>1</v>
      </c>
      <c r="E143" s="9">
        <v>1</v>
      </c>
      <c r="F143" s="9">
        <v>1</v>
      </c>
    </row>
    <row r="144" spans="2:6" x14ac:dyDescent="0.3">
      <c r="B144" s="6">
        <v>141</v>
      </c>
      <c r="C144" s="9">
        <v>1</v>
      </c>
      <c r="D144" s="9">
        <v>1</v>
      </c>
      <c r="E144" s="9">
        <v>1</v>
      </c>
      <c r="F144" s="9">
        <v>1</v>
      </c>
    </row>
    <row r="145" spans="2:6" x14ac:dyDescent="0.3">
      <c r="B145" s="6">
        <v>142</v>
      </c>
      <c r="C145" s="9">
        <v>1</v>
      </c>
      <c r="D145" s="9">
        <v>1</v>
      </c>
      <c r="E145" s="9">
        <v>1</v>
      </c>
      <c r="F145" s="9">
        <v>1</v>
      </c>
    </row>
    <row r="146" spans="2:6" x14ac:dyDescent="0.3">
      <c r="B146" s="6">
        <v>143</v>
      </c>
      <c r="C146" s="9">
        <v>1</v>
      </c>
      <c r="D146" s="9">
        <v>1</v>
      </c>
      <c r="E146" s="9">
        <v>1</v>
      </c>
      <c r="F146" s="9">
        <v>1</v>
      </c>
    </row>
    <row r="147" spans="2:6" x14ac:dyDescent="0.3">
      <c r="B147" s="6">
        <v>144</v>
      </c>
      <c r="C147" s="9">
        <v>1</v>
      </c>
      <c r="D147" s="9">
        <v>1</v>
      </c>
      <c r="E147" s="9">
        <v>1</v>
      </c>
      <c r="F147" s="9">
        <v>1</v>
      </c>
    </row>
    <row r="148" spans="2:6" x14ac:dyDescent="0.3">
      <c r="B148" s="6">
        <v>145</v>
      </c>
      <c r="C148" s="9">
        <v>1</v>
      </c>
      <c r="D148" s="9">
        <v>1</v>
      </c>
      <c r="E148" s="9">
        <v>1</v>
      </c>
      <c r="F148" s="9">
        <v>1</v>
      </c>
    </row>
    <row r="149" spans="2:6" x14ac:dyDescent="0.3">
      <c r="B149" s="6">
        <v>146</v>
      </c>
      <c r="C149" s="9">
        <v>1</v>
      </c>
      <c r="D149" s="9">
        <v>1</v>
      </c>
      <c r="E149" s="9">
        <v>1</v>
      </c>
      <c r="F149" s="9">
        <v>1</v>
      </c>
    </row>
    <row r="150" spans="2:6" x14ac:dyDescent="0.3">
      <c r="B150" s="6">
        <v>147</v>
      </c>
      <c r="C150" s="9">
        <v>1</v>
      </c>
      <c r="D150" s="9">
        <v>1</v>
      </c>
      <c r="E150" s="9">
        <v>1</v>
      </c>
      <c r="F150" s="9">
        <v>1</v>
      </c>
    </row>
    <row r="151" spans="2:6" x14ac:dyDescent="0.3">
      <c r="B151" s="6">
        <v>148</v>
      </c>
      <c r="C151" s="9">
        <v>1</v>
      </c>
      <c r="D151" s="9">
        <v>1</v>
      </c>
      <c r="E151" s="9">
        <v>1</v>
      </c>
      <c r="F151" s="9">
        <v>1</v>
      </c>
    </row>
    <row r="152" spans="2:6" x14ac:dyDescent="0.3">
      <c r="B152" s="6">
        <v>149</v>
      </c>
      <c r="C152" s="9">
        <v>1</v>
      </c>
      <c r="D152" s="9">
        <v>1</v>
      </c>
      <c r="E152" s="9">
        <v>1</v>
      </c>
      <c r="F152" s="9">
        <v>1</v>
      </c>
    </row>
    <row r="153" spans="2:6" x14ac:dyDescent="0.3">
      <c r="B153" s="6">
        <v>150</v>
      </c>
      <c r="C153" s="9">
        <v>1</v>
      </c>
      <c r="D153" s="9">
        <v>1</v>
      </c>
      <c r="E153" s="9">
        <v>1</v>
      </c>
      <c r="F153" s="9">
        <v>1</v>
      </c>
    </row>
    <row r="154" spans="2:6" x14ac:dyDescent="0.3">
      <c r="B154" s="6">
        <v>151</v>
      </c>
      <c r="C154" s="9">
        <v>1</v>
      </c>
      <c r="D154" s="9">
        <v>1</v>
      </c>
      <c r="E154" s="9">
        <v>1</v>
      </c>
      <c r="F154" s="9">
        <v>1</v>
      </c>
    </row>
    <row r="155" spans="2:6" x14ac:dyDescent="0.3">
      <c r="B155" s="6">
        <v>152</v>
      </c>
      <c r="C155" s="9">
        <v>1</v>
      </c>
      <c r="D155" s="9">
        <v>1</v>
      </c>
      <c r="E155" s="9">
        <v>1</v>
      </c>
      <c r="F155" s="9">
        <v>1</v>
      </c>
    </row>
    <row r="156" spans="2:6" x14ac:dyDescent="0.3">
      <c r="B156" s="6">
        <v>153</v>
      </c>
      <c r="C156" s="9">
        <v>1</v>
      </c>
      <c r="D156" s="9">
        <v>1</v>
      </c>
      <c r="E156" s="9">
        <v>1</v>
      </c>
      <c r="F156" s="9">
        <v>1</v>
      </c>
    </row>
    <row r="157" spans="2:6" x14ac:dyDescent="0.3">
      <c r="B157" s="6">
        <v>154</v>
      </c>
      <c r="C157" s="9">
        <v>1</v>
      </c>
      <c r="D157" s="9">
        <v>1</v>
      </c>
      <c r="E157" s="9">
        <v>1</v>
      </c>
      <c r="F157" s="9">
        <v>1</v>
      </c>
    </row>
    <row r="158" spans="2:6" x14ac:dyDescent="0.3">
      <c r="B158" s="6">
        <v>155</v>
      </c>
      <c r="C158" s="9">
        <v>1</v>
      </c>
      <c r="D158" s="9">
        <v>1</v>
      </c>
      <c r="E158" s="9">
        <v>1</v>
      </c>
      <c r="F158" s="9">
        <v>1</v>
      </c>
    </row>
    <row r="159" spans="2:6" x14ac:dyDescent="0.3">
      <c r="B159" s="6">
        <v>156</v>
      </c>
      <c r="C159" s="9">
        <v>1</v>
      </c>
      <c r="D159" s="9">
        <v>1</v>
      </c>
      <c r="E159" s="9">
        <v>1</v>
      </c>
      <c r="F159" s="9">
        <v>1</v>
      </c>
    </row>
    <row r="160" spans="2:6" x14ac:dyDescent="0.3">
      <c r="B160" s="6">
        <v>157</v>
      </c>
      <c r="C160" s="9">
        <v>1</v>
      </c>
      <c r="D160" s="9">
        <v>1</v>
      </c>
      <c r="E160" s="9">
        <v>1</v>
      </c>
      <c r="F160" s="9">
        <v>1</v>
      </c>
    </row>
    <row r="161" spans="2:6" x14ac:dyDescent="0.3">
      <c r="B161" s="6">
        <v>158</v>
      </c>
      <c r="C161" s="9">
        <v>1</v>
      </c>
      <c r="D161" s="9">
        <v>1</v>
      </c>
      <c r="E161" s="9">
        <v>1</v>
      </c>
      <c r="F161" s="9">
        <v>1</v>
      </c>
    </row>
    <row r="162" spans="2:6" x14ac:dyDescent="0.3">
      <c r="B162" s="6">
        <v>159</v>
      </c>
      <c r="C162" s="9">
        <v>1</v>
      </c>
      <c r="D162" s="9">
        <v>1</v>
      </c>
      <c r="E162" s="9">
        <v>1</v>
      </c>
      <c r="F162" s="9">
        <v>1</v>
      </c>
    </row>
    <row r="163" spans="2:6" x14ac:dyDescent="0.3">
      <c r="B163" s="6">
        <v>160</v>
      </c>
      <c r="C163" s="9">
        <v>1</v>
      </c>
      <c r="D163" s="9">
        <v>1</v>
      </c>
      <c r="E163" s="9">
        <v>1</v>
      </c>
      <c r="F163" s="9">
        <v>1</v>
      </c>
    </row>
    <row r="164" spans="2:6" x14ac:dyDescent="0.3">
      <c r="B164" s="6">
        <v>161</v>
      </c>
      <c r="C164" s="9">
        <v>1</v>
      </c>
      <c r="D164" s="9">
        <v>1</v>
      </c>
      <c r="E164" s="9">
        <v>1</v>
      </c>
      <c r="F164" s="9">
        <v>1</v>
      </c>
    </row>
    <row r="165" spans="2:6" x14ac:dyDescent="0.3">
      <c r="B165" s="6">
        <v>162</v>
      </c>
      <c r="C165" s="9">
        <v>1</v>
      </c>
      <c r="D165" s="9">
        <v>1</v>
      </c>
      <c r="E165" s="9">
        <v>1</v>
      </c>
      <c r="F165" s="9">
        <v>1</v>
      </c>
    </row>
    <row r="166" spans="2:6" x14ac:dyDescent="0.3">
      <c r="B166" s="6">
        <v>163</v>
      </c>
      <c r="C166" s="9">
        <v>1</v>
      </c>
      <c r="D166" s="9">
        <v>1</v>
      </c>
      <c r="E166" s="9">
        <v>1</v>
      </c>
      <c r="F166" s="9">
        <v>1</v>
      </c>
    </row>
    <row r="167" spans="2:6" x14ac:dyDescent="0.3">
      <c r="B167" s="6">
        <v>164</v>
      </c>
      <c r="C167" s="9">
        <v>1</v>
      </c>
      <c r="D167" s="9">
        <v>1</v>
      </c>
      <c r="E167" s="9">
        <v>1</v>
      </c>
      <c r="F167" s="9">
        <v>1</v>
      </c>
    </row>
    <row r="168" spans="2:6" x14ac:dyDescent="0.3">
      <c r="B168" s="6">
        <v>165</v>
      </c>
      <c r="C168" s="9">
        <v>1</v>
      </c>
      <c r="D168" s="9">
        <v>1</v>
      </c>
      <c r="E168" s="9">
        <v>1</v>
      </c>
      <c r="F168" s="9">
        <v>1</v>
      </c>
    </row>
    <row r="169" spans="2:6" x14ac:dyDescent="0.3">
      <c r="B169" s="6">
        <v>166</v>
      </c>
      <c r="C169" s="9">
        <v>1</v>
      </c>
      <c r="D169" s="9">
        <v>1</v>
      </c>
      <c r="E169" s="9">
        <v>1</v>
      </c>
      <c r="F169" s="9">
        <v>1</v>
      </c>
    </row>
    <row r="170" spans="2:6" x14ac:dyDescent="0.3">
      <c r="B170" s="6">
        <v>167</v>
      </c>
      <c r="C170" s="9">
        <v>1</v>
      </c>
      <c r="D170" s="9">
        <v>1</v>
      </c>
      <c r="E170" s="9">
        <v>1</v>
      </c>
      <c r="F170" s="9">
        <v>1</v>
      </c>
    </row>
    <row r="171" spans="2:6" x14ac:dyDescent="0.3">
      <c r="B171" s="6">
        <v>168</v>
      </c>
      <c r="C171" s="9">
        <v>1</v>
      </c>
      <c r="D171" s="9">
        <v>1</v>
      </c>
      <c r="E171" s="9">
        <v>1</v>
      </c>
      <c r="F171" s="9">
        <v>1</v>
      </c>
    </row>
    <row r="172" spans="2:6" x14ac:dyDescent="0.3">
      <c r="B172" s="6">
        <v>169</v>
      </c>
      <c r="C172" s="9">
        <v>1</v>
      </c>
      <c r="D172" s="9">
        <v>1</v>
      </c>
      <c r="E172" s="9">
        <v>1</v>
      </c>
      <c r="F172" s="9">
        <v>1</v>
      </c>
    </row>
    <row r="173" spans="2:6" x14ac:dyDescent="0.3">
      <c r="B173" s="6">
        <v>170</v>
      </c>
      <c r="C173" s="9">
        <v>1</v>
      </c>
      <c r="D173" s="9">
        <v>1</v>
      </c>
      <c r="E173" s="9">
        <v>1</v>
      </c>
      <c r="F173" s="9">
        <v>1</v>
      </c>
    </row>
    <row r="174" spans="2:6" x14ac:dyDescent="0.3">
      <c r="B174" s="6">
        <v>171</v>
      </c>
      <c r="C174" s="9">
        <v>1</v>
      </c>
      <c r="D174" s="9">
        <v>1</v>
      </c>
      <c r="E174" s="9">
        <v>1</v>
      </c>
      <c r="F174" s="9">
        <v>1</v>
      </c>
    </row>
    <row r="175" spans="2:6" x14ac:dyDescent="0.3">
      <c r="B175" s="6">
        <v>172</v>
      </c>
      <c r="C175" s="9">
        <v>1</v>
      </c>
      <c r="D175" s="9">
        <v>1</v>
      </c>
      <c r="E175" s="9">
        <v>1</v>
      </c>
      <c r="F175" s="9">
        <v>1</v>
      </c>
    </row>
    <row r="176" spans="2:6" x14ac:dyDescent="0.3">
      <c r="B176" s="6">
        <v>173</v>
      </c>
      <c r="C176" s="9">
        <v>1</v>
      </c>
      <c r="D176" s="9">
        <v>1</v>
      </c>
      <c r="E176" s="9">
        <v>1</v>
      </c>
      <c r="F176" s="9">
        <v>1</v>
      </c>
    </row>
    <row r="177" spans="2:6" x14ac:dyDescent="0.3">
      <c r="B177" s="6">
        <v>174</v>
      </c>
      <c r="C177" s="9">
        <v>1</v>
      </c>
      <c r="D177" s="9">
        <v>1</v>
      </c>
      <c r="E177" s="9">
        <v>1</v>
      </c>
      <c r="F177" s="9">
        <v>1</v>
      </c>
    </row>
    <row r="178" spans="2:6" x14ac:dyDescent="0.3">
      <c r="B178" s="6">
        <v>175</v>
      </c>
      <c r="C178" s="9">
        <v>1</v>
      </c>
      <c r="D178" s="9">
        <v>1</v>
      </c>
      <c r="E178" s="9">
        <v>1</v>
      </c>
      <c r="F178" s="9">
        <v>1</v>
      </c>
    </row>
    <row r="179" spans="2:6" x14ac:dyDescent="0.3">
      <c r="B179" s="6">
        <v>176</v>
      </c>
      <c r="C179" s="9">
        <v>1</v>
      </c>
      <c r="D179" s="9">
        <v>1</v>
      </c>
      <c r="E179" s="9">
        <v>1</v>
      </c>
      <c r="F179" s="9">
        <v>1</v>
      </c>
    </row>
    <row r="180" spans="2:6" x14ac:dyDescent="0.3">
      <c r="B180" s="6">
        <v>177</v>
      </c>
      <c r="C180" s="9">
        <v>1</v>
      </c>
      <c r="D180" s="9">
        <v>1</v>
      </c>
      <c r="E180" s="9">
        <v>1</v>
      </c>
      <c r="F180" s="9">
        <v>1</v>
      </c>
    </row>
    <row r="181" spans="2:6" x14ac:dyDescent="0.3">
      <c r="B181" s="6">
        <v>178</v>
      </c>
      <c r="C181" s="9">
        <v>1</v>
      </c>
      <c r="D181" s="9">
        <v>1</v>
      </c>
      <c r="E181" s="9">
        <v>1</v>
      </c>
      <c r="F181" s="9">
        <v>1</v>
      </c>
    </row>
    <row r="182" spans="2:6" x14ac:dyDescent="0.3">
      <c r="B182" s="6">
        <v>179</v>
      </c>
      <c r="C182" s="9">
        <v>1</v>
      </c>
      <c r="D182" s="9">
        <v>1</v>
      </c>
      <c r="E182" s="9">
        <v>1</v>
      </c>
      <c r="F182" s="9">
        <v>1</v>
      </c>
    </row>
    <row r="183" spans="2:6" x14ac:dyDescent="0.3">
      <c r="B183" s="6">
        <v>180</v>
      </c>
      <c r="C183" s="9">
        <v>1</v>
      </c>
      <c r="D183" s="9">
        <v>1</v>
      </c>
      <c r="E183" s="9">
        <v>1</v>
      </c>
      <c r="F183" s="9">
        <v>1</v>
      </c>
    </row>
    <row r="184" spans="2:6" x14ac:dyDescent="0.3">
      <c r="B184" s="6">
        <v>181</v>
      </c>
      <c r="C184" s="9">
        <v>1</v>
      </c>
      <c r="D184" s="9">
        <v>1</v>
      </c>
      <c r="E184" s="9">
        <v>1</v>
      </c>
      <c r="F184" s="9">
        <v>1</v>
      </c>
    </row>
    <row r="185" spans="2:6" x14ac:dyDescent="0.3">
      <c r="B185" s="6">
        <v>182</v>
      </c>
      <c r="C185" s="9">
        <v>1</v>
      </c>
      <c r="D185" s="9">
        <v>1</v>
      </c>
      <c r="E185" s="9">
        <v>1</v>
      </c>
      <c r="F185" s="9">
        <v>1</v>
      </c>
    </row>
    <row r="186" spans="2:6" x14ac:dyDescent="0.3">
      <c r="B186" s="6">
        <v>183</v>
      </c>
      <c r="C186" s="9">
        <v>1</v>
      </c>
      <c r="D186" s="9">
        <v>1</v>
      </c>
      <c r="E186" s="9">
        <v>1</v>
      </c>
      <c r="F186" s="9">
        <v>1</v>
      </c>
    </row>
    <row r="187" spans="2:6" x14ac:dyDescent="0.3">
      <c r="B187" s="6">
        <v>184</v>
      </c>
      <c r="C187" s="9">
        <v>1</v>
      </c>
      <c r="D187" s="9">
        <v>1</v>
      </c>
      <c r="E187" s="9">
        <v>1</v>
      </c>
      <c r="F187" s="9">
        <v>1</v>
      </c>
    </row>
    <row r="188" spans="2:6" x14ac:dyDescent="0.3">
      <c r="B188" s="6">
        <v>185</v>
      </c>
      <c r="C188" s="9">
        <v>1</v>
      </c>
      <c r="D188" s="9">
        <v>1</v>
      </c>
      <c r="E188" s="9">
        <v>1</v>
      </c>
      <c r="F188" s="9">
        <v>1</v>
      </c>
    </row>
    <row r="189" spans="2:6" x14ac:dyDescent="0.3">
      <c r="B189" s="6">
        <v>186</v>
      </c>
      <c r="C189" s="9">
        <v>1</v>
      </c>
      <c r="D189" s="9">
        <v>1</v>
      </c>
      <c r="E189" s="9">
        <v>1</v>
      </c>
      <c r="F189" s="9">
        <v>1</v>
      </c>
    </row>
    <row r="190" spans="2:6" x14ac:dyDescent="0.3">
      <c r="B190" s="6">
        <v>187</v>
      </c>
      <c r="C190" s="9">
        <v>1</v>
      </c>
      <c r="D190" s="9">
        <v>1</v>
      </c>
      <c r="E190" s="9">
        <v>1</v>
      </c>
      <c r="F190" s="9">
        <v>1</v>
      </c>
    </row>
    <row r="191" spans="2:6" x14ac:dyDescent="0.3">
      <c r="B191" s="6">
        <v>188</v>
      </c>
      <c r="C191" s="9">
        <v>1</v>
      </c>
      <c r="D191" s="9">
        <v>1</v>
      </c>
      <c r="E191" s="9">
        <v>1</v>
      </c>
      <c r="F191" s="9">
        <v>1</v>
      </c>
    </row>
    <row r="192" spans="2:6" x14ac:dyDescent="0.3">
      <c r="B192" s="6">
        <v>189</v>
      </c>
      <c r="C192" s="9">
        <v>1</v>
      </c>
      <c r="D192" s="9">
        <v>1</v>
      </c>
      <c r="E192" s="9">
        <v>1</v>
      </c>
      <c r="F192" s="9">
        <v>1</v>
      </c>
    </row>
    <row r="193" spans="2:6" x14ac:dyDescent="0.3">
      <c r="B193" s="6">
        <v>190</v>
      </c>
      <c r="C193" s="9">
        <v>1</v>
      </c>
      <c r="D193" s="9">
        <v>1</v>
      </c>
      <c r="E193" s="9">
        <v>1</v>
      </c>
      <c r="F193" s="9">
        <v>1</v>
      </c>
    </row>
    <row r="194" spans="2:6" x14ac:dyDescent="0.3">
      <c r="B194" s="6">
        <v>191</v>
      </c>
      <c r="C194" s="9">
        <v>1</v>
      </c>
      <c r="D194" s="9">
        <v>1</v>
      </c>
      <c r="E194" s="9">
        <v>1</v>
      </c>
      <c r="F194" s="9">
        <v>1</v>
      </c>
    </row>
    <row r="195" spans="2:6" x14ac:dyDescent="0.3">
      <c r="B195" s="6">
        <v>192</v>
      </c>
      <c r="C195" s="9">
        <v>1</v>
      </c>
      <c r="D195" s="9">
        <v>1</v>
      </c>
      <c r="E195" s="9">
        <v>1</v>
      </c>
      <c r="F195" s="9">
        <v>1</v>
      </c>
    </row>
    <row r="196" spans="2:6" x14ac:dyDescent="0.3">
      <c r="B196" s="6">
        <v>193</v>
      </c>
      <c r="C196" s="9">
        <v>1</v>
      </c>
      <c r="D196" s="9">
        <v>1</v>
      </c>
      <c r="E196" s="9">
        <v>1</v>
      </c>
      <c r="F196" s="9">
        <v>1</v>
      </c>
    </row>
    <row r="197" spans="2:6" x14ac:dyDescent="0.3">
      <c r="B197" s="6">
        <v>194</v>
      </c>
      <c r="C197" s="9">
        <v>1</v>
      </c>
      <c r="D197" s="9">
        <v>1</v>
      </c>
      <c r="E197" s="9">
        <v>1</v>
      </c>
      <c r="F197" s="9">
        <v>1</v>
      </c>
    </row>
    <row r="198" spans="2:6" x14ac:dyDescent="0.3">
      <c r="B198" s="6">
        <v>195</v>
      </c>
      <c r="C198" s="9">
        <v>1</v>
      </c>
      <c r="D198" s="9">
        <v>1</v>
      </c>
      <c r="E198" s="9">
        <v>1</v>
      </c>
      <c r="F198" s="9">
        <v>1</v>
      </c>
    </row>
    <row r="199" spans="2:6" x14ac:dyDescent="0.3">
      <c r="B199" s="6">
        <v>196</v>
      </c>
      <c r="C199" s="9">
        <v>1</v>
      </c>
      <c r="D199" s="9">
        <v>1</v>
      </c>
      <c r="E199" s="9">
        <v>1</v>
      </c>
      <c r="F199" s="9">
        <v>1</v>
      </c>
    </row>
    <row r="200" spans="2:6" x14ac:dyDescent="0.3">
      <c r="B200" s="6">
        <v>197</v>
      </c>
      <c r="C200" s="9">
        <v>1</v>
      </c>
      <c r="D200" s="9">
        <v>1</v>
      </c>
      <c r="E200" s="9">
        <v>1</v>
      </c>
      <c r="F200" s="9">
        <v>1</v>
      </c>
    </row>
    <row r="201" spans="2:6" x14ac:dyDescent="0.3">
      <c r="B201" s="6">
        <v>198</v>
      </c>
      <c r="C201" s="9">
        <v>1</v>
      </c>
      <c r="D201" s="9">
        <v>1</v>
      </c>
      <c r="E201" s="9">
        <v>1</v>
      </c>
      <c r="F201" s="9">
        <v>1</v>
      </c>
    </row>
    <row r="202" spans="2:6" x14ac:dyDescent="0.3">
      <c r="B202" s="6">
        <v>199</v>
      </c>
      <c r="C202" s="9">
        <v>1</v>
      </c>
      <c r="D202" s="9">
        <v>1</v>
      </c>
      <c r="E202" s="9">
        <v>1</v>
      </c>
      <c r="F202" s="9">
        <v>1</v>
      </c>
    </row>
    <row r="203" spans="2:6" x14ac:dyDescent="0.3">
      <c r="B203" s="6">
        <v>200</v>
      </c>
      <c r="C203" s="9">
        <v>1</v>
      </c>
      <c r="D203" s="9">
        <v>1</v>
      </c>
      <c r="E203" s="9">
        <v>1</v>
      </c>
      <c r="F203" s="9">
        <v>1</v>
      </c>
    </row>
    <row r="204" spans="2:6" x14ac:dyDescent="0.3">
      <c r="B204" s="6">
        <v>201</v>
      </c>
      <c r="C204" s="9">
        <v>1</v>
      </c>
      <c r="D204" s="9">
        <v>1</v>
      </c>
      <c r="E204" s="9">
        <v>1</v>
      </c>
      <c r="F204" s="9">
        <v>1</v>
      </c>
    </row>
    <row r="205" spans="2:6" x14ac:dyDescent="0.3">
      <c r="B205" s="6">
        <v>202</v>
      </c>
      <c r="C205" s="9">
        <v>1</v>
      </c>
      <c r="D205" s="9">
        <v>1</v>
      </c>
      <c r="E205" s="9">
        <v>1</v>
      </c>
      <c r="F205" s="9">
        <v>1</v>
      </c>
    </row>
    <row r="206" spans="2:6" x14ac:dyDescent="0.3">
      <c r="B206" s="6">
        <v>203</v>
      </c>
      <c r="C206" s="9">
        <v>1</v>
      </c>
      <c r="D206" s="9">
        <v>1</v>
      </c>
      <c r="E206" s="9">
        <v>1</v>
      </c>
      <c r="F206" s="9">
        <v>1</v>
      </c>
    </row>
    <row r="207" spans="2:6" x14ac:dyDescent="0.3">
      <c r="B207" s="6">
        <v>204</v>
      </c>
      <c r="C207" s="9">
        <v>1</v>
      </c>
      <c r="D207" s="9">
        <v>1</v>
      </c>
      <c r="E207" s="9">
        <v>1</v>
      </c>
      <c r="F207" s="9">
        <v>1</v>
      </c>
    </row>
    <row r="208" spans="2:6" x14ac:dyDescent="0.3">
      <c r="B208" s="6">
        <v>205</v>
      </c>
      <c r="C208" s="9">
        <v>1</v>
      </c>
      <c r="D208" s="9">
        <v>1</v>
      </c>
      <c r="E208" s="9">
        <v>1</v>
      </c>
      <c r="F208" s="9">
        <v>1</v>
      </c>
    </row>
    <row r="209" spans="1:89" x14ac:dyDescent="0.3">
      <c r="B209" s="6">
        <v>206</v>
      </c>
      <c r="C209" s="9">
        <v>1</v>
      </c>
      <c r="D209" s="9">
        <v>1</v>
      </c>
      <c r="E209" s="9">
        <v>1</v>
      </c>
      <c r="F209" s="9">
        <v>1</v>
      </c>
    </row>
    <row r="210" spans="1:89" x14ac:dyDescent="0.3">
      <c r="B210" s="6">
        <v>207</v>
      </c>
      <c r="C210" s="9">
        <v>1</v>
      </c>
      <c r="D210" s="9">
        <v>1</v>
      </c>
      <c r="E210" s="9">
        <v>1</v>
      </c>
      <c r="F210" s="9">
        <v>1</v>
      </c>
    </row>
    <row r="211" spans="1:89" x14ac:dyDescent="0.3">
      <c r="B211" s="6">
        <v>208</v>
      </c>
      <c r="C211" s="9">
        <v>1</v>
      </c>
      <c r="D211" s="9">
        <v>1</v>
      </c>
      <c r="E211" s="9">
        <v>1</v>
      </c>
      <c r="F211" s="9">
        <v>1</v>
      </c>
    </row>
    <row r="212" spans="1:89" x14ac:dyDescent="0.3">
      <c r="B212" s="6">
        <v>209</v>
      </c>
      <c r="C212" s="9">
        <v>1</v>
      </c>
      <c r="D212" s="9">
        <v>1</v>
      </c>
      <c r="E212" s="9">
        <v>1</v>
      </c>
      <c r="F212" s="9">
        <v>1</v>
      </c>
    </row>
    <row r="213" spans="1:89" x14ac:dyDescent="0.3">
      <c r="B213" s="6">
        <v>210</v>
      </c>
      <c r="C213" s="9">
        <v>1</v>
      </c>
      <c r="D213" s="9">
        <v>1</v>
      </c>
      <c r="E213" s="9">
        <v>1</v>
      </c>
      <c r="F213" s="9">
        <v>1</v>
      </c>
    </row>
    <row r="214" spans="1:89" x14ac:dyDescent="0.3">
      <c r="B214" s="6">
        <v>211</v>
      </c>
      <c r="C214" s="9">
        <v>1</v>
      </c>
      <c r="D214" s="9">
        <v>1</v>
      </c>
      <c r="E214" s="9">
        <v>1</v>
      </c>
      <c r="F214" s="9">
        <v>1</v>
      </c>
    </row>
    <row r="215" spans="1:89" x14ac:dyDescent="0.3">
      <c r="B215" s="6">
        <v>212</v>
      </c>
      <c r="C215" s="9">
        <v>1</v>
      </c>
      <c r="D215" s="9">
        <v>1</v>
      </c>
      <c r="E215" s="9">
        <v>1</v>
      </c>
      <c r="F215" s="9">
        <v>1</v>
      </c>
    </row>
    <row r="216" spans="1:89" x14ac:dyDescent="0.3">
      <c r="B216" s="6">
        <v>213</v>
      </c>
      <c r="C216" s="9">
        <v>1</v>
      </c>
      <c r="D216" s="9">
        <v>1</v>
      </c>
      <c r="E216" s="9">
        <v>1</v>
      </c>
      <c r="F216" s="9">
        <v>1</v>
      </c>
    </row>
    <row r="217" spans="1:89" x14ac:dyDescent="0.3">
      <c r="B217" s="6">
        <v>214</v>
      </c>
      <c r="C217" s="9">
        <v>1</v>
      </c>
      <c r="D217" s="9">
        <v>1</v>
      </c>
      <c r="E217" s="9">
        <v>1</v>
      </c>
      <c r="F217" s="9">
        <v>1</v>
      </c>
    </row>
    <row r="218" spans="1:89" x14ac:dyDescent="0.3">
      <c r="B218" s="6">
        <v>215</v>
      </c>
      <c r="C218" s="9">
        <v>1</v>
      </c>
      <c r="D218" s="9">
        <v>1</v>
      </c>
      <c r="E218" s="9">
        <v>1</v>
      </c>
      <c r="F218" s="9">
        <v>1</v>
      </c>
    </row>
    <row r="219" spans="1:89" x14ac:dyDescent="0.3">
      <c r="B219" s="6">
        <v>216</v>
      </c>
      <c r="C219" s="9">
        <v>1</v>
      </c>
      <c r="D219" s="9">
        <v>1</v>
      </c>
      <c r="E219" s="9">
        <v>1</v>
      </c>
      <c r="F219" s="9">
        <v>1</v>
      </c>
    </row>
    <row r="220" spans="1:89" x14ac:dyDescent="0.3">
      <c r="B220" s="6">
        <v>217</v>
      </c>
      <c r="C220" s="9">
        <v>1</v>
      </c>
      <c r="D220" s="9">
        <v>1</v>
      </c>
      <c r="E220" s="9">
        <v>1</v>
      </c>
      <c r="F220" s="9">
        <v>1</v>
      </c>
    </row>
    <row r="221" spans="1:89" x14ac:dyDescent="0.3">
      <c r="B221" s="6">
        <v>218</v>
      </c>
      <c r="C221" s="9">
        <v>1</v>
      </c>
      <c r="D221" s="9">
        <v>1</v>
      </c>
      <c r="E221" s="9">
        <v>1</v>
      </c>
      <c r="F221" s="9">
        <v>1</v>
      </c>
    </row>
    <row r="222" spans="1:89" x14ac:dyDescent="0.3">
      <c r="B222" s="6">
        <v>219</v>
      </c>
      <c r="C222" s="9">
        <v>1</v>
      </c>
      <c r="D222" s="9">
        <v>1</v>
      </c>
      <c r="E222" s="9">
        <v>1</v>
      </c>
      <c r="F222" s="9">
        <v>1</v>
      </c>
    </row>
    <row r="223" spans="1:89" x14ac:dyDescent="0.3">
      <c r="B223" s="6">
        <v>220</v>
      </c>
      <c r="C223" s="9">
        <v>1</v>
      </c>
      <c r="D223" s="9">
        <v>1</v>
      </c>
      <c r="E223" s="9">
        <v>1</v>
      </c>
      <c r="F223" s="9">
        <v>1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goldenOTP_check</vt:lpstr>
      <vt:lpstr>(default)</vt:lpstr>
      <vt:lpstr>lux_1_245_cct_2200_2400</vt:lpstr>
      <vt:lpstr>lux_1_245_cct_2700_3100</vt:lpstr>
      <vt:lpstr>lux_1_245_cct_3800_4200</vt:lpstr>
      <vt:lpstr>lux_1_245_cct_4800_5200</vt:lpstr>
      <vt:lpstr>lux_1_245_cct_6000_7000</vt:lpstr>
      <vt:lpstr>lux_370_420_cct_2200_2400</vt:lpstr>
      <vt:lpstr>lux_370_420_cct_2700_3100</vt:lpstr>
      <vt:lpstr>lux_370_420_cct_3800_4200</vt:lpstr>
      <vt:lpstr>lux_370_420_cct_4800_5200</vt:lpstr>
      <vt:lpstr>lux_370_420_cct_6000_7000</vt:lpstr>
      <vt:lpstr>lux_425_900_cct_1_10000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2023-06-28T09:13:20Z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